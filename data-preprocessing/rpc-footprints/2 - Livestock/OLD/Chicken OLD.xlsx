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2652" documentId="11_6EDA348B9A45BB06804DDD6C5387CB3098C2A5F9" xr6:coauthVersionLast="47" xr6:coauthVersionMax="47" xr10:uidLastSave="{BEECC93F-1ECA-409D-98AC-BF08546E666C}"/>
  <bookViews>
    <workbookView xWindow="-110" yWindow="-110" windowWidth="19420" windowHeight="10420" firstSheet="5" activeTab="11" xr2:uid="{00000000-000D-0000-FFFF-FFFF00000000}"/>
  </bookViews>
  <sheets>
    <sheet name="README" sheetId="18" r:id="rId1"/>
    <sheet name="Figures" sheetId="24" r:id="rId2"/>
    <sheet name="Footprints, results per kg" sheetId="17" r:id="rId3"/>
    <sheet name="GHG detailed, results per kg" sheetId="13" r:id="rId4"/>
    <sheet name="Production" sheetId="11" r:id="rId5"/>
    <sheet name="Parameters, country spec" sheetId="4" r:id="rId6"/>
    <sheet name="CO2 per kg feed" sheetId="2" r:id="rId7"/>
    <sheet name="CH4 per kg feed" sheetId="15" r:id="rId8"/>
    <sheet name="N2O per kg feed" sheetId="14" r:id="rId9"/>
    <sheet name="EFP per kg feed" sheetId="16" r:id="rId10"/>
    <sheet name="Parameters, general" sheetId="20" r:id="rId11"/>
    <sheet name="Off-farm feed" sheetId="23" r:id="rId12"/>
    <sheet name="References" sheetId="21" r:id="rId13"/>
    <sheet name="Verification" sheetId="22" r:id="rId14"/>
  </sheets>
  <externalReferences>
    <externalReference r:id="rId15"/>
  </externalReferences>
  <definedNames>
    <definedName name="_xlnm._FilterDatabase" localSheetId="1" hidden="1">Figures!$A$71:$M$71</definedName>
    <definedName name="_xlnm._FilterDatabase" localSheetId="2" hidden="1">'Footprints, results per kg'!$D$6:$U$6</definedName>
    <definedName name="Ability_to_perceive_handling">'Parameters, general'!$B$19</definedName>
    <definedName name="Bonefree_outof_CW_AT">'Parameters, country spec'!$B$9</definedName>
    <definedName name="Bonefree_outof_CW_BE">'Parameters, country spec'!$C$9</definedName>
    <definedName name="Bonefree_outof_CW_BG">'Parameters, country spec'!$D$9</definedName>
    <definedName name="Bonefree_outof_CW_BR">'Parameters, country spec'!$AC$9</definedName>
    <definedName name="Bonefree_outof_CW_CY">'Parameters, country spec'!$F$9</definedName>
    <definedName name="Bonefree_outof_CW_CZ">'Parameters, country spec'!$G$9</definedName>
    <definedName name="Bonefree_outof_CW_DE">'Parameters, country spec'!$L$9</definedName>
    <definedName name="Bonefree_outof_CW_DK">'Parameters, country spec'!$H$9</definedName>
    <definedName name="Bonefree_outof_CW_EE">'Parameters, country spec'!$I$9</definedName>
    <definedName name="Bonefree_outof_CW_ES">'Parameters, country spec'!$Z$9</definedName>
    <definedName name="Bonefree_outof_CW_FI">'Parameters, country spec'!$J$9</definedName>
    <definedName name="Bonefree_outof_CW_FR">'Parameters, country spec'!$K$9</definedName>
    <definedName name="Bonefree_outof_CW_GB">'Parameters, country spec'!$AB$9</definedName>
    <definedName name="Bonefree_outof_CW_GR">'Parameters, country spec'!$M$9</definedName>
    <definedName name="Bonefree_outof_CW_HR">'Parameters, country spec'!$E$9</definedName>
    <definedName name="Bonefree_outof_CW_HU">'Parameters, country spec'!$N$9</definedName>
    <definedName name="Bonefree_outof_CW_IE">'Parameters, country spec'!$O$9</definedName>
    <definedName name="Bonefree_outof_CW_IT">'Parameters, country spec'!$P$9</definedName>
    <definedName name="Bonefree_outof_CW_LT">'Parameters, country spec'!$R$9</definedName>
    <definedName name="Bonefree_outof_CW_LV">'Parameters, country spec'!$Q$9</definedName>
    <definedName name="Bonefree_outof_CW_MT">'Parameters, country spec'!$S$9</definedName>
    <definedName name="Bonefree_outof_CW_NL">'Parameters, country spec'!$T$9</definedName>
    <definedName name="Bonefree_outof_CW_PL">'Parameters, country spec'!$U$9</definedName>
    <definedName name="Bonefree_outof_CW_PT">'Parameters, country spec'!$V$9</definedName>
    <definedName name="Bonefree_outof_CW_RO">'Parameters, country spec'!$W$9</definedName>
    <definedName name="Bonefree_outof_CW_SE">'Parameters, country spec'!$AA$9</definedName>
    <definedName name="Bonefree_outof_CW_SI">'Parameters, country spec'!$Y$9</definedName>
    <definedName name="Bonefree_outof_CW_SK">'Parameters, country spec'!$X$9</definedName>
    <definedName name="Bonefree_outof_CW_TH">'Parameters, country spec'!$AD$9</definedName>
    <definedName name="Bonefree_outof_CW_US">'Parameters, country spec'!$AE$9</definedName>
    <definedName name="CF_biog_CH4">'[1]CF climate'!$C$5</definedName>
    <definedName name="CF_fossil_CH4">'[1]CF climate'!$D$5</definedName>
    <definedName name="CF_GWP_CH4_fossil">'Parameters, general'!$B$14</definedName>
    <definedName name="CF_GWP_N2O">'Parameters, general'!$B$16</definedName>
    <definedName name="CF_N2O">'[1]CF climate'!$E$5</definedName>
    <definedName name="CH4_bio_codes">'[1]Crops CH4, bio'!$A$6:$A$118</definedName>
    <definedName name="CH4_bio_data">'[1]Crops CH4, bio'!$E$6:$N$118</definedName>
    <definedName name="CH4_codes">'[1]Crops CH4, fossil'!$A$6:$A$118</definedName>
    <definedName name="CH4_data">'[1]Crops CH4, fossil'!$E$6:$N$118</definedName>
    <definedName name="CO2_codes">'[1]Crops CO2'!$A$6:$A$118</definedName>
    <definedName name="CO2_data">'[1]Crops CO2'!$E$6:$N$118</definedName>
    <definedName name="Crop_data">'[1]Crops, input data per ha'!$A$6:$Z$118</definedName>
    <definedName name="Crop_data_codes">'[1]Crops, input data per ha'!$A$6:$A$118</definedName>
    <definedName name="CY">'Parameters, country spec'!$F$36</definedName>
    <definedName name="EF_ammonia_AT">'Parameters, country spec'!$B$42</definedName>
    <definedName name="EF_ammonia_BE">'Parameters, country spec'!$C$42</definedName>
    <definedName name="EF_ammonia_BG">'Parameters, country spec'!$D$42</definedName>
    <definedName name="EF_ammonia_BR">'Parameters, country spec'!$AC$42</definedName>
    <definedName name="EF_ammonia_CY">'Parameters, country spec'!$F$42</definedName>
    <definedName name="EF_ammonia_CZ">'Parameters, country spec'!$G$42</definedName>
    <definedName name="EF_ammonia_DE">'Parameters, country spec'!$L$42</definedName>
    <definedName name="EF_ammonia_DK">'Parameters, country spec'!$H$42</definedName>
    <definedName name="EF_ammonia_EE">'Parameters, country spec'!$I$42</definedName>
    <definedName name="EF_ammonia_ES">'Parameters, country spec'!$Z$42</definedName>
    <definedName name="EF_ammonia_FI">'Parameters, country spec'!$J$42</definedName>
    <definedName name="EF_ammonia_FR">'Parameters, country spec'!$K$42</definedName>
    <definedName name="EF_ammonia_GB">'Parameters, country spec'!$AB$42</definedName>
    <definedName name="EF_ammonia_GR">'Parameters, country spec'!$M$42</definedName>
    <definedName name="EF_ammonia_HR">'Parameters, country spec'!$E$42</definedName>
    <definedName name="EF_ammonia_HU">'Parameters, country spec'!$N$42</definedName>
    <definedName name="EF_ammonia_IE">'Parameters, country spec'!$O$42</definedName>
    <definedName name="EF_ammonia_IT">'Parameters, country spec'!$P$42</definedName>
    <definedName name="EF_ammonia_LT">'Parameters, country spec'!$R$42</definedName>
    <definedName name="EF_ammonia_LV">'Parameters, country spec'!$Q$42</definedName>
    <definedName name="EF_ammonia_MT">'Parameters, country spec'!$S$42</definedName>
    <definedName name="EF_ammonia_NL">'Parameters, country spec'!$T$42</definedName>
    <definedName name="EF_ammonia_PL">'Parameters, country spec'!$U$42</definedName>
    <definedName name="EF_ammonia_PT">'Parameters, country spec'!$V$42</definedName>
    <definedName name="EF_ammonia_RO">'Parameters, country spec'!$W$42</definedName>
    <definedName name="EF_ammonia_SE">'Parameters, country spec'!$AA$42</definedName>
    <definedName name="EF_ammonia_SI">'Parameters, country spec'!$Y$42</definedName>
    <definedName name="EF_ammonia_SK">'Parameters, country spec'!$X$42</definedName>
    <definedName name="EF_ammonia_TH">'Parameters, country spec'!$AD$42</definedName>
    <definedName name="EF_ammonia_US">'Parameters, country spec'!$AE$42</definedName>
    <definedName name="EF_biofuel_CH4">'Parameters, general'!$C$6</definedName>
    <definedName name="EF_biofuel_N2O">'Parameters, general'!$D$6</definedName>
    <definedName name="EF_biofuels_CO2">'Parameters, general'!$B$6</definedName>
    <definedName name="EF_capital_goods_CO2">'[1]Emission factors'!$B$35</definedName>
    <definedName name="EF_CH4_manure_AT">'Parameters, country spec'!$B$49</definedName>
    <definedName name="EF_CH4_manure_BE">'Parameters, country spec'!$C$49</definedName>
    <definedName name="EF_CH4_manure_BG">'Parameters, country spec'!$D$49</definedName>
    <definedName name="EF_CH4_manure_BR">'Parameters, country spec'!$AC$49</definedName>
    <definedName name="EF_CH4_manure_CY">'Parameters, country spec'!$F$49</definedName>
    <definedName name="EF_CH4_manure_CZ">'Parameters, country spec'!$G$49</definedName>
    <definedName name="EF_CH4_manure_DE">'Parameters, country spec'!$L$49</definedName>
    <definedName name="EF_CH4_manure_DK">'Parameters, country spec'!$H$49</definedName>
    <definedName name="EF_CH4_manure_EE">'Parameters, country spec'!$I$49</definedName>
    <definedName name="EF_CH4_manure_ES">'Parameters, country spec'!$Z$49</definedName>
    <definedName name="EF_CH4_manure_FI">'Parameters, country spec'!$J$49</definedName>
    <definedName name="EF_CH4_manure_FR">'Parameters, country spec'!$K$49</definedName>
    <definedName name="EF_CH4_manure_GB">'Parameters, country spec'!$AB$49</definedName>
    <definedName name="EF_CH4_manure_GR">'Parameters, country spec'!$M$49</definedName>
    <definedName name="EF_CH4_manure_HR">'Parameters, country spec'!$E$49</definedName>
    <definedName name="EF_CH4_manure_HU">'Parameters, country spec'!$N$49</definedName>
    <definedName name="EF_CH4_manure_IE">'Parameters, country spec'!$O$49</definedName>
    <definedName name="EF_CH4_manure_IT">'Parameters, country spec'!$P$49</definedName>
    <definedName name="EF_CH4_manure_LT">'Parameters, country spec'!$R$49</definedName>
    <definedName name="EF_CH4_manure_LV">'Parameters, country spec'!$Q$49</definedName>
    <definedName name="EF_CH4_manure_MT">'Parameters, country spec'!$S$49</definedName>
    <definedName name="EF_CH4_manure_NL">'Parameters, country spec'!$T$49</definedName>
    <definedName name="EF_CH4_manure_PL">'Parameters, country spec'!$U$49</definedName>
    <definedName name="EF_CH4_manure_PT">'Parameters, country spec'!$V$49</definedName>
    <definedName name="EF_CH4_manure_RO">'Parameters, country spec'!$W$49</definedName>
    <definedName name="EF_CH4_manure_SE">'Parameters, country spec'!$AA$49</definedName>
    <definedName name="EF_CH4_manure_SI">'Parameters, country spec'!$Y$49</definedName>
    <definedName name="EF_CH4_manure_SK">'Parameters, country spec'!$X$49</definedName>
    <definedName name="EF_CH4_manure_TH">'Parameters, country spec'!$AD$49</definedName>
    <definedName name="EF_CH4_manure_US">'Parameters, country spec'!$AE$49</definedName>
    <definedName name="EF_chips_CO2">'[1]Emission factors'!$B$10</definedName>
    <definedName name="EF_diesel_CO2">'[1]Emission factors'!$B$13</definedName>
    <definedName name="EF_el_CH4_AT">'Parameters, country spec'!$B$65</definedName>
    <definedName name="EF_el_CH4_BE">'Parameters, country spec'!$C$65</definedName>
    <definedName name="EF_el_CH4_BG">'Parameters, country spec'!$D$65</definedName>
    <definedName name="EF_el_CH4_BR">'Parameters, country spec'!$AC$65</definedName>
    <definedName name="EF_el_CH4_CY">'Parameters, country spec'!$F$65</definedName>
    <definedName name="EF_el_CH4_CZ">'Parameters, country spec'!$G$65</definedName>
    <definedName name="EF_el_CH4_DE">'Parameters, country spec'!$L$65</definedName>
    <definedName name="EF_el_CH4_DK">'Parameters, country spec'!$H$65</definedName>
    <definedName name="EF_el_CH4_EE">'Parameters, country spec'!$I$65</definedName>
    <definedName name="EF_el_CH4_ES">'Parameters, country spec'!$Z$65</definedName>
    <definedName name="EF_el_CH4_FI">'Parameters, country spec'!$J$65</definedName>
    <definedName name="EF_el_CH4_FR">'Parameters, country spec'!$K$65</definedName>
    <definedName name="EF_el_CH4_GB">'Parameters, country spec'!$AB$65</definedName>
    <definedName name="EF_el_CH4_GR">'Parameters, country spec'!$M$65</definedName>
    <definedName name="EF_el_CH4_HR">'Parameters, country spec'!$E$65</definedName>
    <definedName name="EF_el_CH4_HU">'Parameters, country spec'!$N$65</definedName>
    <definedName name="EF_el_CH4_IE">'Parameters, country spec'!$O$65</definedName>
    <definedName name="EF_el_CH4_IT">'Parameters, country spec'!$P$65</definedName>
    <definedName name="EF_el_CH4_LT">'Parameters, country spec'!$R$65</definedName>
    <definedName name="EF_el_CH4_LV">'Parameters, country spec'!$Q$65</definedName>
    <definedName name="EF_el_CH4_MT">'Parameters, country spec'!$S$65</definedName>
    <definedName name="EF_el_CH4_NL">'Parameters, country spec'!$T$65</definedName>
    <definedName name="EF_el_CH4_PL">'Parameters, country spec'!$U$65</definedName>
    <definedName name="EF_el_CH4_PT">'Parameters, country spec'!$V$65</definedName>
    <definedName name="EF_el_CH4_RO">'Parameters, country spec'!$W$65</definedName>
    <definedName name="EF_el_CH4_SE">'Parameters, country spec'!$AA$65</definedName>
    <definedName name="EF_el_CH4_SI">'Parameters, country spec'!$Y$65</definedName>
    <definedName name="EF_el_CH4_SK">'Parameters, country spec'!$X$65</definedName>
    <definedName name="EF_el_CH4_TH">'Parameters, country spec'!$AD$65</definedName>
    <definedName name="EF_el_CH4_US">'Parameters, country spec'!$AE$65</definedName>
    <definedName name="EF_el_CO2_AT">'Parameters, country spec'!$B$64</definedName>
    <definedName name="EF_el_CO2_BE">'Parameters, country spec'!$C$64</definedName>
    <definedName name="EF_el_CO2_BG">'Parameters, country spec'!$D$64</definedName>
    <definedName name="EF_el_CO2_BR">'Parameters, country spec'!$AC$64</definedName>
    <definedName name="EF_el_CO2_CY">'Parameters, country spec'!$F$64</definedName>
    <definedName name="EF_el_CO2_CZ">'Parameters, country spec'!$G$64</definedName>
    <definedName name="EF_el_CO2_DE">'Parameters, country spec'!$L$64</definedName>
    <definedName name="EF_el_CO2_DK">'Parameters, country spec'!$H$64</definedName>
    <definedName name="EF_el_CO2_EE">'Parameters, country spec'!$I$64</definedName>
    <definedName name="EF_el_CO2_ES">'Parameters, country spec'!$Z$64</definedName>
    <definedName name="EF_el_CO2_FI">'Parameters, country spec'!$J$64</definedName>
    <definedName name="EF_el_CO2_FR">'Parameters, country spec'!$K$64</definedName>
    <definedName name="EF_el_CO2_GB">'Parameters, country spec'!$AB$64</definedName>
    <definedName name="EF_el_CO2_GR">'Parameters, country spec'!$M$64</definedName>
    <definedName name="EF_el_CO2_HR">'Parameters, country spec'!$E$64</definedName>
    <definedName name="EF_el_CO2_HU">'Parameters, country spec'!$N$64</definedName>
    <definedName name="EF_el_CO2_IE">'Parameters, country spec'!$O$64</definedName>
    <definedName name="EF_el_CO2_IT">'Parameters, country spec'!$P$64</definedName>
    <definedName name="EF_el_CO2_LT">'Parameters, country spec'!$R$64</definedName>
    <definedName name="EF_el_CO2_LV">'Parameters, country spec'!$Q$64</definedName>
    <definedName name="EF_el_CO2_MT">'Parameters, country spec'!$S$64</definedName>
    <definedName name="EF_el_CO2_NL">'Parameters, country spec'!$T$64</definedName>
    <definedName name="EF_el_CO2_PL">'Parameters, country spec'!$U$64</definedName>
    <definedName name="EF_el_CO2_PT">'Parameters, country spec'!$V$64</definedName>
    <definedName name="EF_el_CO2_RO">'Parameters, country spec'!$W$64</definedName>
    <definedName name="EF_el_CO2_SE">'Parameters, country spec'!$AA$64</definedName>
    <definedName name="EF_el_CO2_SI">'Parameters, country spec'!$Y$64</definedName>
    <definedName name="EF_el_CO2_SK">'Parameters, country spec'!$X$64</definedName>
    <definedName name="EF_el_CO2_TH">'Parameters, country spec'!$AD$64</definedName>
    <definedName name="EF_el_CO2_US">'Parameters, country spec'!$AE$64</definedName>
    <definedName name="EF_el_N2O_AT">'Parameters, country spec'!$B$66</definedName>
    <definedName name="EF_el_N2O_BE">'Parameters, country spec'!$C$66</definedName>
    <definedName name="EF_el_N2O_BG">'Parameters, country spec'!$D$66</definedName>
    <definedName name="EF_el_N2O_BR">'Parameters, country spec'!$AC$66</definedName>
    <definedName name="EF_el_N2O_CY">'Parameters, country spec'!$F$66</definedName>
    <definedName name="EF_el_N2O_CZ">'Parameters, country spec'!$G$66</definedName>
    <definedName name="EF_el_N2O_DE">'Parameters, country spec'!$L$66</definedName>
    <definedName name="EF_el_N2O_DK">'Parameters, country spec'!$H$66</definedName>
    <definedName name="EF_el_N2O_EE">'Parameters, country spec'!$I$66</definedName>
    <definedName name="EF_el_N2O_ES">'Parameters, country spec'!$Z$66</definedName>
    <definedName name="EF_el_N2O_FI">'Parameters, country spec'!$J$66</definedName>
    <definedName name="EF_el_N2O_FR">'Parameters, country spec'!$K$66</definedName>
    <definedName name="EF_el_N2O_GB">'Parameters, country spec'!$AB$66</definedName>
    <definedName name="EF_el_N2O_GR">'Parameters, country spec'!$M$66</definedName>
    <definedName name="EF_el_N2O_HR">'Parameters, country spec'!$E$66</definedName>
    <definedName name="EF_el_N2O_HU">'Parameters, country spec'!$N$66</definedName>
    <definedName name="EF_el_N2O_IE">'Parameters, country spec'!$O$66</definedName>
    <definedName name="EF_el_N2O_IT">'Parameters, country spec'!$P$66</definedName>
    <definedName name="EF_el_N2O_LT">'Parameters, country spec'!$R$66</definedName>
    <definedName name="EF_el_N2O_LV">'Parameters, country spec'!$Q$66</definedName>
    <definedName name="EF_el_N2O_MT">'Parameters, country spec'!$S$66</definedName>
    <definedName name="EF_el_N2O_NL">'Parameters, country spec'!$T$66</definedName>
    <definedName name="EF_el_N2O_PL">'Parameters, country spec'!$U$66</definedName>
    <definedName name="EF_el_N2O_PT">'Parameters, country spec'!$V$66</definedName>
    <definedName name="EF_el_N2O_RO">'Parameters, country spec'!$W$66</definedName>
    <definedName name="EF_el_N2O_SE">'Parameters, country spec'!$AA$66</definedName>
    <definedName name="EF_el_N2O_SI">'Parameters, country spec'!$Y$66</definedName>
    <definedName name="EF_el_N2O_SK">'Parameters, country spec'!$X$66</definedName>
    <definedName name="EF_el_N2O_TH">'Parameters, country spec'!$AD$66</definedName>
    <definedName name="EF_el_N2O_US">'Parameters, country spec'!$AE$66</definedName>
    <definedName name="EF_electricity">'Parameters, country spec'!$AA$63</definedName>
    <definedName name="EF_electricity_CO2">'[1]Emission factors'!$B$6</definedName>
    <definedName name="EF_GWP_CH4_biog">'Parameters, general'!#REF!</definedName>
    <definedName name="EF_heating_oil_CO2">'[1]Emission factors'!$B$7</definedName>
    <definedName name="EF_indirect_N2O_AT">'Parameters, country spec'!$B$82</definedName>
    <definedName name="EF_indirect_N2O_BE">'Parameters, country spec'!$C$82</definedName>
    <definedName name="EF_indirect_N2O_BG">'Parameters, country spec'!$D$82</definedName>
    <definedName name="EF_indirect_N2O_BR">'Parameters, country spec'!$AC$82</definedName>
    <definedName name="EF_indirect_N2O_CY">'Parameters, country spec'!$F$82</definedName>
    <definedName name="EF_indirect_N2O_CZ">'Parameters, country spec'!$G$82</definedName>
    <definedName name="EF_indirect_N2O_DE">'Parameters, country spec'!$L$82</definedName>
    <definedName name="EF_indirect_N2O_DK">'Parameters, country spec'!$H$82</definedName>
    <definedName name="EF_indirect_N2O_EE">'Parameters, country spec'!$I$82</definedName>
    <definedName name="EF_indirect_N2O_ES">'Parameters, country spec'!$Z$82</definedName>
    <definedName name="EF_indirect_N2O_FI">'Parameters, country spec'!$J$82</definedName>
    <definedName name="EF_indirect_N2O_FR">'Parameters, country spec'!$K$82</definedName>
    <definedName name="EF_indirect_N2O_GB">'Parameters, country spec'!$AB$82</definedName>
    <definedName name="EF_indirect_N2O_GR">'Parameters, country spec'!$M$82</definedName>
    <definedName name="EF_indirect_N2O_HR">'Parameters, country spec'!$E$82</definedName>
    <definedName name="EF_indirect_N2O_HU">'Parameters, country spec'!$N$82</definedName>
    <definedName name="EF_indirect_N2O_IE">'Parameters, country spec'!$O$82</definedName>
    <definedName name="EF_indirect_N2O_IT">'Parameters, country spec'!$P$82</definedName>
    <definedName name="EF_indirect_N2O_LT">'Parameters, country spec'!$R$82</definedName>
    <definedName name="EF_indirect_N2O_LV">'Parameters, country spec'!$Q$82</definedName>
    <definedName name="EF_indirect_N2O_MT">'Parameters, country spec'!$S$82</definedName>
    <definedName name="EF_indirect_N2O_NL">'Parameters, country spec'!$T$82</definedName>
    <definedName name="EF_indirect_N2O_PL">'Parameters, country spec'!$U$82</definedName>
    <definedName name="EF_indirect_N2O_PT">'Parameters, country spec'!$V$82</definedName>
    <definedName name="EF_indirect_N2O_RO">'Parameters, country spec'!$W$82</definedName>
    <definedName name="EF_indirect_N2O_SE">'Parameters, country spec'!$AA$82</definedName>
    <definedName name="EF_indirect_N2O_SI">'Parameters, country spec'!$Y$82</definedName>
    <definedName name="EF_indirect_N2O_SK">'Parameters, country spec'!$X$82</definedName>
    <definedName name="EF_indirect_N2O_TH">'Parameters, country spec'!$AD$82</definedName>
    <definedName name="EF_indirect_N2O_US">'Parameters, country spec'!$AE$82</definedName>
    <definedName name="EF_irrigation_CO2">'[1]Emission factors'!$B$28</definedName>
    <definedName name="EF_min_fert_AN_CH4">'Parameters, general'!$C$10</definedName>
    <definedName name="EF_min_fert_AN_CO2">'Parameters, general'!$B$10</definedName>
    <definedName name="EF_min_fert_AN_N2O">'Parameters, general'!$D$10</definedName>
    <definedName name="EF_min_fert_BAT_CH4">'Parameters, general'!$C$9</definedName>
    <definedName name="EF_min_fert_BAT_CO2">'Parameters, general'!$B$9</definedName>
    <definedName name="EF_min_fert_BAT_N2O">'Parameters, general'!$D$9</definedName>
    <definedName name="EF_N2O_diff_AT">'Parameters, country spec'!$B$81</definedName>
    <definedName name="EF_N2O_diff_BE">'Parameters, country spec'!$C$81</definedName>
    <definedName name="EF_N2O_diff_BG">'Parameters, country spec'!$D$81</definedName>
    <definedName name="EF_N2O_diff_BR">'Parameters, country spec'!$AC$81</definedName>
    <definedName name="EF_N2O_diff_CY">'Parameters, country spec'!$F$81</definedName>
    <definedName name="EF_N2O_diff_CZ">'Parameters, country spec'!$G$81</definedName>
    <definedName name="EF_N2O_diff_DE">'Parameters, country spec'!$L$81</definedName>
    <definedName name="EF_N2O_diff_DK">'Parameters, country spec'!$H$81</definedName>
    <definedName name="EF_N2O_diff_EE">'Parameters, country spec'!$I$81</definedName>
    <definedName name="EF_N2O_diff_ES">'Parameters, country spec'!$Z$81</definedName>
    <definedName name="EF_N2O_diff_FI">'Parameters, country spec'!$J$81</definedName>
    <definedName name="EF_N2O_diff_FR">'Parameters, country spec'!$K$81</definedName>
    <definedName name="EF_N2O_diff_GB">'Parameters, country spec'!$AB$81</definedName>
    <definedName name="EF_N2O_diff_GR">'Parameters, country spec'!$M$81</definedName>
    <definedName name="EF_N2O_diff_HR">'Parameters, country spec'!$E$81</definedName>
    <definedName name="EF_N2O_diff_HU">'Parameters, country spec'!$N$81</definedName>
    <definedName name="EF_N2O_diff_IE">'Parameters, country spec'!$O$81</definedName>
    <definedName name="EF_N2O_diff_IT">'Parameters, country spec'!$P$81</definedName>
    <definedName name="EF_N2O_diff_LT">'Parameters, country spec'!$R$81</definedName>
    <definedName name="EF_N2O_diff_LV">'Parameters, country spec'!$Q$81</definedName>
    <definedName name="EF_N2O_diff_MT">'Parameters, country spec'!$S$81</definedName>
    <definedName name="EF_N2O_diff_NL">'Parameters, country spec'!$T$81</definedName>
    <definedName name="EF_N2O_diff_PL">'Parameters, country spec'!$U$81</definedName>
    <definedName name="EF_N2O_diff_PT">'Parameters, country spec'!$V$81</definedName>
    <definedName name="EF_N2O_diff_RO">'Parameters, country spec'!$W$81</definedName>
    <definedName name="EF_N2O_diff_SE">'Parameters, country spec'!$AA$81</definedName>
    <definedName name="EF_N2O_diff_SI">'Parameters, country spec'!$Y$81</definedName>
    <definedName name="EF_N2O_diff_SK">'Parameters, country spec'!$X$81</definedName>
    <definedName name="EF_N2O_diff_TH">'Parameters, country spec'!$AD$81</definedName>
    <definedName name="EF_N2O_diff_US">'Parameters, country spec'!$AE$81</definedName>
    <definedName name="EF_N2O_manure_direct_AT">'Parameters, country spec'!$B$50</definedName>
    <definedName name="EF_N2O_manure_direct_BE">'Parameters, country spec'!$C$50</definedName>
    <definedName name="EF_N2O_manure_direct_BG">'Parameters, country spec'!$D$50</definedName>
    <definedName name="EF_N2O_manure_direct_BR">'Parameters, country spec'!$AC$50</definedName>
    <definedName name="EF_N2O_manure_direct_CY">'Parameters, country spec'!$F$50</definedName>
    <definedName name="EF_N2O_manure_direct_CZ">'Parameters, country spec'!$G$50</definedName>
    <definedName name="EF_N2O_manure_direct_DE">'Parameters, country spec'!$L$50</definedName>
    <definedName name="EF_N2O_manure_direct_DK">'Parameters, country spec'!$H$50</definedName>
    <definedName name="EF_N2O_manure_direct_EE">'Parameters, country spec'!$I$50</definedName>
    <definedName name="EF_N2O_manure_direct_ES">'Parameters, country spec'!$Z$50</definedName>
    <definedName name="EF_N2O_manure_direct_FI">'Parameters, country spec'!$J$50</definedName>
    <definedName name="EF_N2O_manure_direct_FR">'Parameters, country spec'!$K$50</definedName>
    <definedName name="EF_N2O_manure_direct_GB">'Parameters, country spec'!$AB$50</definedName>
    <definedName name="EF_N2O_manure_direct_GR">'Parameters, country spec'!$M$50</definedName>
    <definedName name="EF_N2O_manure_direct_HR">'Parameters, country spec'!$E$50</definedName>
    <definedName name="EF_N2O_manure_direct_HU">'Parameters, country spec'!$N$50</definedName>
    <definedName name="EF_N2O_manure_direct_IE">'Parameters, country spec'!$O$50</definedName>
    <definedName name="EF_N2O_manure_direct_IT">'Parameters, country spec'!$P$50</definedName>
    <definedName name="EF_N2O_manure_direct_LT">'Parameters, country spec'!$R$50</definedName>
    <definedName name="EF_N2O_manure_direct_LV">'Parameters, country spec'!$Q$50</definedName>
    <definedName name="EF_N2O_manure_direct_MT">'Parameters, country spec'!$S$50</definedName>
    <definedName name="EF_N2O_manure_direct_NL">'Parameters, country spec'!$T$50</definedName>
    <definedName name="EF_N2O_manure_direct_PL">'Parameters, country spec'!$U$50</definedName>
    <definedName name="EF_N2O_manure_direct_PT">'Parameters, country spec'!$V$50</definedName>
    <definedName name="EF_N2O_manure_direct_RO">'Parameters, country spec'!$W$50</definedName>
    <definedName name="EF_N2O_manure_direct_SE">'Parameters, country spec'!$AA$50</definedName>
    <definedName name="EF_N2O_manure_direct_SI">'Parameters, country spec'!$Y$50</definedName>
    <definedName name="EF_N2O_manure_direct_SK">'Parameters, country spec'!$X$50</definedName>
    <definedName name="EF_N2O_manure_direct_TH">'Parameters, country spec'!$AD$50</definedName>
    <definedName name="EF_N2O_manure_direct_US">'Parameters, country spec'!$AE$50</definedName>
    <definedName name="EF_N2O_manure_indirect_AT">'Parameters, country spec'!$B$51</definedName>
    <definedName name="EF_N2O_manure_indirect_BE">'Parameters, country spec'!$C$51</definedName>
    <definedName name="EF_N2O_manure_indirect_BG">'Parameters, country spec'!$D$51</definedName>
    <definedName name="EF_N2O_manure_indirect_BR">'Parameters, country spec'!$AC$51</definedName>
    <definedName name="EF_N2O_manure_indirect_CY">'Parameters, country spec'!$F$51</definedName>
    <definedName name="EF_N2O_manure_indirect_CZ">'Parameters, country spec'!$G$51</definedName>
    <definedName name="EF_N2O_manure_indirect_DE">'Parameters, country spec'!$L$51</definedName>
    <definedName name="EF_N2O_manure_indirect_DK">'Parameters, country spec'!$H$51</definedName>
    <definedName name="EF_N2O_manure_indirect_EE">'Parameters, country spec'!$I$51</definedName>
    <definedName name="EF_N2O_manure_indirect_ES">'Parameters, country spec'!$Z$51</definedName>
    <definedName name="EF_N2O_manure_indirect_FI">'Parameters, country spec'!$J$51</definedName>
    <definedName name="EF_N2O_manure_indirect_FR">'Parameters, country spec'!$K$51</definedName>
    <definedName name="EF_N2O_manure_indirect_GB">'Parameters, country spec'!$AB$51</definedName>
    <definedName name="EF_N2O_manure_indirect_GR">'Parameters, country spec'!$M$51</definedName>
    <definedName name="EF_N2O_manure_indirect_HR">'Parameters, country spec'!$E$51</definedName>
    <definedName name="EF_N2O_manure_indirect_HU">'Parameters, country spec'!$N$51</definedName>
    <definedName name="EF_N2O_manure_indirect_IE">'Parameters, country spec'!$O$51</definedName>
    <definedName name="EF_N2O_manure_indirect_IT">'Parameters, country spec'!$P$51</definedName>
    <definedName name="EF_N2O_manure_indirect_LT">'Parameters, country spec'!$R$51</definedName>
    <definedName name="EF_N2O_manure_indirect_LV">'Parameters, country spec'!$Q$51</definedName>
    <definedName name="EF_N2O_manure_indirect_MT">'Parameters, country spec'!$S$51</definedName>
    <definedName name="EF_N2O_manure_indirect_NL">'Parameters, country spec'!$T$51</definedName>
    <definedName name="EF_N2O_manure_indirect_PL">'Parameters, country spec'!$U$51</definedName>
    <definedName name="EF_N2O_manure_indirect_PT">'Parameters, country spec'!$V$51</definedName>
    <definedName name="EF_N2O_manure_indirect_RO">'Parameters, country spec'!$W$51</definedName>
    <definedName name="EF_N2O_manure_indirect_SE">'Parameters, country spec'!$AA$51</definedName>
    <definedName name="EF_N2O_manure_indirect_SI">'Parameters, country spec'!$Y$51</definedName>
    <definedName name="EF_N2O_manure_indirect_SK">'Parameters, country spec'!$X$51</definedName>
    <definedName name="EF_N2O_manure_indirect_TH">'Parameters, country spec'!$AD$51</definedName>
    <definedName name="EF_N2O_manure_indirect_US">'Parameters, country spec'!$AE$51</definedName>
    <definedName name="EF_NH3">'[1]Emission factors'!$B$73</definedName>
    <definedName name="EF_oil_CH4">'Parameters, general'!$C$5</definedName>
    <definedName name="EF_oil_CO2">'Parameters, general'!$B$5</definedName>
    <definedName name="EF_oil_N2O">'Parameters, general'!$D$5</definedName>
    <definedName name="Energy_slaughter_el_AT">'Parameters, country spec'!$B$59</definedName>
    <definedName name="Energy_slaughter_el_BE">'Parameters, country spec'!$C$59</definedName>
    <definedName name="Energy_slaughter_el_BG">'Parameters, country spec'!$D$59</definedName>
    <definedName name="Energy_slaughter_el_BR">'Parameters, country spec'!$AC$59</definedName>
    <definedName name="Energy_slaughter_el_CY">'Parameters, country spec'!$F$59</definedName>
    <definedName name="Energy_slaughter_el_CZ">'Parameters, country spec'!$G$59</definedName>
    <definedName name="Energy_slaughter_el_DE">'Parameters, country spec'!$L$59</definedName>
    <definedName name="Energy_slaughter_el_DK">'Parameters, country spec'!$H$59</definedName>
    <definedName name="Energy_slaughter_el_EE">'Parameters, country spec'!$I$59</definedName>
    <definedName name="Energy_slaughter_el_ES">'Parameters, country spec'!$Z$59</definedName>
    <definedName name="Energy_slaughter_el_FI">'Parameters, country spec'!$J$59</definedName>
    <definedName name="Energy_slaughter_el_FR">'Parameters, country spec'!$K$59</definedName>
    <definedName name="Energy_slaughter_el_GB">'Parameters, country spec'!$AB$59</definedName>
    <definedName name="Energy_slaughter_el_GR">'Parameters, country spec'!$M$59</definedName>
    <definedName name="Energy_slaughter_el_HR">'Parameters, country spec'!$E$59</definedName>
    <definedName name="Energy_slaughter_el_HU">'Parameters, country spec'!$N$59</definedName>
    <definedName name="Energy_slaughter_el_IE">'Parameters, country spec'!$O$59</definedName>
    <definedName name="Energy_slaughter_el_IT">'Parameters, country spec'!$P$59</definedName>
    <definedName name="Energy_slaughter_el_LT">'Parameters, country spec'!$R$59</definedName>
    <definedName name="Energy_slaughter_el_LV">'Parameters, country spec'!$Q$59</definedName>
    <definedName name="Energy_slaughter_el_MT">'Parameters, country spec'!$S$59</definedName>
    <definedName name="Energy_slaughter_el_NL">'Parameters, country spec'!$T$59</definedName>
    <definedName name="Energy_slaughter_el_PL">'Parameters, country spec'!$U$59</definedName>
    <definedName name="Energy_slaughter_el_PT">'Parameters, country spec'!$V$59</definedName>
    <definedName name="Energy_slaughter_el_RO">'Parameters, country spec'!$W$59</definedName>
    <definedName name="Energy_slaughter_el_SE">'Parameters, country spec'!$AA$59</definedName>
    <definedName name="Energy_slaughter_el_SI">'Parameters, country spec'!$Y$59</definedName>
    <definedName name="Energy_slaughter_el_SK">'Parameters, country spec'!$X$59</definedName>
    <definedName name="Energy_slaughter_el_TH">'Parameters, country spec'!$AD$59</definedName>
    <definedName name="Energy_slaughter_el_US">'Parameters, country spec'!$AE$59</definedName>
    <definedName name="Energy_slaughter_oil_AT">'Parameters, country spec'!$B$60</definedName>
    <definedName name="Energy_slaughter_oil_BE">'Parameters, country spec'!$C$60</definedName>
    <definedName name="Energy_slaughter_oil_BG">'Parameters, country spec'!$D$60</definedName>
    <definedName name="Energy_slaughter_oil_BR">'Parameters, country spec'!$AC$60</definedName>
    <definedName name="Energy_slaughter_oil_CY">'Parameters, country spec'!$F$60</definedName>
    <definedName name="Energy_slaughter_oil_CZ">'Parameters, country spec'!$G$60</definedName>
    <definedName name="Energy_slaughter_oil_DE">'Parameters, country spec'!$L$60</definedName>
    <definedName name="Energy_slaughter_oil_DK">'Parameters, country spec'!$H$60</definedName>
    <definedName name="Energy_slaughter_oil_EE">'Parameters, country spec'!$I$60</definedName>
    <definedName name="Energy_slaughter_oil_ES">'Parameters, country spec'!$Z$60</definedName>
    <definedName name="Energy_slaughter_oil_FI">'Parameters, country spec'!$J$60</definedName>
    <definedName name="Energy_slaughter_oil_FR">'Parameters, country spec'!$K$60</definedName>
    <definedName name="Energy_slaughter_oil_GB">'Parameters, country spec'!$AB$60</definedName>
    <definedName name="Energy_slaughter_oil_GR">'Parameters, country spec'!$M$60</definedName>
    <definedName name="Energy_slaughter_oil_HR">'Parameters, country spec'!$E$60</definedName>
    <definedName name="Energy_slaughter_oil_HU">'Parameters, country spec'!$N$60</definedName>
    <definedName name="Energy_slaughter_oil_IE">'Parameters, country spec'!$O$60</definedName>
    <definedName name="Energy_slaughter_oil_IT">'Parameters, country spec'!$P$60</definedName>
    <definedName name="Energy_slaughter_oil_LT">'Parameters, country spec'!$R$60</definedName>
    <definedName name="Energy_slaughter_oil_LV">'Parameters, country spec'!$Q$60</definedName>
    <definedName name="Energy_slaughter_oil_MT">'Parameters, country spec'!$S$60</definedName>
    <definedName name="Energy_slaughter_oil_NL">'Parameters, country spec'!$T$60</definedName>
    <definedName name="Energy_slaughter_oil_PL">'Parameters, country spec'!$U$60</definedName>
    <definedName name="Energy_slaughter_oil_PT">'Parameters, country spec'!$V$60</definedName>
    <definedName name="Energy_slaughter_oil_RO">'Parameters, country spec'!$W$60</definedName>
    <definedName name="Energy_slaughter_oil_SE">'Parameters, country spec'!$AA$60</definedName>
    <definedName name="Energy_slaughter_oil_SI">'Parameters, country spec'!$Y$60</definedName>
    <definedName name="Energy_slaughter_oil_SK">'Parameters, country spec'!$X$60</definedName>
    <definedName name="Energy_slaughter_oil_TH">'Parameters, country spec'!$AD$60</definedName>
    <definedName name="Energy_slaughter_oil_US">'Parameters, country spec'!$AE$60</definedName>
    <definedName name="Energy_stables_AT">'Parameters, country spec'!$B$54</definedName>
    <definedName name="Energy_stables_BE">'Parameters, country spec'!$C$54</definedName>
    <definedName name="Energy_stables_BG">'Parameters, country spec'!$D$54</definedName>
    <definedName name="Energy_stables_BR">'Parameters, country spec'!$AC$54</definedName>
    <definedName name="Energy_stables_CY">'Parameters, country spec'!$F$54</definedName>
    <definedName name="Energy_stables_CZ">'Parameters, country spec'!$G$54</definedName>
    <definedName name="Energy_stables_DE">'Parameters, country spec'!$L$54</definedName>
    <definedName name="Energy_stables_DK">'Parameters, country spec'!$H$54</definedName>
    <definedName name="Energy_stables_EE">'Parameters, country spec'!$I$54</definedName>
    <definedName name="Energy_stables_ES">'Parameters, country spec'!$Z$54</definedName>
    <definedName name="Energy_stables_FI">'Parameters, country spec'!$J$54</definedName>
    <definedName name="Energy_stables_FR">'Parameters, country spec'!$K$54</definedName>
    <definedName name="Energy_stables_GB">'Parameters, country spec'!$AB$54</definedName>
    <definedName name="Energy_stables_GR">'Parameters, country spec'!$M$54</definedName>
    <definedName name="Energy_stables_HR">'Parameters, country spec'!$E$54</definedName>
    <definedName name="Energy_stables_HU">'Parameters, country spec'!$N$54</definedName>
    <definedName name="Energy_stables_IE">'Parameters, country spec'!$O$54</definedName>
    <definedName name="Energy_stables_IT">'Parameters, country spec'!$P$54</definedName>
    <definedName name="Energy_stables_LT">'Parameters, country spec'!$R$54</definedName>
    <definedName name="Energy_stables_LV">'Parameters, country spec'!$Q$54</definedName>
    <definedName name="Energy_stables_MT">'Parameters, country spec'!$S$54</definedName>
    <definedName name="Energy_stables_NL">'Parameters, country spec'!$T$54</definedName>
    <definedName name="Energy_stables_PL">'Parameters, country spec'!$U$54</definedName>
    <definedName name="Energy_stables_PT">'Parameters, country spec'!$V$54</definedName>
    <definedName name="Energy_stables_RO">'Parameters, country spec'!$W$54</definedName>
    <definedName name="Energy_stables_SE">'Parameters, country spec'!$AA$54</definedName>
    <definedName name="Energy_stables_SI">'Parameters, country spec'!$Y$54</definedName>
    <definedName name="Energy_stables_SK">'Parameters, country spec'!$X$54</definedName>
    <definedName name="Energy_stables_TH">'Parameters, country spec'!$AD$54</definedName>
    <definedName name="Energy_stables_US">'Parameters, country spec'!$AE$54</definedName>
    <definedName name="Excreted_N_after_losses_AT">'Parameters, country spec'!$B$46</definedName>
    <definedName name="Excreted_N_after_losses_BE">'Parameters, country spec'!$C$46</definedName>
    <definedName name="Excreted_N_after_losses_BG">'Parameters, country spec'!$D$46</definedName>
    <definedName name="Excreted_N_after_losses_BR">'Parameters, country spec'!$AC$46</definedName>
    <definedName name="Excreted_N_after_losses_CY">'Parameters, country spec'!$F$46</definedName>
    <definedName name="Excreted_N_after_losses_CZ">'Parameters, country spec'!$G$46</definedName>
    <definedName name="Excreted_N_after_losses_DE">'Parameters, country spec'!$L$46</definedName>
    <definedName name="Excreted_N_after_losses_DK">'Parameters, country spec'!$H$46</definedName>
    <definedName name="Excreted_N_after_losses_EE">'Parameters, country spec'!$I$46</definedName>
    <definedName name="Excreted_N_after_losses_ES">'Parameters, country spec'!$Z$46</definedName>
    <definedName name="Excreted_N_after_losses_FI">'Parameters, country spec'!$J$46</definedName>
    <definedName name="Excreted_N_after_losses_FR">'Parameters, country spec'!$K$46</definedName>
    <definedName name="Excreted_N_after_losses_GB">'Parameters, country spec'!$AB$46</definedName>
    <definedName name="Excreted_N_after_losses_GR">'Parameters, country spec'!$M$46</definedName>
    <definedName name="Excreted_N_after_losses_HR">'Parameters, country spec'!$E$46</definedName>
    <definedName name="Excreted_N_after_losses_HU">'Parameters, country spec'!$N$46</definedName>
    <definedName name="Excreted_N_after_losses_IE">'Parameters, country spec'!$O$46</definedName>
    <definedName name="Excreted_N_after_losses_IT">'Parameters, country spec'!$P$46</definedName>
    <definedName name="Excreted_N_after_losses_LT">'Parameters, country spec'!$R$46</definedName>
    <definedName name="Excreted_N_after_losses_LV">'Parameters, country spec'!$Q$46</definedName>
    <definedName name="Excreted_N_after_losses_MT">'Parameters, country spec'!$S$46</definedName>
    <definedName name="Excreted_N_after_losses_NL">'Parameters, country spec'!$T$46</definedName>
    <definedName name="Excreted_N_after_losses_PL">'Parameters, country spec'!$U$46</definedName>
    <definedName name="Excreted_N_after_losses_PT">'Parameters, country spec'!$V$46</definedName>
    <definedName name="Excreted_N_after_losses_RO">'Parameters, country spec'!$W$46</definedName>
    <definedName name="Excreted_N_after_losses_SE">'Parameters, country spec'!$AA$46</definedName>
    <definedName name="Excreted_N_after_losses_SI">'Parameters, country spec'!$Y$46</definedName>
    <definedName name="Excreted_N_after_losses_SK">'Parameters, country spec'!$X$46</definedName>
    <definedName name="Excreted_N_after_losses_TH">'Parameters, country spec'!$AD$46</definedName>
    <definedName name="Excreted_N_after_losses_US">'Parameters, country spec'!$AE$46</definedName>
    <definedName name="Excreted_N_per_kg_of_bonefree_meat_AT">'Parameters, country spec'!$B$43</definedName>
    <definedName name="Excreted_N_per_kg_of_bonefree_meat_BE">'Parameters, country spec'!$C$43</definedName>
    <definedName name="Excreted_N_per_kg_of_bonefree_meat_BG">'Parameters, country spec'!$D$43</definedName>
    <definedName name="Excreted_N_per_kg_of_bonefree_meat_BR">'Parameters, country spec'!$AC$43</definedName>
    <definedName name="Excreted_N_per_kg_of_bonefree_meat_CY">'Parameters, country spec'!$F$43</definedName>
    <definedName name="Excreted_N_per_kg_of_bonefree_meat_CZ">'Parameters, country spec'!$G$43</definedName>
    <definedName name="Excreted_N_per_kg_of_bonefree_meat_DE">'Parameters, country spec'!$L$43</definedName>
    <definedName name="Excreted_N_per_kg_of_bonefree_meat_DK">'Parameters, country spec'!$H$43</definedName>
    <definedName name="Excreted_N_per_kg_of_bonefree_meat_EE">'Parameters, country spec'!$I$43</definedName>
    <definedName name="Excreted_N_per_kg_of_bonefree_meat_ES">'Parameters, country spec'!$Z$43</definedName>
    <definedName name="Excreted_N_per_kg_of_bonefree_meat_FI">'Parameters, country spec'!$J$43</definedName>
    <definedName name="Excreted_N_per_kg_of_bonefree_meat_FR">'Parameters, country spec'!$K$43</definedName>
    <definedName name="Excreted_N_per_kg_of_bonefree_meat_GB">'Parameters, country spec'!$AB$43</definedName>
    <definedName name="Excreted_N_per_kg_of_bonefree_meat_GR">'Parameters, country spec'!$M$43</definedName>
    <definedName name="Excreted_N_per_kg_of_bonefree_meat_HR">'Parameters, country spec'!$E$43</definedName>
    <definedName name="Excreted_N_per_kg_of_bonefree_meat_HU">'Parameters, country spec'!$N$43</definedName>
    <definedName name="Excreted_N_per_kg_of_bonefree_meat_IE">'Parameters, country spec'!$O$43</definedName>
    <definedName name="Excreted_N_per_kg_of_bonefree_meat_IT">'Parameters, country spec'!$P$43</definedName>
    <definedName name="Excreted_N_per_kg_of_bonefree_meat_LT">'Parameters, country spec'!$R$43</definedName>
    <definedName name="Excreted_N_per_kg_of_bonefree_meat_LV">'Parameters, country spec'!$Q$43</definedName>
    <definedName name="Excreted_N_per_kg_of_bonefree_meat_MT">'Parameters, country spec'!$S$43</definedName>
    <definedName name="Excreted_N_per_kg_of_bonefree_meat_NL">'Parameters, country spec'!$T$43</definedName>
    <definedName name="Excreted_N_per_kg_of_bonefree_meat_PL">'Parameters, country spec'!$U$43</definedName>
    <definedName name="Excreted_N_per_kg_of_bonefree_meat_PT">'Parameters, country spec'!$V$43</definedName>
    <definedName name="Excreted_N_per_kg_of_bonefree_meat_RO">'Parameters, country spec'!$W$43</definedName>
    <definedName name="Excreted_N_per_kg_of_bonefree_meat_SE">'Parameters, country spec'!$AA$43</definedName>
    <definedName name="Excreted_N_per_kg_of_bonefree_meat_SI">'Parameters, country spec'!$Y$43</definedName>
    <definedName name="Excreted_N_per_kg_of_bonefree_meat_SK">'Parameters, country spec'!$X$43</definedName>
    <definedName name="Excreted_N_per_kg_of_bonefree_meat_TH">'Parameters, country spec'!$AD$43</definedName>
    <definedName name="Excreted_N_per_kg_of_bonefree_meat_US">'Parameters, country spec'!$AE$43</definedName>
    <definedName name="FCR_bonefree_incl_parents_AT">'Parameters, country spec'!$B$36</definedName>
    <definedName name="FCR_bonefree_incl_parents_BE">'Parameters, country spec'!$C$36</definedName>
    <definedName name="FCR_bonefree_incl_parents_BG">'Parameters, country spec'!$D$36</definedName>
    <definedName name="FCR_bonefree_incl_parents_BR">'Parameters, country spec'!$AC$36</definedName>
    <definedName name="FCR_bonefree_incl_parents_CY">'Parameters, country spec'!$F$36</definedName>
    <definedName name="FCR_bonefree_incl_parents_CZ">'Parameters, country spec'!$G$36</definedName>
    <definedName name="FCR_bonefree_incl_parents_DE">'Parameters, country spec'!$L$36</definedName>
    <definedName name="FCR_bonefree_incl_parents_DK">'Parameters, country spec'!$H$36</definedName>
    <definedName name="FCR_bonefree_incl_parents_EE">'Parameters, country spec'!$I$36</definedName>
    <definedName name="FCR_bonefree_incl_parents_ES">'Parameters, country spec'!$Z$36</definedName>
    <definedName name="FCR_bonefree_incl_parents_FI">'Parameters, country spec'!$J$36</definedName>
    <definedName name="FCR_bonefree_incl_parents_FR">'Parameters, country spec'!$K$36</definedName>
    <definedName name="FCR_bonefree_incl_parents_GB">'Parameters, country spec'!$AB$36</definedName>
    <definedName name="FCR_bonefree_incl_parents_GR">'Parameters, country spec'!$M$36</definedName>
    <definedName name="FCR_bonefree_incl_parents_HR">'Parameters, country spec'!$E$36</definedName>
    <definedName name="FCR_bonefree_incl_parents_HU">'Parameters, country spec'!$N$36</definedName>
    <definedName name="FCR_bonefree_incl_parents_IE">'Parameters, country spec'!$O$36</definedName>
    <definedName name="FCR_bonefree_incl_parents_IT">'Parameters, country spec'!$P$36</definedName>
    <definedName name="FCR_bonefree_incl_parents_LT">'Parameters, country spec'!$R$36</definedName>
    <definedName name="FCR_bonefree_incl_parents_LV">'Parameters, country spec'!$Q$36</definedName>
    <definedName name="FCR_bonefree_incl_parents_MT">'Parameters, country spec'!$S$36</definedName>
    <definedName name="FCR_bonefree_incl_parents_NL">'Parameters, country spec'!$T$36</definedName>
    <definedName name="FCR_bonefree_incl_parents_PL">'Parameters, country spec'!$U$36</definedName>
    <definedName name="FCR_bonefree_incl_parents_PT">'Parameters, country spec'!$V$36</definedName>
    <definedName name="FCR_bonefree_incl_parents_RO">'Parameters, country spec'!$W$36</definedName>
    <definedName name="FCR_bonefree_incl_parents_SE">'Parameters, country spec'!$AA$36</definedName>
    <definedName name="FCR_bonefree_incl_parents_SI">'Parameters, country spec'!$Y$36</definedName>
    <definedName name="FCR_bonefree_incl_parents_SK">'Parameters, country spec'!$X$36</definedName>
    <definedName name="FCR_bonefree_incl_parents_TH">'Parameters, country spec'!$AD$36</definedName>
    <definedName name="FCR_bonefree_incl_parents_US">'Parameters, country spec'!$AE$36</definedName>
    <definedName name="Frac_AN">'[1]Emission factors'!$E$21</definedName>
    <definedName name="Frac_AN_AT">'Parameters, country spec'!$B$76</definedName>
    <definedName name="Frac_AN_BE">'Parameters, country spec'!$C$76</definedName>
    <definedName name="Frac_AN_BG">'Parameters, country spec'!$D$76</definedName>
    <definedName name="Frac_AN_BR">'Parameters, country spec'!$AC$76</definedName>
    <definedName name="Frac_AN_CY">'Parameters, country spec'!$F$76</definedName>
    <definedName name="Frac_AN_CZ">'Parameters, country spec'!$G$76</definedName>
    <definedName name="Frac_AN_DE">'Parameters, country spec'!$L$76</definedName>
    <definedName name="Frac_AN_DK">'Parameters, country spec'!$H$76</definedName>
    <definedName name="Frac_AN_EE">'Parameters, country spec'!$I$76</definedName>
    <definedName name="Frac_AN_ES">'Parameters, country spec'!$Z$76</definedName>
    <definedName name="Frac_AN_FI">'Parameters, country spec'!$J$76</definedName>
    <definedName name="Frac_AN_FR">'Parameters, country spec'!$K$76</definedName>
    <definedName name="Frac_AN_GB">'Parameters, country spec'!$AB$76</definedName>
    <definedName name="Frac_AN_GR">'Parameters, country spec'!$M$76</definedName>
    <definedName name="Frac_AN_HR">'Parameters, country spec'!$E$76</definedName>
    <definedName name="Frac_AN_HU">'Parameters, country spec'!$N$76</definedName>
    <definedName name="Frac_AN_IE">'Parameters, country spec'!$O$76</definedName>
    <definedName name="Frac_AN_IT">'Parameters, country spec'!$P$76</definedName>
    <definedName name="Frac_AN_LT">'Parameters, country spec'!$R$76</definedName>
    <definedName name="Frac_AN_LV">'Parameters, country spec'!$Q$76</definedName>
    <definedName name="Frac_AN_MT">'Parameters, country spec'!$S$76</definedName>
    <definedName name="Frac_AN_NL">'Parameters, country spec'!$T$76</definedName>
    <definedName name="Frac_AN_PL">'Parameters, country spec'!$U$76</definedName>
    <definedName name="Frac_AN_PT">'Parameters, country spec'!$V$76</definedName>
    <definedName name="Frac_AN_RO">'Parameters, country spec'!$W$76</definedName>
    <definedName name="Frac_AN_SE">'Parameters, country spec'!$AA$76</definedName>
    <definedName name="Frac_AN_SI">'Parameters, country spec'!$Y$76</definedName>
    <definedName name="Frac_AN_SK">'Parameters, country spec'!$X$76</definedName>
    <definedName name="Frac_AN_TH">'Parameters, country spec'!$AD$76</definedName>
    <definedName name="Frac_AN_US">'Parameters, country spec'!$AE$76</definedName>
    <definedName name="Frac_BAT">'[1]Emission factors'!$E$20</definedName>
    <definedName name="Frac_BAT_AT">'Parameters, country spec'!$B$75</definedName>
    <definedName name="Frac_BAT_BE">'Parameters, country spec'!$C$75</definedName>
    <definedName name="Frac_BAT_BG">'Parameters, country spec'!$D$75</definedName>
    <definedName name="Frac_BAT_BR">'Parameters, country spec'!$AC$75</definedName>
    <definedName name="Frac_BAT_CY">'Parameters, country spec'!$F$75</definedName>
    <definedName name="Frac_BAT_CZ">'Parameters, country spec'!$G$75</definedName>
    <definedName name="Frac_BAT_DE">'Parameters, country spec'!$L$75</definedName>
    <definedName name="Frac_BAT_DK">'Parameters, country spec'!$H$75</definedName>
    <definedName name="Frac_BAT_EE">'Parameters, country spec'!$I$75</definedName>
    <definedName name="Frac_BAT_ES">'Parameters, country spec'!$Z$75</definedName>
    <definedName name="Frac_BAT_FI">'Parameters, country spec'!$J$75</definedName>
    <definedName name="Frac_BAT_FR">'Parameters, country spec'!$K$75</definedName>
    <definedName name="Frac_BAT_GB">'Parameters, country spec'!$AB$75</definedName>
    <definedName name="Frac_BAT_GR">'Parameters, country spec'!$M$75</definedName>
    <definedName name="Frac_BAT_HR">'Parameters, country spec'!$E$75</definedName>
    <definedName name="Frac_BAT_HU">'Parameters, country spec'!$N$75</definedName>
    <definedName name="Frac_BAT_IE">'Parameters, country spec'!$O$75</definedName>
    <definedName name="Frac_BAT_IT">'Parameters, country spec'!$P$75</definedName>
    <definedName name="Frac_BAT_LT">'Parameters, country spec'!$R$75</definedName>
    <definedName name="Frac_BAT_LV">'Parameters, country spec'!$Q$75</definedName>
    <definedName name="Frac_BAT_MT">'Parameters, country spec'!$S$75</definedName>
    <definedName name="Frac_BAT_NL">'Parameters, country spec'!$T$75</definedName>
    <definedName name="Frac_BAT_PL">'Parameters, country spec'!$U$75</definedName>
    <definedName name="Frac_BAT_PT">'Parameters, country spec'!$V$75</definedName>
    <definedName name="Frac_BAT_RO">'Parameters, country spec'!$W$75</definedName>
    <definedName name="Frac_BAT_SE">'Parameters, country spec'!$AA$75</definedName>
    <definedName name="Frac_BAT_SI">'Parameters, country spec'!$Y$75</definedName>
    <definedName name="Frac_BAT_SK">'Parameters, country spec'!$X$75</definedName>
    <definedName name="Frac_BAT_TH">'Parameters, country spec'!$AD$75</definedName>
    <definedName name="Frac_BAT_US">'Parameters, country spec'!$AE$75</definedName>
    <definedName name="GBughter_el_AT">'Parameters, country spec'!$AB$59</definedName>
    <definedName name="GRAT">'Parameters, country spec'!$M$66</definedName>
    <definedName name="Heating_value_diesel">'[1]Emission factors'!$E$13</definedName>
    <definedName name="Labour_per_animal_AT">'Parameters, country spec'!$B$91</definedName>
    <definedName name="Labour_per_animal_BE">'Parameters, country spec'!$C$91</definedName>
    <definedName name="Labour_per_animal_BG">'Parameters, country spec'!$D$91</definedName>
    <definedName name="Labour_per_animal_BR">'Parameters, country spec'!$AC$91</definedName>
    <definedName name="Labour_per_animal_CY">'Parameters, country spec'!$F$91</definedName>
    <definedName name="Labour_per_animal_CZ">'Parameters, country spec'!$G$91</definedName>
    <definedName name="Labour_per_animal_DE">'Parameters, country spec'!$L$91</definedName>
    <definedName name="Labour_per_animal_DK">'Parameters, country spec'!$H$91</definedName>
    <definedName name="Labour_per_animal_EE">'Parameters, country spec'!$I$91</definedName>
    <definedName name="Labour_per_animal_ES">'Parameters, country spec'!$Z$91</definedName>
    <definedName name="Labour_per_animal_FI">'Parameters, country spec'!$J$91</definedName>
    <definedName name="Labour_per_animal_FR">'Parameters, country spec'!$K$91</definedName>
    <definedName name="Labour_per_animal_GB">'Parameters, country spec'!$AB$91</definedName>
    <definedName name="Labour_per_animal_GR">'Parameters, country spec'!$M$91</definedName>
    <definedName name="Labour_per_animal_HR">'Parameters, country spec'!$E$91</definedName>
    <definedName name="Labour_per_animal_HU">'Parameters, country spec'!$N$91</definedName>
    <definedName name="Labour_per_animal_IE">'Parameters, country spec'!$O$91</definedName>
    <definedName name="Labour_per_animal_IT">'Parameters, country spec'!$P$91</definedName>
    <definedName name="Labour_per_animal_LT">'Parameters, country spec'!$R$91</definedName>
    <definedName name="Labour_per_animal_LV">'Parameters, country spec'!$Q$91</definedName>
    <definedName name="Labour_per_animal_MT">'Parameters, country spec'!$S$91</definedName>
    <definedName name="Labour_per_animal_NL">'Parameters, country spec'!$T$91</definedName>
    <definedName name="Labour_per_animal_PL">'Parameters, country spec'!$U$91</definedName>
    <definedName name="Labour_per_animal_PT">'Parameters, country spec'!$V$91</definedName>
    <definedName name="Labour_per_animal_RO">'Parameters, country spec'!$W$91</definedName>
    <definedName name="Labour_per_animal_SE">'Parameters, country spec'!$AA$91</definedName>
    <definedName name="Labour_per_animal_SI">'Parameters, country spec'!$Y$91</definedName>
    <definedName name="Labour_per_animal_SK">'Parameters, country spec'!$X$91</definedName>
    <definedName name="Labour_per_animal_TH">'Parameters, country spec'!$AD$91</definedName>
    <definedName name="Labour_per_animal_US">'Parameters, country spec'!$AE$91</definedName>
    <definedName name="Manure_repl_factor_AT">'Parameters, country spec'!$B$85</definedName>
    <definedName name="Manure_repl_factor_BE">'Parameters, country spec'!$C$85</definedName>
    <definedName name="Manure_repl_factor_BG">'Parameters, country spec'!$D$85</definedName>
    <definedName name="Manure_repl_factor_BR">'Parameters, country spec'!$AC$85</definedName>
    <definedName name="Manure_repl_factor_CY">'Parameters, country spec'!$F$85</definedName>
    <definedName name="Manure_repl_factor_CZ">'Parameters, country spec'!$G$85</definedName>
    <definedName name="Manure_repl_factor_DE">'Parameters, country spec'!$L$85</definedName>
    <definedName name="Manure_repl_factor_DK">'Parameters, country spec'!$H$85</definedName>
    <definedName name="Manure_repl_factor_EE">'Parameters, country spec'!$I$85</definedName>
    <definedName name="Manure_repl_factor_ES">'Parameters, country spec'!$Z$85</definedName>
    <definedName name="Manure_repl_factor_FE">'Parameters, country spec'!$K$85</definedName>
    <definedName name="Manure_repl_factor_FI">'Parameters, country spec'!$J$85</definedName>
    <definedName name="Manure_repl_factor_FR">'Parameters, country spec'!$J$85</definedName>
    <definedName name="Manure_repl_factor_GB">'Parameters, country spec'!$AB$85</definedName>
    <definedName name="Manure_repl_factor_GR">'Parameters, country spec'!$M$85</definedName>
    <definedName name="Manure_repl_factor_HR">'Parameters, country spec'!$E$85</definedName>
    <definedName name="Manure_repl_factor_HU">'Parameters, country spec'!$N$85</definedName>
    <definedName name="Manure_repl_factor_IE">'Parameters, country spec'!$O$85</definedName>
    <definedName name="Manure_repl_factor_IT">'Parameters, country spec'!$P$85</definedName>
    <definedName name="Manure_repl_factor_LT">'Parameters, country spec'!$R$85</definedName>
    <definedName name="Manure_repl_factor_LV">'Parameters, country spec'!$Q$85</definedName>
    <definedName name="Manure_repl_factor_MT">'Parameters, country spec'!$S$85</definedName>
    <definedName name="Manure_repl_factor_NL">'Parameters, country spec'!$T$85</definedName>
    <definedName name="Manure_repl_factor_PL">'Parameters, country spec'!$U$85</definedName>
    <definedName name="Manure_repl_factor_PT">'Parameters, country spec'!$V$85</definedName>
    <definedName name="Manure_repl_factor_RO">'Parameters, country spec'!$W$85</definedName>
    <definedName name="Manure_repl_factor_SE">'Parameters, country spec'!$AA$85</definedName>
    <definedName name="Manure_repl_factor_SI">'Parameters, country spec'!$Y$85</definedName>
    <definedName name="Manure_repl_factor_SK">'Parameters, country spec'!$X$85</definedName>
    <definedName name="Manure_repl_factor_TH">'Parameters, country spec'!$AD$85</definedName>
    <definedName name="Manure_repl_factor_US">'Parameters, country spec'!$AE$85</definedName>
    <definedName name="N_to_NH3">'[1]Emission factors'!$B$74</definedName>
    <definedName name="N2O_codes">'[1]Crops N2O'!$A$6:$A$118</definedName>
    <definedName name="N2O_data">'[1]Crops N2O'!$E$6:$N$118</definedName>
    <definedName name="No_species">'[1]Emission factors'!$B$69</definedName>
    <definedName name="Post_harvest_energy_categories">[1]Energy!$A$28:$A$44</definedName>
    <definedName name="Post_harvest_energy_data">[1]Energy!$A$28:$D$44</definedName>
    <definedName name="Share_biofuels_AT">'Parameters, country spec'!$B$56</definedName>
    <definedName name="Share_biofuels_BE">'Parameters, country spec'!$C$56</definedName>
    <definedName name="Share_biofuels_BG">'Parameters, country spec'!$D$56</definedName>
    <definedName name="Share_biofuels_BR">'Parameters, country spec'!$AC$56</definedName>
    <definedName name="Share_biofuels_CY">'Parameters, country spec'!$F$56</definedName>
    <definedName name="Share_biofuels_CZ">'Parameters, country spec'!$G$56</definedName>
    <definedName name="Share_biofuels_DE">'Parameters, country spec'!$L$56</definedName>
    <definedName name="Share_biofuels_DK">'Parameters, country spec'!$H$56</definedName>
    <definedName name="Share_biofuels_EE">'Parameters, country spec'!$I$56</definedName>
    <definedName name="Share_biofuels_ES">'Parameters, country spec'!$Z$56</definedName>
    <definedName name="Share_biofuels_FI">'Parameters, country spec'!$J$56</definedName>
    <definedName name="Share_biofuels_FR">'Parameters, country spec'!$K$56</definedName>
    <definedName name="Share_biofuels_GB">'Parameters, country spec'!$AB$56</definedName>
    <definedName name="Share_biofuels_GR">'Parameters, country spec'!$M$56</definedName>
    <definedName name="Share_biofuels_HR">'Parameters, country spec'!$E$56</definedName>
    <definedName name="Share_biofuels_HU">'Parameters, country spec'!$N$56</definedName>
    <definedName name="Share_biofuels_IE">'Parameters, country spec'!$O$56</definedName>
    <definedName name="Share_biofuels_IT">'Parameters, country spec'!$P$56</definedName>
    <definedName name="Share_biofuels_LT">'Parameters, country spec'!$R$56</definedName>
    <definedName name="Share_biofuels_LV">'Parameters, country spec'!$Q$56</definedName>
    <definedName name="Share_biofuels_MT">'Parameters, country spec'!$S$56</definedName>
    <definedName name="Share_biofuels_NL">'Parameters, country spec'!$T$56</definedName>
    <definedName name="Share_biofuels_PL">'Parameters, country spec'!$U$56</definedName>
    <definedName name="Share_biofuels_PT">'Parameters, country spec'!$V$56</definedName>
    <definedName name="Share_biofuels_RO">'Parameters, country spec'!$W$56</definedName>
    <definedName name="Share_biofuels_SE">'Parameters, country spec'!$AA$56</definedName>
    <definedName name="Share_biofuels_SI">'Parameters, country spec'!$Y$56</definedName>
    <definedName name="Share_biofuels_SK">'Parameters, country spec'!$X$56</definedName>
    <definedName name="Share_biofuels_TH">'Parameters, country spec'!$AD$56</definedName>
    <definedName name="Share_biofuels_US">'Parameters, country spec'!$AE$56</definedName>
    <definedName name="Share_heating_AT">'Parameters, country spec'!$B$55</definedName>
    <definedName name="Share_heating_BE">'Parameters, country spec'!$C$55</definedName>
    <definedName name="Share_heating_BG">'Parameters, country spec'!$D$55</definedName>
    <definedName name="Share_heating_BR">'Parameters, country spec'!$AC$55</definedName>
    <definedName name="Share_heating_CY">'Parameters, country spec'!$F$55</definedName>
    <definedName name="Share_heating_CZ">'Parameters, country spec'!$G$55</definedName>
    <definedName name="Share_heating_DE">'Parameters, country spec'!$L$55</definedName>
    <definedName name="Share_heating_DK">'Parameters, country spec'!$H$55</definedName>
    <definedName name="Share_heating_EE">'Parameters, country spec'!$I$55</definedName>
    <definedName name="Share_heating_ES">'Parameters, country spec'!$Z$55</definedName>
    <definedName name="Share_heating_FI">'Parameters, country spec'!$J$55</definedName>
    <definedName name="Share_heating_FR">'Parameters, country spec'!$K$55</definedName>
    <definedName name="Share_heating_GB">'Parameters, country spec'!$AB$55</definedName>
    <definedName name="Share_heating_GR">'Parameters, country spec'!$M$55</definedName>
    <definedName name="Share_heating_HR">'Parameters, country spec'!$E$55</definedName>
    <definedName name="Share_heating_HU">'Parameters, country spec'!$N$55</definedName>
    <definedName name="Share_heating_IE">'Parameters, country spec'!$O$55</definedName>
    <definedName name="Share_heating_IT">'Parameters, country spec'!$P$55</definedName>
    <definedName name="Share_heating_LT">'Parameters, country spec'!$R$55</definedName>
    <definedName name="Share_heating_LV">'Parameters, country spec'!$Q$55</definedName>
    <definedName name="Share_heating_MT">'Parameters, country spec'!$S$55</definedName>
    <definedName name="Share_heating_NL">'Parameters, country spec'!$T$55</definedName>
    <definedName name="Share_heating_PL">'Parameters, country spec'!$U$55</definedName>
    <definedName name="Share_heating_PT">'Parameters, country spec'!$V$55</definedName>
    <definedName name="Share_heating_RO">'Parameters, country spec'!$W$55</definedName>
    <definedName name="Share_heating_SE">'Parameters, country spec'!$AA$55</definedName>
    <definedName name="Share_heating_SI">'Parameters, country spec'!$Y$55</definedName>
    <definedName name="Share_heating_SK">'Parameters, country spec'!$X$55</definedName>
    <definedName name="Share_heating_TH">'Parameters, country spec'!$AD$55</definedName>
    <definedName name="Share_heating_US">'Parameters, country spec'!$AE$55</definedName>
    <definedName name="Slaughter_age_AT">'Parameters, country spec'!$B$5</definedName>
    <definedName name="Slaughter_age_BE">'Parameters, country spec'!$C$5</definedName>
    <definedName name="Slaughter_age_BG">'Parameters, country spec'!$D$5</definedName>
    <definedName name="Slaughter_age_BR">'Parameters, country spec'!$AC$5</definedName>
    <definedName name="Slaughter_age_CY">'Parameters, country spec'!$F$5</definedName>
    <definedName name="Slaughter_age_CZ">'Parameters, country spec'!$G$5</definedName>
    <definedName name="Slaughter_age_DE">'Parameters, country spec'!$L$5</definedName>
    <definedName name="Slaughter_age_DK">'Parameters, country spec'!$H$5</definedName>
    <definedName name="Slaughter_age_EE">'Parameters, country spec'!$I$5</definedName>
    <definedName name="Slaughter_age_ES">'Parameters, country spec'!$Z$5</definedName>
    <definedName name="Slaughter_age_FI">'Parameters, country spec'!$J$5</definedName>
    <definedName name="Slaughter_age_FR">'Parameters, country spec'!$K$5</definedName>
    <definedName name="Slaughter_age_GB">'Parameters, country spec'!$AB$5</definedName>
    <definedName name="Slaughter_age_GR">'Parameters, country spec'!$M$5</definedName>
    <definedName name="Slaughter_age_HR">'Parameters, country spec'!$E$5</definedName>
    <definedName name="Slaughter_age_HU">'Parameters, country spec'!$N$5</definedName>
    <definedName name="Slaughter_age_IE">'Parameters, country spec'!$O$5</definedName>
    <definedName name="Slaughter_age_IT">'Parameters, country spec'!$P$5</definedName>
    <definedName name="Slaughter_age_LT">'Parameters, country spec'!$R$5</definedName>
    <definedName name="Slaughter_age_LV">'Parameters, country spec'!$Q$5</definedName>
    <definedName name="Slaughter_age_MT">'Parameters, country spec'!$S$5</definedName>
    <definedName name="Slaughter_age_NL">'Parameters, country spec'!$T$5</definedName>
    <definedName name="Slaughter_age_PL">'Parameters, country spec'!$U$5</definedName>
    <definedName name="Slaughter_age_PT">'Parameters, country spec'!$V$5</definedName>
    <definedName name="Slaughter_age_RO">'Parameters, country spec'!$W$5</definedName>
    <definedName name="Slaughter_age_SE">'Parameters, country spec'!$AA$5</definedName>
    <definedName name="Slaughter_age_SI">'Parameters, country spec'!$Y$5</definedName>
    <definedName name="Slaughter_age_SK">'Parameters, country spec'!$X$5</definedName>
    <definedName name="Slaughter_age_TH">'Parameters, country spec'!$AD$5</definedName>
    <definedName name="Slaughter_age_US">'Parameters, country spec'!$AE$5</definedName>
    <definedName name="Slaughter_duration_class">'Parameters, general'!$B$20</definedName>
    <definedName name="Soil_carbon_categories">'[1]Emission factors'!$A$41:$A$57</definedName>
    <definedName name="Soil_carbon_data">'[1]Emission factors'!$A$41:$B$57</definedName>
    <definedName name="Water_stables_AT">'Parameters, country spec'!$B$88</definedName>
    <definedName name="Water_stables_BE">'Parameters, country spec'!$C$88</definedName>
    <definedName name="Water_stables_BG">'Parameters, country spec'!$D$88</definedName>
    <definedName name="Water_stables_BR">'Parameters, country spec'!$AC$88</definedName>
    <definedName name="Water_stables_CY">'Parameters, country spec'!$F$88</definedName>
    <definedName name="Water_stables_CZ">'Parameters, country spec'!$G$88</definedName>
    <definedName name="Water_stables_DE">'Parameters, country spec'!$L$88</definedName>
    <definedName name="Water_stables_DK">'Parameters, country spec'!$H$88</definedName>
    <definedName name="Water_stables_EE">'Parameters, country spec'!$I$88</definedName>
    <definedName name="Water_stables_ES">'Parameters, country spec'!$Z$88</definedName>
    <definedName name="Water_stables_FI">'Parameters, country spec'!$J$88</definedName>
    <definedName name="Water_stables_FR">'Parameters, country spec'!$K$88</definedName>
    <definedName name="Water_stables_GB">'Parameters, country spec'!$AB$88</definedName>
    <definedName name="Water_stables_GR">'Parameters, country spec'!$M$88</definedName>
    <definedName name="Water_stables_HR">'Parameters, country spec'!$E$88</definedName>
    <definedName name="Water_stables_HU">'Parameters, country spec'!$N$88</definedName>
    <definedName name="Water_stables_IE">'Parameters, country spec'!$O$88</definedName>
    <definedName name="Water_stables_IT">'Parameters, country spec'!$P$88</definedName>
    <definedName name="Water_stables_LT">'Parameters, country spec'!$R$88</definedName>
    <definedName name="Water_stables_LV">'Parameters, country spec'!$Q$88</definedName>
    <definedName name="Water_stables_MT">'Parameters, country spec'!$S$88</definedName>
    <definedName name="Water_stables_NL">'Parameters, country spec'!$T$88</definedName>
    <definedName name="Water_stables_PL">'Parameters, country spec'!$U$88</definedName>
    <definedName name="Water_stables_PT">'Parameters, country spec'!$V$88</definedName>
    <definedName name="Water_stables_RO">'Parameters, country spec'!$W$88</definedName>
    <definedName name="Water_stables_SE">'Parameters, country spec'!$AA$88</definedName>
    <definedName name="Water_stables_SI">'Parameters, country spec'!$Y$88</definedName>
    <definedName name="Water_stables_SK">'Parameters, country spec'!$X$88</definedName>
    <definedName name="Water_stables_TH">'Parameters, country spec'!$AD$88</definedName>
    <definedName name="Water_stables_US">'Parameters, country spec'!$AE$88</definedName>
    <definedName name="Weight_ability_to_perceive_handling">'Parameters, general'!$B$23</definedName>
    <definedName name="Weight_diseases">'Parameters, general'!$B$25</definedName>
    <definedName name="Weight_mortality">'Parameters, general'!$B$24</definedName>
    <definedName name="Weight_no_of_animal">'Parameters, general'!$B$22</definedName>
    <definedName name="Weight_slaughter_duration_class">'Parameters, general'!$B$27</definedName>
    <definedName name="Weight_space">'Parameters, general'!$B$26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23" l="1"/>
  <c r="O74" i="23"/>
  <c r="F17" i="15"/>
  <c r="F6" i="15"/>
  <c r="I13" i="16"/>
  <c r="I14" i="16"/>
  <c r="I16" i="16"/>
  <c r="I17" i="16" s="1"/>
  <c r="I25" i="16"/>
  <c r="I26" i="16"/>
  <c r="I28" i="16" s="1"/>
  <c r="I37" i="16"/>
  <c r="I38" i="16"/>
  <c r="I40" i="16"/>
  <c r="I41" i="16" s="1"/>
  <c r="I49" i="16"/>
  <c r="I50" i="16"/>
  <c r="I52" i="16" s="1"/>
  <c r="I61" i="16"/>
  <c r="I62" i="16"/>
  <c r="I64" i="16"/>
  <c r="I65" i="16"/>
  <c r="I73" i="16"/>
  <c r="I74" i="16"/>
  <c r="I76" i="16" s="1"/>
  <c r="I85" i="16"/>
  <c r="I86" i="16"/>
  <c r="I88" i="16"/>
  <c r="I89" i="16" s="1"/>
  <c r="I97" i="16"/>
  <c r="I98" i="16"/>
  <c r="I100" i="16" s="1"/>
  <c r="I109" i="16"/>
  <c r="I112" i="16"/>
  <c r="I113" i="16" s="1"/>
  <c r="I121" i="16"/>
  <c r="I122" i="16"/>
  <c r="I124" i="16"/>
  <c r="I133" i="16"/>
  <c r="I136" i="16" s="1"/>
  <c r="I134" i="16"/>
  <c r="I145" i="16"/>
  <c r="I146" i="16"/>
  <c r="I148" i="16"/>
  <c r="I157" i="16"/>
  <c r="I160" i="16" s="1"/>
  <c r="I161" i="16" s="1"/>
  <c r="I158" i="16"/>
  <c r="I169" i="16"/>
  <c r="I170" i="16"/>
  <c r="I172" i="16"/>
  <c r="I173" i="16" s="1"/>
  <c r="I181" i="16"/>
  <c r="I184" i="16" s="1"/>
  <c r="I185" i="16" s="1"/>
  <c r="I182" i="16"/>
  <c r="I193" i="16"/>
  <c r="I194" i="16"/>
  <c r="I196" i="16"/>
  <c r="I197" i="16" s="1"/>
  <c r="I205" i="16"/>
  <c r="I208" i="16" s="1"/>
  <c r="I209" i="16" s="1"/>
  <c r="I206" i="16"/>
  <c r="I217" i="16"/>
  <c r="I218" i="16"/>
  <c r="I220" i="16"/>
  <c r="I221" i="16"/>
  <c r="I229" i="16"/>
  <c r="I232" i="16" s="1"/>
  <c r="I233" i="16" s="1"/>
  <c r="I230" i="16"/>
  <c r="I241" i="16"/>
  <c r="I242" i="16"/>
  <c r="I244" i="16"/>
  <c r="I245" i="16"/>
  <c r="I253" i="16"/>
  <c r="I256" i="16" s="1"/>
  <c r="I257" i="16" s="1"/>
  <c r="I254" i="16"/>
  <c r="I265" i="16"/>
  <c r="I266" i="16"/>
  <c r="I268" i="16"/>
  <c r="I269" i="16"/>
  <c r="I277" i="16"/>
  <c r="I280" i="16" s="1"/>
  <c r="I281" i="16" s="1"/>
  <c r="I278" i="16"/>
  <c r="I289" i="16"/>
  <c r="I290" i="16"/>
  <c r="I292" i="16"/>
  <c r="I293" i="16" s="1"/>
  <c r="I301" i="16"/>
  <c r="I302" i="16"/>
  <c r="I304" i="16"/>
  <c r="I305" i="16"/>
  <c r="I313" i="16"/>
  <c r="I314" i="16"/>
  <c r="I316" i="16"/>
  <c r="I317" i="16"/>
  <c r="I325" i="16"/>
  <c r="I326" i="16"/>
  <c r="I328" i="16"/>
  <c r="I329" i="16"/>
  <c r="I337" i="16"/>
  <c r="I338" i="16"/>
  <c r="I340" i="16"/>
  <c r="I341" i="16"/>
  <c r="I349" i="16"/>
  <c r="I350" i="16"/>
  <c r="I352" i="16"/>
  <c r="I353" i="16"/>
  <c r="I361" i="16"/>
  <c r="I362" i="16"/>
  <c r="I364" i="16"/>
  <c r="I365" i="16"/>
  <c r="I149" i="16" l="1"/>
  <c r="I125" i="16"/>
  <c r="I101" i="16"/>
  <c r="I77" i="16"/>
  <c r="I53" i="16"/>
  <c r="I29" i="16"/>
  <c r="I137" i="16"/>
  <c r="W60" i="13"/>
  <c r="M61" i="13"/>
  <c r="Q13" i="13"/>
  <c r="Q15" i="13"/>
  <c r="Q18" i="13"/>
  <c r="Q20" i="13"/>
  <c r="Q23" i="13"/>
  <c r="Q25" i="13"/>
  <c r="Q28" i="13"/>
  <c r="Q30" i="13"/>
  <c r="Q33" i="13"/>
  <c r="Q35" i="13"/>
  <c r="Q38" i="13"/>
  <c r="Q40" i="13"/>
  <c r="Q43" i="13"/>
  <c r="Q45" i="13"/>
  <c r="Q48" i="13"/>
  <c r="Q50" i="13"/>
  <c r="Q53" i="13"/>
  <c r="Q55" i="13"/>
  <c r="Q58" i="13"/>
  <c r="Q60" i="13"/>
  <c r="Q63" i="13"/>
  <c r="Q65" i="13"/>
  <c r="Q68" i="13"/>
  <c r="Q70" i="13"/>
  <c r="Q73" i="13"/>
  <c r="Q75" i="13"/>
  <c r="Q78" i="13"/>
  <c r="Q80" i="13"/>
  <c r="Q83" i="13"/>
  <c r="Q85" i="13"/>
  <c r="Q88" i="13"/>
  <c r="Q90" i="13"/>
  <c r="Q93" i="13"/>
  <c r="Q95" i="13"/>
  <c r="Q98" i="13"/>
  <c r="Q100" i="13"/>
  <c r="Q103" i="13"/>
  <c r="Q105" i="13"/>
  <c r="Q108" i="13"/>
  <c r="Q110" i="13"/>
  <c r="Q113" i="13"/>
  <c r="Q115" i="13"/>
  <c r="Q118" i="13"/>
  <c r="Q120" i="13"/>
  <c r="Q123" i="13"/>
  <c r="Q125" i="13"/>
  <c r="Q128" i="13"/>
  <c r="Q130" i="13"/>
  <c r="Q133" i="13"/>
  <c r="Q135" i="13"/>
  <c r="Q138" i="13"/>
  <c r="Q140" i="13"/>
  <c r="Q143" i="13"/>
  <c r="Q145" i="13"/>
  <c r="Q148" i="13"/>
  <c r="Q150" i="13"/>
  <c r="Q153" i="13"/>
  <c r="Q155" i="13"/>
  <c r="P365" i="14"/>
  <c r="P353" i="14"/>
  <c r="P341" i="14"/>
  <c r="P329" i="14"/>
  <c r="P317" i="14"/>
  <c r="P305" i="14"/>
  <c r="P293" i="14"/>
  <c r="P281" i="14"/>
  <c r="P269" i="14"/>
  <c r="P257" i="14"/>
  <c r="P245" i="14"/>
  <c r="P233" i="14"/>
  <c r="P221" i="14"/>
  <c r="P209" i="14"/>
  <c r="P197" i="14"/>
  <c r="P185" i="14"/>
  <c r="P173" i="14"/>
  <c r="P161" i="14"/>
  <c r="P149" i="14"/>
  <c r="P137" i="14"/>
  <c r="P125" i="14"/>
  <c r="P113" i="14"/>
  <c r="P101" i="14"/>
  <c r="P89" i="14"/>
  <c r="P77" i="14"/>
  <c r="P65" i="14"/>
  <c r="P53" i="14"/>
  <c r="P41" i="14"/>
  <c r="P29" i="14"/>
  <c r="P17" i="14"/>
  <c r="Q10" i="13" s="1"/>
  <c r="P365" i="15"/>
  <c r="P353" i="15"/>
  <c r="P341" i="15"/>
  <c r="P329" i="15"/>
  <c r="P317" i="15"/>
  <c r="P305" i="15"/>
  <c r="P293" i="15"/>
  <c r="P281" i="15"/>
  <c r="P269" i="15"/>
  <c r="P257" i="15"/>
  <c r="P245" i="15"/>
  <c r="P233" i="15"/>
  <c r="P221" i="15"/>
  <c r="P209" i="15"/>
  <c r="P197" i="15"/>
  <c r="P185" i="15"/>
  <c r="P173" i="15"/>
  <c r="P161" i="15"/>
  <c r="P149" i="15"/>
  <c r="P137" i="15"/>
  <c r="P125" i="15"/>
  <c r="P113" i="15"/>
  <c r="P101" i="15"/>
  <c r="P89" i="15"/>
  <c r="P77" i="15"/>
  <c r="P65" i="15"/>
  <c r="P53" i="15"/>
  <c r="P41" i="15"/>
  <c r="P29" i="15"/>
  <c r="P17" i="15"/>
  <c r="Q8" i="13" s="1"/>
  <c r="F365" i="16"/>
  <c r="F353" i="16"/>
  <c r="F341" i="16"/>
  <c r="F329" i="16"/>
  <c r="F317" i="16"/>
  <c r="F305" i="16"/>
  <c r="F293" i="16"/>
  <c r="F281" i="16"/>
  <c r="F269" i="16"/>
  <c r="F257" i="16"/>
  <c r="F245" i="16"/>
  <c r="F233" i="16"/>
  <c r="F221" i="16"/>
  <c r="F209" i="16"/>
  <c r="F197" i="16"/>
  <c r="F185" i="16"/>
  <c r="F173" i="16"/>
  <c r="F161" i="16"/>
  <c r="F149" i="16"/>
  <c r="F137" i="16"/>
  <c r="F125" i="16"/>
  <c r="F113" i="16"/>
  <c r="F101" i="16"/>
  <c r="F89" i="16"/>
  <c r="F77" i="16"/>
  <c r="F65" i="16"/>
  <c r="F53" i="16"/>
  <c r="F41" i="16"/>
  <c r="F40" i="16"/>
  <c r="F29" i="16"/>
  <c r="F17" i="16"/>
  <c r="Q365" i="14"/>
  <c r="O365" i="14"/>
  <c r="N365" i="14"/>
  <c r="M365" i="14"/>
  <c r="K365" i="14"/>
  <c r="I365" i="14"/>
  <c r="H365" i="14"/>
  <c r="G365" i="14"/>
  <c r="F365" i="14"/>
  <c r="O353" i="14"/>
  <c r="Q353" i="14"/>
  <c r="N353" i="14"/>
  <c r="M353" i="14"/>
  <c r="K353" i="14"/>
  <c r="I353" i="14"/>
  <c r="H353" i="14"/>
  <c r="G353" i="14"/>
  <c r="F353" i="14"/>
  <c r="Q341" i="14"/>
  <c r="O341" i="14"/>
  <c r="N341" i="14"/>
  <c r="M341" i="14"/>
  <c r="K341" i="14"/>
  <c r="I341" i="14"/>
  <c r="H341" i="14"/>
  <c r="G341" i="14"/>
  <c r="F341" i="14"/>
  <c r="F329" i="14"/>
  <c r="F317" i="14"/>
  <c r="F305" i="14"/>
  <c r="F293" i="14"/>
  <c r="F281" i="14"/>
  <c r="F269" i="14"/>
  <c r="F268" i="14"/>
  <c r="F257" i="14"/>
  <c r="F245" i="14"/>
  <c r="F233" i="14"/>
  <c r="F221" i="14"/>
  <c r="F209" i="14"/>
  <c r="F197" i="14"/>
  <c r="F185" i="14"/>
  <c r="F173" i="14"/>
  <c r="F161" i="14"/>
  <c r="F149" i="14"/>
  <c r="F137" i="14"/>
  <c r="J125" i="14"/>
  <c r="F125" i="14"/>
  <c r="F113" i="14"/>
  <c r="F101" i="14"/>
  <c r="F89" i="14"/>
  <c r="F77" i="14"/>
  <c r="F65" i="14"/>
  <c r="F53" i="14"/>
  <c r="F41" i="14"/>
  <c r="F29" i="14"/>
  <c r="F17" i="14"/>
  <c r="F317" i="15"/>
  <c r="I329" i="15"/>
  <c r="F329" i="15"/>
  <c r="Q341" i="15"/>
  <c r="O341" i="15"/>
  <c r="N341" i="15"/>
  <c r="M341" i="15"/>
  <c r="K341" i="15"/>
  <c r="I341" i="15"/>
  <c r="H341" i="15"/>
  <c r="F341" i="15"/>
  <c r="G341" i="15"/>
  <c r="Q353" i="15"/>
  <c r="O353" i="15"/>
  <c r="N353" i="15"/>
  <c r="M353" i="15"/>
  <c r="K353" i="15"/>
  <c r="I353" i="15"/>
  <c r="H353" i="15"/>
  <c r="F353" i="15"/>
  <c r="G353" i="15"/>
  <c r="F365" i="15"/>
  <c r="Q365" i="15"/>
  <c r="O365" i="15"/>
  <c r="N365" i="15"/>
  <c r="M365" i="15"/>
  <c r="K365" i="15"/>
  <c r="I365" i="15"/>
  <c r="H365" i="15"/>
  <c r="G365" i="15"/>
  <c r="G329" i="15"/>
  <c r="G317" i="15"/>
  <c r="G305" i="15"/>
  <c r="G293" i="15"/>
  <c r="G281" i="15"/>
  <c r="G269" i="15"/>
  <c r="G257" i="15"/>
  <c r="G245" i="15"/>
  <c r="G233" i="15"/>
  <c r="G221" i="15"/>
  <c r="G209" i="15"/>
  <c r="G197" i="15"/>
  <c r="G185" i="15"/>
  <c r="G173" i="15"/>
  <c r="G161" i="15"/>
  <c r="G149" i="15"/>
  <c r="G137" i="15"/>
  <c r="G125" i="15"/>
  <c r="G113" i="15"/>
  <c r="G101" i="15"/>
  <c r="G89" i="15"/>
  <c r="G77" i="15"/>
  <c r="G65" i="15"/>
  <c r="G53" i="15"/>
  <c r="G41" i="15"/>
  <c r="G29" i="15"/>
  <c r="G17" i="15"/>
  <c r="AA27" i="4" l="1"/>
  <c r="AA29" i="4"/>
  <c r="F310" i="2"/>
  <c r="Q365" i="2"/>
  <c r="O365" i="2"/>
  <c r="N365" i="2"/>
  <c r="M365" i="2"/>
  <c r="K365" i="2"/>
  <c r="I365" i="2"/>
  <c r="H365" i="2"/>
  <c r="G365" i="2"/>
  <c r="I353" i="2"/>
  <c r="Q353" i="2"/>
  <c r="O353" i="2"/>
  <c r="N353" i="2"/>
  <c r="M353" i="2"/>
  <c r="K353" i="2"/>
  <c r="H353" i="2"/>
  <c r="G353" i="2"/>
  <c r="Q341" i="2"/>
  <c r="O341" i="2"/>
  <c r="N341" i="2"/>
  <c r="M341" i="2"/>
  <c r="K341" i="2"/>
  <c r="I341" i="2"/>
  <c r="H341" i="2"/>
  <c r="G341" i="2"/>
  <c r="G329" i="2"/>
  <c r="G305" i="2"/>
  <c r="G293" i="2"/>
  <c r="G281" i="2"/>
  <c r="G269" i="2"/>
  <c r="G257" i="2"/>
  <c r="G245" i="2"/>
  <c r="G233" i="2"/>
  <c r="G221" i="2"/>
  <c r="G209" i="2"/>
  <c r="G197" i="2"/>
  <c r="G185" i="2"/>
  <c r="G173" i="2"/>
  <c r="G161" i="2"/>
  <c r="G149" i="2"/>
  <c r="G137" i="2"/>
  <c r="G125" i="2"/>
  <c r="G113" i="2"/>
  <c r="G101" i="2"/>
  <c r="G77" i="2"/>
  <c r="G65" i="2"/>
  <c r="G53" i="2"/>
  <c r="G41" i="2"/>
  <c r="G29" i="2"/>
  <c r="G17" i="2"/>
  <c r="Q89" i="2"/>
  <c r="O89" i="2"/>
  <c r="I78" i="24"/>
  <c r="X102" i="13"/>
  <c r="X57" i="13"/>
  <c r="C36" i="4" l="1"/>
  <c r="D36" i="4"/>
  <c r="E36" i="4"/>
  <c r="F36" i="4"/>
  <c r="G36" i="4"/>
  <c r="H36" i="4"/>
  <c r="I36" i="4"/>
  <c r="J36" i="4"/>
  <c r="K36" i="4"/>
  <c r="L36" i="4"/>
  <c r="M36" i="4"/>
  <c r="N36" i="4"/>
  <c r="O36" i="4"/>
  <c r="P36" i="4"/>
  <c r="Q36" i="4"/>
  <c r="R36" i="4"/>
  <c r="S36" i="4"/>
  <c r="T36" i="4"/>
  <c r="U36" i="4"/>
  <c r="V36" i="4"/>
  <c r="W36" i="4"/>
  <c r="X36" i="4"/>
  <c r="Y36" i="4"/>
  <c r="Z36" i="4"/>
  <c r="AA36" i="4"/>
  <c r="AB36" i="4"/>
  <c r="AC36" i="4"/>
  <c r="AD36" i="4"/>
  <c r="AE36" i="4"/>
  <c r="B36" i="4"/>
  <c r="B48" i="11"/>
  <c r="B47" i="11"/>
  <c r="B40" i="11"/>
  <c r="B33" i="11"/>
  <c r="B26" i="11"/>
  <c r="B12" i="11"/>
  <c r="N23" i="23"/>
  <c r="H74" i="23" l="1"/>
  <c r="X80" i="13"/>
  <c r="W80" i="13"/>
  <c r="U80" i="13"/>
  <c r="V80" i="13" s="1"/>
  <c r="R80" i="13"/>
  <c r="P80" i="13"/>
  <c r="O80" i="13"/>
  <c r="N80" i="13"/>
  <c r="L80" i="13"/>
  <c r="J80" i="13"/>
  <c r="K80" i="13" s="1"/>
  <c r="I80" i="13"/>
  <c r="H80" i="13"/>
  <c r="U79" i="13"/>
  <c r="X78" i="13"/>
  <c r="W78" i="13"/>
  <c r="R78" i="13"/>
  <c r="P78" i="13"/>
  <c r="O78" i="13"/>
  <c r="N78" i="13"/>
  <c r="L78" i="13"/>
  <c r="I78" i="13"/>
  <c r="H78" i="13"/>
  <c r="X77" i="13"/>
  <c r="W77" i="13"/>
  <c r="R77" i="13"/>
  <c r="O77" i="13"/>
  <c r="N77" i="13"/>
  <c r="L77" i="13"/>
  <c r="I77" i="13"/>
  <c r="H77" i="13"/>
  <c r="C96" i="23"/>
  <c r="C95" i="23"/>
  <c r="I43" i="23"/>
  <c r="C106" i="23" l="1"/>
  <c r="P77" i="23"/>
  <c r="P75" i="23"/>
  <c r="P74" i="23"/>
  <c r="C105" i="23"/>
  <c r="C104" i="23"/>
  <c r="C103" i="23"/>
  <c r="I77" i="23"/>
  <c r="G74" i="23"/>
  <c r="N16" i="23" l="1"/>
  <c r="O66" i="22" l="1"/>
  <c r="O64" i="22"/>
  <c r="N62" i="22"/>
  <c r="O61" i="22"/>
  <c r="O59" i="22"/>
  <c r="M58" i="22"/>
  <c r="M59" i="22" s="1"/>
  <c r="L58" i="22"/>
  <c r="L59" i="22" s="1"/>
  <c r="K58" i="22"/>
  <c r="K59" i="22" s="1"/>
  <c r="J58" i="22"/>
  <c r="J59" i="22" s="1"/>
  <c r="I58" i="22"/>
  <c r="I59" i="22" s="1"/>
  <c r="H58" i="22"/>
  <c r="H59" i="22" s="1"/>
  <c r="G58" i="22"/>
  <c r="G59" i="22" s="1"/>
  <c r="F58" i="22"/>
  <c r="F59" i="22" s="1"/>
  <c r="E51" i="22"/>
  <c r="M50" i="22"/>
  <c r="M65" i="22" s="1"/>
  <c r="M66" i="22" s="1"/>
  <c r="L50" i="22"/>
  <c r="L65" i="22" s="1"/>
  <c r="L66" i="22" s="1"/>
  <c r="K50" i="22"/>
  <c r="K65" i="22" s="1"/>
  <c r="K66" i="22" s="1"/>
  <c r="J50" i="22"/>
  <c r="J65" i="22" s="1"/>
  <c r="J66" i="22" s="1"/>
  <c r="I50" i="22"/>
  <c r="I65" i="22" s="1"/>
  <c r="I66" i="22" s="1"/>
  <c r="H50" i="22"/>
  <c r="H65" i="22" s="1"/>
  <c r="H66" i="22" s="1"/>
  <c r="G50" i="22"/>
  <c r="G65" i="22" s="1"/>
  <c r="G66" i="22" s="1"/>
  <c r="F50" i="22"/>
  <c r="F65" i="22" s="1"/>
  <c r="F66" i="22" s="1"/>
  <c r="E66" i="22" s="1"/>
  <c r="D66" i="22" s="1"/>
  <c r="O49" i="22"/>
  <c r="E65" i="22" s="1"/>
  <c r="M48" i="22"/>
  <c r="M63" i="22" s="1"/>
  <c r="M64" i="22" s="1"/>
  <c r="L48" i="22"/>
  <c r="L63" i="22" s="1"/>
  <c r="L64" i="22" s="1"/>
  <c r="K48" i="22"/>
  <c r="K63" i="22" s="1"/>
  <c r="K64" i="22" s="1"/>
  <c r="J48" i="22"/>
  <c r="J63" i="22" s="1"/>
  <c r="J64" i="22" s="1"/>
  <c r="I48" i="22"/>
  <c r="I63" i="22" s="1"/>
  <c r="I64" i="22" s="1"/>
  <c r="H48" i="22"/>
  <c r="H63" i="22" s="1"/>
  <c r="H64" i="22" s="1"/>
  <c r="G48" i="22"/>
  <c r="G63" i="22" s="1"/>
  <c r="G64" i="22" s="1"/>
  <c r="F48" i="22"/>
  <c r="F63" i="22" s="1"/>
  <c r="F64" i="22" s="1"/>
  <c r="O47" i="22"/>
  <c r="E63" i="22" s="1"/>
  <c r="M46" i="22"/>
  <c r="M62" i="22" s="1"/>
  <c r="L46" i="22"/>
  <c r="L62" i="22" s="1"/>
  <c r="K46" i="22"/>
  <c r="K62" i="22" s="1"/>
  <c r="J46" i="22"/>
  <c r="J62" i="22" s="1"/>
  <c r="I46" i="22"/>
  <c r="I62" i="22" s="1"/>
  <c r="H46" i="22"/>
  <c r="H62" i="22" s="1"/>
  <c r="G46" i="22"/>
  <c r="G62" i="22" s="1"/>
  <c r="F46" i="22"/>
  <c r="F62" i="22" s="1"/>
  <c r="O45" i="22"/>
  <c r="E62" i="22" s="1"/>
  <c r="E44" i="22"/>
  <c r="L60" i="22" s="1"/>
  <c r="L61" i="22" s="1"/>
  <c r="M43" i="22"/>
  <c r="L43" i="22"/>
  <c r="K43" i="22"/>
  <c r="J43" i="22"/>
  <c r="I43" i="22"/>
  <c r="H43" i="22"/>
  <c r="G43" i="22"/>
  <c r="F43" i="22"/>
  <c r="O42" i="22"/>
  <c r="E60" i="22" s="1"/>
  <c r="M41" i="22"/>
  <c r="L41" i="22"/>
  <c r="K41" i="22"/>
  <c r="J41" i="22"/>
  <c r="I41" i="22"/>
  <c r="H41" i="22"/>
  <c r="G41" i="22"/>
  <c r="F41" i="22"/>
  <c r="O40" i="22"/>
  <c r="E58" i="22" s="1"/>
  <c r="M39" i="22"/>
  <c r="M57" i="22" s="1"/>
  <c r="L39" i="22"/>
  <c r="L57" i="22" s="1"/>
  <c r="K39" i="22"/>
  <c r="K57" i="22" s="1"/>
  <c r="J39" i="22"/>
  <c r="J57" i="22" s="1"/>
  <c r="I39" i="22"/>
  <c r="I57" i="22" s="1"/>
  <c r="H39" i="22"/>
  <c r="H57" i="22" s="1"/>
  <c r="G39" i="22"/>
  <c r="G57" i="22" s="1"/>
  <c r="F39" i="22"/>
  <c r="F57" i="22" s="1"/>
  <c r="O38" i="22"/>
  <c r="E57" i="22" s="1"/>
  <c r="D57" i="22" s="1"/>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B63" i="4"/>
  <c r="L133" i="14"/>
  <c r="Q157" i="14"/>
  <c r="D158" i="16"/>
  <c r="D361" i="16"/>
  <c r="D349" i="16"/>
  <c r="D337" i="16"/>
  <c r="D325" i="16"/>
  <c r="D313" i="16"/>
  <c r="D301" i="16"/>
  <c r="D289" i="16"/>
  <c r="D277" i="16"/>
  <c r="D265" i="16"/>
  <c r="D253" i="16"/>
  <c r="D241" i="16"/>
  <c r="D229" i="16"/>
  <c r="D217" i="16"/>
  <c r="D205" i="16"/>
  <c r="D193" i="16"/>
  <c r="D181" i="16"/>
  <c r="D169" i="16"/>
  <c r="D157" i="16"/>
  <c r="D145" i="16"/>
  <c r="D133" i="16"/>
  <c r="D121" i="16"/>
  <c r="D109" i="16"/>
  <c r="D97" i="16"/>
  <c r="D85" i="16"/>
  <c r="D73" i="16"/>
  <c r="D74" i="16"/>
  <c r="D61" i="16"/>
  <c r="D49" i="16"/>
  <c r="D37" i="16"/>
  <c r="D25" i="16"/>
  <c r="D13" i="16"/>
  <c r="O361" i="14"/>
  <c r="L361" i="14"/>
  <c r="D361" i="14"/>
  <c r="O349" i="14"/>
  <c r="L349" i="14"/>
  <c r="D349" i="14"/>
  <c r="O337" i="14"/>
  <c r="L337" i="14"/>
  <c r="D337" i="14"/>
  <c r="O325" i="14"/>
  <c r="L325" i="14"/>
  <c r="D325" i="14"/>
  <c r="O313" i="14"/>
  <c r="L313" i="14"/>
  <c r="D313" i="14"/>
  <c r="O301" i="14"/>
  <c r="L301" i="14"/>
  <c r="D301" i="14"/>
  <c r="O289" i="14"/>
  <c r="L289" i="14"/>
  <c r="D289" i="14"/>
  <c r="O277" i="14"/>
  <c r="L277" i="14"/>
  <c r="D277" i="14"/>
  <c r="O265" i="14"/>
  <c r="L265" i="14"/>
  <c r="D265" i="14"/>
  <c r="O253" i="14"/>
  <c r="L253" i="14"/>
  <c r="D253" i="14"/>
  <c r="O241" i="14"/>
  <c r="L241" i="14"/>
  <c r="D241" i="14"/>
  <c r="O229" i="14"/>
  <c r="L229" i="14"/>
  <c r="D229" i="14"/>
  <c r="O217" i="14"/>
  <c r="L217" i="14"/>
  <c r="D217" i="14"/>
  <c r="O205" i="14"/>
  <c r="L205" i="14"/>
  <c r="D205" i="14"/>
  <c r="O193" i="14"/>
  <c r="L193" i="14"/>
  <c r="D193" i="14"/>
  <c r="O181" i="14"/>
  <c r="L181" i="14"/>
  <c r="D181" i="14"/>
  <c r="O169" i="14"/>
  <c r="L169" i="14"/>
  <c r="D169" i="14"/>
  <c r="O157" i="14"/>
  <c r="L157" i="14"/>
  <c r="D157" i="14"/>
  <c r="O145" i="14"/>
  <c r="L145" i="14"/>
  <c r="D145" i="14"/>
  <c r="O133" i="14"/>
  <c r="D133" i="14"/>
  <c r="O121" i="14"/>
  <c r="L121" i="14"/>
  <c r="D121" i="14"/>
  <c r="O109" i="14"/>
  <c r="L109" i="14"/>
  <c r="D109" i="14"/>
  <c r="O97" i="14"/>
  <c r="L97" i="14"/>
  <c r="D97" i="14"/>
  <c r="O85" i="14"/>
  <c r="L85" i="14"/>
  <c r="D85" i="14"/>
  <c r="Q73" i="14"/>
  <c r="O73" i="14"/>
  <c r="L73" i="14"/>
  <c r="D73" i="14"/>
  <c r="O61" i="14"/>
  <c r="L61" i="14"/>
  <c r="D61" i="14"/>
  <c r="Q49" i="14"/>
  <c r="O49" i="14"/>
  <c r="L49" i="14"/>
  <c r="D49" i="14"/>
  <c r="O37" i="14"/>
  <c r="L37" i="14"/>
  <c r="D37" i="14"/>
  <c r="Q25" i="14"/>
  <c r="O25" i="14"/>
  <c r="L25" i="14"/>
  <c r="D25" i="14"/>
  <c r="D26" i="14"/>
  <c r="L26" i="14"/>
  <c r="O26" i="14"/>
  <c r="D38" i="14"/>
  <c r="L38" i="14"/>
  <c r="O38" i="14"/>
  <c r="O13" i="14"/>
  <c r="L13" i="14"/>
  <c r="D13" i="14"/>
  <c r="E64" i="22" l="1"/>
  <c r="D64" i="22" s="1"/>
  <c r="E59" i="22"/>
  <c r="D59" i="22" s="1"/>
  <c r="D62" i="22"/>
  <c r="F60" i="22"/>
  <c r="F61" i="22" s="1"/>
  <c r="E61" i="22" s="1"/>
  <c r="D61" i="22" s="1"/>
  <c r="M60" i="22"/>
  <c r="M61" i="22" s="1"/>
  <c r="G60" i="22"/>
  <c r="G61" i="22" s="1"/>
  <c r="H60" i="22"/>
  <c r="H61" i="22" s="1"/>
  <c r="J60" i="22"/>
  <c r="J61" i="22" s="1"/>
  <c r="K60" i="22"/>
  <c r="K61" i="22" s="1"/>
  <c r="I60" i="22"/>
  <c r="I61" i="22" s="1"/>
  <c r="Q97" i="14"/>
  <c r="Q121" i="14"/>
  <c r="Q145" i="14"/>
  <c r="Q169" i="14"/>
  <c r="Q193" i="14"/>
  <c r="Q217" i="14"/>
  <c r="Q241" i="14"/>
  <c r="Q265" i="14"/>
  <c r="Q289" i="14"/>
  <c r="Q13" i="14"/>
  <c r="Q325" i="14"/>
  <c r="Q37" i="14"/>
  <c r="Q85" i="14"/>
  <c r="Q109" i="14"/>
  <c r="Q133" i="14"/>
  <c r="Q181" i="14"/>
  <c r="Q205" i="14"/>
  <c r="Q229" i="14"/>
  <c r="Q253" i="14"/>
  <c r="Q277" i="14"/>
  <c r="Q361" i="14"/>
  <c r="Q61" i="14"/>
  <c r="Q349" i="14"/>
  <c r="Q313" i="14"/>
  <c r="Q337" i="14"/>
  <c r="Q301" i="14"/>
  <c r="B40" i="4"/>
  <c r="B59" i="22" l="1"/>
  <c r="B64" i="22"/>
  <c r="Q362" i="2"/>
  <c r="L362" i="2"/>
  <c r="J362" i="2"/>
  <c r="D362" i="2"/>
  <c r="Q361" i="2"/>
  <c r="D361" i="2"/>
  <c r="Q350" i="2"/>
  <c r="L350" i="2"/>
  <c r="J350" i="2"/>
  <c r="D350" i="2"/>
  <c r="Q349" i="2"/>
  <c r="D349" i="2"/>
  <c r="Q338" i="2"/>
  <c r="L338" i="2"/>
  <c r="J338" i="2"/>
  <c r="D338" i="2"/>
  <c r="Q337" i="2"/>
  <c r="D337" i="2"/>
  <c r="Q326" i="2"/>
  <c r="L326" i="2"/>
  <c r="J326" i="2"/>
  <c r="D326" i="2"/>
  <c r="Q325" i="2"/>
  <c r="D325" i="2"/>
  <c r="Q314" i="2"/>
  <c r="L314" i="2"/>
  <c r="J314" i="2"/>
  <c r="D314" i="2"/>
  <c r="Q313" i="2"/>
  <c r="D313" i="2"/>
  <c r="Q302" i="2"/>
  <c r="L302" i="2"/>
  <c r="J302" i="2"/>
  <c r="D302" i="2"/>
  <c r="Q301" i="2"/>
  <c r="D301" i="2"/>
  <c r="Q290" i="2"/>
  <c r="L290" i="2"/>
  <c r="J290" i="2"/>
  <c r="D290" i="2"/>
  <c r="Q289" i="2"/>
  <c r="D289" i="2"/>
  <c r="Q278" i="2"/>
  <c r="L278" i="2"/>
  <c r="J278" i="2"/>
  <c r="D278" i="2"/>
  <c r="Q277" i="2"/>
  <c r="D277" i="2"/>
  <c r="Q266" i="2"/>
  <c r="L266" i="2"/>
  <c r="J266" i="2"/>
  <c r="D266" i="2"/>
  <c r="Q265" i="2"/>
  <c r="D265" i="2"/>
  <c r="Q254" i="2"/>
  <c r="L254" i="2"/>
  <c r="J254" i="2"/>
  <c r="D254" i="2"/>
  <c r="Q253" i="2"/>
  <c r="D253" i="2"/>
  <c r="Q242" i="2"/>
  <c r="L242" i="2"/>
  <c r="K242" i="2"/>
  <c r="J242" i="2"/>
  <c r="D242" i="2"/>
  <c r="Q241" i="2"/>
  <c r="D241" i="2"/>
  <c r="Q230" i="2"/>
  <c r="L230" i="2"/>
  <c r="J230" i="2"/>
  <c r="D230" i="2"/>
  <c r="Q229" i="2"/>
  <c r="D229" i="2"/>
  <c r="Q218" i="2"/>
  <c r="L218" i="2"/>
  <c r="J218" i="2"/>
  <c r="D218" i="2"/>
  <c r="Q217" i="2"/>
  <c r="D217" i="2"/>
  <c r="Q206" i="2"/>
  <c r="L206" i="2"/>
  <c r="J206" i="2"/>
  <c r="D206" i="2"/>
  <c r="Q205" i="2"/>
  <c r="D205" i="2"/>
  <c r="Q194" i="2"/>
  <c r="L194" i="2"/>
  <c r="J194" i="2"/>
  <c r="D194" i="2"/>
  <c r="Q193" i="2"/>
  <c r="D193" i="2"/>
  <c r="Q182" i="2"/>
  <c r="L182" i="2"/>
  <c r="J182" i="2"/>
  <c r="D182" i="2"/>
  <c r="Q181" i="2"/>
  <c r="O181" i="2"/>
  <c r="D181" i="2"/>
  <c r="Q170" i="2"/>
  <c r="L170" i="2"/>
  <c r="J170" i="2"/>
  <c r="D170" i="2"/>
  <c r="Q169" i="2"/>
  <c r="O169" i="2"/>
  <c r="D169" i="2"/>
  <c r="Q158" i="2"/>
  <c r="L158" i="2"/>
  <c r="J158" i="2"/>
  <c r="D158" i="2"/>
  <c r="Q157" i="2"/>
  <c r="O157" i="2"/>
  <c r="D157" i="2"/>
  <c r="Q146" i="2"/>
  <c r="L146" i="2"/>
  <c r="J146" i="2"/>
  <c r="D146" i="2"/>
  <c r="Q145" i="2"/>
  <c r="D145" i="2"/>
  <c r="Q134" i="2"/>
  <c r="L134" i="2"/>
  <c r="J134" i="2"/>
  <c r="D134" i="2"/>
  <c r="Q133" i="2"/>
  <c r="D133" i="2"/>
  <c r="Q122" i="2"/>
  <c r="L122" i="2"/>
  <c r="J122" i="2"/>
  <c r="D122" i="2"/>
  <c r="Q121" i="2"/>
  <c r="D121" i="2"/>
  <c r="Q110" i="2"/>
  <c r="L110" i="2"/>
  <c r="J110" i="2"/>
  <c r="D110" i="2"/>
  <c r="Q109" i="2"/>
  <c r="D109" i="2"/>
  <c r="Q98" i="2"/>
  <c r="L98" i="2"/>
  <c r="J98" i="2"/>
  <c r="D98" i="2"/>
  <c r="Q97" i="2"/>
  <c r="D97" i="2"/>
  <c r="Q86" i="2"/>
  <c r="L86" i="2"/>
  <c r="J86" i="2"/>
  <c r="D86" i="2"/>
  <c r="Q85" i="2"/>
  <c r="D85" i="2"/>
  <c r="Q74" i="2"/>
  <c r="L74" i="2"/>
  <c r="J74" i="2"/>
  <c r="D74" i="2"/>
  <c r="Q73" i="2"/>
  <c r="D73" i="2"/>
  <c r="Q62" i="2"/>
  <c r="L62" i="2"/>
  <c r="J62" i="2"/>
  <c r="D62" i="2"/>
  <c r="Q61" i="2"/>
  <c r="D61" i="2"/>
  <c r="Q50" i="2"/>
  <c r="L50" i="2"/>
  <c r="J50" i="2"/>
  <c r="D50" i="2"/>
  <c r="Q49" i="2"/>
  <c r="D49" i="2"/>
  <c r="Q38" i="2"/>
  <c r="L38" i="2"/>
  <c r="J38" i="2"/>
  <c r="D38" i="2"/>
  <c r="Q37" i="2"/>
  <c r="D37" i="2"/>
  <c r="Q26" i="2"/>
  <c r="L26" i="2"/>
  <c r="J26" i="2"/>
  <c r="D26" i="2"/>
  <c r="Q25" i="2"/>
  <c r="D25" i="2"/>
  <c r="Q13" i="2"/>
  <c r="D254" i="15"/>
  <c r="H254" i="15"/>
  <c r="I254" i="15"/>
  <c r="J254" i="15"/>
  <c r="L254" i="15"/>
  <c r="O254" i="15"/>
  <c r="Q181" i="15"/>
  <c r="J181" i="15"/>
  <c r="D181" i="15"/>
  <c r="Q169" i="15"/>
  <c r="J169" i="15"/>
  <c r="D169" i="15"/>
  <c r="Q157" i="15"/>
  <c r="J157" i="15"/>
  <c r="D157" i="15"/>
  <c r="Q145" i="15"/>
  <c r="J145" i="15"/>
  <c r="D145" i="15"/>
  <c r="Q133" i="15"/>
  <c r="J133" i="15"/>
  <c r="D133" i="15"/>
  <c r="Q121" i="15"/>
  <c r="O121" i="15"/>
  <c r="J121" i="15"/>
  <c r="D121" i="15"/>
  <c r="Q109" i="15"/>
  <c r="J109" i="15"/>
  <c r="D109" i="15"/>
  <c r="Q97" i="15"/>
  <c r="J97" i="15"/>
  <c r="D97" i="15"/>
  <c r="Q85" i="15"/>
  <c r="J85" i="15"/>
  <c r="D85" i="15"/>
  <c r="Q73" i="15"/>
  <c r="J73" i="15"/>
  <c r="D73" i="15"/>
  <c r="Q61" i="15"/>
  <c r="J61" i="15"/>
  <c r="I61" i="15"/>
  <c r="D61" i="15"/>
  <c r="Q49" i="15"/>
  <c r="J49" i="15"/>
  <c r="D49" i="15"/>
  <c r="Q37" i="15"/>
  <c r="J37" i="15"/>
  <c r="D37" i="15"/>
  <c r="Q25" i="15"/>
  <c r="J25" i="15"/>
  <c r="D25" i="15"/>
  <c r="Q13" i="15"/>
  <c r="J13" i="15"/>
  <c r="D13" i="15"/>
  <c r="I14" i="15"/>
  <c r="J14" i="15"/>
  <c r="L14" i="15"/>
  <c r="O14" i="15"/>
  <c r="R13" i="2"/>
  <c r="D13" i="2"/>
  <c r="G88" i="23"/>
  <c r="H88" i="23"/>
  <c r="I88" i="23"/>
  <c r="J88" i="23"/>
  <c r="K88" i="23"/>
  <c r="L88" i="23"/>
  <c r="F88" i="23"/>
  <c r="G36" i="23"/>
  <c r="H36" i="23"/>
  <c r="I36" i="23"/>
  <c r="J36" i="23"/>
  <c r="K36" i="23"/>
  <c r="L36" i="23"/>
  <c r="F36" i="23"/>
  <c r="O77" i="23"/>
  <c r="O75" i="23"/>
  <c r="P97" i="15" s="1"/>
  <c r="P301" i="2"/>
  <c r="F24" i="23"/>
  <c r="G14" i="15" s="1"/>
  <c r="G24" i="23"/>
  <c r="H14" i="15" s="1"/>
  <c r="J24" i="23"/>
  <c r="K254" i="15" s="1"/>
  <c r="L24" i="23"/>
  <c r="M254" i="15" s="1"/>
  <c r="M24" i="23"/>
  <c r="N254" i="15" s="1"/>
  <c r="F26" i="23"/>
  <c r="G26" i="23"/>
  <c r="H26" i="23"/>
  <c r="I26" i="23"/>
  <c r="J26" i="23"/>
  <c r="L26" i="23"/>
  <c r="M26" i="23"/>
  <c r="G23" i="23"/>
  <c r="H362" i="2" s="1"/>
  <c r="H23" i="23"/>
  <c r="I302" i="2" s="1"/>
  <c r="J23" i="23"/>
  <c r="K278" i="2" s="1"/>
  <c r="L23" i="23"/>
  <c r="M350" i="2" s="1"/>
  <c r="M23" i="23"/>
  <c r="N290" i="2" s="1"/>
  <c r="P350" i="2"/>
  <c r="F23" i="23"/>
  <c r="G218" i="2" s="1"/>
  <c r="F75" i="23"/>
  <c r="G157" i="15" s="1"/>
  <c r="G75" i="23"/>
  <c r="H97" i="15" s="1"/>
  <c r="I133" i="15"/>
  <c r="J75" i="23"/>
  <c r="K109" i="15" s="1"/>
  <c r="L145" i="15"/>
  <c r="L75" i="23"/>
  <c r="M181" i="15" s="1"/>
  <c r="M75" i="23"/>
  <c r="N121" i="15" s="1"/>
  <c r="O37" i="15"/>
  <c r="F77" i="23"/>
  <c r="G77" i="23"/>
  <c r="H77" i="23"/>
  <c r="J77" i="23"/>
  <c r="L77" i="23"/>
  <c r="M77" i="23"/>
  <c r="H169" i="2"/>
  <c r="I133" i="2"/>
  <c r="J133" i="2"/>
  <c r="J74" i="23"/>
  <c r="K361" i="2" s="1"/>
  <c r="L361" i="2"/>
  <c r="L74" i="23"/>
  <c r="M289" i="2" s="1"/>
  <c r="M74" i="23"/>
  <c r="N205" i="2" s="1"/>
  <c r="O145" i="2"/>
  <c r="F74" i="23"/>
  <c r="I50" i="2" l="1"/>
  <c r="N14" i="15"/>
  <c r="O326" i="2"/>
  <c r="N22" i="23"/>
  <c r="G206" i="2"/>
  <c r="H194" i="2"/>
  <c r="O290" i="2"/>
  <c r="J361" i="16"/>
  <c r="J349" i="16"/>
  <c r="J337" i="16"/>
  <c r="J325" i="16"/>
  <c r="J313" i="16"/>
  <c r="J301" i="16"/>
  <c r="J289" i="16"/>
  <c r="J277" i="16"/>
  <c r="J265" i="16"/>
  <c r="J253" i="16"/>
  <c r="J241" i="16"/>
  <c r="J229" i="16"/>
  <c r="J217" i="16"/>
  <c r="J205" i="16"/>
  <c r="J193" i="16"/>
  <c r="J181" i="16"/>
  <c r="J169" i="16"/>
  <c r="J157" i="16"/>
  <c r="J145" i="16"/>
  <c r="J133" i="16"/>
  <c r="J121" i="16"/>
  <c r="J109" i="16"/>
  <c r="J97" i="16"/>
  <c r="J85" i="16"/>
  <c r="J73" i="16"/>
  <c r="J61" i="16"/>
  <c r="J49" i="16"/>
  <c r="J37" i="16"/>
  <c r="J25" i="16"/>
  <c r="J13" i="16"/>
  <c r="M349" i="14"/>
  <c r="M301" i="14"/>
  <c r="M253" i="14"/>
  <c r="M205" i="14"/>
  <c r="M157" i="14"/>
  <c r="M109" i="14"/>
  <c r="M25" i="14"/>
  <c r="M13" i="14"/>
  <c r="M61" i="14"/>
  <c r="M337" i="14"/>
  <c r="M289" i="14"/>
  <c r="M241" i="14"/>
  <c r="M193" i="14"/>
  <c r="M145" i="14"/>
  <c r="M97" i="14"/>
  <c r="M325" i="14"/>
  <c r="M277" i="14"/>
  <c r="M229" i="14"/>
  <c r="M181" i="14"/>
  <c r="M85" i="14"/>
  <c r="M49" i="14"/>
  <c r="M73" i="14"/>
  <c r="M133" i="14"/>
  <c r="M361" i="14"/>
  <c r="M313" i="14"/>
  <c r="M265" i="14"/>
  <c r="M217" i="14"/>
  <c r="M169" i="14"/>
  <c r="M121" i="14"/>
  <c r="M37" i="14"/>
  <c r="K38" i="14"/>
  <c r="K26" i="14"/>
  <c r="J74" i="16"/>
  <c r="J158" i="16"/>
  <c r="M14" i="15"/>
  <c r="G254" i="15"/>
  <c r="K26" i="2"/>
  <c r="O74" i="2"/>
  <c r="N182" i="2"/>
  <c r="N254" i="2"/>
  <c r="M26" i="14"/>
  <c r="M38" i="14"/>
  <c r="K361" i="14"/>
  <c r="K313" i="14"/>
  <c r="K265" i="14"/>
  <c r="K217" i="14"/>
  <c r="K169" i="14"/>
  <c r="K121" i="14"/>
  <c r="K37" i="14"/>
  <c r="K73" i="14"/>
  <c r="K349" i="14"/>
  <c r="K301" i="14"/>
  <c r="K253" i="14"/>
  <c r="K205" i="14"/>
  <c r="K157" i="14"/>
  <c r="K109" i="14"/>
  <c r="K61" i="14"/>
  <c r="K25" i="14"/>
  <c r="K13" i="14"/>
  <c r="K133" i="14"/>
  <c r="K337" i="14"/>
  <c r="K289" i="14"/>
  <c r="K241" i="14"/>
  <c r="K193" i="14"/>
  <c r="K145" i="14"/>
  <c r="K97" i="14"/>
  <c r="K325" i="14"/>
  <c r="K277" i="14"/>
  <c r="K229" i="14"/>
  <c r="K181" i="14"/>
  <c r="K85" i="14"/>
  <c r="K49" i="14"/>
  <c r="J38" i="14"/>
  <c r="J26" i="14"/>
  <c r="H361" i="16"/>
  <c r="H349" i="16"/>
  <c r="H337" i="16"/>
  <c r="H325" i="16"/>
  <c r="H313" i="16"/>
  <c r="H301" i="16"/>
  <c r="H289" i="16"/>
  <c r="H277" i="16"/>
  <c r="H265" i="16"/>
  <c r="H253" i="16"/>
  <c r="H241" i="16"/>
  <c r="H229" i="16"/>
  <c r="H217" i="16"/>
  <c r="H205" i="16"/>
  <c r="H193" i="16"/>
  <c r="H181" i="16"/>
  <c r="H169" i="16"/>
  <c r="H157" i="16"/>
  <c r="H145" i="16"/>
  <c r="H133" i="16"/>
  <c r="H121" i="16"/>
  <c r="H109" i="16"/>
  <c r="H97" i="16"/>
  <c r="H85" i="16"/>
  <c r="H73" i="16"/>
  <c r="H61" i="16"/>
  <c r="H49" i="16"/>
  <c r="H37" i="16"/>
  <c r="H25" i="16"/>
  <c r="H13" i="16"/>
  <c r="N38" i="2"/>
  <c r="N157" i="2"/>
  <c r="I38" i="14"/>
  <c r="I26" i="14"/>
  <c r="H158" i="16"/>
  <c r="H74" i="16"/>
  <c r="G361" i="16"/>
  <c r="G349" i="16"/>
  <c r="G337" i="16"/>
  <c r="G325" i="16"/>
  <c r="G313" i="16"/>
  <c r="G301" i="16"/>
  <c r="G289" i="16"/>
  <c r="G277" i="16"/>
  <c r="G265" i="16"/>
  <c r="G253" i="16"/>
  <c r="G241" i="16"/>
  <c r="G229" i="16"/>
  <c r="G217" i="16"/>
  <c r="G205" i="16"/>
  <c r="G193" i="16"/>
  <c r="G181" i="16"/>
  <c r="G169" i="16"/>
  <c r="G157" i="16"/>
  <c r="G145" i="16"/>
  <c r="G133" i="16"/>
  <c r="G121" i="16"/>
  <c r="G109" i="16"/>
  <c r="G97" i="16"/>
  <c r="G85" i="16"/>
  <c r="G73" i="16"/>
  <c r="G61" i="16"/>
  <c r="G49" i="16"/>
  <c r="G37" i="16"/>
  <c r="G25" i="16"/>
  <c r="G13" i="16"/>
  <c r="K14" i="15"/>
  <c r="G326" i="2"/>
  <c r="G338" i="2"/>
  <c r="G350" i="2"/>
  <c r="G362" i="2"/>
  <c r="K74" i="16"/>
  <c r="K158" i="16"/>
  <c r="H26" i="14"/>
  <c r="H38" i="14"/>
  <c r="G158" i="16"/>
  <c r="G74" i="16"/>
  <c r="G110" i="2"/>
  <c r="G122" i="2"/>
  <c r="G134" i="2"/>
  <c r="G146" i="2"/>
  <c r="H193" i="2"/>
  <c r="G314" i="2"/>
  <c r="H326" i="2"/>
  <c r="I362" i="2"/>
  <c r="J229" i="14"/>
  <c r="J361" i="14"/>
  <c r="J313" i="14"/>
  <c r="J265" i="14"/>
  <c r="J217" i="14"/>
  <c r="J169" i="14"/>
  <c r="J121" i="14"/>
  <c r="J37" i="14"/>
  <c r="J277" i="14"/>
  <c r="J85" i="14"/>
  <c r="J73" i="14"/>
  <c r="J133" i="14"/>
  <c r="J349" i="14"/>
  <c r="J301" i="14"/>
  <c r="J253" i="14"/>
  <c r="J205" i="14"/>
  <c r="J157" i="14"/>
  <c r="J109" i="14"/>
  <c r="J325" i="14"/>
  <c r="J181" i="14"/>
  <c r="J61" i="14"/>
  <c r="J25" i="14"/>
  <c r="J13" i="14"/>
  <c r="J337" i="14"/>
  <c r="J289" i="14"/>
  <c r="J241" i="14"/>
  <c r="J193" i="14"/>
  <c r="J145" i="14"/>
  <c r="J97" i="14"/>
  <c r="J49" i="14"/>
  <c r="H193" i="14"/>
  <c r="H97" i="14"/>
  <c r="H133" i="14"/>
  <c r="H325" i="14"/>
  <c r="H277" i="14"/>
  <c r="H229" i="14"/>
  <c r="H181" i="14"/>
  <c r="H85" i="14"/>
  <c r="H49" i="14"/>
  <c r="H361" i="14"/>
  <c r="H313" i="14"/>
  <c r="H265" i="14"/>
  <c r="H217" i="14"/>
  <c r="H169" i="14"/>
  <c r="H121" i="14"/>
  <c r="H37" i="14"/>
  <c r="H289" i="14"/>
  <c r="H241" i="14"/>
  <c r="H145" i="14"/>
  <c r="H73" i="14"/>
  <c r="H349" i="14"/>
  <c r="H301" i="14"/>
  <c r="H253" i="14"/>
  <c r="H205" i="14"/>
  <c r="H157" i="14"/>
  <c r="H109" i="14"/>
  <c r="H337" i="14"/>
  <c r="H61" i="14"/>
  <c r="H25" i="14"/>
  <c r="H13" i="14"/>
  <c r="G26" i="14"/>
  <c r="G38" i="14"/>
  <c r="F361" i="16"/>
  <c r="F349" i="16"/>
  <c r="F337" i="16"/>
  <c r="F325" i="16"/>
  <c r="F313" i="16"/>
  <c r="F301" i="16"/>
  <c r="F289" i="16"/>
  <c r="F277" i="16"/>
  <c r="F265" i="16"/>
  <c r="F253" i="16"/>
  <c r="F241" i="16"/>
  <c r="F229" i="16"/>
  <c r="F217" i="16"/>
  <c r="F205" i="16"/>
  <c r="F193" i="16"/>
  <c r="F181" i="16"/>
  <c r="F169" i="16"/>
  <c r="F157" i="16"/>
  <c r="F145" i="16"/>
  <c r="F133" i="16"/>
  <c r="F121" i="16"/>
  <c r="F109" i="16"/>
  <c r="F97" i="16"/>
  <c r="F85" i="16"/>
  <c r="F73" i="16"/>
  <c r="F61" i="16"/>
  <c r="F49" i="16"/>
  <c r="F37" i="16"/>
  <c r="F25" i="16"/>
  <c r="F13" i="16"/>
  <c r="G98" i="2"/>
  <c r="H110" i="2"/>
  <c r="I146" i="2"/>
  <c r="I205" i="2"/>
  <c r="G290" i="2"/>
  <c r="G302" i="2"/>
  <c r="K338" i="2"/>
  <c r="I325" i="14"/>
  <c r="I277" i="14"/>
  <c r="I229" i="14"/>
  <c r="I181" i="14"/>
  <c r="I85" i="14"/>
  <c r="I49" i="14"/>
  <c r="I133" i="14"/>
  <c r="I361" i="14"/>
  <c r="I313" i="14"/>
  <c r="I265" i="14"/>
  <c r="I217" i="14"/>
  <c r="I169" i="14"/>
  <c r="I121" i="14"/>
  <c r="I37" i="14"/>
  <c r="I73" i="14"/>
  <c r="I349" i="14"/>
  <c r="I301" i="14"/>
  <c r="I253" i="14"/>
  <c r="I205" i="14"/>
  <c r="I157" i="14"/>
  <c r="I109" i="14"/>
  <c r="I61" i="14"/>
  <c r="I25" i="14"/>
  <c r="I13" i="14"/>
  <c r="I337" i="14"/>
  <c r="I289" i="14"/>
  <c r="I241" i="14"/>
  <c r="I193" i="14"/>
  <c r="I145" i="14"/>
  <c r="I97" i="14"/>
  <c r="G133" i="14"/>
  <c r="G337" i="14"/>
  <c r="G289" i="14"/>
  <c r="G241" i="14"/>
  <c r="G193" i="14"/>
  <c r="G145" i="14"/>
  <c r="G97" i="14"/>
  <c r="G325" i="14"/>
  <c r="G277" i="14"/>
  <c r="G229" i="14"/>
  <c r="G181" i="14"/>
  <c r="G85" i="14"/>
  <c r="G49" i="14"/>
  <c r="G61" i="14"/>
  <c r="G361" i="14"/>
  <c r="G313" i="14"/>
  <c r="G265" i="14"/>
  <c r="G217" i="14"/>
  <c r="G169" i="14"/>
  <c r="G121" i="14"/>
  <c r="G37" i="14"/>
  <c r="G73" i="14"/>
  <c r="G25" i="14"/>
  <c r="G13" i="14"/>
  <c r="G349" i="14"/>
  <c r="G301" i="14"/>
  <c r="G253" i="14"/>
  <c r="G205" i="14"/>
  <c r="G157" i="14"/>
  <c r="G109" i="14"/>
  <c r="F158" i="16"/>
  <c r="F74" i="16"/>
  <c r="L361" i="16"/>
  <c r="L349" i="16"/>
  <c r="L337" i="16"/>
  <c r="L325" i="16"/>
  <c r="L313" i="16"/>
  <c r="L301" i="16"/>
  <c r="L289" i="16"/>
  <c r="L277" i="16"/>
  <c r="L265" i="16"/>
  <c r="L253" i="16"/>
  <c r="L241" i="16"/>
  <c r="L229" i="16"/>
  <c r="L217" i="16"/>
  <c r="L205" i="16"/>
  <c r="L193" i="16"/>
  <c r="L181" i="16"/>
  <c r="L169" i="16"/>
  <c r="L157" i="16"/>
  <c r="L145" i="16"/>
  <c r="L133" i="16"/>
  <c r="L121" i="16"/>
  <c r="L109" i="16"/>
  <c r="L97" i="16"/>
  <c r="L85" i="16"/>
  <c r="L73" i="16"/>
  <c r="L61" i="16"/>
  <c r="L49" i="16"/>
  <c r="L37" i="16"/>
  <c r="L25" i="16"/>
  <c r="L13" i="16"/>
  <c r="G74" i="2"/>
  <c r="G86" i="2"/>
  <c r="K122" i="2"/>
  <c r="G158" i="2"/>
  <c r="G170" i="2"/>
  <c r="G182" i="2"/>
  <c r="G230" i="2"/>
  <c r="G242" i="2"/>
  <c r="G254" i="2"/>
  <c r="G266" i="2"/>
  <c r="G278" i="2"/>
  <c r="N350" i="2"/>
  <c r="N61" i="14"/>
  <c r="N25" i="14"/>
  <c r="N13" i="14"/>
  <c r="N337" i="14"/>
  <c r="N289" i="14"/>
  <c r="N241" i="14"/>
  <c r="N193" i="14"/>
  <c r="N145" i="14"/>
  <c r="N97" i="14"/>
  <c r="N157" i="14"/>
  <c r="N325" i="14"/>
  <c r="N277" i="14"/>
  <c r="N229" i="14"/>
  <c r="N181" i="14"/>
  <c r="N85" i="14"/>
  <c r="N49" i="14"/>
  <c r="N205" i="14"/>
  <c r="N349" i="14"/>
  <c r="N253" i="14"/>
  <c r="N361" i="14"/>
  <c r="N313" i="14"/>
  <c r="N265" i="14"/>
  <c r="N217" i="14"/>
  <c r="N169" i="14"/>
  <c r="N121" i="14"/>
  <c r="N37" i="14"/>
  <c r="N133" i="14"/>
  <c r="N301" i="14"/>
  <c r="N109" i="14"/>
  <c r="N73" i="14"/>
  <c r="G193" i="2"/>
  <c r="G181" i="2"/>
  <c r="N26" i="14"/>
  <c r="N38" i="14"/>
  <c r="L74" i="16"/>
  <c r="L158" i="16"/>
  <c r="K361" i="16"/>
  <c r="K349" i="16"/>
  <c r="K337" i="16"/>
  <c r="K325" i="16"/>
  <c r="K313" i="16"/>
  <c r="K301" i="16"/>
  <c r="K289" i="16"/>
  <c r="K277" i="16"/>
  <c r="K265" i="16"/>
  <c r="K253" i="16"/>
  <c r="K241" i="16"/>
  <c r="K229" i="16"/>
  <c r="K217" i="16"/>
  <c r="K205" i="16"/>
  <c r="K193" i="16"/>
  <c r="K181" i="16"/>
  <c r="K169" i="16"/>
  <c r="K157" i="16"/>
  <c r="K145" i="16"/>
  <c r="K133" i="16"/>
  <c r="K121" i="16"/>
  <c r="K109" i="16"/>
  <c r="K97" i="16"/>
  <c r="K85" i="16"/>
  <c r="K73" i="16"/>
  <c r="K61" i="16"/>
  <c r="K49" i="16"/>
  <c r="K37" i="16"/>
  <c r="K25" i="16"/>
  <c r="K13" i="16"/>
  <c r="H157" i="15"/>
  <c r="G26" i="2"/>
  <c r="G38" i="2"/>
  <c r="G50" i="2"/>
  <c r="G62" i="2"/>
  <c r="N134" i="2"/>
  <c r="G194" i="2"/>
  <c r="H230" i="2"/>
  <c r="I266" i="2"/>
  <c r="O38" i="2"/>
  <c r="M62" i="2"/>
  <c r="H74" i="2"/>
  <c r="K86" i="2"/>
  <c r="N98" i="2"/>
  <c r="I110" i="2"/>
  <c r="O134" i="2"/>
  <c r="K158" i="2"/>
  <c r="M170" i="2"/>
  <c r="O182" i="2"/>
  <c r="I194" i="2"/>
  <c r="K206" i="2"/>
  <c r="N218" i="2"/>
  <c r="I230" i="2"/>
  <c r="O254" i="2"/>
  <c r="M278" i="2"/>
  <c r="H290" i="2"/>
  <c r="K302" i="2"/>
  <c r="N314" i="2"/>
  <c r="I326" i="2"/>
  <c r="O350" i="2"/>
  <c r="M314" i="2"/>
  <c r="M26" i="2"/>
  <c r="H38" i="2"/>
  <c r="K50" i="2"/>
  <c r="N62" i="2"/>
  <c r="I74" i="2"/>
  <c r="O98" i="2"/>
  <c r="M122" i="2"/>
  <c r="H134" i="2"/>
  <c r="K146" i="2"/>
  <c r="N170" i="2"/>
  <c r="H182" i="2"/>
  <c r="O218" i="2"/>
  <c r="M242" i="2"/>
  <c r="H254" i="2"/>
  <c r="K266" i="2"/>
  <c r="N278" i="2"/>
  <c r="I290" i="2"/>
  <c r="O314" i="2"/>
  <c r="M338" i="2"/>
  <c r="H350" i="2"/>
  <c r="K362" i="2"/>
  <c r="O62" i="2"/>
  <c r="M86" i="2"/>
  <c r="K110" i="2"/>
  <c r="I134" i="2"/>
  <c r="M158" i="2"/>
  <c r="O170" i="2"/>
  <c r="I182" i="2"/>
  <c r="K194" i="2"/>
  <c r="M206" i="2"/>
  <c r="H218" i="2"/>
  <c r="K230" i="2"/>
  <c r="N242" i="2"/>
  <c r="I254" i="2"/>
  <c r="O278" i="2"/>
  <c r="M302" i="2"/>
  <c r="H314" i="2"/>
  <c r="K326" i="2"/>
  <c r="N338" i="2"/>
  <c r="I350" i="2"/>
  <c r="M218" i="2"/>
  <c r="I38" i="2"/>
  <c r="N122" i="2"/>
  <c r="O26" i="2"/>
  <c r="M50" i="2"/>
  <c r="H62" i="2"/>
  <c r="K74" i="2"/>
  <c r="N86" i="2"/>
  <c r="I98" i="2"/>
  <c r="O122" i="2"/>
  <c r="M146" i="2"/>
  <c r="N158" i="2"/>
  <c r="H170" i="2"/>
  <c r="N206" i="2"/>
  <c r="I218" i="2"/>
  <c r="O242" i="2"/>
  <c r="M266" i="2"/>
  <c r="H278" i="2"/>
  <c r="K290" i="2"/>
  <c r="N302" i="2"/>
  <c r="I314" i="2"/>
  <c r="O338" i="2"/>
  <c r="M362" i="2"/>
  <c r="M98" i="2"/>
  <c r="N26" i="2"/>
  <c r="H98" i="2"/>
  <c r="H26" i="2"/>
  <c r="K38" i="2"/>
  <c r="N50" i="2"/>
  <c r="I62" i="2"/>
  <c r="O86" i="2"/>
  <c r="M110" i="2"/>
  <c r="H122" i="2"/>
  <c r="K134" i="2"/>
  <c r="N146" i="2"/>
  <c r="O158" i="2"/>
  <c r="I170" i="2"/>
  <c r="K182" i="2"/>
  <c r="M194" i="2"/>
  <c r="O206" i="2"/>
  <c r="M230" i="2"/>
  <c r="H242" i="2"/>
  <c r="K254" i="2"/>
  <c r="N266" i="2"/>
  <c r="I278" i="2"/>
  <c r="O302" i="2"/>
  <c r="M326" i="2"/>
  <c r="H338" i="2"/>
  <c r="K350" i="2"/>
  <c r="N362" i="2"/>
  <c r="I26" i="2"/>
  <c r="O50" i="2"/>
  <c r="M74" i="2"/>
  <c r="H86" i="2"/>
  <c r="K98" i="2"/>
  <c r="N110" i="2"/>
  <c r="I122" i="2"/>
  <c r="O146" i="2"/>
  <c r="H158" i="2"/>
  <c r="N194" i="2"/>
  <c r="H206" i="2"/>
  <c r="K218" i="2"/>
  <c r="N230" i="2"/>
  <c r="I242" i="2"/>
  <c r="O266" i="2"/>
  <c r="M290" i="2"/>
  <c r="H302" i="2"/>
  <c r="K314" i="2"/>
  <c r="N326" i="2"/>
  <c r="I338" i="2"/>
  <c r="O362" i="2"/>
  <c r="M38" i="2"/>
  <c r="H50" i="2"/>
  <c r="K62" i="2"/>
  <c r="N74" i="2"/>
  <c r="I86" i="2"/>
  <c r="O110" i="2"/>
  <c r="M134" i="2"/>
  <c r="H146" i="2"/>
  <c r="I158" i="2"/>
  <c r="K170" i="2"/>
  <c r="M182" i="2"/>
  <c r="O194" i="2"/>
  <c r="I206" i="2"/>
  <c r="O230" i="2"/>
  <c r="M254" i="2"/>
  <c r="H266" i="2"/>
  <c r="P74" i="2"/>
  <c r="P145" i="15"/>
  <c r="P242" i="2"/>
  <c r="P289" i="2"/>
  <c r="P169" i="15"/>
  <c r="P62" i="2"/>
  <c r="P109" i="2"/>
  <c r="P230" i="2"/>
  <c r="P277" i="2"/>
  <c r="P326" i="2"/>
  <c r="P13" i="15"/>
  <c r="P37" i="15"/>
  <c r="P50" i="2"/>
  <c r="P97" i="2"/>
  <c r="P146" i="2"/>
  <c r="F146" i="2" s="1"/>
  <c r="P218" i="2"/>
  <c r="P265" i="2"/>
  <c r="P314" i="2"/>
  <c r="P361" i="2"/>
  <c r="P61" i="15"/>
  <c r="P85" i="15"/>
  <c r="P109" i="15"/>
  <c r="P38" i="2"/>
  <c r="P85" i="2"/>
  <c r="P89" i="2" s="1"/>
  <c r="Q37" i="13" s="1"/>
  <c r="Q41" i="13" s="1"/>
  <c r="P134" i="2"/>
  <c r="P158" i="2"/>
  <c r="P170" i="2"/>
  <c r="P182" i="2"/>
  <c r="P194" i="2"/>
  <c r="P206" i="2"/>
  <c r="P253" i="2"/>
  <c r="P302" i="2"/>
  <c r="P305" i="2" s="1"/>
  <c r="Q127" i="13" s="1"/>
  <c r="Q131" i="13" s="1"/>
  <c r="P349" i="2"/>
  <c r="P353" i="2" s="1"/>
  <c r="Q147" i="13" s="1"/>
  <c r="Q151" i="13" s="1"/>
  <c r="P121" i="15"/>
  <c r="P25" i="2"/>
  <c r="P29" i="2" s="1"/>
  <c r="Q12" i="13" s="1"/>
  <c r="Q16" i="13" s="1"/>
  <c r="P133" i="15"/>
  <c r="P26" i="2"/>
  <c r="P73" i="2"/>
  <c r="P77" i="2" s="1"/>
  <c r="Q32" i="13" s="1"/>
  <c r="Q36" i="13" s="1"/>
  <c r="P122" i="2"/>
  <c r="P241" i="2"/>
  <c r="P245" i="2" s="1"/>
  <c r="Q102" i="13" s="1"/>
  <c r="Q106" i="13" s="1"/>
  <c r="P290" i="2"/>
  <c r="P337" i="2"/>
  <c r="P341" i="2" s="1"/>
  <c r="Q142" i="13" s="1"/>
  <c r="Q146" i="13" s="1"/>
  <c r="P121" i="2"/>
  <c r="P125" i="2" s="1"/>
  <c r="Q52" i="13" s="1"/>
  <c r="Q56" i="13" s="1"/>
  <c r="P338" i="2"/>
  <c r="P157" i="15"/>
  <c r="P181" i="15"/>
  <c r="P13" i="2"/>
  <c r="P61" i="2"/>
  <c r="P65" i="2" s="1"/>
  <c r="Q27" i="13" s="1"/>
  <c r="Q31" i="13" s="1"/>
  <c r="P110" i="2"/>
  <c r="P229" i="2"/>
  <c r="P278" i="2"/>
  <c r="P325" i="2"/>
  <c r="P313" i="14"/>
  <c r="P277" i="14"/>
  <c r="P181" i="14"/>
  <c r="P85" i="14"/>
  <c r="P361" i="14"/>
  <c r="P133" i="14"/>
  <c r="P337" i="14"/>
  <c r="P241" i="14"/>
  <c r="P145" i="14"/>
  <c r="P325" i="14"/>
  <c r="P301" i="14"/>
  <c r="P205" i="14"/>
  <c r="P109" i="14"/>
  <c r="P25" i="14"/>
  <c r="P265" i="14"/>
  <c r="P169" i="14"/>
  <c r="P49" i="14"/>
  <c r="P229" i="14"/>
  <c r="P73" i="14"/>
  <c r="P289" i="14"/>
  <c r="P193" i="14"/>
  <c r="P97" i="14"/>
  <c r="P157" i="14"/>
  <c r="P37" i="14"/>
  <c r="P217" i="14"/>
  <c r="P121" i="14"/>
  <c r="P61" i="14"/>
  <c r="P13" i="14"/>
  <c r="P349" i="14"/>
  <c r="P253" i="14"/>
  <c r="P25" i="15"/>
  <c r="P49" i="15"/>
  <c r="P49" i="2"/>
  <c r="P53" i="2" s="1"/>
  <c r="Q22" i="13" s="1"/>
  <c r="Q26" i="13" s="1"/>
  <c r="P98" i="2"/>
  <c r="P145" i="2"/>
  <c r="P149" i="2" s="1"/>
  <c r="Q62" i="13" s="1"/>
  <c r="Q66" i="13" s="1"/>
  <c r="P217" i="2"/>
  <c r="P221" i="2" s="1"/>
  <c r="Q92" i="13" s="1"/>
  <c r="Q96" i="13" s="1"/>
  <c r="P266" i="2"/>
  <c r="P313" i="2"/>
  <c r="P317" i="2" s="1"/>
  <c r="Q132" i="13" s="1"/>
  <c r="Q136" i="13" s="1"/>
  <c r="P362" i="2"/>
  <c r="P73" i="15"/>
  <c r="P37" i="2"/>
  <c r="P41" i="2" s="1"/>
  <c r="Q17" i="13" s="1"/>
  <c r="Q21" i="13" s="1"/>
  <c r="P86" i="2"/>
  <c r="P133" i="2"/>
  <c r="P137" i="2" s="1"/>
  <c r="Q57" i="13" s="1"/>
  <c r="Q61" i="13" s="1"/>
  <c r="P157" i="2"/>
  <c r="P161" i="2" s="1"/>
  <c r="Q67" i="13" s="1"/>
  <c r="Q71" i="13" s="1"/>
  <c r="P169" i="2"/>
  <c r="P173" i="2" s="1"/>
  <c r="Q72" i="13" s="1"/>
  <c r="Q76" i="13" s="1"/>
  <c r="P181" i="2"/>
  <c r="P185" i="2" s="1"/>
  <c r="Q77" i="13" s="1"/>
  <c r="Q81" i="13" s="1"/>
  <c r="P193" i="2"/>
  <c r="P197" i="2" s="1"/>
  <c r="Q82" i="13" s="1"/>
  <c r="Q86" i="13" s="1"/>
  <c r="P205" i="2"/>
  <c r="P209" i="2" s="1"/>
  <c r="Q87" i="13" s="1"/>
  <c r="Q91" i="13" s="1"/>
  <c r="P254" i="2"/>
  <c r="O193" i="2"/>
  <c r="O217" i="2"/>
  <c r="O229" i="2"/>
  <c r="O253" i="2"/>
  <c r="O265" i="2"/>
  <c r="O277" i="2"/>
  <c r="O301" i="2"/>
  <c r="O313" i="2"/>
  <c r="O325" i="2"/>
  <c r="O337" i="2"/>
  <c r="O349" i="2"/>
  <c r="O361" i="2"/>
  <c r="O205" i="2"/>
  <c r="O241" i="2"/>
  <c r="O109" i="15"/>
  <c r="O13" i="2"/>
  <c r="O289" i="2"/>
  <c r="O25" i="2"/>
  <c r="O37" i="2"/>
  <c r="O49" i="2"/>
  <c r="O61" i="2"/>
  <c r="O73" i="2"/>
  <c r="O85" i="2"/>
  <c r="O97" i="2"/>
  <c r="O109" i="2"/>
  <c r="O121" i="2"/>
  <c r="O133" i="2"/>
  <c r="L13" i="15"/>
  <c r="G49" i="15"/>
  <c r="I97" i="15"/>
  <c r="I157" i="15"/>
  <c r="G145" i="15"/>
  <c r="M49" i="15"/>
  <c r="G85" i="15"/>
  <c r="K97" i="15"/>
  <c r="H85" i="15"/>
  <c r="M145" i="15"/>
  <c r="G181" i="15"/>
  <c r="L169" i="15"/>
  <c r="G25" i="15"/>
  <c r="K37" i="15"/>
  <c r="G121" i="15"/>
  <c r="L109" i="15"/>
  <c r="H25" i="15"/>
  <c r="K73" i="15"/>
  <c r="H121" i="15"/>
  <c r="K133" i="15"/>
  <c r="I25" i="15"/>
  <c r="H61" i="15"/>
  <c r="L73" i="15"/>
  <c r="I121" i="15"/>
  <c r="K169" i="15"/>
  <c r="N37" i="2"/>
  <c r="N277" i="2"/>
  <c r="N85" i="2"/>
  <c r="N61" i="2"/>
  <c r="N109" i="2"/>
  <c r="I157" i="2"/>
  <c r="K85" i="2"/>
  <c r="K109" i="2"/>
  <c r="L37" i="2"/>
  <c r="L61" i="2"/>
  <c r="L85" i="2"/>
  <c r="L109" i="2"/>
  <c r="K157" i="2"/>
  <c r="J193" i="2"/>
  <c r="N289" i="2"/>
  <c r="I25" i="2"/>
  <c r="I49" i="2"/>
  <c r="I73" i="2"/>
  <c r="I97" i="2"/>
  <c r="K121" i="2"/>
  <c r="I169" i="2"/>
  <c r="N217" i="2"/>
  <c r="K37" i="2"/>
  <c r="K25" i="2"/>
  <c r="K49" i="2"/>
  <c r="K73" i="2"/>
  <c r="K97" i="2"/>
  <c r="K133" i="2"/>
  <c r="K169" i="2"/>
  <c r="N229" i="2"/>
  <c r="H13" i="2"/>
  <c r="L25" i="2"/>
  <c r="L49" i="2"/>
  <c r="L73" i="2"/>
  <c r="L97" i="2"/>
  <c r="I145" i="2"/>
  <c r="N169" i="2"/>
  <c r="N241" i="2"/>
  <c r="J13" i="2"/>
  <c r="N25" i="2"/>
  <c r="N49" i="2"/>
  <c r="N73" i="2"/>
  <c r="N97" i="2"/>
  <c r="J145" i="2"/>
  <c r="H181" i="2"/>
  <c r="N253" i="2"/>
  <c r="K61" i="2"/>
  <c r="I37" i="2"/>
  <c r="I61" i="2"/>
  <c r="I85" i="2"/>
  <c r="I109" i="2"/>
  <c r="L145" i="2"/>
  <c r="J181" i="2"/>
  <c r="N265" i="2"/>
  <c r="G205" i="2"/>
  <c r="M301" i="2"/>
  <c r="M313" i="2"/>
  <c r="M325" i="2"/>
  <c r="M337" i="2"/>
  <c r="M349" i="2"/>
  <c r="M361" i="2"/>
  <c r="I13" i="2"/>
  <c r="M25" i="2"/>
  <c r="M37" i="2"/>
  <c r="M49" i="2"/>
  <c r="M61" i="2"/>
  <c r="M73" i="2"/>
  <c r="M85" i="2"/>
  <c r="M97" i="2"/>
  <c r="M109" i="2"/>
  <c r="L121" i="2"/>
  <c r="L133" i="2"/>
  <c r="K145" i="2"/>
  <c r="J157" i="2"/>
  <c r="J169" i="2"/>
  <c r="I181" i="2"/>
  <c r="I193" i="2"/>
  <c r="H205" i="2"/>
  <c r="G217" i="2"/>
  <c r="G229" i="2"/>
  <c r="G241" i="2"/>
  <c r="G253" i="2"/>
  <c r="G265" i="2"/>
  <c r="G277" i="2"/>
  <c r="G289" i="2"/>
  <c r="N301" i="2"/>
  <c r="N313" i="2"/>
  <c r="N325" i="2"/>
  <c r="N337" i="2"/>
  <c r="N349" i="2"/>
  <c r="N361" i="2"/>
  <c r="H289" i="2"/>
  <c r="G313" i="2"/>
  <c r="K13" i="2"/>
  <c r="G25" i="2"/>
  <c r="G37" i="2"/>
  <c r="G49" i="2"/>
  <c r="G61" i="2"/>
  <c r="G73" i="2"/>
  <c r="G85" i="2"/>
  <c r="G97" i="2"/>
  <c r="G109" i="2"/>
  <c r="N121" i="2"/>
  <c r="N133" i="2"/>
  <c r="M145" i="2"/>
  <c r="L157" i="2"/>
  <c r="L169" i="2"/>
  <c r="K181" i="2"/>
  <c r="K193" i="2"/>
  <c r="J205" i="2"/>
  <c r="I217" i="2"/>
  <c r="I229" i="2"/>
  <c r="I241" i="2"/>
  <c r="I253" i="2"/>
  <c r="I265" i="2"/>
  <c r="I277" i="2"/>
  <c r="I289" i="2"/>
  <c r="H301" i="2"/>
  <c r="H313" i="2"/>
  <c r="H325" i="2"/>
  <c r="H337" i="2"/>
  <c r="H349" i="2"/>
  <c r="H361" i="2"/>
  <c r="M121" i="2"/>
  <c r="M133" i="2"/>
  <c r="H217" i="2"/>
  <c r="H229" i="2"/>
  <c r="H241" i="2"/>
  <c r="H253" i="2"/>
  <c r="H265" i="2"/>
  <c r="H277" i="2"/>
  <c r="G301" i="2"/>
  <c r="G325" i="2"/>
  <c r="G337" i="2"/>
  <c r="G349" i="2"/>
  <c r="G361" i="2"/>
  <c r="L13" i="2"/>
  <c r="H25" i="2"/>
  <c r="H37" i="2"/>
  <c r="H49" i="2"/>
  <c r="H61" i="2"/>
  <c r="H73" i="2"/>
  <c r="H85" i="2"/>
  <c r="H97" i="2"/>
  <c r="H109" i="2"/>
  <c r="G121" i="2"/>
  <c r="G133" i="2"/>
  <c r="N145" i="2"/>
  <c r="M157" i="2"/>
  <c r="M169" i="2"/>
  <c r="L181" i="2"/>
  <c r="L193" i="2"/>
  <c r="K205" i="2"/>
  <c r="J217" i="2"/>
  <c r="J229" i="2"/>
  <c r="J241" i="2"/>
  <c r="J253" i="2"/>
  <c r="J265" i="2"/>
  <c r="J277" i="2"/>
  <c r="J289" i="2"/>
  <c r="I301" i="2"/>
  <c r="I313" i="2"/>
  <c r="I325" i="2"/>
  <c r="I337" i="2"/>
  <c r="I349" i="2"/>
  <c r="I361" i="2"/>
  <c r="M13" i="2"/>
  <c r="H121" i="2"/>
  <c r="H133" i="2"/>
  <c r="G145" i="2"/>
  <c r="M181" i="2"/>
  <c r="M193" i="2"/>
  <c r="L205" i="2"/>
  <c r="K217" i="2"/>
  <c r="K229" i="2"/>
  <c r="K241" i="2"/>
  <c r="K253" i="2"/>
  <c r="K265" i="2"/>
  <c r="K277" i="2"/>
  <c r="K289" i="2"/>
  <c r="J301" i="2"/>
  <c r="J313" i="2"/>
  <c r="J325" i="2"/>
  <c r="J337" i="2"/>
  <c r="J349" i="2"/>
  <c r="J361" i="2"/>
  <c r="N13" i="2"/>
  <c r="J25" i="2"/>
  <c r="J37" i="2"/>
  <c r="J49" i="2"/>
  <c r="J61" i="2"/>
  <c r="J73" i="2"/>
  <c r="J85" i="2"/>
  <c r="J97" i="2"/>
  <c r="J109" i="2"/>
  <c r="I121" i="2"/>
  <c r="H145" i="2"/>
  <c r="G157" i="2"/>
  <c r="G169" i="2"/>
  <c r="N181" i="2"/>
  <c r="N193" i="2"/>
  <c r="M205" i="2"/>
  <c r="L217" i="2"/>
  <c r="L229" i="2"/>
  <c r="L241" i="2"/>
  <c r="L253" i="2"/>
  <c r="L265" i="2"/>
  <c r="L277" i="2"/>
  <c r="L289" i="2"/>
  <c r="K301" i="2"/>
  <c r="K313" i="2"/>
  <c r="K325" i="2"/>
  <c r="K337" i="2"/>
  <c r="K349" i="2"/>
  <c r="G13" i="2"/>
  <c r="J121" i="2"/>
  <c r="H157" i="2"/>
  <c r="M217" i="2"/>
  <c r="M229" i="2"/>
  <c r="M241" i="2"/>
  <c r="M253" i="2"/>
  <c r="M265" i="2"/>
  <c r="M277" i="2"/>
  <c r="L301" i="2"/>
  <c r="L313" i="2"/>
  <c r="L325" i="2"/>
  <c r="L337" i="2"/>
  <c r="L349" i="2"/>
  <c r="O13" i="15"/>
  <c r="O25" i="15"/>
  <c r="O181" i="15"/>
  <c r="O97" i="15"/>
  <c r="O85" i="15"/>
  <c r="O169" i="15"/>
  <c r="O73" i="15"/>
  <c r="O157" i="15"/>
  <c r="O61" i="15"/>
  <c r="O145" i="15"/>
  <c r="O49" i="15"/>
  <c r="O133" i="15"/>
  <c r="H181" i="15"/>
  <c r="N181" i="15"/>
  <c r="N145" i="15"/>
  <c r="G13" i="15"/>
  <c r="M37" i="15"/>
  <c r="H49" i="15"/>
  <c r="K61" i="15"/>
  <c r="N73" i="15"/>
  <c r="I85" i="15"/>
  <c r="L97" i="15"/>
  <c r="G109" i="15"/>
  <c r="M133" i="15"/>
  <c r="H145" i="15"/>
  <c r="K157" i="15"/>
  <c r="N169" i="15"/>
  <c r="I181" i="15"/>
  <c r="G169" i="15"/>
  <c r="N85" i="15"/>
  <c r="N49" i="15"/>
  <c r="N109" i="15"/>
  <c r="M169" i="15"/>
  <c r="I13" i="15"/>
  <c r="L25" i="15"/>
  <c r="G37" i="15"/>
  <c r="M61" i="15"/>
  <c r="H73" i="15"/>
  <c r="K85" i="15"/>
  <c r="N97" i="15"/>
  <c r="I109" i="15"/>
  <c r="L121" i="15"/>
  <c r="G133" i="15"/>
  <c r="M157" i="15"/>
  <c r="H169" i="15"/>
  <c r="K181" i="15"/>
  <c r="M13" i="15"/>
  <c r="L133" i="15"/>
  <c r="M25" i="15"/>
  <c r="H37" i="15"/>
  <c r="K49" i="15"/>
  <c r="N61" i="15"/>
  <c r="I73" i="15"/>
  <c r="L85" i="15"/>
  <c r="G97" i="15"/>
  <c r="M121" i="15"/>
  <c r="H133" i="15"/>
  <c r="K145" i="15"/>
  <c r="N157" i="15"/>
  <c r="I169" i="15"/>
  <c r="L181" i="15"/>
  <c r="M109" i="15"/>
  <c r="N13" i="15"/>
  <c r="L37" i="15"/>
  <c r="M73" i="15"/>
  <c r="H13" i="15"/>
  <c r="K25" i="15"/>
  <c r="N37" i="15"/>
  <c r="I49" i="15"/>
  <c r="L61" i="15"/>
  <c r="G73" i="15"/>
  <c r="M97" i="15"/>
  <c r="H109" i="15"/>
  <c r="K121" i="15"/>
  <c r="N133" i="15"/>
  <c r="I145" i="15"/>
  <c r="L157" i="15"/>
  <c r="K13" i="15"/>
  <c r="N25" i="15"/>
  <c r="I37" i="15"/>
  <c r="L49" i="15"/>
  <c r="G61" i="15"/>
  <c r="M85" i="15"/>
  <c r="P257" i="2" l="1"/>
  <c r="Q107" i="13" s="1"/>
  <c r="Q111" i="13" s="1"/>
  <c r="P113" i="2"/>
  <c r="Q47" i="13" s="1"/>
  <c r="Q51" i="13" s="1"/>
  <c r="P101" i="2"/>
  <c r="Q42" i="13" s="1"/>
  <c r="Q46" i="13" s="1"/>
  <c r="P329" i="2"/>
  <c r="Q137" i="13" s="1"/>
  <c r="Q141" i="13" s="1"/>
  <c r="P293" i="2"/>
  <c r="Q122" i="13" s="1"/>
  <c r="Q126" i="13" s="1"/>
  <c r="P365" i="2"/>
  <c r="Q152" i="13" s="1"/>
  <c r="Q156" i="13" s="1"/>
  <c r="P233" i="2"/>
  <c r="Q97" i="13" s="1"/>
  <c r="Q101" i="13" s="1"/>
  <c r="P269" i="2"/>
  <c r="Q112" i="13" s="1"/>
  <c r="Q116" i="13" s="1"/>
  <c r="P281" i="2"/>
  <c r="Q117" i="13" s="1"/>
  <c r="Q121" i="13" s="1"/>
  <c r="F26" i="2"/>
  <c r="F350" i="2"/>
  <c r="F110" i="2"/>
  <c r="F290" i="2"/>
  <c r="F86" i="2"/>
  <c r="F206" i="2"/>
  <c r="F338" i="2"/>
  <c r="F194" i="2"/>
  <c r="F242" i="2"/>
  <c r="F134" i="2"/>
  <c r="F266" i="2"/>
  <c r="F326" i="2"/>
  <c r="F302" i="2"/>
  <c r="F218" i="2"/>
  <c r="F74" i="2"/>
  <c r="F122" i="2"/>
  <c r="F38" i="2"/>
  <c r="F98" i="2"/>
  <c r="F230" i="2"/>
  <c r="F254" i="2"/>
  <c r="F182" i="2"/>
  <c r="F50" i="2"/>
  <c r="F62" i="2"/>
  <c r="F362" i="2"/>
  <c r="F278" i="2"/>
  <c r="F170" i="2"/>
  <c r="F158" i="2"/>
  <c r="F314" i="2"/>
  <c r="F97" i="2"/>
  <c r="F241" i="2"/>
  <c r="F325" i="2"/>
  <c r="F313" i="2"/>
  <c r="F193" i="2"/>
  <c r="F133" i="2"/>
  <c r="F265" i="2"/>
  <c r="F73" i="2"/>
  <c r="F181" i="2"/>
  <c r="F13" i="2"/>
  <c r="F289" i="2"/>
  <c r="F229" i="2"/>
  <c r="F301" i="2"/>
  <c r="F85" i="2"/>
  <c r="F277" i="2"/>
  <c r="F121" i="2"/>
  <c r="F61" i="2"/>
  <c r="F253" i="2"/>
  <c r="F49" i="2"/>
  <c r="F145" i="2"/>
  <c r="F361" i="2"/>
  <c r="F365" i="2" s="1"/>
  <c r="F37" i="2"/>
  <c r="F25" i="2"/>
  <c r="F217" i="2"/>
  <c r="F205" i="2"/>
  <c r="F169" i="2"/>
  <c r="F349" i="2"/>
  <c r="F157" i="2"/>
  <c r="F337" i="2"/>
  <c r="F109" i="2"/>
  <c r="H73" i="23" l="1"/>
  <c r="E71" i="23"/>
  <c r="E70" i="23"/>
  <c r="E69" i="23"/>
  <c r="E68" i="23"/>
  <c r="P67" i="23"/>
  <c r="O67" i="23"/>
  <c r="M67" i="23"/>
  <c r="L67" i="23"/>
  <c r="K67" i="23"/>
  <c r="J67" i="23"/>
  <c r="I67" i="23"/>
  <c r="H67" i="23"/>
  <c r="G67" i="23"/>
  <c r="F67" i="23"/>
  <c r="E76" i="23"/>
  <c r="E65" i="23"/>
  <c r="E64" i="23"/>
  <c r="E63" i="23"/>
  <c r="E62" i="23"/>
  <c r="P61" i="23"/>
  <c r="O61" i="23"/>
  <c r="N61" i="23"/>
  <c r="M61" i="23"/>
  <c r="L61" i="23"/>
  <c r="K61" i="23"/>
  <c r="J61" i="23"/>
  <c r="I61" i="23"/>
  <c r="H61" i="23"/>
  <c r="G61" i="23"/>
  <c r="F61" i="23"/>
  <c r="E59" i="23"/>
  <c r="E58" i="23"/>
  <c r="E57" i="23"/>
  <c r="E56" i="23"/>
  <c r="P55" i="23"/>
  <c r="O55" i="23"/>
  <c r="N55" i="23"/>
  <c r="M55" i="23"/>
  <c r="L55" i="23"/>
  <c r="K55" i="23"/>
  <c r="J55" i="23"/>
  <c r="I55" i="23"/>
  <c r="H55" i="23"/>
  <c r="G55" i="23"/>
  <c r="F55" i="23"/>
  <c r="E67" i="23" l="1"/>
  <c r="M73" i="23"/>
  <c r="F73" i="23"/>
  <c r="I73" i="23"/>
  <c r="J73" i="23"/>
  <c r="E55" i="23"/>
  <c r="E77" i="23"/>
  <c r="E61" i="23"/>
  <c r="G73" i="23"/>
  <c r="L73" i="23"/>
  <c r="P73" i="23"/>
  <c r="B105" i="23" s="1"/>
  <c r="O73" i="23"/>
  <c r="B104" i="23" s="1"/>
  <c r="E74" i="23"/>
  <c r="E75" i="23"/>
  <c r="B103" i="23" l="1"/>
  <c r="B106" i="23" s="1"/>
  <c r="E73" i="23"/>
  <c r="F277" i="14"/>
  <c r="F181" i="14"/>
  <c r="F85" i="14"/>
  <c r="F13" i="14"/>
  <c r="F361" i="14"/>
  <c r="F313" i="14"/>
  <c r="F217" i="14"/>
  <c r="F121" i="14"/>
  <c r="F25" i="14"/>
  <c r="F265" i="14"/>
  <c r="F349" i="14"/>
  <c r="F253" i="14"/>
  <c r="F157" i="14"/>
  <c r="F61" i="14"/>
  <c r="F289" i="14"/>
  <c r="F193" i="14"/>
  <c r="F97" i="14"/>
  <c r="F325" i="14"/>
  <c r="F229" i="14"/>
  <c r="F133" i="14"/>
  <c r="F37" i="14"/>
  <c r="F169" i="14"/>
  <c r="F73" i="14"/>
  <c r="F301" i="14"/>
  <c r="F205" i="14"/>
  <c r="F109" i="14"/>
  <c r="F337" i="14"/>
  <c r="F241" i="14"/>
  <c r="F145" i="14"/>
  <c r="F49" i="14"/>
  <c r="F121" i="15"/>
  <c r="F25" i="15"/>
  <c r="F133" i="15"/>
  <c r="F37" i="15"/>
  <c r="F109" i="15"/>
  <c r="F157" i="15"/>
  <c r="F61" i="15"/>
  <c r="F13" i="15"/>
  <c r="F145" i="15"/>
  <c r="F85" i="15"/>
  <c r="F97" i="15"/>
  <c r="F169" i="15"/>
  <c r="F73" i="15"/>
  <c r="F49" i="15"/>
  <c r="F181" i="15"/>
  <c r="F13" i="22" l="1"/>
  <c r="F12" i="22"/>
  <c r="D362" i="16"/>
  <c r="D350" i="16"/>
  <c r="D338" i="16"/>
  <c r="D326" i="16"/>
  <c r="D314" i="16"/>
  <c r="D302" i="16"/>
  <c r="D290" i="16"/>
  <c r="D278" i="16"/>
  <c r="D266" i="16"/>
  <c r="D254" i="16"/>
  <c r="D242" i="16"/>
  <c r="D230" i="16"/>
  <c r="D218" i="16"/>
  <c r="D206" i="16"/>
  <c r="D194" i="16"/>
  <c r="D182" i="16"/>
  <c r="D170" i="16"/>
  <c r="D146" i="16"/>
  <c r="D134" i="16"/>
  <c r="D122" i="16"/>
  <c r="D98" i="16"/>
  <c r="D86" i="16"/>
  <c r="D62" i="16"/>
  <c r="D50" i="16"/>
  <c r="D38" i="16"/>
  <c r="D26" i="16"/>
  <c r="D14" i="16"/>
  <c r="G362" i="16"/>
  <c r="H338" i="16"/>
  <c r="J362" i="16"/>
  <c r="K362" i="16"/>
  <c r="L362" i="16"/>
  <c r="F266" i="16"/>
  <c r="O362" i="14"/>
  <c r="L362" i="14"/>
  <c r="D362" i="14"/>
  <c r="O350" i="14"/>
  <c r="L350" i="14"/>
  <c r="D350" i="14"/>
  <c r="O338" i="14"/>
  <c r="L338" i="14"/>
  <c r="D338" i="14"/>
  <c r="O326" i="14"/>
  <c r="L326" i="14"/>
  <c r="D326" i="14"/>
  <c r="O314" i="14"/>
  <c r="L314" i="14"/>
  <c r="D314" i="14"/>
  <c r="O302" i="14"/>
  <c r="L302" i="14"/>
  <c r="D302" i="14"/>
  <c r="O290" i="14"/>
  <c r="L290" i="14"/>
  <c r="D290" i="14"/>
  <c r="O278" i="14"/>
  <c r="L278" i="14"/>
  <c r="D278" i="14"/>
  <c r="O266" i="14"/>
  <c r="L266" i="14"/>
  <c r="D266" i="14"/>
  <c r="O254" i="14"/>
  <c r="L254" i="14"/>
  <c r="D254" i="14"/>
  <c r="O242" i="14"/>
  <c r="L242" i="14"/>
  <c r="D242" i="14"/>
  <c r="O230" i="14"/>
  <c r="L230" i="14"/>
  <c r="D230" i="14"/>
  <c r="O218" i="14"/>
  <c r="L218" i="14"/>
  <c r="D218" i="14"/>
  <c r="O206" i="14"/>
  <c r="L206" i="14"/>
  <c r="D206" i="14"/>
  <c r="O194" i="14"/>
  <c r="L194" i="14"/>
  <c r="D194" i="14"/>
  <c r="O182" i="14"/>
  <c r="L182" i="14"/>
  <c r="D182" i="14"/>
  <c r="O170" i="14"/>
  <c r="L170" i="14"/>
  <c r="D170" i="14"/>
  <c r="O158" i="14"/>
  <c r="L158" i="14"/>
  <c r="D158" i="14"/>
  <c r="O146" i="14"/>
  <c r="L146" i="14"/>
  <c r="D146" i="14"/>
  <c r="O134" i="14"/>
  <c r="L134" i="14"/>
  <c r="D134" i="14"/>
  <c r="O122" i="14"/>
  <c r="L122" i="14"/>
  <c r="D122" i="14"/>
  <c r="O110" i="14"/>
  <c r="L110" i="14"/>
  <c r="D110" i="14"/>
  <c r="O98" i="14"/>
  <c r="L98" i="14"/>
  <c r="D98" i="14"/>
  <c r="O86" i="14"/>
  <c r="L86" i="14"/>
  <c r="D86" i="14"/>
  <c r="O74" i="14"/>
  <c r="L74" i="14"/>
  <c r="D74" i="14"/>
  <c r="O62" i="14"/>
  <c r="L62" i="14"/>
  <c r="D62" i="14"/>
  <c r="O50" i="14"/>
  <c r="L50" i="14"/>
  <c r="D50" i="14"/>
  <c r="O14" i="14"/>
  <c r="L14" i="14"/>
  <c r="R14" i="14"/>
  <c r="D14" i="14"/>
  <c r="O362" i="15"/>
  <c r="L362" i="15"/>
  <c r="J362" i="15"/>
  <c r="I362" i="15"/>
  <c r="D362" i="15"/>
  <c r="O350" i="15"/>
  <c r="L350" i="15"/>
  <c r="J350" i="15"/>
  <c r="I350" i="15"/>
  <c r="D350" i="15"/>
  <c r="O338" i="15"/>
  <c r="L338" i="15"/>
  <c r="J338" i="15"/>
  <c r="I338" i="15"/>
  <c r="D338" i="15"/>
  <c r="O326" i="15"/>
  <c r="L326" i="15"/>
  <c r="J326" i="15"/>
  <c r="I326" i="15"/>
  <c r="D326" i="15"/>
  <c r="O314" i="15"/>
  <c r="L314" i="15"/>
  <c r="J314" i="15"/>
  <c r="I314" i="15"/>
  <c r="D314" i="15"/>
  <c r="O302" i="15"/>
  <c r="L302" i="15"/>
  <c r="J302" i="15"/>
  <c r="I302" i="15"/>
  <c r="D302" i="15"/>
  <c r="O290" i="15"/>
  <c r="L290" i="15"/>
  <c r="J290" i="15"/>
  <c r="I290" i="15"/>
  <c r="D290" i="15"/>
  <c r="O278" i="15"/>
  <c r="L278" i="15"/>
  <c r="J278" i="15"/>
  <c r="I278" i="15"/>
  <c r="D278" i="15"/>
  <c r="O266" i="15"/>
  <c r="L266" i="15"/>
  <c r="J266" i="15"/>
  <c r="I266" i="15"/>
  <c r="D266" i="15"/>
  <c r="O242" i="15"/>
  <c r="L242" i="15"/>
  <c r="J242" i="15"/>
  <c r="I242" i="15"/>
  <c r="D242" i="15"/>
  <c r="O230" i="15"/>
  <c r="L230" i="15"/>
  <c r="J230" i="15"/>
  <c r="I230" i="15"/>
  <c r="D230" i="15"/>
  <c r="O218" i="15"/>
  <c r="L218" i="15"/>
  <c r="J218" i="15"/>
  <c r="I218" i="15"/>
  <c r="D218" i="15"/>
  <c r="O206" i="15"/>
  <c r="L206" i="15"/>
  <c r="J206" i="15"/>
  <c r="I206" i="15"/>
  <c r="D206" i="15"/>
  <c r="O194" i="15"/>
  <c r="L194" i="15"/>
  <c r="J194" i="15"/>
  <c r="I194" i="15"/>
  <c r="D194" i="15"/>
  <c r="O182" i="15"/>
  <c r="L182" i="15"/>
  <c r="J182" i="15"/>
  <c r="I182" i="15"/>
  <c r="D182" i="15"/>
  <c r="O170" i="15"/>
  <c r="L170" i="15"/>
  <c r="J170" i="15"/>
  <c r="I170" i="15"/>
  <c r="D170" i="15"/>
  <c r="O158" i="15"/>
  <c r="L158" i="15"/>
  <c r="J158" i="15"/>
  <c r="I158" i="15"/>
  <c r="D158" i="15"/>
  <c r="O146" i="15"/>
  <c r="L146" i="15"/>
  <c r="J146" i="15"/>
  <c r="I146" i="15"/>
  <c r="D146" i="15"/>
  <c r="O134" i="15"/>
  <c r="L134" i="15"/>
  <c r="J134" i="15"/>
  <c r="I134" i="15"/>
  <c r="D134" i="15"/>
  <c r="O122" i="15"/>
  <c r="L122" i="15"/>
  <c r="J122" i="15"/>
  <c r="I122" i="15"/>
  <c r="D122" i="15"/>
  <c r="O110" i="15"/>
  <c r="L110" i="15"/>
  <c r="J110" i="15"/>
  <c r="I110" i="15"/>
  <c r="D110" i="15"/>
  <c r="O98" i="15"/>
  <c r="L98" i="15"/>
  <c r="J98" i="15"/>
  <c r="I98" i="15"/>
  <c r="D98" i="15"/>
  <c r="O86" i="15"/>
  <c r="L86" i="15"/>
  <c r="J86" i="15"/>
  <c r="I86" i="15"/>
  <c r="D86" i="15"/>
  <c r="O74" i="15"/>
  <c r="L74" i="15"/>
  <c r="J74" i="15"/>
  <c r="I74" i="15"/>
  <c r="D74" i="15"/>
  <c r="O62" i="15"/>
  <c r="L62" i="15"/>
  <c r="J62" i="15"/>
  <c r="I62" i="15"/>
  <c r="D62" i="15"/>
  <c r="O50" i="15"/>
  <c r="L50" i="15"/>
  <c r="J50" i="15"/>
  <c r="I50" i="15"/>
  <c r="D50" i="15"/>
  <c r="O38" i="15"/>
  <c r="L38" i="15"/>
  <c r="J38" i="15"/>
  <c r="I38" i="15"/>
  <c r="D38" i="15"/>
  <c r="O26" i="15"/>
  <c r="L26" i="15"/>
  <c r="J26" i="15"/>
  <c r="I26" i="15"/>
  <c r="D26" i="15"/>
  <c r="D14" i="15"/>
  <c r="Q14" i="2"/>
  <c r="O14" i="2"/>
  <c r="L14" i="2"/>
  <c r="J14" i="2"/>
  <c r="D14" i="2"/>
  <c r="P26" i="23"/>
  <c r="P24" i="23"/>
  <c r="O24" i="23"/>
  <c r="O26" i="23"/>
  <c r="P10" i="23"/>
  <c r="O10" i="23"/>
  <c r="N10" i="23"/>
  <c r="M10" i="23"/>
  <c r="L10" i="23"/>
  <c r="K10" i="23"/>
  <c r="J10" i="23"/>
  <c r="I10" i="23"/>
  <c r="H10" i="23"/>
  <c r="G10" i="23"/>
  <c r="F10" i="23"/>
  <c r="P16" i="23"/>
  <c r="O16" i="23"/>
  <c r="M16" i="23"/>
  <c r="L16" i="23"/>
  <c r="K16" i="23"/>
  <c r="J16" i="23"/>
  <c r="I16" i="23"/>
  <c r="H16" i="23"/>
  <c r="G16" i="23"/>
  <c r="F16" i="23"/>
  <c r="K22" i="23"/>
  <c r="E25" i="23"/>
  <c r="N302" i="15"/>
  <c r="N14" i="14"/>
  <c r="E13" i="23"/>
  <c r="E14" i="23"/>
  <c r="E17" i="23"/>
  <c r="E18" i="23"/>
  <c r="E19" i="23"/>
  <c r="E20" i="23"/>
  <c r="E11" i="23"/>
  <c r="E12" i="23"/>
  <c r="K98" i="14"/>
  <c r="G290" i="15"/>
  <c r="H326" i="15"/>
  <c r="K206" i="15"/>
  <c r="M290" i="15"/>
  <c r="G242" i="14"/>
  <c r="H338" i="14"/>
  <c r="I350" i="14"/>
  <c r="J290" i="14"/>
  <c r="M242" i="14"/>
  <c r="F7" i="2"/>
  <c r="F6" i="2"/>
  <c r="Q350" i="15" l="1"/>
  <c r="Q14" i="15"/>
  <c r="Q254" i="15"/>
  <c r="Q290" i="14"/>
  <c r="Q26" i="14"/>
  <c r="Q38" i="14"/>
  <c r="P278" i="14"/>
  <c r="P26" i="14"/>
  <c r="P38" i="14"/>
  <c r="P278" i="15"/>
  <c r="P14" i="15"/>
  <c r="P254" i="15"/>
  <c r="H182" i="16"/>
  <c r="H254" i="16"/>
  <c r="H38" i="16"/>
  <c r="H194" i="16"/>
  <c r="H278" i="16"/>
  <c r="H350" i="16"/>
  <c r="H62" i="16"/>
  <c r="H146" i="16"/>
  <c r="H290" i="16"/>
  <c r="H98" i="16"/>
  <c r="H218" i="16"/>
  <c r="H314" i="16"/>
  <c r="H14" i="16"/>
  <c r="H122" i="16"/>
  <c r="H230" i="16"/>
  <c r="H326" i="16"/>
  <c r="H50" i="16"/>
  <c r="H170" i="16"/>
  <c r="H266" i="16"/>
  <c r="H362" i="16"/>
  <c r="H86" i="16"/>
  <c r="H206" i="16"/>
  <c r="H302" i="16"/>
  <c r="H26" i="16"/>
  <c r="H134" i="16"/>
  <c r="H242" i="16"/>
  <c r="F314" i="16"/>
  <c r="F326" i="16"/>
  <c r="F338" i="16"/>
  <c r="F350" i="16"/>
  <c r="F362" i="16"/>
  <c r="G14" i="16"/>
  <c r="G26" i="16"/>
  <c r="G38" i="16"/>
  <c r="G50" i="16"/>
  <c r="G62" i="16"/>
  <c r="G86" i="16"/>
  <c r="G98" i="16"/>
  <c r="G122" i="16"/>
  <c r="G134" i="16"/>
  <c r="G146" i="16"/>
  <c r="G170" i="16"/>
  <c r="G182" i="16"/>
  <c r="G194" i="16"/>
  <c r="G206" i="16"/>
  <c r="G218" i="16"/>
  <c r="G230" i="16"/>
  <c r="G242" i="16"/>
  <c r="G254" i="16"/>
  <c r="G266" i="16"/>
  <c r="G278" i="16"/>
  <c r="G290" i="16"/>
  <c r="G302" i="16"/>
  <c r="G314" i="16"/>
  <c r="G326" i="16"/>
  <c r="G338" i="16"/>
  <c r="G350" i="16"/>
  <c r="F38" i="16"/>
  <c r="F98" i="16"/>
  <c r="F146" i="16"/>
  <c r="F170" i="16"/>
  <c r="F206" i="16"/>
  <c r="F218" i="16"/>
  <c r="F230" i="16"/>
  <c r="F242" i="16"/>
  <c r="F254" i="16"/>
  <c r="F302" i="16"/>
  <c r="J14" i="16"/>
  <c r="J26" i="16"/>
  <c r="J38" i="16"/>
  <c r="J50" i="16"/>
  <c r="J62" i="16"/>
  <c r="J86" i="16"/>
  <c r="J98" i="16"/>
  <c r="J122" i="16"/>
  <c r="J134" i="16"/>
  <c r="J146" i="16"/>
  <c r="J170" i="16"/>
  <c r="J182" i="16"/>
  <c r="J194" i="16"/>
  <c r="J206" i="16"/>
  <c r="J218" i="16"/>
  <c r="J230" i="16"/>
  <c r="J242" i="16"/>
  <c r="J254" i="16"/>
  <c r="J266" i="16"/>
  <c r="J278" i="16"/>
  <c r="J290" i="16"/>
  <c r="J302" i="16"/>
  <c r="J314" i="16"/>
  <c r="J326" i="16"/>
  <c r="J338" i="16"/>
  <c r="J350" i="16"/>
  <c r="F278" i="16"/>
  <c r="K14" i="16"/>
  <c r="K26" i="16"/>
  <c r="K38" i="16"/>
  <c r="K50" i="16"/>
  <c r="K62" i="16"/>
  <c r="K86" i="16"/>
  <c r="K98" i="16"/>
  <c r="K122" i="16"/>
  <c r="K134" i="16"/>
  <c r="K146" i="16"/>
  <c r="K170" i="16"/>
  <c r="K182" i="16"/>
  <c r="K194" i="16"/>
  <c r="K206" i="16"/>
  <c r="K218" i="16"/>
  <c r="K230" i="16"/>
  <c r="K242" i="16"/>
  <c r="K254" i="16"/>
  <c r="K266" i="16"/>
  <c r="K278" i="16"/>
  <c r="K290" i="16"/>
  <c r="K302" i="16"/>
  <c r="K314" i="16"/>
  <c r="K326" i="16"/>
  <c r="K338" i="16"/>
  <c r="K350" i="16"/>
  <c r="F14" i="16"/>
  <c r="F62" i="16"/>
  <c r="F122" i="16"/>
  <c r="F194" i="16"/>
  <c r="F290" i="16"/>
  <c r="L14" i="16"/>
  <c r="L26" i="16"/>
  <c r="L38" i="16"/>
  <c r="L50" i="16"/>
  <c r="L62" i="16"/>
  <c r="L86" i="16"/>
  <c r="L98" i="16"/>
  <c r="L122" i="16"/>
  <c r="L134" i="16"/>
  <c r="L146" i="16"/>
  <c r="L170" i="16"/>
  <c r="L182" i="16"/>
  <c r="L194" i="16"/>
  <c r="L206" i="16"/>
  <c r="L218" i="16"/>
  <c r="L230" i="16"/>
  <c r="L242" i="16"/>
  <c r="L254" i="16"/>
  <c r="L266" i="16"/>
  <c r="L278" i="16"/>
  <c r="L290" i="16"/>
  <c r="L302" i="16"/>
  <c r="L314" i="16"/>
  <c r="L326" i="16"/>
  <c r="L338" i="16"/>
  <c r="L350" i="16"/>
  <c r="F26" i="16"/>
  <c r="F50" i="16"/>
  <c r="F86" i="16"/>
  <c r="F134" i="16"/>
  <c r="F182" i="16"/>
  <c r="P14" i="2"/>
  <c r="P17" i="2" s="1"/>
  <c r="Q7" i="13" s="1"/>
  <c r="Q11" i="13" s="1"/>
  <c r="N218" i="15"/>
  <c r="N314" i="15"/>
  <c r="K194" i="15"/>
  <c r="G278" i="15"/>
  <c r="K302" i="15"/>
  <c r="M74" i="14"/>
  <c r="K230" i="14"/>
  <c r="J254" i="14"/>
  <c r="I14" i="2"/>
  <c r="M98" i="15"/>
  <c r="K290" i="15"/>
  <c r="G14" i="14"/>
  <c r="K134" i="14"/>
  <c r="J158" i="14"/>
  <c r="M302" i="14"/>
  <c r="E16" i="23"/>
  <c r="K38" i="15"/>
  <c r="K74" i="15"/>
  <c r="M194" i="15"/>
  <c r="H14" i="14"/>
  <c r="J62" i="14"/>
  <c r="M206" i="14"/>
  <c r="M230" i="14"/>
  <c r="M362" i="14"/>
  <c r="J22" i="23"/>
  <c r="K14" i="2"/>
  <c r="K26" i="15"/>
  <c r="P86" i="15"/>
  <c r="K134" i="15"/>
  <c r="K170" i="15"/>
  <c r="M110" i="14"/>
  <c r="M134" i="14"/>
  <c r="I22" i="23"/>
  <c r="K122" i="15"/>
  <c r="P182" i="15"/>
  <c r="K230" i="15"/>
  <c r="K266" i="15"/>
  <c r="K266" i="14"/>
  <c r="K290" i="14"/>
  <c r="J314" i="14"/>
  <c r="N14" i="2"/>
  <c r="N26" i="15"/>
  <c r="K218" i="15"/>
  <c r="K326" i="15"/>
  <c r="K362" i="15"/>
  <c r="K170" i="14"/>
  <c r="K194" i="14"/>
  <c r="E10" i="23"/>
  <c r="G86" i="15"/>
  <c r="K110" i="15"/>
  <c r="N122" i="15"/>
  <c r="K314" i="15"/>
  <c r="Q14" i="14"/>
  <c r="K74" i="14"/>
  <c r="M266" i="14"/>
  <c r="K98" i="15"/>
  <c r="G182" i="15"/>
  <c r="M170" i="14"/>
  <c r="M350" i="15"/>
  <c r="M158" i="15"/>
  <c r="M62" i="15"/>
  <c r="M326" i="15"/>
  <c r="M230" i="15"/>
  <c r="M134" i="15"/>
  <c r="M38" i="15"/>
  <c r="L22" i="23"/>
  <c r="P362" i="15"/>
  <c r="P266" i="15"/>
  <c r="P170" i="15"/>
  <c r="P74" i="15"/>
  <c r="P338" i="15"/>
  <c r="P242" i="15"/>
  <c r="P146" i="15"/>
  <c r="P50" i="15"/>
  <c r="H38" i="15"/>
  <c r="Q38" i="15"/>
  <c r="M50" i="15"/>
  <c r="G74" i="15"/>
  <c r="N86" i="15"/>
  <c r="H110" i="15"/>
  <c r="P110" i="15"/>
  <c r="H134" i="15"/>
  <c r="Q134" i="15"/>
  <c r="M146" i="15"/>
  <c r="G170" i="15"/>
  <c r="N182" i="15"/>
  <c r="H206" i="15"/>
  <c r="P206" i="15"/>
  <c r="H230" i="15"/>
  <c r="Q230" i="15"/>
  <c r="M242" i="15"/>
  <c r="G266" i="15"/>
  <c r="N278" i="15"/>
  <c r="H302" i="15"/>
  <c r="P302" i="15"/>
  <c r="Q326" i="15"/>
  <c r="M338" i="15"/>
  <c r="G362" i="15"/>
  <c r="H86" i="14"/>
  <c r="I98" i="14"/>
  <c r="G110" i="14"/>
  <c r="I122" i="14"/>
  <c r="H182" i="14"/>
  <c r="I194" i="14"/>
  <c r="G206" i="14"/>
  <c r="I218" i="14"/>
  <c r="H278" i="14"/>
  <c r="I290" i="14"/>
  <c r="G302" i="14"/>
  <c r="M326" i="14"/>
  <c r="K278" i="15"/>
  <c r="K182" i="15"/>
  <c r="K86" i="15"/>
  <c r="K350" i="15"/>
  <c r="K158" i="15"/>
  <c r="K62" i="15"/>
  <c r="K362" i="14"/>
  <c r="K302" i="14"/>
  <c r="K206" i="14"/>
  <c r="K110" i="14"/>
  <c r="K338" i="14"/>
  <c r="K242" i="14"/>
  <c r="K146" i="14"/>
  <c r="K50" i="14"/>
  <c r="K14" i="14"/>
  <c r="K278" i="14"/>
  <c r="K182" i="14"/>
  <c r="K86" i="14"/>
  <c r="K314" i="14"/>
  <c r="K218" i="14"/>
  <c r="K122" i="14"/>
  <c r="O22" i="23"/>
  <c r="M26" i="15"/>
  <c r="N50" i="15"/>
  <c r="M122" i="15"/>
  <c r="N146" i="15"/>
  <c r="M218" i="15"/>
  <c r="N242" i="15"/>
  <c r="M314" i="15"/>
  <c r="N338" i="15"/>
  <c r="M50" i="14"/>
  <c r="K62" i="14"/>
  <c r="I86" i="14"/>
  <c r="J98" i="14"/>
  <c r="J122" i="14"/>
  <c r="M146" i="14"/>
  <c r="K158" i="14"/>
  <c r="I182" i="14"/>
  <c r="J194" i="14"/>
  <c r="J218" i="14"/>
  <c r="K254" i="14"/>
  <c r="I278" i="14"/>
  <c r="P338" i="14"/>
  <c r="H362" i="15"/>
  <c r="H266" i="15"/>
  <c r="H170" i="15"/>
  <c r="H74" i="15"/>
  <c r="H338" i="15"/>
  <c r="H242" i="15"/>
  <c r="H146" i="15"/>
  <c r="H50" i="15"/>
  <c r="N314" i="14"/>
  <c r="N218" i="14"/>
  <c r="N122" i="14"/>
  <c r="N350" i="14"/>
  <c r="N254" i="14"/>
  <c r="N158" i="14"/>
  <c r="N62" i="14"/>
  <c r="N290" i="14"/>
  <c r="N194" i="14"/>
  <c r="N98" i="14"/>
  <c r="N326" i="14"/>
  <c r="N230" i="14"/>
  <c r="N134" i="14"/>
  <c r="N362" i="14"/>
  <c r="M338" i="14"/>
  <c r="M278" i="14"/>
  <c r="M182" i="14"/>
  <c r="M86" i="14"/>
  <c r="M314" i="14"/>
  <c r="M218" i="14"/>
  <c r="M122" i="14"/>
  <c r="M350" i="14"/>
  <c r="M254" i="14"/>
  <c r="M158" i="14"/>
  <c r="M62" i="14"/>
  <c r="M290" i="14"/>
  <c r="M194" i="14"/>
  <c r="M98" i="14"/>
  <c r="G26" i="15"/>
  <c r="G50" i="15"/>
  <c r="N62" i="15"/>
  <c r="H86" i="15"/>
  <c r="G122" i="15"/>
  <c r="Q146" i="15"/>
  <c r="G218" i="15"/>
  <c r="G242" i="15"/>
  <c r="H278" i="15"/>
  <c r="G314" i="15"/>
  <c r="Q338" i="15"/>
  <c r="N350" i="15"/>
  <c r="N74" i="14"/>
  <c r="N86" i="14"/>
  <c r="N110" i="14"/>
  <c r="N170" i="14"/>
  <c r="N182" i="14"/>
  <c r="N206" i="14"/>
  <c r="N266" i="14"/>
  <c r="N278" i="14"/>
  <c r="N302" i="14"/>
  <c r="P314" i="14"/>
  <c r="J326" i="14"/>
  <c r="J362" i="14"/>
  <c r="J266" i="14"/>
  <c r="J170" i="14"/>
  <c r="J74" i="14"/>
  <c r="J302" i="14"/>
  <c r="J206" i="14"/>
  <c r="J110" i="14"/>
  <c r="J338" i="14"/>
  <c r="J242" i="14"/>
  <c r="J146" i="14"/>
  <c r="J278" i="14"/>
  <c r="J182" i="14"/>
  <c r="J86" i="14"/>
  <c r="H22" i="23"/>
  <c r="M14" i="2"/>
  <c r="H26" i="15"/>
  <c r="P26" i="15"/>
  <c r="G98" i="15"/>
  <c r="P98" i="15"/>
  <c r="H122" i="15"/>
  <c r="P122" i="15"/>
  <c r="G194" i="15"/>
  <c r="P194" i="15"/>
  <c r="H218" i="15"/>
  <c r="P218" i="15"/>
  <c r="P290" i="15"/>
  <c r="H314" i="15"/>
  <c r="P314" i="15"/>
  <c r="J14" i="14"/>
  <c r="P50" i="14"/>
  <c r="P62" i="14"/>
  <c r="P122" i="14"/>
  <c r="P146" i="14"/>
  <c r="P158" i="14"/>
  <c r="P218" i="14"/>
  <c r="P242" i="14"/>
  <c r="P254" i="14"/>
  <c r="Q314" i="14"/>
  <c r="G338" i="14"/>
  <c r="J350" i="14"/>
  <c r="G22" i="23"/>
  <c r="Q26" i="15"/>
  <c r="N38" i="15"/>
  <c r="P62" i="15"/>
  <c r="M74" i="15"/>
  <c r="H98" i="15"/>
  <c r="Q98" i="15"/>
  <c r="M110" i="15"/>
  <c r="Q122" i="15"/>
  <c r="N134" i="15"/>
  <c r="P158" i="15"/>
  <c r="M170" i="15"/>
  <c r="H194" i="15"/>
  <c r="Q194" i="15"/>
  <c r="M206" i="15"/>
  <c r="Q218" i="15"/>
  <c r="N230" i="15"/>
  <c r="M266" i="15"/>
  <c r="H290" i="15"/>
  <c r="Q290" i="15"/>
  <c r="M302" i="15"/>
  <c r="Q314" i="15"/>
  <c r="N326" i="15"/>
  <c r="P350" i="15"/>
  <c r="M362" i="15"/>
  <c r="G50" i="14"/>
  <c r="Q62" i="14"/>
  <c r="P86" i="14"/>
  <c r="Q98" i="14"/>
  <c r="Q122" i="14"/>
  <c r="Q158" i="14"/>
  <c r="P182" i="14"/>
  <c r="Q194" i="14"/>
  <c r="Q218" i="14"/>
  <c r="Q254" i="14"/>
  <c r="K350" i="14"/>
  <c r="N146" i="14"/>
  <c r="N242" i="14"/>
  <c r="G326" i="15"/>
  <c r="G230" i="15"/>
  <c r="G134" i="15"/>
  <c r="G38" i="15"/>
  <c r="G302" i="15"/>
  <c r="G206" i="15"/>
  <c r="G110" i="15"/>
  <c r="Q350" i="14"/>
  <c r="Q326" i="14"/>
  <c r="Q230" i="14"/>
  <c r="Q134" i="14"/>
  <c r="Q362" i="14"/>
  <c r="Q266" i="14"/>
  <c r="Q170" i="14"/>
  <c r="Q74" i="14"/>
  <c r="Q302" i="14"/>
  <c r="Q206" i="14"/>
  <c r="Q110" i="14"/>
  <c r="Q338" i="14"/>
  <c r="Q242" i="14"/>
  <c r="Q146" i="14"/>
  <c r="Q50" i="14"/>
  <c r="Q50" i="15"/>
  <c r="G146" i="15"/>
  <c r="N158" i="15"/>
  <c r="H182" i="15"/>
  <c r="Q242" i="15"/>
  <c r="G338" i="15"/>
  <c r="I326" i="14"/>
  <c r="I230" i="14"/>
  <c r="I134" i="14"/>
  <c r="I362" i="14"/>
  <c r="I266" i="14"/>
  <c r="I170" i="14"/>
  <c r="I74" i="14"/>
  <c r="I302" i="14"/>
  <c r="I206" i="14"/>
  <c r="I110" i="14"/>
  <c r="I338" i="14"/>
  <c r="I242" i="14"/>
  <c r="I146" i="14"/>
  <c r="I50" i="14"/>
  <c r="I14" i="14"/>
  <c r="H350" i="14"/>
  <c r="H290" i="14"/>
  <c r="H194" i="14"/>
  <c r="H98" i="14"/>
  <c r="H326" i="14"/>
  <c r="H230" i="14"/>
  <c r="H134" i="14"/>
  <c r="H362" i="14"/>
  <c r="H266" i="14"/>
  <c r="H170" i="14"/>
  <c r="H74" i="14"/>
  <c r="H302" i="14"/>
  <c r="H206" i="14"/>
  <c r="H110" i="14"/>
  <c r="F22" i="23"/>
  <c r="G14" i="2"/>
  <c r="K50" i="15"/>
  <c r="G62" i="15"/>
  <c r="Q62" i="15"/>
  <c r="N110" i="15"/>
  <c r="K146" i="15"/>
  <c r="G158" i="15"/>
  <c r="Q158" i="15"/>
  <c r="N206" i="15"/>
  <c r="K242" i="15"/>
  <c r="K338" i="15"/>
  <c r="G350" i="15"/>
  <c r="H50" i="14"/>
  <c r="H62" i="14"/>
  <c r="Q86" i="14"/>
  <c r="G122" i="14"/>
  <c r="G146" i="14"/>
  <c r="H158" i="14"/>
  <c r="Q182" i="14"/>
  <c r="G218" i="14"/>
  <c r="H254" i="14"/>
  <c r="Q278" i="14"/>
  <c r="H314" i="14"/>
  <c r="K326" i="14"/>
  <c r="P22" i="23"/>
  <c r="Q302" i="15"/>
  <c r="Q206" i="15"/>
  <c r="Q110" i="15"/>
  <c r="Q278" i="15"/>
  <c r="Q182" i="15"/>
  <c r="Q86" i="15"/>
  <c r="N50" i="14"/>
  <c r="N290" i="15"/>
  <c r="N194" i="15"/>
  <c r="N98" i="15"/>
  <c r="N362" i="15"/>
  <c r="N266" i="15"/>
  <c r="N170" i="15"/>
  <c r="N74" i="15"/>
  <c r="G314" i="14"/>
  <c r="G350" i="14"/>
  <c r="G254" i="14"/>
  <c r="G158" i="14"/>
  <c r="G62" i="14"/>
  <c r="G290" i="14"/>
  <c r="G194" i="14"/>
  <c r="G98" i="14"/>
  <c r="G326" i="14"/>
  <c r="G230" i="14"/>
  <c r="G134" i="14"/>
  <c r="G362" i="14"/>
  <c r="G266" i="14"/>
  <c r="G170" i="14"/>
  <c r="G74" i="14"/>
  <c r="M22" i="23"/>
  <c r="E26" i="23"/>
  <c r="P350" i="14"/>
  <c r="P290" i="14"/>
  <c r="P194" i="14"/>
  <c r="P98" i="14"/>
  <c r="P326" i="14"/>
  <c r="P230" i="14"/>
  <c r="P134" i="14"/>
  <c r="P362" i="14"/>
  <c r="P266" i="14"/>
  <c r="P170" i="14"/>
  <c r="P74" i="14"/>
  <c r="P302" i="14"/>
  <c r="P206" i="14"/>
  <c r="P110" i="14"/>
  <c r="P14" i="14"/>
  <c r="H14" i="2"/>
  <c r="P38" i="15"/>
  <c r="H62" i="15"/>
  <c r="Q74" i="15"/>
  <c r="M86" i="15"/>
  <c r="P134" i="15"/>
  <c r="H158" i="15"/>
  <c r="Q170" i="15"/>
  <c r="M182" i="15"/>
  <c r="P230" i="15"/>
  <c r="Q266" i="15"/>
  <c r="M278" i="15"/>
  <c r="P326" i="15"/>
  <c r="H350" i="15"/>
  <c r="Q362" i="15"/>
  <c r="M14" i="14"/>
  <c r="J50" i="14"/>
  <c r="I62" i="14"/>
  <c r="G86" i="14"/>
  <c r="H122" i="14"/>
  <c r="J134" i="14"/>
  <c r="H146" i="14"/>
  <c r="I158" i="14"/>
  <c r="G182" i="14"/>
  <c r="H218" i="14"/>
  <c r="J230" i="14"/>
  <c r="H242" i="14"/>
  <c r="I254" i="14"/>
  <c r="G278" i="14"/>
  <c r="I314" i="14"/>
  <c r="N338" i="14"/>
  <c r="E24" i="23"/>
  <c r="F254" i="15" s="1"/>
  <c r="E23" i="23"/>
  <c r="F14" i="2" l="1"/>
  <c r="F38" i="14"/>
  <c r="F26" i="14"/>
  <c r="E22" i="23"/>
  <c r="F15" i="22" s="1"/>
  <c r="F314" i="14"/>
  <c r="F218" i="14"/>
  <c r="F122" i="14"/>
  <c r="F350" i="14"/>
  <c r="F254" i="14"/>
  <c r="F158" i="14"/>
  <c r="F62" i="14"/>
  <c r="F290" i="14"/>
  <c r="F194" i="14"/>
  <c r="F98" i="14"/>
  <c r="F326" i="14"/>
  <c r="F230" i="14"/>
  <c r="F134" i="14"/>
  <c r="F362" i="14"/>
  <c r="F302" i="14"/>
  <c r="F266" i="14"/>
  <c r="F206" i="14"/>
  <c r="F170" i="14"/>
  <c r="F110" i="14"/>
  <c r="F74" i="14"/>
  <c r="F278" i="14"/>
  <c r="F182" i="14"/>
  <c r="F86" i="14"/>
  <c r="F242" i="14"/>
  <c r="F146" i="14"/>
  <c r="F50" i="14"/>
  <c r="F338" i="14"/>
  <c r="F14" i="14"/>
  <c r="F290" i="15"/>
  <c r="F194" i="15"/>
  <c r="F98" i="15"/>
  <c r="F362" i="15"/>
  <c r="F266" i="15"/>
  <c r="F170" i="15"/>
  <c r="F74" i="15"/>
  <c r="F326" i="15"/>
  <c r="F302" i="15"/>
  <c r="F230" i="15"/>
  <c r="F206" i="15"/>
  <c r="F134" i="15"/>
  <c r="F110" i="15"/>
  <c r="F38" i="15"/>
  <c r="F50" i="15"/>
  <c r="F14" i="15"/>
  <c r="F218" i="15"/>
  <c r="F350" i="15"/>
  <c r="F158" i="15"/>
  <c r="F62" i="15"/>
  <c r="F338" i="15"/>
  <c r="F314" i="15"/>
  <c r="F242" i="15"/>
  <c r="F122" i="15"/>
  <c r="F26" i="15"/>
  <c r="F146" i="15"/>
  <c r="F278" i="15"/>
  <c r="F182" i="15"/>
  <c r="F86" i="15"/>
  <c r="W145" i="13" l="1"/>
  <c r="X145" i="13"/>
  <c r="L98" i="4" l="1"/>
  <c r="M98" i="4"/>
  <c r="N98" i="4"/>
  <c r="O98" i="4"/>
  <c r="P98" i="4"/>
  <c r="Q98" i="4"/>
  <c r="R98" i="4"/>
  <c r="S98" i="4"/>
  <c r="T98" i="4"/>
  <c r="U98" i="4"/>
  <c r="V98" i="4"/>
  <c r="W98" i="4"/>
  <c r="X98" i="4"/>
  <c r="Y98" i="4"/>
  <c r="Z98" i="4"/>
  <c r="AA98" i="4"/>
  <c r="AB98" i="4"/>
  <c r="AC98" i="4"/>
  <c r="AD98" i="4"/>
  <c r="AE98" i="4"/>
  <c r="L99" i="4"/>
  <c r="M99" i="4"/>
  <c r="N99" i="4"/>
  <c r="O99" i="4"/>
  <c r="P99" i="4"/>
  <c r="Q99" i="4"/>
  <c r="R99" i="4"/>
  <c r="S99" i="4"/>
  <c r="T99" i="4"/>
  <c r="U99" i="4"/>
  <c r="V99" i="4"/>
  <c r="W99" i="4"/>
  <c r="X99" i="4"/>
  <c r="Y99" i="4"/>
  <c r="Z99" i="4"/>
  <c r="AA99" i="4"/>
  <c r="AB99" i="4"/>
  <c r="AC99" i="4"/>
  <c r="AD99" i="4"/>
  <c r="AE99" i="4"/>
  <c r="F357" i="2" l="1"/>
  <c r="X155" i="13"/>
  <c r="W155" i="13"/>
  <c r="X153" i="13"/>
  <c r="W153" i="13"/>
  <c r="X152" i="13"/>
  <c r="W152" i="13"/>
  <c r="S156" i="13"/>
  <c r="M156" i="13"/>
  <c r="X150" i="13"/>
  <c r="W150" i="13"/>
  <c r="X148" i="13"/>
  <c r="W148" i="13"/>
  <c r="X147" i="13"/>
  <c r="W147" i="13"/>
  <c r="S151" i="13"/>
  <c r="M151" i="13"/>
  <c r="X151" i="13" l="1"/>
  <c r="X156" i="13"/>
  <c r="W156" i="13"/>
  <c r="W151" i="13"/>
  <c r="X143" i="13" l="1"/>
  <c r="W143" i="13"/>
  <c r="X142" i="13"/>
  <c r="W142" i="13"/>
  <c r="S146" i="13"/>
  <c r="M146" i="13"/>
  <c r="X146" i="13" l="1"/>
  <c r="W146" i="13"/>
  <c r="F360" i="14"/>
  <c r="F359" i="14"/>
  <c r="F358" i="14"/>
  <c r="F357" i="14"/>
  <c r="F356" i="14"/>
  <c r="F355" i="14"/>
  <c r="F354" i="14"/>
  <c r="F348" i="14"/>
  <c r="F347" i="14"/>
  <c r="F346" i="14"/>
  <c r="F345" i="14"/>
  <c r="F344" i="14"/>
  <c r="F343" i="14"/>
  <c r="F342" i="14"/>
  <c r="F336" i="14"/>
  <c r="F335" i="14"/>
  <c r="F334" i="14"/>
  <c r="F333" i="14"/>
  <c r="F332" i="14"/>
  <c r="F331" i="14"/>
  <c r="F330" i="14"/>
  <c r="R364" i="14"/>
  <c r="R363" i="14"/>
  <c r="R362" i="14"/>
  <c r="R361" i="14"/>
  <c r="R360" i="14"/>
  <c r="R359" i="14"/>
  <c r="R358" i="14"/>
  <c r="R357" i="14"/>
  <c r="R356" i="14"/>
  <c r="R355" i="14"/>
  <c r="R354" i="14"/>
  <c r="R352" i="14"/>
  <c r="R351" i="14"/>
  <c r="R350" i="14"/>
  <c r="R349" i="14"/>
  <c r="R348" i="14"/>
  <c r="R347" i="14"/>
  <c r="R346" i="14"/>
  <c r="R345" i="14"/>
  <c r="R344" i="14"/>
  <c r="R343" i="14"/>
  <c r="R342" i="14"/>
  <c r="R340" i="14"/>
  <c r="R339" i="14"/>
  <c r="R338" i="14"/>
  <c r="R337" i="14"/>
  <c r="R336" i="14"/>
  <c r="R335" i="14"/>
  <c r="R334" i="14"/>
  <c r="R333" i="14"/>
  <c r="R332" i="14"/>
  <c r="R331" i="14"/>
  <c r="R330" i="14"/>
  <c r="F360" i="15"/>
  <c r="F359" i="15"/>
  <c r="F358" i="15"/>
  <c r="F357" i="15"/>
  <c r="F356" i="15"/>
  <c r="F355" i="15"/>
  <c r="F354" i="15"/>
  <c r="F348" i="15"/>
  <c r="F347" i="15"/>
  <c r="F346" i="15"/>
  <c r="F345" i="15"/>
  <c r="F344" i="15"/>
  <c r="F343" i="15"/>
  <c r="F342" i="15"/>
  <c r="F336" i="15"/>
  <c r="F335" i="15"/>
  <c r="F334" i="15"/>
  <c r="F333" i="15"/>
  <c r="F332" i="15"/>
  <c r="F331" i="15"/>
  <c r="F330" i="15"/>
  <c r="R364" i="15"/>
  <c r="R363" i="15"/>
  <c r="R362" i="15"/>
  <c r="R361" i="15"/>
  <c r="R360" i="15"/>
  <c r="R359" i="15"/>
  <c r="R358" i="15"/>
  <c r="R357" i="15"/>
  <c r="R356" i="15"/>
  <c r="R355" i="15"/>
  <c r="R354" i="15"/>
  <c r="R352" i="15"/>
  <c r="R351" i="15"/>
  <c r="R350" i="15"/>
  <c r="R349" i="15"/>
  <c r="R348" i="15"/>
  <c r="R347" i="15"/>
  <c r="R346" i="15"/>
  <c r="R345" i="15"/>
  <c r="R344" i="15"/>
  <c r="R343" i="15"/>
  <c r="R342" i="15"/>
  <c r="R340" i="15"/>
  <c r="R339" i="15"/>
  <c r="R338" i="15"/>
  <c r="R337" i="15"/>
  <c r="R336" i="15"/>
  <c r="R335" i="15"/>
  <c r="R334" i="15"/>
  <c r="R333" i="15"/>
  <c r="R332" i="15"/>
  <c r="R331" i="15"/>
  <c r="R330" i="15"/>
  <c r="R355" i="2"/>
  <c r="R356" i="2"/>
  <c r="R357" i="2"/>
  <c r="R358" i="2"/>
  <c r="R359" i="2"/>
  <c r="R360" i="2"/>
  <c r="R361" i="2"/>
  <c r="R362" i="2"/>
  <c r="R363" i="2"/>
  <c r="R364" i="2"/>
  <c r="R354" i="2"/>
  <c r="R342" i="2"/>
  <c r="F360" i="2"/>
  <c r="F359" i="2"/>
  <c r="F358" i="2"/>
  <c r="F356" i="2"/>
  <c r="F355" i="2"/>
  <c r="F354" i="2"/>
  <c r="R343" i="2"/>
  <c r="R344" i="2"/>
  <c r="R345" i="2"/>
  <c r="R346" i="2"/>
  <c r="R347" i="2"/>
  <c r="R348" i="2"/>
  <c r="R349" i="2"/>
  <c r="R350" i="2"/>
  <c r="R351" i="2"/>
  <c r="R352" i="2"/>
  <c r="R330" i="2"/>
  <c r="F348" i="2"/>
  <c r="F347" i="2"/>
  <c r="F346" i="2"/>
  <c r="F345" i="2"/>
  <c r="F344" i="2"/>
  <c r="F343" i="2"/>
  <c r="F342" i="2"/>
  <c r="R331" i="2"/>
  <c r="R332" i="2"/>
  <c r="R333" i="2"/>
  <c r="R334" i="2"/>
  <c r="R335" i="2"/>
  <c r="R336" i="2"/>
  <c r="R337" i="2"/>
  <c r="R338" i="2"/>
  <c r="R339" i="2"/>
  <c r="R340" i="2"/>
  <c r="R318" i="2"/>
  <c r="F336" i="2"/>
  <c r="F335" i="2"/>
  <c r="F334" i="2"/>
  <c r="F333" i="2"/>
  <c r="AA146" i="13" s="1"/>
  <c r="F332" i="2"/>
  <c r="F331" i="2"/>
  <c r="F330" i="2"/>
  <c r="B19" i="11" l="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E40" i="11"/>
  <c r="AE12" i="11"/>
  <c r="AE19" i="11" s="1"/>
  <c r="AD40" i="11"/>
  <c r="AD12" i="11"/>
  <c r="AD19" i="11" s="1"/>
  <c r="AC40" i="11"/>
  <c r="AC12" i="11"/>
  <c r="AC19" i="11" s="1"/>
  <c r="M355" i="16"/>
  <c r="M356" i="16"/>
  <c r="M357" i="16"/>
  <c r="M358" i="16"/>
  <c r="M359" i="16"/>
  <c r="M360" i="16"/>
  <c r="M361" i="16"/>
  <c r="M362" i="16"/>
  <c r="M363" i="16"/>
  <c r="M364" i="16"/>
  <c r="M354" i="16"/>
  <c r="M342" i="16"/>
  <c r="M343" i="16"/>
  <c r="M344" i="16"/>
  <c r="M345" i="16"/>
  <c r="M346" i="16"/>
  <c r="M347" i="16"/>
  <c r="M348" i="16"/>
  <c r="M349" i="16"/>
  <c r="M350" i="16"/>
  <c r="M351" i="16"/>
  <c r="M352" i="16"/>
  <c r="M331" i="16"/>
  <c r="M332" i="16"/>
  <c r="M333" i="16"/>
  <c r="M334" i="16"/>
  <c r="M335" i="16"/>
  <c r="M336" i="16"/>
  <c r="M337" i="16"/>
  <c r="M338" i="16"/>
  <c r="M339" i="16"/>
  <c r="M340" i="16"/>
  <c r="M330" i="16"/>
  <c r="M318" i="16"/>
  <c r="F340" i="16"/>
  <c r="L364" i="16"/>
  <c r="K364" i="16"/>
  <c r="J364" i="16"/>
  <c r="H364" i="16"/>
  <c r="G364" i="16"/>
  <c r="F364" i="16"/>
  <c r="L352" i="16"/>
  <c r="K352" i="16"/>
  <c r="J352" i="16"/>
  <c r="H352" i="16"/>
  <c r="G352" i="16"/>
  <c r="F352" i="16"/>
  <c r="L340" i="16"/>
  <c r="K340" i="16"/>
  <c r="J340" i="16"/>
  <c r="H340" i="16"/>
  <c r="G340" i="16"/>
  <c r="AC33" i="11" l="1"/>
  <c r="B41" i="11"/>
  <c r="B42" i="11" s="1"/>
  <c r="L353" i="16"/>
  <c r="AE41" i="11"/>
  <c r="AD33" i="11"/>
  <c r="AE33" i="11"/>
  <c r="G353" i="16"/>
  <c r="AD41" i="11"/>
  <c r="AC41" i="11"/>
  <c r="K365" i="16"/>
  <c r="H365" i="16"/>
  <c r="L365" i="16"/>
  <c r="G365" i="16"/>
  <c r="J365" i="16"/>
  <c r="J353" i="16"/>
  <c r="K353" i="16"/>
  <c r="H353" i="16"/>
  <c r="K341" i="16"/>
  <c r="G341" i="16"/>
  <c r="L341" i="16"/>
  <c r="H341" i="16"/>
  <c r="J341" i="16"/>
  <c r="AC40" i="4"/>
  <c r="AD40" i="4"/>
  <c r="AE40" i="4"/>
  <c r="AC44" i="4"/>
  <c r="AD44" i="4"/>
  <c r="AE44" i="4"/>
  <c r="AC81" i="4"/>
  <c r="AD81" i="4"/>
  <c r="AE81" i="4"/>
  <c r="AE31" i="4"/>
  <c r="AD31" i="4"/>
  <c r="AC31" i="4"/>
  <c r="B6" i="11" l="1"/>
  <c r="B13" i="11" s="1"/>
  <c r="AE42" i="11"/>
  <c r="AE43" i="11" s="1"/>
  <c r="AC6" i="11"/>
  <c r="AC27" i="11" s="1"/>
  <c r="AD6" i="11"/>
  <c r="AD27" i="11" s="1"/>
  <c r="AE6" i="11"/>
  <c r="AE27" i="11" s="1"/>
  <c r="B7" i="11"/>
  <c r="B28" i="11" s="1"/>
  <c r="B20" i="11"/>
  <c r="B27" i="11"/>
  <c r="B43" i="11"/>
  <c r="AD42" i="11"/>
  <c r="AC42" i="11"/>
  <c r="AE7" i="11" l="1"/>
  <c r="AE14" i="11" s="1"/>
  <c r="AE21" i="11" s="1"/>
  <c r="AE13" i="11"/>
  <c r="AE20" i="11" s="1"/>
  <c r="AE34" i="11" s="1"/>
  <c r="AC7" i="11"/>
  <c r="AC28" i="11" s="1"/>
  <c r="AD7" i="11"/>
  <c r="AD28" i="11" s="1"/>
  <c r="AE8" i="11"/>
  <c r="AE29" i="11" s="1"/>
  <c r="B14" i="11"/>
  <c r="B21" i="11" s="1"/>
  <c r="B35" i="11" s="1"/>
  <c r="B44" i="11"/>
  <c r="B8" i="11"/>
  <c r="B29" i="11" s="1"/>
  <c r="B34" i="11"/>
  <c r="AE44" i="11"/>
  <c r="U154" i="13" s="1"/>
  <c r="AD13" i="11"/>
  <c r="AD20" i="11" s="1"/>
  <c r="AD14" i="11"/>
  <c r="AD21" i="11" s="1"/>
  <c r="AD35" i="11" s="1"/>
  <c r="AD43" i="11"/>
  <c r="AC13" i="11"/>
  <c r="AC20" i="11" s="1"/>
  <c r="AC43" i="11"/>
  <c r="L328" i="16"/>
  <c r="K328" i="16"/>
  <c r="J328" i="16"/>
  <c r="H328" i="16"/>
  <c r="G328" i="16"/>
  <c r="F328" i="16"/>
  <c r="L304" i="16"/>
  <c r="K304" i="16"/>
  <c r="J304" i="16"/>
  <c r="H304" i="16"/>
  <c r="G304" i="16"/>
  <c r="F304" i="16"/>
  <c r="L292" i="16"/>
  <c r="K292" i="16"/>
  <c r="J292" i="16"/>
  <c r="H292" i="16"/>
  <c r="G292" i="16"/>
  <c r="F292" i="16"/>
  <c r="L280" i="16"/>
  <c r="K280" i="16"/>
  <c r="J280" i="16"/>
  <c r="H280" i="16"/>
  <c r="G280" i="16"/>
  <c r="F280" i="16"/>
  <c r="L268" i="16"/>
  <c r="K268" i="16"/>
  <c r="J268" i="16"/>
  <c r="H268" i="16"/>
  <c r="G268" i="16"/>
  <c r="F268" i="16"/>
  <c r="L256" i="16"/>
  <c r="K256" i="16"/>
  <c r="J256" i="16"/>
  <c r="H256" i="16"/>
  <c r="G256" i="16"/>
  <c r="F256" i="16"/>
  <c r="L244" i="16"/>
  <c r="K244" i="16"/>
  <c r="J244" i="16"/>
  <c r="H244" i="16"/>
  <c r="G244" i="16"/>
  <c r="F244" i="16"/>
  <c r="L232" i="16"/>
  <c r="K232" i="16"/>
  <c r="J232" i="16"/>
  <c r="H232" i="16"/>
  <c r="G232" i="16"/>
  <c r="F232" i="16"/>
  <c r="L220" i="16"/>
  <c r="K220" i="16"/>
  <c r="J220" i="16"/>
  <c r="H220" i="16"/>
  <c r="G220" i="16"/>
  <c r="F220" i="16"/>
  <c r="L208" i="16"/>
  <c r="K208" i="16"/>
  <c r="J208" i="16"/>
  <c r="H208" i="16"/>
  <c r="G208" i="16"/>
  <c r="F208" i="16"/>
  <c r="L196" i="16"/>
  <c r="K196" i="16"/>
  <c r="J196" i="16"/>
  <c r="H196" i="16"/>
  <c r="G196" i="16"/>
  <c r="F196" i="16"/>
  <c r="L184" i="16"/>
  <c r="K184" i="16"/>
  <c r="J184" i="16"/>
  <c r="H184" i="16"/>
  <c r="G184" i="16"/>
  <c r="F184" i="16"/>
  <c r="L172" i="16"/>
  <c r="K172" i="16"/>
  <c r="J172" i="16"/>
  <c r="H172" i="16"/>
  <c r="G172" i="16"/>
  <c r="F172" i="16"/>
  <c r="L160" i="16"/>
  <c r="K160" i="16"/>
  <c r="J160" i="16"/>
  <c r="H160" i="16"/>
  <c r="G160" i="16"/>
  <c r="F160" i="16"/>
  <c r="L148" i="16"/>
  <c r="K148" i="16"/>
  <c r="J148" i="16"/>
  <c r="H148" i="16"/>
  <c r="G148" i="16"/>
  <c r="F148" i="16"/>
  <c r="L136" i="16"/>
  <c r="K136" i="16"/>
  <c r="J136" i="16"/>
  <c r="H136" i="16"/>
  <c r="G136" i="16"/>
  <c r="F136" i="16"/>
  <c r="L124" i="16"/>
  <c r="K124" i="16"/>
  <c r="J124" i="16"/>
  <c r="H124" i="16"/>
  <c r="G124" i="16"/>
  <c r="F124" i="16"/>
  <c r="L112" i="16"/>
  <c r="K112" i="16"/>
  <c r="J112" i="16"/>
  <c r="H112" i="16"/>
  <c r="G112" i="16"/>
  <c r="F112" i="16"/>
  <c r="L100" i="16"/>
  <c r="K100" i="16"/>
  <c r="J100" i="16"/>
  <c r="H100" i="16"/>
  <c r="G100" i="16"/>
  <c r="F100" i="16"/>
  <c r="L88" i="16"/>
  <c r="K88" i="16"/>
  <c r="J88" i="16"/>
  <c r="H88" i="16"/>
  <c r="G88" i="16"/>
  <c r="F88" i="16"/>
  <c r="L76" i="16"/>
  <c r="K76" i="16"/>
  <c r="J76" i="16"/>
  <c r="H76" i="16"/>
  <c r="G76" i="16"/>
  <c r="F76" i="16"/>
  <c r="L64" i="16"/>
  <c r="K64" i="16"/>
  <c r="J64" i="16"/>
  <c r="H64" i="16"/>
  <c r="G64" i="16"/>
  <c r="F64" i="16"/>
  <c r="L52" i="16"/>
  <c r="K52" i="16"/>
  <c r="J52" i="16"/>
  <c r="H52" i="16"/>
  <c r="G52" i="16"/>
  <c r="F52" i="16"/>
  <c r="L40" i="16"/>
  <c r="K40" i="16"/>
  <c r="J40" i="16"/>
  <c r="H40" i="16"/>
  <c r="G40" i="16"/>
  <c r="L28" i="16"/>
  <c r="K28" i="16"/>
  <c r="J28" i="16"/>
  <c r="H28" i="16"/>
  <c r="G28" i="16"/>
  <c r="F28" i="16"/>
  <c r="L16" i="16"/>
  <c r="K16" i="16"/>
  <c r="J16" i="16"/>
  <c r="H16" i="16"/>
  <c r="G16" i="16"/>
  <c r="F16" i="16"/>
  <c r="M6" i="16"/>
  <c r="M7" i="16"/>
  <c r="M8" i="16"/>
  <c r="M9" i="16"/>
  <c r="M10" i="16"/>
  <c r="M11" i="16"/>
  <c r="M12" i="16"/>
  <c r="M13" i="16"/>
  <c r="M14" i="16"/>
  <c r="M15" i="16"/>
  <c r="M16" i="16"/>
  <c r="L316" i="16"/>
  <c r="K316" i="16"/>
  <c r="J316" i="16"/>
  <c r="H316" i="16"/>
  <c r="G316" i="16"/>
  <c r="F316" i="16"/>
  <c r="M306" i="16"/>
  <c r="M307" i="16"/>
  <c r="M308" i="16"/>
  <c r="M309" i="16"/>
  <c r="M310" i="16"/>
  <c r="M311" i="16"/>
  <c r="M312" i="16"/>
  <c r="M313" i="16"/>
  <c r="M314" i="16"/>
  <c r="M315" i="16"/>
  <c r="M316" i="16"/>
  <c r="M328" i="16"/>
  <c r="M327" i="16"/>
  <c r="M326" i="16"/>
  <c r="M325" i="16"/>
  <c r="M324" i="16"/>
  <c r="M323" i="16"/>
  <c r="M322" i="16"/>
  <c r="M321" i="16"/>
  <c r="M320" i="16"/>
  <c r="M319" i="16"/>
  <c r="M304" i="16"/>
  <c r="M303" i="16"/>
  <c r="M302" i="16"/>
  <c r="M301" i="16"/>
  <c r="M300" i="16"/>
  <c r="M299" i="16"/>
  <c r="M298" i="16"/>
  <c r="M297" i="16"/>
  <c r="M296" i="16"/>
  <c r="M295" i="16"/>
  <c r="M294" i="16"/>
  <c r="M292" i="16"/>
  <c r="M291" i="16"/>
  <c r="M290" i="16"/>
  <c r="M289" i="16"/>
  <c r="M288" i="16"/>
  <c r="M287" i="16"/>
  <c r="M286" i="16"/>
  <c r="M285" i="16"/>
  <c r="M284" i="16"/>
  <c r="M283" i="16"/>
  <c r="M282" i="16"/>
  <c r="M280" i="16"/>
  <c r="M279" i="16"/>
  <c r="M278" i="16"/>
  <c r="M277" i="16"/>
  <c r="M276" i="16"/>
  <c r="M275" i="16"/>
  <c r="M274" i="16"/>
  <c r="M273" i="16"/>
  <c r="M272" i="16"/>
  <c r="M271" i="16"/>
  <c r="M270" i="16"/>
  <c r="M268" i="16"/>
  <c r="M267" i="16"/>
  <c r="M266" i="16"/>
  <c r="M265" i="16"/>
  <c r="M264" i="16"/>
  <c r="M263" i="16"/>
  <c r="M262" i="16"/>
  <c r="M261" i="16"/>
  <c r="M260" i="16"/>
  <c r="M259" i="16"/>
  <c r="M258" i="16"/>
  <c r="M256" i="16"/>
  <c r="M255" i="16"/>
  <c r="M254" i="16"/>
  <c r="M253" i="16"/>
  <c r="M252" i="16"/>
  <c r="M251" i="16"/>
  <c r="M250" i="16"/>
  <c r="M249" i="16"/>
  <c r="M248" i="16"/>
  <c r="M247" i="16"/>
  <c r="M246" i="16"/>
  <c r="M244" i="16"/>
  <c r="M243" i="16"/>
  <c r="M242" i="16"/>
  <c r="M241" i="16"/>
  <c r="M240" i="16"/>
  <c r="M239" i="16"/>
  <c r="M238" i="16"/>
  <c r="M237" i="16"/>
  <c r="M236" i="16"/>
  <c r="M235" i="16"/>
  <c r="M234" i="16"/>
  <c r="M232" i="16"/>
  <c r="M231" i="16"/>
  <c r="M230" i="16"/>
  <c r="M229" i="16"/>
  <c r="M228" i="16"/>
  <c r="M227" i="16"/>
  <c r="M226" i="16"/>
  <c r="M225" i="16"/>
  <c r="M224" i="16"/>
  <c r="M223" i="16"/>
  <c r="M222" i="16"/>
  <c r="M220" i="16"/>
  <c r="M219" i="16"/>
  <c r="M218" i="16"/>
  <c r="M217" i="16"/>
  <c r="M216" i="16"/>
  <c r="M215" i="16"/>
  <c r="M214" i="16"/>
  <c r="M213" i="16"/>
  <c r="M212" i="16"/>
  <c r="M211" i="16"/>
  <c r="M210" i="16"/>
  <c r="M208" i="16"/>
  <c r="M207" i="16"/>
  <c r="M206" i="16"/>
  <c r="M205" i="16"/>
  <c r="M204" i="16"/>
  <c r="M203" i="16"/>
  <c r="M202" i="16"/>
  <c r="M201" i="16"/>
  <c r="M200" i="16"/>
  <c r="M199" i="16"/>
  <c r="M198" i="16"/>
  <c r="M196" i="16"/>
  <c r="M195" i="16"/>
  <c r="M194" i="16"/>
  <c r="M193" i="16"/>
  <c r="M192" i="16"/>
  <c r="M191" i="16"/>
  <c r="M190" i="16"/>
  <c r="M189" i="16"/>
  <c r="M188" i="16"/>
  <c r="M187" i="16"/>
  <c r="M186" i="16"/>
  <c r="M184" i="16"/>
  <c r="M183" i="16"/>
  <c r="M182" i="16"/>
  <c r="M181" i="16"/>
  <c r="M180" i="16"/>
  <c r="M179" i="16"/>
  <c r="M178" i="16"/>
  <c r="M177" i="16"/>
  <c r="M176" i="16"/>
  <c r="M175" i="16"/>
  <c r="M174" i="16"/>
  <c r="M172" i="16"/>
  <c r="M171" i="16"/>
  <c r="M170" i="16"/>
  <c r="M169" i="16"/>
  <c r="M168" i="16"/>
  <c r="M167" i="16"/>
  <c r="M166" i="16"/>
  <c r="M165" i="16"/>
  <c r="M164" i="16"/>
  <c r="M163" i="16"/>
  <c r="M162" i="16"/>
  <c r="M160" i="16"/>
  <c r="M159" i="16"/>
  <c r="M158" i="16"/>
  <c r="M157" i="16"/>
  <c r="M156" i="16"/>
  <c r="M155" i="16"/>
  <c r="M154" i="16"/>
  <c r="M153" i="16"/>
  <c r="M152" i="16"/>
  <c r="M151" i="16"/>
  <c r="M150" i="16"/>
  <c r="M148" i="16"/>
  <c r="M147" i="16"/>
  <c r="M146" i="16"/>
  <c r="M145" i="16"/>
  <c r="M144" i="16"/>
  <c r="M143" i="16"/>
  <c r="M142" i="16"/>
  <c r="M141" i="16"/>
  <c r="M140" i="16"/>
  <c r="M139" i="16"/>
  <c r="M138" i="16"/>
  <c r="M136" i="16"/>
  <c r="M135" i="16"/>
  <c r="M134" i="16"/>
  <c r="M133" i="16"/>
  <c r="M132" i="16"/>
  <c r="M131" i="16"/>
  <c r="M130" i="16"/>
  <c r="M129" i="16"/>
  <c r="M128" i="16"/>
  <c r="M127" i="16"/>
  <c r="M126" i="16"/>
  <c r="M124" i="16"/>
  <c r="M123" i="16"/>
  <c r="M122" i="16"/>
  <c r="M121" i="16"/>
  <c r="M120" i="16"/>
  <c r="M119" i="16"/>
  <c r="M118" i="16"/>
  <c r="M117" i="16"/>
  <c r="M116" i="16"/>
  <c r="M115" i="16"/>
  <c r="M114" i="16"/>
  <c r="M112" i="16"/>
  <c r="M111" i="16"/>
  <c r="M110" i="16"/>
  <c r="M109" i="16"/>
  <c r="M108" i="16"/>
  <c r="M107" i="16"/>
  <c r="M106" i="16"/>
  <c r="M105" i="16"/>
  <c r="M104" i="16"/>
  <c r="M103" i="16"/>
  <c r="M102" i="16"/>
  <c r="M100" i="16"/>
  <c r="M99" i="16"/>
  <c r="M98" i="16"/>
  <c r="M97" i="16"/>
  <c r="M96" i="16"/>
  <c r="M95" i="16"/>
  <c r="M94" i="16"/>
  <c r="M93" i="16"/>
  <c r="M92" i="16"/>
  <c r="M91" i="16"/>
  <c r="M90" i="16"/>
  <c r="M88" i="16"/>
  <c r="M87" i="16"/>
  <c r="M86" i="16"/>
  <c r="M85" i="16"/>
  <c r="M84" i="16"/>
  <c r="M83" i="16"/>
  <c r="M82" i="16"/>
  <c r="M81" i="16"/>
  <c r="M80" i="16"/>
  <c r="M79" i="16"/>
  <c r="M78" i="16"/>
  <c r="M76" i="16"/>
  <c r="M75" i="16"/>
  <c r="M74" i="16"/>
  <c r="M73" i="16"/>
  <c r="M72" i="16"/>
  <c r="M71" i="16"/>
  <c r="M70" i="16"/>
  <c r="M69" i="16"/>
  <c r="M68" i="16"/>
  <c r="M67" i="16"/>
  <c r="M66" i="16"/>
  <c r="M64" i="16"/>
  <c r="M63" i="16"/>
  <c r="M62" i="16"/>
  <c r="M61" i="16"/>
  <c r="M60" i="16"/>
  <c r="M59" i="16"/>
  <c r="M58" i="16"/>
  <c r="M57" i="16"/>
  <c r="M56" i="16"/>
  <c r="M55" i="16"/>
  <c r="M54" i="16"/>
  <c r="M52" i="16"/>
  <c r="M51" i="16"/>
  <c r="M50" i="16"/>
  <c r="M49" i="16"/>
  <c r="M48" i="16"/>
  <c r="M47" i="16"/>
  <c r="M46" i="16"/>
  <c r="M45" i="16"/>
  <c r="M44" i="16"/>
  <c r="M43" i="16"/>
  <c r="M42" i="16"/>
  <c r="M40" i="16"/>
  <c r="M39" i="16"/>
  <c r="M38" i="16"/>
  <c r="M37" i="16"/>
  <c r="M36" i="16"/>
  <c r="M35" i="16"/>
  <c r="M34" i="16"/>
  <c r="M33" i="16"/>
  <c r="M32" i="16"/>
  <c r="M31" i="16"/>
  <c r="M30" i="16"/>
  <c r="M28" i="16"/>
  <c r="M27" i="16"/>
  <c r="M26" i="16"/>
  <c r="M25" i="16"/>
  <c r="M24" i="16"/>
  <c r="M23" i="16"/>
  <c r="M22" i="16"/>
  <c r="M21" i="16"/>
  <c r="M20" i="16"/>
  <c r="M19" i="16"/>
  <c r="M18" i="16"/>
  <c r="X140" i="13"/>
  <c r="W140" i="13"/>
  <c r="X138" i="13"/>
  <c r="W138" i="13"/>
  <c r="X137" i="13"/>
  <c r="W137" i="13"/>
  <c r="S141" i="13"/>
  <c r="I73" i="24" s="1"/>
  <c r="M141" i="13"/>
  <c r="X130" i="13"/>
  <c r="W130" i="13"/>
  <c r="X128" i="13"/>
  <c r="W128" i="13"/>
  <c r="X127" i="13"/>
  <c r="W127" i="13"/>
  <c r="S131" i="13"/>
  <c r="I79" i="24" s="1"/>
  <c r="M131" i="13"/>
  <c r="X125" i="13"/>
  <c r="W125" i="13"/>
  <c r="X123" i="13"/>
  <c r="W123" i="13"/>
  <c r="X122" i="13"/>
  <c r="W122" i="13"/>
  <c r="S126" i="13"/>
  <c r="M126" i="13"/>
  <c r="M121" i="13"/>
  <c r="S121" i="13"/>
  <c r="X120" i="13"/>
  <c r="W120" i="13"/>
  <c r="X118" i="13"/>
  <c r="W118" i="13"/>
  <c r="X117" i="13"/>
  <c r="W117" i="13"/>
  <c r="X115" i="13"/>
  <c r="W115" i="13"/>
  <c r="X113" i="13"/>
  <c r="W113" i="13"/>
  <c r="X112" i="13"/>
  <c r="W112" i="13"/>
  <c r="S116" i="13"/>
  <c r="M116" i="13"/>
  <c r="X110" i="13"/>
  <c r="W110" i="13"/>
  <c r="X108" i="13"/>
  <c r="W108" i="13"/>
  <c r="X107" i="13"/>
  <c r="W107" i="13"/>
  <c r="S111" i="13"/>
  <c r="M111" i="13"/>
  <c r="X105" i="13"/>
  <c r="W105" i="13"/>
  <c r="X103" i="13"/>
  <c r="W103" i="13"/>
  <c r="W102" i="13"/>
  <c r="S106" i="13"/>
  <c r="I72" i="24" s="1"/>
  <c r="M106" i="13"/>
  <c r="X100" i="13"/>
  <c r="W100" i="13"/>
  <c r="X98" i="13"/>
  <c r="W98" i="13"/>
  <c r="X97" i="13"/>
  <c r="W97" i="13"/>
  <c r="S101" i="13"/>
  <c r="I74" i="24" s="1"/>
  <c r="M101" i="13"/>
  <c r="X95" i="13"/>
  <c r="W95" i="13"/>
  <c r="X93" i="13"/>
  <c r="W93" i="13"/>
  <c r="X92" i="13"/>
  <c r="W92" i="13"/>
  <c r="S96" i="13"/>
  <c r="M96" i="13"/>
  <c r="X90" i="13"/>
  <c r="W90" i="13"/>
  <c r="X88" i="13"/>
  <c r="W88" i="13"/>
  <c r="X87" i="13"/>
  <c r="W87" i="13"/>
  <c r="S91" i="13"/>
  <c r="M91" i="13"/>
  <c r="X85" i="13"/>
  <c r="W85" i="13"/>
  <c r="X83" i="13"/>
  <c r="W83" i="13"/>
  <c r="X82" i="13"/>
  <c r="W82" i="13"/>
  <c r="S86" i="13"/>
  <c r="M86" i="13"/>
  <c r="X101" i="13" l="1"/>
  <c r="L74" i="24" s="1"/>
  <c r="T154" i="13"/>
  <c r="G154" i="13" s="1"/>
  <c r="AE28" i="11"/>
  <c r="AE35" i="11" s="1"/>
  <c r="AC14" i="11"/>
  <c r="AC21" i="11" s="1"/>
  <c r="AC35" i="11" s="1"/>
  <c r="AC8" i="11"/>
  <c r="AC29" i="11" s="1"/>
  <c r="AD8" i="11"/>
  <c r="AD29" i="11" s="1"/>
  <c r="B9" i="11"/>
  <c r="B30" i="11" s="1"/>
  <c r="B31" i="11" s="1"/>
  <c r="AC34" i="11"/>
  <c r="AD34" i="11"/>
  <c r="B15" i="11"/>
  <c r="B22" i="11" s="1"/>
  <c r="X141" i="13"/>
  <c r="L73" i="24" s="1"/>
  <c r="AE45" i="11"/>
  <c r="AE9" i="11"/>
  <c r="AE15" i="11"/>
  <c r="AE22" i="11" s="1"/>
  <c r="AE36" i="11" s="1"/>
  <c r="AD44" i="11"/>
  <c r="U149" i="13" s="1"/>
  <c r="AC44" i="11"/>
  <c r="U144" i="13" s="1"/>
  <c r="W86" i="13"/>
  <c r="X86" i="13"/>
  <c r="W111" i="13"/>
  <c r="W116" i="13"/>
  <c r="H101" i="16"/>
  <c r="H293" i="16"/>
  <c r="L317" i="16"/>
  <c r="W121" i="13"/>
  <c r="X91" i="13"/>
  <c r="X116" i="13"/>
  <c r="G257" i="16"/>
  <c r="K41" i="16"/>
  <c r="H233" i="16"/>
  <c r="G77" i="16"/>
  <c r="G173" i="16"/>
  <c r="H269" i="16"/>
  <c r="X96" i="13"/>
  <c r="L113" i="16"/>
  <c r="K317" i="16"/>
  <c r="K53" i="16"/>
  <c r="H149" i="16"/>
  <c r="H245" i="16"/>
  <c r="H89" i="16"/>
  <c r="J281" i="16"/>
  <c r="W91" i="13"/>
  <c r="H29" i="16"/>
  <c r="K221" i="16"/>
  <c r="K329" i="16"/>
  <c r="W96" i="13"/>
  <c r="L17" i="16"/>
  <c r="J29" i="16"/>
  <c r="L41" i="16"/>
  <c r="J53" i="16"/>
  <c r="L65" i="16"/>
  <c r="L77" i="16"/>
  <c r="K89" i="16"/>
  <c r="K101" i="16"/>
  <c r="J113" i="16"/>
  <c r="K125" i="16"/>
  <c r="H137" i="16"/>
  <c r="L149" i="16"/>
  <c r="J161" i="16"/>
  <c r="K173" i="16"/>
  <c r="J185" i="16"/>
  <c r="G209" i="16"/>
  <c r="L221" i="16"/>
  <c r="J233" i="16"/>
  <c r="H257" i="16"/>
  <c r="G269" i="16"/>
  <c r="J269" i="16"/>
  <c r="G281" i="16"/>
  <c r="K293" i="16"/>
  <c r="J305" i="16"/>
  <c r="H329" i="16"/>
  <c r="W101" i="13"/>
  <c r="K74" i="24" s="1"/>
  <c r="G317" i="16"/>
  <c r="G17" i="16"/>
  <c r="K29" i="16"/>
  <c r="J41" i="16"/>
  <c r="L89" i="16"/>
  <c r="L101" i="16"/>
  <c r="K113" i="16"/>
  <c r="K161" i="16"/>
  <c r="L173" i="16"/>
  <c r="K185" i="16"/>
  <c r="J197" i="16"/>
  <c r="L209" i="16"/>
  <c r="K233" i="16"/>
  <c r="J245" i="16"/>
  <c r="H281" i="16"/>
  <c r="L293" i="16"/>
  <c r="K305" i="16"/>
  <c r="H317" i="16"/>
  <c r="H17" i="16"/>
  <c r="L29" i="16"/>
  <c r="G53" i="16"/>
  <c r="J125" i="16"/>
  <c r="G137" i="16"/>
  <c r="G149" i="16"/>
  <c r="L161" i="16"/>
  <c r="L185" i="16"/>
  <c r="K197" i="16"/>
  <c r="H209" i="16"/>
  <c r="H221" i="16"/>
  <c r="L233" i="16"/>
  <c r="K245" i="16"/>
  <c r="J257" i="16"/>
  <c r="L305" i="16"/>
  <c r="J329" i="16"/>
  <c r="W126" i="13"/>
  <c r="H53" i="16"/>
  <c r="G65" i="16"/>
  <c r="H185" i="16"/>
  <c r="L197" i="16"/>
  <c r="G221" i="16"/>
  <c r="L245" i="16"/>
  <c r="K257" i="16"/>
  <c r="W141" i="13"/>
  <c r="K73" i="24" s="1"/>
  <c r="J317" i="16"/>
  <c r="H65" i="16"/>
  <c r="H77" i="16"/>
  <c r="G89" i="16"/>
  <c r="G101" i="16"/>
  <c r="L125" i="16"/>
  <c r="J209" i="16"/>
  <c r="L257" i="16"/>
  <c r="K269" i="16"/>
  <c r="G293" i="16"/>
  <c r="H305" i="16"/>
  <c r="L329" i="16"/>
  <c r="W106" i="13"/>
  <c r="K72" i="24" s="1"/>
  <c r="G29" i="16"/>
  <c r="G41" i="16"/>
  <c r="G113" i="16"/>
  <c r="J137" i="16"/>
  <c r="G161" i="16"/>
  <c r="H173" i="16"/>
  <c r="G185" i="16"/>
  <c r="G197" i="16"/>
  <c r="K209" i="16"/>
  <c r="G233" i="16"/>
  <c r="L269" i="16"/>
  <c r="G305" i="16"/>
  <c r="G329" i="16"/>
  <c r="X131" i="13"/>
  <c r="L79" i="24" s="1"/>
  <c r="W131" i="13"/>
  <c r="K79" i="24" s="1"/>
  <c r="J17" i="16"/>
  <c r="H41" i="16"/>
  <c r="J65" i="16"/>
  <c r="J77" i="16"/>
  <c r="H113" i="16"/>
  <c r="H125" i="16"/>
  <c r="K137" i="16"/>
  <c r="J149" i="16"/>
  <c r="H161" i="16"/>
  <c r="H197" i="16"/>
  <c r="J221" i="16"/>
  <c r="G245" i="16"/>
  <c r="K281" i="16"/>
  <c r="X121" i="13"/>
  <c r="K17" i="16"/>
  <c r="L53" i="16"/>
  <c r="K65" i="16"/>
  <c r="K77" i="16"/>
  <c r="J89" i="16"/>
  <c r="J101" i="16"/>
  <c r="G125" i="16"/>
  <c r="L137" i="16"/>
  <c r="K149" i="16"/>
  <c r="J173" i="16"/>
  <c r="L281" i="16"/>
  <c r="J293" i="16"/>
  <c r="X126" i="13"/>
  <c r="X111" i="13"/>
  <c r="X106" i="13"/>
  <c r="X81" i="13"/>
  <c r="L82" i="24" s="1"/>
  <c r="W81" i="13"/>
  <c r="K82" i="24" s="1"/>
  <c r="S81" i="13"/>
  <c r="I82" i="24" s="1"/>
  <c r="M81" i="13"/>
  <c r="X75" i="13"/>
  <c r="W75" i="13"/>
  <c r="X73" i="13"/>
  <c r="W73" i="13"/>
  <c r="X72" i="13"/>
  <c r="W72" i="13"/>
  <c r="S76" i="13"/>
  <c r="I80" i="24" s="1"/>
  <c r="M76" i="13"/>
  <c r="X70" i="13"/>
  <c r="W70" i="13"/>
  <c r="X68" i="13"/>
  <c r="W68" i="13"/>
  <c r="X67" i="13"/>
  <c r="W67" i="13"/>
  <c r="S71" i="13"/>
  <c r="I83" i="24" s="1"/>
  <c r="M71" i="13"/>
  <c r="X65" i="13"/>
  <c r="W65" i="13"/>
  <c r="X63" i="13"/>
  <c r="W63" i="13"/>
  <c r="X62" i="13"/>
  <c r="W62" i="13"/>
  <c r="S66" i="13"/>
  <c r="I77" i="24" s="1"/>
  <c r="M66" i="13"/>
  <c r="X60" i="13"/>
  <c r="X58" i="13"/>
  <c r="X61" i="13" s="1"/>
  <c r="W58" i="13"/>
  <c r="W57" i="13"/>
  <c r="W61" i="13" s="1"/>
  <c r="S61" i="13"/>
  <c r="X55" i="13"/>
  <c r="W55" i="13"/>
  <c r="X53" i="13"/>
  <c r="W53" i="13"/>
  <c r="X52" i="13"/>
  <c r="W52" i="13"/>
  <c r="S56" i="13"/>
  <c r="I81" i="24" s="1"/>
  <c r="M56" i="13"/>
  <c r="X50" i="13"/>
  <c r="W50" i="13"/>
  <c r="X48" i="13"/>
  <c r="W48" i="13"/>
  <c r="X47" i="13"/>
  <c r="W47" i="13"/>
  <c r="S51" i="13"/>
  <c r="M51" i="13"/>
  <c r="X45" i="13"/>
  <c r="W45" i="13"/>
  <c r="X43" i="13"/>
  <c r="W43" i="13"/>
  <c r="X42" i="13"/>
  <c r="W42" i="13"/>
  <c r="S46" i="13"/>
  <c r="M46" i="13"/>
  <c r="X40" i="13"/>
  <c r="W40" i="13"/>
  <c r="X38" i="13"/>
  <c r="W38" i="13"/>
  <c r="X37" i="13"/>
  <c r="W37" i="13"/>
  <c r="S41" i="13"/>
  <c r="I75" i="24" s="1"/>
  <c r="M41" i="13"/>
  <c r="X30" i="13"/>
  <c r="W30" i="13"/>
  <c r="X28" i="13"/>
  <c r="W28" i="13"/>
  <c r="X27" i="13"/>
  <c r="W27" i="13"/>
  <c r="S31" i="13"/>
  <c r="M31" i="13"/>
  <c r="X35" i="13"/>
  <c r="W35" i="13"/>
  <c r="X33" i="13"/>
  <c r="W33" i="13"/>
  <c r="X32" i="13"/>
  <c r="W32" i="13"/>
  <c r="S36" i="13"/>
  <c r="M36" i="13"/>
  <c r="X25" i="13"/>
  <c r="W25" i="13"/>
  <c r="X23" i="13"/>
  <c r="W23" i="13"/>
  <c r="X22" i="13"/>
  <c r="W22" i="13"/>
  <c r="S26" i="13"/>
  <c r="M26" i="13"/>
  <c r="X20" i="13"/>
  <c r="W20" i="13"/>
  <c r="X18" i="13"/>
  <c r="W18" i="13"/>
  <c r="X17" i="13"/>
  <c r="W17" i="13"/>
  <c r="S21" i="13"/>
  <c r="M21" i="13"/>
  <c r="X132" i="13"/>
  <c r="W132" i="13"/>
  <c r="X12" i="13"/>
  <c r="W12" i="13"/>
  <c r="X7" i="13"/>
  <c r="W7" i="13"/>
  <c r="X15" i="13"/>
  <c r="W15" i="13"/>
  <c r="X13" i="13"/>
  <c r="W13" i="13"/>
  <c r="S16" i="13"/>
  <c r="M16" i="13"/>
  <c r="X10" i="13"/>
  <c r="W10" i="13"/>
  <c r="X8" i="13"/>
  <c r="W8" i="13"/>
  <c r="S11" i="13"/>
  <c r="M11" i="13"/>
  <c r="I36" i="17" l="1"/>
  <c r="L78" i="24"/>
  <c r="L72" i="24"/>
  <c r="T149" i="13"/>
  <c r="G149" i="13" s="1"/>
  <c r="T144" i="13"/>
  <c r="G144" i="13" s="1"/>
  <c r="AC15" i="11"/>
  <c r="AC22" i="11" s="1"/>
  <c r="AC36" i="11" s="1"/>
  <c r="AD9" i="11"/>
  <c r="AD30" i="11" s="1"/>
  <c r="AD31" i="11" s="1"/>
  <c r="B16" i="11"/>
  <c r="B23" i="11" s="1"/>
  <c r="B37" i="11" s="1"/>
  <c r="B36" i="11"/>
  <c r="AE16" i="11"/>
  <c r="AE23" i="11" s="1"/>
  <c r="AE30" i="11"/>
  <c r="AE31" i="11" s="1"/>
  <c r="W21" i="13"/>
  <c r="W41" i="13"/>
  <c r="K75" i="24" s="1"/>
  <c r="AC9" i="11"/>
  <c r="AC10" i="11" s="1"/>
  <c r="AE10" i="11"/>
  <c r="AC45" i="11"/>
  <c r="AD45" i="11"/>
  <c r="AD15" i="11"/>
  <c r="AD22" i="11" s="1"/>
  <c r="X21" i="13"/>
  <c r="W51" i="13"/>
  <c r="W56" i="13"/>
  <c r="K81" i="24" s="1"/>
  <c r="W66" i="13"/>
  <c r="K77" i="24" s="1"/>
  <c r="X56" i="13"/>
  <c r="L81" i="24" s="1"/>
  <c r="W71" i="13"/>
  <c r="K83" i="24" s="1"/>
  <c r="W11" i="13"/>
  <c r="W16" i="13"/>
  <c r="X41" i="13"/>
  <c r="L75" i="24" s="1"/>
  <c r="W46" i="13"/>
  <c r="X76" i="13"/>
  <c r="L80" i="24" s="1"/>
  <c r="X51" i="13"/>
  <c r="W76" i="13"/>
  <c r="K80" i="24" s="1"/>
  <c r="W31" i="13"/>
  <c r="X71" i="13"/>
  <c r="L83" i="24" s="1"/>
  <c r="X36" i="13"/>
  <c r="X31" i="13"/>
  <c r="X66" i="13"/>
  <c r="L77" i="24" s="1"/>
  <c r="X46" i="13"/>
  <c r="X11" i="13"/>
  <c r="X16" i="13"/>
  <c r="W26" i="13"/>
  <c r="X26" i="13"/>
  <c r="W36" i="13"/>
  <c r="I35" i="17" l="1"/>
  <c r="I34" i="17"/>
  <c r="K78" i="24"/>
  <c r="B24" i="11"/>
  <c r="AD10" i="11"/>
  <c r="AE17" i="11"/>
  <c r="AD16" i="11"/>
  <c r="AD23" i="11" s="1"/>
  <c r="AD37" i="11" s="1"/>
  <c r="B38" i="11"/>
  <c r="AD36" i="11"/>
  <c r="AE24" i="11"/>
  <c r="AE37" i="11"/>
  <c r="AE38" i="11" s="1"/>
  <c r="AC16" i="11"/>
  <c r="AC23" i="11" s="1"/>
  <c r="AC30" i="11"/>
  <c r="AC31" i="11" s="1"/>
  <c r="F324" i="14"/>
  <c r="F323" i="14"/>
  <c r="F322" i="14"/>
  <c r="F321" i="14"/>
  <c r="F320" i="14"/>
  <c r="F319" i="14"/>
  <c r="F318" i="14"/>
  <c r="F312" i="14"/>
  <c r="F311" i="14"/>
  <c r="F310" i="14"/>
  <c r="F309" i="14"/>
  <c r="F308" i="14"/>
  <c r="F307" i="14"/>
  <c r="F306" i="14"/>
  <c r="F300" i="14"/>
  <c r="F299" i="14"/>
  <c r="F298" i="14"/>
  <c r="F297" i="14"/>
  <c r="F296" i="14"/>
  <c r="F295" i="14"/>
  <c r="F294" i="14"/>
  <c r="F288" i="14"/>
  <c r="F287" i="14"/>
  <c r="F286" i="14"/>
  <c r="F285" i="14"/>
  <c r="F284" i="14"/>
  <c r="F283" i="14"/>
  <c r="F282" i="14"/>
  <c r="F276" i="14"/>
  <c r="F275" i="14"/>
  <c r="F274" i="14"/>
  <c r="F273" i="14"/>
  <c r="F272" i="14"/>
  <c r="F271" i="14"/>
  <c r="F270" i="14"/>
  <c r="F264" i="14"/>
  <c r="F263" i="14"/>
  <c r="F262" i="14"/>
  <c r="F261" i="14"/>
  <c r="F260" i="14"/>
  <c r="F259" i="14"/>
  <c r="F258" i="14"/>
  <c r="F252" i="14"/>
  <c r="F251" i="14"/>
  <c r="F250" i="14"/>
  <c r="F249" i="14"/>
  <c r="F248" i="14"/>
  <c r="F247" i="14"/>
  <c r="F246" i="14"/>
  <c r="F240" i="14"/>
  <c r="F239" i="14"/>
  <c r="F238" i="14"/>
  <c r="F237" i="14"/>
  <c r="F236" i="14"/>
  <c r="F235" i="14"/>
  <c r="F234" i="14"/>
  <c r="F228" i="14"/>
  <c r="F227" i="14"/>
  <c r="F226" i="14"/>
  <c r="F225" i="14"/>
  <c r="F224" i="14"/>
  <c r="F223" i="14"/>
  <c r="F222" i="14"/>
  <c r="F216" i="14"/>
  <c r="F215" i="14"/>
  <c r="F214" i="14"/>
  <c r="F213" i="14"/>
  <c r="F212" i="14"/>
  <c r="F211" i="14"/>
  <c r="F210" i="14"/>
  <c r="F204" i="14"/>
  <c r="F203" i="14"/>
  <c r="F202" i="14"/>
  <c r="F201" i="14"/>
  <c r="F200" i="14"/>
  <c r="F199" i="14"/>
  <c r="F198" i="14"/>
  <c r="F192" i="14"/>
  <c r="F191" i="14"/>
  <c r="F190" i="14"/>
  <c r="F189" i="14"/>
  <c r="F188" i="14"/>
  <c r="F187" i="14"/>
  <c r="F186" i="14"/>
  <c r="F180" i="14"/>
  <c r="F179" i="14"/>
  <c r="F178" i="14"/>
  <c r="F177" i="14"/>
  <c r="F176" i="14"/>
  <c r="F175" i="14"/>
  <c r="F174" i="14"/>
  <c r="F168" i="14"/>
  <c r="F167" i="14"/>
  <c r="F166" i="14"/>
  <c r="F165" i="14"/>
  <c r="F164" i="14"/>
  <c r="F163" i="14"/>
  <c r="F162" i="14"/>
  <c r="F156" i="14"/>
  <c r="F155" i="14"/>
  <c r="F154" i="14"/>
  <c r="F153" i="14"/>
  <c r="F152" i="14"/>
  <c r="F151" i="14"/>
  <c r="F150" i="14"/>
  <c r="F144" i="14"/>
  <c r="F143" i="14"/>
  <c r="F142" i="14"/>
  <c r="F141" i="14"/>
  <c r="F140" i="14"/>
  <c r="F139" i="14"/>
  <c r="F138" i="14"/>
  <c r="F132" i="14"/>
  <c r="F131" i="14"/>
  <c r="F130" i="14"/>
  <c r="F129" i="14"/>
  <c r="F128" i="14"/>
  <c r="F127" i="14"/>
  <c r="F126" i="14"/>
  <c r="F120" i="14"/>
  <c r="F119" i="14"/>
  <c r="F118" i="14"/>
  <c r="F117" i="14"/>
  <c r="F116" i="14"/>
  <c r="F115" i="14"/>
  <c r="F114" i="14"/>
  <c r="F108" i="14"/>
  <c r="F107" i="14"/>
  <c r="F106" i="14"/>
  <c r="F105" i="14"/>
  <c r="F104" i="14"/>
  <c r="F103" i="14"/>
  <c r="F102" i="14"/>
  <c r="F96" i="14"/>
  <c r="F95" i="14"/>
  <c r="F94" i="14"/>
  <c r="F93" i="14"/>
  <c r="F92" i="14"/>
  <c r="F91" i="14"/>
  <c r="F90" i="14"/>
  <c r="F84" i="14"/>
  <c r="F83" i="14"/>
  <c r="F82" i="14"/>
  <c r="F81" i="14"/>
  <c r="F80" i="14"/>
  <c r="F79" i="14"/>
  <c r="F78" i="14"/>
  <c r="F72" i="14"/>
  <c r="F71" i="14"/>
  <c r="F70" i="14"/>
  <c r="F69" i="14"/>
  <c r="F68" i="14"/>
  <c r="F67" i="14"/>
  <c r="F66" i="14"/>
  <c r="F60" i="14"/>
  <c r="F59" i="14"/>
  <c r="F58" i="14"/>
  <c r="F57" i="14"/>
  <c r="F56" i="14"/>
  <c r="F55" i="14"/>
  <c r="F54" i="14"/>
  <c r="F48" i="14"/>
  <c r="F47" i="14"/>
  <c r="F46" i="14"/>
  <c r="F45" i="14"/>
  <c r="F44" i="14"/>
  <c r="F43" i="14"/>
  <c r="F42" i="14"/>
  <c r="F36" i="14"/>
  <c r="F35" i="14"/>
  <c r="F34" i="14"/>
  <c r="F33" i="14"/>
  <c r="F32" i="14"/>
  <c r="F31" i="14"/>
  <c r="F30" i="14"/>
  <c r="F24" i="14"/>
  <c r="F23" i="14"/>
  <c r="F22" i="14"/>
  <c r="F21" i="14"/>
  <c r="F20" i="14"/>
  <c r="F19" i="14"/>
  <c r="F18" i="14"/>
  <c r="F12" i="14"/>
  <c r="F11" i="14"/>
  <c r="F10" i="14"/>
  <c r="F9" i="14"/>
  <c r="F8" i="14"/>
  <c r="F7" i="14"/>
  <c r="F6" i="14"/>
  <c r="F300" i="15"/>
  <c r="F299" i="15"/>
  <c r="F298" i="15"/>
  <c r="F297" i="15"/>
  <c r="F296" i="15"/>
  <c r="F295" i="15"/>
  <c r="F294" i="15"/>
  <c r="F288" i="15"/>
  <c r="F287" i="15"/>
  <c r="F286" i="15"/>
  <c r="F285" i="15"/>
  <c r="F284" i="15"/>
  <c r="F283" i="15"/>
  <c r="F282" i="15"/>
  <c r="F276" i="15"/>
  <c r="F275" i="15"/>
  <c r="F274" i="15"/>
  <c r="F273" i="15"/>
  <c r="F272" i="15"/>
  <c r="F271" i="15"/>
  <c r="F270" i="15"/>
  <c r="F264" i="15"/>
  <c r="F263" i="15"/>
  <c r="F262" i="15"/>
  <c r="F261" i="15"/>
  <c r="F260" i="15"/>
  <c r="F259" i="15"/>
  <c r="F258" i="15"/>
  <c r="F252" i="15"/>
  <c r="F251" i="15"/>
  <c r="F250" i="15"/>
  <c r="F249" i="15"/>
  <c r="F248" i="15"/>
  <c r="F247" i="15"/>
  <c r="F246" i="15"/>
  <c r="F240" i="15"/>
  <c r="F239" i="15"/>
  <c r="F238" i="15"/>
  <c r="F237" i="15"/>
  <c r="F236" i="15"/>
  <c r="F235" i="15"/>
  <c r="F234" i="15"/>
  <c r="F228" i="15"/>
  <c r="F227" i="15"/>
  <c r="F226" i="15"/>
  <c r="F225" i="15"/>
  <c r="F224" i="15"/>
  <c r="F223" i="15"/>
  <c r="F222" i="15"/>
  <c r="F216" i="15"/>
  <c r="F215" i="15"/>
  <c r="F214" i="15"/>
  <c r="F213" i="15"/>
  <c r="F212" i="15"/>
  <c r="F211" i="15"/>
  <c r="F210" i="15"/>
  <c r="F204" i="15"/>
  <c r="F203" i="15"/>
  <c r="F202" i="15"/>
  <c r="F201" i="15"/>
  <c r="F200" i="15"/>
  <c r="F199" i="15"/>
  <c r="F198" i="15"/>
  <c r="F192" i="15"/>
  <c r="F191" i="15"/>
  <c r="F190" i="15"/>
  <c r="F189" i="15"/>
  <c r="F188" i="15"/>
  <c r="F187" i="15"/>
  <c r="F186" i="15"/>
  <c r="F180" i="15"/>
  <c r="F179" i="15"/>
  <c r="F178" i="15"/>
  <c r="F177" i="15"/>
  <c r="F176" i="15"/>
  <c r="F175" i="15"/>
  <c r="F174" i="15"/>
  <c r="F168" i="15"/>
  <c r="F167" i="15"/>
  <c r="F166" i="15"/>
  <c r="F165" i="15"/>
  <c r="F164" i="15"/>
  <c r="F163" i="15"/>
  <c r="F162" i="15"/>
  <c r="F156" i="15"/>
  <c r="F155" i="15"/>
  <c r="F154" i="15"/>
  <c r="F153" i="15"/>
  <c r="F152" i="15"/>
  <c r="F151" i="15"/>
  <c r="F150" i="15"/>
  <c r="F144" i="15"/>
  <c r="F143" i="15"/>
  <c r="F142" i="15"/>
  <c r="F141" i="15"/>
  <c r="F140" i="15"/>
  <c r="F139" i="15"/>
  <c r="F138" i="15"/>
  <c r="F132" i="15"/>
  <c r="F131" i="15"/>
  <c r="F130" i="15"/>
  <c r="F129" i="15"/>
  <c r="F128" i="15"/>
  <c r="F127" i="15"/>
  <c r="F126" i="15"/>
  <c r="F120" i="15"/>
  <c r="F119" i="15"/>
  <c r="F118" i="15"/>
  <c r="F117" i="15"/>
  <c r="F116" i="15"/>
  <c r="F115" i="15"/>
  <c r="F114" i="15"/>
  <c r="F108" i="15"/>
  <c r="F107" i="15"/>
  <c r="F106" i="15"/>
  <c r="F105" i="15"/>
  <c r="F104" i="15"/>
  <c r="F103" i="15"/>
  <c r="F102" i="15"/>
  <c r="F96" i="15"/>
  <c r="F95" i="15"/>
  <c r="F94" i="15"/>
  <c r="F93" i="15"/>
  <c r="F92" i="15"/>
  <c r="F91" i="15"/>
  <c r="F90" i="15"/>
  <c r="F84" i="15"/>
  <c r="F83" i="15"/>
  <c r="F82" i="15"/>
  <c r="F81" i="15"/>
  <c r="F80" i="15"/>
  <c r="F79" i="15"/>
  <c r="F78" i="15"/>
  <c r="F72" i="15"/>
  <c r="F71" i="15"/>
  <c r="F70" i="15"/>
  <c r="F69" i="15"/>
  <c r="F68" i="15"/>
  <c r="F67" i="15"/>
  <c r="F66" i="15"/>
  <c r="F60" i="15"/>
  <c r="F59" i="15"/>
  <c r="F58" i="15"/>
  <c r="F57" i="15"/>
  <c r="F56" i="15"/>
  <c r="F55" i="15"/>
  <c r="F54" i="15"/>
  <c r="F48" i="15"/>
  <c r="F47" i="15"/>
  <c r="F46" i="15"/>
  <c r="F45" i="15"/>
  <c r="F44" i="15"/>
  <c r="F43" i="15"/>
  <c r="F42" i="15"/>
  <c r="F36" i="15"/>
  <c r="F35" i="15"/>
  <c r="F34" i="15"/>
  <c r="F33" i="15"/>
  <c r="F32" i="15"/>
  <c r="F31" i="15"/>
  <c r="F30" i="15"/>
  <c r="F24" i="15"/>
  <c r="F23" i="15"/>
  <c r="F22" i="15"/>
  <c r="F21" i="15"/>
  <c r="F20" i="15"/>
  <c r="F19" i="15"/>
  <c r="F18" i="15"/>
  <c r="F12" i="15"/>
  <c r="F11" i="15"/>
  <c r="F10" i="15"/>
  <c r="F9" i="15"/>
  <c r="F8" i="15"/>
  <c r="F7" i="15"/>
  <c r="F324" i="15"/>
  <c r="F323" i="15"/>
  <c r="F322" i="15"/>
  <c r="F321" i="15"/>
  <c r="F320" i="15"/>
  <c r="F319" i="15"/>
  <c r="F318" i="15"/>
  <c r="F300" i="2"/>
  <c r="F299" i="2"/>
  <c r="F298" i="2"/>
  <c r="F297" i="2"/>
  <c r="F296" i="2"/>
  <c r="F295" i="2"/>
  <c r="F294" i="2"/>
  <c r="F288" i="2"/>
  <c r="F287" i="2"/>
  <c r="F286" i="2"/>
  <c r="F285" i="2"/>
  <c r="AA126" i="13" s="1"/>
  <c r="F284" i="2"/>
  <c r="F283" i="2"/>
  <c r="F282" i="2"/>
  <c r="F276" i="2"/>
  <c r="F275" i="2"/>
  <c r="F274" i="2"/>
  <c r="F273" i="2"/>
  <c r="F272" i="2"/>
  <c r="F271" i="2"/>
  <c r="F270" i="2"/>
  <c r="F264" i="2"/>
  <c r="F263" i="2"/>
  <c r="F262" i="2"/>
  <c r="F261" i="2"/>
  <c r="F260" i="2"/>
  <c r="F259" i="2"/>
  <c r="F258" i="2"/>
  <c r="F252" i="2"/>
  <c r="F251" i="2"/>
  <c r="F250" i="2"/>
  <c r="F249" i="2"/>
  <c r="F248" i="2"/>
  <c r="F247" i="2"/>
  <c r="F246" i="2"/>
  <c r="F240" i="2"/>
  <c r="F239" i="2"/>
  <c r="F238" i="2"/>
  <c r="F237" i="2"/>
  <c r="F236" i="2"/>
  <c r="F235" i="2"/>
  <c r="F234" i="2"/>
  <c r="F228" i="2"/>
  <c r="F227" i="2"/>
  <c r="F226" i="2"/>
  <c r="F225" i="2"/>
  <c r="F224" i="2"/>
  <c r="F223" i="2"/>
  <c r="F222" i="2"/>
  <c r="F216" i="2"/>
  <c r="F215" i="2"/>
  <c r="F214" i="2"/>
  <c r="F213" i="2"/>
  <c r="F212" i="2"/>
  <c r="F211" i="2"/>
  <c r="F210" i="2"/>
  <c r="F204" i="2"/>
  <c r="F203" i="2"/>
  <c r="F202" i="2"/>
  <c r="F201" i="2"/>
  <c r="F200" i="2"/>
  <c r="F199" i="2"/>
  <c r="F198" i="2"/>
  <c r="F192" i="2"/>
  <c r="F191" i="2"/>
  <c r="F190" i="2"/>
  <c r="F189" i="2"/>
  <c r="F188" i="2"/>
  <c r="F187" i="2"/>
  <c r="F186" i="2"/>
  <c r="F180" i="2"/>
  <c r="F179" i="2"/>
  <c r="F178" i="2"/>
  <c r="F177" i="2"/>
  <c r="F176" i="2"/>
  <c r="F175" i="2"/>
  <c r="F174" i="2"/>
  <c r="F168" i="2"/>
  <c r="F167" i="2"/>
  <c r="F166" i="2"/>
  <c r="F165" i="2"/>
  <c r="F164" i="2"/>
  <c r="F163" i="2"/>
  <c r="F162" i="2"/>
  <c r="F156" i="2"/>
  <c r="F155" i="2"/>
  <c r="F154" i="2"/>
  <c r="F153" i="2"/>
  <c r="F152" i="2"/>
  <c r="F151" i="2"/>
  <c r="F150" i="2"/>
  <c r="F144" i="2"/>
  <c r="F143" i="2"/>
  <c r="F142" i="2"/>
  <c r="F141" i="2"/>
  <c r="F140" i="2"/>
  <c r="F139" i="2"/>
  <c r="F138" i="2"/>
  <c r="F132" i="2"/>
  <c r="F131" i="2"/>
  <c r="F130" i="2"/>
  <c r="F129" i="2"/>
  <c r="F128" i="2"/>
  <c r="F127" i="2"/>
  <c r="F126" i="2"/>
  <c r="F120" i="2"/>
  <c r="F119" i="2"/>
  <c r="F118" i="2"/>
  <c r="F117" i="2"/>
  <c r="F116" i="2"/>
  <c r="F115" i="2"/>
  <c r="F114" i="2"/>
  <c r="F108" i="2"/>
  <c r="F107" i="2"/>
  <c r="F106" i="2"/>
  <c r="F105" i="2"/>
  <c r="F104" i="2"/>
  <c r="F103" i="2"/>
  <c r="F102" i="2"/>
  <c r="F96" i="2"/>
  <c r="F95" i="2"/>
  <c r="F94" i="2"/>
  <c r="F93" i="2"/>
  <c r="F92" i="2"/>
  <c r="F91" i="2"/>
  <c r="F90" i="2"/>
  <c r="F84" i="2"/>
  <c r="F83" i="2"/>
  <c r="F82" i="2"/>
  <c r="F81" i="2"/>
  <c r="F80" i="2"/>
  <c r="F79" i="2"/>
  <c r="F78" i="2"/>
  <c r="F72" i="2"/>
  <c r="F71" i="2"/>
  <c r="F70" i="2"/>
  <c r="F69" i="2"/>
  <c r="F68" i="2"/>
  <c r="F67" i="2"/>
  <c r="F66" i="2"/>
  <c r="F60" i="2"/>
  <c r="F59" i="2"/>
  <c r="F58" i="2"/>
  <c r="F57" i="2"/>
  <c r="F56" i="2"/>
  <c r="F55" i="2"/>
  <c r="F54" i="2"/>
  <c r="F48" i="2"/>
  <c r="F47" i="2"/>
  <c r="F46" i="2"/>
  <c r="F45" i="2"/>
  <c r="F44" i="2"/>
  <c r="F43" i="2"/>
  <c r="F42" i="2"/>
  <c r="F36" i="2"/>
  <c r="F35" i="2"/>
  <c r="F34" i="2"/>
  <c r="F33" i="2"/>
  <c r="F32" i="2"/>
  <c r="F31" i="2"/>
  <c r="F30" i="2"/>
  <c r="F24" i="2"/>
  <c r="F23" i="2"/>
  <c r="F22" i="2"/>
  <c r="F21" i="2"/>
  <c r="F20" i="2"/>
  <c r="F19" i="2"/>
  <c r="F18" i="2"/>
  <c r="F12" i="2"/>
  <c r="F11" i="2"/>
  <c r="F10" i="2"/>
  <c r="F9" i="2"/>
  <c r="F8" i="2"/>
  <c r="F324" i="2"/>
  <c r="F323" i="2"/>
  <c r="F322" i="2"/>
  <c r="F321" i="2"/>
  <c r="F320" i="2"/>
  <c r="F319" i="2"/>
  <c r="F318" i="2"/>
  <c r="F312" i="15"/>
  <c r="F311" i="15"/>
  <c r="F310" i="15"/>
  <c r="F309" i="15"/>
  <c r="F308" i="15"/>
  <c r="F307" i="15"/>
  <c r="F306" i="15"/>
  <c r="F307" i="2"/>
  <c r="F308" i="2"/>
  <c r="F309" i="2"/>
  <c r="F311" i="2"/>
  <c r="F312" i="2"/>
  <c r="F306" i="2"/>
  <c r="S136" i="13"/>
  <c r="I76" i="24" s="1"/>
  <c r="M136" i="13"/>
  <c r="D11" i="22"/>
  <c r="C11" i="22"/>
  <c r="AD17" i="11" l="1"/>
  <c r="AD24" i="11"/>
  <c r="AD38" i="11"/>
  <c r="AD50" i="11" s="1"/>
  <c r="B49" i="11"/>
  <c r="B50" i="11"/>
  <c r="B51" i="11"/>
  <c r="AE47" i="11"/>
  <c r="AE49" i="11"/>
  <c r="AE48" i="11"/>
  <c r="AE50" i="11"/>
  <c r="AE51" i="11"/>
  <c r="AD47" i="11"/>
  <c r="AD48" i="11"/>
  <c r="AD49" i="11"/>
  <c r="AC17" i="11"/>
  <c r="AC37" i="11"/>
  <c r="AC38" i="11" s="1"/>
  <c r="AC24" i="11"/>
  <c r="B11" i="22"/>
  <c r="AD51" i="11" l="1"/>
  <c r="AE100" i="4"/>
  <c r="AC47" i="11"/>
  <c r="AC48" i="11"/>
  <c r="AC49" i="11"/>
  <c r="AC50" i="11"/>
  <c r="AC51" i="11"/>
  <c r="AD52" i="11"/>
  <c r="S35" i="17" s="1"/>
  <c r="AD43" i="4"/>
  <c r="AE52" i="11"/>
  <c r="S36" i="17" s="1"/>
  <c r="AE43" i="4"/>
  <c r="B52" i="11"/>
  <c r="S7" i="17" s="1"/>
  <c r="X135" i="13"/>
  <c r="X133" i="13"/>
  <c r="W135" i="13"/>
  <c r="W133" i="13"/>
  <c r="AD100" i="4" l="1"/>
  <c r="AC100" i="4"/>
  <c r="AD45" i="4"/>
  <c r="AD46" i="4" s="1"/>
  <c r="U150" i="13"/>
  <c r="AE45" i="4"/>
  <c r="AE46" i="4" s="1"/>
  <c r="U155" i="13"/>
  <c r="O36" i="17"/>
  <c r="L36" i="17"/>
  <c r="Q36" i="17"/>
  <c r="N36" i="17"/>
  <c r="P36" i="17"/>
  <c r="Q35" i="17"/>
  <c r="L35" i="17"/>
  <c r="O35" i="17"/>
  <c r="N35" i="17"/>
  <c r="P35" i="17"/>
  <c r="AC52" i="11"/>
  <c r="S34" i="17" s="1"/>
  <c r="I145" i="13"/>
  <c r="AC43" i="4"/>
  <c r="R28" i="2"/>
  <c r="U145" i="13" l="1"/>
  <c r="M36" i="17"/>
  <c r="R36" i="17"/>
  <c r="M35" i="17"/>
  <c r="R35" i="17"/>
  <c r="AC45" i="4"/>
  <c r="AC46" i="4" s="1"/>
  <c r="I143" i="13"/>
  <c r="I142" i="13"/>
  <c r="V155" i="13"/>
  <c r="T155" i="13" s="1"/>
  <c r="T156" i="13" s="1"/>
  <c r="V150" i="13"/>
  <c r="T150" i="13" s="1"/>
  <c r="T151" i="13" s="1"/>
  <c r="P34" i="17"/>
  <c r="Q34" i="17"/>
  <c r="O34" i="17"/>
  <c r="N34" i="17"/>
  <c r="L34" i="17"/>
  <c r="R328" i="14"/>
  <c r="R327" i="14"/>
  <c r="R326" i="14"/>
  <c r="R325" i="14"/>
  <c r="R324" i="14"/>
  <c r="R323" i="14"/>
  <c r="R322" i="14"/>
  <c r="R321" i="14"/>
  <c r="R320" i="14"/>
  <c r="R319" i="14"/>
  <c r="R318" i="14"/>
  <c r="R316" i="14"/>
  <c r="R315" i="14"/>
  <c r="R314" i="14"/>
  <c r="R313" i="14"/>
  <c r="R312" i="14"/>
  <c r="R311" i="14"/>
  <c r="R310" i="14"/>
  <c r="R309" i="14"/>
  <c r="R308" i="14"/>
  <c r="R307" i="14"/>
  <c r="R306" i="14"/>
  <c r="R304" i="14"/>
  <c r="R303" i="14"/>
  <c r="R302" i="14"/>
  <c r="R301" i="14"/>
  <c r="R300" i="14"/>
  <c r="R299" i="14"/>
  <c r="R298" i="14"/>
  <c r="R297" i="14"/>
  <c r="R296" i="14"/>
  <c r="R295" i="14"/>
  <c r="R294" i="14"/>
  <c r="R292" i="14"/>
  <c r="R291" i="14"/>
  <c r="R290" i="14"/>
  <c r="R289" i="14"/>
  <c r="R288" i="14"/>
  <c r="R287" i="14"/>
  <c r="R286" i="14"/>
  <c r="R285" i="14"/>
  <c r="R284" i="14"/>
  <c r="R283" i="14"/>
  <c r="R282" i="14"/>
  <c r="R280" i="14"/>
  <c r="R279" i="14"/>
  <c r="R278" i="14"/>
  <c r="R277" i="14"/>
  <c r="R276" i="14"/>
  <c r="R275" i="14"/>
  <c r="R274" i="14"/>
  <c r="R273" i="14"/>
  <c r="R272" i="14"/>
  <c r="R271" i="14"/>
  <c r="R270" i="14"/>
  <c r="R268" i="14"/>
  <c r="R267" i="14"/>
  <c r="R266" i="14"/>
  <c r="R265" i="14"/>
  <c r="R264" i="14"/>
  <c r="R263" i="14"/>
  <c r="R262" i="14"/>
  <c r="R261" i="14"/>
  <c r="R260" i="14"/>
  <c r="R259" i="14"/>
  <c r="R258" i="14"/>
  <c r="R256" i="14"/>
  <c r="R255" i="14"/>
  <c r="R254" i="14"/>
  <c r="R253" i="14"/>
  <c r="R252" i="14"/>
  <c r="R251" i="14"/>
  <c r="R250" i="14"/>
  <c r="R249" i="14"/>
  <c r="R248" i="14"/>
  <c r="R247" i="14"/>
  <c r="R246" i="14"/>
  <c r="R244" i="14"/>
  <c r="R243" i="14"/>
  <c r="R242" i="14"/>
  <c r="R241" i="14"/>
  <c r="R240" i="14"/>
  <c r="R239" i="14"/>
  <c r="R238" i="14"/>
  <c r="R237" i="14"/>
  <c r="R236" i="14"/>
  <c r="R235" i="14"/>
  <c r="R234" i="14"/>
  <c r="R232" i="14"/>
  <c r="R231" i="14"/>
  <c r="R230" i="14"/>
  <c r="R229" i="14"/>
  <c r="R228" i="14"/>
  <c r="R227" i="14"/>
  <c r="R226" i="14"/>
  <c r="R225" i="14"/>
  <c r="R224" i="14"/>
  <c r="R223" i="14"/>
  <c r="R222" i="14"/>
  <c r="R220" i="14"/>
  <c r="R219" i="14"/>
  <c r="R218" i="14"/>
  <c r="R217" i="14"/>
  <c r="R216" i="14"/>
  <c r="R215" i="14"/>
  <c r="R214" i="14"/>
  <c r="R213" i="14"/>
  <c r="R212" i="14"/>
  <c r="R211" i="14"/>
  <c r="R210" i="14"/>
  <c r="R208" i="14"/>
  <c r="R207" i="14"/>
  <c r="R206" i="14"/>
  <c r="R205" i="14"/>
  <c r="R204" i="14"/>
  <c r="R203" i="14"/>
  <c r="R202" i="14"/>
  <c r="R201" i="14"/>
  <c r="R200" i="14"/>
  <c r="R199" i="14"/>
  <c r="R198" i="14"/>
  <c r="R196" i="14"/>
  <c r="R195" i="14"/>
  <c r="R194" i="14"/>
  <c r="R193" i="14"/>
  <c r="R192" i="14"/>
  <c r="R191" i="14"/>
  <c r="R190" i="14"/>
  <c r="R189" i="14"/>
  <c r="R188" i="14"/>
  <c r="R187" i="14"/>
  <c r="R186" i="14"/>
  <c r="R184" i="14"/>
  <c r="R183" i="14"/>
  <c r="R182" i="14"/>
  <c r="R181" i="14"/>
  <c r="R180" i="14"/>
  <c r="R179" i="14"/>
  <c r="R178" i="14"/>
  <c r="R177" i="14"/>
  <c r="R176" i="14"/>
  <c r="R175" i="14"/>
  <c r="R174" i="14"/>
  <c r="R172" i="14"/>
  <c r="R171" i="14"/>
  <c r="R170" i="14"/>
  <c r="R169" i="14"/>
  <c r="R168" i="14"/>
  <c r="R167" i="14"/>
  <c r="R166" i="14"/>
  <c r="R165" i="14"/>
  <c r="R164" i="14"/>
  <c r="R163" i="14"/>
  <c r="R162" i="14"/>
  <c r="R160" i="14"/>
  <c r="R159" i="14"/>
  <c r="R158" i="14"/>
  <c r="R157" i="14"/>
  <c r="R156" i="14"/>
  <c r="R155" i="14"/>
  <c r="R154" i="14"/>
  <c r="R153" i="14"/>
  <c r="R152" i="14"/>
  <c r="R151" i="14"/>
  <c r="R150" i="14"/>
  <c r="R148" i="14"/>
  <c r="R147" i="14"/>
  <c r="R146" i="14"/>
  <c r="R145" i="14"/>
  <c r="R144" i="14"/>
  <c r="R143" i="14"/>
  <c r="R142" i="14"/>
  <c r="R141" i="14"/>
  <c r="R140" i="14"/>
  <c r="R139" i="14"/>
  <c r="R138" i="14"/>
  <c r="R136" i="14"/>
  <c r="R135" i="14"/>
  <c r="R134" i="14"/>
  <c r="R133" i="14"/>
  <c r="R132" i="14"/>
  <c r="R131" i="14"/>
  <c r="R130" i="14"/>
  <c r="R129" i="14"/>
  <c r="R128" i="14"/>
  <c r="R127" i="14"/>
  <c r="R126" i="14"/>
  <c r="R124" i="14"/>
  <c r="R123" i="14"/>
  <c r="R122" i="14"/>
  <c r="R121" i="14"/>
  <c r="R120" i="14"/>
  <c r="R119" i="14"/>
  <c r="R118" i="14"/>
  <c r="R117" i="14"/>
  <c r="R116" i="14"/>
  <c r="R115" i="14"/>
  <c r="R114" i="14"/>
  <c r="R112" i="14"/>
  <c r="R111" i="14"/>
  <c r="R110" i="14"/>
  <c r="R109" i="14"/>
  <c r="R108" i="14"/>
  <c r="R107" i="14"/>
  <c r="R106" i="14"/>
  <c r="R105" i="14"/>
  <c r="R104" i="14"/>
  <c r="R103" i="14"/>
  <c r="R102" i="14"/>
  <c r="R100" i="14"/>
  <c r="R99" i="14"/>
  <c r="R98" i="14"/>
  <c r="R97" i="14"/>
  <c r="R96" i="14"/>
  <c r="R95" i="14"/>
  <c r="R94" i="14"/>
  <c r="R93" i="14"/>
  <c r="R92" i="14"/>
  <c r="R91" i="14"/>
  <c r="R90" i="14"/>
  <c r="R88" i="14"/>
  <c r="R87" i="14"/>
  <c r="R86" i="14"/>
  <c r="R85" i="14"/>
  <c r="R84" i="14"/>
  <c r="R83" i="14"/>
  <c r="R82" i="14"/>
  <c r="R81" i="14"/>
  <c r="R80" i="14"/>
  <c r="R79" i="14"/>
  <c r="R78" i="14"/>
  <c r="R76" i="14"/>
  <c r="R75" i="14"/>
  <c r="R74" i="14"/>
  <c r="R73" i="14"/>
  <c r="R72" i="14"/>
  <c r="R71" i="14"/>
  <c r="R70" i="14"/>
  <c r="R69" i="14"/>
  <c r="R68" i="14"/>
  <c r="R67" i="14"/>
  <c r="R66" i="14"/>
  <c r="R64" i="14"/>
  <c r="R63" i="14"/>
  <c r="R62" i="14"/>
  <c r="R61" i="14"/>
  <c r="R60" i="14"/>
  <c r="R59" i="14"/>
  <c r="R58" i="14"/>
  <c r="R57" i="14"/>
  <c r="R56" i="14"/>
  <c r="R55" i="14"/>
  <c r="R54" i="14"/>
  <c r="R52" i="14"/>
  <c r="R51" i="14"/>
  <c r="R50" i="14"/>
  <c r="R49" i="14"/>
  <c r="R48" i="14"/>
  <c r="R47" i="14"/>
  <c r="R46" i="14"/>
  <c r="R45" i="14"/>
  <c r="R44" i="14"/>
  <c r="R43" i="14"/>
  <c r="R42" i="14"/>
  <c r="R40" i="14"/>
  <c r="R39" i="14"/>
  <c r="R38" i="14"/>
  <c r="R37" i="14"/>
  <c r="R36" i="14"/>
  <c r="R35" i="14"/>
  <c r="R34" i="14"/>
  <c r="R33" i="14"/>
  <c r="R32" i="14"/>
  <c r="R31" i="14"/>
  <c r="R30" i="14"/>
  <c r="R28" i="14"/>
  <c r="R27" i="14"/>
  <c r="R26" i="14"/>
  <c r="R25" i="14"/>
  <c r="R24" i="14"/>
  <c r="R23" i="14"/>
  <c r="R22" i="14"/>
  <c r="R21" i="14"/>
  <c r="R20" i="14"/>
  <c r="R19" i="14"/>
  <c r="R18" i="14"/>
  <c r="R16" i="14"/>
  <c r="R15" i="14"/>
  <c r="R13" i="14"/>
  <c r="R12" i="14"/>
  <c r="R11" i="14"/>
  <c r="R10" i="14"/>
  <c r="R9" i="14"/>
  <c r="R8" i="14"/>
  <c r="R7" i="14"/>
  <c r="R6" i="14"/>
  <c r="R320" i="15"/>
  <c r="R321" i="15"/>
  <c r="R322" i="15"/>
  <c r="R323" i="15"/>
  <c r="R324" i="15"/>
  <c r="R325" i="15"/>
  <c r="R326" i="15"/>
  <c r="R327" i="15"/>
  <c r="R328" i="15"/>
  <c r="R319" i="15"/>
  <c r="R318" i="15"/>
  <c r="R296" i="15"/>
  <c r="R297" i="15"/>
  <c r="R298" i="15"/>
  <c r="R299" i="15"/>
  <c r="R300" i="15"/>
  <c r="R301" i="15"/>
  <c r="R302" i="15"/>
  <c r="R303" i="15"/>
  <c r="R304" i="15"/>
  <c r="R295" i="15"/>
  <c r="R294" i="15"/>
  <c r="R282" i="15"/>
  <c r="R284" i="15"/>
  <c r="R285" i="15"/>
  <c r="R286" i="15"/>
  <c r="R287" i="15"/>
  <c r="R288" i="15"/>
  <c r="R289" i="15"/>
  <c r="R290" i="15"/>
  <c r="R291" i="15"/>
  <c r="R292" i="15"/>
  <c r="R283" i="15"/>
  <c r="R272" i="15"/>
  <c r="R273" i="15"/>
  <c r="R274" i="15"/>
  <c r="R275" i="15"/>
  <c r="R276" i="15"/>
  <c r="R277" i="15"/>
  <c r="R278" i="15"/>
  <c r="R279" i="15"/>
  <c r="R280" i="15"/>
  <c r="R271" i="15"/>
  <c r="R270" i="15"/>
  <c r="R260" i="15"/>
  <c r="R261" i="15"/>
  <c r="R262" i="15"/>
  <c r="R263" i="15"/>
  <c r="R264" i="15"/>
  <c r="R265" i="15"/>
  <c r="R266" i="15"/>
  <c r="R267" i="15"/>
  <c r="R268" i="15"/>
  <c r="R259" i="15"/>
  <c r="R258" i="15"/>
  <c r="R248" i="15"/>
  <c r="R249" i="15"/>
  <c r="R250" i="15"/>
  <c r="R251" i="15"/>
  <c r="R252" i="15"/>
  <c r="R253" i="15"/>
  <c r="R254" i="15"/>
  <c r="R255" i="15"/>
  <c r="R256" i="15"/>
  <c r="R247" i="15"/>
  <c r="R246" i="15"/>
  <c r="R236" i="15"/>
  <c r="R237" i="15"/>
  <c r="R238" i="15"/>
  <c r="R239" i="15"/>
  <c r="R240" i="15"/>
  <c r="R241" i="15"/>
  <c r="R242" i="15"/>
  <c r="R243" i="15"/>
  <c r="R244" i="15"/>
  <c r="R235" i="15"/>
  <c r="R234" i="15"/>
  <c r="R224" i="15"/>
  <c r="R225" i="15"/>
  <c r="R226" i="15"/>
  <c r="R227" i="15"/>
  <c r="R228" i="15"/>
  <c r="R229" i="15"/>
  <c r="R230" i="15"/>
  <c r="R231" i="15"/>
  <c r="R232" i="15"/>
  <c r="R223" i="15"/>
  <c r="R222" i="15"/>
  <c r="R212" i="15"/>
  <c r="R213" i="15"/>
  <c r="R214" i="15"/>
  <c r="R215" i="15"/>
  <c r="R216" i="15"/>
  <c r="R217" i="15"/>
  <c r="R218" i="15"/>
  <c r="R219" i="15"/>
  <c r="R220" i="15"/>
  <c r="R211" i="15"/>
  <c r="R210" i="15"/>
  <c r="R200" i="15"/>
  <c r="R201" i="15"/>
  <c r="R202" i="15"/>
  <c r="R203" i="15"/>
  <c r="R204" i="15"/>
  <c r="R205" i="15"/>
  <c r="R206" i="15"/>
  <c r="R207" i="15"/>
  <c r="R208" i="15"/>
  <c r="R199" i="15"/>
  <c r="R198" i="15"/>
  <c r="R188" i="15"/>
  <c r="R189" i="15"/>
  <c r="R190" i="15"/>
  <c r="R191" i="15"/>
  <c r="R192" i="15"/>
  <c r="R193" i="15"/>
  <c r="R194" i="15"/>
  <c r="R195" i="15"/>
  <c r="R196" i="15"/>
  <c r="R187" i="15"/>
  <c r="R186" i="15"/>
  <c r="R174" i="15"/>
  <c r="R176" i="15"/>
  <c r="R177" i="15"/>
  <c r="R178" i="15"/>
  <c r="R179" i="15"/>
  <c r="R180" i="15"/>
  <c r="R181" i="15"/>
  <c r="R182" i="15"/>
  <c r="R183" i="15"/>
  <c r="R184" i="15"/>
  <c r="R175" i="15"/>
  <c r="R164" i="15"/>
  <c r="R165" i="15"/>
  <c r="R166" i="15"/>
  <c r="R167" i="15"/>
  <c r="R168" i="15"/>
  <c r="R169" i="15"/>
  <c r="R170" i="15"/>
  <c r="R171" i="15"/>
  <c r="R172" i="15"/>
  <c r="R163" i="15"/>
  <c r="R162" i="15"/>
  <c r="R152" i="15"/>
  <c r="R153" i="15"/>
  <c r="R154" i="15"/>
  <c r="R155" i="15"/>
  <c r="R156" i="15"/>
  <c r="R157" i="15"/>
  <c r="R158" i="15"/>
  <c r="R159" i="15"/>
  <c r="R160" i="15"/>
  <c r="R151" i="15"/>
  <c r="R150" i="15"/>
  <c r="R140" i="15"/>
  <c r="R141" i="15"/>
  <c r="R142" i="15"/>
  <c r="R143" i="15"/>
  <c r="R144" i="15"/>
  <c r="R145" i="15"/>
  <c r="R146" i="15"/>
  <c r="R147" i="15"/>
  <c r="R148" i="15"/>
  <c r="R139" i="15"/>
  <c r="R138" i="15"/>
  <c r="R128" i="15"/>
  <c r="R129" i="15"/>
  <c r="R130" i="15"/>
  <c r="R131" i="15"/>
  <c r="R132" i="15"/>
  <c r="R133" i="15"/>
  <c r="R134" i="15"/>
  <c r="R135" i="15"/>
  <c r="R136" i="15"/>
  <c r="R127" i="15"/>
  <c r="R126" i="15"/>
  <c r="R116" i="15"/>
  <c r="R117" i="15"/>
  <c r="R118" i="15"/>
  <c r="R119" i="15"/>
  <c r="R120" i="15"/>
  <c r="R121" i="15"/>
  <c r="R122" i="15"/>
  <c r="R123" i="15"/>
  <c r="R124" i="15"/>
  <c r="R115" i="15"/>
  <c r="R114" i="15"/>
  <c r="R104" i="15"/>
  <c r="R105" i="15"/>
  <c r="R106" i="15"/>
  <c r="R107" i="15"/>
  <c r="R108" i="15"/>
  <c r="R109" i="15"/>
  <c r="R110" i="15"/>
  <c r="R111" i="15"/>
  <c r="R112" i="15"/>
  <c r="R103" i="15"/>
  <c r="R102" i="15"/>
  <c r="R91" i="15"/>
  <c r="R92" i="15"/>
  <c r="R93" i="15"/>
  <c r="R94" i="15"/>
  <c r="R95" i="15"/>
  <c r="R96" i="15"/>
  <c r="R97" i="15"/>
  <c r="R98" i="15"/>
  <c r="R99" i="15"/>
  <c r="R100" i="15"/>
  <c r="R90" i="15"/>
  <c r="R79" i="15"/>
  <c r="R80" i="15"/>
  <c r="R81" i="15"/>
  <c r="R82" i="15"/>
  <c r="R83" i="15"/>
  <c r="R84" i="15"/>
  <c r="R85" i="15"/>
  <c r="R86" i="15"/>
  <c r="R87" i="15"/>
  <c r="R88" i="15"/>
  <c r="R78" i="15"/>
  <c r="R67" i="15"/>
  <c r="R68" i="15"/>
  <c r="R69" i="15"/>
  <c r="R70" i="15"/>
  <c r="R71" i="15"/>
  <c r="R72" i="15"/>
  <c r="R73" i="15"/>
  <c r="R74" i="15"/>
  <c r="R75" i="15"/>
  <c r="R76" i="15"/>
  <c r="R66" i="15"/>
  <c r="R55" i="15"/>
  <c r="R56" i="15"/>
  <c r="R57" i="15"/>
  <c r="R58" i="15"/>
  <c r="R59" i="15"/>
  <c r="R60" i="15"/>
  <c r="R61" i="15"/>
  <c r="R62" i="15"/>
  <c r="R63" i="15"/>
  <c r="R64" i="15"/>
  <c r="R65" i="15"/>
  <c r="R54" i="15"/>
  <c r="R42" i="15"/>
  <c r="R43" i="15"/>
  <c r="R44" i="15"/>
  <c r="R45" i="15"/>
  <c r="R46" i="15"/>
  <c r="R47" i="15"/>
  <c r="R48" i="15"/>
  <c r="R49" i="15"/>
  <c r="R50" i="15"/>
  <c r="R51" i="15"/>
  <c r="R52" i="15"/>
  <c r="R31" i="15"/>
  <c r="R32" i="15"/>
  <c r="R33" i="15"/>
  <c r="R34" i="15"/>
  <c r="R35" i="15"/>
  <c r="R36" i="15"/>
  <c r="R37" i="15"/>
  <c r="R38" i="15"/>
  <c r="R39" i="15"/>
  <c r="R40" i="15"/>
  <c r="R30" i="15"/>
  <c r="R19" i="15"/>
  <c r="R20" i="15"/>
  <c r="R21" i="15"/>
  <c r="R22" i="15"/>
  <c r="R23" i="15"/>
  <c r="R24" i="15"/>
  <c r="R25" i="15"/>
  <c r="R26" i="15"/>
  <c r="R27" i="15"/>
  <c r="R28" i="15"/>
  <c r="R18" i="15"/>
  <c r="R7" i="15"/>
  <c r="R8" i="15"/>
  <c r="R9" i="15"/>
  <c r="R10" i="15"/>
  <c r="R11" i="15"/>
  <c r="R12" i="15"/>
  <c r="R13" i="15"/>
  <c r="R14" i="15"/>
  <c r="R15" i="15"/>
  <c r="R16" i="15"/>
  <c r="R6" i="15"/>
  <c r="R7" i="2"/>
  <c r="R8" i="2"/>
  <c r="R9" i="2"/>
  <c r="R10" i="2"/>
  <c r="R11" i="2"/>
  <c r="R12" i="2"/>
  <c r="R14" i="2"/>
  <c r="R15" i="2"/>
  <c r="R16" i="2"/>
  <c r="R6" i="2"/>
  <c r="R319" i="2"/>
  <c r="R320" i="2"/>
  <c r="R321" i="2"/>
  <c r="R322" i="2"/>
  <c r="R323" i="2"/>
  <c r="R324" i="2"/>
  <c r="R325" i="2"/>
  <c r="R326" i="2"/>
  <c r="R327" i="2"/>
  <c r="R328" i="2"/>
  <c r="R295" i="2"/>
  <c r="R296" i="2"/>
  <c r="R297" i="2"/>
  <c r="R298" i="2"/>
  <c r="R299" i="2"/>
  <c r="R300" i="2"/>
  <c r="R301" i="2"/>
  <c r="R302" i="2"/>
  <c r="R303" i="2"/>
  <c r="R304" i="2"/>
  <c r="R294" i="2"/>
  <c r="R283" i="2"/>
  <c r="R284" i="2"/>
  <c r="R285" i="2"/>
  <c r="R286" i="2"/>
  <c r="R287" i="2"/>
  <c r="R288" i="2"/>
  <c r="R289" i="2"/>
  <c r="R290" i="2"/>
  <c r="R291" i="2"/>
  <c r="R292" i="2"/>
  <c r="R282" i="2"/>
  <c r="R270" i="2"/>
  <c r="R271" i="2"/>
  <c r="R272" i="2"/>
  <c r="R273" i="2"/>
  <c r="R274" i="2"/>
  <c r="R275" i="2"/>
  <c r="R276" i="2"/>
  <c r="R277" i="2"/>
  <c r="R278" i="2"/>
  <c r="R279" i="2"/>
  <c r="R280" i="2"/>
  <c r="R259" i="2"/>
  <c r="R260" i="2"/>
  <c r="R261" i="2"/>
  <c r="R262" i="2"/>
  <c r="R263" i="2"/>
  <c r="R264" i="2"/>
  <c r="R265" i="2"/>
  <c r="R266" i="2"/>
  <c r="R267" i="2"/>
  <c r="R268" i="2"/>
  <c r="R258" i="2"/>
  <c r="R246" i="2"/>
  <c r="R247" i="2"/>
  <c r="R248" i="2"/>
  <c r="R249" i="2"/>
  <c r="R250" i="2"/>
  <c r="R251" i="2"/>
  <c r="R252" i="2"/>
  <c r="R253" i="2"/>
  <c r="R254" i="2"/>
  <c r="R255" i="2"/>
  <c r="R256" i="2"/>
  <c r="R235" i="2"/>
  <c r="R236" i="2"/>
  <c r="R237" i="2"/>
  <c r="R238" i="2"/>
  <c r="R239" i="2"/>
  <c r="R240" i="2"/>
  <c r="R241" i="2"/>
  <c r="R242" i="2"/>
  <c r="R243" i="2"/>
  <c r="R244" i="2"/>
  <c r="R234" i="2"/>
  <c r="R223" i="2"/>
  <c r="R224" i="2"/>
  <c r="R225" i="2"/>
  <c r="R226" i="2"/>
  <c r="R227" i="2"/>
  <c r="R228" i="2"/>
  <c r="R229" i="2"/>
  <c r="R230" i="2"/>
  <c r="R231" i="2"/>
  <c r="R232" i="2"/>
  <c r="R222" i="2"/>
  <c r="R211" i="2"/>
  <c r="R212" i="2"/>
  <c r="R213" i="2"/>
  <c r="R214" i="2"/>
  <c r="R215" i="2"/>
  <c r="R216" i="2"/>
  <c r="R217" i="2"/>
  <c r="R218" i="2"/>
  <c r="R219" i="2"/>
  <c r="R220" i="2"/>
  <c r="R210" i="2"/>
  <c r="R199" i="2"/>
  <c r="R200" i="2"/>
  <c r="R201" i="2"/>
  <c r="R202" i="2"/>
  <c r="R203" i="2"/>
  <c r="R204" i="2"/>
  <c r="R205" i="2"/>
  <c r="R206" i="2"/>
  <c r="R207" i="2"/>
  <c r="R208" i="2"/>
  <c r="R198" i="2"/>
  <c r="R186" i="2"/>
  <c r="R187" i="2"/>
  <c r="R188" i="2"/>
  <c r="R189" i="2"/>
  <c r="R190" i="2"/>
  <c r="R191" i="2"/>
  <c r="R192" i="2"/>
  <c r="R193" i="2"/>
  <c r="R194" i="2"/>
  <c r="R195" i="2"/>
  <c r="R196" i="2"/>
  <c r="R175" i="2"/>
  <c r="R176" i="2"/>
  <c r="R177" i="2"/>
  <c r="R178" i="2"/>
  <c r="R179" i="2"/>
  <c r="R180" i="2"/>
  <c r="R181" i="2"/>
  <c r="R182" i="2"/>
  <c r="R183" i="2"/>
  <c r="R184" i="2"/>
  <c r="R174" i="2"/>
  <c r="R163" i="2"/>
  <c r="R164" i="2"/>
  <c r="R165" i="2"/>
  <c r="R166" i="2"/>
  <c r="R167" i="2"/>
  <c r="R168" i="2"/>
  <c r="R169" i="2"/>
  <c r="R170" i="2"/>
  <c r="R171" i="2"/>
  <c r="R172" i="2"/>
  <c r="R162" i="2"/>
  <c r="R151" i="2"/>
  <c r="R152" i="2"/>
  <c r="R153" i="2"/>
  <c r="R154" i="2"/>
  <c r="R155" i="2"/>
  <c r="R156" i="2"/>
  <c r="R157" i="2"/>
  <c r="R158" i="2"/>
  <c r="R159" i="2"/>
  <c r="R160" i="2"/>
  <c r="R150" i="2"/>
  <c r="R139" i="2"/>
  <c r="R140" i="2"/>
  <c r="R141" i="2"/>
  <c r="R142" i="2"/>
  <c r="R143" i="2"/>
  <c r="R144" i="2"/>
  <c r="R145" i="2"/>
  <c r="R146" i="2"/>
  <c r="R147" i="2"/>
  <c r="R148" i="2"/>
  <c r="R138" i="2"/>
  <c r="R126" i="2"/>
  <c r="R127" i="2"/>
  <c r="R128" i="2"/>
  <c r="R129" i="2"/>
  <c r="R130" i="2"/>
  <c r="R131" i="2"/>
  <c r="R132" i="2"/>
  <c r="R133" i="2"/>
  <c r="R134" i="2"/>
  <c r="R135" i="2"/>
  <c r="R136" i="2"/>
  <c r="R115" i="2"/>
  <c r="R116" i="2"/>
  <c r="R117" i="2"/>
  <c r="R118" i="2"/>
  <c r="R119" i="2"/>
  <c r="R120" i="2"/>
  <c r="R121" i="2"/>
  <c r="R122" i="2"/>
  <c r="R123" i="2"/>
  <c r="R124" i="2"/>
  <c r="R114" i="2"/>
  <c r="R103" i="2"/>
  <c r="R104" i="2"/>
  <c r="R105" i="2"/>
  <c r="R106" i="2"/>
  <c r="R107" i="2"/>
  <c r="R108" i="2"/>
  <c r="R109" i="2"/>
  <c r="R110" i="2"/>
  <c r="R111" i="2"/>
  <c r="R112" i="2"/>
  <c r="R102" i="2"/>
  <c r="R90" i="2"/>
  <c r="R91" i="2"/>
  <c r="R92" i="2"/>
  <c r="R93" i="2"/>
  <c r="R94" i="2"/>
  <c r="R95" i="2"/>
  <c r="R96" i="2"/>
  <c r="R97" i="2"/>
  <c r="R98" i="2"/>
  <c r="R99" i="2"/>
  <c r="R100" i="2"/>
  <c r="R79" i="2"/>
  <c r="R80" i="2"/>
  <c r="R81" i="2"/>
  <c r="R82" i="2"/>
  <c r="R83" i="2"/>
  <c r="R84" i="2"/>
  <c r="R85" i="2"/>
  <c r="R86" i="2"/>
  <c r="R87" i="2"/>
  <c r="R88" i="2"/>
  <c r="R78" i="2"/>
  <c r="R66" i="2"/>
  <c r="R67" i="2"/>
  <c r="R68" i="2"/>
  <c r="R69" i="2"/>
  <c r="R70" i="2"/>
  <c r="R71" i="2"/>
  <c r="R72" i="2"/>
  <c r="R73" i="2"/>
  <c r="R74" i="2"/>
  <c r="R75" i="2"/>
  <c r="R76" i="2"/>
  <c r="R55" i="2"/>
  <c r="R56" i="2"/>
  <c r="R57" i="2"/>
  <c r="R58" i="2"/>
  <c r="R59" i="2"/>
  <c r="R60" i="2"/>
  <c r="R61" i="2"/>
  <c r="R62" i="2"/>
  <c r="R63" i="2"/>
  <c r="R64" i="2"/>
  <c r="R54" i="2"/>
  <c r="R42" i="2"/>
  <c r="R43" i="2"/>
  <c r="R44" i="2"/>
  <c r="R45" i="2"/>
  <c r="R46" i="2"/>
  <c r="R47" i="2"/>
  <c r="R48" i="2"/>
  <c r="R49" i="2"/>
  <c r="R50" i="2"/>
  <c r="R51" i="2"/>
  <c r="R52" i="2"/>
  <c r="R31" i="2"/>
  <c r="R32" i="2"/>
  <c r="R33" i="2"/>
  <c r="R34" i="2"/>
  <c r="R35" i="2"/>
  <c r="R36" i="2"/>
  <c r="R37" i="2"/>
  <c r="R38" i="2"/>
  <c r="R39" i="2"/>
  <c r="R40" i="2"/>
  <c r="R30" i="2"/>
  <c r="R19" i="2"/>
  <c r="R20" i="2"/>
  <c r="R21" i="2"/>
  <c r="R22" i="2"/>
  <c r="R23" i="2"/>
  <c r="R24" i="2"/>
  <c r="R25" i="2"/>
  <c r="R26" i="2"/>
  <c r="R27" i="2"/>
  <c r="R18" i="2"/>
  <c r="Q184" i="15" l="1"/>
  <c r="Q185" i="15" s="1"/>
  <c r="O184" i="15"/>
  <c r="O185" i="15" s="1"/>
  <c r="O148" i="15"/>
  <c r="O149" i="15" s="1"/>
  <c r="O220" i="15"/>
  <c r="O221" i="15" s="1"/>
  <c r="O244" i="15"/>
  <c r="O245" i="15" s="1"/>
  <c r="V145" i="13"/>
  <c r="T145" i="13" s="1"/>
  <c r="T146" i="13" s="1"/>
  <c r="I146" i="13"/>
  <c r="R34" i="17"/>
  <c r="M34" i="17"/>
  <c r="R155" i="13"/>
  <c r="P155" i="13"/>
  <c r="P145" i="13"/>
  <c r="R150" i="13"/>
  <c r="P150" i="13"/>
  <c r="R145" i="13"/>
  <c r="P152" i="13"/>
  <c r="R147" i="13"/>
  <c r="R152" i="13"/>
  <c r="P142" i="13"/>
  <c r="P147" i="13"/>
  <c r="R142" i="13"/>
  <c r="P148" i="13"/>
  <c r="P153" i="13"/>
  <c r="R148" i="13"/>
  <c r="R143" i="13"/>
  <c r="P143" i="13"/>
  <c r="R153" i="13"/>
  <c r="Q65" i="2"/>
  <c r="Q233" i="2"/>
  <c r="Q29" i="2"/>
  <c r="O233" i="2"/>
  <c r="Q77" i="15"/>
  <c r="Q148" i="15"/>
  <c r="Q149" i="15" s="1"/>
  <c r="Q173" i="15"/>
  <c r="Q220" i="15"/>
  <c r="Q221" i="15" s="1"/>
  <c r="Q244" i="15"/>
  <c r="Q245" i="15" s="1"/>
  <c r="Q89" i="15"/>
  <c r="O149" i="14"/>
  <c r="Q89" i="14"/>
  <c r="Q29" i="14"/>
  <c r="Q137" i="14"/>
  <c r="O233" i="14"/>
  <c r="Q17" i="14"/>
  <c r="O305" i="14"/>
  <c r="O281" i="2"/>
  <c r="Q281" i="2"/>
  <c r="Q137" i="15"/>
  <c r="O233" i="15"/>
  <c r="Q233" i="15"/>
  <c r="O173" i="2"/>
  <c r="O257" i="2"/>
  <c r="Q113" i="15"/>
  <c r="O305" i="15"/>
  <c r="Q305" i="15"/>
  <c r="O65" i="14"/>
  <c r="Q161" i="14"/>
  <c r="O29" i="15"/>
  <c r="O293" i="15"/>
  <c r="Q209" i="15"/>
  <c r="O89" i="15"/>
  <c r="Q137" i="2"/>
  <c r="O137" i="2"/>
  <c r="O269" i="2"/>
  <c r="Q269" i="2"/>
  <c r="Q101" i="14"/>
  <c r="O197" i="14"/>
  <c r="Q197" i="14"/>
  <c r="O293" i="14"/>
  <c r="Q293" i="14"/>
  <c r="O173" i="15"/>
  <c r="O329" i="2"/>
  <c r="O209" i="15"/>
  <c r="O161" i="14"/>
  <c r="Q125" i="14"/>
  <c r="Q185" i="2"/>
  <c r="Q77" i="2"/>
  <c r="Q149" i="2"/>
  <c r="O149" i="2"/>
  <c r="O305" i="2"/>
  <c r="Q305" i="2"/>
  <c r="O53" i="15"/>
  <c r="Q281" i="15"/>
  <c r="O41" i="14"/>
  <c r="Q233" i="14"/>
  <c r="O257" i="14"/>
  <c r="Q329" i="14"/>
  <c r="O125" i="2"/>
  <c r="O329" i="14"/>
  <c r="O221" i="14"/>
  <c r="O221" i="2"/>
  <c r="Q221" i="2"/>
  <c r="O41" i="2"/>
  <c r="Q41" i="2"/>
  <c r="O101" i="2"/>
  <c r="Q101" i="2"/>
  <c r="O185" i="2"/>
  <c r="P77" i="13" s="1"/>
  <c r="O65" i="15"/>
  <c r="Q329" i="15"/>
  <c r="O173" i="14"/>
  <c r="Q173" i="14"/>
  <c r="O269" i="14"/>
  <c r="Q269" i="14"/>
  <c r="Q257" i="14"/>
  <c r="O77" i="2"/>
  <c r="O293" i="2"/>
  <c r="Q125" i="15"/>
  <c r="Q53" i="15"/>
  <c r="O53" i="2"/>
  <c r="Q53" i="2"/>
  <c r="Q113" i="2"/>
  <c r="O113" i="2"/>
  <c r="O17" i="2"/>
  <c r="Q17" i="2"/>
  <c r="O161" i="15"/>
  <c r="Q161" i="15"/>
  <c r="O257" i="15"/>
  <c r="O17" i="14"/>
  <c r="O113" i="14"/>
  <c r="Q113" i="14"/>
  <c r="O209" i="14"/>
  <c r="Q209" i="14"/>
  <c r="O77" i="14"/>
  <c r="Q77" i="14"/>
  <c r="Q257" i="15"/>
  <c r="Q161" i="2"/>
  <c r="O161" i="2"/>
  <c r="O41" i="15"/>
  <c r="Q41" i="15"/>
  <c r="O101" i="15"/>
  <c r="Q101" i="15"/>
  <c r="O53" i="14"/>
  <c r="Q53" i="14"/>
  <c r="Q149" i="14"/>
  <c r="O245" i="14"/>
  <c r="Q245" i="14"/>
  <c r="Q173" i="2"/>
  <c r="O281" i="15"/>
  <c r="O137" i="15"/>
  <c r="Q305" i="14"/>
  <c r="O125" i="15"/>
  <c r="Q197" i="2"/>
  <c r="Q41" i="14"/>
  <c r="Q29" i="15"/>
  <c r="O137" i="14"/>
  <c r="O89" i="14"/>
  <c r="O185" i="14"/>
  <c r="Q185" i="14"/>
  <c r="Q281" i="14"/>
  <c r="O281" i="14"/>
  <c r="O329" i="15"/>
  <c r="Q65" i="15"/>
  <c r="Q329" i="2"/>
  <c r="O209" i="2"/>
  <c r="Q125" i="2"/>
  <c r="O245" i="2"/>
  <c r="Q245" i="2"/>
  <c r="Q293" i="2"/>
  <c r="O17" i="15"/>
  <c r="Q17" i="15"/>
  <c r="O77" i="15"/>
  <c r="O269" i="15"/>
  <c r="Q269" i="15"/>
  <c r="Q293" i="15"/>
  <c r="Q221" i="14"/>
  <c r="Q317" i="14"/>
  <c r="O317" i="14"/>
  <c r="O29" i="2"/>
  <c r="O197" i="2"/>
  <c r="Q257" i="2"/>
  <c r="O113" i="15"/>
  <c r="O65" i="2"/>
  <c r="O29" i="14"/>
  <c r="O125" i="14"/>
  <c r="Q209" i="2"/>
  <c r="O101" i="14"/>
  <c r="Q65" i="14"/>
  <c r="R156" i="13" l="1"/>
  <c r="P151" i="13"/>
  <c r="P146" i="13"/>
  <c r="P156" i="13"/>
  <c r="R146" i="13"/>
  <c r="R151" i="13"/>
  <c r="J364" i="14" l="1"/>
  <c r="X136" i="13"/>
  <c r="L76" i="24" s="1"/>
  <c r="C44" i="4"/>
  <c r="D44" i="4"/>
  <c r="E44" i="4"/>
  <c r="F44" i="4"/>
  <c r="G44" i="4"/>
  <c r="H44" i="4"/>
  <c r="I44" i="4"/>
  <c r="J44" i="4"/>
  <c r="K44" i="4"/>
  <c r="L44" i="4"/>
  <c r="M44" i="4"/>
  <c r="N44" i="4"/>
  <c r="O44" i="4"/>
  <c r="P44" i="4"/>
  <c r="Q44" i="4"/>
  <c r="R44" i="4"/>
  <c r="S44" i="4"/>
  <c r="T44" i="4"/>
  <c r="U44" i="4"/>
  <c r="V44" i="4"/>
  <c r="W44" i="4"/>
  <c r="X44" i="4"/>
  <c r="Y44" i="4"/>
  <c r="Z44" i="4"/>
  <c r="AA44" i="4"/>
  <c r="AB44" i="4"/>
  <c r="B44" i="4"/>
  <c r="K352" i="14" l="1"/>
  <c r="L150" i="13" s="1"/>
  <c r="K352" i="2"/>
  <c r="M340" i="15"/>
  <c r="N143" i="13" s="1"/>
  <c r="L352" i="14"/>
  <c r="L364" i="14"/>
  <c r="L340" i="14"/>
  <c r="J340" i="14"/>
  <c r="M340" i="2"/>
  <c r="N142" i="13" s="1"/>
  <c r="N352" i="14"/>
  <c r="O150" i="13" s="1"/>
  <c r="N340" i="14"/>
  <c r="O145" i="13" s="1"/>
  <c r="I340" i="14"/>
  <c r="N364" i="2"/>
  <c r="O152" i="13" s="1"/>
  <c r="H364" i="14"/>
  <c r="G352" i="2"/>
  <c r="H147" i="13" s="1"/>
  <c r="G364" i="2"/>
  <c r="J352" i="14"/>
  <c r="J304" i="14"/>
  <c r="J305" i="14" s="1"/>
  <c r="J292" i="14"/>
  <c r="J293" i="14" s="1"/>
  <c r="J100" i="14"/>
  <c r="J101" i="14" s="1"/>
  <c r="J184" i="14"/>
  <c r="J185" i="14" s="1"/>
  <c r="J316" i="14"/>
  <c r="J317" i="14" s="1"/>
  <c r="J148" i="14"/>
  <c r="J149" i="14" s="1"/>
  <c r="J244" i="14"/>
  <c r="J245" i="14" s="1"/>
  <c r="J16" i="14"/>
  <c r="J17" i="14" s="1"/>
  <c r="J52" i="14"/>
  <c r="J53" i="14" s="1"/>
  <c r="J208" i="14"/>
  <c r="J209" i="14" s="1"/>
  <c r="J40" i="14"/>
  <c r="J41" i="14" s="1"/>
  <c r="N256" i="14"/>
  <c r="N257" i="14" s="1"/>
  <c r="J28" i="14"/>
  <c r="J29" i="14" s="1"/>
  <c r="J64" i="14"/>
  <c r="J65" i="14" s="1"/>
  <c r="J112" i="14"/>
  <c r="J113" i="14" s="1"/>
  <c r="J256" i="14"/>
  <c r="J257" i="14" s="1"/>
  <c r="J88" i="14"/>
  <c r="J89" i="14" s="1"/>
  <c r="J76" i="14"/>
  <c r="J77" i="14" s="1"/>
  <c r="J160" i="14"/>
  <c r="J161" i="14" s="1"/>
  <c r="J268" i="14"/>
  <c r="J269" i="14" s="1"/>
  <c r="G316" i="2"/>
  <c r="G232" i="2"/>
  <c r="J136" i="14"/>
  <c r="J137" i="14" s="1"/>
  <c r="J124" i="14"/>
  <c r="J220" i="14"/>
  <c r="J221" i="14" s="1"/>
  <c r="J328" i="14"/>
  <c r="J329" i="14" s="1"/>
  <c r="J232" i="14"/>
  <c r="J233" i="14" s="1"/>
  <c r="J196" i="14"/>
  <c r="J197" i="14" s="1"/>
  <c r="J172" i="14"/>
  <c r="J173" i="14" s="1"/>
  <c r="J280" i="14"/>
  <c r="J281" i="14" s="1"/>
  <c r="R316" i="15"/>
  <c r="R315" i="15"/>
  <c r="R314" i="15"/>
  <c r="R313" i="15"/>
  <c r="R312" i="15"/>
  <c r="R311" i="15"/>
  <c r="R310" i="15"/>
  <c r="R309" i="15"/>
  <c r="R308" i="15"/>
  <c r="R307" i="15"/>
  <c r="R306" i="15"/>
  <c r="E40" i="4"/>
  <c r="F40" i="4"/>
  <c r="G40" i="4"/>
  <c r="H40" i="4"/>
  <c r="I40" i="4"/>
  <c r="J40" i="4"/>
  <c r="K40" i="4"/>
  <c r="L40" i="4"/>
  <c r="M40" i="4"/>
  <c r="N40" i="4"/>
  <c r="O40" i="4"/>
  <c r="P40" i="4"/>
  <c r="Q40" i="4"/>
  <c r="R40" i="4"/>
  <c r="S40" i="4"/>
  <c r="T40" i="4"/>
  <c r="U40" i="4"/>
  <c r="V40" i="4"/>
  <c r="W40" i="4"/>
  <c r="X40" i="4"/>
  <c r="Y40" i="4"/>
  <c r="Z40" i="4"/>
  <c r="AA40" i="4"/>
  <c r="AB40" i="4"/>
  <c r="D40" i="4"/>
  <c r="C40" i="4"/>
  <c r="AB40" i="11"/>
  <c r="AB12" i="11"/>
  <c r="AB19" i="11" s="1"/>
  <c r="AB33" i="11" s="1"/>
  <c r="F12" i="11"/>
  <c r="F19" i="11" s="1"/>
  <c r="F33" i="11" s="1"/>
  <c r="G12" i="11"/>
  <c r="G19" i="11" s="1"/>
  <c r="G33" i="11" s="1"/>
  <c r="H12" i="11"/>
  <c r="H19" i="11" s="1"/>
  <c r="I12" i="11"/>
  <c r="I19" i="11" s="1"/>
  <c r="I33" i="11" s="1"/>
  <c r="J12" i="11"/>
  <c r="J19" i="11" s="1"/>
  <c r="K12" i="11"/>
  <c r="K19" i="11" s="1"/>
  <c r="L12" i="11"/>
  <c r="L19" i="11" s="1"/>
  <c r="L33" i="11" s="1"/>
  <c r="M12" i="11"/>
  <c r="M19" i="11" s="1"/>
  <c r="M33" i="11" s="1"/>
  <c r="N12" i="11"/>
  <c r="N19" i="11" s="1"/>
  <c r="N33" i="11" s="1"/>
  <c r="O12" i="11"/>
  <c r="O19" i="11" s="1"/>
  <c r="O33" i="11" s="1"/>
  <c r="P12" i="11"/>
  <c r="P19" i="11" s="1"/>
  <c r="Q12" i="11"/>
  <c r="Q19" i="11" s="1"/>
  <c r="Q33" i="11" s="1"/>
  <c r="R12" i="11"/>
  <c r="R19" i="11" s="1"/>
  <c r="S12" i="11"/>
  <c r="S19" i="11" s="1"/>
  <c r="T12" i="11"/>
  <c r="T19" i="11" s="1"/>
  <c r="T33" i="11" s="1"/>
  <c r="U12" i="11"/>
  <c r="U19" i="11" s="1"/>
  <c r="U33" i="11" s="1"/>
  <c r="V12" i="11"/>
  <c r="V19" i="11" s="1"/>
  <c r="V33" i="11" s="1"/>
  <c r="W12" i="11"/>
  <c r="W19" i="11" s="1"/>
  <c r="W33" i="11" s="1"/>
  <c r="X12" i="11"/>
  <c r="X19" i="11" s="1"/>
  <c r="Y12" i="11"/>
  <c r="Y19" i="11" s="1"/>
  <c r="Y33" i="11" s="1"/>
  <c r="Z12" i="11"/>
  <c r="Z19" i="11" s="1"/>
  <c r="F40" i="11"/>
  <c r="G40" i="11"/>
  <c r="H40" i="11"/>
  <c r="I40" i="11"/>
  <c r="J40" i="11"/>
  <c r="K40" i="11"/>
  <c r="L40" i="11"/>
  <c r="M40" i="11"/>
  <c r="N40" i="11"/>
  <c r="O40" i="11"/>
  <c r="P40" i="11"/>
  <c r="Q40" i="11"/>
  <c r="R40" i="11"/>
  <c r="S40" i="11"/>
  <c r="T40" i="11"/>
  <c r="U40" i="11"/>
  <c r="V40" i="11"/>
  <c r="W40" i="11"/>
  <c r="X40" i="11"/>
  <c r="Y40" i="11"/>
  <c r="Z40" i="11"/>
  <c r="E40" i="11"/>
  <c r="E12" i="11"/>
  <c r="E19" i="11" s="1"/>
  <c r="E33" i="11" s="1"/>
  <c r="D40" i="11"/>
  <c r="D12" i="11"/>
  <c r="D19" i="11" s="1"/>
  <c r="D33" i="11" s="1"/>
  <c r="C40" i="11"/>
  <c r="C12" i="11"/>
  <c r="C19" i="11" s="1"/>
  <c r="B31" i="4"/>
  <c r="D31" i="4"/>
  <c r="AB81" i="4"/>
  <c r="AB31" i="4"/>
  <c r="C31" i="4"/>
  <c r="E31" i="4"/>
  <c r="F31" i="4"/>
  <c r="G31" i="4"/>
  <c r="H31" i="4"/>
  <c r="I31" i="4"/>
  <c r="J31" i="4"/>
  <c r="K31" i="4"/>
  <c r="L31" i="4"/>
  <c r="M31" i="4"/>
  <c r="N31" i="4"/>
  <c r="O31" i="4"/>
  <c r="P31" i="4"/>
  <c r="Q31" i="4"/>
  <c r="R31" i="4"/>
  <c r="S31" i="4"/>
  <c r="T31" i="4"/>
  <c r="U31" i="4"/>
  <c r="V31" i="4"/>
  <c r="W31" i="4"/>
  <c r="X31" i="4"/>
  <c r="Y31" i="4"/>
  <c r="Z31" i="4"/>
  <c r="C81" i="4"/>
  <c r="D81" i="4"/>
  <c r="E81" i="4"/>
  <c r="F81" i="4"/>
  <c r="G81" i="4"/>
  <c r="H81" i="4"/>
  <c r="I81" i="4"/>
  <c r="J81" i="4"/>
  <c r="K81" i="4"/>
  <c r="L81" i="4"/>
  <c r="M81" i="4"/>
  <c r="N81" i="4"/>
  <c r="O81" i="4"/>
  <c r="P81" i="4"/>
  <c r="Q81" i="4"/>
  <c r="R81" i="4"/>
  <c r="S81" i="4"/>
  <c r="T81" i="4"/>
  <c r="U81" i="4"/>
  <c r="V81" i="4"/>
  <c r="W81" i="4"/>
  <c r="X81" i="4"/>
  <c r="Y81" i="4"/>
  <c r="Z81" i="4"/>
  <c r="B81" i="4"/>
  <c r="B43" i="4"/>
  <c r="B45" i="4" s="1"/>
  <c r="AA31" i="4"/>
  <c r="W136" i="13"/>
  <c r="K76" i="24" s="1"/>
  <c r="AA81" i="4"/>
  <c r="H364" i="2" l="1"/>
  <c r="L364" i="15"/>
  <c r="J352" i="15"/>
  <c r="H364" i="15"/>
  <c r="H352" i="2"/>
  <c r="M364" i="2"/>
  <c r="N152" i="13" s="1"/>
  <c r="H152" i="13"/>
  <c r="I148" i="13"/>
  <c r="H340" i="15"/>
  <c r="I153" i="13" s="1"/>
  <c r="K364" i="14"/>
  <c r="L155" i="13" s="1"/>
  <c r="H340" i="14"/>
  <c r="I155" i="13" s="1"/>
  <c r="I150" i="13"/>
  <c r="G364" i="14"/>
  <c r="H155" i="13" s="1"/>
  <c r="I340" i="2"/>
  <c r="J142" i="13" s="1"/>
  <c r="M364" i="14"/>
  <c r="N155" i="13" s="1"/>
  <c r="I352" i="2"/>
  <c r="J147" i="13" s="1"/>
  <c r="I352" i="15"/>
  <c r="M352" i="2"/>
  <c r="N147" i="13" s="1"/>
  <c r="I147" i="13"/>
  <c r="G147" i="13" s="1"/>
  <c r="H340" i="2"/>
  <c r="I152" i="13" s="1"/>
  <c r="M352" i="14"/>
  <c r="N150" i="13" s="1"/>
  <c r="K340" i="14"/>
  <c r="L145" i="13" s="1"/>
  <c r="I364" i="15"/>
  <c r="N352" i="15"/>
  <c r="O148" i="13" s="1"/>
  <c r="G352" i="15"/>
  <c r="H148" i="13" s="1"/>
  <c r="I364" i="2"/>
  <c r="G340" i="15"/>
  <c r="H143" i="13" s="1"/>
  <c r="N340" i="2"/>
  <c r="O142" i="13" s="1"/>
  <c r="K352" i="15"/>
  <c r="L148" i="13" s="1"/>
  <c r="I352" i="14"/>
  <c r="J150" i="13" s="1"/>
  <c r="K150" i="13" s="1"/>
  <c r="K151" i="13" s="1"/>
  <c r="J340" i="15"/>
  <c r="L147" i="13"/>
  <c r="G352" i="14"/>
  <c r="H150" i="13" s="1"/>
  <c r="H352" i="14"/>
  <c r="G340" i="14"/>
  <c r="N340" i="15"/>
  <c r="O143" i="13" s="1"/>
  <c r="M340" i="14"/>
  <c r="N352" i="2"/>
  <c r="O147" i="13" s="1"/>
  <c r="K340" i="15"/>
  <c r="L143" i="13" s="1"/>
  <c r="J364" i="15"/>
  <c r="G340" i="2"/>
  <c r="K364" i="2"/>
  <c r="L152" i="13" s="1"/>
  <c r="K364" i="15"/>
  <c r="L153" i="13" s="1"/>
  <c r="M352" i="15"/>
  <c r="N148" i="13" s="1"/>
  <c r="I364" i="14"/>
  <c r="J155" i="13" s="1"/>
  <c r="K155" i="13" s="1"/>
  <c r="K156" i="13" s="1"/>
  <c r="L352" i="15"/>
  <c r="K340" i="2"/>
  <c r="L142" i="13" s="1"/>
  <c r="M364" i="15"/>
  <c r="N153" i="13" s="1"/>
  <c r="I340" i="15"/>
  <c r="H352" i="15"/>
  <c r="N364" i="14"/>
  <c r="O155" i="13" s="1"/>
  <c r="N364" i="15"/>
  <c r="O153" i="13" s="1"/>
  <c r="L340" i="15"/>
  <c r="G364" i="15"/>
  <c r="H153" i="13" s="1"/>
  <c r="G153" i="13" s="1"/>
  <c r="C41" i="11"/>
  <c r="C33" i="11"/>
  <c r="S33" i="11"/>
  <c r="K33" i="11"/>
  <c r="Z33" i="11"/>
  <c r="R33" i="11"/>
  <c r="J33" i="11"/>
  <c r="X33" i="11"/>
  <c r="P33" i="11"/>
  <c r="H33" i="11"/>
  <c r="H316" i="2"/>
  <c r="P41" i="11"/>
  <c r="H41" i="11"/>
  <c r="X41" i="11"/>
  <c r="AB41" i="11"/>
  <c r="V41" i="11"/>
  <c r="N41" i="11"/>
  <c r="F41" i="11"/>
  <c r="D41" i="11"/>
  <c r="U41" i="11"/>
  <c r="M41" i="11"/>
  <c r="T41" i="11"/>
  <c r="L41" i="11"/>
  <c r="H232" i="2"/>
  <c r="H233" i="2" s="1"/>
  <c r="G64" i="2"/>
  <c r="G136" i="2"/>
  <c r="G280" i="2"/>
  <c r="G112" i="2"/>
  <c r="G172" i="2"/>
  <c r="G196" i="2"/>
  <c r="G100" i="2"/>
  <c r="G292" i="2"/>
  <c r="G40" i="2"/>
  <c r="G244" i="2"/>
  <c r="G184" i="2"/>
  <c r="G76" i="2"/>
  <c r="G148" i="2"/>
  <c r="G304" i="2"/>
  <c r="G124" i="2"/>
  <c r="G28" i="2"/>
  <c r="G220" i="2"/>
  <c r="G268" i="2"/>
  <c r="K232" i="2"/>
  <c r="K233" i="2" s="1"/>
  <c r="I232" i="2"/>
  <c r="G52" i="2"/>
  <c r="G160" i="2"/>
  <c r="I316" i="15"/>
  <c r="I317" i="15" s="1"/>
  <c r="G316" i="15"/>
  <c r="K316" i="2"/>
  <c r="J316" i="15"/>
  <c r="J317" i="15" s="1"/>
  <c r="H316" i="15"/>
  <c r="H317" i="15" s="1"/>
  <c r="G256" i="2"/>
  <c r="L88" i="15"/>
  <c r="L89" i="15" s="1"/>
  <c r="K208" i="15"/>
  <c r="K209" i="15" s="1"/>
  <c r="M172" i="14"/>
  <c r="M173" i="14" s="1"/>
  <c r="H208" i="15"/>
  <c r="H209" i="15" s="1"/>
  <c r="N172" i="2"/>
  <c r="N173" i="2" s="1"/>
  <c r="M148" i="2"/>
  <c r="M149" i="2" s="1"/>
  <c r="H64" i="14"/>
  <c r="H65" i="14" s="1"/>
  <c r="J244" i="15"/>
  <c r="J245" i="15" s="1"/>
  <c r="I76" i="14"/>
  <c r="I77" i="14" s="1"/>
  <c r="I160" i="14"/>
  <c r="I161" i="14" s="1"/>
  <c r="I268" i="14"/>
  <c r="I269" i="14" s="1"/>
  <c r="L40" i="15"/>
  <c r="L41" i="15" s="1"/>
  <c r="L16" i="15"/>
  <c r="L17" i="15" s="1"/>
  <c r="L256" i="15"/>
  <c r="L257" i="15" s="1"/>
  <c r="K28" i="15"/>
  <c r="K29" i="15" s="1"/>
  <c r="K160" i="15"/>
  <c r="K161" i="15" s="1"/>
  <c r="K232" i="15"/>
  <c r="K233" i="15" s="1"/>
  <c r="M100" i="14"/>
  <c r="M101" i="14" s="1"/>
  <c r="M136" i="14"/>
  <c r="M137" i="14" s="1"/>
  <c r="M124" i="14"/>
  <c r="M125" i="14" s="1"/>
  <c r="M220" i="14"/>
  <c r="M221" i="14" s="1"/>
  <c r="I172" i="2"/>
  <c r="I173" i="2" s="1"/>
  <c r="I124" i="2"/>
  <c r="I125" i="2" s="1"/>
  <c r="I256" i="2"/>
  <c r="I257" i="2" s="1"/>
  <c r="H160" i="15"/>
  <c r="H161" i="15" s="1"/>
  <c r="H136" i="15"/>
  <c r="H137" i="15" s="1"/>
  <c r="H328" i="15"/>
  <c r="H329" i="15" s="1"/>
  <c r="N28" i="2"/>
  <c r="N29" i="2" s="1"/>
  <c r="N280" i="2"/>
  <c r="N281" i="2" s="1"/>
  <c r="N196" i="2"/>
  <c r="N197" i="2" s="1"/>
  <c r="N316" i="2"/>
  <c r="I64" i="15"/>
  <c r="I65" i="15" s="1"/>
  <c r="I40" i="15"/>
  <c r="I41" i="15" s="1"/>
  <c r="I304" i="15"/>
  <c r="I305" i="15" s="1"/>
  <c r="M328" i="2"/>
  <c r="M329" i="2" s="1"/>
  <c r="M184" i="2"/>
  <c r="M185" i="2" s="1"/>
  <c r="M220" i="2"/>
  <c r="M221" i="2" s="1"/>
  <c r="K64" i="2"/>
  <c r="K65" i="2" s="1"/>
  <c r="K292" i="2"/>
  <c r="K293" i="2" s="1"/>
  <c r="K220" i="2"/>
  <c r="K221" i="2" s="1"/>
  <c r="K268" i="2"/>
  <c r="K269" i="2" s="1"/>
  <c r="H16" i="14"/>
  <c r="H17" i="14" s="1"/>
  <c r="H52" i="14"/>
  <c r="H53" i="14" s="1"/>
  <c r="H208" i="14"/>
  <c r="H209" i="14" s="1"/>
  <c r="H244" i="14"/>
  <c r="H245" i="14" s="1"/>
  <c r="M256" i="15"/>
  <c r="M257" i="15" s="1"/>
  <c r="M172" i="15"/>
  <c r="M173" i="15" s="1"/>
  <c r="M292" i="15"/>
  <c r="M293" i="15" s="1"/>
  <c r="G112" i="14"/>
  <c r="G304" i="14"/>
  <c r="G292" i="14"/>
  <c r="J160" i="15"/>
  <c r="J161" i="15" s="1"/>
  <c r="J88" i="15"/>
  <c r="J89" i="15" s="1"/>
  <c r="J304" i="15"/>
  <c r="J305" i="15" s="1"/>
  <c r="N112" i="14"/>
  <c r="N113" i="14" s="1"/>
  <c r="N304" i="14"/>
  <c r="N305" i="14" s="1"/>
  <c r="N292" i="14"/>
  <c r="N293" i="14" s="1"/>
  <c r="N136" i="15"/>
  <c r="N137" i="15" s="1"/>
  <c r="N112" i="15"/>
  <c r="N113" i="15" s="1"/>
  <c r="N280" i="15"/>
  <c r="N281" i="15" s="1"/>
  <c r="G64" i="15"/>
  <c r="G148" i="15"/>
  <c r="G28" i="15"/>
  <c r="G280" i="15"/>
  <c r="L208" i="14"/>
  <c r="L209" i="14" s="1"/>
  <c r="L244" i="14"/>
  <c r="L245" i="14" s="1"/>
  <c r="L232" i="14"/>
  <c r="L233" i="14" s="1"/>
  <c r="K184" i="14"/>
  <c r="K185" i="14" s="1"/>
  <c r="K316" i="14"/>
  <c r="K317" i="14" s="1"/>
  <c r="K148" i="14"/>
  <c r="K149" i="14" s="1"/>
  <c r="G208" i="2"/>
  <c r="H16" i="2"/>
  <c r="H17" i="2" s="1"/>
  <c r="H208" i="2"/>
  <c r="H209" i="2" s="1"/>
  <c r="H148" i="2"/>
  <c r="H149" i="2" s="1"/>
  <c r="K76" i="15"/>
  <c r="K77" i="15" s="1"/>
  <c r="I292" i="2"/>
  <c r="I293" i="2" s="1"/>
  <c r="H304" i="14"/>
  <c r="H305" i="14" s="1"/>
  <c r="L292" i="14"/>
  <c r="L293" i="14" s="1"/>
  <c r="K16" i="14"/>
  <c r="K52" i="14"/>
  <c r="K53" i="14" s="1"/>
  <c r="H256" i="2"/>
  <c r="H257" i="2" s="1"/>
  <c r="I172" i="14"/>
  <c r="I173" i="14" s="1"/>
  <c r="I280" i="14"/>
  <c r="I281" i="14" s="1"/>
  <c r="I28" i="14"/>
  <c r="I29" i="14" s="1"/>
  <c r="L136" i="15"/>
  <c r="L137" i="15" s="1"/>
  <c r="L112" i="15"/>
  <c r="L113" i="15" s="1"/>
  <c r="L292" i="15"/>
  <c r="L293" i="15" s="1"/>
  <c r="L316" i="15"/>
  <c r="L317" i="15" s="1"/>
  <c r="K124" i="15"/>
  <c r="K125" i="15" s="1"/>
  <c r="K52" i="15"/>
  <c r="K53" i="15" s="1"/>
  <c r="K328" i="15"/>
  <c r="K329" i="15" s="1"/>
  <c r="M208" i="14"/>
  <c r="M209" i="14" s="1"/>
  <c r="M244" i="14"/>
  <c r="M245" i="14" s="1"/>
  <c r="M232" i="14"/>
  <c r="M233" i="14" s="1"/>
  <c r="I40" i="2"/>
  <c r="I41" i="2" s="1"/>
  <c r="I184" i="2"/>
  <c r="I185" i="2" s="1"/>
  <c r="J77" i="13" s="1"/>
  <c r="I160" i="2"/>
  <c r="I161" i="2" s="1"/>
  <c r="H52" i="15"/>
  <c r="H53" i="15" s="1"/>
  <c r="H28" i="15"/>
  <c r="H29" i="15" s="1"/>
  <c r="H304" i="15"/>
  <c r="H305" i="15" s="1"/>
  <c r="N100" i="2"/>
  <c r="N101" i="2" s="1"/>
  <c r="N292" i="2"/>
  <c r="N293" i="2" s="1"/>
  <c r="N76" i="2"/>
  <c r="N77" i="2" s="1"/>
  <c r="I76" i="15"/>
  <c r="I77" i="15" s="1"/>
  <c r="I160" i="15"/>
  <c r="I161" i="15" s="1"/>
  <c r="I136" i="15"/>
  <c r="I137" i="15" s="1"/>
  <c r="I292" i="15"/>
  <c r="I293" i="15" s="1"/>
  <c r="M256" i="2"/>
  <c r="M257" i="2" s="1"/>
  <c r="M64" i="2"/>
  <c r="M65" i="2" s="1"/>
  <c r="M136" i="2"/>
  <c r="M137" i="2" s="1"/>
  <c r="K52" i="2"/>
  <c r="K53" i="2" s="1"/>
  <c r="K304" i="2"/>
  <c r="K305" i="2" s="1"/>
  <c r="K136" i="2"/>
  <c r="K137" i="2" s="1"/>
  <c r="H76" i="14"/>
  <c r="H77" i="14" s="1"/>
  <c r="H160" i="14"/>
  <c r="H161" i="14" s="1"/>
  <c r="H268" i="14"/>
  <c r="H269" i="14" s="1"/>
  <c r="H184" i="14"/>
  <c r="H185" i="14" s="1"/>
  <c r="M88" i="15"/>
  <c r="M89" i="15" s="1"/>
  <c r="M16" i="15"/>
  <c r="M17" i="15" s="1"/>
  <c r="M220" i="15"/>
  <c r="M221" i="15" s="1"/>
  <c r="G220" i="14"/>
  <c r="G328" i="14"/>
  <c r="G16" i="14"/>
  <c r="J76" i="15"/>
  <c r="J77" i="15" s="1"/>
  <c r="J52" i="15"/>
  <c r="J53" i="15" s="1"/>
  <c r="J184" i="15"/>
  <c r="J185" i="15" s="1"/>
  <c r="J292" i="15"/>
  <c r="J293" i="15" s="1"/>
  <c r="N220" i="14"/>
  <c r="N221" i="14" s="1"/>
  <c r="N328" i="14"/>
  <c r="N329" i="14" s="1"/>
  <c r="N16" i="14"/>
  <c r="N17" i="14" s="1"/>
  <c r="N52" i="15"/>
  <c r="N53" i="15" s="1"/>
  <c r="N28" i="15"/>
  <c r="N29" i="15" s="1"/>
  <c r="N208" i="15"/>
  <c r="N209" i="15" s="1"/>
  <c r="N268" i="15"/>
  <c r="N269" i="15" s="1"/>
  <c r="G160" i="15"/>
  <c r="G328" i="15"/>
  <c r="G124" i="15"/>
  <c r="L268" i="14"/>
  <c r="L269" i="14" s="1"/>
  <c r="L184" i="14"/>
  <c r="L185" i="14" s="1"/>
  <c r="L316" i="14"/>
  <c r="L317" i="14" s="1"/>
  <c r="K28" i="14"/>
  <c r="K29" i="14" s="1"/>
  <c r="K64" i="14"/>
  <c r="K65" i="14" s="1"/>
  <c r="K112" i="14"/>
  <c r="K113" i="14" s="1"/>
  <c r="K256" i="14"/>
  <c r="K257" i="14" s="1"/>
  <c r="G328" i="2"/>
  <c r="H40" i="2"/>
  <c r="H41" i="2" s="1"/>
  <c r="H124" i="2"/>
  <c r="H125" i="2" s="1"/>
  <c r="H268" i="2"/>
  <c r="H269" i="2" s="1"/>
  <c r="I220" i="14"/>
  <c r="I221" i="14" s="1"/>
  <c r="L304" i="15"/>
  <c r="L305" i="15" s="1"/>
  <c r="I268" i="2"/>
  <c r="I269" i="2" s="1"/>
  <c r="I244" i="15"/>
  <c r="I245" i="15" s="1"/>
  <c r="K184" i="2"/>
  <c r="K185" i="2" s="1"/>
  <c r="M40" i="15"/>
  <c r="M41" i="15" s="1"/>
  <c r="J28" i="15"/>
  <c r="J29" i="15" s="1"/>
  <c r="N268" i="14"/>
  <c r="N269" i="14" s="1"/>
  <c r="G112" i="15"/>
  <c r="L304" i="14"/>
  <c r="L305" i="14" s="1"/>
  <c r="I232" i="14"/>
  <c r="I233" i="14" s="1"/>
  <c r="I40" i="14"/>
  <c r="I41" i="14" s="1"/>
  <c r="I88" i="14"/>
  <c r="I89" i="14" s="1"/>
  <c r="L184" i="15"/>
  <c r="L185" i="15" s="1"/>
  <c r="L160" i="15"/>
  <c r="L161" i="15" s="1"/>
  <c r="L232" i="15"/>
  <c r="L233" i="15" s="1"/>
  <c r="K40" i="15"/>
  <c r="K41" i="15" s="1"/>
  <c r="K172" i="15"/>
  <c r="K173" i="15" s="1"/>
  <c r="K100" i="15"/>
  <c r="K101" i="15" s="1"/>
  <c r="K256" i="15"/>
  <c r="K257" i="15" s="1"/>
  <c r="M256" i="14"/>
  <c r="M257" i="14" s="1"/>
  <c r="M304" i="14"/>
  <c r="M305" i="14" s="1"/>
  <c r="M292" i="14"/>
  <c r="M293" i="14" s="1"/>
  <c r="I328" i="2"/>
  <c r="I304" i="2"/>
  <c r="I305" i="2" s="1"/>
  <c r="I136" i="2"/>
  <c r="I137" i="2" s="1"/>
  <c r="I280" i="2"/>
  <c r="I281" i="2" s="1"/>
  <c r="H100" i="15"/>
  <c r="H101" i="15" s="1"/>
  <c r="H76" i="15"/>
  <c r="H77" i="15" s="1"/>
  <c r="H244" i="15"/>
  <c r="H245" i="15" s="1"/>
  <c r="N244" i="2"/>
  <c r="N245" i="2" s="1"/>
  <c r="N184" i="2"/>
  <c r="N185" i="2" s="1"/>
  <c r="N124" i="2"/>
  <c r="N125" i="2" s="1"/>
  <c r="I124" i="15"/>
  <c r="I125" i="15" s="1"/>
  <c r="I208" i="15"/>
  <c r="I209" i="15" s="1"/>
  <c r="I184" i="15"/>
  <c r="I185" i="15" s="1"/>
  <c r="M268" i="2"/>
  <c r="M269" i="2" s="1"/>
  <c r="M112" i="2"/>
  <c r="M113" i="2" s="1"/>
  <c r="M232" i="2"/>
  <c r="M233" i="2" s="1"/>
  <c r="K40" i="2"/>
  <c r="K41" i="2" s="1"/>
  <c r="K112" i="2"/>
  <c r="K113" i="2" s="1"/>
  <c r="H124" i="14"/>
  <c r="H125" i="14" s="1"/>
  <c r="H220" i="14"/>
  <c r="H221" i="14" s="1"/>
  <c r="H328" i="14"/>
  <c r="H329" i="14" s="1"/>
  <c r="M52" i="15"/>
  <c r="M53" i="15" s="1"/>
  <c r="M136" i="15"/>
  <c r="M137" i="15" s="1"/>
  <c r="M64" i="15"/>
  <c r="M65" i="15" s="1"/>
  <c r="M268" i="15"/>
  <c r="M269" i="15" s="1"/>
  <c r="G280" i="14"/>
  <c r="G28" i="14"/>
  <c r="G64" i="14"/>
  <c r="J124" i="15"/>
  <c r="J125" i="15" s="1"/>
  <c r="J100" i="15"/>
  <c r="J101" i="15" s="1"/>
  <c r="J232" i="15"/>
  <c r="J233" i="15" s="1"/>
  <c r="N280" i="14"/>
  <c r="N281" i="14" s="1"/>
  <c r="N28" i="14"/>
  <c r="N29" i="14" s="1"/>
  <c r="N64" i="14"/>
  <c r="N65" i="14" s="1"/>
  <c r="N100" i="15"/>
  <c r="N101" i="15" s="1"/>
  <c r="N76" i="15"/>
  <c r="N77" i="15" s="1"/>
  <c r="N256" i="15"/>
  <c r="N257" i="15" s="1"/>
  <c r="N328" i="15"/>
  <c r="N329" i="15" s="1"/>
  <c r="G208" i="15"/>
  <c r="G40" i="15"/>
  <c r="G172" i="15"/>
  <c r="L328" i="14"/>
  <c r="L329" i="14" s="1"/>
  <c r="L16" i="14"/>
  <c r="L17" i="14" s="1"/>
  <c r="L52" i="14"/>
  <c r="L53" i="14" s="1"/>
  <c r="K88" i="14"/>
  <c r="K89" i="14" s="1"/>
  <c r="K76" i="14"/>
  <c r="K77" i="14" s="1"/>
  <c r="K160" i="14"/>
  <c r="K161" i="14" s="1"/>
  <c r="K268" i="14"/>
  <c r="K269" i="14" s="1"/>
  <c r="G256" i="14"/>
  <c r="H184" i="2"/>
  <c r="H185" i="2" s="1"/>
  <c r="H220" i="2"/>
  <c r="H221" i="2" s="1"/>
  <c r="H160" i="2"/>
  <c r="H161" i="2" s="1"/>
  <c r="L64" i="15"/>
  <c r="L65" i="15" s="1"/>
  <c r="M196" i="14"/>
  <c r="M197" i="14" s="1"/>
  <c r="I28" i="15"/>
  <c r="I29" i="15" s="1"/>
  <c r="H28" i="2"/>
  <c r="H29" i="2" s="1"/>
  <c r="I292" i="14"/>
  <c r="I293" i="14" s="1"/>
  <c r="I100" i="14"/>
  <c r="I101" i="14" s="1"/>
  <c r="I136" i="14"/>
  <c r="I137" i="14" s="1"/>
  <c r="L28" i="15"/>
  <c r="L29" i="15" s="1"/>
  <c r="L208" i="15"/>
  <c r="L209" i="15" s="1"/>
  <c r="L280" i="15"/>
  <c r="L281" i="15" s="1"/>
  <c r="K88" i="15"/>
  <c r="K89" i="15" s="1"/>
  <c r="K268" i="15"/>
  <c r="K269" i="15" s="1"/>
  <c r="K148" i="15"/>
  <c r="K149" i="15" s="1"/>
  <c r="K304" i="15"/>
  <c r="K305" i="15" s="1"/>
  <c r="M268" i="14"/>
  <c r="M269" i="14" s="1"/>
  <c r="M184" i="14"/>
  <c r="M185" i="14" s="1"/>
  <c r="M316" i="14"/>
  <c r="M317" i="14" s="1"/>
  <c r="I52" i="2"/>
  <c r="I53" i="2" s="1"/>
  <c r="I64" i="2"/>
  <c r="I65" i="2" s="1"/>
  <c r="I316" i="2"/>
  <c r="H148" i="15"/>
  <c r="H149" i="15" s="1"/>
  <c r="H124" i="15"/>
  <c r="H125" i="15" s="1"/>
  <c r="H292" i="15"/>
  <c r="H293" i="15" s="1"/>
  <c r="N148" i="2"/>
  <c r="N149" i="2" s="1"/>
  <c r="N304" i="2"/>
  <c r="N305" i="2" s="1"/>
  <c r="N220" i="2"/>
  <c r="N221" i="2" s="1"/>
  <c r="I172" i="15"/>
  <c r="I173" i="15" s="1"/>
  <c r="I52" i="15"/>
  <c r="I53" i="15" s="1"/>
  <c r="I232" i="15"/>
  <c r="I233" i="15" s="1"/>
  <c r="M16" i="2"/>
  <c r="M17" i="2" s="1"/>
  <c r="M160" i="2"/>
  <c r="M161" i="2" s="1"/>
  <c r="M196" i="2"/>
  <c r="M197" i="2" s="1"/>
  <c r="M100" i="2"/>
  <c r="M101" i="2" s="1"/>
  <c r="K16" i="2"/>
  <c r="K196" i="2"/>
  <c r="K197" i="2" s="1"/>
  <c r="K100" i="2"/>
  <c r="K101" i="2" s="1"/>
  <c r="H172" i="14"/>
  <c r="H173" i="14" s="1"/>
  <c r="H280" i="14"/>
  <c r="H281" i="14" s="1"/>
  <c r="H28" i="14"/>
  <c r="H29" i="14" s="1"/>
  <c r="M100" i="15"/>
  <c r="M101" i="15" s="1"/>
  <c r="M184" i="15"/>
  <c r="M185" i="15" s="1"/>
  <c r="M112" i="15"/>
  <c r="M113" i="15" s="1"/>
  <c r="M328" i="15"/>
  <c r="M329" i="15" s="1"/>
  <c r="G40" i="14"/>
  <c r="G88" i="14"/>
  <c r="G76" i="14"/>
  <c r="J172" i="15"/>
  <c r="J173" i="15" s="1"/>
  <c r="J148" i="15"/>
  <c r="J149" i="15" s="1"/>
  <c r="J280" i="15"/>
  <c r="J281" i="15" s="1"/>
  <c r="N40" i="14"/>
  <c r="N41" i="14" s="1"/>
  <c r="N88" i="14"/>
  <c r="N89" i="14" s="1"/>
  <c r="N76" i="14"/>
  <c r="N77" i="14" s="1"/>
  <c r="N148" i="15"/>
  <c r="N149" i="15" s="1"/>
  <c r="N124" i="15"/>
  <c r="N125" i="15" s="1"/>
  <c r="N304" i="15"/>
  <c r="N305" i="15" s="1"/>
  <c r="N316" i="15"/>
  <c r="N317" i="15" s="1"/>
  <c r="G244" i="15"/>
  <c r="G88" i="15"/>
  <c r="G256" i="15"/>
  <c r="L28" i="14"/>
  <c r="L29" i="14" s="1"/>
  <c r="L64" i="14"/>
  <c r="L65" i="14" s="1"/>
  <c r="L112" i="14"/>
  <c r="L113" i="14" s="1"/>
  <c r="K136" i="14"/>
  <c r="K137" i="14" s="1"/>
  <c r="K124" i="14"/>
  <c r="K125" i="14" s="1"/>
  <c r="K220" i="14"/>
  <c r="K221" i="14" s="1"/>
  <c r="K328" i="14"/>
  <c r="K329" i="14" s="1"/>
  <c r="H304" i="2"/>
  <c r="H305" i="2" s="1"/>
  <c r="H136" i="2"/>
  <c r="H137" i="2" s="1"/>
  <c r="H280" i="2"/>
  <c r="H281" i="2" s="1"/>
  <c r="M280" i="14"/>
  <c r="M281" i="14" s="1"/>
  <c r="H184" i="15"/>
  <c r="H185" i="15" s="1"/>
  <c r="N40" i="2"/>
  <c r="N41" i="2" s="1"/>
  <c r="I88" i="15"/>
  <c r="I89" i="15" s="1"/>
  <c r="H256" i="14"/>
  <c r="H257" i="14" s="1"/>
  <c r="M280" i="15"/>
  <c r="M281" i="15" s="1"/>
  <c r="G268" i="14"/>
  <c r="J136" i="15"/>
  <c r="J137" i="15" s="1"/>
  <c r="N184" i="14"/>
  <c r="N185" i="14" s="1"/>
  <c r="N160" i="15"/>
  <c r="N161" i="15" s="1"/>
  <c r="L256" i="14"/>
  <c r="L257" i="14" s="1"/>
  <c r="K208" i="14"/>
  <c r="K209" i="14" s="1"/>
  <c r="I184" i="14"/>
  <c r="I185" i="14" s="1"/>
  <c r="I316" i="14"/>
  <c r="I317" i="14" s="1"/>
  <c r="I148" i="14"/>
  <c r="I149" i="14" s="1"/>
  <c r="I196" i="14"/>
  <c r="I197" i="14" s="1"/>
  <c r="L76" i="15"/>
  <c r="L77" i="15" s="1"/>
  <c r="L52" i="15"/>
  <c r="L53" i="15" s="1"/>
  <c r="L220" i="15"/>
  <c r="L221" i="15" s="1"/>
  <c r="K136" i="15"/>
  <c r="K137" i="15" s="1"/>
  <c r="K16" i="15"/>
  <c r="K17" i="15" s="1"/>
  <c r="K316" i="15"/>
  <c r="K317" i="15" s="1"/>
  <c r="M328" i="14"/>
  <c r="M329" i="14" s="1"/>
  <c r="M16" i="14"/>
  <c r="M52" i="14"/>
  <c r="M53" i="14" s="1"/>
  <c r="I76" i="2"/>
  <c r="I77" i="2" s="1"/>
  <c r="I112" i="2"/>
  <c r="I113" i="2" s="1"/>
  <c r="I100" i="2"/>
  <c r="I101" i="2" s="1"/>
  <c r="H16" i="15"/>
  <c r="H17" i="15" s="1"/>
  <c r="H172" i="15"/>
  <c r="H173" i="15" s="1"/>
  <c r="H232" i="15"/>
  <c r="H233" i="15" s="1"/>
  <c r="N256" i="2"/>
  <c r="N257" i="2" s="1"/>
  <c r="N52" i="2"/>
  <c r="N53" i="2" s="1"/>
  <c r="I256" i="15"/>
  <c r="I257" i="15" s="1"/>
  <c r="I100" i="15"/>
  <c r="I101" i="15" s="1"/>
  <c r="I220" i="15"/>
  <c r="I221" i="15" s="1"/>
  <c r="M28" i="2"/>
  <c r="M29" i="2" s="1"/>
  <c r="M280" i="2"/>
  <c r="M281" i="2" s="1"/>
  <c r="M208" i="2"/>
  <c r="M209" i="2" s="1"/>
  <c r="M244" i="2"/>
  <c r="M245" i="2" s="1"/>
  <c r="K160" i="2"/>
  <c r="K161" i="2" s="1"/>
  <c r="K208" i="2"/>
  <c r="K209" i="2" s="1"/>
  <c r="K244" i="2"/>
  <c r="K245" i="2" s="1"/>
  <c r="H232" i="14"/>
  <c r="H233" i="14" s="1"/>
  <c r="H40" i="14"/>
  <c r="H41" i="14" s="1"/>
  <c r="H88" i="14"/>
  <c r="H89" i="14" s="1"/>
  <c r="M148" i="15"/>
  <c r="M149" i="15" s="1"/>
  <c r="M28" i="15"/>
  <c r="M29" i="15" s="1"/>
  <c r="M160" i="15"/>
  <c r="M161" i="15" s="1"/>
  <c r="M316" i="15"/>
  <c r="M317" i="15" s="1"/>
  <c r="G100" i="14"/>
  <c r="G136" i="14"/>
  <c r="G124" i="14"/>
  <c r="G125" i="14" s="1"/>
  <c r="J16" i="15"/>
  <c r="J17" i="15" s="1"/>
  <c r="J268" i="15"/>
  <c r="J269" i="15" s="1"/>
  <c r="N100" i="14"/>
  <c r="N101" i="14" s="1"/>
  <c r="N136" i="14"/>
  <c r="N137" i="14" s="1"/>
  <c r="N124" i="14"/>
  <c r="N125" i="14" s="1"/>
  <c r="N172" i="15"/>
  <c r="N173" i="15" s="1"/>
  <c r="N244" i="15"/>
  <c r="N245" i="15" s="1"/>
  <c r="G268" i="15"/>
  <c r="G136" i="15"/>
  <c r="G304" i="15"/>
  <c r="G16" i="2"/>
  <c r="L40" i="14"/>
  <c r="L41" i="14" s="1"/>
  <c r="L88" i="14"/>
  <c r="L89" i="14" s="1"/>
  <c r="L76" i="14"/>
  <c r="L77" i="14" s="1"/>
  <c r="L160" i="14"/>
  <c r="L161" i="14" s="1"/>
  <c r="K196" i="14"/>
  <c r="K197" i="14" s="1"/>
  <c r="K172" i="14"/>
  <c r="K173" i="14" s="1"/>
  <c r="K280" i="14"/>
  <c r="K281" i="14" s="1"/>
  <c r="H52" i="2"/>
  <c r="H53" i="2" s="1"/>
  <c r="H64" i="2"/>
  <c r="H65" i="2" s="1"/>
  <c r="H172" i="2"/>
  <c r="H173" i="2" s="1"/>
  <c r="I328" i="14"/>
  <c r="I329" i="14" s="1"/>
  <c r="L244" i="15"/>
  <c r="L245" i="15" s="1"/>
  <c r="K280" i="15"/>
  <c r="K281" i="15" s="1"/>
  <c r="M148" i="14"/>
  <c r="M149" i="14" s="1"/>
  <c r="I220" i="2"/>
  <c r="I221" i="2" s="1"/>
  <c r="I112" i="15"/>
  <c r="I113" i="15" s="1"/>
  <c r="M304" i="2"/>
  <c r="M305" i="2" s="1"/>
  <c r="H112" i="14"/>
  <c r="H113" i="14" s="1"/>
  <c r="M304" i="15"/>
  <c r="M305" i="15" s="1"/>
  <c r="G160" i="14"/>
  <c r="J208" i="15"/>
  <c r="J209" i="15" s="1"/>
  <c r="N160" i="14"/>
  <c r="N161" i="14" s="1"/>
  <c r="N184" i="15"/>
  <c r="N185" i="15" s="1"/>
  <c r="I16" i="14"/>
  <c r="I17" i="14" s="1"/>
  <c r="I52" i="14"/>
  <c r="I53" i="14" s="1"/>
  <c r="I208" i="14"/>
  <c r="I209" i="14" s="1"/>
  <c r="I244" i="14"/>
  <c r="I245" i="14" s="1"/>
  <c r="L124" i="15"/>
  <c r="L125" i="15" s="1"/>
  <c r="L100" i="15"/>
  <c r="L101" i="15" s="1"/>
  <c r="L268" i="15"/>
  <c r="L269" i="15" s="1"/>
  <c r="K184" i="15"/>
  <c r="K185" i="15" s="1"/>
  <c r="K64" i="15"/>
  <c r="K65" i="15" s="1"/>
  <c r="K220" i="15"/>
  <c r="K221" i="15" s="1"/>
  <c r="M28" i="14"/>
  <c r="M29" i="14" s="1"/>
  <c r="M64" i="14"/>
  <c r="M65" i="14" s="1"/>
  <c r="M112" i="14"/>
  <c r="M113" i="14" s="1"/>
  <c r="I16" i="2"/>
  <c r="I17" i="2" s="1"/>
  <c r="I196" i="2"/>
  <c r="I197" i="2" s="1"/>
  <c r="I244" i="2"/>
  <c r="I245" i="2" s="1"/>
  <c r="H64" i="15"/>
  <c r="H65" i="15" s="1"/>
  <c r="H40" i="15"/>
  <c r="H41" i="15" s="1"/>
  <c r="H220" i="15"/>
  <c r="H221" i="15" s="1"/>
  <c r="H280" i="15"/>
  <c r="H281" i="15" s="1"/>
  <c r="N328" i="2"/>
  <c r="N329" i="2" s="1"/>
  <c r="N268" i="2"/>
  <c r="N269" i="2" s="1"/>
  <c r="N64" i="2"/>
  <c r="N65" i="2" s="1"/>
  <c r="N136" i="2"/>
  <c r="N137" i="2" s="1"/>
  <c r="I280" i="15"/>
  <c r="I281" i="15" s="1"/>
  <c r="I148" i="15"/>
  <c r="I149" i="15" s="1"/>
  <c r="I268" i="15"/>
  <c r="I269" i="15" s="1"/>
  <c r="M40" i="2"/>
  <c r="M41" i="2" s="1"/>
  <c r="M172" i="2"/>
  <c r="M173" i="2" s="1"/>
  <c r="M76" i="2"/>
  <c r="M77" i="2" s="1"/>
  <c r="M316" i="2"/>
  <c r="K280" i="2"/>
  <c r="K281" i="2" s="1"/>
  <c r="K76" i="2"/>
  <c r="K77" i="2" s="1"/>
  <c r="K148" i="2"/>
  <c r="K149" i="2" s="1"/>
  <c r="H292" i="14"/>
  <c r="H293" i="14" s="1"/>
  <c r="H100" i="14"/>
  <c r="H101" i="14" s="1"/>
  <c r="H136" i="14"/>
  <c r="H137" i="14" s="1"/>
  <c r="M76" i="15"/>
  <c r="M77" i="15" s="1"/>
  <c r="M208" i="15"/>
  <c r="M209" i="15" s="1"/>
  <c r="G316" i="14"/>
  <c r="G148" i="14"/>
  <c r="G196" i="14"/>
  <c r="G172" i="14"/>
  <c r="J64" i="15"/>
  <c r="J65" i="15" s="1"/>
  <c r="J220" i="15"/>
  <c r="J221" i="15" s="1"/>
  <c r="J328" i="15"/>
  <c r="J329" i="15" s="1"/>
  <c r="N148" i="14"/>
  <c r="N149" i="14" s="1"/>
  <c r="N196" i="14"/>
  <c r="N197" i="14" s="1"/>
  <c r="N172" i="14"/>
  <c r="N173" i="14" s="1"/>
  <c r="N40" i="15"/>
  <c r="N41" i="15" s="1"/>
  <c r="N16" i="15"/>
  <c r="N292" i="15"/>
  <c r="N293" i="15" s="1"/>
  <c r="G52" i="15"/>
  <c r="G184" i="15"/>
  <c r="G292" i="15"/>
  <c r="L100" i="14"/>
  <c r="L101" i="14" s="1"/>
  <c r="L136" i="14"/>
  <c r="L137" i="14" s="1"/>
  <c r="L124" i="14"/>
  <c r="L125" i="14" s="1"/>
  <c r="L220" i="14"/>
  <c r="L221" i="14" s="1"/>
  <c r="K244" i="14"/>
  <c r="K245" i="14" s="1"/>
  <c r="K232" i="14"/>
  <c r="K233" i="14" s="1"/>
  <c r="K40" i="14"/>
  <c r="K41" i="14" s="1"/>
  <c r="H112" i="2"/>
  <c r="H113" i="2" s="1"/>
  <c r="H100" i="2"/>
  <c r="H101" i="2" s="1"/>
  <c r="H292" i="2"/>
  <c r="H293" i="2" s="1"/>
  <c r="I124" i="14"/>
  <c r="I125" i="14" s="1"/>
  <c r="H256" i="15"/>
  <c r="H257" i="15" s="1"/>
  <c r="N208" i="2"/>
  <c r="N209" i="2" s="1"/>
  <c r="K328" i="2"/>
  <c r="K329" i="2" s="1"/>
  <c r="G184" i="14"/>
  <c r="N316" i="14"/>
  <c r="N220" i="15"/>
  <c r="N221" i="15" s="1"/>
  <c r="G76" i="15"/>
  <c r="H76" i="2"/>
  <c r="H77" i="2" s="1"/>
  <c r="I64" i="14"/>
  <c r="I65" i="14" s="1"/>
  <c r="I112" i="14"/>
  <c r="I113" i="14" s="1"/>
  <c r="I256" i="14"/>
  <c r="I257" i="14" s="1"/>
  <c r="I304" i="14"/>
  <c r="I305" i="14" s="1"/>
  <c r="L172" i="15"/>
  <c r="L173" i="15" s="1"/>
  <c r="L148" i="15"/>
  <c r="L149" i="15" s="1"/>
  <c r="L328" i="15"/>
  <c r="L329" i="15" s="1"/>
  <c r="K244" i="15"/>
  <c r="K245" i="15" s="1"/>
  <c r="K112" i="15"/>
  <c r="K113" i="15" s="1"/>
  <c r="K292" i="15"/>
  <c r="K293" i="15" s="1"/>
  <c r="M40" i="14"/>
  <c r="M41" i="14" s="1"/>
  <c r="M88" i="14"/>
  <c r="M89" i="14" s="1"/>
  <c r="M76" i="14"/>
  <c r="M77" i="14" s="1"/>
  <c r="M160" i="14"/>
  <c r="M161" i="14" s="1"/>
  <c r="I28" i="2"/>
  <c r="I29" i="2" s="1"/>
  <c r="I208" i="2"/>
  <c r="I209" i="2" s="1"/>
  <c r="I148" i="2"/>
  <c r="I149" i="2" s="1"/>
  <c r="H112" i="15"/>
  <c r="H113" i="15" s="1"/>
  <c r="H88" i="15"/>
  <c r="H89" i="15" s="1"/>
  <c r="H268" i="15"/>
  <c r="H269" i="15" s="1"/>
  <c r="N16" i="2"/>
  <c r="N17" i="2" s="1"/>
  <c r="N160" i="2"/>
  <c r="N161" i="2" s="1"/>
  <c r="N112" i="2"/>
  <c r="N113" i="2" s="1"/>
  <c r="N232" i="2"/>
  <c r="N233" i="2" s="1"/>
  <c r="I16" i="15"/>
  <c r="I17" i="15" s="1"/>
  <c r="I328" i="15"/>
  <c r="M52" i="2"/>
  <c r="M53" i="2" s="1"/>
  <c r="M292" i="2"/>
  <c r="M293" i="2" s="1"/>
  <c r="M124" i="2"/>
  <c r="M125" i="2" s="1"/>
  <c r="K28" i="2"/>
  <c r="K29" i="2" s="1"/>
  <c r="K172" i="2"/>
  <c r="K173" i="2" s="1"/>
  <c r="K124" i="2"/>
  <c r="K125" i="2" s="1"/>
  <c r="K256" i="2"/>
  <c r="K257" i="2" s="1"/>
  <c r="H316" i="14"/>
  <c r="H148" i="14"/>
  <c r="H149" i="14" s="1"/>
  <c r="H196" i="14"/>
  <c r="H197" i="14" s="1"/>
  <c r="M232" i="15"/>
  <c r="M233" i="15" s="1"/>
  <c r="M124" i="15"/>
  <c r="M125" i="15" s="1"/>
  <c r="M244" i="15"/>
  <c r="M245" i="15" s="1"/>
  <c r="G52" i="14"/>
  <c r="G208" i="14"/>
  <c r="G244" i="14"/>
  <c r="G232" i="14"/>
  <c r="J112" i="15"/>
  <c r="J113" i="15" s="1"/>
  <c r="J40" i="15"/>
  <c r="J41" i="15" s="1"/>
  <c r="J256" i="15"/>
  <c r="J257" i="15" s="1"/>
  <c r="N52" i="14"/>
  <c r="N53" i="14" s="1"/>
  <c r="N208" i="14"/>
  <c r="N209" i="14" s="1"/>
  <c r="N244" i="14"/>
  <c r="N245" i="14" s="1"/>
  <c r="N232" i="14"/>
  <c r="N233" i="14" s="1"/>
  <c r="N88" i="15"/>
  <c r="N89" i="15" s="1"/>
  <c r="N64" i="15"/>
  <c r="N65" i="15" s="1"/>
  <c r="N232" i="15"/>
  <c r="N233" i="15" s="1"/>
  <c r="G16" i="15"/>
  <c r="G100" i="15"/>
  <c r="G220" i="15"/>
  <c r="G232" i="15"/>
  <c r="L148" i="14"/>
  <c r="L149" i="14" s="1"/>
  <c r="L196" i="14"/>
  <c r="L197" i="14" s="1"/>
  <c r="L172" i="14"/>
  <c r="L173" i="14" s="1"/>
  <c r="L280" i="14"/>
  <c r="L281" i="14" s="1"/>
  <c r="K304" i="14"/>
  <c r="K305" i="14" s="1"/>
  <c r="K292" i="14"/>
  <c r="K293" i="14" s="1"/>
  <c r="K100" i="14"/>
  <c r="K101" i="14" s="1"/>
  <c r="H328" i="2"/>
  <c r="H329" i="2" s="1"/>
  <c r="H196" i="2"/>
  <c r="H197" i="2" s="1"/>
  <c r="H244" i="2"/>
  <c r="H245" i="2" s="1"/>
  <c r="M196" i="15"/>
  <c r="M197" i="15" s="1"/>
  <c r="N196" i="15"/>
  <c r="N197" i="15" s="1"/>
  <c r="G196" i="15"/>
  <c r="O197" i="15"/>
  <c r="O317" i="15"/>
  <c r="H196" i="15"/>
  <c r="H197" i="15" s="1"/>
  <c r="Q197" i="15"/>
  <c r="Q317" i="15"/>
  <c r="I196" i="15"/>
  <c r="I197" i="15" s="1"/>
  <c r="J196" i="15"/>
  <c r="J197" i="15" s="1"/>
  <c r="L196" i="15"/>
  <c r="L197" i="15" s="1"/>
  <c r="K196" i="15"/>
  <c r="K197" i="15" s="1"/>
  <c r="X42" i="11"/>
  <c r="R41" i="11"/>
  <c r="Q41" i="11"/>
  <c r="Z41" i="11"/>
  <c r="J41" i="11"/>
  <c r="Y41" i="11"/>
  <c r="I41" i="11"/>
  <c r="G41" i="11"/>
  <c r="W41" i="11"/>
  <c r="O41" i="11"/>
  <c r="S41" i="11"/>
  <c r="K41" i="11"/>
  <c r="E41" i="11"/>
  <c r="R307" i="2"/>
  <c r="R308" i="2"/>
  <c r="R309" i="2"/>
  <c r="R310" i="2"/>
  <c r="R311" i="2"/>
  <c r="R312" i="2"/>
  <c r="R313" i="2"/>
  <c r="R314" i="2"/>
  <c r="R315" i="2"/>
  <c r="R316" i="2"/>
  <c r="R306" i="2"/>
  <c r="G155" i="13" l="1"/>
  <c r="G143" i="13"/>
  <c r="G150" i="13"/>
  <c r="G148" i="13"/>
  <c r="G317" i="2"/>
  <c r="I329" i="2"/>
  <c r="F328" i="2"/>
  <c r="J145" i="13"/>
  <c r="K145" i="13" s="1"/>
  <c r="K146" i="13" s="1"/>
  <c r="F352" i="15"/>
  <c r="N145" i="13"/>
  <c r="N146" i="13" s="1"/>
  <c r="H36" i="17"/>
  <c r="G35" i="17"/>
  <c r="J35" i="17"/>
  <c r="H35" i="17"/>
  <c r="J36" i="17"/>
  <c r="H34" i="17"/>
  <c r="F364" i="2"/>
  <c r="I151" i="13"/>
  <c r="H151" i="13"/>
  <c r="O156" i="13"/>
  <c r="F340" i="14"/>
  <c r="O151" i="13"/>
  <c r="L151" i="13"/>
  <c r="N156" i="13"/>
  <c r="F364" i="15"/>
  <c r="H145" i="13"/>
  <c r="G145" i="13" s="1"/>
  <c r="L156" i="13"/>
  <c r="H142" i="13"/>
  <c r="G142" i="13" s="1"/>
  <c r="F340" i="2"/>
  <c r="F341" i="2" s="1"/>
  <c r="I156" i="13"/>
  <c r="J151" i="13"/>
  <c r="H156" i="13"/>
  <c r="F340" i="15"/>
  <c r="AA151" i="13"/>
  <c r="F352" i="2"/>
  <c r="F353" i="2" s="1"/>
  <c r="L146" i="13"/>
  <c r="J152" i="13"/>
  <c r="J156" i="13" s="1"/>
  <c r="F364" i="14"/>
  <c r="F352" i="14"/>
  <c r="N151" i="13"/>
  <c r="O146" i="13"/>
  <c r="E6" i="11"/>
  <c r="E27" i="11" s="1"/>
  <c r="K6" i="11"/>
  <c r="K27" i="11" s="1"/>
  <c r="S6" i="11"/>
  <c r="S27" i="11" s="1"/>
  <c r="O6" i="11"/>
  <c r="O27" i="11" s="1"/>
  <c r="W6" i="11"/>
  <c r="W27" i="11" s="1"/>
  <c r="G6" i="11"/>
  <c r="G27" i="11" s="1"/>
  <c r="J6" i="11"/>
  <c r="J27" i="11" s="1"/>
  <c r="Q6" i="11"/>
  <c r="Q27" i="11" s="1"/>
  <c r="L6" i="11"/>
  <c r="L27" i="11" s="1"/>
  <c r="T6" i="11"/>
  <c r="F6" i="11"/>
  <c r="F27" i="11" s="1"/>
  <c r="V6" i="11"/>
  <c r="V27" i="11" s="1"/>
  <c r="AB6" i="11"/>
  <c r="AB27" i="11" s="1"/>
  <c r="X6" i="11"/>
  <c r="H42" i="11"/>
  <c r="H7" i="11" s="1"/>
  <c r="P42" i="11"/>
  <c r="P7" i="11" s="1"/>
  <c r="C6" i="11"/>
  <c r="C27" i="11" s="1"/>
  <c r="T42" i="11"/>
  <c r="T7" i="11" s="1"/>
  <c r="F42" i="11"/>
  <c r="AB42" i="11"/>
  <c r="L42" i="11"/>
  <c r="L43" i="11" s="1"/>
  <c r="N42" i="11"/>
  <c r="N6" i="11"/>
  <c r="N27" i="11" s="1"/>
  <c r="Y42" i="11"/>
  <c r="Y6" i="11"/>
  <c r="Y27" i="11" s="1"/>
  <c r="X7" i="11"/>
  <c r="V42" i="11"/>
  <c r="V43" i="11" s="1"/>
  <c r="M42" i="11"/>
  <c r="M6" i="11"/>
  <c r="M27" i="11" s="1"/>
  <c r="H6" i="11"/>
  <c r="I42" i="11"/>
  <c r="I6" i="11"/>
  <c r="I27" i="11" s="1"/>
  <c r="U42" i="11"/>
  <c r="U6" i="11"/>
  <c r="U27" i="11" s="1"/>
  <c r="P6" i="11"/>
  <c r="Z42" i="11"/>
  <c r="Z6" i="11"/>
  <c r="Z27" i="11" s="1"/>
  <c r="D42" i="11"/>
  <c r="D6" i="11"/>
  <c r="D27" i="11" s="1"/>
  <c r="R42" i="11"/>
  <c r="R6" i="11"/>
  <c r="R27" i="11" s="1"/>
  <c r="AA131" i="13"/>
  <c r="F316" i="2"/>
  <c r="F317" i="2" s="1"/>
  <c r="F16" i="15"/>
  <c r="F232" i="2"/>
  <c r="F233" i="2" s="1"/>
  <c r="F28" i="2"/>
  <c r="F29" i="2" s="1"/>
  <c r="F304" i="2"/>
  <c r="F305" i="2" s="1"/>
  <c r="F196" i="2"/>
  <c r="F197" i="2" s="1"/>
  <c r="F280" i="2"/>
  <c r="F281" i="2" s="1"/>
  <c r="F124" i="14"/>
  <c r="F148" i="2"/>
  <c r="F149" i="2" s="1"/>
  <c r="F40" i="2"/>
  <c r="F41" i="2" s="1"/>
  <c r="F172" i="2"/>
  <c r="F173" i="2" s="1"/>
  <c r="F136" i="2"/>
  <c r="F137" i="2" s="1"/>
  <c r="F40" i="15"/>
  <c r="F41" i="15" s="1"/>
  <c r="F16" i="14"/>
  <c r="F52" i="2"/>
  <c r="F53" i="2" s="1"/>
  <c r="F124" i="2"/>
  <c r="F125" i="2" s="1"/>
  <c r="F76" i="2"/>
  <c r="F77" i="2" s="1"/>
  <c r="F292" i="2"/>
  <c r="F293" i="2" s="1"/>
  <c r="I233" i="2"/>
  <c r="F220" i="2"/>
  <c r="F221" i="2" s="1"/>
  <c r="F184" i="2"/>
  <c r="F185" i="2" s="1"/>
  <c r="F100" i="2"/>
  <c r="F101" i="2" s="1"/>
  <c r="F28" i="15"/>
  <c r="F29" i="15" s="1"/>
  <c r="F316" i="15"/>
  <c r="F232" i="15"/>
  <c r="F233" i="15" s="1"/>
  <c r="G209" i="14"/>
  <c r="F208" i="14"/>
  <c r="F124" i="15"/>
  <c r="F125" i="15" s="1"/>
  <c r="G221" i="14"/>
  <c r="F220" i="14"/>
  <c r="G113" i="14"/>
  <c r="F112" i="14"/>
  <c r="F220" i="15"/>
  <c r="F221" i="15" s="1"/>
  <c r="G53" i="14"/>
  <c r="F52" i="14"/>
  <c r="G173" i="14"/>
  <c r="F172" i="14"/>
  <c r="G161" i="14"/>
  <c r="F160" i="14"/>
  <c r="F304" i="15"/>
  <c r="F305" i="15" s="1"/>
  <c r="F112" i="15"/>
  <c r="F113" i="15" s="1"/>
  <c r="F328" i="15"/>
  <c r="F280" i="15"/>
  <c r="F281" i="15" s="1"/>
  <c r="F196" i="15"/>
  <c r="F197" i="15" s="1"/>
  <c r="F100" i="15"/>
  <c r="F101" i="15" s="1"/>
  <c r="F76" i="15"/>
  <c r="F77" i="15" s="1"/>
  <c r="G197" i="14"/>
  <c r="F196" i="14"/>
  <c r="F136" i="15"/>
  <c r="F137" i="15" s="1"/>
  <c r="G77" i="14"/>
  <c r="F76" i="14"/>
  <c r="G65" i="14"/>
  <c r="F64" i="14"/>
  <c r="F160" i="15"/>
  <c r="F161" i="15" s="1"/>
  <c r="F208" i="2"/>
  <c r="F209" i="2" s="1"/>
  <c r="F256" i="2"/>
  <c r="F257" i="2" s="1"/>
  <c r="G149" i="14"/>
  <c r="F148" i="14"/>
  <c r="F268" i="15"/>
  <c r="F269" i="15" s="1"/>
  <c r="G89" i="14"/>
  <c r="F88" i="14"/>
  <c r="G257" i="14"/>
  <c r="F256" i="14"/>
  <c r="G29" i="14"/>
  <c r="F28" i="14"/>
  <c r="F148" i="15"/>
  <c r="F149" i="15" s="1"/>
  <c r="F244" i="2"/>
  <c r="F245" i="2" s="1"/>
  <c r="G317" i="14"/>
  <c r="F316" i="14"/>
  <c r="G269" i="14"/>
  <c r="G41" i="14"/>
  <c r="F40" i="14"/>
  <c r="G281" i="14"/>
  <c r="F280" i="14"/>
  <c r="F64" i="15"/>
  <c r="F65" i="15" s="1"/>
  <c r="G185" i="14"/>
  <c r="F184" i="14"/>
  <c r="F292" i="15"/>
  <c r="F293" i="15" s="1"/>
  <c r="G137" i="14"/>
  <c r="F136" i="14"/>
  <c r="F256" i="15"/>
  <c r="F257" i="15" s="1"/>
  <c r="F172" i="15"/>
  <c r="F173" i="15" s="1"/>
  <c r="F329" i="2"/>
  <c r="F160" i="2"/>
  <c r="F161" i="2" s="1"/>
  <c r="G233" i="14"/>
  <c r="F232" i="14"/>
  <c r="F184" i="15"/>
  <c r="F185" i="15" s="1"/>
  <c r="G101" i="14"/>
  <c r="F100" i="14"/>
  <c r="F88" i="15"/>
  <c r="F89" i="15" s="1"/>
  <c r="G293" i="14"/>
  <c r="F292" i="14"/>
  <c r="G245" i="14"/>
  <c r="F244" i="14"/>
  <c r="F52" i="15"/>
  <c r="F53" i="15" s="1"/>
  <c r="F16" i="2"/>
  <c r="F17" i="2" s="1"/>
  <c r="F244" i="15"/>
  <c r="F245" i="15" s="1"/>
  <c r="F208" i="15"/>
  <c r="F209" i="15" s="1"/>
  <c r="G329" i="14"/>
  <c r="F328" i="14"/>
  <c r="G305" i="14"/>
  <c r="F304" i="14"/>
  <c r="F268" i="2"/>
  <c r="F269" i="2" s="1"/>
  <c r="F112" i="2"/>
  <c r="F113" i="2" s="1"/>
  <c r="F64" i="2"/>
  <c r="F65" i="2" s="1"/>
  <c r="N317" i="14"/>
  <c r="M17" i="14"/>
  <c r="K17" i="14"/>
  <c r="N17" i="15"/>
  <c r="K17" i="2"/>
  <c r="H317" i="14"/>
  <c r="G17" i="14"/>
  <c r="H317" i="2"/>
  <c r="I317" i="2"/>
  <c r="O317" i="2"/>
  <c r="Q317" i="2"/>
  <c r="M317" i="2"/>
  <c r="K317" i="2"/>
  <c r="N317" i="2"/>
  <c r="L88" i="2"/>
  <c r="L89" i="2" s="1"/>
  <c r="J88" i="2"/>
  <c r="J89" i="2" s="1"/>
  <c r="G88" i="2"/>
  <c r="G89" i="2" s="1"/>
  <c r="I88" i="2"/>
  <c r="I89" i="2" s="1"/>
  <c r="N88" i="2"/>
  <c r="N89" i="2" s="1"/>
  <c r="K88" i="2"/>
  <c r="K89" i="2" s="1"/>
  <c r="M88" i="2"/>
  <c r="M89" i="2" s="1"/>
  <c r="H88" i="2"/>
  <c r="H89" i="2" s="1"/>
  <c r="Q42" i="11"/>
  <c r="J42" i="11"/>
  <c r="X43" i="11"/>
  <c r="P43" i="11"/>
  <c r="J13" i="11"/>
  <c r="J20" i="11" s="1"/>
  <c r="W42" i="11"/>
  <c r="S42" i="11"/>
  <c r="Q13" i="11"/>
  <c r="Q20" i="11" s="1"/>
  <c r="Q34" i="11" s="1"/>
  <c r="O42" i="11"/>
  <c r="G42" i="11"/>
  <c r="K42" i="11"/>
  <c r="E42" i="11"/>
  <c r="C42" i="11"/>
  <c r="G152" i="13" l="1"/>
  <c r="AA136" i="13"/>
  <c r="J146" i="13"/>
  <c r="J34" i="17"/>
  <c r="V13" i="11"/>
  <c r="V20" i="11" s="1"/>
  <c r="V34" i="11" s="1"/>
  <c r="G151" i="13"/>
  <c r="F35" i="17" s="1"/>
  <c r="AB13" i="11"/>
  <c r="AB20" i="11" s="1"/>
  <c r="AB34" i="11" s="1"/>
  <c r="G156" i="13"/>
  <c r="F36" i="17" s="1"/>
  <c r="H43" i="11"/>
  <c r="H8" i="11" s="1"/>
  <c r="H29" i="11" s="1"/>
  <c r="L13" i="11"/>
  <c r="L20" i="11" s="1"/>
  <c r="L34" i="11" s="1"/>
  <c r="AA51" i="13"/>
  <c r="F13" i="11"/>
  <c r="F20" i="11" s="1"/>
  <c r="Z151" i="13"/>
  <c r="H146" i="13"/>
  <c r="G34" i="17"/>
  <c r="Z156" i="13"/>
  <c r="AA11" i="13"/>
  <c r="AA156" i="13"/>
  <c r="C7" i="11"/>
  <c r="C28" i="11" s="1"/>
  <c r="V8" i="11"/>
  <c r="V29" i="11" s="1"/>
  <c r="L8" i="11"/>
  <c r="L29" i="11" s="1"/>
  <c r="X8" i="11"/>
  <c r="X29" i="11" s="1"/>
  <c r="Z43" i="11"/>
  <c r="Z44" i="11" s="1"/>
  <c r="I43" i="11"/>
  <c r="I44" i="11" s="1"/>
  <c r="V7" i="11"/>
  <c r="V28" i="11" s="1"/>
  <c r="Y7" i="11"/>
  <c r="L7" i="11"/>
  <c r="L14" i="11" s="1"/>
  <c r="L21" i="11" s="1"/>
  <c r="AB7" i="11"/>
  <c r="AB14" i="11" s="1"/>
  <c r="AB21" i="11" s="1"/>
  <c r="F7" i="11"/>
  <c r="T43" i="11"/>
  <c r="T44" i="11" s="1"/>
  <c r="X27" i="11"/>
  <c r="X13" i="11"/>
  <c r="X20" i="11" s="1"/>
  <c r="T27" i="11"/>
  <c r="T13" i="11"/>
  <c r="T20" i="11" s="1"/>
  <c r="F43" i="11"/>
  <c r="N13" i="11"/>
  <c r="N20" i="11" s="1"/>
  <c r="N34" i="11" s="1"/>
  <c r="Y13" i="11"/>
  <c r="Y20" i="11" s="1"/>
  <c r="Y34" i="11" s="1"/>
  <c r="I13" i="11"/>
  <c r="I20" i="11" s="1"/>
  <c r="I34" i="11" s="1"/>
  <c r="D13" i="11"/>
  <c r="D20" i="11" s="1"/>
  <c r="D34" i="11" s="1"/>
  <c r="Z13" i="11"/>
  <c r="Z20" i="11" s="1"/>
  <c r="Z34" i="11" s="1"/>
  <c r="M13" i="11"/>
  <c r="M20" i="11" s="1"/>
  <c r="J34" i="11"/>
  <c r="AB43" i="11"/>
  <c r="AB44" i="11" s="1"/>
  <c r="U139" i="13" s="1"/>
  <c r="T139" i="13" s="1"/>
  <c r="G139" i="13" s="1"/>
  <c r="F34" i="11"/>
  <c r="P13" i="11"/>
  <c r="P20" i="11" s="1"/>
  <c r="P27" i="11"/>
  <c r="T14" i="11"/>
  <c r="T21" i="11" s="1"/>
  <c r="T28" i="11"/>
  <c r="X14" i="11"/>
  <c r="X21" i="11" s="1"/>
  <c r="X28" i="11"/>
  <c r="H14" i="11"/>
  <c r="H21" i="11" s="1"/>
  <c r="H28" i="11"/>
  <c r="P14" i="11"/>
  <c r="P21" i="11" s="1"/>
  <c r="P28" i="11"/>
  <c r="U13" i="11"/>
  <c r="U20" i="11" s="1"/>
  <c r="H13" i="11"/>
  <c r="H20" i="11" s="1"/>
  <c r="H27" i="11"/>
  <c r="R13" i="11"/>
  <c r="R20" i="11" s="1"/>
  <c r="R43" i="11"/>
  <c r="R7" i="11"/>
  <c r="I7" i="11"/>
  <c r="K7" i="11"/>
  <c r="P44" i="11"/>
  <c r="P8" i="11"/>
  <c r="W43" i="11"/>
  <c r="W7" i="11"/>
  <c r="W28" i="11" s="1"/>
  <c r="D7" i="11"/>
  <c r="D43" i="11"/>
  <c r="U7" i="11"/>
  <c r="U43" i="11"/>
  <c r="M7" i="11"/>
  <c r="M43" i="11"/>
  <c r="S7" i="11"/>
  <c r="Q7" i="11"/>
  <c r="E7" i="11"/>
  <c r="Y43" i="11"/>
  <c r="N43" i="11"/>
  <c r="N7" i="11"/>
  <c r="O7" i="11"/>
  <c r="Z7" i="11"/>
  <c r="Z28" i="11" s="1"/>
  <c r="G7" i="11"/>
  <c r="J7" i="11"/>
  <c r="AA116" i="13"/>
  <c r="AA71" i="13"/>
  <c r="AA81" i="13"/>
  <c r="AA56" i="13"/>
  <c r="AA26" i="13"/>
  <c r="AA121" i="13"/>
  <c r="AA96" i="13"/>
  <c r="AA86" i="13"/>
  <c r="AA101" i="13"/>
  <c r="AA61" i="13"/>
  <c r="AA16" i="13"/>
  <c r="AA111" i="13"/>
  <c r="AA76" i="13"/>
  <c r="AA21" i="13"/>
  <c r="AA31" i="13"/>
  <c r="AA141" i="13"/>
  <c r="AA106" i="13"/>
  <c r="AA91" i="13"/>
  <c r="AA46" i="13"/>
  <c r="AA36" i="13"/>
  <c r="AA66" i="13"/>
  <c r="F88" i="2"/>
  <c r="Q43" i="11"/>
  <c r="J43" i="11"/>
  <c r="L44" i="11"/>
  <c r="O43" i="11"/>
  <c r="X44" i="11"/>
  <c r="E43" i="11"/>
  <c r="K43" i="11"/>
  <c r="G43" i="11"/>
  <c r="S43" i="11"/>
  <c r="O13" i="11"/>
  <c r="O20" i="11" s="1"/>
  <c r="O34" i="11" s="1"/>
  <c r="K13" i="11"/>
  <c r="K20" i="11" s="1"/>
  <c r="S13" i="11"/>
  <c r="S20" i="11" s="1"/>
  <c r="G13" i="11"/>
  <c r="G20" i="11" s="1"/>
  <c r="G34" i="11" s="1"/>
  <c r="V44" i="11"/>
  <c r="W13" i="11"/>
  <c r="W20" i="11" s="1"/>
  <c r="W34" i="11" s="1"/>
  <c r="E13" i="11"/>
  <c r="E20" i="11" s="1"/>
  <c r="C13" i="11"/>
  <c r="C20" i="11" s="1"/>
  <c r="C43" i="11"/>
  <c r="U10" i="13"/>
  <c r="G36" i="17" l="1"/>
  <c r="F89" i="2"/>
  <c r="AA41" i="13" s="1"/>
  <c r="G146" i="13"/>
  <c r="F34" i="17" s="1"/>
  <c r="H44" i="11"/>
  <c r="H9" i="11" s="1"/>
  <c r="H30" i="11" s="1"/>
  <c r="H31" i="11" s="1"/>
  <c r="V10" i="13"/>
  <c r="T10" i="13" s="1"/>
  <c r="C14" i="11"/>
  <c r="C21" i="11" s="1"/>
  <c r="C35" i="11" s="1"/>
  <c r="T8" i="11"/>
  <c r="T29" i="11" s="1"/>
  <c r="AB28" i="11"/>
  <c r="AB35" i="11" s="1"/>
  <c r="V14" i="11"/>
  <c r="V21" i="11" s="1"/>
  <c r="V35" i="11" s="1"/>
  <c r="L28" i="11"/>
  <c r="T34" i="11"/>
  <c r="L15" i="11"/>
  <c r="L22" i="11" s="1"/>
  <c r="L36" i="11" s="1"/>
  <c r="X34" i="11"/>
  <c r="Z146" i="13"/>
  <c r="C8" i="11"/>
  <c r="C29" i="11" s="1"/>
  <c r="AB9" i="11"/>
  <c r="AB30" i="11" s="1"/>
  <c r="G8" i="11"/>
  <c r="G29" i="11" s="1"/>
  <c r="O8" i="11"/>
  <c r="O29" i="11" s="1"/>
  <c r="L9" i="11"/>
  <c r="L30" i="11" s="1"/>
  <c r="Y8" i="11"/>
  <c r="Y29" i="11" s="1"/>
  <c r="W8" i="11"/>
  <c r="W29" i="11" s="1"/>
  <c r="U99" i="13"/>
  <c r="AB8" i="11"/>
  <c r="AB29" i="11" s="1"/>
  <c r="F8" i="11"/>
  <c r="F29" i="11" s="1"/>
  <c r="F28" i="11"/>
  <c r="F14" i="11"/>
  <c r="F21" i="11" s="1"/>
  <c r="Y28" i="11"/>
  <c r="Y14" i="11"/>
  <c r="Y21" i="11" s="1"/>
  <c r="I8" i="11"/>
  <c r="Z8" i="11"/>
  <c r="Z29" i="11" s="1"/>
  <c r="P45" i="11"/>
  <c r="L35" i="11"/>
  <c r="F44" i="11"/>
  <c r="U29" i="13" s="1"/>
  <c r="T29" i="13" s="1"/>
  <c r="G29" i="13" s="1"/>
  <c r="H35" i="11"/>
  <c r="W44" i="11"/>
  <c r="W14" i="11"/>
  <c r="W21" i="11" s="1"/>
  <c r="W35" i="11" s="1"/>
  <c r="P34" i="11"/>
  <c r="R34" i="11"/>
  <c r="E34" i="11"/>
  <c r="X35" i="11"/>
  <c r="H34" i="11"/>
  <c r="C34" i="11"/>
  <c r="U34" i="11"/>
  <c r="T35" i="11"/>
  <c r="P35" i="11"/>
  <c r="M34" i="11"/>
  <c r="K34" i="11"/>
  <c r="S34" i="11"/>
  <c r="K14" i="11"/>
  <c r="K21" i="11" s="1"/>
  <c r="K28" i="11"/>
  <c r="J14" i="11"/>
  <c r="J21" i="11" s="1"/>
  <c r="J28" i="11"/>
  <c r="E14" i="11"/>
  <c r="E21" i="11" s="1"/>
  <c r="E28" i="11"/>
  <c r="D14" i="11"/>
  <c r="D21" i="11" s="1"/>
  <c r="D28" i="11"/>
  <c r="I14" i="11"/>
  <c r="I21" i="11" s="1"/>
  <c r="I28" i="11"/>
  <c r="G14" i="11"/>
  <c r="G21" i="11" s="1"/>
  <c r="G28" i="11"/>
  <c r="Q14" i="11"/>
  <c r="Q21" i="11" s="1"/>
  <c r="Q28" i="11"/>
  <c r="R14" i="11"/>
  <c r="R21" i="11" s="1"/>
  <c r="R28" i="11"/>
  <c r="S14" i="11"/>
  <c r="S21" i="11" s="1"/>
  <c r="S28" i="11"/>
  <c r="Z14" i="11"/>
  <c r="Z21" i="11" s="1"/>
  <c r="P15" i="11"/>
  <c r="P22" i="11" s="1"/>
  <c r="P29" i="11"/>
  <c r="O14" i="11"/>
  <c r="O21" i="11" s="1"/>
  <c r="O28" i="11"/>
  <c r="M14" i="11"/>
  <c r="M21" i="11" s="1"/>
  <c r="M28" i="11"/>
  <c r="U14" i="11"/>
  <c r="U21" i="11" s="1"/>
  <c r="U28" i="11"/>
  <c r="T45" i="11"/>
  <c r="Y44" i="11"/>
  <c r="N14" i="11"/>
  <c r="N21" i="11" s="1"/>
  <c r="N28" i="11"/>
  <c r="S44" i="11"/>
  <c r="S8" i="11"/>
  <c r="D8" i="11"/>
  <c r="D44" i="11"/>
  <c r="Q44" i="11"/>
  <c r="Q8" i="11"/>
  <c r="Q29" i="11" s="1"/>
  <c r="I45" i="11"/>
  <c r="I9" i="11"/>
  <c r="I30" i="11" s="1"/>
  <c r="N8" i="11"/>
  <c r="N29" i="11" s="1"/>
  <c r="N44" i="11"/>
  <c r="M8" i="11"/>
  <c r="M44" i="11"/>
  <c r="U119" i="13"/>
  <c r="X9" i="11"/>
  <c r="X30" i="11" s="1"/>
  <c r="X31" i="11" s="1"/>
  <c r="K8" i="11"/>
  <c r="V9" i="11"/>
  <c r="V30" i="11" s="1"/>
  <c r="V31" i="11" s="1"/>
  <c r="Z9" i="11"/>
  <c r="E44" i="11"/>
  <c r="E8" i="11"/>
  <c r="T9" i="11"/>
  <c r="J8" i="11"/>
  <c r="U8" i="11"/>
  <c r="U44" i="11"/>
  <c r="P9" i="11"/>
  <c r="P10" i="11" s="1"/>
  <c r="R8" i="11"/>
  <c r="R44" i="11"/>
  <c r="U129" i="13"/>
  <c r="U9" i="13"/>
  <c r="T9" i="13" s="1"/>
  <c r="G9" i="13" s="1"/>
  <c r="U44" i="13"/>
  <c r="I33" i="17"/>
  <c r="U59" i="13"/>
  <c r="T59" i="13" s="1"/>
  <c r="G59" i="13" s="1"/>
  <c r="U109" i="13"/>
  <c r="T109" i="13" s="1"/>
  <c r="J44" i="11"/>
  <c r="O44" i="11"/>
  <c r="L45" i="11"/>
  <c r="X15" i="11"/>
  <c r="X22" i="11" s="1"/>
  <c r="X36" i="11" s="1"/>
  <c r="X45" i="11"/>
  <c r="B46" i="4"/>
  <c r="G44" i="11"/>
  <c r="K44" i="11"/>
  <c r="Z45" i="11"/>
  <c r="H15" i="11"/>
  <c r="H22" i="11" s="1"/>
  <c r="H36" i="11" s="1"/>
  <c r="H45" i="11"/>
  <c r="AB45" i="11"/>
  <c r="V45" i="11"/>
  <c r="F15" i="11"/>
  <c r="F22" i="11" s="1"/>
  <c r="V15" i="11"/>
  <c r="V22" i="11" s="1"/>
  <c r="V36" i="11" s="1"/>
  <c r="C44" i="11"/>
  <c r="B45" i="11"/>
  <c r="G109" i="13" l="1"/>
  <c r="I27" i="17" s="1"/>
  <c r="U39" i="13"/>
  <c r="L31" i="11"/>
  <c r="T129" i="13"/>
  <c r="G129" i="13" s="1"/>
  <c r="T119" i="13"/>
  <c r="T99" i="13"/>
  <c r="T79" i="13"/>
  <c r="I17" i="17"/>
  <c r="T44" i="13"/>
  <c r="T39" i="13"/>
  <c r="I11" i="17"/>
  <c r="T11" i="13"/>
  <c r="I7" i="17"/>
  <c r="G15" i="11"/>
  <c r="G22" i="11" s="1"/>
  <c r="G36" i="11" s="1"/>
  <c r="L16" i="11"/>
  <c r="L23" i="11" s="1"/>
  <c r="L37" i="11" s="1"/>
  <c r="L38" i="11" s="1"/>
  <c r="M7" i="17"/>
  <c r="R7" i="17"/>
  <c r="J10" i="13"/>
  <c r="K10" i="13" s="1"/>
  <c r="K11" i="13" s="1"/>
  <c r="W15" i="11"/>
  <c r="W22" i="11" s="1"/>
  <c r="W36" i="11" s="1"/>
  <c r="T15" i="11"/>
  <c r="T22" i="11" s="1"/>
  <c r="T36" i="11" s="1"/>
  <c r="F35" i="11"/>
  <c r="T10" i="11"/>
  <c r="AB31" i="11"/>
  <c r="Y15" i="11"/>
  <c r="Y22" i="11" s="1"/>
  <c r="Y36" i="11" s="1"/>
  <c r="O15" i="11"/>
  <c r="O22" i="11" s="1"/>
  <c r="O36" i="11" s="1"/>
  <c r="V16" i="11"/>
  <c r="V23" i="11" s="1"/>
  <c r="V37" i="11" s="1"/>
  <c r="V38" i="11" s="1"/>
  <c r="Y35" i="11"/>
  <c r="Z15" i="11"/>
  <c r="Z22" i="11" s="1"/>
  <c r="Z36" i="11" s="1"/>
  <c r="C15" i="11"/>
  <c r="C22" i="11" s="1"/>
  <c r="C36" i="11" s="1"/>
  <c r="AB15" i="11"/>
  <c r="AB22" i="11" s="1"/>
  <c r="AB16" i="11"/>
  <c r="AB23" i="11" s="1"/>
  <c r="AB37" i="11" s="1"/>
  <c r="AB10" i="11"/>
  <c r="C9" i="11"/>
  <c r="C30" i="11" s="1"/>
  <c r="C31" i="11" s="1"/>
  <c r="K9" i="11"/>
  <c r="K30" i="11" s="1"/>
  <c r="G9" i="11"/>
  <c r="G30" i="11" s="1"/>
  <c r="U84" i="13"/>
  <c r="S45" i="11"/>
  <c r="I29" i="11"/>
  <c r="I31" i="11" s="1"/>
  <c r="I15" i="11"/>
  <c r="I22" i="11" s="1"/>
  <c r="Q15" i="11"/>
  <c r="Q22" i="11" s="1"/>
  <c r="Q36" i="11" s="1"/>
  <c r="U124" i="13"/>
  <c r="X16" i="11"/>
  <c r="X23" i="11" s="1"/>
  <c r="X37" i="11" s="1"/>
  <c r="X38" i="11" s="1"/>
  <c r="H16" i="11"/>
  <c r="H23" i="11" s="1"/>
  <c r="H37" i="11" s="1"/>
  <c r="H38" i="11" s="1"/>
  <c r="Q45" i="11"/>
  <c r="F9" i="11"/>
  <c r="F30" i="11" s="1"/>
  <c r="F31" i="11" s="1"/>
  <c r="F45" i="11"/>
  <c r="U114" i="13"/>
  <c r="W9" i="11"/>
  <c r="W30" i="11" s="1"/>
  <c r="W31" i="11" s="1"/>
  <c r="W45" i="11"/>
  <c r="E35" i="11"/>
  <c r="Y9" i="11"/>
  <c r="Y30" i="11" s="1"/>
  <c r="Y31" i="11" s="1"/>
  <c r="Y45" i="11"/>
  <c r="U35" i="11"/>
  <c r="G35" i="11"/>
  <c r="M35" i="11"/>
  <c r="O35" i="11"/>
  <c r="P36" i="11"/>
  <c r="L24" i="11"/>
  <c r="Z35" i="11"/>
  <c r="J35" i="11"/>
  <c r="Q35" i="11"/>
  <c r="S35" i="11"/>
  <c r="I35" i="11"/>
  <c r="K35" i="11"/>
  <c r="F36" i="11"/>
  <c r="N35" i="11"/>
  <c r="R35" i="11"/>
  <c r="D35" i="11"/>
  <c r="T16" i="11"/>
  <c r="T23" i="11" s="1"/>
  <c r="T30" i="11"/>
  <c r="T31" i="11" s="1"/>
  <c r="S15" i="11"/>
  <c r="S22" i="11" s="1"/>
  <c r="S29" i="11"/>
  <c r="G31" i="11"/>
  <c r="P16" i="11"/>
  <c r="P23" i="11" s="1"/>
  <c r="P30" i="11"/>
  <c r="P31" i="11" s="1"/>
  <c r="E15" i="11"/>
  <c r="E22" i="11" s="1"/>
  <c r="E29" i="11"/>
  <c r="U15" i="11"/>
  <c r="U22" i="11" s="1"/>
  <c r="U29" i="11"/>
  <c r="R15" i="11"/>
  <c r="R22" i="11" s="1"/>
  <c r="R29" i="11"/>
  <c r="J15" i="11"/>
  <c r="J22" i="11" s="1"/>
  <c r="J29" i="11"/>
  <c r="Z16" i="11"/>
  <c r="Z23" i="11" s="1"/>
  <c r="Z30" i="11"/>
  <c r="Z31" i="11" s="1"/>
  <c r="K15" i="11"/>
  <c r="K22" i="11" s="1"/>
  <c r="K29" i="11"/>
  <c r="M15" i="11"/>
  <c r="M22" i="11" s="1"/>
  <c r="M29" i="11"/>
  <c r="D15" i="11"/>
  <c r="D22" i="11" s="1"/>
  <c r="D29" i="11"/>
  <c r="Z10" i="11"/>
  <c r="N15" i="11"/>
  <c r="N22" i="11" s="1"/>
  <c r="N36" i="11" s="1"/>
  <c r="U94" i="13"/>
  <c r="S9" i="11"/>
  <c r="S10" i="11" s="1"/>
  <c r="U89" i="13"/>
  <c r="R9" i="11"/>
  <c r="R30" i="11" s="1"/>
  <c r="R45" i="11"/>
  <c r="U49" i="13"/>
  <c r="J9" i="11"/>
  <c r="J30" i="11" s="1"/>
  <c r="E9" i="11"/>
  <c r="E10" i="11" s="1"/>
  <c r="N9" i="11"/>
  <c r="N45" i="11"/>
  <c r="U69" i="13"/>
  <c r="T69" i="13" s="1"/>
  <c r="G69" i="13" s="1"/>
  <c r="U24" i="13"/>
  <c r="Q9" i="11"/>
  <c r="Q10" i="11" s="1"/>
  <c r="U9" i="11"/>
  <c r="U16" i="11" s="1"/>
  <c r="U23" i="11" s="1"/>
  <c r="U45" i="11"/>
  <c r="U104" i="13"/>
  <c r="E45" i="11"/>
  <c r="O9" i="11"/>
  <c r="M45" i="11"/>
  <c r="M9" i="11"/>
  <c r="U64" i="13"/>
  <c r="D9" i="11"/>
  <c r="D30" i="11" s="1"/>
  <c r="U19" i="13"/>
  <c r="D45" i="11"/>
  <c r="U34" i="13"/>
  <c r="T34" i="13" s="1"/>
  <c r="G34" i="13" s="1"/>
  <c r="U74" i="13"/>
  <c r="U14" i="13"/>
  <c r="O7" i="17"/>
  <c r="P7" i="17"/>
  <c r="N7" i="17"/>
  <c r="L7" i="17"/>
  <c r="Q7" i="17"/>
  <c r="P7" i="13"/>
  <c r="P8" i="13"/>
  <c r="R7" i="13"/>
  <c r="P10" i="13"/>
  <c r="R8" i="13"/>
  <c r="R10" i="13"/>
  <c r="O7" i="13"/>
  <c r="O10" i="13"/>
  <c r="N8" i="13"/>
  <c r="I10" i="13"/>
  <c r="N7" i="13"/>
  <c r="J7" i="13"/>
  <c r="I7" i="13"/>
  <c r="I8" i="13"/>
  <c r="L8" i="13"/>
  <c r="H8" i="13"/>
  <c r="H10" i="13"/>
  <c r="O8" i="13"/>
  <c r="L10" i="13"/>
  <c r="N10" i="13"/>
  <c r="H7" i="13"/>
  <c r="L7" i="13"/>
  <c r="U54" i="13"/>
  <c r="T54" i="13" s="1"/>
  <c r="L17" i="11"/>
  <c r="J45" i="11"/>
  <c r="O45" i="11"/>
  <c r="L10" i="11"/>
  <c r="K45" i="11"/>
  <c r="X10" i="11"/>
  <c r="B17" i="11"/>
  <c r="V10" i="11"/>
  <c r="B10" i="11"/>
  <c r="C45" i="11"/>
  <c r="H10" i="11"/>
  <c r="G45" i="11"/>
  <c r="I16" i="11"/>
  <c r="I23" i="11" s="1"/>
  <c r="I37" i="11" s="1"/>
  <c r="I10" i="11"/>
  <c r="F10" i="11"/>
  <c r="H17" i="11"/>
  <c r="G99" i="13" l="1"/>
  <c r="I25" i="17" s="1"/>
  <c r="G119" i="13"/>
  <c r="I29" i="17" s="1"/>
  <c r="G54" i="13"/>
  <c r="I16" i="17" s="1"/>
  <c r="I31" i="17"/>
  <c r="G10" i="13"/>
  <c r="H11" i="13"/>
  <c r="G39" i="13"/>
  <c r="I13" i="17" s="1"/>
  <c r="G44" i="13"/>
  <c r="I14" i="17" s="1"/>
  <c r="G79" i="13"/>
  <c r="I21" i="17" s="1"/>
  <c r="T64" i="13"/>
  <c r="G64" i="13" s="1"/>
  <c r="G8" i="13"/>
  <c r="H7" i="17" s="1"/>
  <c r="T124" i="13"/>
  <c r="T114" i="13"/>
  <c r="T104" i="13"/>
  <c r="T94" i="13"/>
  <c r="T89" i="13"/>
  <c r="T84" i="13"/>
  <c r="T74" i="13"/>
  <c r="I19" i="17"/>
  <c r="T49" i="13"/>
  <c r="I12" i="17"/>
  <c r="T24" i="13"/>
  <c r="T19" i="13"/>
  <c r="T14" i="13"/>
  <c r="G7" i="13"/>
  <c r="J7" i="17"/>
  <c r="C16" i="11"/>
  <c r="C23" i="11" s="1"/>
  <c r="C24" i="11" s="1"/>
  <c r="G16" i="11"/>
  <c r="G23" i="11" s="1"/>
  <c r="G37" i="11" s="1"/>
  <c r="G38" i="11" s="1"/>
  <c r="T24" i="11"/>
  <c r="W10" i="11"/>
  <c r="V17" i="11"/>
  <c r="H24" i="11"/>
  <c r="AB24" i="11"/>
  <c r="W16" i="11"/>
  <c r="W23" i="11" s="1"/>
  <c r="W37" i="11" s="1"/>
  <c r="W38" i="11" s="1"/>
  <c r="V24" i="11"/>
  <c r="I36" i="11"/>
  <c r="I38" i="11" s="1"/>
  <c r="AB17" i="11"/>
  <c r="AB36" i="11"/>
  <c r="AB38" i="11" s="1"/>
  <c r="AB48" i="11" s="1"/>
  <c r="X17" i="11"/>
  <c r="K16" i="11"/>
  <c r="K23" i="11" s="1"/>
  <c r="K37" i="11" s="1"/>
  <c r="K31" i="11"/>
  <c r="X24" i="11"/>
  <c r="X47" i="11"/>
  <c r="X49" i="11"/>
  <c r="X48" i="11"/>
  <c r="X50" i="11"/>
  <c r="X51" i="11"/>
  <c r="L47" i="11"/>
  <c r="L48" i="11"/>
  <c r="L50" i="11"/>
  <c r="L49" i="11"/>
  <c r="L51" i="11"/>
  <c r="V47" i="11"/>
  <c r="V48" i="11"/>
  <c r="V50" i="11"/>
  <c r="V49" i="11"/>
  <c r="V51" i="11"/>
  <c r="H47" i="11"/>
  <c r="H48" i="11"/>
  <c r="H50" i="11"/>
  <c r="H49" i="11"/>
  <c r="H51" i="11"/>
  <c r="D31" i="11"/>
  <c r="Y10" i="11"/>
  <c r="F16" i="11"/>
  <c r="F23" i="11" s="1"/>
  <c r="F37" i="11" s="1"/>
  <c r="F38" i="11" s="1"/>
  <c r="Y16" i="11"/>
  <c r="Y23" i="11" s="1"/>
  <c r="Y37" i="11" s="1"/>
  <c r="Y38" i="11" s="1"/>
  <c r="Z17" i="11"/>
  <c r="M36" i="11"/>
  <c r="P37" i="11"/>
  <c r="P38" i="11" s="1"/>
  <c r="Z37" i="11"/>
  <c r="Z38" i="11" s="1"/>
  <c r="K36" i="11"/>
  <c r="P24" i="11"/>
  <c r="P17" i="11"/>
  <c r="U36" i="11"/>
  <c r="U24" i="11"/>
  <c r="S36" i="11"/>
  <c r="J31" i="11"/>
  <c r="D36" i="11"/>
  <c r="J36" i="11"/>
  <c r="T37" i="11"/>
  <c r="T38" i="11" s="1"/>
  <c r="I24" i="11"/>
  <c r="Z24" i="11"/>
  <c r="C37" i="11"/>
  <c r="C38" i="11" s="1"/>
  <c r="E36" i="11"/>
  <c r="R36" i="11"/>
  <c r="R31" i="11"/>
  <c r="M16" i="11"/>
  <c r="M23" i="11" s="1"/>
  <c r="M30" i="11"/>
  <c r="M31" i="11" s="1"/>
  <c r="E16" i="11"/>
  <c r="E23" i="11" s="1"/>
  <c r="E30" i="11"/>
  <c r="E31" i="11" s="1"/>
  <c r="S16" i="11"/>
  <c r="S23" i="11" s="1"/>
  <c r="S30" i="11"/>
  <c r="S31" i="11" s="1"/>
  <c r="U10" i="11"/>
  <c r="U30" i="11"/>
  <c r="U31" i="11" s="1"/>
  <c r="T17" i="11"/>
  <c r="N10" i="11"/>
  <c r="N30" i="11"/>
  <c r="N31" i="11" s="1"/>
  <c r="O10" i="11"/>
  <c r="O30" i="11"/>
  <c r="O31" i="11" s="1"/>
  <c r="Q16" i="11"/>
  <c r="Q30" i="11"/>
  <c r="Q31" i="11" s="1"/>
  <c r="O16" i="11"/>
  <c r="O23" i="11" s="1"/>
  <c r="U17" i="11"/>
  <c r="N16" i="11"/>
  <c r="N23" i="11" s="1"/>
  <c r="M10" i="11"/>
  <c r="R16" i="11"/>
  <c r="R23" i="11" s="1"/>
  <c r="R37" i="11" s="1"/>
  <c r="R10" i="11"/>
  <c r="D16" i="11"/>
  <c r="D23" i="11" s="1"/>
  <c r="D37" i="11" s="1"/>
  <c r="D10" i="11"/>
  <c r="P11" i="13"/>
  <c r="I11" i="13"/>
  <c r="J11" i="13"/>
  <c r="K10" i="11"/>
  <c r="N11" i="13"/>
  <c r="R11" i="13"/>
  <c r="L11" i="13"/>
  <c r="O11" i="13"/>
  <c r="J16" i="11"/>
  <c r="J23" i="11" s="1"/>
  <c r="J37" i="11" s="1"/>
  <c r="J10" i="11"/>
  <c r="G10" i="11"/>
  <c r="I17" i="11"/>
  <c r="C10" i="11"/>
  <c r="AA12" i="11"/>
  <c r="AA19" i="11" s="1"/>
  <c r="AA40" i="11"/>
  <c r="G84" i="13" l="1"/>
  <c r="I22" i="17" s="1"/>
  <c r="G11" i="13"/>
  <c r="F7" i="17" s="1"/>
  <c r="G19" i="13"/>
  <c r="I9" i="17" s="1"/>
  <c r="G94" i="13"/>
  <c r="I24" i="17" s="1"/>
  <c r="G24" i="13"/>
  <c r="I10" i="17" s="1"/>
  <c r="I26" i="17"/>
  <c r="G104" i="13"/>
  <c r="G14" i="13"/>
  <c r="I8" i="17" s="1"/>
  <c r="G89" i="13"/>
  <c r="I23" i="17" s="1"/>
  <c r="I28" i="17"/>
  <c r="G114" i="13"/>
  <c r="G49" i="13"/>
  <c r="I15" i="17" s="1"/>
  <c r="G124" i="13"/>
  <c r="I30" i="17" s="1"/>
  <c r="G74" i="13"/>
  <c r="I20" i="17" s="1"/>
  <c r="G7" i="17"/>
  <c r="I18" i="17"/>
  <c r="C17" i="11"/>
  <c r="G24" i="11"/>
  <c r="V100" i="4"/>
  <c r="G17" i="11"/>
  <c r="W17" i="11"/>
  <c r="X100" i="4"/>
  <c r="W24" i="11"/>
  <c r="L100" i="4"/>
  <c r="AB47" i="11"/>
  <c r="AB50" i="11"/>
  <c r="AB51" i="11"/>
  <c r="AB49" i="11"/>
  <c r="K24" i="11"/>
  <c r="K38" i="11"/>
  <c r="K47" i="11" s="1"/>
  <c r="K17" i="11"/>
  <c r="C47" i="11"/>
  <c r="C48" i="11"/>
  <c r="C49" i="11"/>
  <c r="C50" i="11"/>
  <c r="C51" i="11"/>
  <c r="T47" i="11"/>
  <c r="T48" i="11"/>
  <c r="T49" i="11"/>
  <c r="T51" i="11"/>
  <c r="T50" i="11"/>
  <c r="W47" i="11"/>
  <c r="W48" i="11"/>
  <c r="W49" i="11"/>
  <c r="W50" i="11"/>
  <c r="W51" i="11"/>
  <c r="I47" i="11"/>
  <c r="I48" i="11"/>
  <c r="I49" i="11"/>
  <c r="I51" i="11"/>
  <c r="I50" i="11"/>
  <c r="G47" i="11"/>
  <c r="G48" i="11"/>
  <c r="G49" i="11"/>
  <c r="G50" i="11"/>
  <c r="G51" i="11"/>
  <c r="Z47" i="11"/>
  <c r="Z48" i="11"/>
  <c r="Z49" i="11"/>
  <c r="Z51" i="11"/>
  <c r="Z50" i="11"/>
  <c r="P47" i="11"/>
  <c r="P48" i="11"/>
  <c r="P50" i="11"/>
  <c r="P49" i="11"/>
  <c r="P51" i="11"/>
  <c r="Y47" i="11"/>
  <c r="Y48" i="11"/>
  <c r="Y49" i="11"/>
  <c r="Y50" i="11"/>
  <c r="Y51" i="11"/>
  <c r="F47" i="11"/>
  <c r="F48" i="11"/>
  <c r="F49" i="11"/>
  <c r="F50" i="11"/>
  <c r="F51" i="11"/>
  <c r="H52" i="11"/>
  <c r="S13" i="17" s="1"/>
  <c r="H43" i="4"/>
  <c r="V43" i="4"/>
  <c r="V52" i="11"/>
  <c r="S27" i="17" s="1"/>
  <c r="L52" i="11"/>
  <c r="S17" i="17" s="1"/>
  <c r="L43" i="4"/>
  <c r="X52" i="11"/>
  <c r="S29" i="17" s="1"/>
  <c r="X43" i="4"/>
  <c r="F24" i="11"/>
  <c r="F17" i="11"/>
  <c r="Y24" i="11"/>
  <c r="U37" i="11"/>
  <c r="U38" i="11" s="1"/>
  <c r="J38" i="11"/>
  <c r="M17" i="11"/>
  <c r="Y17" i="11"/>
  <c r="N17" i="11"/>
  <c r="D38" i="11"/>
  <c r="R38" i="11"/>
  <c r="S37" i="11"/>
  <c r="S38" i="11" s="1"/>
  <c r="S24" i="11"/>
  <c r="AA33" i="11"/>
  <c r="N37" i="11"/>
  <c r="N38" i="11" s="1"/>
  <c r="N24" i="11"/>
  <c r="E37" i="11"/>
  <c r="E38" i="11" s="1"/>
  <c r="E24" i="11"/>
  <c r="D24" i="11"/>
  <c r="O24" i="11"/>
  <c r="O37" i="11"/>
  <c r="O38" i="11" s="1"/>
  <c r="E17" i="11"/>
  <c r="M37" i="11"/>
  <c r="M38" i="11" s="1"/>
  <c r="M24" i="11"/>
  <c r="R24" i="11"/>
  <c r="J24" i="11"/>
  <c r="Q17" i="11"/>
  <c r="Q23" i="11"/>
  <c r="S17" i="11"/>
  <c r="O17" i="11"/>
  <c r="R17" i="11"/>
  <c r="D17" i="11"/>
  <c r="Z11" i="13"/>
  <c r="J17" i="11"/>
  <c r="AA41" i="11"/>
  <c r="AA6" i="11" s="1"/>
  <c r="AA27" i="11" s="1"/>
  <c r="Y100" i="4" l="1"/>
  <c r="K49" i="11"/>
  <c r="Z100" i="4"/>
  <c r="W100" i="4"/>
  <c r="P100" i="4"/>
  <c r="P137" i="13"/>
  <c r="AB100" i="4"/>
  <c r="T100" i="4"/>
  <c r="AB43" i="4"/>
  <c r="AB45" i="4" s="1"/>
  <c r="AB46" i="4" s="1"/>
  <c r="AB52" i="11"/>
  <c r="S33" i="17" s="1"/>
  <c r="K51" i="11"/>
  <c r="K50" i="11"/>
  <c r="K48" i="11"/>
  <c r="T52" i="11"/>
  <c r="S25" i="17" s="1"/>
  <c r="M47" i="11"/>
  <c r="M48" i="11"/>
  <c r="M49" i="11"/>
  <c r="M50" i="11"/>
  <c r="M51" i="11"/>
  <c r="O47" i="11"/>
  <c r="O48" i="11"/>
  <c r="O49" i="11"/>
  <c r="O50" i="11"/>
  <c r="O51" i="11"/>
  <c r="E47" i="11"/>
  <c r="E48" i="11"/>
  <c r="E49" i="11"/>
  <c r="E50" i="11"/>
  <c r="E51" i="11"/>
  <c r="N47" i="11"/>
  <c r="N48" i="11"/>
  <c r="N49" i="11"/>
  <c r="N50" i="11"/>
  <c r="N51" i="11"/>
  <c r="S47" i="11"/>
  <c r="S48" i="11"/>
  <c r="S49" i="11"/>
  <c r="S50" i="11"/>
  <c r="S51" i="11"/>
  <c r="R47" i="11"/>
  <c r="R48" i="11"/>
  <c r="R49" i="11"/>
  <c r="R50" i="11"/>
  <c r="R51" i="11"/>
  <c r="D47" i="11"/>
  <c r="D48" i="11"/>
  <c r="D49" i="11"/>
  <c r="D50" i="11"/>
  <c r="D51" i="11"/>
  <c r="J47" i="11"/>
  <c r="J48" i="11"/>
  <c r="J49" i="11"/>
  <c r="J50" i="11"/>
  <c r="J51" i="11"/>
  <c r="U47" i="11"/>
  <c r="U48" i="11"/>
  <c r="U49" i="11"/>
  <c r="U50" i="11"/>
  <c r="U51" i="11"/>
  <c r="O29" i="17"/>
  <c r="L29" i="17"/>
  <c r="Q29" i="17"/>
  <c r="P29" i="17"/>
  <c r="N29" i="17"/>
  <c r="P117" i="13"/>
  <c r="R118" i="13"/>
  <c r="P118" i="13"/>
  <c r="R117" i="13"/>
  <c r="P120" i="13"/>
  <c r="R120" i="13"/>
  <c r="L118" i="13"/>
  <c r="O117" i="13"/>
  <c r="O118" i="13"/>
  <c r="N117" i="13"/>
  <c r="I118" i="13"/>
  <c r="L120" i="13"/>
  <c r="N120" i="13"/>
  <c r="L117" i="13"/>
  <c r="I120" i="13"/>
  <c r="I117" i="13"/>
  <c r="J117" i="13"/>
  <c r="N118" i="13"/>
  <c r="O120" i="13"/>
  <c r="X45" i="4"/>
  <c r="X46" i="4" s="1"/>
  <c r="U120" i="13"/>
  <c r="V120" i="13" s="1"/>
  <c r="T120" i="13" s="1"/>
  <c r="T121" i="13" s="1"/>
  <c r="N33" i="17"/>
  <c r="O17" i="17"/>
  <c r="P17" i="17"/>
  <c r="L17" i="17"/>
  <c r="Q17" i="17"/>
  <c r="N17" i="17"/>
  <c r="P58" i="13"/>
  <c r="R58" i="13"/>
  <c r="P60" i="13"/>
  <c r="P57" i="13"/>
  <c r="P61" i="13" s="1"/>
  <c r="R57" i="13"/>
  <c r="R60" i="13"/>
  <c r="I58" i="13"/>
  <c r="L60" i="13"/>
  <c r="I60" i="13"/>
  <c r="L58" i="13"/>
  <c r="N58" i="13"/>
  <c r="L57" i="13"/>
  <c r="L61" i="13" s="1"/>
  <c r="I57" i="13"/>
  <c r="N60" i="13"/>
  <c r="O60" i="13"/>
  <c r="J57" i="13"/>
  <c r="N57" i="13"/>
  <c r="O57" i="13"/>
  <c r="O58" i="13"/>
  <c r="L45" i="4"/>
  <c r="L46" i="4" s="1"/>
  <c r="U60" i="13"/>
  <c r="R108" i="13"/>
  <c r="P110" i="13"/>
  <c r="P108" i="13"/>
  <c r="R110" i="13"/>
  <c r="R107" i="13"/>
  <c r="P107" i="13"/>
  <c r="O110" i="13"/>
  <c r="I108" i="13"/>
  <c r="L110" i="13"/>
  <c r="I110" i="13"/>
  <c r="N107" i="13"/>
  <c r="J107" i="13"/>
  <c r="N108" i="13"/>
  <c r="O108" i="13"/>
  <c r="L108" i="13"/>
  <c r="O107" i="13"/>
  <c r="L107" i="13"/>
  <c r="N110" i="13"/>
  <c r="I107" i="13"/>
  <c r="U110" i="13"/>
  <c r="V110" i="13" s="1"/>
  <c r="T110" i="13" s="1"/>
  <c r="T111" i="13" s="1"/>
  <c r="V45" i="4"/>
  <c r="V46" i="4" s="1"/>
  <c r="N13" i="17"/>
  <c r="O13" i="17"/>
  <c r="L13" i="17"/>
  <c r="Q13" i="17"/>
  <c r="P13" i="17"/>
  <c r="P38" i="13"/>
  <c r="R38" i="13"/>
  <c r="P40" i="13"/>
  <c r="R40" i="13"/>
  <c r="O40" i="13"/>
  <c r="I40" i="13"/>
  <c r="I38" i="13"/>
  <c r="L40" i="13"/>
  <c r="N40" i="13"/>
  <c r="O38" i="13"/>
  <c r="L38" i="13"/>
  <c r="N38" i="13"/>
  <c r="R37" i="13"/>
  <c r="O37" i="13"/>
  <c r="P37" i="13"/>
  <c r="I37" i="13"/>
  <c r="L37" i="13"/>
  <c r="N37" i="13"/>
  <c r="J37" i="13"/>
  <c r="U40" i="13"/>
  <c r="V40" i="13" s="1"/>
  <c r="T40" i="13" s="1"/>
  <c r="T41" i="13" s="1"/>
  <c r="J75" i="24" s="1"/>
  <c r="H45" i="4"/>
  <c r="H46" i="4" s="1"/>
  <c r="F43" i="4"/>
  <c r="F52" i="11"/>
  <c r="S11" i="17" s="1"/>
  <c r="Y52" i="11"/>
  <c r="S30" i="17" s="1"/>
  <c r="Y43" i="4"/>
  <c r="P52" i="11"/>
  <c r="S21" i="17" s="1"/>
  <c r="P43" i="4"/>
  <c r="P45" i="4" s="1"/>
  <c r="P46" i="4" s="1"/>
  <c r="Z43" i="4"/>
  <c r="Z52" i="11"/>
  <c r="S31" i="17" s="1"/>
  <c r="G52" i="11"/>
  <c r="S12" i="17" s="1"/>
  <c r="G43" i="4"/>
  <c r="I52" i="11"/>
  <c r="S14" i="17" s="1"/>
  <c r="I43" i="4"/>
  <c r="W52" i="11"/>
  <c r="S28" i="17" s="1"/>
  <c r="W43" i="4"/>
  <c r="T43" i="4"/>
  <c r="C52" i="11"/>
  <c r="S8" i="17" s="1"/>
  <c r="C43" i="4"/>
  <c r="Q37" i="11"/>
  <c r="Q38" i="11" s="1"/>
  <c r="Q24" i="11"/>
  <c r="AA13" i="11"/>
  <c r="AA20" i="11" s="1"/>
  <c r="AA42" i="11"/>
  <c r="AA7" i="11" s="1"/>
  <c r="AA28" i="11" s="1"/>
  <c r="O61" i="13" l="1"/>
  <c r="I61" i="13"/>
  <c r="N61" i="13"/>
  <c r="R61" i="13"/>
  <c r="V60" i="13"/>
  <c r="T60" i="13" s="1"/>
  <c r="T61" i="13" s="1"/>
  <c r="J78" i="24" s="1"/>
  <c r="L137" i="13"/>
  <c r="O138" i="13"/>
  <c r="O137" i="13"/>
  <c r="R137" i="13"/>
  <c r="K100" i="4"/>
  <c r="M21" i="17"/>
  <c r="R21" i="17"/>
  <c r="M13" i="17"/>
  <c r="R13" i="17"/>
  <c r="R17" i="17"/>
  <c r="M17" i="17"/>
  <c r="R29" i="17"/>
  <c r="M29" i="17"/>
  <c r="P138" i="13"/>
  <c r="M33" i="17"/>
  <c r="R33" i="17"/>
  <c r="N138" i="13"/>
  <c r="L140" i="13"/>
  <c r="N140" i="13"/>
  <c r="O33" i="17"/>
  <c r="I138" i="13"/>
  <c r="L33" i="17"/>
  <c r="I137" i="13"/>
  <c r="P140" i="13"/>
  <c r="P33" i="17"/>
  <c r="O140" i="13"/>
  <c r="Q33" i="17"/>
  <c r="L138" i="13"/>
  <c r="I140" i="13"/>
  <c r="R138" i="13"/>
  <c r="U100" i="4"/>
  <c r="M100" i="4"/>
  <c r="R140" i="13"/>
  <c r="J137" i="13"/>
  <c r="N137" i="13"/>
  <c r="O100" i="4"/>
  <c r="Q16" i="17"/>
  <c r="U140" i="13"/>
  <c r="V140" i="13" s="1"/>
  <c r="T140" i="13" s="1"/>
  <c r="T141" i="13" s="1"/>
  <c r="J73" i="24" s="1"/>
  <c r="N100" i="4"/>
  <c r="K52" i="11"/>
  <c r="S16" i="17" s="1"/>
  <c r="S100" i="4"/>
  <c r="R100" i="4"/>
  <c r="K43" i="4"/>
  <c r="U55" i="13" s="1"/>
  <c r="Q47" i="11"/>
  <c r="Q48" i="11"/>
  <c r="Q49" i="11"/>
  <c r="Q50" i="11"/>
  <c r="Q51" i="11"/>
  <c r="N8" i="17"/>
  <c r="O8" i="17"/>
  <c r="Q8" i="17"/>
  <c r="L8" i="17"/>
  <c r="P8" i="17"/>
  <c r="R13" i="13"/>
  <c r="P13" i="13"/>
  <c r="R12" i="13"/>
  <c r="P12" i="13"/>
  <c r="P15" i="13"/>
  <c r="R15" i="13"/>
  <c r="O13" i="13"/>
  <c r="O15" i="13"/>
  <c r="N13" i="13"/>
  <c r="L13" i="13"/>
  <c r="I15" i="13"/>
  <c r="O12" i="13"/>
  <c r="I13" i="13"/>
  <c r="I12" i="13"/>
  <c r="N15" i="13"/>
  <c r="N12" i="13"/>
  <c r="J12" i="13"/>
  <c r="L12" i="13"/>
  <c r="L15" i="13"/>
  <c r="U15" i="13"/>
  <c r="V15" i="13" s="1"/>
  <c r="T15" i="13" s="1"/>
  <c r="T16" i="13" s="1"/>
  <c r="C45" i="4"/>
  <c r="C46" i="4" s="1"/>
  <c r="J97" i="13"/>
  <c r="I100" i="13"/>
  <c r="I98" i="13"/>
  <c r="O25" i="17"/>
  <c r="L25" i="17"/>
  <c r="O97" i="13"/>
  <c r="P98" i="13"/>
  <c r="O98" i="13"/>
  <c r="N100" i="13"/>
  <c r="Q25" i="17"/>
  <c r="N97" i="13"/>
  <c r="R100" i="13"/>
  <c r="P25" i="17"/>
  <c r="R98" i="13"/>
  <c r="I97" i="13"/>
  <c r="L100" i="13"/>
  <c r="P97" i="13"/>
  <c r="N25" i="17"/>
  <c r="N98" i="13"/>
  <c r="L98" i="13"/>
  <c r="P100" i="13"/>
  <c r="L97" i="13"/>
  <c r="O100" i="13"/>
  <c r="R97" i="13"/>
  <c r="T45" i="4"/>
  <c r="T46" i="4" s="1"/>
  <c r="U100" i="13"/>
  <c r="V100" i="13" s="1"/>
  <c r="T100" i="13" s="1"/>
  <c r="T101" i="13" s="1"/>
  <c r="J74" i="24" s="1"/>
  <c r="Q28" i="17"/>
  <c r="L28" i="17"/>
  <c r="P113" i="13"/>
  <c r="R112" i="13"/>
  <c r="P112" i="13"/>
  <c r="I113" i="13"/>
  <c r="L115" i="13"/>
  <c r="N115" i="13"/>
  <c r="N113" i="13"/>
  <c r="O113" i="13"/>
  <c r="R113" i="13"/>
  <c r="O28" i="17"/>
  <c r="N28" i="17"/>
  <c r="J112" i="13"/>
  <c r="O115" i="13"/>
  <c r="I115" i="13"/>
  <c r="P115" i="13"/>
  <c r="P28" i="17"/>
  <c r="R115" i="13"/>
  <c r="L113" i="13"/>
  <c r="L112" i="13"/>
  <c r="N112" i="13"/>
  <c r="O112" i="13"/>
  <c r="I112" i="13"/>
  <c r="U115" i="13"/>
  <c r="V115" i="13" s="1"/>
  <c r="T115" i="13" s="1"/>
  <c r="T116" i="13" s="1"/>
  <c r="W45" i="4"/>
  <c r="W46" i="4" s="1"/>
  <c r="N14" i="17"/>
  <c r="O14" i="17"/>
  <c r="Q14" i="17"/>
  <c r="P14" i="17"/>
  <c r="L14" i="17"/>
  <c r="R43" i="13"/>
  <c r="P43" i="13"/>
  <c r="R42" i="13"/>
  <c r="P45" i="13"/>
  <c r="R45" i="13"/>
  <c r="P42" i="13"/>
  <c r="J42" i="13"/>
  <c r="N45" i="13"/>
  <c r="I45" i="13"/>
  <c r="I42" i="13"/>
  <c r="L43" i="13"/>
  <c r="O42" i="13"/>
  <c r="O43" i="13"/>
  <c r="L45" i="13"/>
  <c r="L42" i="13"/>
  <c r="N42" i="13"/>
  <c r="N43" i="13"/>
  <c r="O45" i="13"/>
  <c r="I43" i="13"/>
  <c r="I45" i="4"/>
  <c r="I46" i="4" s="1"/>
  <c r="U45" i="13"/>
  <c r="V45" i="13" s="1"/>
  <c r="T45" i="13" s="1"/>
  <c r="T46" i="13" s="1"/>
  <c r="P12" i="17"/>
  <c r="N12" i="17"/>
  <c r="Q12" i="17"/>
  <c r="O12" i="17"/>
  <c r="L12" i="17"/>
  <c r="P32" i="13"/>
  <c r="P33" i="13"/>
  <c r="P35" i="13"/>
  <c r="R32" i="13"/>
  <c r="R35" i="13"/>
  <c r="R33" i="13"/>
  <c r="L35" i="13"/>
  <c r="N35" i="13"/>
  <c r="O33" i="13"/>
  <c r="I35" i="13"/>
  <c r="I32" i="13"/>
  <c r="O32" i="13"/>
  <c r="L32" i="13"/>
  <c r="I33" i="13"/>
  <c r="N33" i="13"/>
  <c r="O35" i="13"/>
  <c r="N32" i="13"/>
  <c r="J32" i="13"/>
  <c r="L33" i="13"/>
  <c r="G45" i="4"/>
  <c r="G46" i="4" s="1"/>
  <c r="U35" i="13"/>
  <c r="V35" i="13" s="1"/>
  <c r="T35" i="13" s="1"/>
  <c r="T36" i="13" s="1"/>
  <c r="N16" i="17"/>
  <c r="R53" i="13"/>
  <c r="R55" i="13"/>
  <c r="R52" i="13"/>
  <c r="O52" i="13"/>
  <c r="L55" i="13"/>
  <c r="N52" i="13"/>
  <c r="P31" i="17"/>
  <c r="L31" i="17"/>
  <c r="Q31" i="17"/>
  <c r="O31" i="17"/>
  <c r="N31" i="17"/>
  <c r="R127" i="13"/>
  <c r="P128" i="13"/>
  <c r="P127" i="13"/>
  <c r="P130" i="13"/>
  <c r="R130" i="13"/>
  <c r="R128" i="13"/>
  <c r="O130" i="13"/>
  <c r="L128" i="13"/>
  <c r="O128" i="13"/>
  <c r="J127" i="13"/>
  <c r="I128" i="13"/>
  <c r="L130" i="13"/>
  <c r="I127" i="13"/>
  <c r="L127" i="13"/>
  <c r="I130" i="13"/>
  <c r="N127" i="13"/>
  <c r="N130" i="13"/>
  <c r="N128" i="13"/>
  <c r="O127" i="13"/>
  <c r="Z45" i="4"/>
  <c r="Z46" i="4" s="1"/>
  <c r="U130" i="13"/>
  <c r="V130" i="13" s="1"/>
  <c r="T130" i="13" s="1"/>
  <c r="T131" i="13" s="1"/>
  <c r="J79" i="24" s="1"/>
  <c r="O21" i="17"/>
  <c r="Q21" i="17"/>
  <c r="L21" i="17"/>
  <c r="N21" i="17"/>
  <c r="P21" i="17"/>
  <c r="O30" i="17"/>
  <c r="Q30" i="17"/>
  <c r="P30" i="17"/>
  <c r="L30" i="17"/>
  <c r="N30" i="17"/>
  <c r="R123" i="13"/>
  <c r="R122" i="13"/>
  <c r="R125" i="13"/>
  <c r="P122" i="13"/>
  <c r="P125" i="13"/>
  <c r="P123" i="13"/>
  <c r="O125" i="13"/>
  <c r="O123" i="13"/>
  <c r="L122" i="13"/>
  <c r="O122" i="13"/>
  <c r="L125" i="13"/>
  <c r="N123" i="13"/>
  <c r="N122" i="13"/>
  <c r="L123" i="13"/>
  <c r="I123" i="13"/>
  <c r="I125" i="13"/>
  <c r="N125" i="13"/>
  <c r="I122" i="13"/>
  <c r="J122" i="13"/>
  <c r="U125" i="13"/>
  <c r="V125" i="13" s="1"/>
  <c r="T125" i="13" s="1"/>
  <c r="T126" i="13" s="1"/>
  <c r="Y45" i="4"/>
  <c r="Y46" i="4" s="1"/>
  <c r="L11" i="17"/>
  <c r="O27" i="13"/>
  <c r="L30" i="13"/>
  <c r="L27" i="13"/>
  <c r="N28" i="13"/>
  <c r="R27" i="13"/>
  <c r="N30" i="13"/>
  <c r="O28" i="13"/>
  <c r="O30" i="13"/>
  <c r="R28" i="13"/>
  <c r="O11" i="17"/>
  <c r="R30" i="13"/>
  <c r="N11" i="17"/>
  <c r="L28" i="13"/>
  <c r="J27" i="13"/>
  <c r="P28" i="13"/>
  <c r="Q11" i="17"/>
  <c r="I27" i="13"/>
  <c r="I30" i="13"/>
  <c r="P30" i="13"/>
  <c r="P11" i="17"/>
  <c r="I28" i="13"/>
  <c r="N27" i="13"/>
  <c r="P27" i="13"/>
  <c r="U30" i="13"/>
  <c r="V30" i="13" s="1"/>
  <c r="T30" i="13" s="1"/>
  <c r="T31" i="13" s="1"/>
  <c r="F45" i="4"/>
  <c r="F46" i="4" s="1"/>
  <c r="J40" i="13"/>
  <c r="K40" i="13" s="1"/>
  <c r="K41" i="13" s="1"/>
  <c r="H40" i="13"/>
  <c r="G40" i="13" s="1"/>
  <c r="H38" i="13"/>
  <c r="H37" i="13"/>
  <c r="H107" i="13"/>
  <c r="H110" i="13"/>
  <c r="J110" i="13"/>
  <c r="K110" i="13" s="1"/>
  <c r="K111" i="13" s="1"/>
  <c r="H108" i="13"/>
  <c r="J60" i="13"/>
  <c r="K60" i="13" s="1"/>
  <c r="K61" i="13" s="1"/>
  <c r="H57" i="13"/>
  <c r="H58" i="13"/>
  <c r="G58" i="13" s="1"/>
  <c r="H60" i="13"/>
  <c r="G60" i="13" s="1"/>
  <c r="J140" i="13"/>
  <c r="K140" i="13" s="1"/>
  <c r="K141" i="13" s="1"/>
  <c r="H140" i="13"/>
  <c r="H138" i="13"/>
  <c r="G138" i="13" s="1"/>
  <c r="H137" i="13"/>
  <c r="H120" i="13"/>
  <c r="G120" i="13" s="1"/>
  <c r="H117" i="13"/>
  <c r="J120" i="13"/>
  <c r="K120" i="13" s="1"/>
  <c r="K121" i="13" s="1"/>
  <c r="H118" i="13"/>
  <c r="U52" i="11"/>
  <c r="S26" i="17" s="1"/>
  <c r="U43" i="4"/>
  <c r="J43" i="4"/>
  <c r="J52" i="11"/>
  <c r="S15" i="17" s="1"/>
  <c r="D52" i="11"/>
  <c r="S9" i="17" s="1"/>
  <c r="D43" i="4"/>
  <c r="R43" i="4"/>
  <c r="R52" i="11"/>
  <c r="S23" i="17" s="1"/>
  <c r="S52" i="11"/>
  <c r="S24" i="17" s="1"/>
  <c r="S43" i="4"/>
  <c r="N43" i="4"/>
  <c r="N52" i="11"/>
  <c r="S19" i="17" s="1"/>
  <c r="E52" i="11"/>
  <c r="S10" i="17" s="1"/>
  <c r="E43" i="4"/>
  <c r="O52" i="11"/>
  <c r="S20" i="17" s="1"/>
  <c r="O43" i="4"/>
  <c r="M52" i="11"/>
  <c r="S18" i="17" s="1"/>
  <c r="M43" i="4"/>
  <c r="AA34" i="11"/>
  <c r="AA43" i="11"/>
  <c r="AA14" i="11"/>
  <c r="AA21" i="11" s="1"/>
  <c r="AA35" i="11" s="1"/>
  <c r="G140" i="13" l="1"/>
  <c r="G137" i="13"/>
  <c r="G110" i="13"/>
  <c r="P16" i="13"/>
  <c r="J61" i="13"/>
  <c r="D78" i="24" s="1"/>
  <c r="G57" i="13"/>
  <c r="G17" i="17" s="1"/>
  <c r="H61" i="13"/>
  <c r="N53" i="13"/>
  <c r="P16" i="17"/>
  <c r="N55" i="13"/>
  <c r="O16" i="17"/>
  <c r="P55" i="13"/>
  <c r="J27" i="17"/>
  <c r="L52" i="13"/>
  <c r="J52" i="13"/>
  <c r="P53" i="13"/>
  <c r="I55" i="13"/>
  <c r="I52" i="13"/>
  <c r="P52" i="13"/>
  <c r="L53" i="13"/>
  <c r="O55" i="13"/>
  <c r="L16" i="17"/>
  <c r="O53" i="13"/>
  <c r="I53" i="13"/>
  <c r="J17" i="17"/>
  <c r="J13" i="17"/>
  <c r="J29" i="17"/>
  <c r="H17" i="17"/>
  <c r="G118" i="13"/>
  <c r="H29" i="17" s="1"/>
  <c r="G37" i="13"/>
  <c r="G13" i="17" s="1"/>
  <c r="G117" i="13"/>
  <c r="G29" i="17" s="1"/>
  <c r="G108" i="13"/>
  <c r="H27" i="17" s="1"/>
  <c r="G38" i="13"/>
  <c r="H13" i="17" s="1"/>
  <c r="G107" i="13"/>
  <c r="G27" i="17" s="1"/>
  <c r="M11" i="17"/>
  <c r="R11" i="17"/>
  <c r="M30" i="17"/>
  <c r="R30" i="17"/>
  <c r="M31" i="17"/>
  <c r="R31" i="17"/>
  <c r="R12" i="17"/>
  <c r="M12" i="17"/>
  <c r="M14" i="17"/>
  <c r="R14" i="17"/>
  <c r="R28" i="17"/>
  <c r="M28" i="17"/>
  <c r="M25" i="17"/>
  <c r="R25" i="17"/>
  <c r="M8" i="17"/>
  <c r="R8" i="17"/>
  <c r="Q100" i="4"/>
  <c r="P116" i="13"/>
  <c r="K45" i="4"/>
  <c r="K46" i="4" s="1"/>
  <c r="L31" i="13"/>
  <c r="V55" i="13"/>
  <c r="T55" i="13" s="1"/>
  <c r="T56" i="13" s="1"/>
  <c r="J81" i="24" s="1"/>
  <c r="J141" i="13"/>
  <c r="D73" i="24" s="1"/>
  <c r="J111" i="13"/>
  <c r="J121" i="13"/>
  <c r="J41" i="13"/>
  <c r="D75" i="24" s="1"/>
  <c r="N116" i="13"/>
  <c r="P18" i="17"/>
  <c r="L62" i="13"/>
  <c r="O63" i="13"/>
  <c r="N62" i="13"/>
  <c r="I62" i="13"/>
  <c r="R63" i="13"/>
  <c r="O62" i="13"/>
  <c r="I65" i="13"/>
  <c r="L18" i="17"/>
  <c r="O65" i="13"/>
  <c r="Q18" i="17"/>
  <c r="N65" i="13"/>
  <c r="O18" i="17"/>
  <c r="R62" i="13"/>
  <c r="I63" i="13"/>
  <c r="J62" i="13"/>
  <c r="P65" i="13"/>
  <c r="P62" i="13"/>
  <c r="N18" i="17"/>
  <c r="R65" i="13"/>
  <c r="L63" i="13"/>
  <c r="N63" i="13"/>
  <c r="P63" i="13"/>
  <c r="L65" i="13"/>
  <c r="M45" i="4"/>
  <c r="M46" i="4" s="1"/>
  <c r="U65" i="13"/>
  <c r="V65" i="13" s="1"/>
  <c r="T65" i="13" s="1"/>
  <c r="T66" i="13" s="1"/>
  <c r="J77" i="24" s="1"/>
  <c r="Q20" i="17"/>
  <c r="P20" i="17"/>
  <c r="N20" i="17"/>
  <c r="L20" i="17"/>
  <c r="O20" i="17"/>
  <c r="P72" i="13"/>
  <c r="R73" i="13"/>
  <c r="P75" i="13"/>
  <c r="P73" i="13"/>
  <c r="R72" i="13"/>
  <c r="R75" i="13"/>
  <c r="I75" i="13"/>
  <c r="L75" i="13"/>
  <c r="N72" i="13"/>
  <c r="I72" i="13"/>
  <c r="O72" i="13"/>
  <c r="I73" i="13"/>
  <c r="L72" i="13"/>
  <c r="N73" i="13"/>
  <c r="L73" i="13"/>
  <c r="N75" i="13"/>
  <c r="J72" i="13"/>
  <c r="O73" i="13"/>
  <c r="O75" i="13"/>
  <c r="O45" i="4"/>
  <c r="O46" i="4" s="1"/>
  <c r="U75" i="13"/>
  <c r="Q10" i="17"/>
  <c r="O10" i="17"/>
  <c r="L10" i="17"/>
  <c r="N10" i="17"/>
  <c r="P10" i="17"/>
  <c r="R22" i="13"/>
  <c r="R25" i="13"/>
  <c r="P23" i="13"/>
  <c r="P22" i="13"/>
  <c r="P25" i="13"/>
  <c r="R23" i="13"/>
  <c r="I25" i="13"/>
  <c r="O22" i="13"/>
  <c r="O25" i="13"/>
  <c r="O23" i="13"/>
  <c r="I23" i="13"/>
  <c r="N25" i="13"/>
  <c r="L22" i="13"/>
  <c r="L23" i="13"/>
  <c r="N23" i="13"/>
  <c r="N22" i="13"/>
  <c r="L25" i="13"/>
  <c r="J22" i="13"/>
  <c r="I22" i="13"/>
  <c r="E45" i="4"/>
  <c r="E46" i="4" s="1"/>
  <c r="U25" i="13"/>
  <c r="V25" i="13" s="1"/>
  <c r="T25" i="13" s="1"/>
  <c r="T26" i="13" s="1"/>
  <c r="P67" i="13"/>
  <c r="N67" i="13"/>
  <c r="R68" i="13"/>
  <c r="L19" i="17"/>
  <c r="L67" i="13"/>
  <c r="J67" i="13"/>
  <c r="O67" i="13"/>
  <c r="N19" i="17"/>
  <c r="L70" i="13"/>
  <c r="L68" i="13"/>
  <c r="Q19" i="17"/>
  <c r="I70" i="13"/>
  <c r="P19" i="17"/>
  <c r="R67" i="13"/>
  <c r="I67" i="13"/>
  <c r="O68" i="13"/>
  <c r="R70" i="13"/>
  <c r="P70" i="13"/>
  <c r="O19" i="17"/>
  <c r="P68" i="13"/>
  <c r="O70" i="13"/>
  <c r="N68" i="13"/>
  <c r="I68" i="13"/>
  <c r="N70" i="13"/>
  <c r="U70" i="13"/>
  <c r="V70" i="13" s="1"/>
  <c r="T70" i="13" s="1"/>
  <c r="T71" i="13" s="1"/>
  <c r="J83" i="24" s="1"/>
  <c r="N45" i="4"/>
  <c r="N46" i="4" s="1"/>
  <c r="Q24" i="17"/>
  <c r="R95" i="13"/>
  <c r="J92" i="13"/>
  <c r="O92" i="13"/>
  <c r="I93" i="13"/>
  <c r="O95" i="13"/>
  <c r="P95" i="13"/>
  <c r="I95" i="13"/>
  <c r="N95" i="13"/>
  <c r="R92" i="13"/>
  <c r="N92" i="13"/>
  <c r="O93" i="13"/>
  <c r="N24" i="17"/>
  <c r="L95" i="13"/>
  <c r="I92" i="13"/>
  <c r="O24" i="17"/>
  <c r="N93" i="13"/>
  <c r="R93" i="13"/>
  <c r="L24" i="17"/>
  <c r="L93" i="13"/>
  <c r="P92" i="13"/>
  <c r="P24" i="17"/>
  <c r="L92" i="13"/>
  <c r="P93" i="13"/>
  <c r="U95" i="13"/>
  <c r="V95" i="13" s="1"/>
  <c r="T95" i="13" s="1"/>
  <c r="T96" i="13" s="1"/>
  <c r="S45" i="4"/>
  <c r="S46" i="4" s="1"/>
  <c r="L23" i="17"/>
  <c r="Q23" i="17"/>
  <c r="N23" i="17"/>
  <c r="O23" i="17"/>
  <c r="P23" i="17"/>
  <c r="P87" i="13"/>
  <c r="R90" i="13"/>
  <c r="R87" i="13"/>
  <c r="P88" i="13"/>
  <c r="R88" i="13"/>
  <c r="P90" i="13"/>
  <c r="J87" i="13"/>
  <c r="N88" i="13"/>
  <c r="I90" i="13"/>
  <c r="I87" i="13"/>
  <c r="L90" i="13"/>
  <c r="L88" i="13"/>
  <c r="N87" i="13"/>
  <c r="O88" i="13"/>
  <c r="N90" i="13"/>
  <c r="L87" i="13"/>
  <c r="O90" i="13"/>
  <c r="I88" i="13"/>
  <c r="O87" i="13"/>
  <c r="R45" i="4"/>
  <c r="R46" i="4" s="1"/>
  <c r="U90" i="13"/>
  <c r="V90" i="13" s="1"/>
  <c r="T90" i="13" s="1"/>
  <c r="T91" i="13" s="1"/>
  <c r="L9" i="17"/>
  <c r="P20" i="13"/>
  <c r="O20" i="13"/>
  <c r="P9" i="17"/>
  <c r="N18" i="13"/>
  <c r="N20" i="13"/>
  <c r="O17" i="13"/>
  <c r="N9" i="17"/>
  <c r="J17" i="13"/>
  <c r="L17" i="13"/>
  <c r="O9" i="17"/>
  <c r="R18" i="13"/>
  <c r="P17" i="13"/>
  <c r="I18" i="13"/>
  <c r="O18" i="13"/>
  <c r="P18" i="13"/>
  <c r="I17" i="13"/>
  <c r="L20" i="13"/>
  <c r="Q9" i="17"/>
  <c r="R17" i="13"/>
  <c r="N17" i="13"/>
  <c r="I20" i="13"/>
  <c r="R20" i="13"/>
  <c r="L18" i="13"/>
  <c r="D45" i="4"/>
  <c r="D46" i="4" s="1"/>
  <c r="U20" i="13"/>
  <c r="V20" i="13" s="1"/>
  <c r="T20" i="13" s="1"/>
  <c r="T21" i="13" s="1"/>
  <c r="N15" i="17"/>
  <c r="P15" i="17"/>
  <c r="O15" i="17"/>
  <c r="Q15" i="17"/>
  <c r="L15" i="17"/>
  <c r="P47" i="13"/>
  <c r="R47" i="13"/>
  <c r="R50" i="13"/>
  <c r="R48" i="13"/>
  <c r="P48" i="13"/>
  <c r="P50" i="13"/>
  <c r="L50" i="13"/>
  <c r="L47" i="13"/>
  <c r="O48" i="13"/>
  <c r="I50" i="13"/>
  <c r="I47" i="13"/>
  <c r="J47" i="13"/>
  <c r="I48" i="13"/>
  <c r="N50" i="13"/>
  <c r="N48" i="13"/>
  <c r="O47" i="13"/>
  <c r="N47" i="13"/>
  <c r="O50" i="13"/>
  <c r="L48" i="13"/>
  <c r="J45" i="4"/>
  <c r="J46" i="4" s="1"/>
  <c r="U50" i="13"/>
  <c r="V50" i="13" s="1"/>
  <c r="T50" i="13" s="1"/>
  <c r="T51" i="13" s="1"/>
  <c r="P27" i="17"/>
  <c r="P102" i="13"/>
  <c r="I102" i="13"/>
  <c r="I105" i="13"/>
  <c r="J102" i="13"/>
  <c r="R105" i="13"/>
  <c r="O27" i="17"/>
  <c r="Q26" i="17"/>
  <c r="P103" i="13"/>
  <c r="N102" i="13"/>
  <c r="I103" i="13"/>
  <c r="N103" i="13"/>
  <c r="N27" i="17"/>
  <c r="L26" i="17"/>
  <c r="R103" i="13"/>
  <c r="O105" i="13"/>
  <c r="L27" i="17"/>
  <c r="P26" i="17"/>
  <c r="L102" i="13"/>
  <c r="N26" i="17"/>
  <c r="P105" i="13"/>
  <c r="O103" i="13"/>
  <c r="L105" i="13"/>
  <c r="O102" i="13"/>
  <c r="Q27" i="17"/>
  <c r="O26" i="17"/>
  <c r="L103" i="13"/>
  <c r="N105" i="13"/>
  <c r="R102" i="13"/>
  <c r="U105" i="13"/>
  <c r="V105" i="13" s="1"/>
  <c r="T105" i="13" s="1"/>
  <c r="T106" i="13" s="1"/>
  <c r="J72" i="24" s="1"/>
  <c r="U45" i="4"/>
  <c r="U46" i="4" s="1"/>
  <c r="H27" i="13"/>
  <c r="H30" i="13"/>
  <c r="H28" i="13"/>
  <c r="J30" i="13"/>
  <c r="K30" i="13" s="1"/>
  <c r="K31" i="13" s="1"/>
  <c r="H123" i="13"/>
  <c r="H122" i="13"/>
  <c r="H125" i="13"/>
  <c r="J125" i="13"/>
  <c r="H127" i="13"/>
  <c r="G127" i="13" s="1"/>
  <c r="J130" i="13"/>
  <c r="K130" i="13" s="1"/>
  <c r="K131" i="13" s="1"/>
  <c r="H128" i="13"/>
  <c r="G128" i="13" s="1"/>
  <c r="H130" i="13"/>
  <c r="G130" i="13" s="1"/>
  <c r="J55" i="13"/>
  <c r="K55" i="13" s="1"/>
  <c r="K56" i="13" s="1"/>
  <c r="H52" i="13"/>
  <c r="H55" i="13"/>
  <c r="H53" i="13"/>
  <c r="H33" i="13"/>
  <c r="H32" i="13"/>
  <c r="H35" i="13"/>
  <c r="J35" i="13"/>
  <c r="K35" i="13" s="1"/>
  <c r="K36" i="13" s="1"/>
  <c r="H45" i="13"/>
  <c r="G45" i="13" s="1"/>
  <c r="H42" i="13"/>
  <c r="J45" i="13"/>
  <c r="K45" i="13" s="1"/>
  <c r="K46" i="13" s="1"/>
  <c r="H43" i="13"/>
  <c r="J115" i="13"/>
  <c r="K115" i="13" s="1"/>
  <c r="K116" i="13" s="1"/>
  <c r="H113" i="13"/>
  <c r="H112" i="13"/>
  <c r="H115" i="13"/>
  <c r="G115" i="13" s="1"/>
  <c r="H98" i="13"/>
  <c r="H97" i="13"/>
  <c r="H100" i="13"/>
  <c r="G100" i="13" s="1"/>
  <c r="J100" i="13"/>
  <c r="K100" i="13" s="1"/>
  <c r="K101" i="13" s="1"/>
  <c r="H12" i="13"/>
  <c r="J15" i="13"/>
  <c r="K15" i="13" s="1"/>
  <c r="K16" i="13" s="1"/>
  <c r="H13" i="13"/>
  <c r="H15" i="13"/>
  <c r="G15" i="13" s="1"/>
  <c r="Q52" i="11"/>
  <c r="S22" i="17" s="1"/>
  <c r="Q43" i="4"/>
  <c r="AA44" i="11"/>
  <c r="AA8" i="11"/>
  <c r="AA29" i="11" s="1"/>
  <c r="G35" i="13" l="1"/>
  <c r="J12" i="17" s="1"/>
  <c r="G30" i="13"/>
  <c r="H131" i="13"/>
  <c r="G55" i="13"/>
  <c r="G61" i="13"/>
  <c r="K17" i="17"/>
  <c r="J28" i="17"/>
  <c r="H16" i="13"/>
  <c r="J14" i="17"/>
  <c r="J8" i="17"/>
  <c r="J31" i="17"/>
  <c r="J25" i="17"/>
  <c r="J11" i="17"/>
  <c r="J16" i="17"/>
  <c r="G27" i="13"/>
  <c r="G11" i="17" s="1"/>
  <c r="G43" i="13"/>
  <c r="H14" i="17" s="1"/>
  <c r="G53" i="13"/>
  <c r="H16" i="17" s="1"/>
  <c r="G32" i="13"/>
  <c r="G12" i="17" s="1"/>
  <c r="G33" i="13"/>
  <c r="H12" i="17" s="1"/>
  <c r="G113" i="13"/>
  <c r="H28" i="17" s="1"/>
  <c r="G122" i="13"/>
  <c r="G30" i="17" s="1"/>
  <c r="G98" i="13"/>
  <c r="H25" i="17" s="1"/>
  <c r="G123" i="13"/>
  <c r="H30" i="17" s="1"/>
  <c r="G12" i="13"/>
  <c r="G8" i="17" s="1"/>
  <c r="G97" i="13"/>
  <c r="G25" i="17" s="1"/>
  <c r="G42" i="13"/>
  <c r="G14" i="17" s="1"/>
  <c r="G31" i="17"/>
  <c r="G52" i="13"/>
  <c r="G16" i="17" s="1"/>
  <c r="G13" i="13"/>
  <c r="H8" i="17" s="1"/>
  <c r="G112" i="13"/>
  <c r="G28" i="17" s="1"/>
  <c r="H31" i="17"/>
  <c r="G28" i="13"/>
  <c r="H11" i="17" s="1"/>
  <c r="R27" i="17"/>
  <c r="M27" i="17"/>
  <c r="M26" i="17"/>
  <c r="R26" i="17"/>
  <c r="M15" i="17"/>
  <c r="R15" i="17"/>
  <c r="M9" i="17"/>
  <c r="R9" i="17"/>
  <c r="R23" i="17"/>
  <c r="M23" i="17"/>
  <c r="M24" i="17"/>
  <c r="R24" i="17"/>
  <c r="M19" i="17"/>
  <c r="R19" i="17"/>
  <c r="R10" i="17"/>
  <c r="M10" i="17"/>
  <c r="R20" i="17"/>
  <c r="M20" i="17"/>
  <c r="R18" i="17"/>
  <c r="M18" i="17"/>
  <c r="M16" i="17"/>
  <c r="R16" i="17"/>
  <c r="AA15" i="11"/>
  <c r="AA22" i="11" s="1"/>
  <c r="AA36" i="11" s="1"/>
  <c r="J101" i="13"/>
  <c r="D74" i="24" s="1"/>
  <c r="J56" i="13"/>
  <c r="D81" i="24" s="1"/>
  <c r="J31" i="13"/>
  <c r="J46" i="13"/>
  <c r="J16" i="13"/>
  <c r="J116" i="13"/>
  <c r="J36" i="13"/>
  <c r="J131" i="13"/>
  <c r="D79" i="24" s="1"/>
  <c r="O22" i="17"/>
  <c r="P22" i="17"/>
  <c r="N22" i="17"/>
  <c r="L22" i="17"/>
  <c r="Q22" i="17"/>
  <c r="R85" i="13"/>
  <c r="P82" i="13"/>
  <c r="P85" i="13"/>
  <c r="R82" i="13"/>
  <c r="I85" i="13"/>
  <c r="J82" i="13"/>
  <c r="I82" i="13"/>
  <c r="P83" i="13"/>
  <c r="R83" i="13"/>
  <c r="I83" i="13"/>
  <c r="L82" i="13"/>
  <c r="O83" i="13"/>
  <c r="O85" i="13"/>
  <c r="N85" i="13"/>
  <c r="N83" i="13"/>
  <c r="L85" i="13"/>
  <c r="O82" i="13"/>
  <c r="L83" i="13"/>
  <c r="N82" i="13"/>
  <c r="Q45" i="4"/>
  <c r="Q46" i="4" s="1"/>
  <c r="T80" i="13"/>
  <c r="U85" i="13"/>
  <c r="V85" i="13" s="1"/>
  <c r="T85" i="13" s="1"/>
  <c r="T86" i="13" s="1"/>
  <c r="J126" i="13"/>
  <c r="K125" i="13"/>
  <c r="K126" i="13" s="1"/>
  <c r="J105" i="13"/>
  <c r="K105" i="13" s="1"/>
  <c r="K106" i="13" s="1"/>
  <c r="H102" i="13"/>
  <c r="H105" i="13"/>
  <c r="G105" i="13" s="1"/>
  <c r="H103" i="13"/>
  <c r="H48" i="13"/>
  <c r="J50" i="13"/>
  <c r="K50" i="13" s="1"/>
  <c r="K51" i="13" s="1"/>
  <c r="H47" i="13"/>
  <c r="H50" i="13"/>
  <c r="H20" i="13"/>
  <c r="J20" i="13"/>
  <c r="K20" i="13" s="1"/>
  <c r="K21" i="13" s="1"/>
  <c r="H17" i="13"/>
  <c r="H18" i="13"/>
  <c r="H88" i="13"/>
  <c r="H87" i="13"/>
  <c r="H90" i="13"/>
  <c r="J90" i="13"/>
  <c r="K90" i="13" s="1"/>
  <c r="K91" i="13" s="1"/>
  <c r="J95" i="13"/>
  <c r="K95" i="13" s="1"/>
  <c r="K96" i="13" s="1"/>
  <c r="H95" i="13"/>
  <c r="G95" i="13" s="1"/>
  <c r="H93" i="13"/>
  <c r="H92" i="13"/>
  <c r="R96" i="13"/>
  <c r="H67" i="13"/>
  <c r="H68" i="13"/>
  <c r="H70" i="13"/>
  <c r="J70" i="13"/>
  <c r="K70" i="13" s="1"/>
  <c r="K71" i="13" s="1"/>
  <c r="H22" i="13"/>
  <c r="J25" i="13"/>
  <c r="K25" i="13" s="1"/>
  <c r="K26" i="13" s="1"/>
  <c r="H23" i="13"/>
  <c r="H25" i="13"/>
  <c r="V75" i="13"/>
  <c r="T75" i="13" s="1"/>
  <c r="T76" i="13" s="1"/>
  <c r="J80" i="24" s="1"/>
  <c r="H72" i="13"/>
  <c r="H75" i="13"/>
  <c r="J75" i="13"/>
  <c r="K75" i="13" s="1"/>
  <c r="K76" i="13" s="1"/>
  <c r="H73" i="13"/>
  <c r="J65" i="13"/>
  <c r="K65" i="13" s="1"/>
  <c r="K66" i="13" s="1"/>
  <c r="H65" i="13"/>
  <c r="H62" i="13"/>
  <c r="G62" i="13" s="1"/>
  <c r="H63" i="13"/>
  <c r="G63" i="13" s="1"/>
  <c r="AA45" i="11"/>
  <c r="U134" i="13"/>
  <c r="AA9" i="11"/>
  <c r="H33" i="17"/>
  <c r="G75" i="13" l="1"/>
  <c r="G70" i="13"/>
  <c r="G50" i="13"/>
  <c r="G20" i="13"/>
  <c r="G90" i="13"/>
  <c r="G125" i="13"/>
  <c r="J30" i="17" s="1"/>
  <c r="G25" i="13"/>
  <c r="T81" i="13"/>
  <c r="J82" i="24" s="1"/>
  <c r="G80" i="13"/>
  <c r="G65" i="13"/>
  <c r="J18" i="17" s="1"/>
  <c r="H21" i="13"/>
  <c r="J21" i="13"/>
  <c r="T134" i="13"/>
  <c r="G134" i="13" s="1"/>
  <c r="J24" i="17"/>
  <c r="J23" i="17"/>
  <c r="J10" i="17"/>
  <c r="J26" i="17"/>
  <c r="J9" i="17"/>
  <c r="J20" i="17"/>
  <c r="J19" i="17"/>
  <c r="J15" i="17"/>
  <c r="G18" i="13"/>
  <c r="H9" i="17" s="1"/>
  <c r="G18" i="17"/>
  <c r="G88" i="13"/>
  <c r="H23" i="17" s="1"/>
  <c r="G48" i="13"/>
  <c r="H15" i="17" s="1"/>
  <c r="G17" i="13"/>
  <c r="G9" i="17" s="1"/>
  <c r="G103" i="13"/>
  <c r="H26" i="17" s="1"/>
  <c r="G93" i="13"/>
  <c r="H24" i="17" s="1"/>
  <c r="G73" i="13"/>
  <c r="H20" i="17" s="1"/>
  <c r="G22" i="13"/>
  <c r="G10" i="17" s="1"/>
  <c r="G102" i="13"/>
  <c r="G26" i="17" s="1"/>
  <c r="G92" i="13"/>
  <c r="G24" i="17" s="1"/>
  <c r="G23" i="13"/>
  <c r="H10" i="17" s="1"/>
  <c r="G72" i="13"/>
  <c r="G20" i="17" s="1"/>
  <c r="G68" i="13"/>
  <c r="H19" i="17" s="1"/>
  <c r="G47" i="13"/>
  <c r="G15" i="17" s="1"/>
  <c r="H18" i="17"/>
  <c r="G67" i="13"/>
  <c r="G19" i="17" s="1"/>
  <c r="G87" i="13"/>
  <c r="G23" i="17" s="1"/>
  <c r="M22" i="17"/>
  <c r="R22" i="17"/>
  <c r="J26" i="13"/>
  <c r="J106" i="13"/>
  <c r="D72" i="24" s="1"/>
  <c r="J91" i="13"/>
  <c r="J51" i="13"/>
  <c r="J76" i="13"/>
  <c r="D80" i="24" s="1"/>
  <c r="J96" i="13"/>
  <c r="J66" i="13"/>
  <c r="D77" i="24" s="1"/>
  <c r="J71" i="13"/>
  <c r="D83" i="24" s="1"/>
  <c r="J85" i="13"/>
  <c r="K85" i="13" s="1"/>
  <c r="K86" i="13" s="1"/>
  <c r="H83" i="13"/>
  <c r="H85" i="13"/>
  <c r="G85" i="13" s="1"/>
  <c r="H82" i="13"/>
  <c r="K81" i="13"/>
  <c r="AA16" i="11"/>
  <c r="AA23" i="11" s="1"/>
  <c r="AA30" i="11"/>
  <c r="AA31" i="11" s="1"/>
  <c r="AA10" i="11"/>
  <c r="G33" i="17"/>
  <c r="J33" i="17"/>
  <c r="I32" i="17" l="1"/>
  <c r="J21" i="17"/>
  <c r="J22" i="17"/>
  <c r="G82" i="13"/>
  <c r="G22" i="17" s="1"/>
  <c r="G83" i="13"/>
  <c r="H22" i="17" s="1"/>
  <c r="G77" i="13"/>
  <c r="G21" i="17" s="1"/>
  <c r="G78" i="13"/>
  <c r="H21" i="17" s="1"/>
  <c r="J81" i="13"/>
  <c r="D82" i="24" s="1"/>
  <c r="J86" i="13"/>
  <c r="AA17" i="11"/>
  <c r="AA37" i="11"/>
  <c r="AA38" i="11" s="1"/>
  <c r="AA24" i="11"/>
  <c r="AA50" i="11" l="1"/>
  <c r="AA47" i="11"/>
  <c r="AA49" i="11"/>
  <c r="AA51" i="11"/>
  <c r="AA48" i="11"/>
  <c r="AA100" i="4" l="1"/>
  <c r="AA52" i="11"/>
  <c r="S32" i="17" s="1"/>
  <c r="AA43" i="4"/>
  <c r="P133" i="13" l="1"/>
  <c r="I133" i="13"/>
  <c r="I132" i="13"/>
  <c r="I135" i="13"/>
  <c r="R135" i="13"/>
  <c r="L32" i="17"/>
  <c r="O133" i="13"/>
  <c r="J132" i="13"/>
  <c r="R132" i="13"/>
  <c r="O32" i="17"/>
  <c r="N133" i="13"/>
  <c r="N132" i="13"/>
  <c r="Q32" i="17"/>
  <c r="R133" i="13"/>
  <c r="L135" i="13"/>
  <c r="L133" i="13"/>
  <c r="P132" i="13"/>
  <c r="N32" i="17"/>
  <c r="P135" i="13"/>
  <c r="N135" i="13"/>
  <c r="L132" i="13"/>
  <c r="P32" i="17"/>
  <c r="O132" i="13"/>
  <c r="O135" i="13"/>
  <c r="AA45" i="4"/>
  <c r="AA46" i="4" s="1"/>
  <c r="U135" i="13"/>
  <c r="H133" i="13" l="1"/>
  <c r="M32" i="17"/>
  <c r="R32" i="17"/>
  <c r="L136" i="13"/>
  <c r="N136" i="13"/>
  <c r="H135" i="13"/>
  <c r="G135" i="13" s="1"/>
  <c r="J135" i="13"/>
  <c r="K135" i="13" s="1"/>
  <c r="K136" i="13" s="1"/>
  <c r="P136" i="13"/>
  <c r="H132" i="13"/>
  <c r="G132" i="13" s="1"/>
  <c r="R136" i="13"/>
  <c r="H76" i="24" s="1"/>
  <c r="V135" i="13"/>
  <c r="T135" i="13" s="1"/>
  <c r="T136" i="13" s="1"/>
  <c r="J76" i="24" s="1"/>
  <c r="I136" i="13"/>
  <c r="O136" i="13"/>
  <c r="F76" i="24" s="1"/>
  <c r="G133" i="13" l="1"/>
  <c r="H32" i="17" s="1"/>
  <c r="G76" i="24"/>
  <c r="C76" i="24"/>
  <c r="E76" i="24"/>
  <c r="J32" i="17"/>
  <c r="G32" i="17"/>
  <c r="J136" i="13"/>
  <c r="H136" i="13"/>
  <c r="N101" i="13"/>
  <c r="O101" i="13"/>
  <c r="F74" i="24" s="1"/>
  <c r="R101" i="13"/>
  <c r="H74" i="24" s="1"/>
  <c r="I101" i="13"/>
  <c r="C74" i="24" s="1"/>
  <c r="L101" i="13"/>
  <c r="P101" i="13"/>
  <c r="G74" i="24" s="1"/>
  <c r="I81" i="13"/>
  <c r="C82" i="24" s="1"/>
  <c r="N121" i="13"/>
  <c r="R126" i="13"/>
  <c r="P111" i="13"/>
  <c r="L46" i="13"/>
  <c r="L41" i="13"/>
  <c r="L111" i="13"/>
  <c r="N126" i="13"/>
  <c r="I41" i="13"/>
  <c r="C75" i="24" s="1"/>
  <c r="L26" i="13"/>
  <c r="O81" i="13"/>
  <c r="F82" i="24" s="1"/>
  <c r="P126" i="13"/>
  <c r="I26" i="13"/>
  <c r="I121" i="13"/>
  <c r="R141" i="13"/>
  <c r="H73" i="24" s="1"/>
  <c r="O91" i="13"/>
  <c r="P31" i="13"/>
  <c r="O86" i="13"/>
  <c r="R81" i="13"/>
  <c r="H82" i="24" s="1"/>
  <c r="I91" i="13"/>
  <c r="R91" i="13"/>
  <c r="O126" i="13"/>
  <c r="O141" i="13"/>
  <c r="F73" i="24" s="1"/>
  <c r="P141" i="13"/>
  <c r="G73" i="24" s="1"/>
  <c r="H78" i="24"/>
  <c r="N86" i="13"/>
  <c r="O31" i="13"/>
  <c r="L91" i="13"/>
  <c r="N91" i="13"/>
  <c r="P91" i="13"/>
  <c r="I111" i="13"/>
  <c r="O46" i="13"/>
  <c r="R116" i="13"/>
  <c r="N141" i="13"/>
  <c r="L86" i="13"/>
  <c r="N26" i="13"/>
  <c r="O26" i="13"/>
  <c r="R26" i="13"/>
  <c r="P121" i="13"/>
  <c r="O41" i="13"/>
  <c r="F75" i="24" s="1"/>
  <c r="P41" i="13"/>
  <c r="G75" i="24" s="1"/>
  <c r="P81" i="13"/>
  <c r="G82" i="24" s="1"/>
  <c r="R111" i="13"/>
  <c r="I46" i="13"/>
  <c r="L126" i="13"/>
  <c r="O121" i="13"/>
  <c r="L96" i="13"/>
  <c r="N111" i="13"/>
  <c r="N46" i="13"/>
  <c r="R46" i="13"/>
  <c r="H126" i="13"/>
  <c r="O116" i="13"/>
  <c r="L121" i="13"/>
  <c r="C78" i="24"/>
  <c r="I141" i="13"/>
  <c r="C73" i="24" s="1"/>
  <c r="R41" i="13"/>
  <c r="H75" i="24" s="1"/>
  <c r="I86" i="13"/>
  <c r="L81" i="13"/>
  <c r="P86" i="13"/>
  <c r="N41" i="13"/>
  <c r="O111" i="13"/>
  <c r="P46" i="13"/>
  <c r="I126" i="13"/>
  <c r="P26" i="13"/>
  <c r="R121" i="13"/>
  <c r="F78" i="24"/>
  <c r="G78" i="24"/>
  <c r="L141" i="13"/>
  <c r="N81" i="13"/>
  <c r="R86" i="13"/>
  <c r="H31" i="13"/>
  <c r="I31" i="13"/>
  <c r="N96" i="13"/>
  <c r="I96" i="13"/>
  <c r="H41" i="13"/>
  <c r="B75" i="24" s="1"/>
  <c r="O96" i="13"/>
  <c r="L116" i="13"/>
  <c r="I116" i="13"/>
  <c r="P96" i="13"/>
  <c r="H111" i="13"/>
  <c r="R31" i="13"/>
  <c r="H116" i="13"/>
  <c r="H26" i="13"/>
  <c r="N31" i="13"/>
  <c r="L106" i="13"/>
  <c r="I71" i="13"/>
  <c r="C83" i="24" s="1"/>
  <c r="R106" i="13"/>
  <c r="O71" i="13"/>
  <c r="F83" i="24" s="1"/>
  <c r="L71" i="13"/>
  <c r="N21" i="13"/>
  <c r="N106" i="13"/>
  <c r="O66" i="13"/>
  <c r="F77" i="24" s="1"/>
  <c r="R71" i="13"/>
  <c r="H83" i="24" s="1"/>
  <c r="H101" i="13"/>
  <c r="B74" i="24" s="1"/>
  <c r="O21" i="13"/>
  <c r="I66" i="13"/>
  <c r="C77" i="24" s="1"/>
  <c r="R66" i="13"/>
  <c r="H77" i="24" s="1"/>
  <c r="H46" i="13"/>
  <c r="O106" i="13"/>
  <c r="F72" i="24" s="1"/>
  <c r="P21" i="13"/>
  <c r="N66" i="13"/>
  <c r="I106" i="13"/>
  <c r="C72" i="24" s="1"/>
  <c r="R21" i="13"/>
  <c r="P106" i="13"/>
  <c r="G72" i="24" s="1"/>
  <c r="P66" i="13"/>
  <c r="G77" i="24" s="1"/>
  <c r="N71" i="13"/>
  <c r="L21" i="13"/>
  <c r="L66" i="13"/>
  <c r="P71" i="13"/>
  <c r="G83" i="24" s="1"/>
  <c r="I21" i="13"/>
  <c r="I16" i="13"/>
  <c r="N51" i="13"/>
  <c r="R36" i="13"/>
  <c r="H86" i="13"/>
  <c r="O56" i="13"/>
  <c r="F81" i="24" s="1"/>
  <c r="L76" i="13"/>
  <c r="R76" i="13"/>
  <c r="H80" i="24" s="1"/>
  <c r="P36" i="13"/>
  <c r="L131" i="13"/>
  <c r="I131" i="13"/>
  <c r="C79" i="24" s="1"/>
  <c r="H81" i="13"/>
  <c r="B82" i="24" s="1"/>
  <c r="L16" i="13"/>
  <c r="P51" i="13"/>
  <c r="R16" i="13"/>
  <c r="P76" i="13"/>
  <c r="G80" i="24" s="1"/>
  <c r="H96" i="13"/>
  <c r="H51" i="13"/>
  <c r="N16" i="13"/>
  <c r="L56" i="13"/>
  <c r="I56" i="13"/>
  <c r="C81" i="24" s="1"/>
  <c r="P56" i="13"/>
  <c r="G81" i="24" s="1"/>
  <c r="P131" i="13"/>
  <c r="G79" i="24" s="1"/>
  <c r="H141" i="13"/>
  <c r="B73" i="24" s="1"/>
  <c r="L36" i="13"/>
  <c r="O51" i="13"/>
  <c r="I51" i="13"/>
  <c r="B78" i="24"/>
  <c r="I76" i="13"/>
  <c r="C80" i="24" s="1"/>
  <c r="I36" i="13"/>
  <c r="N131" i="13"/>
  <c r="R131" i="13"/>
  <c r="H79" i="24" s="1"/>
  <c r="R51" i="13"/>
  <c r="N56" i="13"/>
  <c r="O76" i="13"/>
  <c r="F80" i="24" s="1"/>
  <c r="N36" i="13"/>
  <c r="R56" i="13"/>
  <c r="H81" i="24" s="1"/>
  <c r="O16" i="13"/>
  <c r="O36" i="13"/>
  <c r="O131" i="13"/>
  <c r="F79" i="24" s="1"/>
  <c r="L51" i="13"/>
  <c r="H121" i="13"/>
  <c r="N76" i="13"/>
  <c r="B79" i="24"/>
  <c r="H71" i="13"/>
  <c r="B83" i="24" s="1"/>
  <c r="H66" i="13"/>
  <c r="H91" i="13"/>
  <c r="H106" i="13"/>
  <c r="B72" i="24" s="1"/>
  <c r="H36" i="13"/>
  <c r="H76" i="13"/>
  <c r="B80" i="24" s="1"/>
  <c r="H56" i="13"/>
  <c r="B81" i="24" s="1"/>
  <c r="B77" i="24" l="1"/>
  <c r="G66" i="13"/>
  <c r="B76" i="24"/>
  <c r="Z136" i="13"/>
  <c r="D76" i="24"/>
  <c r="G136" i="13"/>
  <c r="F32" i="17" s="1"/>
  <c r="E74" i="24"/>
  <c r="M74" i="24" s="1"/>
  <c r="E77" i="24"/>
  <c r="E73" i="24"/>
  <c r="M73" i="24" s="1"/>
  <c r="E81" i="24"/>
  <c r="M81" i="24" s="1"/>
  <c r="E82" i="24"/>
  <c r="M82" i="24" s="1"/>
  <c r="E83" i="24"/>
  <c r="M83" i="24" s="1"/>
  <c r="E78" i="24"/>
  <c r="E79" i="24"/>
  <c r="M79" i="24" s="1"/>
  <c r="H72" i="24"/>
  <c r="E72" i="24"/>
  <c r="E75" i="24"/>
  <c r="M75" i="24" s="1"/>
  <c r="E80" i="24"/>
  <c r="M80" i="24" s="1"/>
  <c r="G131" i="13"/>
  <c r="F31" i="17" s="1"/>
  <c r="G141" i="13"/>
  <c r="F33" i="17" s="1"/>
  <c r="Z96" i="13"/>
  <c r="F18" i="17"/>
  <c r="Z116" i="13"/>
  <c r="Z26" i="13"/>
  <c r="Z121" i="13"/>
  <c r="G91" i="13"/>
  <c r="F23" i="17" s="1"/>
  <c r="G81" i="13"/>
  <c r="F21" i="17" s="1"/>
  <c r="Z56" i="13"/>
  <c r="Z36" i="13"/>
  <c r="G51" i="13"/>
  <c r="F15" i="17" s="1"/>
  <c r="G116" i="13"/>
  <c r="F28" i="17" s="1"/>
  <c r="G76" i="13"/>
  <c r="F20" i="17" s="1"/>
  <c r="G111" i="13"/>
  <c r="F27" i="17" s="1"/>
  <c r="G21" i="13"/>
  <c r="F9" i="17" s="1"/>
  <c r="G41" i="13"/>
  <c r="F13" i="17" s="1"/>
  <c r="G126" i="13"/>
  <c r="F30" i="17" s="1"/>
  <c r="Z111" i="13"/>
  <c r="Z71" i="13"/>
  <c r="Z46" i="13"/>
  <c r="G121" i="13"/>
  <c r="F29" i="17" s="1"/>
  <c r="Z61" i="13"/>
  <c r="Z86" i="13"/>
  <c r="Z101" i="13"/>
  <c r="G96" i="13"/>
  <c r="F24" i="17" s="1"/>
  <c r="Z21" i="13"/>
  <c r="Z81" i="13"/>
  <c r="G26" i="13"/>
  <c r="F10" i="17" s="1"/>
  <c r="Z31" i="13"/>
  <c r="Z66" i="13"/>
  <c r="Z51" i="13"/>
  <c r="Z16" i="13"/>
  <c r="G36" i="13"/>
  <c r="F12" i="17" s="1"/>
  <c r="G16" i="13"/>
  <c r="F8" i="17" s="1"/>
  <c r="Z106" i="13"/>
  <c r="Z131" i="13"/>
  <c r="Z41" i="13"/>
  <c r="G101" i="13"/>
  <c r="F25" i="17" s="1"/>
  <c r="G31" i="13"/>
  <c r="F11" i="17" s="1"/>
  <c r="Z141" i="13"/>
  <c r="Z76" i="13"/>
  <c r="G71" i="13"/>
  <c r="F19" i="17" s="1"/>
  <c r="F17" i="17"/>
  <c r="Z126" i="13"/>
  <c r="Z91" i="13"/>
  <c r="G86" i="13"/>
  <c r="F22" i="17" s="1"/>
  <c r="G106" i="13"/>
  <c r="F26" i="17" s="1"/>
  <c r="G56" i="13"/>
  <c r="F16" i="17" s="1"/>
  <c r="G46" i="13"/>
  <c r="F14" i="17" s="1"/>
  <c r="M77" i="24" l="1"/>
  <c r="M76" i="24"/>
  <c r="M78" i="24"/>
  <c r="M7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Ludvig Karlsson</author>
  </authors>
  <commentList>
    <comment ref="O49" authorId="0" shapeId="0" xr:uid="{217EDF5C-0C88-46A6-916F-585F90141D99}">
      <text>
        <r>
          <rPr>
            <sz val="11"/>
            <color theme="1"/>
            <rFont val="Calibri"/>
            <family val="2"/>
            <scheme val="minor"/>
          </rPr>
          <t xml:space="preserve">Ludvig Karlsson:
0,21 according to CRF table. Assumed that they forgot a zero and adjusted to 0,021
</t>
        </r>
      </text>
    </comment>
  </commentList>
</comments>
</file>

<file path=xl/sharedStrings.xml><?xml version="1.0" encoding="utf-8"?>
<sst xmlns="http://schemas.openxmlformats.org/spreadsheetml/2006/main" count="8062" uniqueCount="488">
  <si>
    <t>Read me</t>
  </si>
  <si>
    <t>This is a file that contains the calculations of environmental footprints, labour requirements, animal welfare and use of antibiotics for chicken production.</t>
  </si>
  <si>
    <t>Assumptions:</t>
  </si>
  <si>
    <t xml:space="preserve"> - All parent animals are also eaten</t>
  </si>
  <si>
    <t xml:space="preserve"> - Impacts are allocated equally across flesh and offals</t>
  </si>
  <si>
    <t>Tab color codes:</t>
  </si>
  <si>
    <t>Results</t>
  </si>
  <si>
    <t>Sheets for input</t>
  </si>
  <si>
    <t>Intermediate calculations</t>
  </si>
  <si>
    <t>Figures</t>
  </si>
  <si>
    <t>Att göra:</t>
  </si>
  <si>
    <t>Se om det går att få ut en foderstat för denna från Frankrike https://productions-animales.org/article/view/5396</t>
  </si>
  <si>
    <t>Gödselemissioner från NIR - är det klart? Kolla med Ludvig</t>
  </si>
  <si>
    <t xml:space="preserve">Justera till landsspecifik energianvändning https://www.mdpi.com/2076-3417/12/4/2142 </t>
  </si>
  <si>
    <t>Vattenanvändning per land - OBS att detta är för anv i stallar, inte foderodlingen</t>
  </si>
  <si>
    <t>Greenhouse gas emission for bonefree chicken meat across countries, to farmgate including slaughter, no waste</t>
  </si>
  <si>
    <t>Lesschen:</t>
  </si>
  <si>
    <t>Order in this study:</t>
  </si>
  <si>
    <t>Order in Lesschen:</t>
  </si>
  <si>
    <t>Poland</t>
  </si>
  <si>
    <t>Netherlands</t>
  </si>
  <si>
    <t>UK</t>
  </si>
  <si>
    <t>Greece</t>
  </si>
  <si>
    <t xml:space="preserve">Denmark </t>
  </si>
  <si>
    <t>Germany</t>
  </si>
  <si>
    <t>Sweden</t>
  </si>
  <si>
    <t>Hungary</t>
  </si>
  <si>
    <t>Ireland</t>
  </si>
  <si>
    <t>Spain</t>
  </si>
  <si>
    <t>Denmark</t>
  </si>
  <si>
    <t>Italy</t>
  </si>
  <si>
    <t>France</t>
  </si>
  <si>
    <t xml:space="preserve">Hungary </t>
  </si>
  <si>
    <t>Production of mineral fertilizer</t>
  </si>
  <si>
    <t xml:space="preserve">Production of capital goods </t>
  </si>
  <si>
    <t xml:space="preserve">Emissions from soil </t>
  </si>
  <si>
    <t>Diesel use field machinary</t>
  </si>
  <si>
    <t>Energy use for feed processing</t>
  </si>
  <si>
    <t>Land use change emissions</t>
  </si>
  <si>
    <t>Feed transports</t>
  </si>
  <si>
    <t>Enteric fermentation</t>
  </si>
  <si>
    <t>Manure management</t>
  </si>
  <si>
    <t>Energy use in stables</t>
  </si>
  <si>
    <t>Energy use for slaughter</t>
  </si>
  <si>
    <t>Tot</t>
  </si>
  <si>
    <t>Footprints (per kg of bonefree meat)</t>
  </si>
  <si>
    <t>* Adjusted for manure</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</si>
  <si>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</si>
  <si>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</si>
  <si>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</si>
  <si>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</si>
  <si>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</si>
  <si>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</si>
  <si>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</si>
  <si>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</si>
  <si>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</si>
  <si>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</si>
  <si>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</si>
  <si>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</si>
  <si>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</si>
  <si>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</si>
  <si>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</si>
  <si>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</si>
  <si>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</si>
  <si>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</si>
  <si>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</si>
  <si>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</si>
  <si>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</si>
  <si>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</si>
  <si>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</si>
  <si>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</si>
  <si>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</si>
  <si>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</si>
  <si>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</si>
  <si>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</si>
  <si>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</si>
  <si>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</si>
  <si>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</si>
  <si>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</si>
  <si>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Chicken meat</t>
  </si>
  <si>
    <t>White meat</t>
  </si>
  <si>
    <t>Austria</t>
  </si>
  <si>
    <t>AT</t>
  </si>
  <si>
    <t>Belgium</t>
  </si>
  <si>
    <t>BE</t>
  </si>
  <si>
    <t>Bulgaria</t>
  </si>
  <si>
    <t>BG</t>
  </si>
  <si>
    <t>Croatia</t>
  </si>
  <si>
    <t>HR</t>
  </si>
  <si>
    <t>Cyprus</t>
  </si>
  <si>
    <t>CY</t>
  </si>
  <si>
    <t>Czechia</t>
  </si>
  <si>
    <t>CZ</t>
  </si>
  <si>
    <t>DK</t>
  </si>
  <si>
    <t xml:space="preserve">Estonia </t>
  </si>
  <si>
    <t>EE</t>
  </si>
  <si>
    <t>Finland</t>
  </si>
  <si>
    <t>FI</t>
  </si>
  <si>
    <t>FR</t>
  </si>
  <si>
    <t>DE</t>
  </si>
  <si>
    <t>GR</t>
  </si>
  <si>
    <t>HU</t>
  </si>
  <si>
    <t>IE</t>
  </si>
  <si>
    <t>IT</t>
  </si>
  <si>
    <t>Latvia</t>
  </si>
  <si>
    <t>LV</t>
  </si>
  <si>
    <t>Lithuania</t>
  </si>
  <si>
    <t>LT</t>
  </si>
  <si>
    <t>Malta</t>
  </si>
  <si>
    <t>MT</t>
  </si>
  <si>
    <t>NL</t>
  </si>
  <si>
    <t>PL</t>
  </si>
  <si>
    <t>Portugal</t>
  </si>
  <si>
    <t>PT</t>
  </si>
  <si>
    <t>Romania</t>
  </si>
  <si>
    <t>RO</t>
  </si>
  <si>
    <t>Slovakia</t>
  </si>
  <si>
    <t>SK</t>
  </si>
  <si>
    <t>Slovenia</t>
  </si>
  <si>
    <t>SI</t>
  </si>
  <si>
    <t>ES</t>
  </si>
  <si>
    <t>SE</t>
  </si>
  <si>
    <t>GB</t>
  </si>
  <si>
    <t>Brazil</t>
  </si>
  <si>
    <t>BR</t>
  </si>
  <si>
    <t>Thailand</t>
  </si>
  <si>
    <t>TH</t>
  </si>
  <si>
    <t>USA</t>
  </si>
  <si>
    <t>US</t>
  </si>
  <si>
    <t>* Production of mineral fertiliser is adjusted to account for the N supplied by manure.</t>
  </si>
  <si>
    <t>GHG emissions (per kg of bonefree meat)</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</si>
  <si>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</si>
  <si>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</si>
  <si>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</si>
  <si>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</si>
  <si>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</si>
  <si>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</si>
  <si>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</si>
  <si>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</si>
  <si>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</si>
  <si>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</si>
  <si>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</si>
  <si>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Feed processing</t>
  </si>
  <si>
    <t>Transports</t>
  </si>
  <si>
    <t>FoodEx code</t>
  </si>
  <si>
    <t>FoodEx name</t>
  </si>
  <si>
    <t>Food Ex category (L1)</t>
  </si>
  <si>
    <t>Gas</t>
  </si>
  <si>
    <t>GHG</t>
  </si>
  <si>
    <t>Production of mineral fertilizer*</t>
  </si>
  <si>
    <t>Direct emissions**</t>
  </si>
  <si>
    <t>Indirect emissions***</t>
  </si>
  <si>
    <t>Diesel use field mach</t>
  </si>
  <si>
    <t>Energy use in greenhouses</t>
  </si>
  <si>
    <t>Energy use for irrigation</t>
  </si>
  <si>
    <t>Energy use for post-harvest proc</t>
  </si>
  <si>
    <t>LUC emissions</t>
  </si>
  <si>
    <t>Manure management - tot</t>
  </si>
  <si>
    <t>Manure management - direct</t>
  </si>
  <si>
    <t>Manure management - indirect</t>
  </si>
  <si>
    <t>Total feed, incl LUC</t>
  </si>
  <si>
    <t>Feed mix emissions, kg CO2 per kg feed, excl. adjustement manure</t>
  </si>
  <si>
    <t>A01SP</t>
  </si>
  <si>
    <t>Chicken fresh meat</t>
  </si>
  <si>
    <t>Meat and meat products</t>
  </si>
  <si>
    <t>CO2</t>
  </si>
  <si>
    <t>CH4, fossil</t>
  </si>
  <si>
    <t>CH4, biogenic</t>
  </si>
  <si>
    <t>N2O</t>
  </si>
  <si>
    <t>CO2e</t>
  </si>
  <si>
    <t>Czech Republic</t>
  </si>
  <si>
    <t>Estonia</t>
  </si>
  <si>
    <t xml:space="preserve">Ireland </t>
  </si>
  <si>
    <t>Netherland</t>
  </si>
  <si>
    <t>Slovak Republic</t>
  </si>
  <si>
    <t>Production system</t>
  </si>
  <si>
    <t>Animals slaughtered (no)</t>
  </si>
  <si>
    <t>Chicken</t>
  </si>
  <si>
    <t>Parent hens</t>
  </si>
  <si>
    <t>Parent roasters</t>
  </si>
  <si>
    <t>Grandparent hens</t>
  </si>
  <si>
    <t>Grandparent roasters</t>
  </si>
  <si>
    <t>Total:</t>
  </si>
  <si>
    <t>Meat produced (kg CW)</t>
  </si>
  <si>
    <t>Meat produced (kg bonefree)</t>
  </si>
  <si>
    <t>Offal produced (kg edible)</t>
  </si>
  <si>
    <t>Meat and offal produced (kg bonefree)</t>
  </si>
  <si>
    <t>Animals in production (no)</t>
  </si>
  <si>
    <t>Animals in production per kg of meat/offal produced (no)</t>
  </si>
  <si>
    <t>Production parameters and emission factors, country specific</t>
  </si>
  <si>
    <t xml:space="preserve">BR </t>
  </si>
  <si>
    <t xml:space="preserve">TH </t>
  </si>
  <si>
    <t xml:space="preserve">US </t>
  </si>
  <si>
    <t>Production parameters</t>
  </si>
  <si>
    <t>Source France</t>
  </si>
  <si>
    <t>Comment:</t>
  </si>
  <si>
    <t xml:space="preserve">Source Sweden: </t>
  </si>
  <si>
    <t>Slaughter age, days</t>
  </si>
  <si>
    <t>From LL, dig up source</t>
  </si>
  <si>
    <t>Mortality rearing, %</t>
  </si>
  <si>
    <t>Bennetorf &amp; Lindahl, 2016</t>
  </si>
  <si>
    <t>Rejection after slaughter, %</t>
  </si>
  <si>
    <t>Jordbruksverket, 2022</t>
  </si>
  <si>
    <t>Meat yield, kg CW/liveweight</t>
  </si>
  <si>
    <t>Meat yield, kg bonefree meat/CW</t>
  </si>
  <si>
    <t>Meat yield, kg CW/chicken</t>
  </si>
  <si>
    <t>Jordbruksverket (slaktad vikt/slaktade djur)</t>
  </si>
  <si>
    <t>Meat yield, kg CW/hen</t>
  </si>
  <si>
    <t>4.2-4.4, Ida Ljungkvist</t>
  </si>
  <si>
    <t>Meat yield, kg CW/roaster</t>
  </si>
  <si>
    <t>5 kg, Ida Ljungkvist</t>
  </si>
  <si>
    <t>Offal yield, kg edible/animal (chicken, hen, roaster)</t>
  </si>
  <si>
    <t>KunskapsKokboken (hjärta 45 g, muselmage 150 g, lever 80 g)</t>
  </si>
  <si>
    <t>Eggs per parent hen</t>
  </si>
  <si>
    <t>Ida Ljungkvist</t>
  </si>
  <si>
    <t>Parent hens per roaster</t>
  </si>
  <si>
    <t>Mortality parents, %</t>
  </si>
  <si>
    <t>Share of feed ingredients (%)</t>
  </si>
  <si>
    <t>Barley, average</t>
  </si>
  <si>
    <t>Se om det går att använda denna:</t>
  </si>
  <si>
    <t>LCA from RISE, foderstat C, grains delat på alla sädesslag - kolla upp!</t>
  </si>
  <si>
    <t>European feed mixes from Karlsson et al. 2020 for all countries</t>
  </si>
  <si>
    <t>Maize (corn)</t>
  </si>
  <si>
    <t>https://productions-animales.org/article/view/5396</t>
  </si>
  <si>
    <t>Rest approximated with UK for now</t>
  </si>
  <si>
    <t>BR, TH and US approximated with GB</t>
  </si>
  <si>
    <t>Oats</t>
  </si>
  <si>
    <t>Rye</t>
  </si>
  <si>
    <t>Wheat, average</t>
  </si>
  <si>
    <t>Peas, dry</t>
  </si>
  <si>
    <t>Broad beans and horse beans, dry</t>
  </si>
  <si>
    <t>Rape seed cake</t>
  </si>
  <si>
    <t>Soy cake</t>
  </si>
  <si>
    <t>By-products</t>
  </si>
  <si>
    <t>Other</t>
  </si>
  <si>
    <t>Cereals</t>
  </si>
  <si>
    <t>Feed requirement</t>
  </si>
  <si>
    <t>Source:</t>
  </si>
  <si>
    <t>Feed conversion ratio live slaugher chicken, kg per kg liveweight</t>
  </si>
  <si>
    <t>Svensk Fågel, pers. comm., confirmed by Ida Ljungkvist, pers. comm.</t>
  </si>
  <si>
    <t>Feed per kg of liveweight</t>
  </si>
  <si>
    <t>Feed parent hens, kg per hen</t>
  </si>
  <si>
    <t>Ida Ljungkvist, pers. comm.</t>
  </si>
  <si>
    <t>Includes feed for roasters (1 roaster per 12.5 hens)</t>
  </si>
  <si>
    <t>Feed conversion, kg per kg bonefree including parents and losses</t>
  </si>
  <si>
    <t>Excreted N in manure</t>
  </si>
  <si>
    <t>Slaughter chickens, kg N/animal/year</t>
  </si>
  <si>
    <t>NIR, 2022, Table 5.17</t>
  </si>
  <si>
    <t>CRF 2023, Table3.B(b)</t>
  </si>
  <si>
    <t>NIR 2023, Table 5.3.16</t>
  </si>
  <si>
    <t>NIR 2023, 5.31</t>
  </si>
  <si>
    <t>NIR 2023, Table 5.3.9</t>
  </si>
  <si>
    <t>Slaughter chickens, kg N/animal</t>
  </si>
  <si>
    <t>NIR, 2022, Table 5.17 (8.5 cycles per year)</t>
  </si>
  <si>
    <t>Parent and grandparent hens and roaster, kg N/animal/year</t>
  </si>
  <si>
    <t>Figure for laying hens</t>
  </si>
  <si>
    <t xml:space="preserve">Ammonia emissions from excreted N </t>
  </si>
  <si>
    <t>EMEP/EEA 2019. Table 3.2, Broilers, litter, Tier 1 approach</t>
  </si>
  <si>
    <t>Excreted N, kg N per kg of bonefree meat/offal</t>
  </si>
  <si>
    <t>Losses due to direct N2O emissions, kg N per kg N excreted</t>
  </si>
  <si>
    <t>Losses due to indirect N2O emissions, kg N per kg N excreted</t>
  </si>
  <si>
    <t>Excreted N after losses, kg N per kg bonefree meat</t>
  </si>
  <si>
    <t>Emission factors manure management</t>
  </si>
  <si>
    <t>Methane from manure management, kg CH4/animal/year</t>
  </si>
  <si>
    <t>IPCC, 2019</t>
  </si>
  <si>
    <t>NIR uses the same factor, Table 5.16, RISE gets it from Greppa</t>
  </si>
  <si>
    <t>CRF 2023, Table3.B(b). In CRF 0.21, assumed that they forgot a zero and adjusted to 0.021</t>
  </si>
  <si>
    <t>Direct nitrous oxide from poultry manure, kg N2O-N/N</t>
  </si>
  <si>
    <t>IPCC, 2019, Table 10.21 (Poultry manure with litter)</t>
  </si>
  <si>
    <t>Emissions from manure storage, 1% i NIR Table 5.18, but RISE also uses 0.1%</t>
  </si>
  <si>
    <t>Indirect nitrous oxide from poultry manure, kg N2O-N/NH3-N</t>
  </si>
  <si>
    <t xml:space="preserve">IPCC, 2019, Table 11.3, EF4 </t>
  </si>
  <si>
    <t>RISE uses 1%,  but Emma had 0.1% but NIR, 2022 also refers EF4 (p. 342)</t>
  </si>
  <si>
    <t xml:space="preserve">Energy use in stables </t>
  </si>
  <si>
    <t>Total energy use, kWh/kg CW</t>
  </si>
  <si>
    <t>SVENSK FÅGEL undated-a. Energikartläggning Kyckling [Online]. Available: https://svenskfagel.se/wp-content/uploads/2017/09/energikartlaggning_kyckling.pdf [Accessed Sept 2021]</t>
  </si>
  <si>
    <t>Share for heating</t>
  </si>
  <si>
    <t>Share biofuels for heating</t>
  </si>
  <si>
    <t>SVENSK FÅGEL undated-b. Kyckling är klimatsmartare [Online]. Available: https://svenskfagel.se/wp-content/uploads/2018/10/Klimat-150306-MO1-1.pdf</t>
  </si>
  <si>
    <t>Men Katarina skriver att de har en högre andel icke-förnybart så att totalen från energianvändningen blir 0.05, vilket motsvarar 50% förnybart här</t>
  </si>
  <si>
    <t>Energy use at slaughter</t>
  </si>
  <si>
    <t>Energy use electricity, kWh/kg CW</t>
  </si>
  <si>
    <t xml:space="preserve">Edman et al. 2022 </t>
  </si>
  <si>
    <t>Energy use heating oil, kWh/kg CW</t>
  </si>
  <si>
    <t>https://svenskfagel.se/wp-content/uploads/2022/11/klimatavtryck-sv-kyckling-foder-information-november-2022-publik.pdf</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</si>
  <si>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</si>
  <si>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</si>
  <si>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</si>
  <si>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</si>
  <si>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</si>
  <si>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</si>
  <si>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</si>
  <si>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</si>
  <si>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</si>
  <si>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LUC emissions from soy, kg CO2/kg soy</t>
  </si>
  <si>
    <t>Pendrill et al. 2020</t>
  </si>
  <si>
    <t>Soy meal per kg soy, kg</t>
  </si>
  <si>
    <t>Flysjö et al. 2010</t>
  </si>
  <si>
    <t>Economic allocation of impact to meal</t>
  </si>
  <si>
    <t>Emission from the production of mineral fertilisers (kg)</t>
  </si>
  <si>
    <t>Fraction BAT</t>
  </si>
  <si>
    <t>Swedish Agency for Public Management (2010)</t>
  </si>
  <si>
    <t>Fraction AN</t>
  </si>
  <si>
    <t>Emission factors N2O from soil</t>
  </si>
  <si>
    <t>Direct emissions from mineral fertiliser</t>
  </si>
  <si>
    <t>IPCC, 2019, Table 11.1, figure 3A.5.1 for whether countries are wet/dry (only Spain dry in Europé, US both)</t>
  </si>
  <si>
    <t>Direct emissions from manure</t>
  </si>
  <si>
    <t>Difference in emission factor min. fert - manure</t>
  </si>
  <si>
    <t>Indirect emissions, share of direct emissions</t>
  </si>
  <si>
    <t>Manure replacement factor</t>
  </si>
  <si>
    <t>Based on växttillgängligt kväve</t>
  </si>
  <si>
    <t>Water use</t>
  </si>
  <si>
    <t>Water use for housing and drinking, m3 per kg CW</t>
  </si>
  <si>
    <t>Mekonnen and Hoekstra (2012)</t>
  </si>
  <si>
    <t>Labour requirements</t>
  </si>
  <si>
    <t>*</t>
  </si>
  <si>
    <t xml:space="preserve">Labour requirements, h per animal </t>
  </si>
  <si>
    <t>Diseases chicken (ratio of animals)</t>
  </si>
  <si>
    <r>
      <t>Diseas</t>
    </r>
    <r>
      <rPr>
        <i/>
        <sz val="11"/>
        <color rgb="FF000000"/>
        <rFont val="Calibri"/>
        <family val="2"/>
      </rPr>
      <t xml:space="preserve"> parents (ratio of animals)</t>
    </r>
  </si>
  <si>
    <t>Space chicken</t>
  </si>
  <si>
    <t>Space parents</t>
  </si>
  <si>
    <t>Animal welfare in production system chicken</t>
  </si>
  <si>
    <t>Animal welfare in production system parents</t>
  </si>
  <si>
    <t>Animal welfare index per kg of meat</t>
  </si>
  <si>
    <t>* approx with Greece</t>
  </si>
  <si>
    <t>Det är olika 0,64 på rad 95 96 97, bara råkar bli samma</t>
  </si>
  <si>
    <t>Emissions of CO2 from feed crops (per kg of crop)</t>
  </si>
  <si>
    <t>Columns A-M copied straight from RPC filerna</t>
  </si>
  <si>
    <t xml:space="preserve">Shares from Karlsson et al. </t>
  </si>
  <si>
    <t>Crops</t>
  </si>
  <si>
    <t>Share</t>
  </si>
  <si>
    <t xml:space="preserve">Categories </t>
  </si>
  <si>
    <t>Direct emissions</t>
  </si>
  <si>
    <t>Indirect emissions</t>
  </si>
  <si>
    <t>Energy use feed processing</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</si>
  <si>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</si>
  <si>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</si>
  <si>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</si>
  <si>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</si>
  <si>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</si>
  <si>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</si>
  <si>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</si>
  <si>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</si>
  <si>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</si>
  <si>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</si>
  <si>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</si>
  <si>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</si>
  <si>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</si>
  <si>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</si>
  <si>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</si>
  <si>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</si>
  <si>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</si>
  <si>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France, Germany, Poland</t>
  </si>
  <si>
    <t>Emissions of N2O from feed crops (per kg of crop)</t>
  </si>
  <si>
    <t>Environmental footprints per kg of feed</t>
  </si>
  <si>
    <t>Columns F-L copied straight from RPC filerna</t>
  </si>
  <si>
    <t>Nitrogen</t>
  </si>
  <si>
    <t>N application, kg N/kg</t>
  </si>
  <si>
    <t>P application, kg P/kg</t>
  </si>
  <si>
    <t>Brazil, Argentina</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</si>
  <si>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</si>
  <si>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</si>
  <si>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</si>
  <si>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</si>
  <si>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</si>
  <si>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</si>
  <si>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</si>
  <si>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</si>
  <si>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</si>
  <si>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</si>
  <si>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</si>
  <si>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</si>
  <si>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</si>
  <si>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</si>
  <si>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</si>
  <si>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</si>
  <si>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</si>
  <si>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Ability to perceive handling (from 0 to 1)</t>
  </si>
  <si>
    <t>Slaughter duration class (0.01-2)</t>
  </si>
  <si>
    <t>Weight no of animal</t>
  </si>
  <si>
    <t>Weight ability to perceive handling</t>
  </si>
  <si>
    <t>Weight mortality</t>
  </si>
  <si>
    <t>Weight diseases</t>
  </si>
  <si>
    <t>Weight space</t>
  </si>
  <si>
    <t>Weight slaughter duration class</t>
  </si>
  <si>
    <t>Off-farm feed</t>
  </si>
  <si>
    <t>Greenhouse gas emissons:</t>
  </si>
  <si>
    <t>Cultivated in country</t>
  </si>
  <si>
    <t>Source LUC:</t>
  </si>
  <si>
    <t>0141</t>
  </si>
  <si>
    <t>Soya beans</t>
  </si>
  <si>
    <t>Pendrill et al. 2022</t>
  </si>
  <si>
    <t>CH4, bio</t>
  </si>
  <si>
    <t>Argentina</t>
  </si>
  <si>
    <t>0141_m</t>
  </si>
  <si>
    <t>Flysjö et al. 2008, Figur 6.35</t>
  </si>
  <si>
    <t>Flysjö et al. 2008, Figur 6.35, divided by GWP-factor used in report, Tabell 5.1</t>
  </si>
  <si>
    <t>Other footprints:</t>
  </si>
  <si>
    <t>Pulses</t>
  </si>
  <si>
    <t>AR</t>
  </si>
  <si>
    <t>Feed</t>
  </si>
  <si>
    <t>Parameters for soy</t>
  </si>
  <si>
    <t>Soy meal in 1 kg soy bean</t>
  </si>
  <si>
    <t>Flysjö et al. 2008, Tabell 4.24</t>
  </si>
  <si>
    <t>Economic allocation factor meal</t>
  </si>
  <si>
    <t>Energy use processing:</t>
  </si>
  <si>
    <t>Electricity</t>
  </si>
  <si>
    <t>MJ per kg soy beans processed</t>
  </si>
  <si>
    <t>Share electricity:</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</si>
  <si>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</si>
  <si>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</si>
  <si>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</si>
  <si>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</si>
  <si>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</si>
  <si>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</si>
  <si>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</si>
  <si>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</si>
  <si>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Source transports:</t>
  </si>
  <si>
    <t>Flysjö et al. 2008, Figur 6.36</t>
  </si>
  <si>
    <t>Flysjö et al. 2008, Figur 6.36, divided by GWP-factor used in report, Tabell 5.1</t>
  </si>
  <si>
    <t>Parameters for rape seed</t>
  </si>
  <si>
    <t>Rape meal in 1 kg rape seed</t>
  </si>
  <si>
    <t>MJ per kg rape seed processed</t>
  </si>
  <si>
    <t>Flysjö et al. 2008, p. 45, using share of electricity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</si>
  <si>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</si>
  <si>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</si>
  <si>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Verification</t>
  </si>
  <si>
    <t>This study</t>
  </si>
  <si>
    <t>Cultivation</t>
  </si>
  <si>
    <t>Slightly different because in this study we use a mix of three countries, Flysjö only Sweden</t>
  </si>
  <si>
    <t>Processing</t>
  </si>
  <si>
    <t>Slightly higher because of electricity mix from the three countries</t>
  </si>
  <si>
    <t>Transport</t>
  </si>
  <si>
    <t>Slightly different because of different GWP-factors</t>
  </si>
  <si>
    <t>Total</t>
  </si>
  <si>
    <t>References</t>
  </si>
  <si>
    <t>Edman, F., Wallman, M., Nilsson, K. 2022. Klimatavtryck av Svensk Fågels kycklingproduktion 2021, version 3. RISE Rapport 2022:84. Tabell 2, https://svenskfagel.se/wp-content/uploads/2022/11/klimatavtryck-sv-kyckling-foder-information-november-2022-publik.pdf</t>
  </si>
  <si>
    <t>Comparison without LUC and SOC, and with AR4, bonefree meat (excl. offal), without any waste and without the correction of N input from manure</t>
  </si>
  <si>
    <t>Moberg updated</t>
  </si>
  <si>
    <t>RISE</t>
  </si>
  <si>
    <t>Mobergs feed emissions, AR6 factors</t>
  </si>
  <si>
    <t>Feed excl correcting for N manure</t>
  </si>
  <si>
    <t>Grains (86% DM)</t>
  </si>
  <si>
    <t>Manure</t>
  </si>
  <si>
    <t>Maize (92% DM)</t>
  </si>
  <si>
    <t>Energy stables</t>
  </si>
  <si>
    <t>By-products cereal industry (86% DM)</t>
  </si>
  <si>
    <t>Energy slaughter</t>
  </si>
  <si>
    <t>Fats and fatty acids</t>
  </si>
  <si>
    <t>Palmkernal expels (91% DM)</t>
  </si>
  <si>
    <t>Rapeseed, whole (91% DM)</t>
  </si>
  <si>
    <t>CF feed without LUC</t>
  </si>
  <si>
    <t>Rapeseed, meal (91% DM)</t>
  </si>
  <si>
    <t>Minerals and salt (100% DM)</t>
  </si>
  <si>
    <t>Soymeal and soy-based products (87% DM)</t>
  </si>
  <si>
    <t>Peas and horsebeans (86% DM)</t>
  </si>
  <si>
    <t>By-products sugar industry (84% DM)</t>
  </si>
  <si>
    <t>Other protein feed**</t>
  </si>
  <si>
    <t>Pasture (100% DM)</t>
  </si>
  <si>
    <t>Slightly higher for feed, explained by slightly different emissions from feed ingredients (0.65 kg CO2e per kg feed mix)</t>
  </si>
  <si>
    <t>Forage (100% DM)</t>
  </si>
  <si>
    <t>RISE has higher for energy stables for a range of reasons, includes bedding + more energy (the whole farm)</t>
  </si>
  <si>
    <t>Processed feed stuff</t>
  </si>
  <si>
    <t>This was data from the Global Feed LCA database I used before calculating impacts from soy and rape seed from scratch in "Off-farm feed" tab</t>
  </si>
  <si>
    <t>Data from the Global Feed LCA database</t>
  </si>
  <si>
    <t>Global warming - Including LUC &amp; Peat (kg CO2 eq / ton product)</t>
  </si>
  <si>
    <t>Global warming - Excluding LUC &amp; peat(kg CO2 eq / ton product)</t>
  </si>
  <si>
    <t>Global warming - LUC only (kg CO2 eq / ton product)</t>
  </si>
  <si>
    <t>Global warming - Peat only (kg CO2 eq / ton product)</t>
  </si>
  <si>
    <t>Soybean meal (solvent), at processing/AR Economic S</t>
  </si>
  <si>
    <t>AFP 6.3</t>
  </si>
  <si>
    <t xml:space="preserve">Global Feed LCA database, www.globalfeedlca.org </t>
  </si>
  <si>
    <t>Soybean meal (solvent), at processing/BR Economic S</t>
  </si>
  <si>
    <t xml:space="preserve">See file: GFLI+LCIA+31Oct2022.zip </t>
  </si>
  <si>
    <t>Rapeseed meal (solvent), at processing/DE Economic S</t>
  </si>
  <si>
    <t>The Global FCA database does not provide disaggregated data or LCI data for free, so here we use the aggregated value and divide it upon different emissions sources based on the approximate shares for wheat (for rapeseed cake) and peas (for soybean meal)</t>
  </si>
  <si>
    <t>(Data on wheat and peas from Sweden, just used for proportion of processes)</t>
  </si>
  <si>
    <t>Sum excl. LUC and transports</t>
  </si>
  <si>
    <t>Share of gases:</t>
  </si>
  <si>
    <t>Share:</t>
  </si>
  <si>
    <t>CH4</t>
  </si>
  <si>
    <t>Emission data for soybean meal and rapeseed cake (same across countries), kg per kg feed</t>
  </si>
  <si>
    <t>Sum incl. LUC and transports</t>
  </si>
  <si>
    <t>Totalt:</t>
  </si>
  <si>
    <t>CH4 in CO2e</t>
  </si>
  <si>
    <t xml:space="preserve">CH4  </t>
  </si>
  <si>
    <t>N2O in CO2e</t>
  </si>
  <si>
    <t>Pendrill et al.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</si>
</sst>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0.000"/>
    <numFmt numFmtId="166" formatCode="0.0"/>
    <numFmt numFmtId="167" formatCode="0.0E+00"/>
    <numFmt numFmtId="168" formatCode="#,##0.0"/>
    <numFmt numFmtId="169" formatCode="0.000E+00"/>
    <numFmt numFmtId="170" formatCode="0E+00"/>
    <numFmt numFmtId="171" formatCode="0.0000"/>
    <numFmt numFmtId="172" formatCode="0.00000"/>
    <numFmt numFmtId="173" formatCode="0.000000000000000"/>
  </numFmts>
  <fonts count="35"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777777"/>
      <name val="Arial"/>
      <family val="2"/>
    </font>
    <font>
      <i/>
      <sz val="11"/>
      <color theme="4" tint="-0.249977111117893"/>
      <name val="Calibri"/>
      <family val="2"/>
      <scheme val="minor"/>
    </font>
    <font>
      <sz val="16"/>
      <name val="Calibri"/>
      <family val="2"/>
      <scheme val="minor"/>
    </font>
    <font>
      <sz val="10"/>
      <color rgb="FF000000"/>
      <name val="Trebuchet MS"/>
      <family val="2"/>
    </font>
    <font>
      <b/>
      <i/>
      <sz val="11"/>
      <name val="Calibri"/>
      <family val="2"/>
      <scheme val="minor"/>
    </font>
    <font>
      <sz val="11"/>
      <color rgb="FF000000"/>
      <name val="Calibri"/>
      <family val="2"/>
      <scheme val="minor"/>
    </font>
    <font>
      <i/>
      <sz val="11"/>
      <color rgb="FF000000"/>
      <name val="Calibri"/>
      <family val="2"/>
    </font>
    <font>
      <b/>
      <sz val="11"/>
      <color theme="5"/>
      <name val="Calibri"/>
      <family val="2"/>
      <scheme val="minor"/>
    </font>
    <font>
      <sz val="11"/>
      <color theme="5"/>
      <name val="Calibri"/>
      <family val="2"/>
      <scheme val="minor"/>
    </font>
    <font>
      <sz val="8"/>
      <name val="Calibri"/>
      <family val="2"/>
      <scheme val="minor"/>
    </font>
    <font>
      <sz val="11"/>
      <color theme="4"/>
      <name val="Calibri"/>
      <family val="2"/>
      <scheme val="minor"/>
    </font>
    <font>
      <sz val="11"/>
      <color theme="8"/>
      <name val="Calibri"/>
      <family val="2"/>
      <scheme val="minor"/>
    </font>
    <font>
      <sz val="10"/>
      <color rgb="FFFF0000"/>
      <name val="Calibri"/>
      <family val="2"/>
      <scheme val="minor"/>
    </font>
    <font>
      <sz val="11"/>
      <color theme="1"/>
      <name val="Calibri"/>
      <family val="2"/>
      <scheme val="minor"/>
    </font>
  </fonts>
  <fills count="1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2" tint="-0.249977111117893"/>
        <bgColor indexed="64"/>
      </patternFill>
    </fill>
  </fills>
  <borders count="14">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5" fillId="0" borderId="0"/>
    <xf numFmtId="0" fontId="26" fillId="0" borderId="0"/>
    <xf numFmtId="0" fontId="34" fillId="0" borderId="0"/>
    <xf numFmtId="9" fontId="26" fillId="0" borderId="0" applyFont="0" applyFill="0" applyBorder="0" applyAlignment="0" applyProtection="0"/>
    <xf numFmtId="0" fontId="34" fillId="0" borderId="0"/>
    <xf numFmtId="164" fontId="26" fillId="0" borderId="0" applyFont="0" applyFill="0" applyBorder="0" applyAlignment="0" applyProtection="0"/>
    <xf numFmtId="0" fontId="34" fillId="0" borderId="0"/>
  </cellStyleXfs>
  <cellXfs count="328">
    <xf numFmtId="0" fontId="0" fillId="0" borderId="0" xfId="0"/>
    <xf numFmtId="0" fontId="3" fillId="0" borderId="0" xfId="0" applyFont="1"/>
    <xf numFmtId="0" fontId="4" fillId="0" borderId="0" xfId="0" applyFont="1"/>
    <xf numFmtId="0" fontId="7" fillId="0" borderId="0" xfId="0" applyFont="1"/>
    <xf numFmtId="165" fontId="0" fillId="0" borderId="0" xfId="0" applyNumberFormat="1"/>
    <xf numFmtId="166" fontId="0" fillId="0" borderId="0" xfId="0" applyNumberFormat="1"/>
    <xf numFmtId="0" fontId="9" fillId="0" borderId="0" xfId="0" applyFont="1"/>
    <xf numFmtId="4" fontId="2" fillId="0" borderId="0" xfId="0" applyNumberFormat="1"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6"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5"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5" fontId="8" fillId="5" borderId="3" xfId="0" applyNumberFormat="1" applyFont="1" applyFill="1" applyBorder="1"/>
    <xf numFmtId="11" fontId="16"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2" fontId="0" fillId="0" borderId="0" xfId="0" applyNumberFormat="1" applyAlignment="1">
      <alignment vertical="center"/>
    </xf>
    <xf numFmtId="167" fontId="8" fillId="0" borderId="0" xfId="0" applyNumberFormat="1" applyFont="1"/>
    <xf numFmtId="167" fontId="0" fillId="0" borderId="0" xfId="0" applyNumberFormat="1"/>
    <xf numFmtId="11" fontId="8" fillId="0" borderId="0" xfId="0" applyNumberFormat="1" applyFont="1" applyAlignment="1">
      <alignment horizontal="left" vertical="top"/>
    </xf>
    <xf numFmtId="3" fontId="0" fillId="0" borderId="0" xfId="0" applyNumberFormat="1" applyAlignment="1">
      <alignment horizontal="left" vertical="top"/>
    </xf>
    <xf numFmtId="3" fontId="0" fillId="4" borderId="0" xfId="0" applyNumberFormat="1" applyFill="1"/>
    <xf numFmtId="11" fontId="8" fillId="4" borderId="0" xfId="0" applyNumberFormat="1" applyFont="1" applyFill="1" applyAlignment="1">
      <alignment horizontal="left" vertical="top"/>
    </xf>
    <xf numFmtId="165"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7" fontId="12" fillId="7" borderId="0" xfId="0" applyNumberFormat="1" applyFont="1" applyFill="1"/>
    <xf numFmtId="0" fontId="0" fillId="4" borderId="0" xfId="0" applyFill="1" applyAlignment="1">
      <alignment horizontal="left" vertical="top"/>
    </xf>
    <xf numFmtId="167"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7" fontId="2" fillId="3" borderId="0" xfId="0" applyNumberFormat="1" applyFont="1" applyFill="1" applyAlignment="1">
      <alignment horizontal="left" vertical="center"/>
    </xf>
    <xf numFmtId="167" fontId="0" fillId="3" borderId="0" xfId="0" applyNumberFormat="1" applyFill="1" applyAlignment="1">
      <alignment horizontal="center" vertical="center" wrapText="1"/>
    </xf>
    <xf numFmtId="167" fontId="0" fillId="3" borderId="0" xfId="0" applyNumberFormat="1" applyFill="1"/>
    <xf numFmtId="167" fontId="2" fillId="3" borderId="0" xfId="0" applyNumberFormat="1" applyFont="1" applyFill="1"/>
    <xf numFmtId="0" fontId="13" fillId="3" borderId="0" xfId="0" applyFont="1" applyFill="1"/>
    <xf numFmtId="167"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8" fillId="4" borderId="0" xfId="0" applyFont="1" applyFill="1"/>
    <xf numFmtId="167"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9"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5"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8" fontId="7" fillId="0" borderId="0" xfId="0" applyNumberFormat="1" applyFont="1"/>
    <xf numFmtId="0" fontId="7" fillId="0" borderId="0" xfId="0" applyFont="1" applyAlignment="1">
      <alignment horizontal="left" vertical="center"/>
    </xf>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7" fontId="0" fillId="8" borderId="0" xfId="0" applyNumberFormat="1" applyFill="1" applyAlignment="1">
      <alignment horizontal="center" vertical="center" wrapText="1"/>
    </xf>
    <xf numFmtId="167" fontId="14" fillId="0" borderId="0" xfId="0" applyNumberFormat="1" applyFont="1"/>
    <xf numFmtId="170" fontId="14" fillId="0" borderId="0" xfId="0" applyNumberFormat="1" applyFont="1"/>
    <xf numFmtId="11" fontId="14" fillId="0" borderId="0" xfId="0" applyNumberFormat="1" applyFont="1"/>
    <xf numFmtId="0" fontId="8" fillId="5" borderId="3" xfId="0" applyFont="1" applyFill="1" applyBorder="1" applyAlignment="1">
      <alignment horizontal="left"/>
    </xf>
    <xf numFmtId="167" fontId="0" fillId="6" borderId="0" xfId="0" applyNumberFormat="1" applyFill="1" applyAlignment="1">
      <alignment horizontal="center" vertical="center"/>
    </xf>
    <xf numFmtId="167" fontId="2" fillId="6" borderId="0" xfId="0" applyNumberFormat="1" applyFont="1" applyFill="1" applyAlignment="1">
      <alignment horizontal="center" vertical="center" wrapText="1"/>
    </xf>
    <xf numFmtId="2" fontId="0" fillId="0" borderId="0" xfId="0" applyNumberFormat="1" applyAlignment="1">
      <alignment horizontal="center"/>
    </xf>
    <xf numFmtId="2" fontId="1" fillId="0" borderId="0" xfId="0" applyNumberFormat="1" applyFont="1"/>
    <xf numFmtId="165" fontId="1" fillId="0" borderId="0" xfId="0" applyNumberFormat="1" applyFont="1"/>
    <xf numFmtId="165" fontId="8" fillId="0" borderId="0" xfId="0" applyNumberFormat="1" applyFont="1" applyAlignment="1">
      <alignment horizontal="right" vertical="center"/>
    </xf>
    <xf numFmtId="171" fontId="0" fillId="0" borderId="0" xfId="0" applyNumberFormat="1"/>
    <xf numFmtId="0" fontId="0" fillId="6" borderId="0" xfId="0" applyFill="1" applyAlignment="1">
      <alignment horizontal="left"/>
    </xf>
    <xf numFmtId="0" fontId="0" fillId="4" borderId="0" xfId="0" applyFill="1" applyAlignment="1">
      <alignment horizontal="left"/>
    </xf>
    <xf numFmtId="0" fontId="20" fillId="0" borderId="0" xfId="0" applyFont="1" applyAlignment="1">
      <alignment horizontal="left" vertical="center"/>
    </xf>
    <xf numFmtId="0" fontId="2" fillId="0" borderId="0" xfId="0" applyFont="1" applyAlignment="1">
      <alignment horizontal="left"/>
    </xf>
    <xf numFmtId="2" fontId="8" fillId="4" borderId="0" xfId="0" applyNumberFormat="1" applyFont="1" applyFill="1"/>
    <xf numFmtId="11" fontId="1" fillId="0" borderId="0" xfId="0" applyNumberFormat="1" applyFont="1"/>
    <xf numFmtId="2" fontId="14" fillId="0" borderId="0" xfId="0" applyNumberFormat="1" applyFont="1" applyAlignment="1">
      <alignment vertical="center"/>
    </xf>
    <xf numFmtId="0" fontId="21" fillId="0" borderId="0" xfId="0" applyFont="1" applyAlignment="1">
      <alignment horizontal="left" vertical="center" wrapText="1" indent="1"/>
    </xf>
    <xf numFmtId="0" fontId="0" fillId="4" borderId="0" xfId="0" applyFill="1"/>
    <xf numFmtId="2" fontId="8" fillId="0" borderId="0" xfId="0" applyNumberFormat="1" applyFont="1" applyAlignment="1">
      <alignment horizontal="right"/>
    </xf>
    <xf numFmtId="167"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6" fontId="8" fillId="0" borderId="0" xfId="0" applyNumberFormat="1" applyFont="1" applyAlignment="1">
      <alignment vertical="center"/>
    </xf>
    <xf numFmtId="166"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1" fontId="0" fillId="0" borderId="0" xfId="0" applyNumberFormat="1"/>
    <xf numFmtId="0" fontId="8" fillId="4" borderId="0" xfId="0" applyFont="1" applyFill="1" applyAlignment="1">
      <alignment horizontal="center" wrapText="1"/>
    </xf>
    <xf numFmtId="0" fontId="0" fillId="4" borderId="0" xfId="0" applyFill="1" applyAlignment="1">
      <alignment horizontal="center" wrapText="1"/>
    </xf>
    <xf numFmtId="0" fontId="0" fillId="9" borderId="0" xfId="0" applyFill="1"/>
    <xf numFmtId="167" fontId="0" fillId="9" borderId="0" xfId="0" applyNumberFormat="1" applyFill="1" applyAlignment="1">
      <alignment horizontal="center" vertical="center"/>
    </xf>
    <xf numFmtId="167" fontId="2" fillId="9" borderId="0" xfId="0" applyNumberFormat="1" applyFont="1" applyFill="1" applyAlignment="1">
      <alignment horizontal="center" vertical="center" wrapText="1"/>
    </xf>
    <xf numFmtId="167" fontId="0" fillId="4" borderId="0" xfId="0" applyNumberFormat="1" applyFill="1" applyAlignment="1">
      <alignment horizontal="center" vertical="center" wrapText="1"/>
    </xf>
    <xf numFmtId="167" fontId="0" fillId="9" borderId="0" xfId="0" applyNumberFormat="1" applyFill="1" applyAlignment="1">
      <alignment horizontal="center" vertical="center" wrapText="1"/>
    </xf>
    <xf numFmtId="167"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horizontal="center" vertical="center" wrapText="1"/>
    </xf>
    <xf numFmtId="0" fontId="22" fillId="0" borderId="0" xfId="0" applyFont="1"/>
    <xf numFmtId="0" fontId="0" fillId="11" borderId="0" xfId="0" applyFill="1"/>
    <xf numFmtId="0" fontId="7" fillId="4" borderId="0" xfId="0" applyFont="1" applyFill="1" applyAlignment="1">
      <alignment horizontal="left" vertical="center" wrapText="1"/>
    </xf>
    <xf numFmtId="49" fontId="7" fillId="0" borderId="0" xfId="0" applyNumberFormat="1" applyFont="1"/>
    <xf numFmtId="2" fontId="18" fillId="0" borderId="0" xfId="0" applyNumberFormat="1" applyFont="1" applyAlignment="1">
      <alignment horizontal="right"/>
    </xf>
    <xf numFmtId="165" fontId="18" fillId="0" borderId="0" xfId="0" applyNumberFormat="1" applyFont="1"/>
    <xf numFmtId="11" fontId="8" fillId="0" borderId="0" xfId="0" applyNumberFormat="1" applyFont="1" applyAlignment="1">
      <alignment horizontal="right"/>
    </xf>
    <xf numFmtId="170" fontId="8" fillId="0" borderId="0" xfId="0" applyNumberFormat="1" applyFont="1"/>
    <xf numFmtId="0" fontId="23" fillId="0" borderId="0" xfId="0" applyFont="1"/>
    <xf numFmtId="49" fontId="0" fillId="10" borderId="0" xfId="0" applyNumberFormat="1" applyFill="1"/>
    <xf numFmtId="0" fontId="8" fillId="10" borderId="0" xfId="0" applyFont="1" applyFill="1"/>
    <xf numFmtId="0" fontId="18" fillId="10" borderId="0" xfId="0" applyFont="1" applyFill="1"/>
    <xf numFmtId="2" fontId="18" fillId="10" borderId="0" xfId="0" applyNumberFormat="1" applyFont="1" applyFill="1" applyAlignment="1">
      <alignment horizontal="right"/>
    </xf>
    <xf numFmtId="165" fontId="18" fillId="10" borderId="0" xfId="0" applyNumberFormat="1" applyFont="1" applyFill="1"/>
    <xf numFmtId="169" fontId="8" fillId="0" borderId="0" xfId="0" applyNumberFormat="1" applyFont="1"/>
    <xf numFmtId="0" fontId="8" fillId="11" borderId="0" xfId="0" applyFont="1" applyFill="1"/>
    <xf numFmtId="2" fontId="0" fillId="11" borderId="0" xfId="0" applyNumberFormat="1" applyFill="1"/>
    <xf numFmtId="2" fontId="8" fillId="11" borderId="0" xfId="0" applyNumberFormat="1" applyFont="1" applyFill="1"/>
    <xf numFmtId="165" fontId="8" fillId="11" borderId="0" xfId="0" applyNumberFormat="1" applyFont="1" applyFill="1"/>
    <xf numFmtId="11" fontId="0" fillId="11" borderId="0" xfId="0" applyNumberFormat="1" applyFill="1"/>
    <xf numFmtId="167" fontId="8" fillId="11" borderId="0" xfId="0" applyNumberFormat="1" applyFont="1" applyFill="1"/>
    <xf numFmtId="167" fontId="0" fillId="11" borderId="0" xfId="0" applyNumberFormat="1" applyFill="1"/>
    <xf numFmtId="0" fontId="0" fillId="0" borderId="1" xfId="0" applyBorder="1"/>
    <xf numFmtId="3" fontId="0" fillId="0" borderId="1" xfId="0" applyNumberFormat="1" applyBorder="1"/>
    <xf numFmtId="0" fontId="8" fillId="11" borderId="1" xfId="0" applyFont="1" applyFill="1" applyBorder="1"/>
    <xf numFmtId="2" fontId="0" fillId="11" borderId="1" xfId="0" applyNumberFormat="1" applyFill="1" applyBorder="1"/>
    <xf numFmtId="2" fontId="8" fillId="11" borderId="1" xfId="0" applyNumberFormat="1" applyFont="1" applyFill="1" applyBorder="1"/>
    <xf numFmtId="165" fontId="0" fillId="11" borderId="1" xfId="0" applyNumberFormat="1" applyFill="1" applyBorder="1"/>
    <xf numFmtId="0" fontId="0" fillId="11" borderId="1" xfId="0" applyFill="1" applyBorder="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5" fontId="8" fillId="4" borderId="3" xfId="0" applyNumberFormat="1" applyFont="1" applyFill="1" applyBorder="1"/>
    <xf numFmtId="165" fontId="10"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5" fontId="8" fillId="0" borderId="1" xfId="0" applyNumberFormat="1" applyFont="1" applyBorder="1"/>
    <xf numFmtId="0" fontId="10" fillId="0" borderId="1" xfId="0" applyFont="1" applyBorder="1"/>
    <xf numFmtId="165"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0" fontId="24" fillId="0" borderId="0" xfId="0" applyFont="1" applyAlignment="1">
      <alignment horizontal="left" vertical="center" wrapText="1"/>
    </xf>
    <xf numFmtId="11" fontId="24" fillId="0" borderId="0" xfId="0" applyNumberFormat="1" applyFont="1" applyAlignment="1">
      <alignment horizontal="left" vertical="center" wrapText="1"/>
    </xf>
    <xf numFmtId="0" fontId="0" fillId="6" borderId="0" xfId="0" applyFill="1" applyAlignment="1">
      <alignment horizontal="center" vertical="center"/>
    </xf>
    <xf numFmtId="167" fontId="2" fillId="6" borderId="0" xfId="0" applyNumberFormat="1" applyFont="1" applyFill="1" applyAlignment="1">
      <alignment horizontal="center" vertical="center"/>
    </xf>
    <xf numFmtId="167"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0" fontId="0" fillId="5" borderId="3" xfId="0" applyFill="1" applyBorder="1"/>
    <xf numFmtId="0" fontId="17" fillId="5" borderId="3" xfId="0" applyFont="1" applyFill="1" applyBorder="1"/>
    <xf numFmtId="2" fontId="18" fillId="0" borderId="0" xfId="0" applyNumberFormat="1" applyFont="1"/>
    <xf numFmtId="0" fontId="25" fillId="5" borderId="3" xfId="0" applyFont="1" applyFill="1" applyBorder="1"/>
    <xf numFmtId="49" fontId="0" fillId="0" borderId="1" xfId="0" applyNumberFormat="1" applyBorder="1"/>
    <xf numFmtId="0" fontId="8" fillId="0" borderId="1" xfId="0" applyFont="1" applyBorder="1" applyAlignment="1">
      <alignment horizontal="left"/>
    </xf>
    <xf numFmtId="167" fontId="14" fillId="0" borderId="1" xfId="0" applyNumberFormat="1" applyFont="1" applyBorder="1"/>
    <xf numFmtId="170" fontId="14" fillId="0" borderId="1" xfId="0" applyNumberFormat="1" applyFont="1" applyBorder="1"/>
    <xf numFmtId="2" fontId="14" fillId="0" borderId="1" xfId="0" applyNumberFormat="1" applyFont="1" applyBorder="1"/>
    <xf numFmtId="0" fontId="14" fillId="0" borderId="1" xfId="0" applyFont="1" applyBorder="1"/>
    <xf numFmtId="11" fontId="14" fillId="0" borderId="1" xfId="0" applyNumberFormat="1" applyFont="1" applyBorder="1"/>
    <xf numFmtId="0" fontId="2" fillId="6" borderId="0" xfId="0" applyFont="1" applyFill="1" applyAlignment="1">
      <alignment vertical="center"/>
    </xf>
    <xf numFmtId="0" fontId="25" fillId="5" borderId="0" xfId="0" applyFont="1" applyFill="1"/>
    <xf numFmtId="2" fontId="18" fillId="0" borderId="1" xfId="0" applyNumberFormat="1" applyFont="1" applyBorder="1"/>
    <xf numFmtId="2" fontId="8" fillId="5" borderId="3" xfId="0" applyNumberFormat="1" applyFont="1" applyFill="1" applyBorder="1"/>
    <xf numFmtId="2" fontId="0" fillId="12"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7"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11" fontId="14" fillId="0" borderId="1" xfId="0" applyNumberFormat="1" applyFont="1" applyBorder="1" applyAlignment="1">
      <alignment horizontal="right"/>
    </xf>
    <xf numFmtId="0" fontId="19" fillId="0" borderId="0" xfId="0" applyFont="1" applyAlignment="1">
      <alignment horizontal="left"/>
    </xf>
    <xf numFmtId="165" fontId="8" fillId="4" borderId="6" xfId="0" applyNumberFormat="1" applyFont="1" applyFill="1" applyBorder="1"/>
    <xf numFmtId="169"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9"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0" fontId="0" fillId="8" borderId="7" xfId="0" applyFill="1" applyBorder="1"/>
    <xf numFmtId="0" fontId="14" fillId="0" borderId="7" xfId="0" applyFont="1" applyBorder="1"/>
    <xf numFmtId="166" fontId="14" fillId="0" borderId="7" xfId="0" applyNumberFormat="1" applyFont="1" applyBorder="1"/>
    <xf numFmtId="0" fontId="0" fillId="0" borderId="7" xfId="0" applyBorder="1"/>
    <xf numFmtId="2" fontId="0" fillId="0" borderId="7" xfId="0" applyNumberFormat="1" applyBorder="1"/>
    <xf numFmtId="165" fontId="8" fillId="0" borderId="7" xfId="0" applyNumberFormat="1" applyFont="1" applyBorder="1"/>
    <xf numFmtId="165" fontId="0" fillId="0" borderId="7" xfId="0" applyNumberFormat="1" applyBorder="1"/>
    <xf numFmtId="171" fontId="0" fillId="0" borderId="7" xfId="0" applyNumberFormat="1" applyBorder="1"/>
    <xf numFmtId="2" fontId="14" fillId="0" borderId="7" xfId="0" applyNumberFormat="1" applyFont="1" applyBorder="1"/>
    <xf numFmtId="2" fontId="0" fillId="0" borderId="7" xfId="0" applyNumberFormat="1" applyBorder="1" applyAlignment="1">
      <alignment vertical="center"/>
    </xf>
    <xf numFmtId="2" fontId="14" fillId="0" borderId="7" xfId="0" applyNumberFormat="1" applyFont="1" applyBorder="1" applyAlignment="1">
      <alignment vertical="center"/>
    </xf>
    <xf numFmtId="170" fontId="0" fillId="0" borderId="0" xfId="0" applyNumberFormat="1"/>
    <xf numFmtId="4" fontId="8" fillId="0" borderId="0" xfId="0" applyNumberFormat="1" applyFont="1"/>
    <xf numFmtId="165" fontId="0" fillId="0" borderId="2" xfId="0" applyNumberFormat="1" applyBorder="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6" fillId="0" borderId="0" xfId="0" applyFont="1" applyAlignment="1">
      <alignment horizontal="right" vertical="center" wrapText="1"/>
    </xf>
    <xf numFmtId="166" fontId="26" fillId="0" borderId="0" xfId="0" applyNumberFormat="1" applyFont="1" applyAlignment="1">
      <alignment horizontal="right" vertical="center" wrapText="1"/>
    </xf>
    <xf numFmtId="0" fontId="27" fillId="0" borderId="0" xfId="0" applyFont="1"/>
    <xf numFmtId="0" fontId="28" fillId="0" borderId="0" xfId="0" applyFont="1"/>
    <xf numFmtId="166" fontId="28" fillId="0" borderId="0" xfId="0" applyNumberFormat="1" applyFont="1"/>
    <xf numFmtId="165" fontId="29" fillId="0" borderId="0" xfId="0" applyNumberFormat="1" applyFont="1"/>
    <xf numFmtId="171" fontId="29" fillId="0" borderId="0" xfId="0" applyNumberFormat="1" applyFont="1"/>
    <xf numFmtId="165" fontId="29" fillId="0" borderId="7" xfId="0" applyNumberFormat="1" applyFont="1" applyBorder="1"/>
    <xf numFmtId="172" fontId="29" fillId="0" borderId="0" xfId="0" applyNumberFormat="1" applyFont="1"/>
    <xf numFmtId="172" fontId="29" fillId="0" borderId="7" xfId="0" applyNumberFormat="1" applyFont="1" applyBorder="1"/>
    <xf numFmtId="167" fontId="29" fillId="0" borderId="0" xfId="0" applyNumberFormat="1" applyFont="1"/>
    <xf numFmtId="167" fontId="29" fillId="0" borderId="7" xfId="0" applyNumberFormat="1" applyFont="1" applyBorder="1"/>
    <xf numFmtId="0" fontId="29" fillId="0" borderId="0" xfId="0" applyFont="1" applyAlignment="1">
      <alignment horizontal="right"/>
    </xf>
    <xf numFmtId="0" fontId="29" fillId="0" borderId="0" xfId="0" applyFont="1" applyAlignment="1">
      <alignment horizontal="right" vertical="center"/>
    </xf>
    <xf numFmtId="0" fontId="29" fillId="0" borderId="7" xfId="0" applyFont="1" applyBorder="1" applyAlignment="1">
      <alignment horizontal="right"/>
    </xf>
    <xf numFmtId="0" fontId="29" fillId="0" borderId="7" xfId="0" applyFont="1" applyBorder="1" applyAlignment="1">
      <alignment horizontal="right" vertical="center"/>
    </xf>
    <xf numFmtId="165" fontId="29" fillId="0" borderId="0" xfId="0" applyNumberFormat="1" applyFont="1" applyAlignment="1">
      <alignment vertical="center"/>
    </xf>
    <xf numFmtId="165" fontId="29" fillId="0" borderId="7" xfId="0" applyNumberFormat="1" applyFont="1" applyBorder="1" applyAlignment="1">
      <alignment vertical="center"/>
    </xf>
    <xf numFmtId="166" fontId="29" fillId="0" borderId="0" xfId="0" applyNumberFormat="1" applyFont="1" applyAlignment="1">
      <alignment vertical="center"/>
    </xf>
    <xf numFmtId="166" fontId="29" fillId="0" borderId="7" xfId="0" applyNumberFormat="1" applyFont="1" applyBorder="1" applyAlignment="1">
      <alignment vertical="center"/>
    </xf>
    <xf numFmtId="0" fontId="29" fillId="0" borderId="0" xfId="0" applyFont="1"/>
    <xf numFmtId="0" fontId="29" fillId="0" borderId="7" xfId="0" applyFont="1" applyBorder="1"/>
    <xf numFmtId="165" fontId="28" fillId="0" borderId="0" xfId="0" applyNumberFormat="1" applyFont="1"/>
    <xf numFmtId="0" fontId="28" fillId="8" borderId="0" xfId="0" applyFont="1" applyFill="1"/>
    <xf numFmtId="2" fontId="28" fillId="0" borderId="0" xfId="0" applyNumberFormat="1" applyFont="1"/>
    <xf numFmtId="0" fontId="0" fillId="2" borderId="0" xfId="0" applyFill="1" applyAlignment="1">
      <alignment horizontal="left" vertical="center"/>
    </xf>
    <xf numFmtId="0" fontId="0" fillId="2" borderId="0" xfId="0" applyFill="1" applyAlignment="1">
      <alignment horizontal="left" vertical="top" wrapText="1"/>
    </xf>
    <xf numFmtId="167" fontId="0" fillId="0" borderId="0" xfId="0" applyNumberFormat="1" applyAlignment="1">
      <alignment horizontal="center" vertical="center" wrapText="1"/>
    </xf>
    <xf numFmtId="167" fontId="2" fillId="13" borderId="0" xfId="0" applyNumberFormat="1" applyFont="1" applyFill="1"/>
    <xf numFmtId="167" fontId="0" fillId="0" borderId="0" xfId="0" applyNumberFormat="1" applyAlignment="1">
      <alignment horizontal="left" vertical="center" wrapText="1"/>
    </xf>
    <xf numFmtId="0" fontId="0" fillId="0" borderId="3" xfId="0" applyBorder="1"/>
    <xf numFmtId="0" fontId="2" fillId="13" borderId="0" xfId="0" applyFont="1" applyFill="1"/>
    <xf numFmtId="0" fontId="0" fillId="13" borderId="0" xfId="0" applyFill="1"/>
    <xf numFmtId="167" fontId="2" fillId="13" borderId="0" xfId="0" applyNumberFormat="1" applyFont="1" applyFill="1" applyAlignment="1">
      <alignment horizontal="left" vertical="center"/>
    </xf>
    <xf numFmtId="167" fontId="0" fillId="13" borderId="0" xfId="0" applyNumberFormat="1" applyFill="1" applyAlignment="1">
      <alignment horizontal="center" vertical="center" wrapText="1"/>
    </xf>
    <xf numFmtId="167" fontId="0" fillId="13" borderId="0" xfId="0" applyNumberFormat="1" applyFill="1"/>
    <xf numFmtId="0" fontId="2" fillId="2" borderId="0" xfId="0" applyFont="1" applyFill="1" applyAlignment="1">
      <alignment horizontal="left" vertical="center" wrapText="1"/>
    </xf>
    <xf numFmtId="167" fontId="2" fillId="0" borderId="0" xfId="0" applyNumberFormat="1" applyFont="1"/>
    <xf numFmtId="0" fontId="0" fillId="0" borderId="0" xfId="0" applyAlignment="1">
      <alignment horizontal="center" vertical="center" wrapText="1"/>
    </xf>
    <xf numFmtId="0" fontId="3" fillId="4" borderId="0" xfId="0" applyFont="1" applyFill="1"/>
    <xf numFmtId="0" fontId="0" fillId="0" borderId="8" xfId="0" applyBorder="1"/>
    <xf numFmtId="165" fontId="0" fillId="0" borderId="9" xfId="0" applyNumberFormat="1" applyBorder="1"/>
    <xf numFmtId="0" fontId="0" fillId="0" borderId="2" xfId="0" applyBorder="1"/>
    <xf numFmtId="0" fontId="0" fillId="0" borderId="10" xfId="0" applyBorder="1"/>
    <xf numFmtId="165" fontId="0" fillId="0" borderId="3" xfId="0" applyNumberFormat="1" applyBorder="1"/>
    <xf numFmtId="165" fontId="0" fillId="0" borderId="11" xfId="0" applyNumberFormat="1" applyBorder="1"/>
    <xf numFmtId="49" fontId="0" fillId="0" borderId="12" xfId="0" applyNumberFormat="1" applyBorder="1"/>
    <xf numFmtId="0" fontId="0" fillId="0" borderId="13" xfId="0" applyBorder="1"/>
    <xf numFmtId="171" fontId="0" fillId="0" borderId="13" xfId="0" applyNumberFormat="1" applyBorder="1"/>
    <xf numFmtId="2" fontId="0" fillId="0" borderId="13" xfId="0" applyNumberFormat="1" applyBorder="1"/>
    <xf numFmtId="11" fontId="0" fillId="0" borderId="13" xfId="0" applyNumberFormat="1" applyBorder="1"/>
    <xf numFmtId="2" fontId="0" fillId="0" borderId="0" xfId="0" applyNumberFormat="1" applyAlignment="1">
      <alignment horizontal="left"/>
    </xf>
    <xf numFmtId="0" fontId="0" fillId="0" borderId="12" xfId="0" applyBorder="1"/>
    <xf numFmtId="169" fontId="0" fillId="0" borderId="0" xfId="0" applyNumberFormat="1"/>
    <xf numFmtId="0" fontId="31" fillId="0" borderId="0" xfId="0" applyFont="1"/>
    <xf numFmtId="2" fontId="14" fillId="0" borderId="0" xfId="1" applyNumberFormat="1" applyFont="1" applyAlignment="1">
      <alignment horizontal="right" vertical="center"/>
    </xf>
    <xf numFmtId="0" fontId="26" fillId="0" borderId="2" xfId="0" applyFont="1" applyBorder="1"/>
    <xf numFmtId="0" fontId="26" fillId="0" borderId="0" xfId="0" applyFont="1"/>
    <xf numFmtId="0" fontId="26" fillId="0" borderId="0" xfId="0" applyFont="1" applyAlignment="1">
      <alignment horizontal="right" vertical="center"/>
    </xf>
    <xf numFmtId="11" fontId="26" fillId="0" borderId="0" xfId="0" applyNumberFormat="1" applyFont="1" applyAlignment="1">
      <alignment horizontal="right" vertical="center"/>
    </xf>
    <xf numFmtId="11" fontId="26" fillId="0" borderId="7" xfId="0" applyNumberFormat="1" applyFont="1" applyBorder="1" applyAlignment="1">
      <alignment horizontal="right" vertical="center"/>
    </xf>
    <xf numFmtId="2" fontId="14" fillId="14" borderId="0" xfId="1" applyNumberFormat="1" applyFont="1" applyFill="1" applyAlignment="1">
      <alignment horizontal="right" vertical="center"/>
    </xf>
    <xf numFmtId="2" fontId="32" fillId="0" borderId="0" xfId="0" applyNumberFormat="1" applyFont="1" applyAlignment="1">
      <alignment horizontal="right"/>
    </xf>
    <xf numFmtId="0" fontId="33" fillId="0" borderId="0" xfId="0" applyFont="1"/>
    <xf numFmtId="167" fontId="8" fillId="0" borderId="0" xfId="0" applyNumberFormat="1" applyFont="1" applyAlignment="1">
      <alignment horizontal="left" vertical="center" wrapText="1"/>
    </xf>
    <xf numFmtId="0" fontId="8" fillId="0" borderId="0" xfId="0" applyFont="1" applyAlignment="1">
      <alignment horizontal="left" vertical="center" wrapText="1"/>
    </xf>
    <xf numFmtId="0" fontId="0" fillId="0" borderId="0" xfId="0" applyAlignment="1">
      <alignment wrapText="1"/>
    </xf>
    <xf numFmtId="165" fontId="14" fillId="0" borderId="2" xfId="0" applyNumberFormat="1" applyFont="1" applyBorder="1"/>
    <xf numFmtId="0" fontId="14" fillId="0" borderId="2" xfId="0" applyFont="1" applyBorder="1"/>
    <xf numFmtId="172" fontId="0" fillId="0" borderId="0" xfId="0" applyNumberFormat="1"/>
    <xf numFmtId="171" fontId="0" fillId="0" borderId="3" xfId="0" applyNumberFormat="1" applyBorder="1"/>
    <xf numFmtId="172" fontId="0" fillId="0" borderId="3" xfId="0" applyNumberFormat="1" applyBorder="1"/>
    <xf numFmtId="165" fontId="2" fillId="0" borderId="0" xfId="0" applyNumberFormat="1" applyFont="1"/>
    <xf numFmtId="173" fontId="0" fillId="0" borderId="0" xfId="0" applyNumberFormat="1"/>
    <xf numFmtId="0" fontId="0" fillId="15" borderId="0" xfId="0" applyFill="1" applyAlignment="1">
      <alignment horizontal="left"/>
    </xf>
    <xf numFmtId="171" fontId="8" fillId="4" borderId="3" xfId="0" applyNumberFormat="1" applyFont="1" applyFill="1" applyBorder="1"/>
    <xf numFmtId="171" fontId="10" fillId="4" borderId="3" xfId="0" applyNumberFormat="1" applyFont="1" applyFill="1" applyBorder="1"/>
    <xf numFmtId="165" fontId="8" fillId="4" borderId="5" xfId="0" applyNumberFormat="1" applyFont="1" applyFill="1" applyBorder="1"/>
    <xf numFmtId="172" fontId="8" fillId="4" borderId="3" xfId="0" applyNumberFormat="1" applyFont="1" applyFill="1" applyBorder="1"/>
  </cellXfs>
  <cellStyles count="8">
    <cellStyle name="Comma 2" xfId="6" xr:uid="{C30EE139-BEE4-440D-9421-0E8D59E39A8C}"/>
    <cellStyle name="Normal" xfId="0" builtinId="0"/>
    <cellStyle name="Normal 2" xfId="3" xr:uid="{43C4FF24-D4D5-4749-BD54-775AA9A4DC93}"/>
    <cellStyle name="Normal 3" xfId="1" xr:uid="{00000000-0005-0000-0000-000001000000}"/>
    <cellStyle name="Normal 3 2" xfId="5" xr:uid="{0009E56C-199C-4601-8C62-F4DB00109842}"/>
    <cellStyle name="Normal 4" xfId="7" xr:uid="{6BE2A4C3-DC88-42B8-A088-B565C689C58F}"/>
    <cellStyle name="Normal 5" xfId="2" xr:uid="{17EB8409-33BA-493F-8874-4D9B6A21AB78}"/>
    <cellStyle name="Percent 2" xfId="4" xr:uid="{E044D882-96F4-47F4-8EE1-12E9C8BCBC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Figures!$B$71</c:f>
              <c:strCache>
                <c:ptCount val="1"/>
                <c:pt idx="0">
                  <c:v>Production of mineral fertilizer</c:v>
                </c:pt>
              </c:strCache>
            </c:strRef>
          </c:tx>
          <c:spPr>
            <a:solidFill>
              <a:schemeClr val="accent1"/>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Figures!$B$72:$B$83</c:f>
              <c:numCache>
                <c:formatCode>General</c:formatCode>
                <c:ptCount val="12"/>
                <c:pt idx="0">
                  <c:v>0.23803530641059373</c:v>
                </c:pt>
                <c:pt idx="1">
                  <c:v>0.22131228515212539</c:v>
                </c:pt>
                <c:pt idx="2">
                  <c:v>0.18889797903668962</c:v>
                </c:pt>
                <c:pt idx="3">
                  <c:v>0.24971371223845368</c:v>
                </c:pt>
                <c:pt idx="4">
                  <c:v>0.25129263891056819</c:v>
                </c:pt>
                <c:pt idx="5">
                  <c:v>0.12850413006433067</c:v>
                </c:pt>
                <c:pt idx="6">
                  <c:v>0.22779947666878139</c:v>
                </c:pt>
                <c:pt idx="7">
                  <c:v>0.16629825740550352</c:v>
                </c:pt>
                <c:pt idx="8">
                  <c:v>0.12006494472129353</c:v>
                </c:pt>
                <c:pt idx="9">
                  <c:v>0.25670204712471223</c:v>
                </c:pt>
                <c:pt idx="10">
                  <c:v>0.20126111374932382</c:v>
                </c:pt>
                <c:pt idx="11">
                  <c:v>0.19919809092462742</c:v>
                </c:pt>
              </c:numCache>
            </c:numRef>
          </c:val>
          <c:extLst>
            <c:ext xmlns:c16="http://schemas.microsoft.com/office/drawing/2014/chart" uri="{C3380CC4-5D6E-409C-BE32-E72D297353CC}">
              <c16:uniqueId val="{00000000-46A0-4E29-85B6-FB91F17140E0}"/>
            </c:ext>
          </c:extLst>
        </c:ser>
        <c:ser>
          <c:idx val="1"/>
          <c:order val="1"/>
          <c:tx>
            <c:strRef>
              <c:f>Figures!$C$71</c:f>
              <c:strCache>
                <c:ptCount val="1"/>
                <c:pt idx="0">
                  <c:v>Production of capital goods </c:v>
                </c:pt>
              </c:strCache>
            </c:strRef>
          </c:tx>
          <c:spPr>
            <a:solidFill>
              <a:schemeClr val="accent2"/>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Figures!$C$72:$C$83</c:f>
              <c:numCache>
                <c:formatCode>General</c:formatCode>
                <c:ptCount val="12"/>
                <c:pt idx="0">
                  <c:v>9.0380114167463596E-2</c:v>
                </c:pt>
                <c:pt idx="1">
                  <c:v>9.0151259590037003E-2</c:v>
                </c:pt>
                <c:pt idx="2">
                  <c:v>8.8547667634318053E-2</c:v>
                </c:pt>
                <c:pt idx="3">
                  <c:v>9.0853562585327785E-2</c:v>
                </c:pt>
                <c:pt idx="4">
                  <c:v>9.2035734889641035E-2</c:v>
                </c:pt>
                <c:pt idx="5">
                  <c:v>8.1097112490599629E-2</c:v>
                </c:pt>
                <c:pt idx="6">
                  <c:v>9.0347173687458884E-2</c:v>
                </c:pt>
                <c:pt idx="7">
                  <c:v>9.199003271465872E-2</c:v>
                </c:pt>
                <c:pt idx="8">
                  <c:v>6.9390557624715576E-2</c:v>
                </c:pt>
                <c:pt idx="9">
                  <c:v>8.452825609174093E-2</c:v>
                </c:pt>
                <c:pt idx="10">
                  <c:v>8.3040165648594427E-2</c:v>
                </c:pt>
                <c:pt idx="11">
                  <c:v>8.8757377370740048E-2</c:v>
                </c:pt>
              </c:numCache>
            </c:numRef>
          </c:val>
          <c:extLst>
            <c:ext xmlns:c16="http://schemas.microsoft.com/office/drawing/2014/chart" uri="{C3380CC4-5D6E-409C-BE32-E72D297353CC}">
              <c16:uniqueId val="{00000001-46A0-4E29-85B6-FB91F17140E0}"/>
            </c:ext>
          </c:extLst>
        </c:ser>
        <c:ser>
          <c:idx val="2"/>
          <c:order val="2"/>
          <c:tx>
            <c:strRef>
              <c:f>Figures!$D$71</c:f>
              <c:strCache>
                <c:ptCount val="1"/>
                <c:pt idx="0">
                  <c:v>Emissions from soil </c:v>
                </c:pt>
              </c:strCache>
            </c:strRef>
          </c:tx>
          <c:spPr>
            <a:solidFill>
              <a:schemeClr val="accent3"/>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Figures!$D$72:$D$83</c:f>
              <c:numCache>
                <c:formatCode>General</c:formatCode>
                <c:ptCount val="12"/>
                <c:pt idx="0">
                  <c:v>0.35702712435151035</c:v>
                </c:pt>
                <c:pt idx="1">
                  <c:v>0.46530070405710994</c:v>
                </c:pt>
                <c:pt idx="2">
                  <c:v>0.38352742302063969</c:v>
                </c:pt>
                <c:pt idx="3">
                  <c:v>0.48955718902602935</c:v>
                </c:pt>
                <c:pt idx="4">
                  <c:v>0.48733228615251784</c:v>
                </c:pt>
                <c:pt idx="5">
                  <c:v>0.11730113152558365</c:v>
                </c:pt>
                <c:pt idx="6">
                  <c:v>0.34558455350263384</c:v>
                </c:pt>
                <c:pt idx="7">
                  <c:v>0.22550367499002022</c:v>
                </c:pt>
                <c:pt idx="8">
                  <c:v>0.29117874693707196</c:v>
                </c:pt>
                <c:pt idx="9">
                  <c:v>0.34183842865958947</c:v>
                </c:pt>
                <c:pt idx="10">
                  <c:v>0.1364632801706574</c:v>
                </c:pt>
                <c:pt idx="11">
                  <c:v>0.12819491367328623</c:v>
                </c:pt>
              </c:numCache>
            </c:numRef>
          </c:val>
          <c:extLst>
            <c:ext xmlns:c16="http://schemas.microsoft.com/office/drawing/2014/chart" uri="{C3380CC4-5D6E-409C-BE32-E72D297353CC}">
              <c16:uniqueId val="{00000002-46A0-4E29-85B6-FB91F17140E0}"/>
            </c:ext>
          </c:extLst>
        </c:ser>
        <c:ser>
          <c:idx val="3"/>
          <c:order val="3"/>
          <c:tx>
            <c:strRef>
              <c:f>Figures!$E$71</c:f>
              <c:strCache>
                <c:ptCount val="1"/>
                <c:pt idx="0">
                  <c:v>Diesel use field machinary</c:v>
                </c:pt>
              </c:strCache>
            </c:strRef>
          </c:tx>
          <c:spPr>
            <a:solidFill>
              <a:schemeClr val="accent4"/>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Figures!$E$72:$E$83</c:f>
              <c:numCache>
                <c:formatCode>General</c:formatCode>
                <c:ptCount val="12"/>
                <c:pt idx="0">
                  <c:v>0.13266083723617669</c:v>
                </c:pt>
                <c:pt idx="1">
                  <c:v>0.11866239898615329</c:v>
                </c:pt>
                <c:pt idx="2">
                  <c:v>9.827251317024023E-2</c:v>
                </c:pt>
                <c:pt idx="3">
                  <c:v>9.9457168638487581E-2</c:v>
                </c:pt>
                <c:pt idx="4">
                  <c:v>0.11182226975411456</c:v>
                </c:pt>
                <c:pt idx="5">
                  <c:v>0.15210488045828771</c:v>
                </c:pt>
                <c:pt idx="6">
                  <c:v>9.0175519062989679E-2</c:v>
                </c:pt>
                <c:pt idx="7">
                  <c:v>0.17747388672212985</c:v>
                </c:pt>
                <c:pt idx="8">
                  <c:v>7.5023333099158707E-2</c:v>
                </c:pt>
                <c:pt idx="9">
                  <c:v>9.3381307750231013E-2</c:v>
                </c:pt>
                <c:pt idx="10">
                  <c:v>0.11065476555282697</c:v>
                </c:pt>
                <c:pt idx="11">
                  <c:v>0.10101657494852012</c:v>
                </c:pt>
              </c:numCache>
            </c:numRef>
          </c:val>
          <c:extLst>
            <c:ext xmlns:c16="http://schemas.microsoft.com/office/drawing/2014/chart" uri="{C3380CC4-5D6E-409C-BE32-E72D297353CC}">
              <c16:uniqueId val="{00000003-46A0-4E29-85B6-FB91F17140E0}"/>
            </c:ext>
          </c:extLst>
        </c:ser>
        <c:ser>
          <c:idx val="4"/>
          <c:order val="4"/>
          <c:tx>
            <c:strRef>
              <c:f>Figures!$F$71</c:f>
              <c:strCache>
                <c:ptCount val="1"/>
                <c:pt idx="0">
                  <c:v>Energy use for feed processing</c:v>
                </c:pt>
              </c:strCache>
            </c:strRef>
          </c:tx>
          <c:spPr>
            <a:solidFill>
              <a:schemeClr val="accent5"/>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Figures!$F$72:$F$83</c:f>
              <c:numCache>
                <c:formatCode>General</c:formatCode>
                <c:ptCount val="12"/>
                <c:pt idx="0">
                  <c:v>0.15985879297689648</c:v>
                </c:pt>
                <c:pt idx="1">
                  <c:v>0.11300218600527881</c:v>
                </c:pt>
                <c:pt idx="2">
                  <c:v>0.13182430709561582</c:v>
                </c:pt>
                <c:pt idx="3">
                  <c:v>0.12602943738808636</c:v>
                </c:pt>
                <c:pt idx="4">
                  <c:v>0.1147290387670723</c:v>
                </c:pt>
                <c:pt idx="5">
                  <c:v>0.12393546866124183</c:v>
                </c:pt>
                <c:pt idx="6">
                  <c:v>0.1339672441805671</c:v>
                </c:pt>
                <c:pt idx="7">
                  <c:v>0.12052009355126349</c:v>
                </c:pt>
                <c:pt idx="8">
                  <c:v>0.10049495688677507</c:v>
                </c:pt>
                <c:pt idx="9">
                  <c:v>0.1083022565483913</c:v>
                </c:pt>
                <c:pt idx="10">
                  <c:v>0.11751803695468491</c:v>
                </c:pt>
                <c:pt idx="11">
                  <c:v>0.12688012533715867</c:v>
                </c:pt>
              </c:numCache>
            </c:numRef>
          </c:val>
          <c:extLst>
            <c:ext xmlns:c16="http://schemas.microsoft.com/office/drawing/2014/chart" uri="{C3380CC4-5D6E-409C-BE32-E72D297353CC}">
              <c16:uniqueId val="{00000004-46A0-4E29-85B6-FB91F17140E0}"/>
            </c:ext>
          </c:extLst>
        </c:ser>
        <c:ser>
          <c:idx val="5"/>
          <c:order val="5"/>
          <c:tx>
            <c:strRef>
              <c:f>Figures!$G$71</c:f>
              <c:strCache>
                <c:ptCount val="1"/>
                <c:pt idx="0">
                  <c:v>Land use change emissions</c:v>
                </c:pt>
              </c:strCache>
            </c:strRef>
          </c:tx>
          <c:spPr>
            <a:solidFill>
              <a:schemeClr val="accent6"/>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Figures!$G$72:$G$83</c:f>
              <c:numCache>
                <c:formatCode>General</c:formatCode>
                <c:ptCount val="12"/>
                <c:pt idx="0">
                  <c:v>0.10943919104259656</c:v>
                </c:pt>
                <c:pt idx="1">
                  <c:v>0.19408948992808309</c:v>
                </c:pt>
                <c:pt idx="2">
                  <c:v>0.16580919227488314</c:v>
                </c:pt>
                <c:pt idx="3">
                  <c:v>0.11199553670653163</c:v>
                </c:pt>
                <c:pt idx="4">
                  <c:v>0.1936675271752315</c:v>
                </c:pt>
                <c:pt idx="5">
                  <c:v>0.21074568629094556</c:v>
                </c:pt>
                <c:pt idx="6">
                  <c:v>9.4471241184542698E-2</c:v>
                </c:pt>
                <c:pt idx="7">
                  <c:v>0.17947456253376395</c:v>
                </c:pt>
                <c:pt idx="8">
                  <c:v>0.14537905545271551</c:v>
                </c:pt>
                <c:pt idx="9">
                  <c:v>9.1730991286372396E-2</c:v>
                </c:pt>
                <c:pt idx="10">
                  <c:v>0.12172101088019294</c:v>
                </c:pt>
                <c:pt idx="11">
                  <c:v>0.10270073851020657</c:v>
                </c:pt>
              </c:numCache>
            </c:numRef>
          </c:val>
          <c:extLst>
            <c:ext xmlns:c16="http://schemas.microsoft.com/office/drawing/2014/chart" uri="{C3380CC4-5D6E-409C-BE32-E72D297353CC}">
              <c16:uniqueId val="{00000005-46A0-4E29-85B6-FB91F17140E0}"/>
            </c:ext>
          </c:extLst>
        </c:ser>
        <c:ser>
          <c:idx val="6"/>
          <c:order val="6"/>
          <c:tx>
            <c:strRef>
              <c:f>Figures!$H$71</c:f>
              <c:strCache>
                <c:ptCount val="1"/>
                <c:pt idx="0">
                  <c:v>Feed transports</c:v>
                </c:pt>
              </c:strCache>
            </c:strRef>
          </c:tx>
          <c:spPr>
            <a:solidFill>
              <a:schemeClr val="accent1">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Figures!$H$72:$H$83</c:f>
              <c:numCache>
                <c:formatCode>General</c:formatCode>
                <c:ptCount val="12"/>
                <c:pt idx="0">
                  <c:v>9.6323149723153562E-2</c:v>
                </c:pt>
                <c:pt idx="1">
                  <c:v>0.17830095846016009</c:v>
                </c:pt>
                <c:pt idx="2">
                  <c:v>0.16108315438700654</c:v>
                </c:pt>
                <c:pt idx="3">
                  <c:v>0.10108348867710014</c:v>
                </c:pt>
                <c:pt idx="4">
                  <c:v>0.17244619098414077</c:v>
                </c:pt>
                <c:pt idx="5">
                  <c:v>0.17453023247926583</c:v>
                </c:pt>
                <c:pt idx="6">
                  <c:v>9.7794323173801503E-2</c:v>
                </c:pt>
                <c:pt idx="7">
                  <c:v>0.15094580882326702</c:v>
                </c:pt>
                <c:pt idx="8">
                  <c:v>0.13484734119175021</c:v>
                </c:pt>
                <c:pt idx="9">
                  <c:v>9.6283525688234423E-2</c:v>
                </c:pt>
                <c:pt idx="10">
                  <c:v>0.10263629067269443</c:v>
                </c:pt>
                <c:pt idx="11">
                  <c:v>8.4100046730292963E-2</c:v>
                </c:pt>
              </c:numCache>
            </c:numRef>
          </c:val>
          <c:extLst>
            <c:ext xmlns:c16="http://schemas.microsoft.com/office/drawing/2014/chart" uri="{C3380CC4-5D6E-409C-BE32-E72D297353CC}">
              <c16:uniqueId val="{00000006-46A0-4E29-85B6-FB91F17140E0}"/>
            </c:ext>
          </c:extLst>
        </c:ser>
        <c:ser>
          <c:idx val="7"/>
          <c:order val="7"/>
          <c:tx>
            <c:strRef>
              <c:f>Figures!$I$71</c:f>
              <c:strCache>
                <c:ptCount val="1"/>
                <c:pt idx="0">
                  <c:v>Enteric fermentation</c:v>
                </c:pt>
              </c:strCache>
            </c:strRef>
          </c:tx>
          <c:spPr>
            <a:solidFill>
              <a:schemeClr val="accent2">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Figures!$I$72:$I$83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6A0-4E29-85B6-FB91F17140E0}"/>
            </c:ext>
          </c:extLst>
        </c:ser>
        <c:ser>
          <c:idx val="8"/>
          <c:order val="8"/>
          <c:tx>
            <c:strRef>
              <c:f>Figures!$J$71</c:f>
              <c:strCache>
                <c:ptCount val="1"/>
                <c:pt idx="0">
                  <c:v>Manure management</c:v>
                </c:pt>
              </c:strCache>
            </c:strRef>
          </c:tx>
          <c:spPr>
            <a:solidFill>
              <a:schemeClr val="accent3">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Figures!$J$72:$J$83</c:f>
              <c:numCache>
                <c:formatCode>General</c:formatCode>
                <c:ptCount val="12"/>
                <c:pt idx="0">
                  <c:v>0.13869379537724535</c:v>
                </c:pt>
                <c:pt idx="1">
                  <c:v>9.3263728567251403E-2</c:v>
                </c:pt>
                <c:pt idx="2">
                  <c:v>0.15104449580553436</c:v>
                </c:pt>
                <c:pt idx="3">
                  <c:v>9.3263728567251403E-2</c:v>
                </c:pt>
                <c:pt idx="4">
                  <c:v>9.3263728567251403E-2</c:v>
                </c:pt>
                <c:pt idx="5">
                  <c:v>0.14380683590262272</c:v>
                </c:pt>
                <c:pt idx="6">
                  <c:v>0.16129505897840996</c:v>
                </c:pt>
                <c:pt idx="7">
                  <c:v>0.15066079905510055</c:v>
                </c:pt>
                <c:pt idx="8">
                  <c:v>0.12361807791880663</c:v>
                </c:pt>
                <c:pt idx="9">
                  <c:v>0.11017855987224708</c:v>
                </c:pt>
                <c:pt idx="10">
                  <c:v>0.1008461520215579</c:v>
                </c:pt>
                <c:pt idx="11">
                  <c:v>0.11443726599848156</c:v>
                </c:pt>
              </c:numCache>
            </c:numRef>
          </c:val>
          <c:extLst>
            <c:ext xmlns:c16="http://schemas.microsoft.com/office/drawing/2014/chart" uri="{C3380CC4-5D6E-409C-BE32-E72D297353CC}">
              <c16:uniqueId val="{00000008-46A0-4E29-85B6-FB91F17140E0}"/>
            </c:ext>
          </c:extLst>
        </c:ser>
        <c:ser>
          <c:idx val="9"/>
          <c:order val="9"/>
          <c:tx>
            <c:strRef>
              <c:f>Figures!$K$71</c:f>
              <c:strCache>
                <c:ptCount val="1"/>
                <c:pt idx="0">
                  <c:v>Energy use in stables</c:v>
                </c:pt>
              </c:strCache>
            </c:strRef>
          </c:tx>
          <c:spPr>
            <a:solidFill>
              <a:schemeClr val="accent4">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Figures!$K$72:$K$83</c:f>
              <c:numCache>
                <c:formatCode>General</c:formatCode>
                <c:ptCount val="12"/>
                <c:pt idx="0">
                  <c:v>0.1507493227417642</c:v>
                </c:pt>
                <c:pt idx="1">
                  <c:v>9.4238726789122609E-2</c:v>
                </c:pt>
                <c:pt idx="2">
                  <c:v>0.10486036971128213</c:v>
                </c:pt>
                <c:pt idx="3">
                  <c:v>9.2086076701015276E-2</c:v>
                </c:pt>
                <c:pt idx="4">
                  <c:v>6.5053683314751559E-2</c:v>
                </c:pt>
                <c:pt idx="5">
                  <c:v>0.11871036444910726</c:v>
                </c:pt>
                <c:pt idx="6">
                  <c:v>0.10159751091576574</c:v>
                </c:pt>
                <c:pt idx="7">
                  <c:v>8.3464270801641899E-2</c:v>
                </c:pt>
                <c:pt idx="8">
                  <c:v>9.366977233729705E-2</c:v>
                </c:pt>
                <c:pt idx="9">
                  <c:v>6.5397296060153529E-2</c:v>
                </c:pt>
                <c:pt idx="10">
                  <c:v>9.5764816402928402E-2</c:v>
                </c:pt>
                <c:pt idx="11">
                  <c:v>9.9655029410123525E-2</c:v>
                </c:pt>
              </c:numCache>
            </c:numRef>
          </c:val>
          <c:extLst>
            <c:ext xmlns:c16="http://schemas.microsoft.com/office/drawing/2014/chart" uri="{C3380CC4-5D6E-409C-BE32-E72D297353CC}">
              <c16:uniqueId val="{00000009-46A0-4E29-85B6-FB91F17140E0}"/>
            </c:ext>
          </c:extLst>
        </c:ser>
        <c:ser>
          <c:idx val="10"/>
          <c:order val="10"/>
          <c:tx>
            <c:strRef>
              <c:f>Figures!$L$71</c:f>
              <c:strCache>
                <c:ptCount val="1"/>
                <c:pt idx="0">
                  <c:v>Energy use for slaughter</c:v>
                </c:pt>
              </c:strCache>
            </c:strRef>
          </c:tx>
          <c:spPr>
            <a:solidFill>
              <a:schemeClr val="accent5">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Figures!$L$72:$L$83</c:f>
              <c:numCache>
                <c:formatCode>General</c:formatCode>
                <c:ptCount val="12"/>
                <c:pt idx="0">
                  <c:v>0.54600896351345796</c:v>
                </c:pt>
                <c:pt idx="1">
                  <c:v>0.2230912723555058</c:v>
                </c:pt>
                <c:pt idx="2">
                  <c:v>0.28378637476784591</c:v>
                </c:pt>
                <c:pt idx="3">
                  <c:v>0.21079041470917817</c:v>
                </c:pt>
                <c:pt idx="4">
                  <c:v>5.6319595359099743E-2</c:v>
                </c:pt>
                <c:pt idx="5">
                  <c:v>0.36292920184113242</c:v>
                </c:pt>
                <c:pt idx="6">
                  <c:v>0.26514146736489513</c:v>
                </c:pt>
                <c:pt idx="7">
                  <c:v>0.16152295242704456</c:v>
                </c:pt>
                <c:pt idx="8">
                  <c:v>0.21984010405935969</c:v>
                </c:pt>
                <c:pt idx="9">
                  <c:v>5.8283096761396737E-2</c:v>
                </c:pt>
                <c:pt idx="10">
                  <c:v>0.2318117844343961</c:v>
                </c:pt>
                <c:pt idx="11">
                  <c:v>0.25404157304693958</c:v>
                </c:pt>
              </c:numCache>
            </c:numRef>
          </c:val>
          <c:extLst>
            <c:ext xmlns:c16="http://schemas.microsoft.com/office/drawing/2014/chart" uri="{C3380CC4-5D6E-409C-BE32-E72D297353CC}">
              <c16:uniqueId val="{0000000A-46A0-4E29-85B6-FB91F17140E0}"/>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chicken meat and offal</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3871</xdr:rowOff>
    </xdr:from>
    <xdr:to>
      <xdr:col>9</xdr:col>
      <xdr:colOff>254154</xdr:colOff>
      <xdr:row>30</xdr:row>
      <xdr:rowOff>98267</xdr:rowOff>
    </xdr:to>
    <xdr:graphicFrame macro="">
      <xdr:nvGraphicFramePr>
        <xdr:cNvPr id="2" name="Chart 1">
          <a:extLst>
            <a:ext uri="{FF2B5EF4-FFF2-40B4-BE49-F238E27FC236}">
              <a16:creationId xmlns:a16="http://schemas.microsoft.com/office/drawing/2014/main" id="{5FBDB7BF-C0AF-4C6B-BFAD-3DB55E49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251460</xdr:colOff>
      <xdr:row>4</xdr:row>
      <xdr:rowOff>22860</xdr:rowOff>
    </xdr:from>
    <xdr:ext cx="5417820" cy="7670305"/>
    <xdr:sp macro="" textlink="">
      <xdr:nvSpPr>
        <xdr:cNvPr id="4" name="TextBox 3">
          <a:extLst>
            <a:ext uri="{FF2B5EF4-FFF2-40B4-BE49-F238E27FC236}">
              <a16:creationId xmlns:a16="http://schemas.microsoft.com/office/drawing/2014/main" id="{19C64761-472A-D925-455D-C01E16B185E1}"/>
            </a:ext>
          </a:extLst>
        </xdr:cNvPr>
        <xdr:cNvSpPr txBox="1"/>
      </xdr:nvSpPr>
      <xdr:spPr>
        <a:xfrm>
          <a:off x="7338060" y="838200"/>
          <a:ext cx="5417820" cy="76703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v-SE" sz="1100" b="1"/>
            <a:t>Comment on the results:</a:t>
          </a:r>
        </a:p>
        <a:p>
          <a:endParaRPr lang="sv-SE" sz="1100"/>
        </a:p>
        <a:p>
          <a:r>
            <a:rPr lang="sv-SE" sz="1100" b="1" i="1"/>
            <a:t>Differences</a:t>
          </a:r>
          <a:r>
            <a:rPr lang="sv-SE" sz="1100" b="1" i="1" baseline="0"/>
            <a:t> across countries:</a:t>
          </a:r>
          <a:endParaRPr lang="sv-SE" sz="1100" b="1" i="1"/>
        </a:p>
        <a:p>
          <a:r>
            <a:rPr lang="sv-SE" sz="1100"/>
            <a:t>The</a:t>
          </a:r>
          <a:r>
            <a:rPr lang="sv-SE" sz="1100" baseline="0"/>
            <a:t> same FCR is currently assumed for all countries so differences related to feed production (from production of mineral fertiliser up to feed transports) are totally explained by 1) the </a:t>
          </a:r>
          <a:r>
            <a:rPr lang="sv-SE" sz="1100" i="1" baseline="0"/>
            <a:t>types</a:t>
          </a:r>
          <a:r>
            <a:rPr lang="sv-SE" sz="1100" baseline="0"/>
            <a:t> of feed in the feed mix, and the 2) emissions from the production of the feed in the country. It is assumed that all feeds except soy and rapeseed meal are produced domestically. </a:t>
          </a:r>
        </a:p>
        <a:p>
          <a:endParaRPr lang="sv-SE">
            <a:effectLst/>
          </a:endParaRPr>
        </a:p>
        <a:p>
          <a:r>
            <a:rPr lang="sv-SE" sz="1100" baseline="0">
              <a:solidFill>
                <a:schemeClr val="tx1"/>
              </a:solidFill>
              <a:effectLst/>
              <a:latin typeface="+mn-lt"/>
              <a:ea typeface="+mn-ea"/>
              <a:cs typeface="+mn-cs"/>
            </a:rPr>
            <a:t>Sweden is the only country that has the actual feed data from Sweden, the rest is from CAPRI with large uncertainties. </a:t>
          </a:r>
          <a:endParaRPr lang="sv-SE">
            <a:effectLst/>
          </a:endParaRPr>
        </a:p>
        <a:p>
          <a:endParaRPr lang="sv-SE">
            <a:effectLst/>
          </a:endParaRPr>
        </a:p>
        <a:p>
          <a:r>
            <a:rPr lang="sv-SE" sz="1100" baseline="0">
              <a:solidFill>
                <a:schemeClr val="tx1"/>
              </a:solidFill>
              <a:effectLst/>
              <a:latin typeface="+mn-lt"/>
              <a:ea typeface="+mn-ea"/>
              <a:cs typeface="+mn-cs"/>
            </a:rPr>
            <a:t>Italy, Spain, Hungary and Greece have lower emissions from feed production primarly because they are located in 'dry regions' and therefore N2O emissions are half of whose in 'wet countries'. Italy and Hungary also use approximately 50% maize grain in diets which has somewhat lower emissions than other cereals. </a:t>
          </a:r>
          <a:endParaRPr lang="sv-SE">
            <a:effectLst/>
          </a:endParaRPr>
        </a:p>
        <a:p>
          <a:endParaRPr lang="sv-SE" sz="1100" baseline="0"/>
        </a:p>
        <a:p>
          <a:r>
            <a:rPr lang="sv-SE" sz="1100" baseline="0">
              <a:solidFill>
                <a:srgbClr val="FF0000"/>
              </a:solidFill>
            </a:rPr>
            <a:t>Diesel use in Greece and Spain - check...</a:t>
          </a:r>
        </a:p>
        <a:p>
          <a:endParaRPr lang="sv-SE" sz="1100" baseline="0"/>
        </a:p>
        <a:p>
          <a:r>
            <a:rPr lang="sv-SE" sz="1100" baseline="0"/>
            <a:t>Countries which use more soy (UK, the Netherlands, Sweden, Greece, Spain and Ireland) have higher emissions from land use change (soy is the only feed crop included here that is assumed to cause land use change). </a:t>
          </a:r>
        </a:p>
        <a:p>
          <a:endParaRPr lang="sv-SE" sz="1100" baseline="0"/>
        </a:p>
        <a:p>
          <a:r>
            <a:rPr lang="sv-SE" sz="1100" baseline="0"/>
            <a:t>Differences also slightly depend on the percentage of by-products in diets as these are assigned no environmental impact in this version. Germany, Sweden, UK, Spain and Poland have low or no use of by-products in diets.</a:t>
          </a:r>
        </a:p>
        <a:p>
          <a:endParaRPr lang="sv-SE" sz="1100" baseline="0"/>
        </a:p>
        <a:p>
          <a:r>
            <a:rPr lang="sv-SE" sz="1100" baseline="0"/>
            <a:t>Differences for emission energy use in stables and in slaughtering is explained entirely by different energy mixes in the different countries as energy use is assumed to be the same across countries. </a:t>
          </a:r>
        </a:p>
        <a:p>
          <a:endParaRPr lang="sv-SE" sz="1100" baseline="0"/>
        </a:p>
        <a:p>
          <a:r>
            <a:rPr lang="sv-SE" sz="1100" baseline="0">
              <a:solidFill>
                <a:srgbClr val="FF0000"/>
              </a:solidFill>
            </a:rPr>
            <a:t>Manure emissions - explain...</a:t>
          </a:r>
        </a:p>
        <a:p>
          <a:endParaRPr lang="sv-SE" sz="1100" baseline="0"/>
        </a:p>
        <a:p>
          <a:pPr marL="0" marR="0" lvl="0" indent="0" defTabSz="914400" eaLnBrk="1" fontAlgn="auto" latinLnBrk="0" hangingPunct="1">
            <a:lnSpc>
              <a:spcPct val="100000"/>
            </a:lnSpc>
            <a:spcBef>
              <a:spcPts val="0"/>
            </a:spcBef>
            <a:spcAft>
              <a:spcPts val="0"/>
            </a:spcAft>
            <a:buClrTx/>
            <a:buSzTx/>
            <a:buFontTx/>
            <a:buNone/>
            <a:tabLst/>
            <a:defRPr/>
          </a:pPr>
          <a:r>
            <a:rPr lang="sv-SE" sz="1100" b="1" i="1">
              <a:solidFill>
                <a:schemeClr val="tx1"/>
              </a:solidFill>
              <a:effectLst/>
              <a:latin typeface="+mn-lt"/>
              <a:ea typeface="+mn-ea"/>
              <a:cs typeface="+mn-cs"/>
            </a:rPr>
            <a:t>Differences</a:t>
          </a:r>
          <a:r>
            <a:rPr lang="sv-SE" sz="1100" b="1" i="1" baseline="0">
              <a:solidFill>
                <a:schemeClr val="tx1"/>
              </a:solidFill>
              <a:effectLst/>
              <a:latin typeface="+mn-lt"/>
              <a:ea typeface="+mn-ea"/>
              <a:cs typeface="+mn-cs"/>
            </a:rPr>
            <a:t> from previous Swedish estimates:</a:t>
          </a:r>
          <a:endParaRPr lang="sv-SE">
            <a:effectLst/>
          </a:endParaRPr>
        </a:p>
        <a:p>
          <a:r>
            <a:rPr lang="sv-SE" sz="1100" baseline="0"/>
            <a:t>The estimate is lower than previous estimates by e.g. Moberg et al. (2019) and updated versions of that, and the </a:t>
          </a:r>
          <a:r>
            <a:rPr lang="sv-SE" sz="1100" u="none" baseline="0"/>
            <a:t>LCA from RISE </a:t>
          </a:r>
          <a:r>
            <a:rPr lang="sv-SE" sz="1100" baseline="0"/>
            <a:t>for Svensk Fågel (https://svenskfagel.se/wp-content/uploads/2022/11/klimatavtryck-sv-kyckling-foder-information-november-2022-publik.pdf) due to the following reasons:</a:t>
          </a:r>
        </a:p>
        <a:p>
          <a:r>
            <a:rPr lang="sv-SE" sz="1100" baseline="0"/>
            <a:t> - Somewhat lower emissions from feed production in this study</a:t>
          </a:r>
        </a:p>
        <a:p>
          <a:r>
            <a:rPr lang="sv-SE" sz="1100" baseline="0"/>
            <a:t> - This study includes edible offal as an output and allocates the same emissions to offal as meat</a:t>
          </a:r>
        </a:p>
        <a:p>
          <a:r>
            <a:rPr lang="sv-SE" sz="1100" baseline="0"/>
            <a:t>  - Adjusting for N in manure, hence assuming that all manure is used in livestock production and none on crops for human consumption</a:t>
          </a:r>
        </a:p>
        <a:p>
          <a:r>
            <a:rPr lang="sv-SE" sz="1100" baseline="0">
              <a:solidFill>
                <a:schemeClr val="tx1"/>
              </a:solidFill>
              <a:effectLst/>
              <a:latin typeface="+mn-lt"/>
              <a:ea typeface="+mn-ea"/>
              <a:cs typeface="+mn-cs"/>
            </a:rPr>
            <a:t>  - Use of AR6 GWP factors instead of AR4-factors</a:t>
          </a:r>
          <a:endParaRPr lang="sv-SE" sz="1100" baseline="0"/>
        </a:p>
      </xdr:txBody>
    </xdr:sp>
    <xdr:clientData/>
  </xdr:oneCellAnchor>
  <xdr:twoCellAnchor editAs="oneCell">
    <xdr:from>
      <xdr:col>0</xdr:col>
      <xdr:colOff>99060</xdr:colOff>
      <xdr:row>42</xdr:row>
      <xdr:rowOff>30480</xdr:rowOff>
    </xdr:from>
    <xdr:to>
      <xdr:col>8</xdr:col>
      <xdr:colOff>280590</xdr:colOff>
      <xdr:row>67</xdr:row>
      <xdr:rowOff>44712</xdr:rowOff>
    </xdr:to>
    <xdr:pic>
      <xdr:nvPicPr>
        <xdr:cNvPr id="5" name="Picture 4">
          <a:extLst>
            <a:ext uri="{FF2B5EF4-FFF2-40B4-BE49-F238E27FC236}">
              <a16:creationId xmlns:a16="http://schemas.microsoft.com/office/drawing/2014/main" id="{3E7F03EF-0C91-EC61-DF30-FAFA72909733}"/>
            </a:ext>
          </a:extLst>
        </xdr:cNvPr>
        <xdr:cNvPicPr>
          <a:picLocks noChangeAspect="1"/>
        </xdr:cNvPicPr>
      </xdr:nvPicPr>
      <xdr:blipFill>
        <a:blip xmlns:r="http://schemas.openxmlformats.org/officeDocument/2006/relationships" r:embed="rId2"/>
        <a:stretch>
          <a:fillRect/>
        </a:stretch>
      </xdr:blipFill>
      <xdr:spPr>
        <a:xfrm>
          <a:off x="99060" y="6438900"/>
          <a:ext cx="6658530" cy="4586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106</xdr:row>
      <xdr:rowOff>27085</xdr:rowOff>
    </xdr:from>
    <xdr:to>
      <xdr:col>9</xdr:col>
      <xdr:colOff>840146</xdr:colOff>
      <xdr:row>133</xdr:row>
      <xdr:rowOff>112057</xdr:rowOff>
    </xdr:to>
    <xdr:pic>
      <xdr:nvPicPr>
        <xdr:cNvPr id="2" name="Picture 1">
          <a:extLst>
            <a:ext uri="{FF2B5EF4-FFF2-40B4-BE49-F238E27FC236}">
              <a16:creationId xmlns:a16="http://schemas.microsoft.com/office/drawing/2014/main" id="{ECA9B24E-9EAB-2EBF-ED6A-7D364A03634A}"/>
            </a:ext>
          </a:extLst>
        </xdr:cNvPr>
        <xdr:cNvPicPr>
          <a:picLocks noChangeAspect="1"/>
        </xdr:cNvPicPr>
      </xdr:nvPicPr>
      <xdr:blipFill>
        <a:blip xmlns:r="http://schemas.openxmlformats.org/officeDocument/2006/relationships" r:embed="rId1"/>
        <a:stretch>
          <a:fillRect/>
        </a:stretch>
      </xdr:blipFill>
      <xdr:spPr>
        <a:xfrm>
          <a:off x="0" y="20914850"/>
          <a:ext cx="9009234" cy="4925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523873</xdr:colOff>
      <xdr:row>27</xdr:row>
      <xdr:rowOff>11905</xdr:rowOff>
    </xdr:from>
    <xdr:ext cx="3917157" cy="1202532"/>
    <xdr:sp macro="" textlink="">
      <xdr:nvSpPr>
        <xdr:cNvPr id="2" name="TextBox 1">
          <a:extLst>
            <a:ext uri="{FF2B5EF4-FFF2-40B4-BE49-F238E27FC236}">
              <a16:creationId xmlns:a16="http://schemas.microsoft.com/office/drawing/2014/main" id="{F37AF319-9F17-4026-B64C-4088E24F6C4E}"/>
            </a:ext>
          </a:extLst>
        </xdr:cNvPr>
        <xdr:cNvSpPr txBox="1"/>
      </xdr:nvSpPr>
      <xdr:spPr>
        <a:xfrm>
          <a:off x="17510758" y="848200"/>
          <a:ext cx="3917157" cy="120253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t>Products “at plant”: the environmental impact of processed feed materials until processing gate. Environmental impact of processed products includes the impact of cultivation of raw materials, sourcing from different countries, energy and auxiliary material use at processing and waste.</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Input%20files/Crops%20Brazil.xlsx" TargetMode="External"/><Relationship Id="rId1" Type="http://schemas.openxmlformats.org/officeDocument/2006/relationships/externalLinkPath" Target="/personal/elin_roos_slu_se/Documents/Dokument/SLU/Projekt%2042%20-%20Plan'eat/WP3/Input%20files/Crops%20Braz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ootprints, results per kg"/>
      <sheetName val="Crops, input data per ha"/>
      <sheetName val="Crops CO2e"/>
      <sheetName val="Crops CO2"/>
      <sheetName val="Crops CH4, fossil"/>
      <sheetName val="Crops CH4, bio"/>
      <sheetName val="Crops N2O"/>
      <sheetName val="Energy"/>
      <sheetName val="Emission factors"/>
      <sheetName val="CF climate"/>
      <sheetName val="Reference list"/>
    </sheetNames>
    <sheetDataSet>
      <sheetData sheetId="0"/>
      <sheetData sheetId="1"/>
      <sheetData sheetId="2">
        <row r="6">
          <cell r="A6" t="str">
            <v>01371</v>
          </cell>
          <cell r="B6" t="str">
            <v>Almonds, in shell</v>
          </cell>
          <cell r="C6" t="str">
            <v>Nuts</v>
          </cell>
          <cell r="D6" t="str">
            <v>No</v>
          </cell>
          <cell r="G6">
            <v>114</v>
          </cell>
          <cell r="I6">
            <v>0</v>
          </cell>
          <cell r="J6">
            <v>0</v>
          </cell>
          <cell r="K6">
            <v>450</v>
          </cell>
          <cell r="L6">
            <v>537.25699999999995</v>
          </cell>
          <cell r="M6">
            <v>0</v>
          </cell>
          <cell r="N6">
            <v>0.14299999999999999</v>
          </cell>
          <cell r="O6">
            <v>1.6E-2</v>
          </cell>
          <cell r="P6">
            <v>1</v>
          </cell>
          <cell r="Q6">
            <v>0.22</v>
          </cell>
          <cell r="R6">
            <v>8.9999999999999993E-3</v>
          </cell>
          <cell r="S6">
            <v>0.85</v>
          </cell>
          <cell r="T6">
            <v>1</v>
          </cell>
          <cell r="U6">
            <v>3.7738174209626004E-12</v>
          </cell>
          <cell r="V6">
            <v>2.5819413353737599E-12</v>
          </cell>
          <cell r="W6">
            <v>3.8726446962259297E-12</v>
          </cell>
          <cell r="X6">
            <v>7.3859179387853007E-12</v>
          </cell>
          <cell r="Y6">
            <v>6.7025422877374503E-10</v>
          </cell>
        </row>
        <row r="7">
          <cell r="A7" t="str">
            <v>01654</v>
          </cell>
          <cell r="B7" t="str">
            <v>Anise, badian, coriander, cumin, caraway, fennel and juniper berries, raw</v>
          </cell>
          <cell r="C7" t="str">
            <v>Vegetables</v>
          </cell>
          <cell r="D7" t="str">
            <v>No</v>
          </cell>
          <cell r="G7">
            <v>121</v>
          </cell>
          <cell r="I7">
            <v>0</v>
          </cell>
          <cell r="J7">
            <v>21</v>
          </cell>
          <cell r="K7">
            <v>140</v>
          </cell>
          <cell r="L7">
            <v>2081.5229999999997</v>
          </cell>
          <cell r="M7">
            <v>0</v>
          </cell>
          <cell r="N7">
            <v>0.14299999999999999</v>
          </cell>
          <cell r="O7">
            <v>8.0000000000000002E-3</v>
          </cell>
          <cell r="P7">
            <v>1</v>
          </cell>
          <cell r="Q7">
            <v>0.22</v>
          </cell>
          <cell r="R7">
            <v>8.9999999999999993E-3</v>
          </cell>
          <cell r="S7">
            <v>0.85</v>
          </cell>
          <cell r="T7">
            <v>1</v>
          </cell>
          <cell r="U7">
            <v>3.7738174209626004E-12</v>
          </cell>
          <cell r="V7">
            <v>2.5819413353737599E-12</v>
          </cell>
          <cell r="W7">
            <v>3.8726446962259297E-12</v>
          </cell>
          <cell r="X7">
            <v>7.3859179387853007E-12</v>
          </cell>
          <cell r="Y7">
            <v>6.7025422877374503E-10</v>
          </cell>
        </row>
        <row r="8">
          <cell r="A8" t="str">
            <v>01341</v>
          </cell>
          <cell r="B8" t="str">
            <v>Apples</v>
          </cell>
          <cell r="C8" t="str">
            <v>Fruits</v>
          </cell>
          <cell r="D8" t="str">
            <v>No</v>
          </cell>
          <cell r="G8">
            <v>0</v>
          </cell>
          <cell r="I8">
            <v>0</v>
          </cell>
          <cell r="J8">
            <v>0</v>
          </cell>
          <cell r="K8">
            <v>450</v>
          </cell>
          <cell r="L8">
            <v>3220.7402399999996</v>
          </cell>
          <cell r="M8">
            <v>0</v>
          </cell>
          <cell r="N8">
            <v>0.14299999999999999</v>
          </cell>
          <cell r="O8">
            <v>8.0000000000000002E-3</v>
          </cell>
          <cell r="P8">
            <v>1</v>
          </cell>
          <cell r="Q8">
            <v>0.22</v>
          </cell>
          <cell r="R8">
            <v>8.9999999999999993E-3</v>
          </cell>
          <cell r="S8">
            <v>0.85</v>
          </cell>
          <cell r="T8">
            <v>1</v>
          </cell>
          <cell r="U8">
            <v>3.7738174209626004E-12</v>
          </cell>
          <cell r="V8">
            <v>2.5819413353737599E-12</v>
          </cell>
          <cell r="W8">
            <v>3.8726446962259297E-12</v>
          </cell>
          <cell r="X8">
            <v>7.3859179387853007E-12</v>
          </cell>
          <cell r="Y8">
            <v>6.7025422877374503E-10</v>
          </cell>
        </row>
        <row r="9">
          <cell r="A9" t="str">
            <v>01343</v>
          </cell>
          <cell r="B9" t="str">
            <v>Apricots</v>
          </cell>
          <cell r="C9" t="str">
            <v>Fruits</v>
          </cell>
          <cell r="D9" t="str">
            <v>No</v>
          </cell>
          <cell r="G9">
            <v>0</v>
          </cell>
          <cell r="I9">
            <v>0</v>
          </cell>
          <cell r="J9">
            <v>0</v>
          </cell>
          <cell r="K9">
            <v>450</v>
          </cell>
          <cell r="L9">
            <v>2019.7212199999999</v>
          </cell>
          <cell r="M9">
            <v>0</v>
          </cell>
          <cell r="N9">
            <v>0.14299999999999999</v>
          </cell>
          <cell r="O9">
            <v>8.0000000000000002E-3</v>
          </cell>
          <cell r="P9">
            <v>1</v>
          </cell>
          <cell r="Q9">
            <v>0.22</v>
          </cell>
          <cell r="R9">
            <v>8.9999999999999993E-3</v>
          </cell>
          <cell r="S9">
            <v>0.85</v>
          </cell>
          <cell r="T9">
            <v>1</v>
          </cell>
          <cell r="U9">
            <v>3.7738174209626004E-12</v>
          </cell>
          <cell r="V9">
            <v>2.5819413353737599E-12</v>
          </cell>
          <cell r="W9">
            <v>3.8726446962259297E-12</v>
          </cell>
          <cell r="X9">
            <v>7.3859179387853007E-12</v>
          </cell>
          <cell r="Y9">
            <v>6.7025422877374503E-10</v>
          </cell>
        </row>
        <row r="10">
          <cell r="A10" t="str">
            <v>01216</v>
          </cell>
          <cell r="B10" t="str">
            <v>Artichokes</v>
          </cell>
          <cell r="C10" t="str">
            <v>Vegetables</v>
          </cell>
          <cell r="D10" t="str">
            <v>No</v>
          </cell>
          <cell r="G10">
            <v>0</v>
          </cell>
          <cell r="I10">
            <v>0</v>
          </cell>
          <cell r="J10">
            <v>0</v>
          </cell>
          <cell r="K10">
            <v>140</v>
          </cell>
          <cell r="L10">
            <v>1071.7583800000002</v>
          </cell>
          <cell r="M10">
            <v>0</v>
          </cell>
          <cell r="N10">
            <v>0.14299999999999999</v>
          </cell>
          <cell r="O10">
            <v>8.0000000000000002E-3</v>
          </cell>
          <cell r="P10">
            <v>1</v>
          </cell>
          <cell r="Q10">
            <v>0.22</v>
          </cell>
          <cell r="R10">
            <v>8.9999999999999993E-3</v>
          </cell>
          <cell r="S10">
            <v>0.85</v>
          </cell>
          <cell r="T10">
            <v>1</v>
          </cell>
          <cell r="U10">
            <v>3.7738174209626004E-12</v>
          </cell>
          <cell r="V10">
            <v>2.5819413353737599E-12</v>
          </cell>
          <cell r="W10">
            <v>3.8726446962259297E-12</v>
          </cell>
          <cell r="X10">
            <v>7.3859179387853007E-12</v>
          </cell>
          <cell r="Y10">
            <v>6.7025422877374503E-10</v>
          </cell>
        </row>
        <row r="11">
          <cell r="A11" t="str">
            <v>01211</v>
          </cell>
          <cell r="B11" t="str">
            <v>Asparagus</v>
          </cell>
          <cell r="C11" t="str">
            <v>Vegetables</v>
          </cell>
          <cell r="D11" t="str">
            <v>No</v>
          </cell>
          <cell r="G11">
            <v>0</v>
          </cell>
          <cell r="I11">
            <v>0</v>
          </cell>
          <cell r="J11">
            <v>0</v>
          </cell>
          <cell r="K11">
            <v>140</v>
          </cell>
          <cell r="L11">
            <v>351.54041999999998</v>
          </cell>
          <cell r="M11">
            <v>0</v>
          </cell>
          <cell r="N11">
            <v>0.14299999999999999</v>
          </cell>
          <cell r="O11">
            <v>8.0000000000000002E-3</v>
          </cell>
          <cell r="P11">
            <v>1</v>
          </cell>
          <cell r="Q11">
            <v>0.22</v>
          </cell>
          <cell r="R11">
            <v>8.9999999999999993E-3</v>
          </cell>
          <cell r="S11">
            <v>0.85</v>
          </cell>
          <cell r="T11">
            <v>1</v>
          </cell>
          <cell r="U11">
            <v>3.7738174209626004E-12</v>
          </cell>
          <cell r="V11">
            <v>2.5819413353737599E-12</v>
          </cell>
          <cell r="W11">
            <v>3.8726446962259297E-12</v>
          </cell>
          <cell r="X11">
            <v>7.3859179387853007E-12</v>
          </cell>
          <cell r="Y11">
            <v>6.7025422877374503E-10</v>
          </cell>
        </row>
        <row r="12">
          <cell r="A12" t="str">
            <v>01311</v>
          </cell>
          <cell r="B12" t="str">
            <v>Avocados</v>
          </cell>
          <cell r="C12" t="str">
            <v>Vegetables</v>
          </cell>
          <cell r="D12" t="str">
            <v>No</v>
          </cell>
          <cell r="G12">
            <v>136</v>
          </cell>
          <cell r="I12">
            <v>0</v>
          </cell>
          <cell r="J12">
            <v>77</v>
          </cell>
          <cell r="K12">
            <v>140</v>
          </cell>
          <cell r="L12">
            <v>537.19666000000007</v>
          </cell>
          <cell r="M12">
            <v>0</v>
          </cell>
          <cell r="N12">
            <v>0.14299999999999999</v>
          </cell>
          <cell r="O12">
            <v>8.0000000000000002E-3</v>
          </cell>
          <cell r="P12">
            <v>1</v>
          </cell>
          <cell r="Q12">
            <v>0.22</v>
          </cell>
          <cell r="R12">
            <v>8.9999999999999993E-3</v>
          </cell>
          <cell r="S12">
            <v>0.85</v>
          </cell>
          <cell r="T12">
            <v>1</v>
          </cell>
          <cell r="U12">
            <v>3.7738174209626004E-12</v>
          </cell>
          <cell r="V12">
            <v>2.5819413353737599E-12</v>
          </cell>
          <cell r="W12">
            <v>3.8726446962259297E-12</v>
          </cell>
          <cell r="X12">
            <v>7.3859179387853007E-12</v>
          </cell>
          <cell r="Y12">
            <v>6.7025422877374503E-10</v>
          </cell>
        </row>
        <row r="13">
          <cell r="A13" t="str">
            <v>01312</v>
          </cell>
          <cell r="B13" t="str">
            <v>Bananas</v>
          </cell>
          <cell r="C13" t="str">
            <v>Fruits</v>
          </cell>
          <cell r="D13" t="str">
            <v>No</v>
          </cell>
          <cell r="G13">
            <v>44</v>
          </cell>
          <cell r="I13">
            <v>0</v>
          </cell>
          <cell r="J13">
            <v>0</v>
          </cell>
          <cell r="K13">
            <v>450</v>
          </cell>
          <cell r="L13">
            <v>5018.6124800000007</v>
          </cell>
          <cell r="M13">
            <v>0</v>
          </cell>
          <cell r="N13">
            <v>0.14299999999999999</v>
          </cell>
          <cell r="O13">
            <v>8.0000000000000002E-3</v>
          </cell>
          <cell r="P13">
            <v>1</v>
          </cell>
          <cell r="Q13">
            <v>0.22</v>
          </cell>
          <cell r="R13">
            <v>8.9999999999999993E-3</v>
          </cell>
          <cell r="S13">
            <v>0.85</v>
          </cell>
          <cell r="T13">
            <v>1</v>
          </cell>
          <cell r="U13">
            <v>3.7738174209626004E-12</v>
          </cell>
          <cell r="V13">
            <v>2.5819413353737599E-12</v>
          </cell>
          <cell r="W13">
            <v>3.8726446962259297E-12</v>
          </cell>
          <cell r="X13">
            <v>7.3859179387853007E-12</v>
          </cell>
          <cell r="Y13">
            <v>6.7025422877374503E-10</v>
          </cell>
        </row>
        <row r="14">
          <cell r="A14" t="str">
            <v>0115</v>
          </cell>
          <cell r="B14" t="str">
            <v>Barley, average</v>
          </cell>
          <cell r="C14" t="str">
            <v>Cereals, incl feed</v>
          </cell>
          <cell r="D14" t="str">
            <v>No</v>
          </cell>
          <cell r="G14">
            <v>0</v>
          </cell>
          <cell r="I14">
            <v>58</v>
          </cell>
          <cell r="J14">
            <v>0</v>
          </cell>
          <cell r="K14">
            <v>70</v>
          </cell>
          <cell r="L14">
            <v>256.88123999999999</v>
          </cell>
          <cell r="M14">
            <v>0</v>
          </cell>
          <cell r="N14">
            <v>0.112</v>
          </cell>
          <cell r="O14">
            <v>7.0000000000000001E-3</v>
          </cell>
          <cell r="P14">
            <v>1.2</v>
          </cell>
          <cell r="Q14">
            <v>0.22</v>
          </cell>
          <cell r="R14">
            <v>1.4E-2</v>
          </cell>
          <cell r="S14">
            <v>0.89</v>
          </cell>
          <cell r="T14">
            <v>1</v>
          </cell>
          <cell r="U14">
            <v>3.7738174209626004E-12</v>
          </cell>
          <cell r="V14">
            <v>2.5819413353737599E-12</v>
          </cell>
          <cell r="W14">
            <v>3.8726446962259297E-12</v>
          </cell>
          <cell r="X14">
            <v>7.3859179387853007E-12</v>
          </cell>
          <cell r="Y14">
            <v>6.7025422877374503E-10</v>
          </cell>
        </row>
        <row r="15">
          <cell r="A15" t="str">
            <v>0115_s</v>
          </cell>
          <cell r="B15" t="str">
            <v>Barley, spring</v>
          </cell>
          <cell r="C15" t="str">
            <v>Cereals</v>
          </cell>
          <cell r="D15" t="str">
            <v>No</v>
          </cell>
        </row>
        <row r="16">
          <cell r="A16" t="str">
            <v>0115_w</v>
          </cell>
          <cell r="B16" t="str">
            <v>Barley, winter</v>
          </cell>
          <cell r="C16" t="str">
            <v>Cereals</v>
          </cell>
          <cell r="D16" t="str">
            <v>No</v>
          </cell>
        </row>
        <row r="17">
          <cell r="A17" t="str">
            <v>01701</v>
          </cell>
          <cell r="B17" t="str">
            <v>Beans, dry</v>
          </cell>
          <cell r="C17" t="str">
            <v>Pulses</v>
          </cell>
          <cell r="D17" t="str">
            <v>No</v>
          </cell>
          <cell r="G17">
            <v>0</v>
          </cell>
          <cell r="H17">
            <v>25</v>
          </cell>
          <cell r="I17">
            <v>0</v>
          </cell>
          <cell r="J17">
            <v>0</v>
          </cell>
          <cell r="K17">
            <v>65</v>
          </cell>
          <cell r="L17">
            <v>402.65129999999999</v>
          </cell>
          <cell r="M17">
            <v>0</v>
          </cell>
          <cell r="N17">
            <v>2.1999999999999999E-2</v>
          </cell>
          <cell r="O17">
            <v>8.0000000000000002E-3</v>
          </cell>
          <cell r="P17">
            <v>2.1</v>
          </cell>
          <cell r="Q17">
            <v>0.19</v>
          </cell>
          <cell r="R17">
            <v>8.0000000000000002E-3</v>
          </cell>
          <cell r="S17">
            <v>0.91</v>
          </cell>
          <cell r="T17">
            <v>1</v>
          </cell>
          <cell r="U17">
            <v>3.7738174209626004E-12</v>
          </cell>
          <cell r="V17">
            <v>2.5819413353737599E-12</v>
          </cell>
          <cell r="W17">
            <v>3.8726446962259297E-12</v>
          </cell>
          <cell r="X17">
            <v>7.3859179387853007E-12</v>
          </cell>
          <cell r="Y17">
            <v>6.7025422877374503E-10</v>
          </cell>
        </row>
        <row r="18">
          <cell r="A18" t="str">
            <v>01355.01</v>
          </cell>
          <cell r="B18" t="str">
            <v>Blueberries</v>
          </cell>
          <cell r="C18" t="str">
            <v>Berries</v>
          </cell>
          <cell r="D18" t="str">
            <v>No</v>
          </cell>
          <cell r="G18">
            <v>0</v>
          </cell>
          <cell r="I18">
            <v>0</v>
          </cell>
          <cell r="J18">
            <v>0</v>
          </cell>
          <cell r="K18">
            <v>300</v>
          </cell>
          <cell r="L18">
            <v>934.97712000000001</v>
          </cell>
          <cell r="M18">
            <v>0</v>
          </cell>
          <cell r="N18">
            <v>0.14299999999999999</v>
          </cell>
          <cell r="O18">
            <v>8.0000000000000002E-3</v>
          </cell>
          <cell r="P18">
            <v>1</v>
          </cell>
          <cell r="Q18">
            <v>0.22</v>
          </cell>
          <cell r="R18">
            <v>8.9999999999999993E-3</v>
          </cell>
          <cell r="S18">
            <v>0.85</v>
          </cell>
          <cell r="T18">
            <v>1</v>
          </cell>
          <cell r="U18">
            <v>3.7738174209626004E-12</v>
          </cell>
          <cell r="V18">
            <v>2.5819413353737599E-12</v>
          </cell>
          <cell r="W18">
            <v>3.8726446962259297E-12</v>
          </cell>
          <cell r="X18">
            <v>7.3859179387853007E-12</v>
          </cell>
          <cell r="Y18">
            <v>6.7025422877374503E-10</v>
          </cell>
        </row>
        <row r="19">
          <cell r="A19" t="str">
            <v>01377</v>
          </cell>
          <cell r="B19" t="str">
            <v>Brazil nuts, in shell</v>
          </cell>
          <cell r="C19" t="str">
            <v>Nuts</v>
          </cell>
          <cell r="D19" t="str">
            <v>No</v>
          </cell>
        </row>
        <row r="20">
          <cell r="A20" t="str">
            <v>01702</v>
          </cell>
          <cell r="B20" t="str">
            <v>Broad beans and horse beans, dry</v>
          </cell>
          <cell r="C20" t="str">
            <v>Pulses, incl feed</v>
          </cell>
          <cell r="D20" t="str">
            <v>No</v>
          </cell>
          <cell r="G20">
            <v>0</v>
          </cell>
          <cell r="H20">
            <v>24</v>
          </cell>
          <cell r="I20">
            <v>0</v>
          </cell>
          <cell r="J20">
            <v>0</v>
          </cell>
          <cell r="K20">
            <v>63.2</v>
          </cell>
          <cell r="L20">
            <v>272.98758000000004</v>
          </cell>
          <cell r="M20">
            <v>0</v>
          </cell>
          <cell r="N20">
            <v>2.1999999999999999E-2</v>
          </cell>
          <cell r="O20">
            <v>8.0000000000000002E-3</v>
          </cell>
          <cell r="P20">
            <v>2.1</v>
          </cell>
          <cell r="Q20">
            <v>0.19</v>
          </cell>
          <cell r="R20">
            <v>8.0000000000000002E-3</v>
          </cell>
          <cell r="S20">
            <v>0.91</v>
          </cell>
          <cell r="T20">
            <v>1</v>
          </cell>
          <cell r="U20">
            <v>3.7738174209626004E-12</v>
          </cell>
          <cell r="V20">
            <v>2.5819413353737599E-12</v>
          </cell>
          <cell r="W20">
            <v>3.8726446962259297E-12</v>
          </cell>
          <cell r="X20">
            <v>7.3859179387853007E-12</v>
          </cell>
          <cell r="Y20">
            <v>6.7025422877374503E-10</v>
          </cell>
        </row>
        <row r="21">
          <cell r="A21" t="str">
            <v>01243</v>
          </cell>
          <cell r="B21" t="str">
            <v>Broad beans and horse beans, green</v>
          </cell>
          <cell r="C21" t="str">
            <v>Vegetables</v>
          </cell>
          <cell r="D21" t="str">
            <v>No</v>
          </cell>
          <cell r="G21">
            <v>0</v>
          </cell>
          <cell r="H21">
            <v>24</v>
          </cell>
          <cell r="I21">
            <v>0</v>
          </cell>
          <cell r="J21">
            <v>0</v>
          </cell>
          <cell r="K21">
            <v>140</v>
          </cell>
          <cell r="L21">
            <v>1825.9602399999999</v>
          </cell>
          <cell r="M21">
            <v>0</v>
          </cell>
          <cell r="N21">
            <v>0.14299999999999999</v>
          </cell>
          <cell r="O21">
            <v>8.0000000000000002E-3</v>
          </cell>
          <cell r="P21">
            <v>1</v>
          </cell>
          <cell r="Q21">
            <v>0.22</v>
          </cell>
          <cell r="R21">
            <v>8.9999999999999993E-3</v>
          </cell>
          <cell r="S21">
            <v>0.85</v>
          </cell>
          <cell r="T21">
            <v>1</v>
          </cell>
          <cell r="U21">
            <v>3.7738174209626004E-12</v>
          </cell>
          <cell r="V21">
            <v>2.5819413353737599E-12</v>
          </cell>
          <cell r="W21">
            <v>3.8726446962259297E-12</v>
          </cell>
          <cell r="X21">
            <v>7.3859179387853007E-12</v>
          </cell>
          <cell r="Y21">
            <v>6.7025422877374503E-10</v>
          </cell>
        </row>
        <row r="22">
          <cell r="A22" t="str">
            <v>01213_b</v>
          </cell>
          <cell r="B22" t="str">
            <v>Broccoli</v>
          </cell>
          <cell r="C22" t="str">
            <v>Vegetables</v>
          </cell>
          <cell r="D22" t="str">
            <v>No</v>
          </cell>
        </row>
        <row r="23">
          <cell r="A23" t="str">
            <v>01192</v>
          </cell>
          <cell r="B23" t="str">
            <v>Buckwheat</v>
          </cell>
          <cell r="C23" t="str">
            <v>Seeds</v>
          </cell>
          <cell r="D23" t="str">
            <v>No</v>
          </cell>
        </row>
        <row r="24">
          <cell r="A24" t="str">
            <v>01212</v>
          </cell>
          <cell r="B24" t="str">
            <v>Cabbages</v>
          </cell>
          <cell r="C24" t="str">
            <v>Vegetables</v>
          </cell>
          <cell r="D24" t="str">
            <v>No</v>
          </cell>
          <cell r="G24">
            <v>0</v>
          </cell>
          <cell r="I24">
            <v>0</v>
          </cell>
          <cell r="J24">
            <v>0</v>
          </cell>
          <cell r="K24">
            <v>140</v>
          </cell>
          <cell r="L24">
            <v>2079.0554400000001</v>
          </cell>
          <cell r="M24">
            <v>0</v>
          </cell>
          <cell r="N24">
            <v>0.14299999999999999</v>
          </cell>
          <cell r="O24">
            <v>8.0000000000000002E-3</v>
          </cell>
          <cell r="P24">
            <v>1</v>
          </cell>
          <cell r="Q24">
            <v>0.22</v>
          </cell>
          <cell r="R24">
            <v>8.9999999999999993E-3</v>
          </cell>
          <cell r="S24">
            <v>0.85</v>
          </cell>
          <cell r="T24">
            <v>1</v>
          </cell>
          <cell r="U24">
            <v>3.7738174209626004E-12</v>
          </cell>
          <cell r="V24">
            <v>2.5819413353737599E-12</v>
          </cell>
          <cell r="W24">
            <v>3.8726446962259297E-12</v>
          </cell>
          <cell r="X24">
            <v>7.3859179387853007E-12</v>
          </cell>
          <cell r="Y24">
            <v>6.7025422877374503E-10</v>
          </cell>
        </row>
        <row r="25">
          <cell r="A25" t="str">
            <v>01229</v>
          </cell>
          <cell r="B25" t="str">
            <v>Cantaloupes and other melons</v>
          </cell>
          <cell r="C25" t="str">
            <v>Fruits</v>
          </cell>
          <cell r="D25" t="str">
            <v>Yes</v>
          </cell>
          <cell r="F25">
            <v>25162.959999999999</v>
          </cell>
          <cell r="G25">
            <v>135</v>
          </cell>
          <cell r="I25">
            <v>231.33818905599998</v>
          </cell>
          <cell r="J25">
            <v>49</v>
          </cell>
          <cell r="K25">
            <v>450</v>
          </cell>
          <cell r="L25">
            <v>830.37767999999994</v>
          </cell>
          <cell r="M25">
            <v>13.458138639894823</v>
          </cell>
          <cell r="N25">
            <v>0.14299999999999999</v>
          </cell>
          <cell r="O25">
            <v>8.0000000000000002E-3</v>
          </cell>
          <cell r="P25">
            <v>1</v>
          </cell>
          <cell r="Q25">
            <v>0.22</v>
          </cell>
          <cell r="R25">
            <v>8.9999999999999993E-3</v>
          </cell>
          <cell r="S25">
            <v>0.85</v>
          </cell>
          <cell r="T25">
            <v>1</v>
          </cell>
          <cell r="U25">
            <v>1.0040933916203999E-11</v>
          </cell>
          <cell r="V25">
            <v>1.5382109589240001E-11</v>
          </cell>
          <cell r="W25">
            <v>2.1977455618085499E-11</v>
          </cell>
          <cell r="X25">
            <v>1.14038353262019E-12</v>
          </cell>
          <cell r="Y25">
            <v>1.19148547693904E-10</v>
          </cell>
          <cell r="Z25">
            <v>1.869588449214089E-2</v>
          </cell>
        </row>
        <row r="26">
          <cell r="A26" t="str">
            <v>01251</v>
          </cell>
          <cell r="B26" t="str">
            <v>Carrots and turnips</v>
          </cell>
          <cell r="C26" t="str">
            <v>Vegetables</v>
          </cell>
          <cell r="D26" t="str">
            <v>No</v>
          </cell>
          <cell r="G26">
            <v>0</v>
          </cell>
          <cell r="I26">
            <v>0</v>
          </cell>
          <cell r="J26">
            <v>0</v>
          </cell>
          <cell r="K26">
            <v>140</v>
          </cell>
          <cell r="L26">
            <v>4499.1916200000005</v>
          </cell>
          <cell r="M26">
            <v>0</v>
          </cell>
          <cell r="N26">
            <v>0.01</v>
          </cell>
          <cell r="O26">
            <v>1.9E-2</v>
          </cell>
          <cell r="P26">
            <v>0.4</v>
          </cell>
          <cell r="Q26">
            <v>0.2</v>
          </cell>
          <cell r="R26">
            <v>1.4E-2</v>
          </cell>
          <cell r="S26">
            <v>0.22</v>
          </cell>
          <cell r="T26">
            <v>1</v>
          </cell>
          <cell r="U26">
            <v>3.7738174209626004E-12</v>
          </cell>
          <cell r="V26">
            <v>2.5819413353737599E-12</v>
          </cell>
          <cell r="W26">
            <v>3.8726446962259297E-12</v>
          </cell>
          <cell r="X26">
            <v>7.3859179387853007E-12</v>
          </cell>
          <cell r="Y26">
            <v>6.7025422877374503E-10</v>
          </cell>
        </row>
        <row r="27">
          <cell r="A27" t="str">
            <v>01372</v>
          </cell>
          <cell r="B27" t="str">
            <v>Cashew nuts, in shell</v>
          </cell>
          <cell r="C27" t="str">
            <v>Nuts</v>
          </cell>
          <cell r="D27" t="str">
            <v>No</v>
          </cell>
        </row>
        <row r="28">
          <cell r="A28" t="str">
            <v>01213_cf</v>
          </cell>
          <cell r="B28" t="str">
            <v>Cauliflowers</v>
          </cell>
          <cell r="C28" t="str">
            <v>Vegetables</v>
          </cell>
          <cell r="D28" t="str">
            <v>No</v>
          </cell>
        </row>
        <row r="29">
          <cell r="A29" t="str">
            <v>01213</v>
          </cell>
          <cell r="B29" t="str">
            <v>Cauliflowers and broccoli, average</v>
          </cell>
          <cell r="C29" t="str">
            <v>Vegetables</v>
          </cell>
          <cell r="D29" t="str">
            <v>No</v>
          </cell>
          <cell r="G29">
            <v>0</v>
          </cell>
          <cell r="I29">
            <v>0</v>
          </cell>
          <cell r="J29">
            <v>0</v>
          </cell>
          <cell r="K29">
            <v>140</v>
          </cell>
          <cell r="L29">
            <v>1373.29654</v>
          </cell>
          <cell r="M29">
            <v>0</v>
          </cell>
          <cell r="N29">
            <v>0.14299999999999999</v>
          </cell>
          <cell r="O29">
            <v>8.0000000000000002E-3</v>
          </cell>
          <cell r="P29">
            <v>1</v>
          </cell>
          <cell r="Q29">
            <v>0.22</v>
          </cell>
          <cell r="R29">
            <v>8.9999999999999993E-3</v>
          </cell>
          <cell r="S29">
            <v>0.85</v>
          </cell>
          <cell r="T29">
            <v>1</v>
          </cell>
          <cell r="U29">
            <v>3.7738174209626004E-12</v>
          </cell>
          <cell r="V29">
            <v>2.5819413353737599E-12</v>
          </cell>
          <cell r="W29">
            <v>3.8726446962259297E-12</v>
          </cell>
          <cell r="X29">
            <v>7.3859179387853007E-12</v>
          </cell>
          <cell r="Y29">
            <v>6.7025422877374503E-10</v>
          </cell>
        </row>
        <row r="30">
          <cell r="A30" t="str">
            <v>01199.90</v>
          </cell>
          <cell r="B30" t="str">
            <v>Cereals n.e.c.</v>
          </cell>
          <cell r="C30" t="str">
            <v>Cereals</v>
          </cell>
          <cell r="D30" t="str">
            <v>No</v>
          </cell>
          <cell r="G30">
            <v>88</v>
          </cell>
          <cell r="I30">
            <v>0</v>
          </cell>
          <cell r="J30">
            <v>30</v>
          </cell>
          <cell r="K30">
            <v>69</v>
          </cell>
          <cell r="L30">
            <v>2312.5902799999999</v>
          </cell>
          <cell r="M30">
            <v>0</v>
          </cell>
          <cell r="N30">
            <v>0.14299999999999999</v>
          </cell>
          <cell r="O30">
            <v>8.0000000000000002E-3</v>
          </cell>
          <cell r="P30">
            <v>1</v>
          </cell>
          <cell r="Q30">
            <v>0.22</v>
          </cell>
          <cell r="R30">
            <v>8.9999999999999993E-3</v>
          </cell>
          <cell r="S30">
            <v>0.85</v>
          </cell>
          <cell r="T30">
            <v>1</v>
          </cell>
          <cell r="U30">
            <v>3.7738174209626004E-12</v>
          </cell>
          <cell r="V30">
            <v>2.5819413353737599E-12</v>
          </cell>
          <cell r="W30">
            <v>3.8726446962259297E-12</v>
          </cell>
          <cell r="X30">
            <v>7.3859179387853007E-12</v>
          </cell>
          <cell r="Y30">
            <v>6.7025422877374503E-10</v>
          </cell>
        </row>
        <row r="31">
          <cell r="A31" t="str">
            <v>01344.02</v>
          </cell>
          <cell r="B31" t="str">
            <v>Cherries</v>
          </cell>
          <cell r="C31" t="str">
            <v>Berries</v>
          </cell>
          <cell r="D31" t="str">
            <v>No</v>
          </cell>
          <cell r="G31">
            <v>0</v>
          </cell>
          <cell r="I31">
            <v>0</v>
          </cell>
          <cell r="J31">
            <v>0</v>
          </cell>
          <cell r="K31">
            <v>300</v>
          </cell>
          <cell r="L31">
            <v>301.55202000000003</v>
          </cell>
          <cell r="M31">
            <v>0</v>
          </cell>
          <cell r="N31">
            <v>0.14299999999999999</v>
          </cell>
          <cell r="O31">
            <v>8.0000000000000002E-3</v>
          </cell>
          <cell r="P31">
            <v>1</v>
          </cell>
          <cell r="Q31">
            <v>0.22</v>
          </cell>
          <cell r="R31">
            <v>8.9999999999999993E-3</v>
          </cell>
          <cell r="S31">
            <v>0.85</v>
          </cell>
          <cell r="T31">
            <v>1</v>
          </cell>
          <cell r="U31">
            <v>3.7738174209626004E-12</v>
          </cell>
          <cell r="V31">
            <v>2.5819413353737599E-12</v>
          </cell>
          <cell r="W31">
            <v>3.8726446962259297E-12</v>
          </cell>
          <cell r="X31">
            <v>7.3859179387853007E-12</v>
          </cell>
          <cell r="Y31">
            <v>6.7025422877374503E-10</v>
          </cell>
        </row>
        <row r="32">
          <cell r="A32" t="str">
            <v>01373</v>
          </cell>
          <cell r="B32" t="str">
            <v>Chestnuts, in shell</v>
          </cell>
          <cell r="C32" t="str">
            <v>Nuts</v>
          </cell>
          <cell r="D32" t="str">
            <v>No</v>
          </cell>
          <cell r="G32">
            <v>0</v>
          </cell>
          <cell r="I32">
            <v>0</v>
          </cell>
          <cell r="J32">
            <v>0</v>
          </cell>
          <cell r="K32">
            <v>450</v>
          </cell>
          <cell r="L32">
            <v>4423.3006599999999</v>
          </cell>
          <cell r="M32">
            <v>0</v>
          </cell>
          <cell r="N32">
            <v>0.14299999999999999</v>
          </cell>
          <cell r="O32">
            <v>1.6E-2</v>
          </cell>
          <cell r="P32">
            <v>1</v>
          </cell>
          <cell r="Q32">
            <v>0.22</v>
          </cell>
          <cell r="R32">
            <v>8.9999999999999993E-3</v>
          </cell>
          <cell r="S32">
            <v>0.85</v>
          </cell>
          <cell r="T32">
            <v>1</v>
          </cell>
          <cell r="U32">
            <v>3.7738174209626004E-12</v>
          </cell>
          <cell r="V32">
            <v>2.5819413353737599E-12</v>
          </cell>
          <cell r="W32">
            <v>3.8726446962259297E-12</v>
          </cell>
          <cell r="X32">
            <v>7.3859179387853007E-12</v>
          </cell>
          <cell r="Y32">
            <v>6.7025422877374503E-10</v>
          </cell>
        </row>
        <row r="33">
          <cell r="A33" t="str">
            <v>01703</v>
          </cell>
          <cell r="B33" t="str">
            <v>Chick peas, dry</v>
          </cell>
          <cell r="C33" t="str">
            <v>Pulses</v>
          </cell>
          <cell r="D33" t="str">
            <v>No</v>
          </cell>
          <cell r="G33">
            <v>0</v>
          </cell>
          <cell r="H33">
            <v>63</v>
          </cell>
          <cell r="I33">
            <v>0</v>
          </cell>
          <cell r="J33">
            <v>0</v>
          </cell>
          <cell r="K33">
            <v>63.2</v>
          </cell>
          <cell r="L33">
            <v>155.79849999999999</v>
          </cell>
          <cell r="M33">
            <v>0</v>
          </cell>
          <cell r="N33">
            <v>2.1999999999999999E-2</v>
          </cell>
          <cell r="O33">
            <v>8.0000000000000002E-3</v>
          </cell>
          <cell r="P33">
            <v>2.1</v>
          </cell>
          <cell r="Q33">
            <v>0.19</v>
          </cell>
          <cell r="R33">
            <v>8.0000000000000002E-3</v>
          </cell>
          <cell r="S33">
            <v>0.91</v>
          </cell>
          <cell r="T33">
            <v>1</v>
          </cell>
          <cell r="U33">
            <v>3.7738174209626004E-12</v>
          </cell>
          <cell r="V33">
            <v>2.5819413353737599E-12</v>
          </cell>
          <cell r="W33">
            <v>3.8726446962259297E-12</v>
          </cell>
          <cell r="X33">
            <v>7.3859179387853007E-12</v>
          </cell>
          <cell r="Y33">
            <v>6.7025422877374503E-10</v>
          </cell>
        </row>
        <row r="34">
          <cell r="A34" t="str">
            <v>01231</v>
          </cell>
          <cell r="B34" t="str">
            <v>Chillies and peppers, green (Capsicum spp. and Pimenta spp.), raw</v>
          </cell>
          <cell r="C34" t="str">
            <v>Spices</v>
          </cell>
          <cell r="D34" t="str">
            <v>No</v>
          </cell>
          <cell r="G34">
            <v>260</v>
          </cell>
          <cell r="I34">
            <v>0</v>
          </cell>
          <cell r="J34">
            <v>0</v>
          </cell>
          <cell r="K34">
            <v>140</v>
          </cell>
          <cell r="L34">
            <v>5011.8037199999999</v>
          </cell>
          <cell r="M34">
            <v>0</v>
          </cell>
          <cell r="N34">
            <v>0.14299999999999999</v>
          </cell>
          <cell r="O34">
            <v>8.0000000000000002E-3</v>
          </cell>
          <cell r="P34">
            <v>1</v>
          </cell>
          <cell r="Q34">
            <v>0.22</v>
          </cell>
          <cell r="R34">
            <v>8.9999999999999993E-3</v>
          </cell>
          <cell r="S34">
            <v>0.85</v>
          </cell>
          <cell r="T34">
            <v>1</v>
          </cell>
          <cell r="U34">
            <v>3.7738174209626004E-12</v>
          </cell>
          <cell r="V34">
            <v>2.5819413353737599E-12</v>
          </cell>
          <cell r="W34">
            <v>3.8726446962259297E-12</v>
          </cell>
          <cell r="X34">
            <v>7.3859179387853007E-12</v>
          </cell>
          <cell r="Y34">
            <v>6.7025422877374503E-10</v>
          </cell>
        </row>
        <row r="35">
          <cell r="A35" t="str">
            <v>01640</v>
          </cell>
          <cell r="B35" t="str">
            <v>Cocoa beans</v>
          </cell>
          <cell r="C35" t="str">
            <v>Stimulants</v>
          </cell>
          <cell r="D35" t="str">
            <v>No</v>
          </cell>
        </row>
        <row r="36">
          <cell r="A36" t="str">
            <v>01460</v>
          </cell>
          <cell r="B36" t="str">
            <v>Coconut, in shell</v>
          </cell>
          <cell r="C36" t="str">
            <v>Nuts</v>
          </cell>
          <cell r="D36" t="str">
            <v>No</v>
          </cell>
        </row>
        <row r="37">
          <cell r="A37" t="str">
            <v>01610</v>
          </cell>
          <cell r="B37" t="str">
            <v>Coffee, green</v>
          </cell>
          <cell r="C37" t="str">
            <v>Stimulants</v>
          </cell>
          <cell r="D37" t="str">
            <v>Yes</v>
          </cell>
          <cell r="F37">
            <v>1724.92</v>
          </cell>
          <cell r="G37">
            <v>80</v>
          </cell>
          <cell r="I37">
            <v>15.858224512</v>
          </cell>
          <cell r="J37">
            <v>50</v>
          </cell>
          <cell r="K37">
            <v>140</v>
          </cell>
          <cell r="L37">
            <v>312.21052000000003</v>
          </cell>
          <cell r="M37">
            <v>5.94</v>
          </cell>
          <cell r="N37">
            <v>0.14299999999999999</v>
          </cell>
          <cell r="O37">
            <v>8.0000000000000002E-3</v>
          </cell>
          <cell r="P37">
            <v>1</v>
          </cell>
          <cell r="Q37">
            <v>0.22</v>
          </cell>
          <cell r="R37">
            <v>8.9999999999999993E-3</v>
          </cell>
          <cell r="S37">
            <v>0.85</v>
          </cell>
          <cell r="T37">
            <v>1</v>
          </cell>
          <cell r="U37">
            <v>1.0040933916203999E-11</v>
          </cell>
          <cell r="V37">
            <v>1.5382109589240001E-11</v>
          </cell>
          <cell r="W37">
            <v>2.1977455618085499E-11</v>
          </cell>
          <cell r="X37">
            <v>1.14038353262019E-12</v>
          </cell>
          <cell r="Y37">
            <v>1.19148547693904E-10</v>
          </cell>
          <cell r="Z37">
            <v>0.20384677277211433</v>
          </cell>
        </row>
        <row r="38">
          <cell r="A38" t="str">
            <v>01232</v>
          </cell>
          <cell r="B38" t="str">
            <v>Cucumbers and gherkins, averrage</v>
          </cell>
          <cell r="C38" t="str">
            <v>Vegetables</v>
          </cell>
          <cell r="D38" t="str">
            <v>No</v>
          </cell>
          <cell r="E38">
            <v>100</v>
          </cell>
          <cell r="G38">
            <v>0</v>
          </cell>
          <cell r="I38">
            <v>0</v>
          </cell>
          <cell r="J38">
            <v>0</v>
          </cell>
          <cell r="K38">
            <v>7</v>
          </cell>
          <cell r="L38">
            <v>7229.1511600000003</v>
          </cell>
          <cell r="M38">
            <v>0</v>
          </cell>
          <cell r="N38">
            <v>0.14299999999999999</v>
          </cell>
          <cell r="O38">
            <v>8.0000000000000002E-3</v>
          </cell>
          <cell r="P38">
            <v>1</v>
          </cell>
          <cell r="Q38">
            <v>0.22</v>
          </cell>
          <cell r="R38">
            <v>8.9999999999999993E-3</v>
          </cell>
          <cell r="S38">
            <v>0.85</v>
          </cell>
          <cell r="T38">
            <v>1</v>
          </cell>
          <cell r="U38">
            <v>4.3152628010601102E-12</v>
          </cell>
          <cell r="V38">
            <v>2.9820702145484398E-12</v>
          </cell>
          <cell r="W38">
            <v>3.9945103972923203E-12</v>
          </cell>
          <cell r="X38">
            <v>8.5069857698406102E-12</v>
          </cell>
          <cell r="Y38">
            <v>7.80206488939318E-10</v>
          </cell>
        </row>
        <row r="39">
          <cell r="A39" t="str">
            <v>01232_gh</v>
          </cell>
          <cell r="B39" t="str">
            <v>Cucumbers and gherkins, greenhouse</v>
          </cell>
          <cell r="C39" t="str">
            <v>Vegetables</v>
          </cell>
          <cell r="D39" t="str">
            <v>No</v>
          </cell>
        </row>
        <row r="40">
          <cell r="A40" t="str">
            <v>01232_of</v>
          </cell>
          <cell r="B40" t="str">
            <v>Cucumbers and gherkins, openfield</v>
          </cell>
          <cell r="C40" t="str">
            <v>Vegetables</v>
          </cell>
          <cell r="D40" t="str">
            <v>No</v>
          </cell>
        </row>
        <row r="41">
          <cell r="A41" t="str">
            <v>01351.01</v>
          </cell>
          <cell r="B41" t="str">
            <v>Currants</v>
          </cell>
          <cell r="C41" t="str">
            <v>Berries</v>
          </cell>
          <cell r="D41" t="str">
            <v>No</v>
          </cell>
          <cell r="G41">
            <v>0</v>
          </cell>
          <cell r="I41">
            <v>0</v>
          </cell>
          <cell r="J41">
            <v>0</v>
          </cell>
          <cell r="K41">
            <v>300</v>
          </cell>
          <cell r="L41">
            <v>298.375</v>
          </cell>
          <cell r="M41">
            <v>0</v>
          </cell>
          <cell r="N41">
            <v>0.14299999999999999</v>
          </cell>
          <cell r="O41">
            <v>8.0000000000000002E-3</v>
          </cell>
          <cell r="P41">
            <v>1</v>
          </cell>
          <cell r="Q41">
            <v>0.22</v>
          </cell>
          <cell r="R41">
            <v>8.9999999999999993E-3</v>
          </cell>
          <cell r="S41">
            <v>0.85</v>
          </cell>
          <cell r="T41">
            <v>1</v>
          </cell>
          <cell r="U41">
            <v>3.7738174209626004E-12</v>
          </cell>
          <cell r="V41">
            <v>2.5819413353737599E-12</v>
          </cell>
          <cell r="W41">
            <v>3.8726446962259297E-12</v>
          </cell>
          <cell r="X41">
            <v>7.3859179387853007E-12</v>
          </cell>
          <cell r="Y41">
            <v>6.7025422877374503E-10</v>
          </cell>
        </row>
        <row r="42">
          <cell r="A42" t="str">
            <v>01314</v>
          </cell>
          <cell r="B42" t="str">
            <v>Dates</v>
          </cell>
          <cell r="C42" t="str">
            <v>Fruits</v>
          </cell>
          <cell r="D42" t="str">
            <v>No</v>
          </cell>
          <cell r="G42">
            <v>0</v>
          </cell>
          <cell r="I42">
            <v>0</v>
          </cell>
          <cell r="J42">
            <v>257</v>
          </cell>
          <cell r="K42">
            <v>450</v>
          </cell>
          <cell r="L42">
            <v>4946.7837</v>
          </cell>
          <cell r="M42">
            <v>0</v>
          </cell>
          <cell r="N42">
            <v>0.14299999999999999</v>
          </cell>
          <cell r="O42">
            <v>8.0000000000000002E-3</v>
          </cell>
          <cell r="P42">
            <v>1</v>
          </cell>
          <cell r="Q42">
            <v>0.22</v>
          </cell>
          <cell r="R42">
            <v>8.9999999999999993E-3</v>
          </cell>
          <cell r="S42">
            <v>0.85</v>
          </cell>
          <cell r="T42">
            <v>1</v>
          </cell>
          <cell r="U42">
            <v>3.7738174209626004E-12</v>
          </cell>
          <cell r="V42">
            <v>2.5819413353737599E-12</v>
          </cell>
          <cell r="W42">
            <v>3.8726446962259297E-12</v>
          </cell>
          <cell r="X42">
            <v>7.3859179387853007E-12</v>
          </cell>
          <cell r="Y42">
            <v>6.7025422877374503E-10</v>
          </cell>
        </row>
        <row r="43">
          <cell r="A43" t="str">
            <v>01599.10</v>
          </cell>
          <cell r="B43" t="str">
            <v>Edible roots and tubers with high starch or inulin content, n.e.c., fresh</v>
          </cell>
          <cell r="C43" t="str">
            <v>Roots</v>
          </cell>
          <cell r="D43" t="str">
            <v>No</v>
          </cell>
          <cell r="G43">
            <v>0</v>
          </cell>
          <cell r="I43">
            <v>0</v>
          </cell>
          <cell r="J43">
            <v>0</v>
          </cell>
          <cell r="K43">
            <v>135.5</v>
          </cell>
          <cell r="L43">
            <v>939.57680000000005</v>
          </cell>
          <cell r="M43">
            <v>0</v>
          </cell>
          <cell r="N43">
            <v>1.2999999999999999E-2</v>
          </cell>
          <cell r="O43">
            <v>1.9E-2</v>
          </cell>
          <cell r="P43">
            <v>0.4</v>
          </cell>
          <cell r="Q43">
            <v>0.2</v>
          </cell>
          <cell r="R43">
            <v>1.4E-2</v>
          </cell>
          <cell r="S43">
            <v>0.22</v>
          </cell>
          <cell r="T43">
            <v>1</v>
          </cell>
          <cell r="U43">
            <v>3.7738174209626004E-12</v>
          </cell>
          <cell r="V43">
            <v>2.5819413353737599E-12</v>
          </cell>
          <cell r="W43">
            <v>3.8726446962259297E-12</v>
          </cell>
          <cell r="X43">
            <v>7.3859179387853007E-12</v>
          </cell>
          <cell r="Y43">
            <v>6.7025422877374503E-10</v>
          </cell>
        </row>
        <row r="44">
          <cell r="A44" t="str">
            <v>01233</v>
          </cell>
          <cell r="B44" t="str">
            <v>Eggplants (aubergines)</v>
          </cell>
          <cell r="C44" t="str">
            <v>Vegetables</v>
          </cell>
          <cell r="D44" t="str">
            <v>No</v>
          </cell>
          <cell r="G44">
            <v>0</v>
          </cell>
          <cell r="I44">
            <v>0</v>
          </cell>
          <cell r="J44">
            <v>0</v>
          </cell>
          <cell r="K44">
            <v>140</v>
          </cell>
          <cell r="L44">
            <v>5386.2501000000002</v>
          </cell>
          <cell r="M44">
            <v>0</v>
          </cell>
          <cell r="N44">
            <v>0.14299999999999999</v>
          </cell>
          <cell r="O44">
            <v>8.0000000000000002E-3</v>
          </cell>
          <cell r="P44">
            <v>1</v>
          </cell>
          <cell r="Q44">
            <v>0.22</v>
          </cell>
          <cell r="R44">
            <v>8.9999999999999993E-3</v>
          </cell>
          <cell r="S44">
            <v>0.85</v>
          </cell>
          <cell r="T44">
            <v>1</v>
          </cell>
          <cell r="U44">
            <v>3.7738174209626004E-12</v>
          </cell>
          <cell r="V44">
            <v>2.5819413353737599E-12</v>
          </cell>
          <cell r="W44">
            <v>3.8726446962259297E-12</v>
          </cell>
          <cell r="X44">
            <v>7.3859179387853007E-12</v>
          </cell>
          <cell r="Y44">
            <v>6.7025422877374503E-10</v>
          </cell>
        </row>
        <row r="45">
          <cell r="A45" t="str">
            <v>01315</v>
          </cell>
          <cell r="B45" t="str">
            <v>Figs</v>
          </cell>
          <cell r="C45" t="str">
            <v>Fruits</v>
          </cell>
          <cell r="D45" t="str">
            <v>No</v>
          </cell>
          <cell r="G45">
            <v>0</v>
          </cell>
          <cell r="I45">
            <v>0</v>
          </cell>
          <cell r="J45">
            <v>0</v>
          </cell>
          <cell r="K45">
            <v>450</v>
          </cell>
          <cell r="L45">
            <v>952.58438000000001</v>
          </cell>
          <cell r="M45">
            <v>0</v>
          </cell>
          <cell r="N45">
            <v>0.14299999999999999</v>
          </cell>
          <cell r="O45">
            <v>8.0000000000000002E-3</v>
          </cell>
          <cell r="P45">
            <v>1</v>
          </cell>
          <cell r="Q45">
            <v>0.22</v>
          </cell>
          <cell r="R45">
            <v>8.9999999999999993E-3</v>
          </cell>
          <cell r="S45">
            <v>0.85</v>
          </cell>
          <cell r="T45">
            <v>1</v>
          </cell>
          <cell r="U45">
            <v>3.7738174209626004E-12</v>
          </cell>
          <cell r="V45">
            <v>2.5819413353737599E-12</v>
          </cell>
          <cell r="W45">
            <v>3.8726446962259297E-12</v>
          </cell>
          <cell r="X45">
            <v>7.3859179387853007E-12</v>
          </cell>
          <cell r="Y45">
            <v>6.7025422877374503E-10</v>
          </cell>
        </row>
        <row r="46">
          <cell r="A46" t="str">
            <v>01351.02</v>
          </cell>
          <cell r="B46" t="str">
            <v>Gooseberries</v>
          </cell>
          <cell r="C46" t="str">
            <v>Berries</v>
          </cell>
          <cell r="D46" t="str">
            <v>No</v>
          </cell>
          <cell r="G46">
            <v>0</v>
          </cell>
          <cell r="I46">
            <v>0</v>
          </cell>
          <cell r="J46">
            <v>0</v>
          </cell>
          <cell r="K46">
            <v>300</v>
          </cell>
          <cell r="L46">
            <v>138.6</v>
          </cell>
          <cell r="M46">
            <v>0</v>
          </cell>
          <cell r="N46">
            <v>0.14299999999999999</v>
          </cell>
          <cell r="O46">
            <v>8.0000000000000002E-3</v>
          </cell>
          <cell r="P46">
            <v>1</v>
          </cell>
          <cell r="Q46">
            <v>0.22</v>
          </cell>
          <cell r="R46">
            <v>8.9999999999999993E-3</v>
          </cell>
          <cell r="S46">
            <v>0.85</v>
          </cell>
          <cell r="T46">
            <v>1</v>
          </cell>
          <cell r="U46">
            <v>3.7738174209626004E-12</v>
          </cell>
          <cell r="V46">
            <v>2.5819413353737599E-12</v>
          </cell>
          <cell r="W46">
            <v>3.8726446962259297E-12</v>
          </cell>
          <cell r="X46">
            <v>7.3859179387853007E-12</v>
          </cell>
          <cell r="Y46">
            <v>6.7025422877374503E-10</v>
          </cell>
        </row>
        <row r="47">
          <cell r="A47" t="str">
            <v>01330</v>
          </cell>
          <cell r="B47" t="str">
            <v>Grapes</v>
          </cell>
          <cell r="C47" t="str">
            <v>Fruits</v>
          </cell>
          <cell r="D47" t="str">
            <v>No</v>
          </cell>
          <cell r="G47">
            <v>13</v>
          </cell>
          <cell r="I47">
            <v>0</v>
          </cell>
          <cell r="J47">
            <v>9</v>
          </cell>
          <cell r="K47">
            <v>450</v>
          </cell>
          <cell r="L47">
            <v>882.44435999999996</v>
          </cell>
          <cell r="M47">
            <v>0</v>
          </cell>
          <cell r="N47">
            <v>0.14299999999999999</v>
          </cell>
          <cell r="O47">
            <v>8.0000000000000002E-3</v>
          </cell>
          <cell r="P47">
            <v>1</v>
          </cell>
          <cell r="Q47">
            <v>0.22</v>
          </cell>
          <cell r="R47">
            <v>8.9999999999999993E-3</v>
          </cell>
          <cell r="S47">
            <v>0.85</v>
          </cell>
          <cell r="T47">
            <v>1</v>
          </cell>
          <cell r="U47">
            <v>3.7738174209626004E-12</v>
          </cell>
          <cell r="V47">
            <v>2.5819413353737599E-12</v>
          </cell>
          <cell r="W47">
            <v>3.8726446962259297E-12</v>
          </cell>
          <cell r="X47">
            <v>7.3859179387853007E-12</v>
          </cell>
          <cell r="Y47">
            <v>6.7025422877374503E-10</v>
          </cell>
        </row>
        <row r="48">
          <cell r="A48" t="str">
            <v>01290.01</v>
          </cell>
          <cell r="B48" t="str">
            <v>Green corn (maize)</v>
          </cell>
          <cell r="C48" t="str">
            <v>Vegetables</v>
          </cell>
          <cell r="D48" t="str">
            <v>No</v>
          </cell>
        </row>
        <row r="49">
          <cell r="A49" t="str">
            <v>01252</v>
          </cell>
          <cell r="B49" t="str">
            <v>Green garlic</v>
          </cell>
          <cell r="C49" t="str">
            <v>Vegetables</v>
          </cell>
          <cell r="D49" t="str">
            <v>No</v>
          </cell>
          <cell r="G49">
            <v>0</v>
          </cell>
          <cell r="I49">
            <v>0</v>
          </cell>
          <cell r="J49">
            <v>0</v>
          </cell>
          <cell r="K49">
            <v>140</v>
          </cell>
          <cell r="L49">
            <v>771.10418000000004</v>
          </cell>
          <cell r="M49">
            <v>0</v>
          </cell>
          <cell r="N49">
            <v>0.01</v>
          </cell>
          <cell r="O49">
            <v>1.9E-2</v>
          </cell>
          <cell r="P49">
            <v>0.4</v>
          </cell>
          <cell r="Q49">
            <v>0.2</v>
          </cell>
          <cell r="R49">
            <v>1.4E-2</v>
          </cell>
          <cell r="S49">
            <v>0.22</v>
          </cell>
          <cell r="T49">
            <v>1</v>
          </cell>
          <cell r="U49">
            <v>3.7738174209626004E-12</v>
          </cell>
          <cell r="V49">
            <v>2.5819413353737599E-12</v>
          </cell>
          <cell r="W49">
            <v>3.8726446962259297E-12</v>
          </cell>
          <cell r="X49">
            <v>7.3859179387853007E-12</v>
          </cell>
          <cell r="Y49">
            <v>6.7025422877374503E-10</v>
          </cell>
        </row>
        <row r="50">
          <cell r="A50" t="str">
            <v>0142</v>
          </cell>
          <cell r="B50" t="str">
            <v>Groundnuts, excluding shelled</v>
          </cell>
          <cell r="C50" t="str">
            <v>Nuts</v>
          </cell>
          <cell r="D50" t="str">
            <v>No</v>
          </cell>
          <cell r="G50">
            <v>38</v>
          </cell>
          <cell r="I50">
            <v>0</v>
          </cell>
          <cell r="J50">
            <v>13</v>
          </cell>
          <cell r="K50">
            <v>450</v>
          </cell>
          <cell r="L50">
            <v>550.82899999999995</v>
          </cell>
          <cell r="M50">
            <v>0</v>
          </cell>
          <cell r="N50">
            <v>0.14299999999999999</v>
          </cell>
          <cell r="O50">
            <v>1.6E-2</v>
          </cell>
          <cell r="P50">
            <v>1</v>
          </cell>
          <cell r="Q50">
            <v>0.22</v>
          </cell>
          <cell r="R50">
            <v>8.9999999999999993E-3</v>
          </cell>
          <cell r="S50">
            <v>0.85</v>
          </cell>
          <cell r="T50">
            <v>1</v>
          </cell>
          <cell r="U50">
            <v>3.7738174209626004E-12</v>
          </cell>
          <cell r="V50">
            <v>2.5819413353737599E-12</v>
          </cell>
          <cell r="W50">
            <v>3.8726446962259297E-12</v>
          </cell>
          <cell r="X50">
            <v>7.3859179387853007E-12</v>
          </cell>
          <cell r="Y50">
            <v>6.7025422877374503E-10</v>
          </cell>
        </row>
        <row r="51">
          <cell r="A51" t="str">
            <v>01374</v>
          </cell>
          <cell r="B51" t="str">
            <v>Hazelnuts, in shell</v>
          </cell>
          <cell r="C51" t="str">
            <v>Nuts</v>
          </cell>
          <cell r="D51" t="str">
            <v>No</v>
          </cell>
          <cell r="G51">
            <v>0</v>
          </cell>
          <cell r="I51">
            <v>0</v>
          </cell>
          <cell r="J51">
            <v>0</v>
          </cell>
          <cell r="K51">
            <v>450</v>
          </cell>
          <cell r="L51">
            <v>729.41555999999991</v>
          </cell>
          <cell r="M51">
            <v>0</v>
          </cell>
          <cell r="N51">
            <v>0.14299999999999999</v>
          </cell>
          <cell r="O51">
            <v>1.6E-2</v>
          </cell>
          <cell r="P51">
            <v>1</v>
          </cell>
          <cell r="Q51">
            <v>0.22</v>
          </cell>
          <cell r="R51">
            <v>8.9999999999999993E-3</v>
          </cell>
          <cell r="S51">
            <v>0.85</v>
          </cell>
          <cell r="T51">
            <v>1</v>
          </cell>
          <cell r="U51">
            <v>3.7738174209626004E-12</v>
          </cell>
          <cell r="V51">
            <v>2.5819413353737599E-12</v>
          </cell>
          <cell r="W51">
            <v>3.8726446962259297E-12</v>
          </cell>
          <cell r="X51">
            <v>7.3859179387853007E-12</v>
          </cell>
          <cell r="Y51">
            <v>6.7025422877374503E-10</v>
          </cell>
        </row>
        <row r="52">
          <cell r="A52" t="str">
            <v>01352</v>
          </cell>
          <cell r="B52" t="str">
            <v>Kiwi fruit</v>
          </cell>
          <cell r="C52" t="str">
            <v>Fruits</v>
          </cell>
          <cell r="D52" t="str">
            <v>No</v>
          </cell>
          <cell r="G52">
            <v>80</v>
          </cell>
          <cell r="I52">
            <v>0</v>
          </cell>
          <cell r="J52">
            <v>133</v>
          </cell>
          <cell r="K52">
            <v>450</v>
          </cell>
          <cell r="L52">
            <v>4552.3348800000003</v>
          </cell>
          <cell r="M52">
            <v>0</v>
          </cell>
          <cell r="N52">
            <v>0.14299999999999999</v>
          </cell>
          <cell r="O52">
            <v>8.0000000000000002E-3</v>
          </cell>
          <cell r="P52">
            <v>1</v>
          </cell>
          <cell r="Q52">
            <v>0.22</v>
          </cell>
          <cell r="R52">
            <v>8.9999999999999993E-3</v>
          </cell>
          <cell r="S52">
            <v>0.85</v>
          </cell>
          <cell r="T52">
            <v>1</v>
          </cell>
          <cell r="U52">
            <v>3.7738174209626004E-12</v>
          </cell>
          <cell r="V52">
            <v>2.5819413353737599E-12</v>
          </cell>
          <cell r="W52">
            <v>3.8726446962259297E-12</v>
          </cell>
          <cell r="X52">
            <v>7.3859179387853007E-12</v>
          </cell>
          <cell r="Y52">
            <v>6.7025422877374503E-10</v>
          </cell>
        </row>
        <row r="53">
          <cell r="A53" t="str">
            <v>01254</v>
          </cell>
          <cell r="B53" t="str">
            <v>Leeks and other alliaceous vegetables</v>
          </cell>
          <cell r="C53" t="str">
            <v>Vegetables</v>
          </cell>
          <cell r="D53" t="str">
            <v>No</v>
          </cell>
          <cell r="G53">
            <v>0</v>
          </cell>
          <cell r="I53">
            <v>0</v>
          </cell>
          <cell r="J53">
            <v>0</v>
          </cell>
          <cell r="K53">
            <v>140</v>
          </cell>
          <cell r="L53">
            <v>2188.8743799999997</v>
          </cell>
          <cell r="M53">
            <v>0</v>
          </cell>
          <cell r="N53">
            <v>0.01</v>
          </cell>
          <cell r="O53">
            <v>1.9E-2</v>
          </cell>
          <cell r="P53">
            <v>0.4</v>
          </cell>
          <cell r="Q53">
            <v>0.2</v>
          </cell>
          <cell r="R53">
            <v>1.4E-2</v>
          </cell>
          <cell r="S53">
            <v>0.22</v>
          </cell>
          <cell r="T53">
            <v>1</v>
          </cell>
          <cell r="U53">
            <v>3.7738174209626004E-12</v>
          </cell>
          <cell r="V53">
            <v>2.5819413353737599E-12</v>
          </cell>
          <cell r="W53">
            <v>3.8726446962259297E-12</v>
          </cell>
          <cell r="X53">
            <v>7.3859179387853007E-12</v>
          </cell>
          <cell r="Y53">
            <v>6.7025422877374503E-10</v>
          </cell>
        </row>
        <row r="54">
          <cell r="A54" t="str">
            <v>01322</v>
          </cell>
          <cell r="B54" t="str">
            <v>Lemons and limes</v>
          </cell>
          <cell r="C54" t="str">
            <v>Fruits</v>
          </cell>
          <cell r="D54" t="str">
            <v>No</v>
          </cell>
          <cell r="G54">
            <v>260</v>
          </cell>
          <cell r="I54">
            <v>0</v>
          </cell>
          <cell r="J54">
            <v>75</v>
          </cell>
          <cell r="K54">
            <v>450</v>
          </cell>
          <cell r="L54">
            <v>3289.0673200000001</v>
          </cell>
          <cell r="M54">
            <v>0</v>
          </cell>
          <cell r="N54">
            <v>0.14299999999999999</v>
          </cell>
          <cell r="O54">
            <v>8.0000000000000002E-3</v>
          </cell>
          <cell r="P54">
            <v>1</v>
          </cell>
          <cell r="Q54">
            <v>0.22</v>
          </cell>
          <cell r="R54">
            <v>8.9999999999999993E-3</v>
          </cell>
          <cell r="S54">
            <v>0.85</v>
          </cell>
          <cell r="T54">
            <v>1</v>
          </cell>
          <cell r="U54">
            <v>3.7738174209626004E-12</v>
          </cell>
          <cell r="V54">
            <v>2.5819413353737599E-12</v>
          </cell>
          <cell r="W54">
            <v>3.8726446962259297E-12</v>
          </cell>
          <cell r="X54">
            <v>7.3859179387853007E-12</v>
          </cell>
          <cell r="Y54">
            <v>6.7025422877374503E-10</v>
          </cell>
        </row>
        <row r="55">
          <cell r="A55" t="str">
            <v>01704</v>
          </cell>
          <cell r="B55" t="str">
            <v>Lentils, dry</v>
          </cell>
          <cell r="C55" t="str">
            <v>Pulses</v>
          </cell>
          <cell r="D55" t="str">
            <v>No</v>
          </cell>
          <cell r="G55">
            <v>0</v>
          </cell>
          <cell r="I55">
            <v>0</v>
          </cell>
          <cell r="J55">
            <v>0</v>
          </cell>
          <cell r="K55">
            <v>79</v>
          </cell>
          <cell r="L55">
            <v>95.409600000000012</v>
          </cell>
          <cell r="M55">
            <v>0</v>
          </cell>
          <cell r="N55">
            <v>2.1999999999999999E-2</v>
          </cell>
          <cell r="O55">
            <v>8.0000000000000002E-3</v>
          </cell>
          <cell r="P55">
            <v>2.1</v>
          </cell>
          <cell r="Q55">
            <v>0.19</v>
          </cell>
          <cell r="R55">
            <v>8.0000000000000002E-3</v>
          </cell>
          <cell r="S55">
            <v>0.91</v>
          </cell>
          <cell r="T55">
            <v>1</v>
          </cell>
          <cell r="U55">
            <v>3.7738174209626004E-12</v>
          </cell>
          <cell r="V55">
            <v>2.5819413353737599E-12</v>
          </cell>
          <cell r="W55">
            <v>3.8726446962259297E-12</v>
          </cell>
          <cell r="X55">
            <v>7.3859179387853007E-12</v>
          </cell>
          <cell r="Y55">
            <v>6.7025422877374503E-10</v>
          </cell>
        </row>
        <row r="56">
          <cell r="A56" t="str">
            <v>01214</v>
          </cell>
          <cell r="B56" t="str">
            <v>Lettuce and chicory</v>
          </cell>
          <cell r="C56" t="str">
            <v>Vegetables</v>
          </cell>
          <cell r="D56" t="str">
            <v>No</v>
          </cell>
          <cell r="G56">
            <v>0</v>
          </cell>
          <cell r="I56">
            <v>0</v>
          </cell>
          <cell r="J56">
            <v>0</v>
          </cell>
          <cell r="K56">
            <v>140</v>
          </cell>
          <cell r="L56">
            <v>2216.1200600000002</v>
          </cell>
          <cell r="M56">
            <v>0</v>
          </cell>
          <cell r="N56">
            <v>0.14299999999999999</v>
          </cell>
          <cell r="O56">
            <v>8.0000000000000002E-3</v>
          </cell>
          <cell r="P56">
            <v>1</v>
          </cell>
          <cell r="Q56">
            <v>0.22</v>
          </cell>
          <cell r="R56">
            <v>8.9999999999999993E-3</v>
          </cell>
          <cell r="S56">
            <v>0.85</v>
          </cell>
          <cell r="T56">
            <v>1</v>
          </cell>
          <cell r="U56">
            <v>3.7738174209626004E-12</v>
          </cell>
          <cell r="V56">
            <v>2.5819413353737599E-12</v>
          </cell>
          <cell r="W56">
            <v>3.8726446962259297E-12</v>
          </cell>
          <cell r="X56">
            <v>7.3859179387853007E-12</v>
          </cell>
          <cell r="Y56">
            <v>6.7025422877374503E-10</v>
          </cell>
        </row>
        <row r="57">
          <cell r="A57" t="str">
            <v>01441</v>
          </cell>
          <cell r="B57" t="str">
            <v>Linseed</v>
          </cell>
          <cell r="C57" t="str">
            <v>Seeds</v>
          </cell>
          <cell r="D57" t="str">
            <v>No</v>
          </cell>
          <cell r="G57">
            <v>0</v>
          </cell>
          <cell r="I57">
            <v>0</v>
          </cell>
          <cell r="J57">
            <v>0</v>
          </cell>
          <cell r="K57">
            <v>65.400000000000006</v>
          </cell>
          <cell r="L57">
            <v>870.90479999999991</v>
          </cell>
          <cell r="M57">
            <v>0</v>
          </cell>
          <cell r="N57">
            <v>0.14299999999999999</v>
          </cell>
          <cell r="O57">
            <v>8.0000000000000002E-3</v>
          </cell>
          <cell r="P57">
            <v>1</v>
          </cell>
          <cell r="Q57">
            <v>0.22</v>
          </cell>
          <cell r="R57">
            <v>8.9999999999999993E-3</v>
          </cell>
          <cell r="S57">
            <v>0.85</v>
          </cell>
          <cell r="T57">
            <v>1</v>
          </cell>
          <cell r="U57">
            <v>3.7738174209626004E-12</v>
          </cell>
          <cell r="V57">
            <v>2.5819413353737599E-12</v>
          </cell>
          <cell r="W57">
            <v>3.8726446962259297E-12</v>
          </cell>
          <cell r="X57">
            <v>7.3859179387853007E-12</v>
          </cell>
          <cell r="Y57">
            <v>6.7025422877374503E-10</v>
          </cell>
        </row>
        <row r="58">
          <cell r="A58" t="str">
            <v>01709.02</v>
          </cell>
          <cell r="B58" t="str">
            <v>Lupins</v>
          </cell>
          <cell r="C58" t="str">
            <v>Pulses</v>
          </cell>
          <cell r="D58" t="str">
            <v>No</v>
          </cell>
          <cell r="G58">
            <v>0</v>
          </cell>
          <cell r="H58">
            <v>24</v>
          </cell>
          <cell r="I58">
            <v>0</v>
          </cell>
          <cell r="J58">
            <v>0</v>
          </cell>
          <cell r="K58">
            <v>63.2</v>
          </cell>
          <cell r="L58">
            <v>131.02232000000001</v>
          </cell>
          <cell r="M58">
            <v>0</v>
          </cell>
          <cell r="N58">
            <v>2.1999999999999999E-2</v>
          </cell>
          <cell r="O58">
            <v>8.0000000000000002E-3</v>
          </cell>
          <cell r="P58">
            <v>2.1</v>
          </cell>
          <cell r="Q58">
            <v>0.19</v>
          </cell>
          <cell r="R58">
            <v>8.0000000000000002E-3</v>
          </cell>
          <cell r="S58">
            <v>0.91</v>
          </cell>
          <cell r="T58">
            <v>1</v>
          </cell>
          <cell r="U58">
            <v>3.7738174209626004E-12</v>
          </cell>
          <cell r="V58">
            <v>2.5819413353737599E-12</v>
          </cell>
          <cell r="W58">
            <v>3.8726446962259297E-12</v>
          </cell>
          <cell r="X58">
            <v>7.3859179387853007E-12</v>
          </cell>
          <cell r="Y58">
            <v>6.7025422877374503E-10</v>
          </cell>
        </row>
        <row r="59">
          <cell r="A59" t="str">
            <v>0112</v>
          </cell>
          <cell r="B59" t="str">
            <v>Maize (corn)</v>
          </cell>
          <cell r="C59" t="str">
            <v>Cereals, incl feed</v>
          </cell>
          <cell r="D59" t="str">
            <v>No</v>
          </cell>
          <cell r="G59">
            <v>0</v>
          </cell>
          <cell r="I59">
            <v>0</v>
          </cell>
          <cell r="J59">
            <v>0</v>
          </cell>
          <cell r="K59">
            <v>69</v>
          </cell>
          <cell r="L59">
            <v>2822.5520999999999</v>
          </cell>
          <cell r="M59">
            <v>0</v>
          </cell>
          <cell r="N59">
            <v>0.14299999999999999</v>
          </cell>
          <cell r="O59">
            <v>6.0000000000000001E-3</v>
          </cell>
          <cell r="P59">
            <v>1</v>
          </cell>
          <cell r="Q59">
            <v>0.22</v>
          </cell>
          <cell r="R59">
            <v>7.0000000000000001E-3</v>
          </cell>
          <cell r="S59">
            <v>0.98</v>
          </cell>
          <cell r="T59">
            <v>1</v>
          </cell>
          <cell r="U59">
            <v>3.7738174209626004E-12</v>
          </cell>
          <cell r="V59">
            <v>2.5819413353737599E-12</v>
          </cell>
          <cell r="W59">
            <v>3.8726446962259297E-12</v>
          </cell>
          <cell r="X59">
            <v>7.3859179387853007E-12</v>
          </cell>
          <cell r="Y59">
            <v>6.7025422877374503E-10</v>
          </cell>
        </row>
        <row r="60">
          <cell r="A60" t="str">
            <v>01316</v>
          </cell>
          <cell r="B60" t="str">
            <v>Mangoes, guavas and mangosteens</v>
          </cell>
          <cell r="C60" t="str">
            <v>Fruits</v>
          </cell>
          <cell r="D60" t="str">
            <v>Yes</v>
          </cell>
          <cell r="F60">
            <v>21299.3</v>
          </cell>
          <cell r="G60">
            <v>227.27645079208733</v>
          </cell>
          <cell r="I60">
            <v>195.81724448</v>
          </cell>
          <cell r="J60">
            <v>65.560514651563651</v>
          </cell>
          <cell r="K60">
            <v>450</v>
          </cell>
          <cell r="L60">
            <v>702.87689999999998</v>
          </cell>
          <cell r="M60">
            <v>4.2521176457105412</v>
          </cell>
          <cell r="N60">
            <v>0.14299999999999999</v>
          </cell>
          <cell r="O60">
            <v>8.0000000000000002E-3</v>
          </cell>
          <cell r="P60">
            <v>1</v>
          </cell>
          <cell r="Q60">
            <v>0.22</v>
          </cell>
          <cell r="R60">
            <v>8.9999999999999993E-3</v>
          </cell>
          <cell r="S60">
            <v>0.85</v>
          </cell>
          <cell r="T60">
            <v>1</v>
          </cell>
          <cell r="U60">
            <v>1.0040933916203999E-11</v>
          </cell>
          <cell r="V60">
            <v>1.5382109589240001E-11</v>
          </cell>
          <cell r="W60">
            <v>2.1977455618085499E-11</v>
          </cell>
          <cell r="X60">
            <v>1.14038353262019E-12</v>
          </cell>
          <cell r="Y60">
            <v>1.19148547693904E-10</v>
          </cell>
          <cell r="Z60">
            <v>4.3739718577830485E-3</v>
          </cell>
        </row>
        <row r="61">
          <cell r="A61" t="str">
            <v>0118</v>
          </cell>
          <cell r="B61" t="str">
            <v>Millet</v>
          </cell>
          <cell r="C61" t="str">
            <v>Cereals</v>
          </cell>
          <cell r="D61" t="str">
            <v>No</v>
          </cell>
          <cell r="G61">
            <v>88</v>
          </cell>
          <cell r="I61">
            <v>0</v>
          </cell>
          <cell r="J61">
            <v>30</v>
          </cell>
          <cell r="K61">
            <v>69</v>
          </cell>
          <cell r="L61">
            <v>71.467400000000012</v>
          </cell>
          <cell r="M61">
            <v>0</v>
          </cell>
          <cell r="N61">
            <v>0.14299999999999999</v>
          </cell>
          <cell r="O61">
            <v>7.0000000000000001E-3</v>
          </cell>
          <cell r="P61">
            <v>1.4</v>
          </cell>
          <cell r="Q61">
            <v>0.22</v>
          </cell>
          <cell r="R61">
            <v>8.9999999999999993E-3</v>
          </cell>
          <cell r="S61">
            <v>0.9</v>
          </cell>
          <cell r="T61">
            <v>1</v>
          </cell>
          <cell r="U61">
            <v>3.7738174209626004E-12</v>
          </cell>
          <cell r="V61">
            <v>2.5819413353737599E-12</v>
          </cell>
          <cell r="W61">
            <v>3.8726446962259297E-12</v>
          </cell>
          <cell r="X61">
            <v>7.3859179387853007E-12</v>
          </cell>
          <cell r="Y61">
            <v>6.7025422877374503E-10</v>
          </cell>
        </row>
        <row r="62">
          <cell r="A62" t="str">
            <v>01199.02</v>
          </cell>
          <cell r="B62" t="str">
            <v>Mixed grain</v>
          </cell>
          <cell r="C62" t="str">
            <v>Cereals</v>
          </cell>
          <cell r="D62" t="str">
            <v>No</v>
          </cell>
          <cell r="G62">
            <v>88</v>
          </cell>
          <cell r="I62">
            <v>0</v>
          </cell>
          <cell r="J62">
            <v>30</v>
          </cell>
          <cell r="K62">
            <v>69</v>
          </cell>
          <cell r="L62">
            <v>1992.5254800000002</v>
          </cell>
          <cell r="M62">
            <v>0</v>
          </cell>
          <cell r="N62">
            <v>0.14299999999999999</v>
          </cell>
          <cell r="O62">
            <v>8.0000000000000002E-3</v>
          </cell>
          <cell r="P62">
            <v>1</v>
          </cell>
          <cell r="Q62">
            <v>0.22</v>
          </cell>
          <cell r="R62">
            <v>8.9999999999999993E-3</v>
          </cell>
          <cell r="S62">
            <v>0.85</v>
          </cell>
          <cell r="T62">
            <v>1</v>
          </cell>
          <cell r="U62">
            <v>3.7738174209626004E-12</v>
          </cell>
          <cell r="V62">
            <v>2.5819413353737599E-12</v>
          </cell>
          <cell r="W62">
            <v>3.8726446962259297E-12</v>
          </cell>
          <cell r="X62">
            <v>7.3859179387853007E-12</v>
          </cell>
          <cell r="Y62">
            <v>6.7025422877374503E-10</v>
          </cell>
        </row>
        <row r="63">
          <cell r="A63" t="str">
            <v>01270</v>
          </cell>
          <cell r="B63" t="str">
            <v>Mushrooms and truffles</v>
          </cell>
          <cell r="C63" t="str">
            <v>Mushrooms</v>
          </cell>
          <cell r="D63" t="str">
            <v>No</v>
          </cell>
        </row>
        <row r="64">
          <cell r="A64" t="str">
            <v>0117</v>
          </cell>
          <cell r="B64" t="str">
            <v>Oats</v>
          </cell>
          <cell r="C64" t="str">
            <v>Cereals, incl feed</v>
          </cell>
          <cell r="D64" t="str">
            <v>No</v>
          </cell>
          <cell r="G64">
            <v>0</v>
          </cell>
          <cell r="I64">
            <v>0</v>
          </cell>
          <cell r="J64">
            <v>0</v>
          </cell>
          <cell r="K64">
            <v>68.599999999999994</v>
          </cell>
          <cell r="L64">
            <v>2566.4851200000003</v>
          </cell>
          <cell r="M64">
            <v>0</v>
          </cell>
          <cell r="N64">
            <v>0.1</v>
          </cell>
          <cell r="O64">
            <v>7.0000000000000001E-3</v>
          </cell>
          <cell r="P64">
            <v>1.3</v>
          </cell>
          <cell r="Q64">
            <v>0.25</v>
          </cell>
          <cell r="R64">
            <v>8.0000000000000002E-3</v>
          </cell>
          <cell r="S64">
            <v>0.89</v>
          </cell>
          <cell r="T64">
            <v>1</v>
          </cell>
          <cell r="U64">
            <v>3.7738174209626004E-12</v>
          </cell>
          <cell r="V64">
            <v>2.5819413353737599E-12</v>
          </cell>
          <cell r="W64">
            <v>3.8726446962259297E-12</v>
          </cell>
          <cell r="X64">
            <v>7.3859179387853007E-12</v>
          </cell>
          <cell r="Y64">
            <v>6.7025422877374503E-10</v>
          </cell>
        </row>
        <row r="65">
          <cell r="A65" t="str">
            <v>01491.01</v>
          </cell>
          <cell r="B65" t="str">
            <v>Oil palm fruit</v>
          </cell>
          <cell r="C65" t="str">
            <v>Oil crops, tree</v>
          </cell>
          <cell r="D65" t="str">
            <v>No</v>
          </cell>
        </row>
        <row r="66">
          <cell r="A66" t="str">
            <v>01450</v>
          </cell>
          <cell r="B66" t="str">
            <v>Olives</v>
          </cell>
          <cell r="C66" t="str">
            <v>Oil crops, tree</v>
          </cell>
          <cell r="D66" t="str">
            <v>No</v>
          </cell>
          <cell r="G66">
            <v>32</v>
          </cell>
          <cell r="I66">
            <v>0</v>
          </cell>
          <cell r="J66">
            <v>32</v>
          </cell>
          <cell r="K66">
            <v>450</v>
          </cell>
          <cell r="L66">
            <v>1410.7414199999998</v>
          </cell>
          <cell r="M66">
            <v>0</v>
          </cell>
          <cell r="N66">
            <v>0.14299999999999999</v>
          </cell>
          <cell r="O66">
            <v>8.0000000000000002E-3</v>
          </cell>
          <cell r="P66">
            <v>1</v>
          </cell>
          <cell r="Q66">
            <v>0.22</v>
          </cell>
          <cell r="R66">
            <v>8.9999999999999993E-3</v>
          </cell>
          <cell r="S66">
            <v>0.85</v>
          </cell>
          <cell r="T66">
            <v>1</v>
          </cell>
          <cell r="U66">
            <v>3.7738174209626004E-12</v>
          </cell>
          <cell r="V66">
            <v>2.5819413353737599E-12</v>
          </cell>
          <cell r="W66">
            <v>3.8726446962259297E-12</v>
          </cell>
          <cell r="X66">
            <v>7.3859179387853007E-12</v>
          </cell>
          <cell r="Y66">
            <v>6.7025422877374503E-10</v>
          </cell>
        </row>
        <row r="67">
          <cell r="A67" t="str">
            <v>01253.02</v>
          </cell>
          <cell r="B67" t="str">
            <v>Onions and shallots, dry (excluding dehydrated)</v>
          </cell>
          <cell r="C67" t="str">
            <v>Vegetables</v>
          </cell>
          <cell r="D67" t="str">
            <v>No</v>
          </cell>
          <cell r="G67">
            <v>0</v>
          </cell>
          <cell r="I67">
            <v>0</v>
          </cell>
          <cell r="J67">
            <v>0</v>
          </cell>
          <cell r="K67">
            <v>140</v>
          </cell>
          <cell r="L67">
            <v>1816.4717599999999</v>
          </cell>
          <cell r="M67">
            <v>0</v>
          </cell>
          <cell r="N67">
            <v>0.01</v>
          </cell>
          <cell r="O67">
            <v>1.9E-2</v>
          </cell>
          <cell r="P67">
            <v>0.4</v>
          </cell>
          <cell r="Q67">
            <v>0.2</v>
          </cell>
          <cell r="R67">
            <v>1.4E-2</v>
          </cell>
          <cell r="S67">
            <v>0.22</v>
          </cell>
          <cell r="T67">
            <v>1</v>
          </cell>
          <cell r="U67">
            <v>3.7738174209626004E-12</v>
          </cell>
          <cell r="V67">
            <v>2.5819413353737599E-12</v>
          </cell>
          <cell r="W67">
            <v>3.8726446962259297E-12</v>
          </cell>
          <cell r="X67">
            <v>7.3859179387853007E-12</v>
          </cell>
          <cell r="Y67">
            <v>6.7025422877374503E-10</v>
          </cell>
        </row>
        <row r="68">
          <cell r="A68" t="str">
            <v>01323</v>
          </cell>
          <cell r="B68" t="str">
            <v>Oranges</v>
          </cell>
          <cell r="C68" t="str">
            <v>Fruits</v>
          </cell>
          <cell r="D68" t="str">
            <v>Yes</v>
          </cell>
          <cell r="F68">
            <v>28483.620000000003</v>
          </cell>
          <cell r="G68">
            <v>303.93750307805965</v>
          </cell>
          <cell r="I68">
            <v>261.86700883200001</v>
          </cell>
          <cell r="J68">
            <v>87.674279734055659</v>
          </cell>
          <cell r="K68">
            <v>450</v>
          </cell>
          <cell r="L68">
            <v>56.967240000000004</v>
          </cell>
          <cell r="M68">
            <v>5.6863701255775396</v>
          </cell>
          <cell r="N68">
            <v>0.14299999999999999</v>
          </cell>
          <cell r="O68">
            <v>8.0000000000000002E-3</v>
          </cell>
          <cell r="P68">
            <v>1</v>
          </cell>
          <cell r="Q68">
            <v>0.22</v>
          </cell>
          <cell r="R68">
            <v>8.9999999999999993E-3</v>
          </cell>
          <cell r="S68">
            <v>0.85</v>
          </cell>
          <cell r="T68">
            <v>1</v>
          </cell>
          <cell r="U68">
            <v>1.0040933916203999E-11</v>
          </cell>
          <cell r="V68">
            <v>1.5382109589240001E-11</v>
          </cell>
          <cell r="W68">
            <v>2.1977455618085499E-11</v>
          </cell>
          <cell r="X68">
            <v>1.14038353262019E-12</v>
          </cell>
          <cell r="Y68">
            <v>1.19148547693904E-10</v>
          </cell>
          <cell r="Z68">
            <v>7.2469878653181486E-3</v>
          </cell>
        </row>
        <row r="69">
          <cell r="A69" t="str">
            <v>01241.90</v>
          </cell>
          <cell r="B69" t="str">
            <v>Other beans, green</v>
          </cell>
          <cell r="C69" t="str">
            <v>Vegetables</v>
          </cell>
          <cell r="D69" t="str">
            <v>No</v>
          </cell>
          <cell r="G69">
            <v>0</v>
          </cell>
          <cell r="H69">
            <v>24</v>
          </cell>
          <cell r="I69">
            <v>0</v>
          </cell>
          <cell r="J69">
            <v>0</v>
          </cell>
          <cell r="K69">
            <v>61.1</v>
          </cell>
          <cell r="L69">
            <v>3960.3434000000002</v>
          </cell>
          <cell r="M69">
            <v>0</v>
          </cell>
          <cell r="N69">
            <v>2.1999999999999999E-2</v>
          </cell>
          <cell r="O69">
            <v>8.0000000000000002E-3</v>
          </cell>
          <cell r="P69">
            <v>2.1</v>
          </cell>
          <cell r="Q69">
            <v>0.19</v>
          </cell>
          <cell r="R69">
            <v>8.0000000000000002E-3</v>
          </cell>
          <cell r="S69">
            <v>0.91</v>
          </cell>
          <cell r="T69">
            <v>1</v>
          </cell>
          <cell r="U69">
            <v>3.7738174209626004E-12</v>
          </cell>
          <cell r="V69">
            <v>2.5819413353737599E-12</v>
          </cell>
          <cell r="W69">
            <v>3.8726446962259297E-12</v>
          </cell>
          <cell r="X69">
            <v>7.3859179387853007E-12</v>
          </cell>
          <cell r="Y69">
            <v>6.7025422877374503E-10</v>
          </cell>
        </row>
        <row r="70">
          <cell r="A70" t="str">
            <v>01359.90</v>
          </cell>
          <cell r="B70" t="str">
            <v>Other fruits, n.e.c.</v>
          </cell>
          <cell r="C70" t="str">
            <v>Fruits</v>
          </cell>
          <cell r="D70" t="str">
            <v>No</v>
          </cell>
          <cell r="G70">
            <v>99.65535430974461</v>
          </cell>
          <cell r="I70">
            <v>0</v>
          </cell>
          <cell r="J70">
            <v>50.461877603167295</v>
          </cell>
          <cell r="K70">
            <v>450</v>
          </cell>
          <cell r="L70">
            <v>2632.3237000000004</v>
          </cell>
          <cell r="M70">
            <v>0</v>
          </cell>
          <cell r="N70">
            <v>0.14299999999999999</v>
          </cell>
          <cell r="O70">
            <v>8.0000000000000002E-3</v>
          </cell>
          <cell r="P70">
            <v>1</v>
          </cell>
          <cell r="Q70">
            <v>0.22</v>
          </cell>
          <cell r="R70">
            <v>8.9999999999999993E-3</v>
          </cell>
          <cell r="S70">
            <v>0.85</v>
          </cell>
          <cell r="T70">
            <v>1</v>
          </cell>
          <cell r="U70">
            <v>3.7738174209626004E-12</v>
          </cell>
          <cell r="V70">
            <v>2.5819413353737599E-12</v>
          </cell>
          <cell r="W70">
            <v>3.8726446962259297E-12</v>
          </cell>
          <cell r="X70">
            <v>7.3859179387853007E-12</v>
          </cell>
          <cell r="Y70">
            <v>6.7025422877374503E-10</v>
          </cell>
        </row>
        <row r="71">
          <cell r="A71" t="str">
            <v>01449.90</v>
          </cell>
          <cell r="B71" t="str">
            <v>Other oil seeds, n.e.c.</v>
          </cell>
          <cell r="C71" t="str">
            <v>Oil crops</v>
          </cell>
          <cell r="D71" t="str">
            <v>No</v>
          </cell>
          <cell r="G71">
            <v>0</v>
          </cell>
          <cell r="I71">
            <v>0</v>
          </cell>
          <cell r="J71">
            <v>0</v>
          </cell>
          <cell r="K71">
            <v>60</v>
          </cell>
          <cell r="L71">
            <v>1385.4084</v>
          </cell>
          <cell r="M71">
            <v>0</v>
          </cell>
          <cell r="N71">
            <v>0.14299999999999999</v>
          </cell>
          <cell r="O71">
            <v>8.0000000000000002E-3</v>
          </cell>
          <cell r="P71">
            <v>1</v>
          </cell>
          <cell r="Q71">
            <v>0.22</v>
          </cell>
          <cell r="R71">
            <v>8.9999999999999993E-3</v>
          </cell>
          <cell r="S71">
            <v>0.85</v>
          </cell>
          <cell r="T71">
            <v>1</v>
          </cell>
          <cell r="U71">
            <v>3.7738174209626004E-12</v>
          </cell>
          <cell r="V71">
            <v>2.5819413353737599E-12</v>
          </cell>
          <cell r="W71">
            <v>3.8726446962259297E-12</v>
          </cell>
          <cell r="X71">
            <v>7.3859179387853007E-12</v>
          </cell>
          <cell r="Y71">
            <v>6.7025422877374503E-10</v>
          </cell>
        </row>
        <row r="72">
          <cell r="A72" t="str">
            <v>01709.90</v>
          </cell>
          <cell r="B72" t="str">
            <v>Other pulses n.e.c.</v>
          </cell>
          <cell r="C72" t="str">
            <v>Pulses</v>
          </cell>
          <cell r="D72" t="str">
            <v>No</v>
          </cell>
          <cell r="G72">
            <v>0</v>
          </cell>
          <cell r="H72">
            <v>24</v>
          </cell>
          <cell r="I72">
            <v>0</v>
          </cell>
          <cell r="J72">
            <v>0</v>
          </cell>
          <cell r="K72">
            <v>63.2</v>
          </cell>
          <cell r="L72">
            <v>154.39424000000002</v>
          </cell>
          <cell r="M72">
            <v>0</v>
          </cell>
          <cell r="N72">
            <v>2.1999999999999999E-2</v>
          </cell>
          <cell r="O72">
            <v>8.0000000000000002E-3</v>
          </cell>
          <cell r="P72">
            <v>2.1</v>
          </cell>
          <cell r="Q72">
            <v>0.19</v>
          </cell>
          <cell r="R72">
            <v>8.0000000000000002E-3</v>
          </cell>
          <cell r="S72">
            <v>0.91</v>
          </cell>
          <cell r="T72">
            <v>1</v>
          </cell>
          <cell r="U72">
            <v>3.7738174209626004E-12</v>
          </cell>
          <cell r="V72">
            <v>2.5819413353737599E-12</v>
          </cell>
          <cell r="W72">
            <v>3.8726446962259297E-12</v>
          </cell>
          <cell r="X72">
            <v>7.3859179387853007E-12</v>
          </cell>
          <cell r="Y72">
            <v>6.7025422877374503E-10</v>
          </cell>
        </row>
        <row r="73">
          <cell r="A73" t="str">
            <v>01699</v>
          </cell>
          <cell r="B73" t="str">
            <v>Other stimulant, spice and aromatic crops, n.e.c.</v>
          </cell>
          <cell r="C73" t="str">
            <v>Stimulants</v>
          </cell>
          <cell r="D73" t="str">
            <v>No</v>
          </cell>
          <cell r="G73">
            <v>0</v>
          </cell>
          <cell r="I73">
            <v>0</v>
          </cell>
          <cell r="J73">
            <v>0</v>
          </cell>
          <cell r="K73">
            <v>140</v>
          </cell>
          <cell r="L73">
            <v>2920.7669999999998</v>
          </cell>
          <cell r="M73">
            <v>0</v>
          </cell>
          <cell r="N73">
            <v>0.14299999999999999</v>
          </cell>
          <cell r="O73">
            <v>8.0000000000000002E-3</v>
          </cell>
          <cell r="P73">
            <v>1</v>
          </cell>
          <cell r="Q73">
            <v>0.22</v>
          </cell>
          <cell r="R73">
            <v>8.9999999999999993E-3</v>
          </cell>
          <cell r="S73">
            <v>0.85</v>
          </cell>
          <cell r="T73">
            <v>1</v>
          </cell>
          <cell r="U73">
            <v>3.7738174209626004E-12</v>
          </cell>
          <cell r="V73">
            <v>2.5819413353737599E-12</v>
          </cell>
          <cell r="W73">
            <v>3.8726446962259297E-12</v>
          </cell>
          <cell r="X73">
            <v>7.3859179387853007E-12</v>
          </cell>
          <cell r="Y73">
            <v>6.7025422877374503E-10</v>
          </cell>
        </row>
        <row r="74">
          <cell r="A74" t="str">
            <v>01290.90</v>
          </cell>
          <cell r="B74" t="str">
            <v>Other vegetables, fresh n.e.c.</v>
          </cell>
          <cell r="C74" t="str">
            <v>Vegetables</v>
          </cell>
          <cell r="D74" t="str">
            <v>No</v>
          </cell>
          <cell r="G74">
            <v>0</v>
          </cell>
          <cell r="I74">
            <v>0</v>
          </cell>
          <cell r="J74">
            <v>0</v>
          </cell>
          <cell r="K74">
            <v>140</v>
          </cell>
          <cell r="L74">
            <v>1503.8346399999998</v>
          </cell>
          <cell r="M74">
            <v>0</v>
          </cell>
          <cell r="N74">
            <v>0.14599999999999999</v>
          </cell>
          <cell r="O74">
            <v>8.0000000000000002E-3</v>
          </cell>
          <cell r="P74">
            <v>1</v>
          </cell>
          <cell r="Q74">
            <v>0.22</v>
          </cell>
          <cell r="R74">
            <v>8.9999999999999993E-3</v>
          </cell>
          <cell r="S74">
            <v>0.85</v>
          </cell>
          <cell r="T74">
            <v>1</v>
          </cell>
          <cell r="U74">
            <v>3.7738174209626004E-12</v>
          </cell>
          <cell r="V74">
            <v>2.5819413353737599E-12</v>
          </cell>
          <cell r="W74">
            <v>3.8726446962259297E-12</v>
          </cell>
          <cell r="X74">
            <v>7.3859179387853007E-12</v>
          </cell>
          <cell r="Y74">
            <v>6.7025422877374503E-10</v>
          </cell>
        </row>
        <row r="75">
          <cell r="A75" t="str">
            <v>01317</v>
          </cell>
          <cell r="B75" t="str">
            <v>Papayas</v>
          </cell>
          <cell r="C75" t="str">
            <v>Fruits</v>
          </cell>
          <cell r="D75" t="str">
            <v>Yes</v>
          </cell>
          <cell r="F75">
            <v>41562.020000000004</v>
          </cell>
          <cell r="G75">
            <v>443.49196421242721</v>
          </cell>
          <cell r="I75">
            <v>382.10458707200007</v>
          </cell>
          <cell r="J75">
            <v>127.93037429204631</v>
          </cell>
          <cell r="K75">
            <v>450</v>
          </cell>
          <cell r="L75">
            <v>1371.5466600000002</v>
          </cell>
          <cell r="M75">
            <v>8.2972960911097751</v>
          </cell>
          <cell r="N75">
            <v>0.14299999999999999</v>
          </cell>
          <cell r="O75">
            <v>8.0000000000000002E-3</v>
          </cell>
          <cell r="P75">
            <v>1</v>
          </cell>
          <cell r="Q75">
            <v>0.22</v>
          </cell>
          <cell r="R75">
            <v>8.9999999999999993E-3</v>
          </cell>
          <cell r="S75">
            <v>0.85</v>
          </cell>
          <cell r="T75">
            <v>1</v>
          </cell>
          <cell r="U75">
            <v>1.0040933916203999E-11</v>
          </cell>
          <cell r="V75">
            <v>1.5382109589240001E-11</v>
          </cell>
          <cell r="W75">
            <v>2.1977455618085499E-11</v>
          </cell>
          <cell r="X75">
            <v>1.14038353262019E-12</v>
          </cell>
          <cell r="Y75">
            <v>1.19148547693904E-10</v>
          </cell>
          <cell r="Z75">
            <v>1.0160319957557904E-2</v>
          </cell>
        </row>
        <row r="76">
          <cell r="A76" t="str">
            <v>01345</v>
          </cell>
          <cell r="B76" t="str">
            <v>Peaches and nectarines</v>
          </cell>
          <cell r="C76" t="str">
            <v>Fruits</v>
          </cell>
          <cell r="D76" t="str">
            <v>No</v>
          </cell>
          <cell r="G76">
            <v>9</v>
          </cell>
          <cell r="I76">
            <v>0</v>
          </cell>
          <cell r="J76">
            <v>34</v>
          </cell>
          <cell r="K76">
            <v>450</v>
          </cell>
          <cell r="L76">
            <v>5285.8741399999999</v>
          </cell>
          <cell r="M76">
            <v>0</v>
          </cell>
          <cell r="N76">
            <v>0.14299999999999999</v>
          </cell>
          <cell r="O76">
            <v>8.0000000000000002E-3</v>
          </cell>
          <cell r="P76">
            <v>1</v>
          </cell>
          <cell r="Q76">
            <v>0.22</v>
          </cell>
          <cell r="R76">
            <v>8.9999999999999993E-3</v>
          </cell>
          <cell r="S76">
            <v>0.85</v>
          </cell>
          <cell r="T76">
            <v>1</v>
          </cell>
          <cell r="U76">
            <v>3.7738174209626004E-12</v>
          </cell>
          <cell r="V76">
            <v>2.5819413353737599E-12</v>
          </cell>
          <cell r="W76">
            <v>3.8726446962259297E-12</v>
          </cell>
          <cell r="X76">
            <v>7.3859179387853007E-12</v>
          </cell>
          <cell r="Y76">
            <v>6.7025422877374503E-10</v>
          </cell>
        </row>
        <row r="77">
          <cell r="A77" t="str">
            <v>01342.01</v>
          </cell>
          <cell r="B77" t="str">
            <v>Pears</v>
          </cell>
          <cell r="C77" t="str">
            <v>Fruits</v>
          </cell>
          <cell r="D77" t="str">
            <v>No</v>
          </cell>
          <cell r="G77">
            <v>0</v>
          </cell>
          <cell r="I77">
            <v>0</v>
          </cell>
          <cell r="J77">
            <v>0</v>
          </cell>
          <cell r="K77">
            <v>450</v>
          </cell>
          <cell r="L77">
            <v>4491.2511000000004</v>
          </cell>
          <cell r="M77">
            <v>0</v>
          </cell>
          <cell r="N77">
            <v>0.14299999999999999</v>
          </cell>
          <cell r="O77">
            <v>8.0000000000000002E-3</v>
          </cell>
          <cell r="P77">
            <v>1</v>
          </cell>
          <cell r="Q77">
            <v>0.22</v>
          </cell>
          <cell r="R77">
            <v>8.9999999999999993E-3</v>
          </cell>
          <cell r="S77">
            <v>0.85</v>
          </cell>
          <cell r="T77">
            <v>1</v>
          </cell>
          <cell r="U77">
            <v>3.7738174209626004E-12</v>
          </cell>
          <cell r="V77">
            <v>2.5819413353737599E-12</v>
          </cell>
          <cell r="W77">
            <v>3.8726446962259297E-12</v>
          </cell>
          <cell r="X77">
            <v>7.3859179387853007E-12</v>
          </cell>
          <cell r="Y77">
            <v>6.7025422877374503E-10</v>
          </cell>
        </row>
        <row r="78">
          <cell r="A78" t="str">
            <v>01705</v>
          </cell>
          <cell r="B78" t="str">
            <v>Peas, dry</v>
          </cell>
          <cell r="C78" t="str">
            <v>Pulses, incl feed</v>
          </cell>
          <cell r="D78" t="str">
            <v>No</v>
          </cell>
          <cell r="G78">
            <v>0</v>
          </cell>
          <cell r="H78">
            <v>63</v>
          </cell>
          <cell r="I78">
            <v>0</v>
          </cell>
          <cell r="J78">
            <v>0</v>
          </cell>
          <cell r="K78">
            <v>63.2</v>
          </cell>
          <cell r="L78">
            <v>26.961119999999998</v>
          </cell>
          <cell r="M78">
            <v>0</v>
          </cell>
          <cell r="N78">
            <v>0</v>
          </cell>
          <cell r="O78">
            <v>8.0000000000000002E-3</v>
          </cell>
          <cell r="P78">
            <v>2.1</v>
          </cell>
          <cell r="Q78">
            <v>0.19</v>
          </cell>
          <cell r="R78">
            <v>8.0000000000000002E-3</v>
          </cell>
          <cell r="S78">
            <v>0.91</v>
          </cell>
          <cell r="T78">
            <v>1</v>
          </cell>
          <cell r="U78">
            <v>3.7738174209626004E-12</v>
          </cell>
          <cell r="V78">
            <v>2.5819413353737599E-12</v>
          </cell>
          <cell r="W78">
            <v>3.8726446962259297E-12</v>
          </cell>
          <cell r="X78">
            <v>7.3859179387853007E-12</v>
          </cell>
          <cell r="Y78">
            <v>6.7025422877374503E-10</v>
          </cell>
        </row>
        <row r="79">
          <cell r="A79" t="str">
            <v>01242</v>
          </cell>
          <cell r="B79" t="str">
            <v>Peas, green</v>
          </cell>
          <cell r="C79" t="str">
            <v>Vegetables</v>
          </cell>
          <cell r="D79" t="str">
            <v>No</v>
          </cell>
          <cell r="G79">
            <v>0</v>
          </cell>
          <cell r="H79">
            <v>63</v>
          </cell>
          <cell r="I79">
            <v>0</v>
          </cell>
          <cell r="J79">
            <v>0</v>
          </cell>
          <cell r="K79">
            <v>63.2</v>
          </cell>
          <cell r="L79">
            <v>135.39095999999998</v>
          </cell>
          <cell r="M79">
            <v>0</v>
          </cell>
          <cell r="N79">
            <v>0</v>
          </cell>
          <cell r="O79">
            <v>8.0000000000000002E-3</v>
          </cell>
          <cell r="P79">
            <v>2.1</v>
          </cell>
          <cell r="Q79">
            <v>0.19</v>
          </cell>
          <cell r="R79">
            <v>8.0000000000000002E-3</v>
          </cell>
          <cell r="S79">
            <v>0.91</v>
          </cell>
          <cell r="T79">
            <v>1</v>
          </cell>
          <cell r="U79">
            <v>3.7738174209626004E-12</v>
          </cell>
          <cell r="V79">
            <v>2.5819413353737599E-12</v>
          </cell>
          <cell r="W79">
            <v>3.8726446962259297E-12</v>
          </cell>
          <cell r="X79">
            <v>7.3859179387853007E-12</v>
          </cell>
          <cell r="Y79">
            <v>6.7025422877374503E-10</v>
          </cell>
        </row>
        <row r="80">
          <cell r="A80" t="str">
            <v>01651</v>
          </cell>
          <cell r="B80" t="str">
            <v>Pepper (Piper spp.), raw</v>
          </cell>
          <cell r="C80" t="str">
            <v>Vegetables</v>
          </cell>
          <cell r="D80" t="str">
            <v>Yes</v>
          </cell>
          <cell r="F80">
            <v>3000.6400000000003</v>
          </cell>
          <cell r="G80">
            <v>11.986266054329837</v>
          </cell>
          <cell r="I80">
            <v>27.586683904000004</v>
          </cell>
          <cell r="J80">
            <v>0</v>
          </cell>
          <cell r="K80">
            <v>450</v>
          </cell>
          <cell r="L80">
            <v>297.06336000000005</v>
          </cell>
          <cell r="M80">
            <v>1.6988227080848253</v>
          </cell>
          <cell r="N80">
            <v>0.14299999999999999</v>
          </cell>
          <cell r="O80">
            <v>8.0000000000000002E-3</v>
          </cell>
          <cell r="P80">
            <v>1</v>
          </cell>
          <cell r="Q80">
            <v>0.22</v>
          </cell>
          <cell r="R80">
            <v>8.9999999999999993E-3</v>
          </cell>
          <cell r="S80">
            <v>0.85</v>
          </cell>
          <cell r="T80">
            <v>1</v>
          </cell>
          <cell r="U80">
            <v>1.0040933916203999E-11</v>
          </cell>
          <cell r="V80">
            <v>1.5382109589240001E-11</v>
          </cell>
          <cell r="W80">
            <v>2.1977455618085499E-11</v>
          </cell>
          <cell r="X80">
            <v>1.14038353262019E-12</v>
          </cell>
          <cell r="Y80">
            <v>1.19148547693904E-10</v>
          </cell>
          <cell r="Z80">
            <v>1.5982467327121055</v>
          </cell>
        </row>
        <row r="81">
          <cell r="A81" t="str">
            <v>01318</v>
          </cell>
          <cell r="B81" t="str">
            <v>Pineapples</v>
          </cell>
          <cell r="C81" t="str">
            <v>Fruits</v>
          </cell>
          <cell r="D81" t="str">
            <v>No</v>
          </cell>
        </row>
        <row r="82">
          <cell r="A82" t="str">
            <v>01313</v>
          </cell>
          <cell r="B82" t="str">
            <v>Plantains and cooking bananas</v>
          </cell>
          <cell r="C82" t="str">
            <v>Fruits</v>
          </cell>
          <cell r="D82" t="str">
            <v>No</v>
          </cell>
        </row>
        <row r="83">
          <cell r="A83" t="str">
            <v>01346</v>
          </cell>
          <cell r="B83" t="str">
            <v>Plums and sloes</v>
          </cell>
          <cell r="C83" t="str">
            <v>Fruits</v>
          </cell>
          <cell r="D83" t="str">
            <v>No</v>
          </cell>
          <cell r="G83">
            <v>0</v>
          </cell>
          <cell r="I83">
            <v>0</v>
          </cell>
          <cell r="J83">
            <v>0</v>
          </cell>
          <cell r="K83">
            <v>450</v>
          </cell>
          <cell r="L83">
            <v>3240.2109999999998</v>
          </cell>
          <cell r="M83">
            <v>0</v>
          </cell>
          <cell r="N83">
            <v>0.14299999999999999</v>
          </cell>
          <cell r="O83">
            <v>8.0000000000000002E-3</v>
          </cell>
          <cell r="P83">
            <v>1</v>
          </cell>
          <cell r="Q83">
            <v>0.22</v>
          </cell>
          <cell r="R83">
            <v>8.9999999999999993E-3</v>
          </cell>
          <cell r="S83">
            <v>0.85</v>
          </cell>
          <cell r="T83">
            <v>1</v>
          </cell>
          <cell r="U83">
            <v>3.7738174209626004E-12</v>
          </cell>
          <cell r="V83">
            <v>2.5819413353737599E-12</v>
          </cell>
          <cell r="W83">
            <v>3.8726446962259297E-12</v>
          </cell>
          <cell r="X83">
            <v>7.3859179387853007E-12</v>
          </cell>
          <cell r="Y83">
            <v>6.7025422877374503E-10</v>
          </cell>
        </row>
        <row r="84">
          <cell r="A84" t="str">
            <v>01321</v>
          </cell>
          <cell r="B84" t="str">
            <v>Pomelos and grapefruits</v>
          </cell>
          <cell r="C84" t="str">
            <v>Fruits</v>
          </cell>
          <cell r="D84" t="str">
            <v>No</v>
          </cell>
          <cell r="G84">
            <v>140</v>
          </cell>
          <cell r="I84">
            <v>0</v>
          </cell>
          <cell r="J84">
            <v>32</v>
          </cell>
          <cell r="K84">
            <v>450</v>
          </cell>
          <cell r="L84">
            <v>3459.3085999999998</v>
          </cell>
          <cell r="M84">
            <v>0</v>
          </cell>
          <cell r="N84">
            <v>0.14299999999999999</v>
          </cell>
          <cell r="O84">
            <v>8.0000000000000002E-3</v>
          </cell>
          <cell r="P84">
            <v>1</v>
          </cell>
          <cell r="Q84">
            <v>0.22</v>
          </cell>
          <cell r="R84">
            <v>8.9999999999999993E-3</v>
          </cell>
          <cell r="S84">
            <v>0.85</v>
          </cell>
          <cell r="T84">
            <v>1</v>
          </cell>
          <cell r="U84">
            <v>3.7738174209626004E-12</v>
          </cell>
          <cell r="V84">
            <v>2.5819413353737599E-12</v>
          </cell>
          <cell r="W84">
            <v>3.8726446962259297E-12</v>
          </cell>
          <cell r="X84">
            <v>7.3859179387853007E-12</v>
          </cell>
          <cell r="Y84">
            <v>6.7025422877374503E-10</v>
          </cell>
        </row>
        <row r="85">
          <cell r="A85" t="str">
            <v>01448</v>
          </cell>
          <cell r="B85" t="str">
            <v>Poppy seed</v>
          </cell>
          <cell r="C85" t="str">
            <v>Seeds</v>
          </cell>
          <cell r="D85" t="str">
            <v>No</v>
          </cell>
          <cell r="G85">
            <v>0</v>
          </cell>
          <cell r="I85">
            <v>0</v>
          </cell>
          <cell r="J85">
            <v>0</v>
          </cell>
          <cell r="K85">
            <v>65.400000000000006</v>
          </cell>
          <cell r="L85">
            <v>1116.4175999999998</v>
          </cell>
          <cell r="M85">
            <v>0</v>
          </cell>
          <cell r="N85">
            <v>0.14299999999999999</v>
          </cell>
          <cell r="O85">
            <v>8.0000000000000002E-3</v>
          </cell>
          <cell r="P85">
            <v>1</v>
          </cell>
          <cell r="Q85">
            <v>0.22</v>
          </cell>
          <cell r="R85">
            <v>8.9999999999999993E-3</v>
          </cell>
          <cell r="S85">
            <v>0.85</v>
          </cell>
          <cell r="T85">
            <v>1</v>
          </cell>
          <cell r="U85">
            <v>3.7738174209626004E-12</v>
          </cell>
          <cell r="V85">
            <v>2.5819413353737599E-12</v>
          </cell>
          <cell r="W85">
            <v>3.8726446962259297E-12</v>
          </cell>
          <cell r="X85">
            <v>7.3859179387853007E-12</v>
          </cell>
          <cell r="Y85">
            <v>6.7025422877374503E-10</v>
          </cell>
        </row>
        <row r="86">
          <cell r="A86" t="str">
            <v>01510</v>
          </cell>
          <cell r="B86" t="str">
            <v>Potatoes</v>
          </cell>
          <cell r="C86" t="str">
            <v>Roots</v>
          </cell>
          <cell r="D86" t="str">
            <v>No</v>
          </cell>
          <cell r="G86">
            <v>0</v>
          </cell>
          <cell r="I86">
            <v>0</v>
          </cell>
          <cell r="J86">
            <v>0</v>
          </cell>
          <cell r="K86">
            <v>135.5</v>
          </cell>
          <cell r="L86">
            <v>1978.43488</v>
          </cell>
          <cell r="M86">
            <v>0</v>
          </cell>
          <cell r="N86">
            <v>1.2999999999999999E-2</v>
          </cell>
          <cell r="O86">
            <v>1.9E-2</v>
          </cell>
          <cell r="P86">
            <v>0.4</v>
          </cell>
          <cell r="Q86">
            <v>0.2</v>
          </cell>
          <cell r="R86">
            <v>1.4E-2</v>
          </cell>
          <cell r="S86">
            <v>0.22</v>
          </cell>
          <cell r="T86">
            <v>1</v>
          </cell>
          <cell r="U86">
            <v>3.7738174209626004E-12</v>
          </cell>
          <cell r="V86">
            <v>2.5819413353737599E-12</v>
          </cell>
          <cell r="W86">
            <v>3.8726446962259297E-12</v>
          </cell>
          <cell r="X86">
            <v>7.3859179387853007E-12</v>
          </cell>
          <cell r="Y86">
            <v>6.7025422877374503E-10</v>
          </cell>
        </row>
        <row r="87">
          <cell r="A87" t="str">
            <v>01235</v>
          </cell>
          <cell r="B87" t="str">
            <v>Pumpkins, squash and gourds</v>
          </cell>
          <cell r="C87" t="str">
            <v>Vegetables</v>
          </cell>
          <cell r="D87" t="str">
            <v>No</v>
          </cell>
          <cell r="G87">
            <v>0</v>
          </cell>
          <cell r="I87">
            <v>0</v>
          </cell>
          <cell r="K87">
            <v>140</v>
          </cell>
          <cell r="L87">
            <v>3709.5843399999999</v>
          </cell>
          <cell r="M87">
            <v>0</v>
          </cell>
          <cell r="N87">
            <v>0.14299999999999999</v>
          </cell>
          <cell r="O87">
            <v>8.0000000000000002E-3</v>
          </cell>
          <cell r="P87">
            <v>1</v>
          </cell>
          <cell r="Q87">
            <v>0.22</v>
          </cell>
          <cell r="R87">
            <v>8.9999999999999993E-3</v>
          </cell>
          <cell r="S87">
            <v>0.85</v>
          </cell>
          <cell r="T87">
            <v>1</v>
          </cell>
          <cell r="U87">
            <v>3.7738174209626004E-12</v>
          </cell>
          <cell r="V87">
            <v>2.5819413353737599E-12</v>
          </cell>
          <cell r="W87">
            <v>3.8726446962259297E-12</v>
          </cell>
          <cell r="X87">
            <v>7.3859179387853007E-12</v>
          </cell>
          <cell r="Y87">
            <v>6.7025422877374503E-10</v>
          </cell>
        </row>
        <row r="88">
          <cell r="A88" t="str">
            <v>01342.02</v>
          </cell>
          <cell r="B88" t="str">
            <v>Quinces</v>
          </cell>
          <cell r="C88" t="str">
            <v>Other</v>
          </cell>
          <cell r="D88" t="str">
            <v>No</v>
          </cell>
          <cell r="G88">
            <v>0</v>
          </cell>
          <cell r="I88">
            <v>0</v>
          </cell>
          <cell r="J88">
            <v>0</v>
          </cell>
          <cell r="K88">
            <v>450</v>
          </cell>
          <cell r="L88">
            <v>1663.239</v>
          </cell>
          <cell r="M88">
            <v>0</v>
          </cell>
          <cell r="N88">
            <v>0.14299999999999999</v>
          </cell>
          <cell r="O88">
            <v>8.0000000000000002E-3</v>
          </cell>
          <cell r="P88">
            <v>1</v>
          </cell>
          <cell r="Q88">
            <v>0.22</v>
          </cell>
          <cell r="R88">
            <v>8.9999999999999993E-3</v>
          </cell>
          <cell r="S88">
            <v>0.85</v>
          </cell>
          <cell r="T88">
            <v>1</v>
          </cell>
          <cell r="U88">
            <v>3.7738174209626004E-12</v>
          </cell>
          <cell r="V88">
            <v>2.5819413353737599E-12</v>
          </cell>
          <cell r="W88">
            <v>3.8726446962259297E-12</v>
          </cell>
          <cell r="X88">
            <v>7.3859179387853007E-12</v>
          </cell>
          <cell r="Y88">
            <v>6.7025422877374503E-10</v>
          </cell>
        </row>
        <row r="89">
          <cell r="A89" t="str">
            <v>01194</v>
          </cell>
          <cell r="B89" t="str">
            <v>Quinoa</v>
          </cell>
          <cell r="C89" t="str">
            <v>Seeds</v>
          </cell>
          <cell r="D89" t="str">
            <v>No</v>
          </cell>
        </row>
        <row r="90">
          <cell r="A90" t="str">
            <v>01443</v>
          </cell>
          <cell r="B90" t="str">
            <v>Rape or colza seed, average</v>
          </cell>
          <cell r="C90" t="str">
            <v>Oil crops</v>
          </cell>
          <cell r="D90" t="str">
            <v>No</v>
          </cell>
          <cell r="G90">
            <v>0</v>
          </cell>
          <cell r="I90">
            <v>0</v>
          </cell>
          <cell r="J90">
            <v>0</v>
          </cell>
          <cell r="K90">
            <v>60</v>
          </cell>
          <cell r="L90">
            <v>580.16721999999993</v>
          </cell>
          <cell r="M90">
            <v>0</v>
          </cell>
          <cell r="N90">
            <v>0.14299999999999999</v>
          </cell>
          <cell r="O90">
            <v>8.0000000000000002E-3</v>
          </cell>
          <cell r="P90">
            <v>1</v>
          </cell>
          <cell r="Q90">
            <v>0.22</v>
          </cell>
          <cell r="R90">
            <v>8.9999999999999993E-3</v>
          </cell>
          <cell r="S90">
            <v>0.85</v>
          </cell>
          <cell r="T90">
            <v>1</v>
          </cell>
          <cell r="U90">
            <v>3.7738174209626004E-12</v>
          </cell>
          <cell r="V90">
            <v>2.5819413353737599E-12</v>
          </cell>
          <cell r="W90">
            <v>3.8726446962259297E-12</v>
          </cell>
          <cell r="X90">
            <v>7.3859179387853007E-12</v>
          </cell>
          <cell r="Y90">
            <v>6.7025422877374503E-10</v>
          </cell>
        </row>
        <row r="91">
          <cell r="A91" t="str">
            <v>01443_s</v>
          </cell>
          <cell r="B91" t="str">
            <v>Rape or colza seed, spring</v>
          </cell>
          <cell r="C91" t="str">
            <v>Oil crops</v>
          </cell>
          <cell r="D91" t="str">
            <v>No</v>
          </cell>
        </row>
        <row r="92">
          <cell r="A92" t="str">
            <v>01443_w</v>
          </cell>
          <cell r="B92" t="str">
            <v>Rape or colza seed, winter</v>
          </cell>
          <cell r="C92" t="str">
            <v>Oil crops</v>
          </cell>
          <cell r="D92" t="str">
            <v>No</v>
          </cell>
        </row>
        <row r="93">
          <cell r="A93" t="str">
            <v>01353.01</v>
          </cell>
          <cell r="B93" t="str">
            <v>Raspberries</v>
          </cell>
          <cell r="C93" t="str">
            <v>Berries</v>
          </cell>
          <cell r="D93" t="str">
            <v>No</v>
          </cell>
          <cell r="G93">
            <v>0</v>
          </cell>
          <cell r="I93">
            <v>0</v>
          </cell>
          <cell r="J93">
            <v>0</v>
          </cell>
          <cell r="K93">
            <v>300</v>
          </cell>
          <cell r="L93">
            <v>1500.0770400000001</v>
          </cell>
          <cell r="M93">
            <v>0</v>
          </cell>
          <cell r="N93">
            <v>0.14299999999999999</v>
          </cell>
          <cell r="O93">
            <v>8.0000000000000002E-3</v>
          </cell>
          <cell r="P93">
            <v>1</v>
          </cell>
          <cell r="Q93">
            <v>0.22</v>
          </cell>
          <cell r="R93">
            <v>8.9999999999999993E-3</v>
          </cell>
          <cell r="S93">
            <v>0.85</v>
          </cell>
          <cell r="T93">
            <v>1</v>
          </cell>
          <cell r="U93">
            <v>3.7738174209626004E-12</v>
          </cell>
          <cell r="V93">
            <v>2.5819413353737599E-12</v>
          </cell>
          <cell r="W93">
            <v>3.8726446962259297E-12</v>
          </cell>
          <cell r="X93">
            <v>7.3859179387853007E-12</v>
          </cell>
          <cell r="Y93">
            <v>6.7025422877374503E-10</v>
          </cell>
        </row>
        <row r="94">
          <cell r="A94" t="str">
            <v>0113</v>
          </cell>
          <cell r="B94" t="str">
            <v>Rice</v>
          </cell>
          <cell r="C94" t="str">
            <v>Cereals</v>
          </cell>
          <cell r="D94" t="str">
            <v>No</v>
          </cell>
          <cell r="G94">
            <v>95</v>
          </cell>
          <cell r="I94">
            <v>0</v>
          </cell>
          <cell r="J94">
            <v>95</v>
          </cell>
          <cell r="K94">
            <v>69</v>
          </cell>
          <cell r="L94">
            <v>13132.09276</v>
          </cell>
          <cell r="M94">
            <v>0</v>
          </cell>
          <cell r="N94">
            <v>0.14299999999999999</v>
          </cell>
          <cell r="O94">
            <v>7.0000000000000001E-3</v>
          </cell>
          <cell r="P94">
            <v>1.4</v>
          </cell>
          <cell r="Q94">
            <v>0.16</v>
          </cell>
          <cell r="R94">
            <v>8.9999999999999993E-3</v>
          </cell>
          <cell r="S94">
            <v>0.89</v>
          </cell>
          <cell r="T94">
            <v>1</v>
          </cell>
          <cell r="U94">
            <v>3.7738174209626004E-12</v>
          </cell>
          <cell r="V94">
            <v>2.5819413353737599E-12</v>
          </cell>
          <cell r="W94">
            <v>3.8726446962259297E-12</v>
          </cell>
          <cell r="X94">
            <v>7.3859179387853007E-12</v>
          </cell>
          <cell r="Y94">
            <v>6.7025422877374503E-10</v>
          </cell>
        </row>
        <row r="95">
          <cell r="A95" t="str">
            <v>0116</v>
          </cell>
          <cell r="B95" t="str">
            <v>Rye</v>
          </cell>
          <cell r="C95" t="str">
            <v>Cereals, incl feed</v>
          </cell>
          <cell r="D95" t="str">
            <v>No</v>
          </cell>
          <cell r="G95">
            <v>0</v>
          </cell>
          <cell r="I95">
            <v>0</v>
          </cell>
          <cell r="J95">
            <v>0</v>
          </cell>
          <cell r="K95">
            <v>68.7</v>
          </cell>
          <cell r="L95">
            <v>7.0697399999999995</v>
          </cell>
          <cell r="M95">
            <v>0</v>
          </cell>
          <cell r="N95">
            <v>0.22</v>
          </cell>
          <cell r="O95">
            <v>5.0000000000000001E-3</v>
          </cell>
          <cell r="P95">
            <v>1.6</v>
          </cell>
          <cell r="Q95">
            <v>0.22</v>
          </cell>
          <cell r="R95">
            <v>1.0999999999999999E-2</v>
          </cell>
          <cell r="S95">
            <v>0.88</v>
          </cell>
          <cell r="T95">
            <v>1</v>
          </cell>
          <cell r="U95">
            <v>3.7738174209626004E-12</v>
          </cell>
          <cell r="V95">
            <v>2.5819413353737599E-12</v>
          </cell>
          <cell r="W95">
            <v>3.8726446962259297E-12</v>
          </cell>
          <cell r="X95">
            <v>7.3859179387853007E-12</v>
          </cell>
          <cell r="Y95">
            <v>6.7025422877374503E-10</v>
          </cell>
        </row>
        <row r="96">
          <cell r="A96" t="str">
            <v>0114</v>
          </cell>
          <cell r="B96" t="str">
            <v>Sorghum</v>
          </cell>
          <cell r="C96" t="str">
            <v>Cereals</v>
          </cell>
          <cell r="D96" t="str">
            <v>No</v>
          </cell>
          <cell r="G96">
            <v>88</v>
          </cell>
          <cell r="I96">
            <v>0</v>
          </cell>
          <cell r="J96">
            <v>30</v>
          </cell>
          <cell r="K96">
            <v>69</v>
          </cell>
          <cell r="L96">
            <v>168.54280000000003</v>
          </cell>
          <cell r="M96">
            <v>0</v>
          </cell>
          <cell r="N96">
            <v>0.14299999999999999</v>
          </cell>
          <cell r="O96">
            <v>7.0000000000000001E-3</v>
          </cell>
          <cell r="P96">
            <v>1.4</v>
          </cell>
          <cell r="Q96">
            <v>0.22</v>
          </cell>
          <cell r="R96">
            <v>6.0000000000000001E-3</v>
          </cell>
          <cell r="S96">
            <v>0.9</v>
          </cell>
          <cell r="T96">
            <v>1</v>
          </cell>
          <cell r="U96">
            <v>3.7738174209626004E-12</v>
          </cell>
          <cell r="V96">
            <v>2.5819413353737599E-12</v>
          </cell>
          <cell r="W96">
            <v>3.8726446962259297E-12</v>
          </cell>
          <cell r="X96">
            <v>7.3859179387853007E-12</v>
          </cell>
          <cell r="Y96">
            <v>6.7025422877374503E-10</v>
          </cell>
        </row>
        <row r="97">
          <cell r="A97" t="str">
            <v>01344.01</v>
          </cell>
          <cell r="B97" t="str">
            <v>Sour cherries</v>
          </cell>
          <cell r="C97" t="str">
            <v>Fruits</v>
          </cell>
          <cell r="D97" t="str">
            <v>No</v>
          </cell>
          <cell r="G97">
            <v>0</v>
          </cell>
          <cell r="I97">
            <v>0</v>
          </cell>
          <cell r="J97">
            <v>0</v>
          </cell>
          <cell r="K97">
            <v>450</v>
          </cell>
          <cell r="L97">
            <v>965.70707999999991</v>
          </cell>
          <cell r="M97">
            <v>0</v>
          </cell>
          <cell r="N97">
            <v>0.14299999999999999</v>
          </cell>
          <cell r="O97">
            <v>8.0000000000000002E-3</v>
          </cell>
          <cell r="P97">
            <v>1</v>
          </cell>
          <cell r="Q97">
            <v>0.22</v>
          </cell>
          <cell r="R97">
            <v>8.9999999999999993E-3</v>
          </cell>
          <cell r="S97">
            <v>0.85</v>
          </cell>
          <cell r="T97">
            <v>1</v>
          </cell>
          <cell r="U97">
            <v>3.7738174209626004E-12</v>
          </cell>
          <cell r="V97">
            <v>2.5819413353737599E-12</v>
          </cell>
          <cell r="W97">
            <v>3.8726446962259297E-12</v>
          </cell>
          <cell r="X97">
            <v>7.3859179387853007E-12</v>
          </cell>
          <cell r="Y97">
            <v>6.7025422877374503E-10</v>
          </cell>
        </row>
        <row r="98">
          <cell r="A98" t="str">
            <v>0141</v>
          </cell>
          <cell r="B98" t="str">
            <v>Soya beans</v>
          </cell>
          <cell r="C98" t="str">
            <v>Pulses</v>
          </cell>
          <cell r="D98" t="str">
            <v>Yes</v>
          </cell>
          <cell r="F98">
            <v>3334.7599999999998</v>
          </cell>
          <cell r="G98">
            <v>3</v>
          </cell>
          <cell r="H98">
            <v>249</v>
          </cell>
          <cell r="I98">
            <v>64.159395139840001</v>
          </cell>
          <cell r="J98">
            <v>22</v>
          </cell>
          <cell r="K98">
            <v>63.2</v>
          </cell>
          <cell r="L98">
            <v>3.3347599999999997</v>
          </cell>
          <cell r="M98">
            <v>1.1263426282303064</v>
          </cell>
          <cell r="N98">
            <v>2.1999999999999999E-2</v>
          </cell>
          <cell r="O98">
            <v>8.0000000000000002E-3</v>
          </cell>
          <cell r="P98">
            <v>2.1</v>
          </cell>
          <cell r="Q98">
            <v>0.19</v>
          </cell>
          <cell r="R98">
            <v>8.0000000000000002E-3</v>
          </cell>
          <cell r="S98">
            <v>0.91</v>
          </cell>
          <cell r="T98">
            <v>1</v>
          </cell>
          <cell r="U98">
            <v>1.0040933916203999E-11</v>
          </cell>
          <cell r="V98">
            <v>1.5382109589240001E-11</v>
          </cell>
          <cell r="W98">
            <v>2.1977455618085499E-11</v>
          </cell>
          <cell r="X98">
            <v>1.14038353262019E-12</v>
          </cell>
          <cell r="Y98">
            <v>1.19148547693904E-10</v>
          </cell>
          <cell r="Z98">
            <v>0.80081929551722919</v>
          </cell>
        </row>
        <row r="99">
          <cell r="A99" t="str">
            <v>01215</v>
          </cell>
          <cell r="B99" t="str">
            <v>Spinach</v>
          </cell>
          <cell r="C99" t="str">
            <v>Vegetables</v>
          </cell>
          <cell r="D99" t="str">
            <v>No</v>
          </cell>
          <cell r="G99">
            <v>0</v>
          </cell>
          <cell r="I99">
            <v>0</v>
          </cell>
          <cell r="J99">
            <v>0</v>
          </cell>
          <cell r="K99">
            <v>140</v>
          </cell>
          <cell r="L99">
            <v>1389.6898399999998</v>
          </cell>
          <cell r="M99">
            <v>0</v>
          </cell>
          <cell r="N99">
            <v>0.14299999999999999</v>
          </cell>
          <cell r="O99">
            <v>8.0000000000000002E-3</v>
          </cell>
          <cell r="P99">
            <v>1</v>
          </cell>
          <cell r="Q99">
            <v>0.22</v>
          </cell>
          <cell r="R99">
            <v>8.9999999999999993E-3</v>
          </cell>
          <cell r="S99">
            <v>0.85</v>
          </cell>
          <cell r="T99">
            <v>1</v>
          </cell>
          <cell r="U99">
            <v>3.7738174209626004E-12</v>
          </cell>
          <cell r="V99">
            <v>2.5819413353737599E-12</v>
          </cell>
          <cell r="W99">
            <v>3.8726446962259297E-12</v>
          </cell>
          <cell r="X99">
            <v>7.3859179387853007E-12</v>
          </cell>
          <cell r="Y99">
            <v>6.7025422877374503E-10</v>
          </cell>
        </row>
        <row r="100">
          <cell r="A100" t="str">
            <v>01354</v>
          </cell>
          <cell r="B100" t="str">
            <v>Strawberries</v>
          </cell>
          <cell r="C100" t="str">
            <v>Fruits</v>
          </cell>
          <cell r="D100" t="str">
            <v>No</v>
          </cell>
          <cell r="G100">
            <v>0</v>
          </cell>
          <cell r="I100">
            <v>0</v>
          </cell>
          <cell r="J100">
            <v>0</v>
          </cell>
          <cell r="K100">
            <v>300</v>
          </cell>
          <cell r="L100">
            <v>13341.087579999999</v>
          </cell>
          <cell r="M100">
            <v>0</v>
          </cell>
          <cell r="N100">
            <v>0.14299999999999999</v>
          </cell>
          <cell r="O100">
            <v>8.0000000000000002E-3</v>
          </cell>
          <cell r="P100">
            <v>1</v>
          </cell>
          <cell r="Q100">
            <v>0.22</v>
          </cell>
          <cell r="R100">
            <v>8.9999999999999993E-3</v>
          </cell>
          <cell r="S100">
            <v>0.85</v>
          </cell>
          <cell r="T100">
            <v>1</v>
          </cell>
          <cell r="U100">
            <v>3.7738174209626004E-12</v>
          </cell>
          <cell r="V100">
            <v>2.5819413353737599E-12</v>
          </cell>
          <cell r="W100">
            <v>3.8726446962259297E-12</v>
          </cell>
          <cell r="X100">
            <v>7.3859179387853007E-12</v>
          </cell>
          <cell r="Y100">
            <v>6.7025422877374503E-10</v>
          </cell>
        </row>
        <row r="101">
          <cell r="A101" t="str">
            <v>01801</v>
          </cell>
          <cell r="B101" t="str">
            <v>Sugar beet</v>
          </cell>
          <cell r="C101" t="str">
            <v>Sugar crops</v>
          </cell>
          <cell r="D101" t="str">
            <v>No</v>
          </cell>
          <cell r="G101">
            <v>0</v>
          </cell>
          <cell r="I101">
            <v>0</v>
          </cell>
          <cell r="J101">
            <v>0</v>
          </cell>
          <cell r="K101">
            <v>130</v>
          </cell>
          <cell r="L101">
            <v>4876.1641600000003</v>
          </cell>
          <cell r="M101">
            <v>0</v>
          </cell>
          <cell r="N101">
            <v>7.0000000000000001E-3</v>
          </cell>
          <cell r="O101">
            <v>1.9E-2</v>
          </cell>
          <cell r="P101">
            <v>0.4</v>
          </cell>
          <cell r="Q101">
            <v>0.2</v>
          </cell>
          <cell r="R101">
            <v>1.4E-2</v>
          </cell>
          <cell r="S101">
            <v>0.22</v>
          </cell>
          <cell r="T101">
            <v>1</v>
          </cell>
          <cell r="U101">
            <v>3.7738174209626004E-12</v>
          </cell>
          <cell r="V101">
            <v>2.5819413353737599E-12</v>
          </cell>
          <cell r="W101">
            <v>3.8726446962259297E-12</v>
          </cell>
          <cell r="X101">
            <v>7.3859179387853007E-12</v>
          </cell>
          <cell r="Y101">
            <v>6.7025422877374503E-10</v>
          </cell>
        </row>
        <row r="102">
          <cell r="A102" t="str">
            <v>01802</v>
          </cell>
          <cell r="B102" t="str">
            <v>Sugar cane</v>
          </cell>
          <cell r="C102" t="str">
            <v>Sugar crops</v>
          </cell>
          <cell r="D102" t="str">
            <v>No</v>
          </cell>
          <cell r="G102">
            <v>0</v>
          </cell>
          <cell r="I102">
            <v>0</v>
          </cell>
          <cell r="J102">
            <v>0</v>
          </cell>
          <cell r="K102">
            <v>130</v>
          </cell>
          <cell r="L102">
            <v>6831.5745999999999</v>
          </cell>
          <cell r="M102">
            <v>0</v>
          </cell>
          <cell r="N102">
            <v>0.14299999999999999</v>
          </cell>
          <cell r="O102">
            <v>8.0000000000000002E-3</v>
          </cell>
          <cell r="P102">
            <v>1</v>
          </cell>
          <cell r="Q102">
            <v>0.22</v>
          </cell>
          <cell r="R102">
            <v>8.9999999999999993E-3</v>
          </cell>
          <cell r="S102">
            <v>0.85</v>
          </cell>
          <cell r="T102">
            <v>1</v>
          </cell>
          <cell r="U102">
            <v>3.7738174209626004E-12</v>
          </cell>
          <cell r="V102">
            <v>2.5819413353737599E-12</v>
          </cell>
          <cell r="W102">
            <v>3.8726446962259297E-12</v>
          </cell>
          <cell r="X102">
            <v>7.3859179387853007E-12</v>
          </cell>
          <cell r="Y102">
            <v>6.7025422877374503E-10</v>
          </cell>
        </row>
        <row r="103">
          <cell r="A103" t="str">
            <v>01445</v>
          </cell>
          <cell r="B103" t="str">
            <v>Sunflower seed</v>
          </cell>
          <cell r="C103" t="str">
            <v>Oil crops</v>
          </cell>
          <cell r="D103" t="str">
            <v>No</v>
          </cell>
          <cell r="G103">
            <v>130</v>
          </cell>
          <cell r="I103">
            <v>0</v>
          </cell>
          <cell r="J103">
            <v>80</v>
          </cell>
          <cell r="K103">
            <v>65.400000000000006</v>
          </cell>
          <cell r="L103">
            <v>718.30360000000007</v>
          </cell>
          <cell r="M103">
            <v>5.5436975513993201E-4</v>
          </cell>
          <cell r="N103">
            <v>0.14299999999999999</v>
          </cell>
          <cell r="O103">
            <v>8.0000000000000002E-3</v>
          </cell>
          <cell r="P103">
            <v>1</v>
          </cell>
          <cell r="Q103">
            <v>0.22</v>
          </cell>
          <cell r="R103">
            <v>8.9999999999999993E-3</v>
          </cell>
          <cell r="S103">
            <v>0.85</v>
          </cell>
          <cell r="T103">
            <v>1</v>
          </cell>
          <cell r="U103">
            <v>3.7738174209626004E-12</v>
          </cell>
          <cell r="V103">
            <v>2.5819413353737599E-12</v>
          </cell>
          <cell r="W103">
            <v>3.8726446962259297E-12</v>
          </cell>
          <cell r="X103">
            <v>7.3859179387853007E-12</v>
          </cell>
          <cell r="Y103">
            <v>6.7025422877374503E-10</v>
          </cell>
        </row>
        <row r="104">
          <cell r="A104" t="str">
            <v>01530</v>
          </cell>
          <cell r="B104" t="str">
            <v>Sweet potatoes</v>
          </cell>
          <cell r="C104" t="str">
            <v>Roots</v>
          </cell>
          <cell r="D104" t="str">
            <v>No</v>
          </cell>
          <cell r="G104">
            <v>125</v>
          </cell>
          <cell r="I104">
            <v>0</v>
          </cell>
          <cell r="J104">
            <v>50</v>
          </cell>
          <cell r="K104">
            <v>135.5</v>
          </cell>
          <cell r="L104">
            <v>3950.1472000000003</v>
          </cell>
          <cell r="M104">
            <v>1978.43488</v>
          </cell>
          <cell r="N104">
            <v>1.2999999999999999E-2</v>
          </cell>
          <cell r="O104">
            <v>1.9E-2</v>
          </cell>
          <cell r="P104">
            <v>0.4</v>
          </cell>
          <cell r="Q104">
            <v>0.2</v>
          </cell>
          <cell r="R104">
            <v>1.4E-2</v>
          </cell>
          <cell r="S104">
            <v>0.22</v>
          </cell>
          <cell r="T104">
            <v>1</v>
          </cell>
          <cell r="U104">
            <v>3.7738174209626004E-12</v>
          </cell>
          <cell r="V104">
            <v>2.5819413353737599E-12</v>
          </cell>
          <cell r="W104">
            <v>3.8726446962259297E-12</v>
          </cell>
          <cell r="X104">
            <v>7.3859179387853007E-12</v>
          </cell>
          <cell r="Y104">
            <v>6.7025422877374503E-10</v>
          </cell>
        </row>
        <row r="105">
          <cell r="A105" t="str">
            <v>01324</v>
          </cell>
          <cell r="B105" t="str">
            <v>Tangerines, mandarins, clementines</v>
          </cell>
          <cell r="C105" t="str">
            <v>Fruits</v>
          </cell>
          <cell r="D105" t="str">
            <v>No</v>
          </cell>
          <cell r="G105">
            <v>0</v>
          </cell>
          <cell r="I105">
            <v>0</v>
          </cell>
          <cell r="J105">
            <v>0</v>
          </cell>
          <cell r="K105">
            <v>450</v>
          </cell>
          <cell r="L105">
            <v>3109.3788000000004</v>
          </cell>
          <cell r="M105">
            <v>0</v>
          </cell>
          <cell r="N105">
            <v>0.14299999999999999</v>
          </cell>
          <cell r="O105">
            <v>8.0000000000000002E-3</v>
          </cell>
          <cell r="P105">
            <v>1</v>
          </cell>
          <cell r="Q105">
            <v>0.22</v>
          </cell>
          <cell r="R105">
            <v>8.9999999999999993E-3</v>
          </cell>
          <cell r="S105">
            <v>0.85</v>
          </cell>
          <cell r="T105">
            <v>1</v>
          </cell>
          <cell r="U105">
            <v>3.7738174209626004E-12</v>
          </cell>
          <cell r="V105">
            <v>2.5819413353737599E-12</v>
          </cell>
          <cell r="W105">
            <v>3.8726446962259297E-12</v>
          </cell>
          <cell r="X105">
            <v>7.3859179387853007E-12</v>
          </cell>
          <cell r="Y105">
            <v>6.7025422877374503E-10</v>
          </cell>
        </row>
        <row r="106">
          <cell r="A106" t="str">
            <v>01234</v>
          </cell>
          <cell r="B106" t="str">
            <v>Tomatoes, average</v>
          </cell>
          <cell r="C106" t="str">
            <v>Vegetables</v>
          </cell>
          <cell r="D106" t="str">
            <v>No</v>
          </cell>
          <cell r="E106">
            <v>100</v>
          </cell>
          <cell r="G106">
            <v>0</v>
          </cell>
          <cell r="I106">
            <v>0</v>
          </cell>
          <cell r="J106">
            <v>0</v>
          </cell>
          <cell r="K106">
            <v>0</v>
          </cell>
          <cell r="L106">
            <v>1932.5335999999998</v>
          </cell>
          <cell r="M106">
            <v>0</v>
          </cell>
          <cell r="N106">
            <v>0.14299999999999999</v>
          </cell>
          <cell r="O106">
            <v>8.0000000000000002E-3</v>
          </cell>
          <cell r="P106">
            <v>1</v>
          </cell>
          <cell r="Q106">
            <v>0.22</v>
          </cell>
          <cell r="R106">
            <v>8.9999999999999993E-3</v>
          </cell>
          <cell r="S106">
            <v>0.85</v>
          </cell>
          <cell r="T106">
            <v>1</v>
          </cell>
          <cell r="U106">
            <v>4.3152628010601102E-12</v>
          </cell>
          <cell r="V106">
            <v>2.9820702145484398E-12</v>
          </cell>
          <cell r="W106">
            <v>3.9945103972923203E-12</v>
          </cell>
          <cell r="X106">
            <v>8.5069857698406102E-12</v>
          </cell>
          <cell r="Y106">
            <v>7.80206488939318E-10</v>
          </cell>
        </row>
        <row r="107">
          <cell r="A107" t="str">
            <v>01234_gh</v>
          </cell>
          <cell r="B107" t="str">
            <v>Tomatoes, greenhouse</v>
          </cell>
          <cell r="C107" t="str">
            <v>Vegetables</v>
          </cell>
          <cell r="D107" t="str">
            <v>No</v>
          </cell>
        </row>
        <row r="108">
          <cell r="A108" t="str">
            <v>01234_of</v>
          </cell>
          <cell r="B108" t="str">
            <v>Tomatoes, openfield</v>
          </cell>
          <cell r="C108" t="str">
            <v>Vegetables</v>
          </cell>
          <cell r="D108" t="str">
            <v>No</v>
          </cell>
        </row>
        <row r="109">
          <cell r="A109" t="str">
            <v>01191</v>
          </cell>
          <cell r="B109" t="str">
            <v>Triticale</v>
          </cell>
          <cell r="C109" t="str">
            <v>Cereals</v>
          </cell>
          <cell r="D109" t="str">
            <v>No</v>
          </cell>
          <cell r="G109">
            <v>0</v>
          </cell>
          <cell r="I109">
            <v>0</v>
          </cell>
          <cell r="J109">
            <v>0</v>
          </cell>
          <cell r="K109">
            <v>66.7</v>
          </cell>
          <cell r="L109">
            <v>2178.9803200000001</v>
          </cell>
          <cell r="M109">
            <v>0</v>
          </cell>
          <cell r="N109">
            <v>0.14299999999999999</v>
          </cell>
          <cell r="O109">
            <v>8.0000000000000002E-3</v>
          </cell>
          <cell r="P109">
            <v>1</v>
          </cell>
          <cell r="Q109">
            <v>0.22</v>
          </cell>
          <cell r="R109">
            <v>8.9999999999999993E-3</v>
          </cell>
          <cell r="S109">
            <v>0.85</v>
          </cell>
          <cell r="T109">
            <v>1</v>
          </cell>
          <cell r="U109">
            <v>3.7738174209626004E-12</v>
          </cell>
          <cell r="V109">
            <v>2.5819413353737599E-12</v>
          </cell>
          <cell r="W109">
            <v>3.8726446962259297E-12</v>
          </cell>
          <cell r="X109">
            <v>7.3859179387853007E-12</v>
          </cell>
          <cell r="Y109">
            <v>6.7025422877374503E-10</v>
          </cell>
        </row>
        <row r="110">
          <cell r="A110" t="str">
            <v>01929.02</v>
          </cell>
          <cell r="B110" t="str">
            <v>True hemp, raw or retted</v>
          </cell>
          <cell r="C110" t="str">
            <v>Other</v>
          </cell>
          <cell r="D110" t="str">
            <v>No</v>
          </cell>
          <cell r="G110">
            <v>88</v>
          </cell>
          <cell r="I110">
            <v>0</v>
          </cell>
          <cell r="J110">
            <v>30</v>
          </cell>
          <cell r="K110">
            <v>69</v>
          </cell>
          <cell r="L110">
            <v>2930.3023200000002</v>
          </cell>
          <cell r="M110">
            <v>0</v>
          </cell>
          <cell r="N110">
            <v>0.14299999999999999</v>
          </cell>
          <cell r="O110">
            <v>8.0000000000000002E-3</v>
          </cell>
          <cell r="P110">
            <v>1</v>
          </cell>
          <cell r="Q110">
            <v>0.22</v>
          </cell>
          <cell r="R110">
            <v>8.9999999999999993E-3</v>
          </cell>
          <cell r="S110">
            <v>0.85</v>
          </cell>
          <cell r="T110">
            <v>1</v>
          </cell>
          <cell r="U110">
            <v>3.7738174209626004E-12</v>
          </cell>
          <cell r="V110">
            <v>2.5819413353737599E-12</v>
          </cell>
          <cell r="W110">
            <v>3.8726446962259297E-12</v>
          </cell>
          <cell r="X110">
            <v>7.3859179387853007E-12</v>
          </cell>
          <cell r="Y110">
            <v>6.7025422877374503E-10</v>
          </cell>
        </row>
        <row r="111">
          <cell r="A111" t="str">
            <v>01709.01</v>
          </cell>
          <cell r="B111" t="str">
            <v>Vetches</v>
          </cell>
          <cell r="C111" t="str">
            <v>Other</v>
          </cell>
          <cell r="D111" t="str">
            <v>No</v>
          </cell>
          <cell r="G111">
            <v>0</v>
          </cell>
          <cell r="I111">
            <v>0</v>
          </cell>
          <cell r="J111">
            <v>0</v>
          </cell>
          <cell r="K111">
            <v>63.2</v>
          </cell>
          <cell r="L111">
            <v>81.324100000000001</v>
          </cell>
          <cell r="M111">
            <v>0</v>
          </cell>
          <cell r="N111">
            <v>2.1999999999999999E-2</v>
          </cell>
          <cell r="O111">
            <v>8.0000000000000002E-3</v>
          </cell>
          <cell r="P111">
            <v>2.1</v>
          </cell>
          <cell r="Q111">
            <v>0.19</v>
          </cell>
          <cell r="R111">
            <v>8.0000000000000002E-3</v>
          </cell>
          <cell r="S111">
            <v>0.91</v>
          </cell>
          <cell r="T111">
            <v>1</v>
          </cell>
          <cell r="U111">
            <v>3.7738174209626004E-12</v>
          </cell>
          <cell r="V111">
            <v>2.5819413353737599E-12</v>
          </cell>
          <cell r="W111">
            <v>3.8726446962259297E-12</v>
          </cell>
          <cell r="X111">
            <v>7.3859179387853007E-12</v>
          </cell>
          <cell r="Y111">
            <v>6.7025422877374503E-10</v>
          </cell>
        </row>
        <row r="112">
          <cell r="A112" t="str">
            <v>01376</v>
          </cell>
          <cell r="B112" t="str">
            <v>Walnuts, in shell</v>
          </cell>
          <cell r="C112" t="str">
            <v>Nuts</v>
          </cell>
          <cell r="D112" t="str">
            <v>No</v>
          </cell>
          <cell r="G112">
            <v>0</v>
          </cell>
          <cell r="I112">
            <v>0</v>
          </cell>
          <cell r="J112">
            <v>0</v>
          </cell>
          <cell r="K112">
            <v>450</v>
          </cell>
          <cell r="L112">
            <v>1578.56268</v>
          </cell>
          <cell r="M112">
            <v>0</v>
          </cell>
          <cell r="N112">
            <v>0.14299999999999999</v>
          </cell>
          <cell r="O112">
            <v>1.6E-2</v>
          </cell>
          <cell r="P112">
            <v>1</v>
          </cell>
          <cell r="Q112">
            <v>0.22</v>
          </cell>
          <cell r="R112">
            <v>8.9999999999999993E-3</v>
          </cell>
          <cell r="S112">
            <v>0.85</v>
          </cell>
          <cell r="T112">
            <v>1</v>
          </cell>
          <cell r="U112">
            <v>3.7738174209626004E-12</v>
          </cell>
          <cell r="V112">
            <v>2.5819413353737599E-12</v>
          </cell>
          <cell r="W112">
            <v>3.8726446962259297E-12</v>
          </cell>
          <cell r="X112">
            <v>7.3859179387853007E-12</v>
          </cell>
          <cell r="Y112">
            <v>6.7025422877374503E-10</v>
          </cell>
        </row>
        <row r="113">
          <cell r="A113" t="str">
            <v>01221</v>
          </cell>
          <cell r="B113" t="str">
            <v>Watermelons</v>
          </cell>
          <cell r="C113" t="str">
            <v>Fruits</v>
          </cell>
          <cell r="D113" t="str">
            <v>Yes</v>
          </cell>
          <cell r="F113">
            <v>22626.44</v>
          </cell>
          <cell r="G113">
            <v>91.268357834349217</v>
          </cell>
          <cell r="I113">
            <v>208.01843878399995</v>
          </cell>
          <cell r="J113">
            <v>33.127033584319349</v>
          </cell>
          <cell r="K113">
            <v>450</v>
          </cell>
          <cell r="L113">
            <v>746.67251999999985</v>
          </cell>
          <cell r="M113">
            <v>7.2359214327861601</v>
          </cell>
          <cell r="N113">
            <v>0.14299999999999999</v>
          </cell>
          <cell r="O113">
            <v>8.0000000000000002E-3</v>
          </cell>
          <cell r="P113">
            <v>1</v>
          </cell>
          <cell r="Q113">
            <v>0.22</v>
          </cell>
          <cell r="R113">
            <v>8.9999999999999993E-3</v>
          </cell>
          <cell r="S113">
            <v>0.85</v>
          </cell>
          <cell r="T113">
            <v>1</v>
          </cell>
          <cell r="U113">
            <v>9.9999999999999994E-12</v>
          </cell>
          <cell r="V113">
            <v>1.56E-11</v>
          </cell>
          <cell r="W113">
            <v>2.2200000000000002E-11</v>
          </cell>
          <cell r="X113">
            <v>1.33E-12</v>
          </cell>
          <cell r="Y113">
            <v>1.4399999999999999E-10</v>
          </cell>
          <cell r="Z113">
            <v>0.16039547871764137</v>
          </cell>
        </row>
        <row r="114">
          <cell r="A114" t="str">
            <v>01221_gh</v>
          </cell>
          <cell r="B114" t="str">
            <v>Watermelons, greenhouse</v>
          </cell>
          <cell r="C114" t="str">
            <v>Fruits</v>
          </cell>
          <cell r="D114" t="str">
            <v>No</v>
          </cell>
        </row>
        <row r="115">
          <cell r="A115" t="str">
            <v>01221_of</v>
          </cell>
          <cell r="B115" t="str">
            <v>Watermelons, openfield</v>
          </cell>
          <cell r="C115" t="str">
            <v>Fruits</v>
          </cell>
          <cell r="D115" t="str">
            <v>No</v>
          </cell>
        </row>
        <row r="116">
          <cell r="A116" t="str">
            <v>0111</v>
          </cell>
          <cell r="B116" t="str">
            <v>Wheat, average</v>
          </cell>
          <cell r="C116" t="str">
            <v>Cereals, incl feed</v>
          </cell>
          <cell r="D116" t="str">
            <v>No</v>
          </cell>
          <cell r="G116">
            <v>0</v>
          </cell>
          <cell r="I116">
            <v>0</v>
          </cell>
          <cell r="J116">
            <v>0</v>
          </cell>
          <cell r="K116">
            <v>71</v>
          </cell>
          <cell r="L116">
            <v>128.03327999999999</v>
          </cell>
          <cell r="M116">
            <v>0</v>
          </cell>
          <cell r="N116">
            <v>0.11799999999999999</v>
          </cell>
          <cell r="O116">
            <v>6.0000000000000001E-3</v>
          </cell>
          <cell r="P116">
            <v>1.3</v>
          </cell>
          <cell r="Q116">
            <v>0.24</v>
          </cell>
          <cell r="R116">
            <v>8.9999999999999993E-3</v>
          </cell>
          <cell r="S116">
            <v>0.89</v>
          </cell>
          <cell r="T116">
            <v>1</v>
          </cell>
          <cell r="U116">
            <v>3.7738174209626004E-12</v>
          </cell>
          <cell r="V116">
            <v>2.5819413353737599E-12</v>
          </cell>
          <cell r="W116">
            <v>3.8726446962259297E-12</v>
          </cell>
          <cell r="X116">
            <v>7.3859179387853007E-12</v>
          </cell>
          <cell r="Y116">
            <v>6.7025422877374503E-10</v>
          </cell>
        </row>
        <row r="117">
          <cell r="A117" t="str">
            <v>0111_s</v>
          </cell>
          <cell r="B117" t="str">
            <v>Wheat, spring</v>
          </cell>
          <cell r="C117" t="str">
            <v>Cereals</v>
          </cell>
          <cell r="D117" t="str">
            <v>No</v>
          </cell>
        </row>
        <row r="118">
          <cell r="A118" t="str">
            <v>0111_w</v>
          </cell>
          <cell r="B118" t="str">
            <v>Wheat, winter</v>
          </cell>
          <cell r="C118" t="str">
            <v>Cereals</v>
          </cell>
          <cell r="D118" t="str">
            <v>No</v>
          </cell>
        </row>
      </sheetData>
      <sheetData sheetId="3"/>
      <sheetData sheetId="4">
        <row r="6">
          <cell r="A6" t="str">
            <v>01371</v>
          </cell>
          <cell r="E6"/>
          <cell r="F6"/>
          <cell r="G6"/>
          <cell r="H6"/>
          <cell r="J6"/>
          <cell r="L6"/>
          <cell r="M6"/>
          <cell r="N6"/>
        </row>
        <row r="7">
          <cell r="A7" t="str">
            <v>01654</v>
          </cell>
          <cell r="E7"/>
          <cell r="F7"/>
          <cell r="G7"/>
          <cell r="H7"/>
          <cell r="J7"/>
          <cell r="L7"/>
          <cell r="M7"/>
          <cell r="N7"/>
        </row>
        <row r="8">
          <cell r="A8" t="str">
            <v>01341</v>
          </cell>
          <cell r="E8"/>
          <cell r="F8"/>
          <cell r="G8"/>
          <cell r="H8"/>
          <cell r="J8"/>
          <cell r="L8"/>
          <cell r="M8"/>
          <cell r="N8"/>
        </row>
        <row r="9">
          <cell r="A9" t="str">
            <v>01343</v>
          </cell>
          <cell r="E9"/>
          <cell r="F9"/>
          <cell r="G9"/>
          <cell r="H9"/>
          <cell r="J9"/>
          <cell r="L9"/>
          <cell r="M9"/>
          <cell r="N9"/>
        </row>
        <row r="10">
          <cell r="A10" t="str">
            <v>01216</v>
          </cell>
          <cell r="E10"/>
          <cell r="F10"/>
          <cell r="G10"/>
          <cell r="H10"/>
          <cell r="J10"/>
          <cell r="L10"/>
          <cell r="M10"/>
          <cell r="N10"/>
        </row>
        <row r="11">
          <cell r="A11" t="str">
            <v>01211</v>
          </cell>
          <cell r="E11"/>
          <cell r="F11"/>
          <cell r="G11"/>
          <cell r="H11"/>
          <cell r="J11"/>
          <cell r="L11"/>
          <cell r="M11"/>
          <cell r="N11"/>
        </row>
        <row r="12">
          <cell r="A12" t="str">
            <v>01311</v>
          </cell>
          <cell r="E12"/>
          <cell r="F12"/>
          <cell r="G12"/>
          <cell r="H12"/>
          <cell r="J12"/>
          <cell r="L12"/>
          <cell r="M12"/>
          <cell r="N12"/>
        </row>
        <row r="13">
          <cell r="A13" t="str">
            <v>01312</v>
          </cell>
          <cell r="E13"/>
          <cell r="F13"/>
          <cell r="G13"/>
          <cell r="H13"/>
          <cell r="J13"/>
          <cell r="L13"/>
          <cell r="M13"/>
          <cell r="N13"/>
        </row>
        <row r="14">
          <cell r="A14" t="str">
            <v>0115</v>
          </cell>
          <cell r="E14"/>
          <cell r="F14"/>
          <cell r="G14"/>
          <cell r="H14"/>
          <cell r="J14"/>
          <cell r="L14"/>
          <cell r="M14"/>
          <cell r="N14"/>
        </row>
        <row r="15">
          <cell r="A15" t="str">
            <v>0115_s</v>
          </cell>
          <cell r="E15"/>
          <cell r="F15"/>
          <cell r="G15"/>
          <cell r="H15"/>
          <cell r="J15"/>
          <cell r="L15"/>
          <cell r="M15"/>
          <cell r="N15"/>
        </row>
        <row r="16">
          <cell r="A16" t="str">
            <v>0115_w</v>
          </cell>
          <cell r="E16"/>
          <cell r="F16"/>
          <cell r="G16"/>
          <cell r="H16"/>
          <cell r="J16"/>
          <cell r="L16"/>
          <cell r="M16"/>
          <cell r="N16"/>
        </row>
        <row r="17">
          <cell r="A17" t="str">
            <v>01701</v>
          </cell>
          <cell r="E17"/>
          <cell r="F17"/>
          <cell r="G17"/>
          <cell r="H17"/>
          <cell r="J17"/>
          <cell r="L17"/>
          <cell r="M17"/>
          <cell r="N17"/>
        </row>
        <row r="18">
          <cell r="A18" t="str">
            <v>01355.01</v>
          </cell>
          <cell r="E18"/>
          <cell r="F18"/>
          <cell r="G18"/>
          <cell r="H18"/>
          <cell r="J18"/>
          <cell r="L18"/>
          <cell r="M18"/>
          <cell r="N18"/>
        </row>
        <row r="19">
          <cell r="A19" t="str">
            <v>01377</v>
          </cell>
          <cell r="E19"/>
          <cell r="F19"/>
          <cell r="G19"/>
          <cell r="H19"/>
          <cell r="J19"/>
          <cell r="L19"/>
          <cell r="M19"/>
          <cell r="N19"/>
        </row>
        <row r="20">
          <cell r="A20" t="str">
            <v>01702</v>
          </cell>
          <cell r="E20"/>
          <cell r="F20"/>
          <cell r="G20"/>
          <cell r="H20"/>
          <cell r="J20"/>
          <cell r="L20"/>
          <cell r="M20"/>
          <cell r="N20"/>
        </row>
        <row r="21">
          <cell r="A21" t="str">
            <v>01243</v>
          </cell>
          <cell r="E21"/>
          <cell r="F21"/>
          <cell r="G21"/>
          <cell r="H21"/>
          <cell r="J21"/>
          <cell r="L21"/>
          <cell r="M21"/>
          <cell r="N21"/>
        </row>
        <row r="22">
          <cell r="A22" t="str">
            <v>01213_b</v>
          </cell>
          <cell r="E22"/>
          <cell r="F22"/>
          <cell r="G22"/>
          <cell r="H22"/>
          <cell r="J22"/>
          <cell r="L22"/>
          <cell r="M22"/>
          <cell r="N22"/>
        </row>
        <row r="23">
          <cell r="A23" t="str">
            <v>01192</v>
          </cell>
          <cell r="E23"/>
          <cell r="F23"/>
          <cell r="G23"/>
          <cell r="H23"/>
          <cell r="J23"/>
          <cell r="L23"/>
          <cell r="M23"/>
          <cell r="N23"/>
        </row>
        <row r="24">
          <cell r="A24" t="str">
            <v>01212</v>
          </cell>
          <cell r="E24"/>
          <cell r="F24"/>
          <cell r="G24"/>
          <cell r="H24"/>
          <cell r="J24"/>
          <cell r="L24"/>
          <cell r="M24"/>
          <cell r="N24"/>
        </row>
        <row r="25">
          <cell r="A25" t="str">
            <v>01229</v>
          </cell>
          <cell r="E25">
            <v>0.13508846060406662</v>
          </cell>
          <cell r="F25">
            <v>2.2669368498924671E-2</v>
          </cell>
          <cell r="G25">
            <v>2.7E-2</v>
          </cell>
          <cell r="H25">
            <v>0</v>
          </cell>
          <cell r="J25">
            <v>4.779138861246849E-2</v>
          </cell>
          <cell r="L25">
            <v>2.4759290005325705E-3</v>
          </cell>
          <cell r="M25">
            <v>1.6455890000000001E-2</v>
          </cell>
          <cell r="N25">
            <v>1.869588449214089E-2</v>
          </cell>
        </row>
        <row r="26">
          <cell r="A26" t="str">
            <v>01251</v>
          </cell>
          <cell r="E26"/>
          <cell r="F26"/>
          <cell r="G26"/>
          <cell r="H26"/>
          <cell r="J26"/>
          <cell r="L26"/>
          <cell r="M26"/>
          <cell r="N26"/>
        </row>
        <row r="27">
          <cell r="A27" t="str">
            <v>01372</v>
          </cell>
          <cell r="E27"/>
          <cell r="F27"/>
          <cell r="G27"/>
          <cell r="H27"/>
          <cell r="J27"/>
          <cell r="L27"/>
          <cell r="M27"/>
          <cell r="N27"/>
        </row>
        <row r="28">
          <cell r="A28" t="str">
            <v>01213_cf</v>
          </cell>
          <cell r="E28"/>
          <cell r="F28"/>
          <cell r="G28"/>
          <cell r="H28"/>
          <cell r="J28"/>
          <cell r="L28"/>
          <cell r="M28"/>
          <cell r="N28"/>
        </row>
        <row r="29">
          <cell r="A29" t="str">
            <v>01213</v>
          </cell>
          <cell r="E29"/>
          <cell r="F29"/>
          <cell r="G29"/>
          <cell r="H29"/>
          <cell r="J29"/>
          <cell r="L29"/>
          <cell r="M29"/>
          <cell r="N29"/>
        </row>
        <row r="30">
          <cell r="A30" t="str">
            <v>01199.90</v>
          </cell>
          <cell r="E30"/>
          <cell r="F30"/>
          <cell r="G30"/>
          <cell r="H30"/>
          <cell r="J30"/>
          <cell r="L30"/>
          <cell r="M30"/>
          <cell r="N30"/>
        </row>
        <row r="31">
          <cell r="A31" t="str">
            <v>01344.02</v>
          </cell>
          <cell r="E31"/>
          <cell r="F31"/>
          <cell r="G31"/>
          <cell r="H31"/>
          <cell r="J31"/>
          <cell r="L31"/>
          <cell r="M31"/>
          <cell r="N31"/>
        </row>
        <row r="32">
          <cell r="A32" t="str">
            <v>01373</v>
          </cell>
          <cell r="E32"/>
          <cell r="F32"/>
          <cell r="G32"/>
          <cell r="H32"/>
          <cell r="J32"/>
          <cell r="L32"/>
          <cell r="M32"/>
          <cell r="N32"/>
        </row>
        <row r="33">
          <cell r="A33" t="str">
            <v>01703</v>
          </cell>
          <cell r="E33"/>
          <cell r="F33"/>
          <cell r="G33"/>
          <cell r="H33"/>
          <cell r="J33"/>
          <cell r="L33"/>
          <cell r="M33"/>
          <cell r="N33"/>
        </row>
        <row r="34">
          <cell r="A34" t="str">
            <v>01231</v>
          </cell>
          <cell r="E34"/>
          <cell r="F34"/>
          <cell r="G34"/>
          <cell r="H34"/>
          <cell r="J34"/>
          <cell r="L34"/>
          <cell r="M34"/>
          <cell r="N34"/>
        </row>
        <row r="35">
          <cell r="A35" t="str">
            <v>01640</v>
          </cell>
          <cell r="E35"/>
          <cell r="F35"/>
          <cell r="G35"/>
          <cell r="H35"/>
          <cell r="J35"/>
          <cell r="L35"/>
          <cell r="M35"/>
          <cell r="N35"/>
        </row>
        <row r="36">
          <cell r="A36" t="str">
            <v>01460</v>
          </cell>
          <cell r="E36"/>
          <cell r="F36"/>
          <cell r="G36"/>
          <cell r="H36"/>
          <cell r="J36"/>
          <cell r="L36"/>
          <cell r="M36"/>
          <cell r="N36"/>
        </row>
        <row r="37">
          <cell r="A37" t="str">
            <v>01610</v>
          </cell>
          <cell r="E37">
            <v>0.65729552993902196</v>
          </cell>
          <cell r="F37">
            <v>0.19596946641474355</v>
          </cell>
          <cell r="G37">
            <v>2.7E-2</v>
          </cell>
          <cell r="H37">
            <v>0</v>
          </cell>
          <cell r="J37">
            <v>0.21689919532500057</v>
          </cell>
          <cell r="L37">
            <v>1.3580095427163494E-2</v>
          </cell>
          <cell r="M37">
            <v>0</v>
          </cell>
          <cell r="N37">
            <v>0.20384677277211433</v>
          </cell>
        </row>
        <row r="38">
          <cell r="A38" t="str">
            <v>01232</v>
          </cell>
          <cell r="E38"/>
          <cell r="F38"/>
          <cell r="G38"/>
          <cell r="H38"/>
          <cell r="J38"/>
          <cell r="K38" t="e">
            <v>#DIV/0!</v>
          </cell>
          <cell r="L38"/>
          <cell r="M38"/>
          <cell r="N38"/>
        </row>
        <row r="39">
          <cell r="A39" t="str">
            <v>01232_gh</v>
          </cell>
          <cell r="E39"/>
          <cell r="F39"/>
          <cell r="G39"/>
          <cell r="H39"/>
          <cell r="K39" t="e">
            <v>#DIV/0!</v>
          </cell>
          <cell r="L39"/>
          <cell r="M39"/>
          <cell r="N39"/>
        </row>
        <row r="40">
          <cell r="A40" t="str">
            <v>01232_of</v>
          </cell>
          <cell r="E40"/>
          <cell r="F40"/>
          <cell r="G40"/>
          <cell r="H40"/>
          <cell r="J40"/>
          <cell r="L40"/>
          <cell r="M40"/>
          <cell r="N40"/>
        </row>
        <row r="41">
          <cell r="A41" t="str">
            <v>01351.01</v>
          </cell>
          <cell r="E41"/>
          <cell r="F41"/>
          <cell r="G41"/>
          <cell r="H41"/>
          <cell r="J41"/>
          <cell r="L41"/>
          <cell r="M41"/>
          <cell r="N41"/>
        </row>
        <row r="42">
          <cell r="A42" t="str">
            <v>01314</v>
          </cell>
          <cell r="E42"/>
          <cell r="F42"/>
          <cell r="G42"/>
          <cell r="H42"/>
          <cell r="J42"/>
          <cell r="L42"/>
          <cell r="M42"/>
          <cell r="N42"/>
        </row>
        <row r="43">
          <cell r="A43" t="str">
            <v>01599.10</v>
          </cell>
          <cell r="E43"/>
          <cell r="F43"/>
          <cell r="G43"/>
          <cell r="H43"/>
          <cell r="J43"/>
          <cell r="L43"/>
          <cell r="M43"/>
          <cell r="N43"/>
        </row>
        <row r="44">
          <cell r="A44" t="str">
            <v>01233</v>
          </cell>
          <cell r="E44"/>
          <cell r="F44"/>
          <cell r="G44"/>
          <cell r="H44"/>
          <cell r="J44"/>
          <cell r="L44"/>
          <cell r="M44"/>
          <cell r="N44"/>
        </row>
        <row r="45">
          <cell r="A45" t="str">
            <v>01315</v>
          </cell>
          <cell r="E45"/>
          <cell r="F45"/>
          <cell r="G45"/>
          <cell r="H45"/>
          <cell r="J45"/>
          <cell r="L45"/>
          <cell r="M45"/>
          <cell r="N45"/>
        </row>
        <row r="46">
          <cell r="A46" t="str">
            <v>01351.02</v>
          </cell>
          <cell r="E46"/>
          <cell r="F46"/>
          <cell r="G46"/>
          <cell r="H46"/>
          <cell r="J46"/>
          <cell r="L46"/>
          <cell r="M46"/>
          <cell r="N46"/>
        </row>
        <row r="47">
          <cell r="A47" t="str">
            <v>01330</v>
          </cell>
          <cell r="E47"/>
          <cell r="F47"/>
          <cell r="G47"/>
          <cell r="H47"/>
          <cell r="J47"/>
          <cell r="L47"/>
          <cell r="M47"/>
          <cell r="N47"/>
        </row>
        <row r="48">
          <cell r="A48" t="str">
            <v>01290.01</v>
          </cell>
          <cell r="E48"/>
          <cell r="F48"/>
          <cell r="G48"/>
          <cell r="H48"/>
          <cell r="J48"/>
          <cell r="L48"/>
          <cell r="M48"/>
          <cell r="N48"/>
        </row>
        <row r="49">
          <cell r="A49" t="str">
            <v>01252</v>
          </cell>
          <cell r="E49"/>
          <cell r="F49"/>
          <cell r="G49"/>
          <cell r="H49"/>
          <cell r="J49"/>
          <cell r="L49"/>
          <cell r="M49"/>
          <cell r="N49"/>
        </row>
        <row r="50">
          <cell r="A50" t="str">
            <v>0142</v>
          </cell>
          <cell r="E50"/>
          <cell r="F50"/>
          <cell r="G50"/>
          <cell r="H50"/>
          <cell r="J50"/>
          <cell r="L50"/>
          <cell r="M50"/>
          <cell r="N50"/>
        </row>
        <row r="51">
          <cell r="A51" t="str">
            <v>01374</v>
          </cell>
          <cell r="E51"/>
          <cell r="F51"/>
          <cell r="G51"/>
          <cell r="H51"/>
          <cell r="J51"/>
          <cell r="L51"/>
          <cell r="M51"/>
          <cell r="N51"/>
        </row>
        <row r="52">
          <cell r="A52" t="str">
            <v>01352</v>
          </cell>
          <cell r="E52"/>
          <cell r="F52"/>
          <cell r="G52"/>
          <cell r="H52"/>
          <cell r="J52"/>
          <cell r="L52"/>
          <cell r="M52"/>
          <cell r="N52"/>
        </row>
        <row r="53">
          <cell r="A53" t="str">
            <v>01254</v>
          </cell>
          <cell r="E53"/>
          <cell r="F53"/>
          <cell r="G53"/>
          <cell r="H53"/>
          <cell r="J53"/>
          <cell r="L53"/>
          <cell r="M53"/>
          <cell r="N53"/>
        </row>
        <row r="54">
          <cell r="A54" t="str">
            <v>01322</v>
          </cell>
          <cell r="E54"/>
          <cell r="F54"/>
          <cell r="G54"/>
          <cell r="H54"/>
          <cell r="J54"/>
          <cell r="L54"/>
          <cell r="M54"/>
          <cell r="N54"/>
        </row>
        <row r="55">
          <cell r="A55" t="str">
            <v>01704</v>
          </cell>
          <cell r="E55"/>
          <cell r="F55"/>
          <cell r="G55"/>
          <cell r="H55"/>
          <cell r="J55"/>
          <cell r="L55"/>
          <cell r="M55"/>
          <cell r="N55"/>
        </row>
        <row r="56">
          <cell r="A56" t="str">
            <v>01214</v>
          </cell>
          <cell r="E56"/>
          <cell r="F56"/>
          <cell r="G56"/>
          <cell r="H56"/>
          <cell r="J56"/>
          <cell r="L56"/>
          <cell r="M56"/>
          <cell r="N56"/>
        </row>
        <row r="57">
          <cell r="A57" t="str">
            <v>01441</v>
          </cell>
          <cell r="E57"/>
          <cell r="F57"/>
          <cell r="G57"/>
          <cell r="H57"/>
          <cell r="J57"/>
          <cell r="L57"/>
          <cell r="M57"/>
          <cell r="N57"/>
        </row>
        <row r="58">
          <cell r="A58" t="str">
            <v>01709.02</v>
          </cell>
          <cell r="E58"/>
          <cell r="F58"/>
          <cell r="G58"/>
          <cell r="H58"/>
          <cell r="J58"/>
          <cell r="L58"/>
          <cell r="M58"/>
          <cell r="N58"/>
        </row>
        <row r="59">
          <cell r="A59" t="str">
            <v>0112</v>
          </cell>
          <cell r="E59"/>
          <cell r="F59"/>
          <cell r="G59"/>
          <cell r="H59"/>
          <cell r="J59"/>
          <cell r="L59"/>
          <cell r="M59"/>
          <cell r="N59"/>
        </row>
        <row r="60">
          <cell r="A60" t="str">
            <v>01316</v>
          </cell>
          <cell r="E60">
            <v>0.1518539979142936</v>
          </cell>
          <cell r="F60">
            <v>4.50875346395136E-2</v>
          </cell>
          <cell r="G60">
            <v>2.7E-2</v>
          </cell>
          <cell r="H60">
            <v>0</v>
          </cell>
          <cell r="J60">
            <v>5.6460672416464401E-2</v>
          </cell>
          <cell r="L60">
            <v>2.4759290005325705E-3</v>
          </cell>
          <cell r="M60">
            <v>1.6455890000000001E-2</v>
          </cell>
          <cell r="N60">
            <v>4.3739718577830485E-3</v>
          </cell>
        </row>
        <row r="61">
          <cell r="A61" t="str">
            <v>0118</v>
          </cell>
          <cell r="E61"/>
          <cell r="F61"/>
          <cell r="G61"/>
          <cell r="H61"/>
          <cell r="J61"/>
          <cell r="L61"/>
          <cell r="M61"/>
          <cell r="N61"/>
        </row>
        <row r="62">
          <cell r="A62" t="str">
            <v>01199.02</v>
          </cell>
          <cell r="E62"/>
          <cell r="F62"/>
          <cell r="G62"/>
          <cell r="H62"/>
          <cell r="J62"/>
          <cell r="L62"/>
          <cell r="M62"/>
          <cell r="N62"/>
        </row>
        <row r="63">
          <cell r="A63" t="str">
            <v>01270</v>
          </cell>
          <cell r="E63"/>
          <cell r="F63"/>
          <cell r="G63"/>
          <cell r="H63"/>
          <cell r="J63"/>
          <cell r="L63"/>
          <cell r="M63"/>
          <cell r="N63"/>
        </row>
        <row r="64">
          <cell r="A64" t="str">
            <v>0117</v>
          </cell>
          <cell r="E64"/>
          <cell r="F64"/>
          <cell r="G64"/>
          <cell r="H64"/>
          <cell r="J64"/>
          <cell r="L64"/>
          <cell r="M64"/>
          <cell r="N64"/>
        </row>
        <row r="65">
          <cell r="A65" t="str">
            <v>01491.01</v>
          </cell>
          <cell r="E65"/>
          <cell r="F65"/>
          <cell r="G65"/>
          <cell r="H65"/>
          <cell r="J65"/>
          <cell r="L65"/>
          <cell r="M65"/>
          <cell r="N65"/>
        </row>
        <row r="66">
          <cell r="A66" t="str">
            <v>01450</v>
          </cell>
          <cell r="E66"/>
          <cell r="F66"/>
          <cell r="G66"/>
          <cell r="H66"/>
          <cell r="J66"/>
          <cell r="L66"/>
          <cell r="M66"/>
          <cell r="N66"/>
        </row>
        <row r="67">
          <cell r="A67" t="str">
            <v>01253.02</v>
          </cell>
          <cell r="E67"/>
          <cell r="F67"/>
          <cell r="G67"/>
          <cell r="H67"/>
          <cell r="J67"/>
          <cell r="L67"/>
          <cell r="M67"/>
          <cell r="N67"/>
        </row>
        <row r="68">
          <cell r="A68" t="str">
            <v>01323</v>
          </cell>
          <cell r="E68">
            <v>0.13816027092574315</v>
          </cell>
          <cell r="F68">
            <v>4.50875346395136E-2</v>
          </cell>
          <cell r="G68">
            <v>2.7E-2</v>
          </cell>
          <cell r="H68">
            <v>0</v>
          </cell>
          <cell r="J68">
            <v>4.2219802117848787E-2</v>
          </cell>
          <cell r="L68">
            <v>1.5005630306258002E-4</v>
          </cell>
          <cell r="M68">
            <v>1.6455890000000001E-2</v>
          </cell>
          <cell r="N68">
            <v>7.2469878653181486E-3</v>
          </cell>
        </row>
        <row r="69">
          <cell r="A69" t="str">
            <v>01241.90</v>
          </cell>
          <cell r="E69"/>
          <cell r="F69"/>
          <cell r="G69"/>
          <cell r="H69"/>
          <cell r="J69"/>
          <cell r="L69"/>
          <cell r="M69"/>
          <cell r="N69"/>
        </row>
        <row r="70">
          <cell r="A70" t="str">
            <v>01359.90</v>
          </cell>
          <cell r="E70"/>
          <cell r="F70"/>
          <cell r="G70"/>
          <cell r="H70"/>
          <cell r="J70"/>
          <cell r="L70"/>
          <cell r="M70"/>
          <cell r="N70"/>
        </row>
        <row r="71">
          <cell r="A71" t="str">
            <v>01449.90</v>
          </cell>
          <cell r="E71"/>
          <cell r="F71"/>
          <cell r="G71"/>
          <cell r="H71"/>
          <cell r="J71"/>
          <cell r="L71"/>
          <cell r="M71"/>
          <cell r="N71"/>
        </row>
        <row r="72">
          <cell r="A72" t="str">
            <v>01709.90</v>
          </cell>
          <cell r="E72"/>
          <cell r="F72"/>
          <cell r="G72"/>
          <cell r="H72"/>
          <cell r="J72"/>
          <cell r="L72"/>
          <cell r="M72"/>
          <cell r="N72"/>
        </row>
        <row r="73">
          <cell r="A73" t="str">
            <v>01699</v>
          </cell>
          <cell r="E73"/>
          <cell r="F73"/>
          <cell r="G73"/>
          <cell r="H73"/>
          <cell r="J73"/>
          <cell r="L73"/>
          <cell r="M73"/>
          <cell r="N73"/>
        </row>
        <row r="74">
          <cell r="A74" t="str">
            <v>01290.90</v>
          </cell>
          <cell r="E74"/>
          <cell r="F74"/>
          <cell r="G74"/>
          <cell r="H74"/>
          <cell r="J74"/>
          <cell r="L74"/>
          <cell r="M74"/>
          <cell r="N74"/>
        </row>
        <row r="75">
          <cell r="A75" t="str">
            <v>01317</v>
          </cell>
          <cell r="E75">
            <v>0.13011409016349765</v>
          </cell>
          <cell r="F75">
            <v>4.5087534639513593E-2</v>
          </cell>
          <cell r="G75">
            <v>2.7E-2</v>
          </cell>
          <cell r="H75">
            <v>0</v>
          </cell>
          <cell r="J75">
            <v>2.8934416565893573E-2</v>
          </cell>
          <cell r="L75">
            <v>2.4759290005325705E-3</v>
          </cell>
          <cell r="M75">
            <v>1.6455890000000001E-2</v>
          </cell>
          <cell r="N75">
            <v>1.0160319957557904E-2</v>
          </cell>
        </row>
        <row r="76">
          <cell r="A76" t="str">
            <v>01345</v>
          </cell>
          <cell r="E76"/>
          <cell r="F76"/>
          <cell r="G76"/>
          <cell r="H76"/>
          <cell r="J76"/>
          <cell r="L76"/>
          <cell r="M76"/>
          <cell r="N76"/>
        </row>
        <row r="77">
          <cell r="A77" t="str">
            <v>01342.01</v>
          </cell>
          <cell r="E77"/>
          <cell r="F77"/>
          <cell r="G77"/>
          <cell r="H77"/>
          <cell r="J77"/>
          <cell r="L77"/>
          <cell r="M77"/>
          <cell r="N77"/>
        </row>
        <row r="78">
          <cell r="A78" t="str">
            <v>01705</v>
          </cell>
          <cell r="E78"/>
          <cell r="F78"/>
          <cell r="G78"/>
          <cell r="H78"/>
          <cell r="J78"/>
          <cell r="L78"/>
          <cell r="M78"/>
          <cell r="N78"/>
        </row>
        <row r="79">
          <cell r="A79" t="str">
            <v>01242</v>
          </cell>
          <cell r="E79"/>
          <cell r="F79"/>
          <cell r="G79"/>
          <cell r="H79"/>
          <cell r="J79"/>
          <cell r="L79"/>
          <cell r="M79"/>
          <cell r="N79"/>
        </row>
        <row r="80">
          <cell r="A80" t="str">
            <v>01651</v>
          </cell>
          <cell r="E80">
            <v>2.0667811497048132</v>
          </cell>
          <cell r="F80">
            <v>1.6878638039526394E-2</v>
          </cell>
          <cell r="G80">
            <v>2.7E-2</v>
          </cell>
          <cell r="H80">
            <v>0</v>
          </cell>
          <cell r="J80">
            <v>0.40077210195158369</v>
          </cell>
          <cell r="L80">
            <v>7.4277870015977123E-3</v>
          </cell>
          <cell r="M80">
            <v>1.6455890000000001E-2</v>
          </cell>
          <cell r="N80">
            <v>1.5982467327121055</v>
          </cell>
        </row>
        <row r="81">
          <cell r="A81" t="str">
            <v>01318</v>
          </cell>
          <cell r="E81"/>
          <cell r="F81"/>
          <cell r="G81"/>
          <cell r="H81"/>
          <cell r="J81"/>
          <cell r="L81"/>
          <cell r="M81"/>
          <cell r="N81"/>
        </row>
        <row r="82">
          <cell r="A82" t="str">
            <v>01313</v>
          </cell>
          <cell r="E82"/>
          <cell r="F82"/>
          <cell r="G82"/>
          <cell r="H82"/>
          <cell r="J82"/>
          <cell r="L82"/>
          <cell r="M82"/>
          <cell r="N82"/>
        </row>
        <row r="83">
          <cell r="A83" t="str">
            <v>01346</v>
          </cell>
          <cell r="E83"/>
          <cell r="F83"/>
          <cell r="G83"/>
          <cell r="H83"/>
          <cell r="J83"/>
          <cell r="L83"/>
          <cell r="M83"/>
          <cell r="N83"/>
        </row>
        <row r="84">
          <cell r="A84" t="str">
            <v>01321</v>
          </cell>
          <cell r="E84"/>
          <cell r="F84"/>
          <cell r="G84"/>
          <cell r="H84"/>
          <cell r="J84"/>
          <cell r="L84"/>
          <cell r="M84"/>
          <cell r="N84"/>
        </row>
        <row r="85">
          <cell r="A85" t="str">
            <v>01448</v>
          </cell>
          <cell r="E85"/>
          <cell r="F85"/>
          <cell r="G85"/>
          <cell r="H85"/>
          <cell r="J85"/>
          <cell r="L85"/>
          <cell r="M85"/>
          <cell r="N85"/>
        </row>
        <row r="86">
          <cell r="A86" t="str">
            <v>01510</v>
          </cell>
          <cell r="E86"/>
          <cell r="F86"/>
          <cell r="G86"/>
          <cell r="H86"/>
          <cell r="J86"/>
          <cell r="L86"/>
          <cell r="M86"/>
          <cell r="N86"/>
        </row>
        <row r="87">
          <cell r="A87" t="str">
            <v>01235</v>
          </cell>
          <cell r="E87"/>
          <cell r="F87"/>
          <cell r="G87"/>
          <cell r="H87"/>
          <cell r="J87"/>
          <cell r="L87"/>
          <cell r="M87"/>
          <cell r="N87"/>
        </row>
        <row r="88">
          <cell r="A88" t="str">
            <v>01342.02</v>
          </cell>
          <cell r="E88"/>
          <cell r="F88"/>
          <cell r="G88"/>
          <cell r="H88"/>
          <cell r="J88"/>
          <cell r="L88"/>
          <cell r="M88"/>
          <cell r="N88"/>
        </row>
        <row r="89">
          <cell r="A89" t="str">
            <v>01194</v>
          </cell>
          <cell r="E89"/>
          <cell r="F89"/>
          <cell r="G89"/>
          <cell r="H89"/>
          <cell r="J89"/>
          <cell r="L89"/>
          <cell r="M89"/>
          <cell r="N89"/>
        </row>
        <row r="90">
          <cell r="A90" t="str">
            <v>01443</v>
          </cell>
          <cell r="E90"/>
          <cell r="F90"/>
          <cell r="G90"/>
          <cell r="H90"/>
          <cell r="J90"/>
          <cell r="L90"/>
          <cell r="M90"/>
          <cell r="N90"/>
        </row>
        <row r="91">
          <cell r="A91" t="str">
            <v>01443_s</v>
          </cell>
          <cell r="E91"/>
          <cell r="F91"/>
          <cell r="G91"/>
          <cell r="H91"/>
          <cell r="J91"/>
          <cell r="L91"/>
          <cell r="M91"/>
          <cell r="N91"/>
        </row>
        <row r="92">
          <cell r="A92" t="str">
            <v>01443_w</v>
          </cell>
          <cell r="E92"/>
          <cell r="F92"/>
          <cell r="G92"/>
          <cell r="H92"/>
          <cell r="J92"/>
          <cell r="L92"/>
          <cell r="M92"/>
          <cell r="N92"/>
        </row>
        <row r="93">
          <cell r="A93" t="str">
            <v>01353.01</v>
          </cell>
          <cell r="E93"/>
          <cell r="F93"/>
          <cell r="G93"/>
          <cell r="H93"/>
          <cell r="J93"/>
          <cell r="L93"/>
          <cell r="M93"/>
          <cell r="N93"/>
        </row>
        <row r="94">
          <cell r="A94" t="str">
            <v>0113</v>
          </cell>
          <cell r="E94"/>
          <cell r="F94"/>
          <cell r="G94"/>
          <cell r="H94"/>
          <cell r="J94"/>
          <cell r="L94"/>
          <cell r="M94"/>
          <cell r="N94"/>
        </row>
        <row r="95">
          <cell r="A95" t="str">
            <v>0116</v>
          </cell>
          <cell r="E95"/>
          <cell r="F95"/>
          <cell r="G95"/>
          <cell r="H95"/>
          <cell r="J95"/>
          <cell r="L95"/>
          <cell r="M95"/>
          <cell r="N95"/>
        </row>
        <row r="96">
          <cell r="A96" t="str">
            <v>0114</v>
          </cell>
          <cell r="E96"/>
          <cell r="F96"/>
          <cell r="G96"/>
          <cell r="H96"/>
          <cell r="J96"/>
          <cell r="L96"/>
          <cell r="M96"/>
          <cell r="N96"/>
        </row>
        <row r="97">
          <cell r="A97" t="str">
            <v>01344.01</v>
          </cell>
          <cell r="E97"/>
          <cell r="F97"/>
          <cell r="G97"/>
          <cell r="H97"/>
          <cell r="J97"/>
          <cell r="L97"/>
          <cell r="M97"/>
          <cell r="N97"/>
        </row>
        <row r="98">
          <cell r="A98" t="str">
            <v>0141</v>
          </cell>
          <cell r="E98">
            <v>0.92075744066996734</v>
          </cell>
          <cell r="F98">
            <v>3.8012291590112874E-3</v>
          </cell>
          <cell r="G98">
            <v>2.7E-2</v>
          </cell>
          <cell r="H98">
            <v>0</v>
          </cell>
          <cell r="J98">
            <v>5.0646723842195554E-2</v>
          </cell>
          <cell r="L98">
            <v>7.5028151531290012E-5</v>
          </cell>
          <cell r="M98">
            <v>3.8415164000000009E-2</v>
          </cell>
          <cell r="N98">
            <v>0.80081929551722919</v>
          </cell>
        </row>
        <row r="99">
          <cell r="A99" t="str">
            <v>01215</v>
          </cell>
          <cell r="E99"/>
          <cell r="F99"/>
          <cell r="G99"/>
          <cell r="H99"/>
          <cell r="J99"/>
          <cell r="L99"/>
          <cell r="M99"/>
          <cell r="N99"/>
        </row>
        <row r="100">
          <cell r="A100" t="str">
            <v>01354</v>
          </cell>
          <cell r="E100"/>
          <cell r="F100"/>
          <cell r="G100"/>
          <cell r="H100"/>
          <cell r="J100"/>
          <cell r="L100"/>
          <cell r="M100"/>
          <cell r="N100"/>
        </row>
        <row r="101">
          <cell r="A101" t="str">
            <v>01801</v>
          </cell>
          <cell r="E101"/>
          <cell r="F101"/>
          <cell r="G101"/>
          <cell r="H101"/>
          <cell r="J101"/>
          <cell r="L101"/>
          <cell r="M101"/>
          <cell r="N101"/>
        </row>
        <row r="102">
          <cell r="A102" t="str">
            <v>01802</v>
          </cell>
          <cell r="E102"/>
          <cell r="F102"/>
          <cell r="G102"/>
          <cell r="H102"/>
          <cell r="J102"/>
          <cell r="L102"/>
          <cell r="M102"/>
          <cell r="N102"/>
        </row>
        <row r="103">
          <cell r="A103" t="str">
            <v>01445</v>
          </cell>
          <cell r="E103"/>
          <cell r="F103"/>
          <cell r="G103"/>
          <cell r="H103"/>
          <cell r="J103"/>
          <cell r="L103"/>
          <cell r="M103"/>
          <cell r="N103"/>
        </row>
        <row r="104">
          <cell r="A104" t="str">
            <v>01530</v>
          </cell>
          <cell r="E104"/>
          <cell r="F104"/>
          <cell r="G104"/>
          <cell r="H104"/>
          <cell r="J104"/>
          <cell r="L104"/>
          <cell r="M104"/>
          <cell r="N104"/>
        </row>
        <row r="105">
          <cell r="A105" t="str">
            <v>01324</v>
          </cell>
          <cell r="E105"/>
          <cell r="F105"/>
          <cell r="G105"/>
          <cell r="H105"/>
          <cell r="J105"/>
          <cell r="L105"/>
          <cell r="M105"/>
          <cell r="N105"/>
        </row>
        <row r="106">
          <cell r="A106" t="str">
            <v>01234</v>
          </cell>
          <cell r="E106"/>
          <cell r="F106"/>
          <cell r="G106"/>
          <cell r="J106"/>
          <cell r="K106" t="e">
            <v>#DIV/0!</v>
          </cell>
          <cell r="M106"/>
          <cell r="N106"/>
        </row>
        <row r="107">
          <cell r="A107" t="str">
            <v>01234_gh</v>
          </cell>
          <cell r="E107"/>
          <cell r="F107"/>
          <cell r="G107"/>
          <cell r="J107"/>
          <cell r="M107"/>
          <cell r="N107"/>
        </row>
        <row r="108">
          <cell r="A108" t="str">
            <v>01234_of</v>
          </cell>
          <cell r="E108"/>
          <cell r="F108"/>
          <cell r="G108"/>
          <cell r="H108"/>
          <cell r="J108"/>
          <cell r="L108"/>
          <cell r="M108"/>
          <cell r="N108"/>
        </row>
        <row r="109">
          <cell r="A109" t="str">
            <v>01191</v>
          </cell>
          <cell r="E109"/>
          <cell r="F109"/>
          <cell r="G109"/>
          <cell r="H109"/>
          <cell r="J109"/>
          <cell r="L109"/>
          <cell r="M109"/>
          <cell r="N109"/>
        </row>
        <row r="110">
          <cell r="A110" t="str">
            <v>01929.02</v>
          </cell>
          <cell r="E110"/>
          <cell r="F110"/>
          <cell r="G110"/>
          <cell r="H110"/>
          <cell r="J110"/>
          <cell r="L110"/>
          <cell r="M110"/>
          <cell r="N110"/>
        </row>
        <row r="111">
          <cell r="A111" t="str">
            <v>01709.01</v>
          </cell>
          <cell r="E111"/>
          <cell r="F111"/>
          <cell r="G111"/>
          <cell r="H111"/>
          <cell r="J111"/>
          <cell r="L111"/>
          <cell r="M111"/>
          <cell r="N111"/>
        </row>
        <row r="112">
          <cell r="A112" t="str">
            <v>01376</v>
          </cell>
          <cell r="E112"/>
          <cell r="F112"/>
          <cell r="G112"/>
          <cell r="H112"/>
          <cell r="J112"/>
          <cell r="L112"/>
          <cell r="M112"/>
          <cell r="N112"/>
        </row>
        <row r="113">
          <cell r="A113" t="str">
            <v>01221</v>
          </cell>
          <cell r="E113">
            <v>0.27652029856961879</v>
          </cell>
          <cell r="F113">
            <v>1.7043994644547075E-2</v>
          </cell>
          <cell r="G113">
            <v>2.7E-2</v>
          </cell>
          <cell r="H113">
            <v>0</v>
          </cell>
          <cell r="J113">
            <v>5.3149006206897782E-2</v>
          </cell>
          <cell r="L113">
            <v>2.4759290005325701E-3</v>
          </cell>
          <cell r="M113">
            <v>1.6455890000000001E-2</v>
          </cell>
          <cell r="N113">
            <v>0.16039547871764137</v>
          </cell>
        </row>
        <row r="114">
          <cell r="A114" t="str">
            <v>01221_gh</v>
          </cell>
          <cell r="E114"/>
          <cell r="F114"/>
          <cell r="G114"/>
          <cell r="H114"/>
          <cell r="J114"/>
          <cell r="L114"/>
          <cell r="M114"/>
          <cell r="N114"/>
        </row>
        <row r="115">
          <cell r="A115" t="str">
            <v>01221_of</v>
          </cell>
          <cell r="E115"/>
          <cell r="F115"/>
          <cell r="G115"/>
          <cell r="H115"/>
          <cell r="J115"/>
          <cell r="L115"/>
          <cell r="M115"/>
          <cell r="N115"/>
        </row>
        <row r="116">
          <cell r="A116" t="str">
            <v>0111</v>
          </cell>
          <cell r="E116"/>
          <cell r="F116"/>
          <cell r="G116"/>
          <cell r="H116"/>
          <cell r="J116"/>
          <cell r="L116"/>
          <cell r="M116"/>
          <cell r="N116"/>
        </row>
        <row r="117">
          <cell r="A117" t="str">
            <v>0111_s</v>
          </cell>
          <cell r="E117"/>
          <cell r="F117"/>
          <cell r="G117"/>
          <cell r="H117"/>
          <cell r="J117"/>
          <cell r="L117"/>
          <cell r="M117"/>
          <cell r="N117"/>
        </row>
        <row r="118">
          <cell r="A118" t="str">
            <v>0111_w</v>
          </cell>
          <cell r="E118"/>
          <cell r="F118"/>
          <cell r="G118"/>
          <cell r="H118"/>
          <cell r="J118"/>
          <cell r="L118"/>
          <cell r="M118"/>
          <cell r="N118"/>
        </row>
      </sheetData>
      <sheetData sheetId="5">
        <row r="6">
          <cell r="A6" t="str">
            <v>01371</v>
          </cell>
          <cell r="E6"/>
          <cell r="F6"/>
          <cell r="G6"/>
          <cell r="J6"/>
          <cell r="L6"/>
        </row>
        <row r="7">
          <cell r="A7" t="str">
            <v>01654</v>
          </cell>
          <cell r="E7"/>
          <cell r="F7"/>
          <cell r="G7"/>
          <cell r="J7"/>
          <cell r="L7"/>
        </row>
        <row r="8">
          <cell r="A8" t="str">
            <v>01341</v>
          </cell>
          <cell r="E8"/>
          <cell r="F8"/>
          <cell r="G8"/>
          <cell r="J8"/>
          <cell r="L8"/>
          <cell r="M8"/>
        </row>
        <row r="9">
          <cell r="A9" t="str">
            <v>01343</v>
          </cell>
          <cell r="E9"/>
          <cell r="F9"/>
          <cell r="G9"/>
          <cell r="J9"/>
          <cell r="L9"/>
          <cell r="M9"/>
        </row>
        <row r="10">
          <cell r="A10" t="str">
            <v>01216</v>
          </cell>
          <cell r="E10"/>
          <cell r="F10"/>
          <cell r="G10"/>
          <cell r="J10"/>
          <cell r="L10"/>
          <cell r="M10"/>
        </row>
        <row r="11">
          <cell r="A11" t="str">
            <v>01211</v>
          </cell>
          <cell r="E11"/>
          <cell r="F11"/>
          <cell r="G11"/>
          <cell r="J11"/>
          <cell r="L11"/>
          <cell r="M11"/>
        </row>
        <row r="12">
          <cell r="A12" t="str">
            <v>01311</v>
          </cell>
          <cell r="E12"/>
          <cell r="F12"/>
          <cell r="G12"/>
          <cell r="J12"/>
          <cell r="L12"/>
          <cell r="M12"/>
        </row>
        <row r="13">
          <cell r="A13" t="str">
            <v>01312</v>
          </cell>
          <cell r="E13"/>
          <cell r="F13"/>
          <cell r="G13"/>
          <cell r="J13"/>
          <cell r="L13"/>
          <cell r="M13"/>
        </row>
        <row r="14">
          <cell r="A14" t="str">
            <v>0115</v>
          </cell>
          <cell r="E14"/>
          <cell r="F14"/>
          <cell r="G14"/>
          <cell r="J14"/>
          <cell r="L14"/>
          <cell r="M14"/>
        </row>
        <row r="15">
          <cell r="A15" t="str">
            <v>0115_s</v>
          </cell>
          <cell r="E15"/>
          <cell r="F15"/>
          <cell r="G15"/>
          <cell r="J15"/>
          <cell r="L15"/>
          <cell r="M15"/>
        </row>
        <row r="16">
          <cell r="A16" t="str">
            <v>0115_w</v>
          </cell>
          <cell r="E16"/>
          <cell r="F16"/>
          <cell r="G16"/>
          <cell r="J16"/>
          <cell r="L16"/>
          <cell r="M16"/>
        </row>
        <row r="17">
          <cell r="A17" t="str">
            <v>01701</v>
          </cell>
          <cell r="E17"/>
          <cell r="F17"/>
          <cell r="G17"/>
          <cell r="J17"/>
          <cell r="L17"/>
          <cell r="M17"/>
        </row>
        <row r="18">
          <cell r="A18" t="str">
            <v>01355.01</v>
          </cell>
          <cell r="E18"/>
          <cell r="F18"/>
          <cell r="G18"/>
          <cell r="J18"/>
          <cell r="L18"/>
          <cell r="M18"/>
        </row>
        <row r="19">
          <cell r="A19" t="str">
            <v>01377</v>
          </cell>
          <cell r="E19"/>
          <cell r="F19"/>
          <cell r="G19"/>
          <cell r="J19"/>
          <cell r="L19"/>
          <cell r="M19"/>
        </row>
        <row r="20">
          <cell r="A20" t="str">
            <v>01702</v>
          </cell>
          <cell r="E20"/>
          <cell r="F20"/>
          <cell r="G20"/>
          <cell r="J20"/>
          <cell r="L20"/>
          <cell r="M20"/>
        </row>
        <row r="21">
          <cell r="A21" t="str">
            <v>01243</v>
          </cell>
          <cell r="E21"/>
          <cell r="F21"/>
          <cell r="G21"/>
          <cell r="J21"/>
          <cell r="L21"/>
          <cell r="M21"/>
        </row>
        <row r="22">
          <cell r="A22" t="str">
            <v>01213_b</v>
          </cell>
          <cell r="E22"/>
          <cell r="F22"/>
          <cell r="G22"/>
          <cell r="J22"/>
          <cell r="L22"/>
          <cell r="M22"/>
        </row>
        <row r="23">
          <cell r="A23" t="str">
            <v>01192</v>
          </cell>
          <cell r="E23"/>
          <cell r="F23"/>
          <cell r="G23"/>
          <cell r="J23"/>
          <cell r="L23"/>
          <cell r="M23"/>
        </row>
        <row r="24">
          <cell r="A24" t="str">
            <v>01212</v>
          </cell>
          <cell r="E24"/>
          <cell r="F24"/>
          <cell r="G24"/>
          <cell r="J24"/>
          <cell r="L24"/>
          <cell r="M24"/>
        </row>
        <row r="25">
          <cell r="A25" t="str">
            <v>01229</v>
          </cell>
          <cell r="E25">
            <v>2.3307872820487615E-4</v>
          </cell>
          <cell r="F25">
            <v>4.8700103501075899E-5</v>
          </cell>
          <cell r="G25">
            <v>9.5000000000000005E-5</v>
          </cell>
          <cell r="J25">
            <v>2.1169973643800255E-5</v>
          </cell>
          <cell r="L25">
            <v>8.2806510600000001E-6</v>
          </cell>
          <cell r="M25">
            <v>5.9927999999999999E-5</v>
          </cell>
        </row>
        <row r="26">
          <cell r="A26" t="str">
            <v>01251</v>
          </cell>
          <cell r="E26"/>
          <cell r="F26"/>
          <cell r="G26"/>
          <cell r="J26"/>
          <cell r="L26"/>
          <cell r="M26"/>
        </row>
        <row r="27">
          <cell r="A27" t="str">
            <v>01372</v>
          </cell>
          <cell r="E27"/>
          <cell r="F27"/>
          <cell r="G27"/>
          <cell r="J27"/>
          <cell r="L27"/>
          <cell r="M27"/>
        </row>
        <row r="28">
          <cell r="A28" t="str">
            <v>01213_cf</v>
          </cell>
          <cell r="E28"/>
          <cell r="F28"/>
          <cell r="G28"/>
          <cell r="J28"/>
          <cell r="L28"/>
          <cell r="M28"/>
        </row>
        <row r="29">
          <cell r="A29" t="str">
            <v>01213</v>
          </cell>
          <cell r="E29"/>
          <cell r="F29"/>
          <cell r="G29"/>
          <cell r="J29"/>
          <cell r="L29"/>
          <cell r="M29"/>
        </row>
        <row r="30">
          <cell r="A30" t="str">
            <v>01199.90</v>
          </cell>
          <cell r="E30"/>
          <cell r="F30"/>
          <cell r="G30"/>
          <cell r="J30"/>
          <cell r="L30"/>
          <cell r="M30"/>
        </row>
        <row r="31">
          <cell r="A31" t="str">
            <v>01344.02</v>
          </cell>
          <cell r="E31"/>
          <cell r="F31"/>
          <cell r="G31"/>
          <cell r="J31"/>
          <cell r="L31"/>
          <cell r="M31"/>
        </row>
        <row r="32">
          <cell r="A32" t="str">
            <v>01373</v>
          </cell>
          <cell r="E32"/>
          <cell r="F32"/>
          <cell r="G32"/>
          <cell r="J32"/>
          <cell r="L32"/>
          <cell r="M32"/>
        </row>
        <row r="33">
          <cell r="A33" t="str">
            <v>01703</v>
          </cell>
          <cell r="E33"/>
          <cell r="F33"/>
          <cell r="G33"/>
          <cell r="J33"/>
          <cell r="L33"/>
          <cell r="M33"/>
        </row>
        <row r="34">
          <cell r="A34" t="str">
            <v>01231</v>
          </cell>
          <cell r="E34"/>
          <cell r="F34"/>
          <cell r="G34"/>
          <cell r="L34"/>
          <cell r="M34"/>
        </row>
        <row r="35">
          <cell r="A35" t="str">
            <v>01640</v>
          </cell>
          <cell r="E35"/>
          <cell r="F35"/>
          <cell r="G35"/>
          <cell r="J35"/>
          <cell r="L35"/>
          <cell r="M35"/>
        </row>
        <row r="36">
          <cell r="A36" t="str">
            <v>01460</v>
          </cell>
          <cell r="E36"/>
          <cell r="F36"/>
          <cell r="G36"/>
          <cell r="J36"/>
          <cell r="L36"/>
          <cell r="M36"/>
        </row>
        <row r="37">
          <cell r="A37" t="str">
            <v>01610</v>
          </cell>
          <cell r="E37">
            <v>6.5749402122406439E-4</v>
          </cell>
          <cell r="F37">
            <v>4.2099687505195996E-4</v>
          </cell>
          <cell r="G37">
            <v>9.5000000000000005E-5</v>
          </cell>
          <cell r="J37">
            <v>9.6079029752104453E-5</v>
          </cell>
          <cell r="L37">
            <v>4.5418116420000008E-5</v>
          </cell>
          <cell r="M37">
            <v>0</v>
          </cell>
        </row>
        <row r="38">
          <cell r="A38" t="str">
            <v>01232</v>
          </cell>
          <cell r="E38"/>
          <cell r="F38"/>
          <cell r="G38"/>
          <cell r="J38"/>
          <cell r="K38" t="e">
            <v>#DIV/0!</v>
          </cell>
          <cell r="L38"/>
          <cell r="M38"/>
        </row>
        <row r="39">
          <cell r="A39" t="str">
            <v>01232_gh</v>
          </cell>
          <cell r="E39"/>
          <cell r="F39"/>
          <cell r="G39"/>
          <cell r="J39"/>
          <cell r="K39" t="e">
            <v>#DIV/0!</v>
          </cell>
          <cell r="M39"/>
        </row>
        <row r="40">
          <cell r="A40" t="str">
            <v>01232_of</v>
          </cell>
          <cell r="E40"/>
          <cell r="F40"/>
          <cell r="G40"/>
          <cell r="J40"/>
          <cell r="L40"/>
          <cell r="M40"/>
        </row>
        <row r="41">
          <cell r="A41" t="str">
            <v>01351.01</v>
          </cell>
          <cell r="E41"/>
          <cell r="F41"/>
          <cell r="G41"/>
          <cell r="J41"/>
          <cell r="L41"/>
          <cell r="M41"/>
        </row>
        <row r="42">
          <cell r="A42" t="str">
            <v>01314</v>
          </cell>
          <cell r="E42"/>
          <cell r="F42"/>
          <cell r="G42"/>
          <cell r="J42"/>
          <cell r="L42"/>
          <cell r="M42"/>
        </row>
        <row r="43">
          <cell r="A43" t="str">
            <v>01599.10</v>
          </cell>
          <cell r="E43"/>
          <cell r="F43"/>
          <cell r="G43"/>
          <cell r="J43"/>
          <cell r="L43"/>
          <cell r="M43"/>
        </row>
        <row r="44">
          <cell r="A44" t="str">
            <v>01233</v>
          </cell>
          <cell r="E44"/>
          <cell r="F44"/>
          <cell r="G44"/>
          <cell r="J44"/>
          <cell r="L44"/>
          <cell r="M44"/>
        </row>
        <row r="45">
          <cell r="A45" t="str">
            <v>01315</v>
          </cell>
          <cell r="E45"/>
          <cell r="F45"/>
          <cell r="G45"/>
          <cell r="J45"/>
          <cell r="L45"/>
          <cell r="M45"/>
        </row>
        <row r="46">
          <cell r="A46" t="str">
            <v>01351.02</v>
          </cell>
          <cell r="E46"/>
          <cell r="F46"/>
          <cell r="G46"/>
          <cell r="J46"/>
          <cell r="L46"/>
          <cell r="M46"/>
        </row>
        <row r="47">
          <cell r="A47" t="str">
            <v>01330</v>
          </cell>
          <cell r="E47"/>
          <cell r="F47"/>
          <cell r="G47"/>
          <cell r="J47"/>
          <cell r="L47"/>
          <cell r="M47"/>
        </row>
        <row r="48">
          <cell r="A48" t="str">
            <v>01290.01</v>
          </cell>
          <cell r="E48"/>
          <cell r="F48"/>
          <cell r="G48"/>
          <cell r="J48"/>
          <cell r="L48"/>
          <cell r="M48"/>
        </row>
        <row r="49">
          <cell r="A49" t="str">
            <v>01252</v>
          </cell>
          <cell r="E49"/>
          <cell r="F49"/>
          <cell r="G49"/>
          <cell r="J49"/>
          <cell r="L49"/>
          <cell r="M49"/>
        </row>
        <row r="50">
          <cell r="A50" t="str">
            <v>0142</v>
          </cell>
          <cell r="E50"/>
          <cell r="F50"/>
          <cell r="G50"/>
          <cell r="J50"/>
          <cell r="L50"/>
          <cell r="M50"/>
        </row>
        <row r="51">
          <cell r="A51" t="str">
            <v>01374</v>
          </cell>
          <cell r="E51"/>
          <cell r="F51"/>
          <cell r="G51"/>
          <cell r="J51"/>
          <cell r="L51"/>
          <cell r="M51"/>
        </row>
        <row r="52">
          <cell r="A52" t="str">
            <v>01352</v>
          </cell>
          <cell r="E52"/>
          <cell r="F52"/>
          <cell r="G52"/>
          <cell r="J52"/>
          <cell r="L52"/>
          <cell r="M52"/>
        </row>
        <row r="53">
          <cell r="A53" t="str">
            <v>01254</v>
          </cell>
          <cell r="E53"/>
          <cell r="F53"/>
          <cell r="G53"/>
          <cell r="J53"/>
          <cell r="L53"/>
          <cell r="M53"/>
        </row>
        <row r="54">
          <cell r="A54" t="str">
            <v>01322</v>
          </cell>
          <cell r="E54"/>
          <cell r="F54"/>
          <cell r="G54"/>
          <cell r="J54"/>
          <cell r="L54"/>
          <cell r="M54"/>
        </row>
        <row r="55">
          <cell r="A55" t="str">
            <v>01704</v>
          </cell>
          <cell r="E55"/>
          <cell r="F55"/>
          <cell r="G55"/>
          <cell r="J55"/>
          <cell r="L55"/>
          <cell r="M55"/>
        </row>
        <row r="56">
          <cell r="A56" t="str">
            <v>01214</v>
          </cell>
          <cell r="E56"/>
          <cell r="F56"/>
          <cell r="G56"/>
          <cell r="J56"/>
          <cell r="L56"/>
          <cell r="M56"/>
        </row>
        <row r="57">
          <cell r="A57" t="str">
            <v>01441</v>
          </cell>
          <cell r="E57"/>
          <cell r="F57"/>
          <cell r="G57"/>
          <cell r="J57"/>
          <cell r="L57"/>
          <cell r="M57"/>
        </row>
        <row r="58">
          <cell r="A58" t="str">
            <v>01709.02</v>
          </cell>
          <cell r="E58"/>
          <cell r="F58"/>
          <cell r="G58"/>
          <cell r="J58"/>
          <cell r="L58"/>
          <cell r="M58"/>
        </row>
        <row r="59">
          <cell r="A59" t="str">
            <v>0112</v>
          </cell>
          <cell r="E59"/>
          <cell r="F59"/>
          <cell r="G59"/>
          <cell r="J59"/>
          <cell r="L59"/>
          <cell r="M59"/>
        </row>
        <row r="60">
          <cell r="A60" t="str">
            <v>01316</v>
          </cell>
          <cell r="E60">
            <v>2.8507937962895093E-4</v>
          </cell>
          <cell r="F60">
            <v>9.686055452567255E-5</v>
          </cell>
          <cell r="G60">
            <v>9.5000000000000005E-5</v>
          </cell>
          <cell r="J60">
            <v>2.5010174043278419E-5</v>
          </cell>
          <cell r="L60">
            <v>8.2806510600000001E-6</v>
          </cell>
          <cell r="M60">
            <v>5.9927999999999999E-5</v>
          </cell>
        </row>
        <row r="61">
          <cell r="A61" t="str">
            <v>0118</v>
          </cell>
          <cell r="E61"/>
          <cell r="F61"/>
          <cell r="G61"/>
          <cell r="J61"/>
          <cell r="L61"/>
          <cell r="M61"/>
        </row>
        <row r="62">
          <cell r="A62" t="str">
            <v>01199.02</v>
          </cell>
          <cell r="E62"/>
          <cell r="F62"/>
          <cell r="G62"/>
          <cell r="J62"/>
          <cell r="L62"/>
          <cell r="M62"/>
        </row>
        <row r="63">
          <cell r="A63" t="str">
            <v>01270</v>
          </cell>
          <cell r="E63"/>
          <cell r="F63"/>
          <cell r="G63"/>
          <cell r="J63"/>
          <cell r="L63"/>
          <cell r="M63"/>
        </row>
        <row r="64">
          <cell r="A64" t="str">
            <v>0117</v>
          </cell>
          <cell r="E64"/>
          <cell r="F64"/>
          <cell r="G64"/>
          <cell r="J64"/>
          <cell r="L64"/>
          <cell r="M64"/>
        </row>
        <row r="65">
          <cell r="A65" t="str">
            <v>01491.01</v>
          </cell>
          <cell r="E65"/>
          <cell r="F65"/>
          <cell r="G65"/>
          <cell r="J65"/>
          <cell r="L65"/>
          <cell r="M65"/>
        </row>
        <row r="66">
          <cell r="A66" t="str">
            <v>01450</v>
          </cell>
          <cell r="E66"/>
          <cell r="F66"/>
          <cell r="G66"/>
          <cell r="J66"/>
          <cell r="L66"/>
          <cell r="M66"/>
        </row>
        <row r="67">
          <cell r="A67" t="str">
            <v>01253.02</v>
          </cell>
          <cell r="E67"/>
          <cell r="F67"/>
          <cell r="G67"/>
          <cell r="J67"/>
          <cell r="L67"/>
          <cell r="M67"/>
        </row>
        <row r="68">
          <cell r="A68" t="str">
            <v>01323</v>
          </cell>
          <cell r="E68">
            <v>2.7099236086460904E-4</v>
          </cell>
          <cell r="F68">
            <v>9.6860554525672563E-5</v>
          </cell>
          <cell r="G68">
            <v>9.5000000000000005E-5</v>
          </cell>
          <cell r="J68">
            <v>1.8701948698936442E-5</v>
          </cell>
          <cell r="L68">
            <v>5.0185763999999998E-7</v>
          </cell>
          <cell r="M68">
            <v>5.9927999999999999E-5</v>
          </cell>
        </row>
        <row r="69">
          <cell r="A69" t="str">
            <v>01241.90</v>
          </cell>
          <cell r="E69"/>
          <cell r="F69"/>
          <cell r="G69"/>
          <cell r="J69"/>
          <cell r="L69"/>
          <cell r="M69"/>
        </row>
        <row r="70">
          <cell r="A70" t="str">
            <v>01359.90</v>
          </cell>
          <cell r="E70"/>
          <cell r="F70"/>
          <cell r="G70"/>
          <cell r="J70"/>
          <cell r="L70"/>
          <cell r="M70"/>
        </row>
        <row r="71">
          <cell r="A71" t="str">
            <v>01449.90</v>
          </cell>
          <cell r="E71"/>
          <cell r="F71"/>
          <cell r="G71"/>
          <cell r="J71"/>
          <cell r="L71"/>
          <cell r="M71"/>
        </row>
        <row r="72">
          <cell r="A72" t="str">
            <v>01709.90</v>
          </cell>
          <cell r="E72"/>
          <cell r="F72"/>
          <cell r="G72"/>
          <cell r="J72"/>
          <cell r="L72"/>
          <cell r="M72"/>
        </row>
        <row r="73">
          <cell r="A73" t="str">
            <v>01699</v>
          </cell>
          <cell r="E73"/>
          <cell r="F73"/>
          <cell r="G73"/>
          <cell r="J73"/>
          <cell r="L73"/>
          <cell r="M73"/>
        </row>
        <row r="74">
          <cell r="A74" t="str">
            <v>01290.90</v>
          </cell>
          <cell r="E74"/>
          <cell r="F74"/>
          <cell r="G74"/>
          <cell r="J74"/>
          <cell r="L74"/>
          <cell r="M74"/>
        </row>
        <row r="75">
          <cell r="A75" t="str">
            <v>01317</v>
          </cell>
          <cell r="E75">
            <v>2.7288617646437378E-4</v>
          </cell>
          <cell r="F75">
            <v>9.6860554525672536E-5</v>
          </cell>
          <cell r="G75">
            <v>9.5000000000000005E-5</v>
          </cell>
          <cell r="J75">
            <v>1.2816970878701275E-5</v>
          </cell>
          <cell r="L75">
            <v>8.2806510600000001E-6</v>
          </cell>
          <cell r="M75">
            <v>5.9927999999999999E-5</v>
          </cell>
        </row>
        <row r="76">
          <cell r="A76" t="str">
            <v>01345</v>
          </cell>
          <cell r="E76"/>
          <cell r="F76"/>
          <cell r="G76"/>
          <cell r="J76"/>
          <cell r="L76"/>
          <cell r="M76"/>
        </row>
        <row r="77">
          <cell r="A77" t="str">
            <v>01342.01</v>
          </cell>
          <cell r="E77"/>
          <cell r="F77"/>
          <cell r="G77"/>
          <cell r="J77"/>
          <cell r="L77"/>
          <cell r="M77"/>
        </row>
        <row r="78">
          <cell r="A78" t="str">
            <v>01705</v>
          </cell>
          <cell r="E78"/>
          <cell r="F78"/>
          <cell r="G78"/>
          <cell r="J78"/>
          <cell r="L78"/>
          <cell r="M78"/>
        </row>
        <row r="79">
          <cell r="A79" t="str">
            <v>01242</v>
          </cell>
          <cell r="E79"/>
          <cell r="F79"/>
          <cell r="G79"/>
          <cell r="J79"/>
          <cell r="L79"/>
          <cell r="M79"/>
        </row>
        <row r="80">
          <cell r="A80" t="str">
            <v>01651</v>
          </cell>
          <cell r="E80">
            <v>3.9355848562003937E-4</v>
          </cell>
          <cell r="F80">
            <v>3.6260005192518861E-5</v>
          </cell>
          <cell r="G80">
            <v>9.5000000000000005E-5</v>
          </cell>
          <cell r="J80">
            <v>1.7752852724752053E-4</v>
          </cell>
          <cell r="L80">
            <v>2.4841953180000002E-5</v>
          </cell>
          <cell r="M80">
            <v>5.9927999999999999E-5</v>
          </cell>
        </row>
        <row r="81">
          <cell r="A81" t="str">
            <v>01318</v>
          </cell>
          <cell r="E81"/>
          <cell r="F81"/>
          <cell r="G81"/>
          <cell r="J81"/>
          <cell r="L81"/>
          <cell r="M81"/>
        </row>
        <row r="82">
          <cell r="A82" t="str">
            <v>01313</v>
          </cell>
          <cell r="E82"/>
          <cell r="F82"/>
          <cell r="G82"/>
          <cell r="J82"/>
          <cell r="L82"/>
          <cell r="M82"/>
        </row>
        <row r="83">
          <cell r="A83" t="str">
            <v>01346</v>
          </cell>
          <cell r="E83"/>
          <cell r="F83"/>
          <cell r="G83"/>
          <cell r="J83"/>
          <cell r="L83"/>
          <cell r="M83"/>
        </row>
        <row r="84">
          <cell r="A84" t="str">
            <v>01321</v>
          </cell>
          <cell r="E84"/>
          <cell r="F84"/>
          <cell r="G84"/>
          <cell r="J84"/>
          <cell r="L84"/>
          <cell r="M84"/>
        </row>
        <row r="85">
          <cell r="A85" t="str">
            <v>01448</v>
          </cell>
          <cell r="E85"/>
          <cell r="F85"/>
          <cell r="G85"/>
          <cell r="J85"/>
          <cell r="L85"/>
          <cell r="M85"/>
        </row>
        <row r="86">
          <cell r="A86" t="str">
            <v>01510</v>
          </cell>
          <cell r="E86"/>
          <cell r="F86"/>
          <cell r="G86"/>
          <cell r="J86"/>
          <cell r="L86"/>
          <cell r="M86"/>
        </row>
        <row r="87">
          <cell r="A87" t="str">
            <v>01235</v>
          </cell>
          <cell r="E87"/>
          <cell r="F87"/>
          <cell r="G87"/>
          <cell r="J87"/>
          <cell r="L87"/>
          <cell r="M87"/>
        </row>
        <row r="88">
          <cell r="A88" t="str">
            <v>01342.02</v>
          </cell>
          <cell r="E88"/>
          <cell r="F88"/>
          <cell r="G88"/>
          <cell r="J88"/>
          <cell r="L88"/>
          <cell r="M88"/>
        </row>
        <row r="89">
          <cell r="A89" t="str">
            <v>01194</v>
          </cell>
          <cell r="E89"/>
          <cell r="F89"/>
          <cell r="G89"/>
          <cell r="J89"/>
          <cell r="L89"/>
          <cell r="M89"/>
        </row>
        <row r="90">
          <cell r="A90" t="str">
            <v>01443</v>
          </cell>
          <cell r="E90"/>
          <cell r="F90"/>
          <cell r="G90"/>
          <cell r="J90"/>
          <cell r="L90"/>
          <cell r="M90"/>
        </row>
        <row r="91">
          <cell r="A91" t="str">
            <v>01443_s</v>
          </cell>
          <cell r="E91"/>
          <cell r="F91"/>
          <cell r="G91"/>
          <cell r="J91"/>
          <cell r="L91"/>
          <cell r="M91"/>
        </row>
        <row r="92">
          <cell r="A92" t="str">
            <v>01443_w</v>
          </cell>
          <cell r="E92"/>
          <cell r="F92"/>
          <cell r="G92"/>
          <cell r="J92"/>
          <cell r="L92"/>
          <cell r="M92"/>
        </row>
        <row r="93">
          <cell r="A93" t="str">
            <v>01353.01</v>
          </cell>
          <cell r="E93"/>
          <cell r="F93"/>
          <cell r="G93"/>
          <cell r="J93"/>
          <cell r="L93"/>
          <cell r="M93"/>
        </row>
        <row r="94">
          <cell r="A94" t="str">
            <v>0113</v>
          </cell>
          <cell r="E94"/>
          <cell r="F94"/>
          <cell r="G94"/>
          <cell r="J94"/>
          <cell r="L94"/>
          <cell r="M94"/>
        </row>
        <row r="95">
          <cell r="A95" t="str">
            <v>0116</v>
          </cell>
          <cell r="E95"/>
          <cell r="F95"/>
          <cell r="G95"/>
          <cell r="J95"/>
          <cell r="L95"/>
          <cell r="M95"/>
        </row>
        <row r="96">
          <cell r="A96" t="str">
            <v>0114</v>
          </cell>
          <cell r="E96"/>
          <cell r="F96"/>
          <cell r="G96"/>
          <cell r="J96"/>
          <cell r="L96"/>
          <cell r="M96"/>
        </row>
        <row r="97">
          <cell r="A97" t="str">
            <v>01344.01</v>
          </cell>
          <cell r="E97"/>
          <cell r="F97"/>
          <cell r="G97"/>
          <cell r="J97"/>
          <cell r="L97"/>
          <cell r="M97"/>
        </row>
        <row r="98">
          <cell r="A98" t="str">
            <v>0141</v>
          </cell>
          <cell r="E98">
            <v>1.5801061630944411E-4</v>
          </cell>
          <cell r="F98">
            <v>8.1660966199362198E-6</v>
          </cell>
          <cell r="G98">
            <v>9.5000000000000005E-5</v>
          </cell>
          <cell r="J98">
            <v>2.2434790869507859E-5</v>
          </cell>
          <cell r="L98">
            <v>2.5092881999999999E-7</v>
          </cell>
          <cell r="M98">
            <v>3.2158800000000008E-5</v>
          </cell>
        </row>
        <row r="99">
          <cell r="A99" t="str">
            <v>01215</v>
          </cell>
          <cell r="E99"/>
          <cell r="F99"/>
          <cell r="G99"/>
          <cell r="J99"/>
          <cell r="L99"/>
          <cell r="M99"/>
        </row>
        <row r="100">
          <cell r="A100" t="str">
            <v>01354</v>
          </cell>
          <cell r="E100"/>
          <cell r="F100"/>
          <cell r="G100"/>
          <cell r="J100"/>
          <cell r="L100"/>
          <cell r="M100"/>
        </row>
        <row r="101">
          <cell r="A101" t="str">
            <v>01801</v>
          </cell>
          <cell r="E101"/>
          <cell r="F101"/>
          <cell r="G101"/>
          <cell r="J101"/>
          <cell r="L101"/>
          <cell r="M101"/>
        </row>
        <row r="102">
          <cell r="A102" t="str">
            <v>01802</v>
          </cell>
          <cell r="E102"/>
          <cell r="F102"/>
          <cell r="G102"/>
          <cell r="J102"/>
          <cell r="L102"/>
          <cell r="M102"/>
        </row>
        <row r="103">
          <cell r="A103" t="str">
            <v>01445</v>
          </cell>
          <cell r="E103"/>
          <cell r="F103"/>
          <cell r="G103"/>
          <cell r="J103"/>
          <cell r="L103"/>
          <cell r="M103"/>
        </row>
        <row r="104">
          <cell r="A104" t="str">
            <v>01530</v>
          </cell>
          <cell r="E104"/>
          <cell r="F104"/>
          <cell r="G104"/>
          <cell r="J104"/>
          <cell r="L104"/>
          <cell r="M104"/>
        </row>
        <row r="105">
          <cell r="A105" t="str">
            <v>01324</v>
          </cell>
          <cell r="E105"/>
          <cell r="F105"/>
          <cell r="G105"/>
          <cell r="J105"/>
          <cell r="L105"/>
          <cell r="M105"/>
        </row>
        <row r="106">
          <cell r="A106" t="str">
            <v>01234</v>
          </cell>
          <cell r="E106"/>
          <cell r="F106"/>
          <cell r="G106"/>
          <cell r="J106"/>
          <cell r="K106" t="e">
            <v>#DIV/0!</v>
          </cell>
          <cell r="M106"/>
        </row>
        <row r="107">
          <cell r="A107" t="str">
            <v>01234_gh</v>
          </cell>
          <cell r="E107"/>
          <cell r="F107"/>
          <cell r="G107"/>
          <cell r="J107"/>
          <cell r="M107"/>
        </row>
        <row r="108">
          <cell r="A108" t="str">
            <v>01234_of</v>
          </cell>
          <cell r="E108"/>
          <cell r="F108"/>
          <cell r="G108"/>
          <cell r="J108"/>
          <cell r="L108"/>
          <cell r="M108"/>
        </row>
        <row r="109">
          <cell r="A109" t="str">
            <v>01191</v>
          </cell>
          <cell r="E109"/>
          <cell r="F109"/>
          <cell r="G109"/>
          <cell r="J109"/>
          <cell r="L109"/>
          <cell r="M109"/>
        </row>
        <row r="110">
          <cell r="A110" t="str">
            <v>01929.02</v>
          </cell>
          <cell r="E110"/>
          <cell r="F110"/>
          <cell r="G110"/>
          <cell r="J110"/>
          <cell r="L110"/>
          <cell r="M110"/>
        </row>
        <row r="111">
          <cell r="A111" t="str">
            <v>01709.01</v>
          </cell>
          <cell r="E111"/>
          <cell r="F111"/>
          <cell r="G111"/>
          <cell r="J111"/>
          <cell r="L111"/>
          <cell r="M111"/>
        </row>
        <row r="112">
          <cell r="A112" t="str">
            <v>01376</v>
          </cell>
          <cell r="E112"/>
          <cell r="F112"/>
          <cell r="G112"/>
          <cell r="J112"/>
          <cell r="L112"/>
          <cell r="M112"/>
        </row>
        <row r="113">
          <cell r="A113" t="str">
            <v>01221</v>
          </cell>
          <cell r="E113">
            <v>2.2336710577463041E-4</v>
          </cell>
          <cell r="F113">
            <v>3.6615237133782501E-5</v>
          </cell>
          <cell r="G113">
            <v>9.5000000000000005E-5</v>
          </cell>
          <cell r="J113">
            <v>2.3543217580847895E-5</v>
          </cell>
          <cell r="L113">
            <v>8.2806510599999984E-6</v>
          </cell>
          <cell r="M113">
            <v>5.9927999999999999E-5</v>
          </cell>
        </row>
        <row r="114">
          <cell r="A114" t="str">
            <v>01221_gh</v>
          </cell>
          <cell r="E114"/>
          <cell r="F114"/>
          <cell r="G114"/>
          <cell r="J114"/>
          <cell r="L114"/>
          <cell r="M114"/>
        </row>
        <row r="115">
          <cell r="A115" t="str">
            <v>01221_of</v>
          </cell>
          <cell r="E115"/>
          <cell r="F115"/>
          <cell r="G115"/>
          <cell r="J115"/>
          <cell r="L115"/>
          <cell r="M115"/>
        </row>
        <row r="116">
          <cell r="A116" t="str">
            <v>0111</v>
          </cell>
          <cell r="E116"/>
          <cell r="F116"/>
          <cell r="G116"/>
          <cell r="J116"/>
          <cell r="L116"/>
          <cell r="M116"/>
        </row>
        <row r="117">
          <cell r="A117" t="str">
            <v>0111_s</v>
          </cell>
          <cell r="E117"/>
          <cell r="F117"/>
          <cell r="G117"/>
          <cell r="J117"/>
          <cell r="L117"/>
          <cell r="M117"/>
        </row>
        <row r="118">
          <cell r="A118" t="str">
            <v>0111_w</v>
          </cell>
          <cell r="E118"/>
          <cell r="F118"/>
          <cell r="G118"/>
          <cell r="J118"/>
          <cell r="L118"/>
          <cell r="M118"/>
        </row>
      </sheetData>
      <sheetData sheetId="6">
        <row r="6">
          <cell r="A6" t="str">
            <v>01371</v>
          </cell>
        </row>
        <row r="7">
          <cell r="A7" t="str">
            <v>01654</v>
          </cell>
        </row>
        <row r="8">
          <cell r="A8" t="str">
            <v>01341</v>
          </cell>
        </row>
        <row r="9">
          <cell r="A9" t="str">
            <v>01343</v>
          </cell>
        </row>
        <row r="10">
          <cell r="A10" t="str">
            <v>01216</v>
          </cell>
        </row>
        <row r="11">
          <cell r="A11" t="str">
            <v>01211</v>
          </cell>
        </row>
        <row r="12">
          <cell r="A12" t="str">
            <v>01311</v>
          </cell>
        </row>
        <row r="13">
          <cell r="A13" t="str">
            <v>01312</v>
          </cell>
        </row>
        <row r="14">
          <cell r="A14" t="str">
            <v>0115</v>
          </cell>
        </row>
        <row r="15">
          <cell r="A15" t="str">
            <v>0115_s</v>
          </cell>
        </row>
        <row r="16">
          <cell r="A16" t="str">
            <v>0115_w</v>
          </cell>
        </row>
        <row r="17">
          <cell r="A17" t="str">
            <v>01701</v>
          </cell>
        </row>
        <row r="18">
          <cell r="A18" t="str">
            <v>01355.01</v>
          </cell>
        </row>
        <row r="19">
          <cell r="A19" t="str">
            <v>01377</v>
          </cell>
        </row>
        <row r="20">
          <cell r="A20" t="str">
            <v>01702</v>
          </cell>
        </row>
        <row r="21">
          <cell r="A21" t="str">
            <v>01243</v>
          </cell>
        </row>
        <row r="22">
          <cell r="A22" t="str">
            <v>01213_b</v>
          </cell>
        </row>
        <row r="23">
          <cell r="A23" t="str">
            <v>01192</v>
          </cell>
        </row>
        <row r="24">
          <cell r="A24" t="str">
            <v>01212</v>
          </cell>
        </row>
        <row r="25">
          <cell r="A25" t="str">
            <v>01229</v>
          </cell>
        </row>
        <row r="26">
          <cell r="A26" t="str">
            <v>01251</v>
          </cell>
        </row>
        <row r="27">
          <cell r="A27" t="str">
            <v>01372</v>
          </cell>
        </row>
        <row r="28">
          <cell r="A28" t="str">
            <v>01213_cf</v>
          </cell>
        </row>
        <row r="29">
          <cell r="A29" t="str">
            <v>01213</v>
          </cell>
        </row>
        <row r="30">
          <cell r="A30" t="str">
            <v>01199.90</v>
          </cell>
        </row>
        <row r="31">
          <cell r="A31" t="str">
            <v>01344.02</v>
          </cell>
        </row>
        <row r="32">
          <cell r="A32" t="str">
            <v>01373</v>
          </cell>
        </row>
        <row r="33">
          <cell r="A33" t="str">
            <v>01703</v>
          </cell>
        </row>
        <row r="34">
          <cell r="A34" t="str">
            <v>01231</v>
          </cell>
        </row>
        <row r="35">
          <cell r="A35" t="str">
            <v>01640</v>
          </cell>
        </row>
        <row r="36">
          <cell r="A36" t="str">
            <v>01460</v>
          </cell>
        </row>
        <row r="37">
          <cell r="A37" t="str">
            <v>01610</v>
          </cell>
        </row>
        <row r="38">
          <cell r="A38" t="str">
            <v>01232</v>
          </cell>
        </row>
        <row r="39">
          <cell r="A39" t="str">
            <v>01232_gh</v>
          </cell>
        </row>
        <row r="40">
          <cell r="A40" t="str">
            <v>01232_of</v>
          </cell>
        </row>
        <row r="41">
          <cell r="A41" t="str">
            <v>01351.01</v>
          </cell>
        </row>
        <row r="42">
          <cell r="A42" t="str">
            <v>01314</v>
          </cell>
        </row>
        <row r="43">
          <cell r="A43" t="str">
            <v>01599.10</v>
          </cell>
        </row>
        <row r="44">
          <cell r="A44" t="str">
            <v>01233</v>
          </cell>
        </row>
        <row r="45">
          <cell r="A45" t="str">
            <v>01315</v>
          </cell>
        </row>
        <row r="46">
          <cell r="A46" t="str">
            <v>01351.02</v>
          </cell>
        </row>
        <row r="47">
          <cell r="A47" t="str">
            <v>01330</v>
          </cell>
        </row>
        <row r="48">
          <cell r="A48" t="str">
            <v>01290.01</v>
          </cell>
        </row>
        <row r="49">
          <cell r="A49" t="str">
            <v>01252</v>
          </cell>
        </row>
        <row r="50">
          <cell r="A50" t="str">
            <v>0142</v>
          </cell>
        </row>
        <row r="51">
          <cell r="A51" t="str">
            <v>01374</v>
          </cell>
        </row>
        <row r="52">
          <cell r="A52" t="str">
            <v>01352</v>
          </cell>
        </row>
        <row r="53">
          <cell r="A53" t="str">
            <v>01254</v>
          </cell>
        </row>
        <row r="54">
          <cell r="A54" t="str">
            <v>01322</v>
          </cell>
        </row>
        <row r="55">
          <cell r="A55" t="str">
            <v>01704</v>
          </cell>
        </row>
        <row r="56">
          <cell r="A56" t="str">
            <v>01214</v>
          </cell>
        </row>
        <row r="57">
          <cell r="A57" t="str">
            <v>01441</v>
          </cell>
        </row>
        <row r="58">
          <cell r="A58" t="str">
            <v>01709.02</v>
          </cell>
        </row>
        <row r="59">
          <cell r="A59" t="str">
            <v>0112</v>
          </cell>
        </row>
        <row r="60">
          <cell r="A60" t="str">
            <v>01316</v>
          </cell>
        </row>
        <row r="61">
          <cell r="A61" t="str">
            <v>0118</v>
          </cell>
        </row>
        <row r="62">
          <cell r="A62" t="str">
            <v>01199.02</v>
          </cell>
        </row>
        <row r="63">
          <cell r="A63" t="str">
            <v>01270</v>
          </cell>
        </row>
        <row r="64">
          <cell r="A64" t="str">
            <v>0117</v>
          </cell>
        </row>
        <row r="65">
          <cell r="A65" t="str">
            <v>01491.01</v>
          </cell>
        </row>
        <row r="66">
          <cell r="A66" t="str">
            <v>01450</v>
          </cell>
        </row>
        <row r="67">
          <cell r="A67" t="str">
            <v>01253.02</v>
          </cell>
        </row>
        <row r="68">
          <cell r="A68" t="str">
            <v>01323</v>
          </cell>
        </row>
        <row r="69">
          <cell r="A69" t="str">
            <v>01241.90</v>
          </cell>
        </row>
        <row r="70">
          <cell r="A70" t="str">
            <v>01359.90</v>
          </cell>
        </row>
        <row r="71">
          <cell r="A71" t="str">
            <v>01449.90</v>
          </cell>
        </row>
        <row r="72">
          <cell r="A72" t="str">
            <v>01709.90</v>
          </cell>
        </row>
        <row r="73">
          <cell r="A73" t="str">
            <v>01699</v>
          </cell>
        </row>
        <row r="74">
          <cell r="A74" t="str">
            <v>01290.90</v>
          </cell>
        </row>
        <row r="75">
          <cell r="A75" t="str">
            <v>01317</v>
          </cell>
        </row>
        <row r="76">
          <cell r="A76" t="str">
            <v>01345</v>
          </cell>
        </row>
        <row r="77">
          <cell r="A77" t="str">
            <v>01342.01</v>
          </cell>
        </row>
        <row r="78">
          <cell r="A78" t="str">
            <v>01705</v>
          </cell>
        </row>
        <row r="79">
          <cell r="A79" t="str">
            <v>01242</v>
          </cell>
        </row>
        <row r="80">
          <cell r="A80" t="str">
            <v>01651</v>
          </cell>
        </row>
        <row r="81">
          <cell r="A81" t="str">
            <v>01318</v>
          </cell>
        </row>
        <row r="82">
          <cell r="A82" t="str">
            <v>01313</v>
          </cell>
        </row>
        <row r="83">
          <cell r="A83" t="str">
            <v>01346</v>
          </cell>
        </row>
        <row r="84">
          <cell r="A84" t="str">
            <v>01321</v>
          </cell>
        </row>
        <row r="85">
          <cell r="A85" t="str">
            <v>01448</v>
          </cell>
        </row>
        <row r="86">
          <cell r="A86" t="str">
            <v>01510</v>
          </cell>
        </row>
        <row r="87">
          <cell r="A87" t="str">
            <v>01235</v>
          </cell>
        </row>
        <row r="88">
          <cell r="A88" t="str">
            <v>01342.02</v>
          </cell>
        </row>
        <row r="89">
          <cell r="A89" t="str">
            <v>01194</v>
          </cell>
        </row>
        <row r="90">
          <cell r="A90" t="str">
            <v>01443</v>
          </cell>
        </row>
        <row r="91">
          <cell r="A91" t="str">
            <v>01443_s</v>
          </cell>
        </row>
        <row r="92">
          <cell r="A92" t="str">
            <v>01443_w</v>
          </cell>
        </row>
        <row r="93">
          <cell r="A93" t="str">
            <v>01353.01</v>
          </cell>
        </row>
        <row r="94">
          <cell r="A94" t="str">
            <v>0113</v>
          </cell>
        </row>
        <row r="95">
          <cell r="A95" t="str">
            <v>0116</v>
          </cell>
        </row>
        <row r="96">
          <cell r="A96" t="str">
            <v>0114</v>
          </cell>
        </row>
        <row r="97">
          <cell r="A97" t="str">
            <v>01344.01</v>
          </cell>
        </row>
        <row r="98">
          <cell r="A98" t="str">
            <v>0141</v>
          </cell>
        </row>
        <row r="99">
          <cell r="A99" t="str">
            <v>01215</v>
          </cell>
        </row>
        <row r="100">
          <cell r="A100" t="str">
            <v>01354</v>
          </cell>
        </row>
        <row r="101">
          <cell r="A101" t="str">
            <v>01801</v>
          </cell>
        </row>
        <row r="102">
          <cell r="A102" t="str">
            <v>01802</v>
          </cell>
        </row>
        <row r="103">
          <cell r="A103" t="str">
            <v>01445</v>
          </cell>
        </row>
        <row r="104">
          <cell r="A104" t="str">
            <v>01530</v>
          </cell>
        </row>
        <row r="105">
          <cell r="A105" t="str">
            <v>01324</v>
          </cell>
        </row>
        <row r="106">
          <cell r="A106" t="str">
            <v>01234</v>
          </cell>
        </row>
        <row r="107">
          <cell r="A107" t="str">
            <v>01234_gh</v>
          </cell>
        </row>
        <row r="108">
          <cell r="A108" t="str">
            <v>01234_of</v>
          </cell>
        </row>
        <row r="109">
          <cell r="A109" t="str">
            <v>01191</v>
          </cell>
        </row>
        <row r="110">
          <cell r="A110" t="str">
            <v>01929.02</v>
          </cell>
        </row>
        <row r="111">
          <cell r="A111" t="str">
            <v>01709.01</v>
          </cell>
        </row>
        <row r="112">
          <cell r="A112" t="str">
            <v>01376</v>
          </cell>
        </row>
        <row r="113">
          <cell r="A113" t="str">
            <v>01221</v>
          </cell>
        </row>
        <row r="114">
          <cell r="A114" t="str">
            <v>01221_gh</v>
          </cell>
        </row>
        <row r="115">
          <cell r="A115" t="str">
            <v>01221_of</v>
          </cell>
        </row>
        <row r="116">
          <cell r="A116" t="str">
            <v>0111</v>
          </cell>
        </row>
        <row r="117">
          <cell r="A117" t="str">
            <v>0111_s</v>
          </cell>
        </row>
        <row r="118">
          <cell r="A118" t="str">
            <v>0111_w</v>
          </cell>
        </row>
      </sheetData>
      <sheetData sheetId="7">
        <row r="6">
          <cell r="A6" t="str">
            <v>01371</v>
          </cell>
          <cell r="E6"/>
          <cell r="F6"/>
          <cell r="G6"/>
          <cell r="H6"/>
          <cell r="I6"/>
          <cell r="J6"/>
          <cell r="L6"/>
        </row>
        <row r="7">
          <cell r="A7" t="str">
            <v>01654</v>
          </cell>
          <cell r="E7"/>
          <cell r="F7"/>
          <cell r="G7"/>
          <cell r="H7"/>
          <cell r="I7"/>
          <cell r="J7"/>
          <cell r="L7"/>
        </row>
        <row r="8">
          <cell r="A8" t="str">
            <v>01341</v>
          </cell>
          <cell r="E8"/>
          <cell r="F8"/>
          <cell r="G8"/>
          <cell r="H8"/>
          <cell r="I8"/>
          <cell r="J8"/>
          <cell r="L8"/>
          <cell r="M8"/>
        </row>
        <row r="9">
          <cell r="A9" t="str">
            <v>01343</v>
          </cell>
          <cell r="E9"/>
          <cell r="F9"/>
          <cell r="G9"/>
          <cell r="H9"/>
          <cell r="I9"/>
          <cell r="J9"/>
          <cell r="L9"/>
          <cell r="M9"/>
        </row>
        <row r="10">
          <cell r="A10" t="str">
            <v>01216</v>
          </cell>
          <cell r="E10"/>
          <cell r="F10"/>
          <cell r="G10"/>
          <cell r="H10"/>
          <cell r="I10"/>
          <cell r="J10"/>
          <cell r="L10"/>
          <cell r="M10"/>
        </row>
        <row r="11">
          <cell r="A11" t="str">
            <v>01211</v>
          </cell>
          <cell r="E11"/>
          <cell r="F11"/>
          <cell r="G11"/>
          <cell r="H11"/>
          <cell r="I11"/>
          <cell r="J11"/>
          <cell r="L11"/>
          <cell r="M11"/>
        </row>
        <row r="12">
          <cell r="A12" t="str">
            <v>01311</v>
          </cell>
          <cell r="E12"/>
          <cell r="F12"/>
          <cell r="G12"/>
          <cell r="H12"/>
          <cell r="I12"/>
          <cell r="J12"/>
          <cell r="L12"/>
          <cell r="M12"/>
        </row>
        <row r="13">
          <cell r="A13" t="str">
            <v>01312</v>
          </cell>
          <cell r="E13"/>
          <cell r="F13"/>
          <cell r="G13"/>
          <cell r="H13"/>
          <cell r="I13"/>
          <cell r="J13"/>
          <cell r="L13"/>
          <cell r="M13"/>
        </row>
        <row r="14">
          <cell r="A14" t="str">
            <v>0115</v>
          </cell>
          <cell r="E14"/>
          <cell r="F14"/>
          <cell r="G14"/>
          <cell r="H14"/>
          <cell r="I14"/>
          <cell r="J14"/>
          <cell r="L14"/>
          <cell r="M14"/>
        </row>
        <row r="15">
          <cell r="A15" t="str">
            <v>0115_s</v>
          </cell>
          <cell r="E15"/>
          <cell r="F15"/>
          <cell r="G15"/>
          <cell r="H15"/>
          <cell r="I15"/>
          <cell r="J15"/>
          <cell r="L15"/>
          <cell r="M15"/>
        </row>
        <row r="16">
          <cell r="A16" t="str">
            <v>0115_w</v>
          </cell>
          <cell r="E16"/>
          <cell r="F16"/>
          <cell r="G16"/>
          <cell r="H16"/>
          <cell r="I16"/>
          <cell r="J16"/>
          <cell r="L16"/>
          <cell r="M16"/>
        </row>
        <row r="17">
          <cell r="A17" t="str">
            <v>01701</v>
          </cell>
          <cell r="E17"/>
          <cell r="F17"/>
          <cell r="G17"/>
          <cell r="H17"/>
          <cell r="I17"/>
          <cell r="J17"/>
          <cell r="L17"/>
          <cell r="M17"/>
        </row>
        <row r="18">
          <cell r="A18" t="str">
            <v>01355.01</v>
          </cell>
          <cell r="E18"/>
          <cell r="F18"/>
          <cell r="G18"/>
          <cell r="H18"/>
          <cell r="I18"/>
          <cell r="J18"/>
          <cell r="L18"/>
          <cell r="M18"/>
        </row>
        <row r="19">
          <cell r="A19" t="str">
            <v>01377</v>
          </cell>
          <cell r="E19"/>
          <cell r="F19"/>
          <cell r="G19"/>
          <cell r="H19"/>
          <cell r="I19"/>
          <cell r="J19"/>
          <cell r="L19"/>
          <cell r="M19"/>
        </row>
        <row r="20">
          <cell r="A20" t="str">
            <v>01702</v>
          </cell>
          <cell r="E20"/>
          <cell r="F20"/>
          <cell r="G20"/>
          <cell r="H20"/>
          <cell r="I20"/>
          <cell r="J20"/>
          <cell r="L20"/>
          <cell r="M20"/>
        </row>
        <row r="21">
          <cell r="A21" t="str">
            <v>01243</v>
          </cell>
          <cell r="E21"/>
          <cell r="F21"/>
          <cell r="G21"/>
          <cell r="H21"/>
          <cell r="I21"/>
          <cell r="J21"/>
          <cell r="L21"/>
          <cell r="M21"/>
        </row>
        <row r="22">
          <cell r="A22" t="str">
            <v>01213_b</v>
          </cell>
          <cell r="E22"/>
          <cell r="F22"/>
          <cell r="G22"/>
          <cell r="H22"/>
          <cell r="I22"/>
          <cell r="J22"/>
          <cell r="L22"/>
          <cell r="M22"/>
        </row>
        <row r="23">
          <cell r="A23" t="str">
            <v>01192</v>
          </cell>
          <cell r="E23"/>
          <cell r="F23"/>
          <cell r="G23"/>
          <cell r="H23"/>
          <cell r="I23"/>
          <cell r="J23"/>
          <cell r="L23"/>
          <cell r="M23"/>
        </row>
        <row r="24">
          <cell r="A24" t="str">
            <v>01212</v>
          </cell>
          <cell r="E24"/>
          <cell r="F24"/>
          <cell r="G24"/>
          <cell r="H24"/>
          <cell r="I24"/>
          <cell r="J24"/>
          <cell r="L24"/>
          <cell r="M24"/>
        </row>
        <row r="25">
          <cell r="A25" t="str">
            <v>01229</v>
          </cell>
          <cell r="E25">
            <v>3.0725049178961203E-4</v>
          </cell>
          <cell r="F25">
            <v>5.0974115163884109E-5</v>
          </cell>
          <cell r="G25">
            <v>1.1000000000000001E-6</v>
          </cell>
          <cell r="H25">
            <v>2.2877844939069172E-4</v>
          </cell>
          <cell r="I25">
            <v>2.2877844939069172E-5</v>
          </cell>
          <cell r="J25">
            <v>1.2841732451190163E-6</v>
          </cell>
          <cell r="L25">
            <v>1.0190905084799998E-7</v>
          </cell>
          <cell r="M25">
            <v>2.1340000000000002E-6</v>
          </cell>
        </row>
        <row r="26">
          <cell r="A26" t="str">
            <v>01251</v>
          </cell>
          <cell r="E26"/>
          <cell r="F26"/>
          <cell r="G26"/>
          <cell r="H26"/>
          <cell r="I26"/>
          <cell r="J26"/>
          <cell r="L26"/>
          <cell r="M26"/>
        </row>
        <row r="27">
          <cell r="A27" t="str">
            <v>01372</v>
          </cell>
          <cell r="E27"/>
          <cell r="F27"/>
          <cell r="G27"/>
          <cell r="H27"/>
          <cell r="I27"/>
          <cell r="J27"/>
          <cell r="L27"/>
          <cell r="M27"/>
        </row>
        <row r="28">
          <cell r="A28" t="str">
            <v>01213_cf</v>
          </cell>
          <cell r="E28"/>
          <cell r="F28"/>
          <cell r="G28"/>
          <cell r="H28"/>
          <cell r="I28"/>
          <cell r="J28"/>
          <cell r="L28"/>
          <cell r="M28"/>
        </row>
        <row r="29">
          <cell r="A29" t="str">
            <v>01213</v>
          </cell>
          <cell r="E29"/>
          <cell r="F29"/>
          <cell r="G29"/>
          <cell r="H29"/>
          <cell r="I29"/>
          <cell r="J29"/>
          <cell r="L29"/>
          <cell r="M29"/>
        </row>
        <row r="30">
          <cell r="A30" t="str">
            <v>01199.90</v>
          </cell>
          <cell r="E30"/>
          <cell r="F30"/>
          <cell r="G30"/>
          <cell r="H30"/>
          <cell r="I30"/>
          <cell r="J30"/>
          <cell r="L30"/>
          <cell r="M30"/>
        </row>
        <row r="31">
          <cell r="A31" t="str">
            <v>01344.02</v>
          </cell>
          <cell r="E31"/>
          <cell r="F31"/>
          <cell r="G31"/>
          <cell r="H31"/>
          <cell r="I31"/>
          <cell r="J31"/>
          <cell r="L31"/>
          <cell r="M31"/>
        </row>
        <row r="32">
          <cell r="A32" t="str">
            <v>01373</v>
          </cell>
          <cell r="E32"/>
          <cell r="F32"/>
          <cell r="G32"/>
          <cell r="H32"/>
          <cell r="I32"/>
          <cell r="J32"/>
          <cell r="L32"/>
          <cell r="M32"/>
        </row>
        <row r="33">
          <cell r="A33" t="str">
            <v>01703</v>
          </cell>
          <cell r="E33"/>
          <cell r="F33"/>
          <cell r="G33"/>
          <cell r="H33"/>
          <cell r="I33"/>
          <cell r="J33"/>
          <cell r="L33"/>
          <cell r="M33"/>
        </row>
        <row r="34">
          <cell r="A34" t="str">
            <v>01231</v>
          </cell>
          <cell r="E34"/>
          <cell r="F34"/>
          <cell r="G34"/>
          <cell r="H34"/>
          <cell r="I34"/>
          <cell r="L34"/>
          <cell r="M34"/>
        </row>
        <row r="35">
          <cell r="A35" t="str">
            <v>01640</v>
          </cell>
          <cell r="E35"/>
          <cell r="F35"/>
          <cell r="G35"/>
          <cell r="H35"/>
          <cell r="I35"/>
          <cell r="J35"/>
          <cell r="L35"/>
          <cell r="M35"/>
        </row>
        <row r="36">
          <cell r="A36" t="str">
            <v>01460</v>
          </cell>
          <cell r="E36"/>
          <cell r="F36"/>
          <cell r="G36"/>
          <cell r="H36"/>
          <cell r="I36"/>
          <cell r="J36"/>
          <cell r="L36"/>
          <cell r="M36"/>
        </row>
        <row r="37">
          <cell r="A37" t="str">
            <v>01610</v>
          </cell>
          <cell r="E37">
            <v>1.408753540388654E-3</v>
          </cell>
          <cell r="F37">
            <v>4.4065498119649446E-4</v>
          </cell>
          <cell r="G37">
            <v>1.1000000000000001E-6</v>
          </cell>
          <cell r="H37">
            <v>8.7328312504099577E-4</v>
          </cell>
          <cell r="I37">
            <v>8.7328312504099585E-5</v>
          </cell>
          <cell r="J37">
            <v>5.8281659439278341E-6</v>
          </cell>
          <cell r="L37">
            <v>5.5895570313599993E-7</v>
          </cell>
          <cell r="M37">
            <v>0</v>
          </cell>
        </row>
        <row r="38">
          <cell r="A38" t="str">
            <v>01232</v>
          </cell>
          <cell r="E38"/>
          <cell r="F38"/>
          <cell r="G38"/>
          <cell r="H38"/>
          <cell r="I38"/>
          <cell r="J38"/>
          <cell r="K38" t="e">
            <v>#DIV/0!</v>
          </cell>
          <cell r="L38"/>
          <cell r="M38"/>
        </row>
        <row r="39">
          <cell r="A39" t="str">
            <v>01232_gh</v>
          </cell>
          <cell r="E39"/>
          <cell r="F39"/>
          <cell r="G39"/>
          <cell r="H39"/>
          <cell r="I39"/>
          <cell r="J39"/>
          <cell r="K39" t="e">
            <v>#DIV/0!</v>
          </cell>
          <cell r="M39"/>
        </row>
        <row r="40">
          <cell r="A40" t="str">
            <v>01232_of</v>
          </cell>
          <cell r="E40"/>
          <cell r="F40"/>
          <cell r="G40"/>
          <cell r="H40"/>
          <cell r="I40"/>
          <cell r="J40"/>
          <cell r="L40"/>
          <cell r="M40"/>
        </row>
        <row r="41">
          <cell r="A41" t="str">
            <v>01351.01</v>
          </cell>
          <cell r="E41"/>
          <cell r="F41"/>
          <cell r="G41"/>
          <cell r="H41"/>
          <cell r="I41"/>
          <cell r="J41"/>
          <cell r="L41"/>
          <cell r="M41"/>
        </row>
        <row r="42">
          <cell r="A42" t="str">
            <v>01314</v>
          </cell>
          <cell r="E42"/>
          <cell r="F42"/>
          <cell r="G42"/>
          <cell r="H42"/>
          <cell r="I42"/>
          <cell r="J42"/>
          <cell r="L42"/>
          <cell r="M42"/>
        </row>
        <row r="43">
          <cell r="A43" t="str">
            <v>01599.10</v>
          </cell>
          <cell r="E43"/>
          <cell r="F43"/>
          <cell r="G43"/>
          <cell r="H43"/>
          <cell r="I43"/>
          <cell r="J43"/>
          <cell r="L43"/>
          <cell r="M43"/>
        </row>
        <row r="44">
          <cell r="A44" t="str">
            <v>01233</v>
          </cell>
          <cell r="E44"/>
          <cell r="F44"/>
          <cell r="G44"/>
          <cell r="H44"/>
          <cell r="I44"/>
          <cell r="J44"/>
          <cell r="L44"/>
          <cell r="M44"/>
        </row>
        <row r="45">
          <cell r="A45" t="str">
            <v>01315</v>
          </cell>
          <cell r="E45"/>
          <cell r="F45"/>
          <cell r="G45"/>
          <cell r="H45"/>
          <cell r="I45"/>
          <cell r="J45"/>
          <cell r="L45"/>
          <cell r="M45"/>
        </row>
        <row r="46">
          <cell r="A46" t="str">
            <v>01351.02</v>
          </cell>
          <cell r="E46"/>
          <cell r="F46"/>
          <cell r="G46"/>
          <cell r="H46"/>
          <cell r="I46"/>
          <cell r="J46"/>
          <cell r="L46"/>
          <cell r="M46"/>
        </row>
        <row r="47">
          <cell r="A47" t="str">
            <v>01330</v>
          </cell>
          <cell r="E47"/>
          <cell r="F47"/>
          <cell r="G47"/>
          <cell r="H47"/>
          <cell r="I47"/>
          <cell r="J47"/>
          <cell r="L47"/>
          <cell r="M47"/>
        </row>
        <row r="48">
          <cell r="A48" t="str">
            <v>01290.01</v>
          </cell>
          <cell r="E48"/>
          <cell r="F48"/>
          <cell r="G48"/>
          <cell r="H48"/>
          <cell r="I48"/>
          <cell r="J48"/>
          <cell r="L48"/>
          <cell r="M48"/>
        </row>
        <row r="49">
          <cell r="A49" t="str">
            <v>01252</v>
          </cell>
          <cell r="E49"/>
          <cell r="F49"/>
          <cell r="G49"/>
          <cell r="H49"/>
          <cell r="I49"/>
          <cell r="J49"/>
          <cell r="L49"/>
          <cell r="M49"/>
        </row>
        <row r="50">
          <cell r="A50" t="str">
            <v>0142</v>
          </cell>
          <cell r="E50"/>
          <cell r="F50"/>
          <cell r="G50"/>
          <cell r="H50"/>
          <cell r="I50"/>
          <cell r="J50"/>
          <cell r="L50"/>
          <cell r="M50"/>
        </row>
        <row r="51">
          <cell r="A51" t="str">
            <v>01374</v>
          </cell>
          <cell r="E51"/>
          <cell r="F51"/>
          <cell r="G51"/>
          <cell r="H51"/>
          <cell r="I51"/>
          <cell r="J51"/>
          <cell r="L51"/>
          <cell r="M51"/>
        </row>
        <row r="52">
          <cell r="A52" t="str">
            <v>01352</v>
          </cell>
          <cell r="E52"/>
          <cell r="F52"/>
          <cell r="G52"/>
          <cell r="H52"/>
          <cell r="I52"/>
          <cell r="J52"/>
          <cell r="L52"/>
          <cell r="M52"/>
        </row>
        <row r="53">
          <cell r="A53" t="str">
            <v>01254</v>
          </cell>
          <cell r="E53"/>
          <cell r="F53"/>
          <cell r="G53"/>
          <cell r="H53"/>
          <cell r="I53"/>
          <cell r="J53"/>
          <cell r="L53"/>
          <cell r="M53"/>
        </row>
        <row r="54">
          <cell r="A54" t="str">
            <v>01322</v>
          </cell>
          <cell r="E54"/>
          <cell r="F54"/>
          <cell r="G54"/>
          <cell r="H54"/>
          <cell r="I54"/>
          <cell r="J54"/>
          <cell r="L54"/>
          <cell r="M54"/>
        </row>
        <row r="55">
          <cell r="A55" t="str">
            <v>01704</v>
          </cell>
          <cell r="E55"/>
          <cell r="F55"/>
          <cell r="G55"/>
          <cell r="H55"/>
          <cell r="I55"/>
          <cell r="J55"/>
          <cell r="L55"/>
          <cell r="M55"/>
        </row>
        <row r="56">
          <cell r="A56" t="str">
            <v>01214</v>
          </cell>
          <cell r="E56"/>
          <cell r="F56"/>
          <cell r="G56"/>
          <cell r="H56"/>
          <cell r="I56"/>
          <cell r="J56"/>
          <cell r="L56"/>
          <cell r="M56"/>
        </row>
        <row r="57">
          <cell r="A57" t="str">
            <v>01441</v>
          </cell>
          <cell r="E57"/>
          <cell r="F57"/>
          <cell r="G57"/>
          <cell r="H57"/>
          <cell r="I57"/>
          <cell r="J57"/>
          <cell r="L57"/>
          <cell r="M57"/>
        </row>
        <row r="58">
          <cell r="A58" t="str">
            <v>01709.02</v>
          </cell>
          <cell r="E58"/>
          <cell r="F58"/>
          <cell r="G58"/>
          <cell r="H58"/>
          <cell r="I58"/>
          <cell r="J58"/>
          <cell r="L58"/>
          <cell r="M58"/>
        </row>
        <row r="59">
          <cell r="A59" t="str">
            <v>0112</v>
          </cell>
          <cell r="E59"/>
          <cell r="F59"/>
          <cell r="G59"/>
          <cell r="H59"/>
          <cell r="I59"/>
          <cell r="J59"/>
          <cell r="L59"/>
          <cell r="M59"/>
        </row>
        <row r="60">
          <cell r="A60" t="str">
            <v>01316</v>
          </cell>
          <cell r="E60">
            <v>4.4960340805545192E-4</v>
          </cell>
          <cell r="F60">
            <v>1.0138337921849036E-4</v>
          </cell>
          <cell r="G60">
            <v>1.1000000000000001E-6</v>
          </cell>
          <cell r="H60">
            <v>3.121518177319685E-4</v>
          </cell>
          <cell r="I60">
            <v>3.1215181773196848E-5</v>
          </cell>
          <cell r="J60">
            <v>1.5171202809482004E-6</v>
          </cell>
          <cell r="L60">
            <v>1.0190905084799999E-7</v>
          </cell>
          <cell r="M60">
            <v>2.1340000000000002E-6</v>
          </cell>
        </row>
        <row r="61">
          <cell r="A61" t="str">
            <v>0118</v>
          </cell>
          <cell r="E61"/>
          <cell r="F61"/>
          <cell r="G61"/>
          <cell r="H61"/>
          <cell r="I61"/>
          <cell r="J61"/>
          <cell r="L61"/>
          <cell r="M61"/>
        </row>
        <row r="62">
          <cell r="A62" t="str">
            <v>01199.02</v>
          </cell>
          <cell r="E62"/>
          <cell r="F62"/>
          <cell r="G62"/>
          <cell r="H62"/>
          <cell r="I62"/>
          <cell r="J62"/>
          <cell r="L62"/>
          <cell r="M62"/>
        </row>
        <row r="63">
          <cell r="A63" t="str">
            <v>01270</v>
          </cell>
          <cell r="E63"/>
          <cell r="F63"/>
          <cell r="G63"/>
          <cell r="H63"/>
          <cell r="I63"/>
          <cell r="J63"/>
          <cell r="L63"/>
          <cell r="M63"/>
        </row>
        <row r="64">
          <cell r="A64" t="str">
            <v>0117</v>
          </cell>
          <cell r="E64"/>
          <cell r="F64"/>
          <cell r="G64"/>
          <cell r="H64"/>
          <cell r="I64"/>
          <cell r="J64"/>
          <cell r="L64"/>
          <cell r="M64"/>
        </row>
        <row r="65">
          <cell r="A65" t="str">
            <v>01491.01</v>
          </cell>
          <cell r="E65"/>
          <cell r="F65"/>
          <cell r="G65"/>
          <cell r="H65"/>
          <cell r="I65"/>
          <cell r="J65"/>
          <cell r="L65"/>
          <cell r="M65"/>
        </row>
        <row r="66">
          <cell r="A66" t="str">
            <v>01450</v>
          </cell>
          <cell r="E66"/>
          <cell r="F66"/>
          <cell r="G66"/>
          <cell r="H66"/>
          <cell r="I66"/>
          <cell r="J66"/>
          <cell r="L66"/>
          <cell r="M66"/>
        </row>
        <row r="67">
          <cell r="A67" t="str">
            <v>01253.02</v>
          </cell>
          <cell r="E67"/>
          <cell r="F67"/>
          <cell r="G67"/>
          <cell r="H67"/>
          <cell r="I67"/>
          <cell r="J67"/>
          <cell r="L67"/>
          <cell r="M67"/>
        </row>
        <row r="68">
          <cell r="A68" t="str">
            <v>01323</v>
          </cell>
          <cell r="E68">
            <v>4.4912501757350329E-4</v>
          </cell>
          <cell r="F68">
            <v>1.0138337921849036E-4</v>
          </cell>
          <cell r="G68">
            <v>1.1000000000000001E-6</v>
          </cell>
          <cell r="H68">
            <v>3.1215181773196844E-4</v>
          </cell>
          <cell r="I68">
            <v>3.1215181773196848E-5</v>
          </cell>
          <cell r="J68">
            <v>1.1344625437356628E-6</v>
          </cell>
          <cell r="L68">
            <v>6.1763061119999986E-9</v>
          </cell>
          <cell r="M68">
            <v>2.1340000000000002E-6</v>
          </cell>
        </row>
        <row r="69">
          <cell r="A69" t="str">
            <v>01241.90</v>
          </cell>
          <cell r="E69"/>
          <cell r="F69"/>
          <cell r="G69"/>
          <cell r="H69"/>
          <cell r="I69"/>
          <cell r="J69"/>
          <cell r="L69"/>
          <cell r="M69"/>
        </row>
        <row r="70">
          <cell r="A70" t="str">
            <v>01359.90</v>
          </cell>
          <cell r="E70"/>
          <cell r="F70"/>
          <cell r="G70"/>
          <cell r="H70"/>
          <cell r="I70"/>
          <cell r="J70"/>
          <cell r="L70"/>
          <cell r="M70"/>
        </row>
        <row r="71">
          <cell r="A71" t="str">
            <v>01449.90</v>
          </cell>
          <cell r="E71"/>
          <cell r="F71"/>
          <cell r="G71"/>
          <cell r="H71"/>
          <cell r="I71"/>
          <cell r="J71"/>
          <cell r="L71"/>
          <cell r="M71"/>
        </row>
        <row r="72">
          <cell r="A72" t="str">
            <v>01709.90</v>
          </cell>
          <cell r="E72"/>
          <cell r="F72"/>
          <cell r="G72"/>
          <cell r="H72"/>
          <cell r="I72"/>
          <cell r="J72"/>
          <cell r="L72"/>
          <cell r="M72"/>
        </row>
        <row r="73">
          <cell r="A73" t="str">
            <v>01699</v>
          </cell>
          <cell r="E73"/>
          <cell r="F73"/>
          <cell r="G73"/>
          <cell r="H73"/>
          <cell r="I73"/>
          <cell r="J73"/>
          <cell r="L73"/>
          <cell r="M73"/>
        </row>
        <row r="74">
          <cell r="A74" t="str">
            <v>01290.90</v>
          </cell>
          <cell r="E74"/>
          <cell r="F74"/>
          <cell r="G74"/>
          <cell r="H74"/>
          <cell r="I74"/>
          <cell r="J74"/>
          <cell r="L74"/>
          <cell r="M74"/>
        </row>
        <row r="75">
          <cell r="A75" t="str">
            <v>01317</v>
          </cell>
          <cell r="E75">
            <v>4.488637668286979E-4</v>
          </cell>
          <cell r="F75">
            <v>1.0138337921849036E-4</v>
          </cell>
          <cell r="G75">
            <v>1.1000000000000001E-6</v>
          </cell>
          <cell r="H75">
            <v>3.121518177319685E-4</v>
          </cell>
          <cell r="I75">
            <v>3.1215181773196848E-5</v>
          </cell>
          <cell r="J75">
            <v>7.7747905419418983E-7</v>
          </cell>
          <cell r="L75">
            <v>1.0190905084799998E-7</v>
          </cell>
          <cell r="M75">
            <v>2.1340000000000002E-6</v>
          </cell>
        </row>
        <row r="76">
          <cell r="A76" t="str">
            <v>01345</v>
          </cell>
          <cell r="E76"/>
          <cell r="F76"/>
          <cell r="G76"/>
          <cell r="H76"/>
          <cell r="I76"/>
          <cell r="J76"/>
          <cell r="L76"/>
          <cell r="M76"/>
        </row>
        <row r="77">
          <cell r="A77" t="str">
            <v>01342.01</v>
          </cell>
          <cell r="E77"/>
          <cell r="F77"/>
          <cell r="G77"/>
          <cell r="H77"/>
          <cell r="I77"/>
          <cell r="J77"/>
          <cell r="L77"/>
          <cell r="M77"/>
        </row>
        <row r="78">
          <cell r="A78" t="str">
            <v>01705</v>
          </cell>
          <cell r="E78"/>
          <cell r="F78"/>
          <cell r="G78"/>
          <cell r="H78"/>
          <cell r="I78"/>
          <cell r="J78"/>
          <cell r="L78"/>
          <cell r="M78"/>
        </row>
        <row r="79">
          <cell r="A79" t="str">
            <v>01242</v>
          </cell>
          <cell r="E79"/>
          <cell r="F79"/>
          <cell r="G79"/>
          <cell r="H79"/>
          <cell r="I79"/>
          <cell r="J79"/>
          <cell r="L79"/>
          <cell r="M79"/>
        </row>
        <row r="80">
          <cell r="A80" t="str">
            <v>01651</v>
          </cell>
          <cell r="E80">
            <v>2.8022870224612674E-4</v>
          </cell>
          <cell r="F80">
            <v>3.7953136598275572E-5</v>
          </cell>
          <cell r="G80">
            <v>1.1000000000000001E-6</v>
          </cell>
          <cell r="H80">
            <v>2.0724266896472951E-4</v>
          </cell>
          <cell r="I80">
            <v>2.0724266896472954E-5</v>
          </cell>
          <cell r="J80">
            <v>1.0768902634104724E-5</v>
          </cell>
          <cell r="L80">
            <v>3.0572715254399994E-7</v>
          </cell>
          <cell r="M80">
            <v>2.1340000000000002E-6</v>
          </cell>
        </row>
        <row r="81">
          <cell r="A81" t="str">
            <v>01318</v>
          </cell>
          <cell r="E81"/>
          <cell r="F81"/>
          <cell r="G81"/>
          <cell r="H81"/>
          <cell r="I81"/>
          <cell r="J81"/>
          <cell r="L81"/>
          <cell r="M81"/>
        </row>
        <row r="82">
          <cell r="A82" t="str">
            <v>01313</v>
          </cell>
          <cell r="E82"/>
          <cell r="F82"/>
          <cell r="G82"/>
          <cell r="H82"/>
          <cell r="I82"/>
          <cell r="J82"/>
          <cell r="L82"/>
          <cell r="M82"/>
        </row>
        <row r="83">
          <cell r="A83" t="str">
            <v>01346</v>
          </cell>
          <cell r="E83"/>
          <cell r="F83"/>
          <cell r="G83"/>
          <cell r="H83"/>
          <cell r="I83"/>
          <cell r="J83"/>
          <cell r="L83"/>
          <cell r="M83"/>
        </row>
        <row r="84">
          <cell r="A84" t="str">
            <v>01321</v>
          </cell>
          <cell r="E84"/>
          <cell r="F84"/>
          <cell r="G84"/>
          <cell r="H84"/>
          <cell r="I84"/>
          <cell r="J84"/>
          <cell r="L84"/>
          <cell r="M84"/>
        </row>
        <row r="85">
          <cell r="A85" t="str">
            <v>01448</v>
          </cell>
          <cell r="E85"/>
          <cell r="F85"/>
          <cell r="G85"/>
          <cell r="H85"/>
          <cell r="I85"/>
          <cell r="J85"/>
          <cell r="L85"/>
          <cell r="M85"/>
        </row>
        <row r="86">
          <cell r="A86" t="str">
            <v>01510</v>
          </cell>
          <cell r="E86"/>
          <cell r="F86"/>
          <cell r="G86"/>
          <cell r="H86"/>
          <cell r="I86"/>
          <cell r="J86"/>
          <cell r="L86"/>
          <cell r="M86"/>
        </row>
        <row r="87">
          <cell r="A87" t="str">
            <v>01235</v>
          </cell>
          <cell r="E87"/>
          <cell r="F87"/>
          <cell r="G87"/>
          <cell r="H87"/>
          <cell r="I87"/>
          <cell r="J87"/>
          <cell r="L87"/>
          <cell r="M87"/>
        </row>
        <row r="88">
          <cell r="A88" t="str">
            <v>01342.02</v>
          </cell>
          <cell r="E88"/>
          <cell r="F88"/>
          <cell r="G88"/>
          <cell r="H88"/>
          <cell r="I88"/>
          <cell r="J88"/>
          <cell r="L88"/>
          <cell r="M88"/>
        </row>
        <row r="89">
          <cell r="A89" t="str">
            <v>01194</v>
          </cell>
          <cell r="E89"/>
          <cell r="F89"/>
          <cell r="G89"/>
          <cell r="H89"/>
          <cell r="I89"/>
          <cell r="J89"/>
          <cell r="L89"/>
          <cell r="M89"/>
        </row>
        <row r="90">
          <cell r="A90" t="str">
            <v>01443</v>
          </cell>
          <cell r="E90"/>
          <cell r="F90"/>
          <cell r="G90"/>
          <cell r="H90"/>
          <cell r="I90"/>
          <cell r="J90"/>
          <cell r="L90"/>
          <cell r="M90"/>
        </row>
        <row r="91">
          <cell r="A91" t="str">
            <v>01443_s</v>
          </cell>
          <cell r="E91"/>
          <cell r="F91"/>
          <cell r="G91"/>
          <cell r="H91"/>
          <cell r="I91"/>
          <cell r="J91"/>
          <cell r="L91"/>
          <cell r="M91"/>
        </row>
        <row r="92">
          <cell r="A92" t="str">
            <v>01443_w</v>
          </cell>
          <cell r="E92"/>
          <cell r="F92"/>
          <cell r="G92"/>
          <cell r="H92"/>
          <cell r="I92"/>
          <cell r="J92"/>
          <cell r="L92"/>
          <cell r="M92"/>
        </row>
        <row r="93">
          <cell r="A93" t="str">
            <v>01353.01</v>
          </cell>
          <cell r="E93"/>
          <cell r="F93"/>
          <cell r="G93"/>
          <cell r="H93"/>
          <cell r="I93"/>
          <cell r="J93"/>
          <cell r="L93"/>
          <cell r="M93"/>
        </row>
        <row r="94">
          <cell r="A94" t="str">
            <v>0113</v>
          </cell>
          <cell r="E94"/>
          <cell r="F94"/>
          <cell r="G94"/>
          <cell r="H94"/>
          <cell r="I94"/>
          <cell r="J94"/>
          <cell r="L94"/>
          <cell r="M94"/>
        </row>
        <row r="95">
          <cell r="A95" t="str">
            <v>0116</v>
          </cell>
          <cell r="E95"/>
          <cell r="F95"/>
          <cell r="G95"/>
          <cell r="H95"/>
          <cell r="I95"/>
          <cell r="J95"/>
          <cell r="L95"/>
          <cell r="M95"/>
        </row>
        <row r="96">
          <cell r="A96" t="str">
            <v>0114</v>
          </cell>
          <cell r="E96"/>
          <cell r="F96"/>
          <cell r="G96"/>
          <cell r="H96"/>
          <cell r="I96"/>
          <cell r="J96"/>
          <cell r="L96"/>
          <cell r="M96"/>
        </row>
        <row r="97">
          <cell r="A97" t="str">
            <v>01344.01</v>
          </cell>
          <cell r="E97"/>
          <cell r="F97"/>
          <cell r="G97"/>
          <cell r="H97"/>
          <cell r="I97"/>
          <cell r="J97"/>
          <cell r="L97"/>
          <cell r="M97"/>
        </row>
        <row r="98">
          <cell r="A98" t="str">
            <v>0141</v>
          </cell>
          <cell r="E98">
            <v>3.6099979646730582E-4</v>
          </cell>
          <cell r="F98">
            <v>8.5474058496577423E-6</v>
          </cell>
          <cell r="G98">
            <v>1.1000000000000001E-6</v>
          </cell>
          <cell r="H98">
            <v>3.1647312658963683E-4</v>
          </cell>
          <cell r="I98">
            <v>3.1647312658963685E-5</v>
          </cell>
          <cell r="J98">
            <v>1.360897215991556E-6</v>
          </cell>
          <cell r="L98">
            <v>3.0881530559999997E-9</v>
          </cell>
          <cell r="M98">
            <v>1.8679660000000001E-6</v>
          </cell>
        </row>
        <row r="99">
          <cell r="A99" t="str">
            <v>01215</v>
          </cell>
          <cell r="E99"/>
          <cell r="F99"/>
          <cell r="G99"/>
          <cell r="H99"/>
          <cell r="I99"/>
          <cell r="J99"/>
          <cell r="L99"/>
          <cell r="M99"/>
        </row>
        <row r="100">
          <cell r="A100" t="str">
            <v>01354</v>
          </cell>
          <cell r="E100"/>
          <cell r="F100"/>
          <cell r="G100"/>
          <cell r="H100"/>
          <cell r="I100"/>
          <cell r="J100"/>
          <cell r="L100"/>
          <cell r="M100"/>
        </row>
        <row r="101">
          <cell r="A101" t="str">
            <v>01801</v>
          </cell>
          <cell r="E101"/>
          <cell r="F101"/>
          <cell r="G101"/>
          <cell r="H101"/>
          <cell r="I101"/>
          <cell r="J101"/>
          <cell r="L101"/>
          <cell r="M101"/>
        </row>
        <row r="102">
          <cell r="A102" t="str">
            <v>01802</v>
          </cell>
          <cell r="E102"/>
          <cell r="F102"/>
          <cell r="G102"/>
          <cell r="H102"/>
          <cell r="I102"/>
          <cell r="J102"/>
          <cell r="L102"/>
          <cell r="M102"/>
        </row>
        <row r="103">
          <cell r="A103" t="str">
            <v>01445</v>
          </cell>
          <cell r="E103"/>
          <cell r="F103"/>
          <cell r="G103"/>
          <cell r="H103"/>
          <cell r="I103"/>
          <cell r="J103"/>
          <cell r="L103"/>
          <cell r="M103"/>
        </row>
        <row r="104">
          <cell r="A104" t="str">
            <v>01530</v>
          </cell>
          <cell r="E104"/>
          <cell r="F104"/>
          <cell r="G104"/>
          <cell r="H104"/>
          <cell r="I104"/>
          <cell r="J104"/>
          <cell r="L104"/>
          <cell r="M104"/>
        </row>
        <row r="105">
          <cell r="A105" t="str">
            <v>01324</v>
          </cell>
          <cell r="E105"/>
          <cell r="F105"/>
          <cell r="G105"/>
          <cell r="H105"/>
          <cell r="I105"/>
          <cell r="J105"/>
          <cell r="L105"/>
          <cell r="M105"/>
        </row>
        <row r="106">
          <cell r="A106" t="str">
            <v>01234</v>
          </cell>
          <cell r="E106"/>
          <cell r="F106"/>
          <cell r="G106"/>
          <cell r="H106"/>
          <cell r="I106"/>
          <cell r="J106"/>
          <cell r="K106" t="e">
            <v>#DIV/0!</v>
          </cell>
          <cell r="M106"/>
        </row>
        <row r="107">
          <cell r="A107" t="str">
            <v>01234_gh</v>
          </cell>
          <cell r="E107"/>
          <cell r="F107"/>
          <cell r="G107"/>
          <cell r="H107"/>
          <cell r="I107"/>
          <cell r="J107"/>
          <cell r="K107" t="e">
            <v>#DIV/0!</v>
          </cell>
          <cell r="M107"/>
        </row>
        <row r="108">
          <cell r="A108" t="str">
            <v>01234_of</v>
          </cell>
          <cell r="E108"/>
          <cell r="F108"/>
          <cell r="G108"/>
          <cell r="H108"/>
          <cell r="I108"/>
          <cell r="J108"/>
          <cell r="L108"/>
          <cell r="M108"/>
        </row>
        <row r="109">
          <cell r="A109" t="str">
            <v>01191</v>
          </cell>
          <cell r="E109"/>
          <cell r="F109"/>
          <cell r="G109"/>
          <cell r="H109"/>
          <cell r="I109"/>
          <cell r="J109"/>
          <cell r="L109"/>
          <cell r="M109"/>
        </row>
        <row r="110">
          <cell r="A110" t="str">
            <v>01929.02</v>
          </cell>
          <cell r="E110"/>
          <cell r="F110"/>
          <cell r="G110"/>
          <cell r="H110"/>
          <cell r="I110"/>
          <cell r="J110"/>
          <cell r="L110"/>
          <cell r="M110"/>
        </row>
        <row r="111">
          <cell r="A111" t="str">
            <v>01709.01</v>
          </cell>
          <cell r="E111"/>
          <cell r="F111"/>
          <cell r="G111"/>
          <cell r="H111"/>
          <cell r="I111"/>
          <cell r="J111"/>
          <cell r="L111"/>
          <cell r="M111"/>
        </row>
        <row r="112">
          <cell r="A112" t="str">
            <v>01376</v>
          </cell>
          <cell r="E112"/>
          <cell r="F112"/>
          <cell r="G112"/>
          <cell r="H112"/>
          <cell r="I112"/>
          <cell r="J112"/>
          <cell r="L112"/>
          <cell r="M112"/>
        </row>
        <row r="113">
          <cell r="A113" t="str">
            <v>01221</v>
          </cell>
          <cell r="E113">
            <v>2.717323942633313E-4</v>
          </cell>
          <cell r="F113">
            <v>3.832495580567136E-5</v>
          </cell>
          <cell r="G113">
            <v>1.1000000000000001E-6</v>
          </cell>
          <cell r="H113">
            <v>2.0785763171643699E-4</v>
          </cell>
          <cell r="I113">
            <v>2.0785763171643701E-5</v>
          </cell>
          <cell r="J113">
            <v>1.4281345187311838E-6</v>
          </cell>
          <cell r="L113">
            <v>1.0190905084799997E-7</v>
          </cell>
          <cell r="M113">
            <v>2.1340000000000002E-6</v>
          </cell>
        </row>
        <row r="114">
          <cell r="A114" t="str">
            <v>01221_gh</v>
          </cell>
          <cell r="E114"/>
          <cell r="F114"/>
          <cell r="G114"/>
          <cell r="H114"/>
          <cell r="I114"/>
          <cell r="J114"/>
          <cell r="L114"/>
          <cell r="M114"/>
        </row>
        <row r="115">
          <cell r="A115" t="str">
            <v>01221_of</v>
          </cell>
          <cell r="E115"/>
          <cell r="F115"/>
          <cell r="G115"/>
          <cell r="H115"/>
          <cell r="I115"/>
          <cell r="J115"/>
          <cell r="L115"/>
          <cell r="M115"/>
        </row>
        <row r="116">
          <cell r="A116" t="str">
            <v>0111</v>
          </cell>
          <cell r="E116"/>
          <cell r="F116"/>
          <cell r="G116"/>
          <cell r="H116"/>
          <cell r="I116"/>
          <cell r="J116"/>
          <cell r="L116"/>
          <cell r="M116"/>
        </row>
        <row r="117">
          <cell r="A117" t="str">
            <v>0111_s</v>
          </cell>
          <cell r="E117"/>
          <cell r="F117"/>
          <cell r="G117"/>
          <cell r="H117"/>
          <cell r="I117"/>
          <cell r="J117"/>
          <cell r="L117"/>
          <cell r="M117"/>
        </row>
        <row r="118">
          <cell r="A118" t="str">
            <v>0111_w</v>
          </cell>
          <cell r="E118"/>
          <cell r="F118"/>
          <cell r="G118"/>
          <cell r="H118"/>
          <cell r="I118"/>
          <cell r="J118"/>
          <cell r="L118"/>
          <cell r="M118"/>
        </row>
      </sheetData>
      <sheetData sheetId="8">
        <row r="28">
          <cell r="A28" t="str">
            <v>Berries</v>
          </cell>
        </row>
        <row r="29">
          <cell r="A29" t="str">
            <v>Cereals</v>
          </cell>
          <cell r="B29">
            <v>0.41000000000000003</v>
          </cell>
          <cell r="C29">
            <v>7.2000000000000008E-2</v>
          </cell>
        </row>
        <row r="30">
          <cell r="A30" t="str">
            <v>Cereals, incl feed</v>
          </cell>
          <cell r="B30">
            <v>0.41000000000000003</v>
          </cell>
          <cell r="C30">
            <v>7.2000000000000008E-2</v>
          </cell>
        </row>
        <row r="31">
          <cell r="A31" t="str">
            <v>Fruits</v>
          </cell>
          <cell r="C31">
            <v>0.22</v>
          </cell>
        </row>
        <row r="32">
          <cell r="A32" t="str">
            <v>Mushrooms</v>
          </cell>
        </row>
        <row r="33">
          <cell r="A33" t="str">
            <v>Nuts</v>
          </cell>
          <cell r="B33">
            <v>0.82000000000000006</v>
          </cell>
          <cell r="C33">
            <v>7.2000000000000008E-2</v>
          </cell>
        </row>
        <row r="34">
          <cell r="A34" t="str">
            <v>Oil crops</v>
          </cell>
          <cell r="B34">
            <v>0.82000000000000006</v>
          </cell>
          <cell r="C34">
            <v>7.2000000000000008E-2</v>
          </cell>
        </row>
        <row r="35">
          <cell r="A35" t="str">
            <v>Oil crops, tree</v>
          </cell>
          <cell r="B35">
            <v>0.82000000000000006</v>
          </cell>
          <cell r="C35">
            <v>7.2000000000000008E-2</v>
          </cell>
        </row>
        <row r="36">
          <cell r="A36" t="str">
            <v>Other</v>
          </cell>
        </row>
        <row r="37">
          <cell r="A37" t="str">
            <v>Pulses</v>
          </cell>
          <cell r="B37">
            <v>0.41000000000000003</v>
          </cell>
          <cell r="C37">
            <v>7.2000000000000008E-2</v>
          </cell>
        </row>
        <row r="38">
          <cell r="A38" t="str">
            <v>Pulses, incl feed</v>
          </cell>
          <cell r="B38">
            <v>0.41000000000000003</v>
          </cell>
          <cell r="C38">
            <v>7.2000000000000008E-2</v>
          </cell>
        </row>
        <row r="39">
          <cell r="A39" t="str">
            <v>Roots</v>
          </cell>
          <cell r="C39">
            <v>0.22</v>
          </cell>
        </row>
        <row r="40">
          <cell r="A40" t="str">
            <v>Seeds</v>
          </cell>
          <cell r="B40">
            <v>0.41000000000000003</v>
          </cell>
          <cell r="C40">
            <v>7.2000000000000008E-2</v>
          </cell>
        </row>
        <row r="41">
          <cell r="A41" t="str">
            <v>Spices</v>
          </cell>
          <cell r="B41">
            <v>0.41000000000000003</v>
          </cell>
          <cell r="C41">
            <v>7.2000000000000008E-2</v>
          </cell>
        </row>
        <row r="42">
          <cell r="A42" t="str">
            <v>Stimulants</v>
          </cell>
        </row>
        <row r="43">
          <cell r="A43" t="str">
            <v>Sugar crops</v>
          </cell>
          <cell r="C43">
            <v>0.22</v>
          </cell>
        </row>
        <row r="44">
          <cell r="A44" t="str">
            <v>Vegetables</v>
          </cell>
          <cell r="C44">
            <v>0.22</v>
          </cell>
        </row>
      </sheetData>
      <sheetData sheetId="9">
        <row r="6">
          <cell r="B6">
            <v>7.4799500000000005E-2</v>
          </cell>
        </row>
        <row r="7">
          <cell r="B7">
            <v>8.0560000000000007E-2</v>
          </cell>
        </row>
        <row r="10">
          <cell r="B10">
            <v>1.6999999999999999E-3</v>
          </cell>
        </row>
        <row r="13">
          <cell r="B13">
            <v>7.5920000000000001E-2</v>
          </cell>
          <cell r="E13">
            <v>35.200000000000003</v>
          </cell>
        </row>
        <row r="20">
          <cell r="E20">
            <v>0.08</v>
          </cell>
        </row>
        <row r="21">
          <cell r="E21">
            <v>0.92</v>
          </cell>
        </row>
        <row r="28">
          <cell r="B28">
            <v>7.5028151531290013E-2</v>
          </cell>
        </row>
        <row r="35">
          <cell r="B35">
            <v>2.7E-2</v>
          </cell>
        </row>
        <row r="41">
          <cell r="A41" t="str">
            <v>Berries</v>
          </cell>
        </row>
        <row r="42">
          <cell r="A42" t="str">
            <v>Cereals</v>
          </cell>
        </row>
        <row r="43">
          <cell r="A43" t="str">
            <v>Cereals, incl feed</v>
          </cell>
        </row>
        <row r="44">
          <cell r="A44" t="str">
            <v>Fruits</v>
          </cell>
        </row>
        <row r="45">
          <cell r="A45" t="str">
            <v>Mushrooms</v>
          </cell>
        </row>
        <row r="46">
          <cell r="A46" t="str">
            <v>Nuts</v>
          </cell>
        </row>
        <row r="47">
          <cell r="A47" t="str">
            <v>Oil crops</v>
          </cell>
        </row>
        <row r="48">
          <cell r="A48" t="str">
            <v>Oil crops, tree</v>
          </cell>
        </row>
        <row r="49">
          <cell r="A49" t="str">
            <v>Other</v>
          </cell>
        </row>
        <row r="50">
          <cell r="A50" t="str">
            <v>Pulses</v>
          </cell>
        </row>
        <row r="51">
          <cell r="A51" t="str">
            <v>Pulses, incl feed</v>
          </cell>
        </row>
        <row r="52">
          <cell r="A52" t="str">
            <v>Roots</v>
          </cell>
        </row>
        <row r="53">
          <cell r="A53" t="str">
            <v>Seeds</v>
          </cell>
        </row>
        <row r="54">
          <cell r="A54" t="str">
            <v>Spices</v>
          </cell>
        </row>
        <row r="55">
          <cell r="A55" t="str">
            <v>Stimulants</v>
          </cell>
        </row>
        <row r="56">
          <cell r="A56" t="str">
            <v>Sugar crops</v>
          </cell>
        </row>
        <row r="57">
          <cell r="A57" t="str">
            <v>Vegetables</v>
          </cell>
        </row>
        <row r="69">
          <cell r="B69">
            <v>352323</v>
          </cell>
        </row>
        <row r="73">
          <cell r="B73">
            <v>0.05</v>
          </cell>
        </row>
        <row r="74">
          <cell r="B74">
            <v>1.2158920539730134</v>
          </cell>
        </row>
      </sheetData>
      <sheetData sheetId="10">
        <row r="5">
          <cell r="C5">
            <v>27</v>
          </cell>
          <cell r="D5">
            <v>29.8</v>
          </cell>
          <cell r="E5">
            <v>273</v>
          </cell>
        </row>
      </sheetData>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6"/>
  <sheetViews>
    <sheetView zoomScale="80" zoomScaleNormal="80" workbookViewId="0">
      <selection activeCell="D19" sqref="D19"/>
    </sheetView>
  </sheetViews>
  <sheetFormatPr defaultColWidth="8.81640625" defaultRowHeight="14.5" x14ac:dyDescent="0.35"/>
  <cols>
    <col min="1" max="1" width="8.81640625" style="31"/>
    <col min="2" max="2" width="18.453125" customWidth="1"/>
    <col min="3" max="3" width="31.453125" customWidth="1"/>
    <col min="4" max="4" width="24.54296875" customWidth="1"/>
  </cols>
  <sheetData>
    <row r="2" spans="1:2" ht="21" x14ac:dyDescent="0.5">
      <c r="A2" s="65" t="s">
        <v>0</v>
      </c>
    </row>
    <row r="4" spans="1:2" x14ac:dyDescent="0.35">
      <c r="A4" s="31" t="s">
        <v>1</v>
      </c>
    </row>
    <row r="7" spans="1:2" x14ac:dyDescent="0.35">
      <c r="A7" s="31" t="s">
        <v>2</v>
      </c>
    </row>
    <row r="8" spans="1:2" x14ac:dyDescent="0.35">
      <c r="A8" s="31" t="s">
        <v>3</v>
      </c>
    </row>
    <row r="9" spans="1:2" x14ac:dyDescent="0.35">
      <c r="A9" s="31" t="s">
        <v>4</v>
      </c>
    </row>
    <row r="13" spans="1:2" x14ac:dyDescent="0.35">
      <c r="A13" s="31" t="s">
        <v>5</v>
      </c>
    </row>
    <row r="15" spans="1:2" x14ac:dyDescent="0.35">
      <c r="A15" s="85"/>
      <c r="B15" t="s">
        <v>6</v>
      </c>
    </row>
    <row r="16" spans="1:2" x14ac:dyDescent="0.35">
      <c r="A16" s="111"/>
      <c r="B16" t="s">
        <v>7</v>
      </c>
    </row>
    <row r="17" spans="1:2" x14ac:dyDescent="0.35">
      <c r="A17" s="112"/>
      <c r="B17" t="s">
        <v>8</v>
      </c>
    </row>
    <row r="18" spans="1:2" x14ac:dyDescent="0.35">
      <c r="A18" s="323"/>
      <c r="B18" t="s">
        <v>9</v>
      </c>
    </row>
    <row r="20" spans="1:2" x14ac:dyDescent="0.35">
      <c r="A20" s="114" t="s">
        <v>10</v>
      </c>
    </row>
    <row r="23" spans="1:2" x14ac:dyDescent="0.35">
      <c r="A23" s="31" t="s">
        <v>11</v>
      </c>
    </row>
    <row r="24" spans="1:2" x14ac:dyDescent="0.35">
      <c r="A24" s="31" t="s">
        <v>12</v>
      </c>
    </row>
    <row r="25" spans="1:2" x14ac:dyDescent="0.35">
      <c r="A25" s="31" t="s">
        <v>13</v>
      </c>
    </row>
    <row r="26" spans="1:2" x14ac:dyDescent="0.35">
      <c r="A26" s="31"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FFA1-1932-4638-AD84-8A9CFF415E51}">
  <sheetPr>
    <tabColor theme="1" tint="0.499984740745262"/>
  </sheetPr>
  <dimension ref="A2:M83"/>
  <sheetViews>
    <sheetView topLeftCell="C11" workbookViewId="0">
      <selection activeCell="D88" sqref="D88"/>
    </sheetView>
  </sheetViews>
  <sheetFormatPr defaultColWidth="8.81640625" defaultRowHeight="14.5" x14ac:dyDescent="0.35"/>
  <cols>
    <col min="1" max="1" width="13.81640625" customWidth="1"/>
    <col min="2" max="2" width="12.54296875" bestFit="1" customWidth="1"/>
    <col min="3" max="3" width="11" bestFit="1" customWidth="1"/>
    <col min="4" max="7" width="12" bestFit="1" customWidth="1"/>
    <col min="13" max="13" width="11" bestFit="1" customWidth="1"/>
  </cols>
  <sheetData>
    <row r="2" spans="1:13" ht="21" x14ac:dyDescent="0.5">
      <c r="A2" s="2" t="s">
        <v>9</v>
      </c>
      <c r="B2" s="315"/>
      <c r="C2" s="315"/>
      <c r="D2" s="315"/>
      <c r="E2" s="315"/>
      <c r="F2" s="315"/>
      <c r="G2" s="315"/>
      <c r="H2" s="315"/>
      <c r="I2" s="315"/>
      <c r="J2" s="315"/>
      <c r="K2" s="315"/>
      <c r="L2" s="315"/>
      <c r="M2" s="315"/>
    </row>
    <row r="4" spans="1:13" x14ac:dyDescent="0.35">
      <c r="A4" t="s">
        <v>15</v>
      </c>
    </row>
    <row r="7" spans="1:13" ht="15" customHeight="1" x14ac:dyDescent="0.35"/>
    <row r="8" spans="1:13" ht="15" customHeight="1" x14ac:dyDescent="0.35"/>
    <row r="9" spans="1:13" ht="15" customHeight="1" x14ac:dyDescent="0.35"/>
    <row r="10" spans="1:13" ht="15" customHeight="1" x14ac:dyDescent="0.35"/>
    <row r="11" spans="1:13" ht="15" customHeight="1" x14ac:dyDescent="0.35"/>
    <row r="12" spans="1:13" ht="15" customHeight="1" x14ac:dyDescent="0.35"/>
    <row r="13" spans="1:13" ht="15" customHeight="1" x14ac:dyDescent="0.35"/>
    <row r="14" spans="1:13" ht="15" customHeight="1" x14ac:dyDescent="0.35"/>
    <row r="15" spans="1:13" ht="15" customHeight="1" x14ac:dyDescent="0.35"/>
    <row r="16" spans="1:13" ht="15" customHeight="1" x14ac:dyDescent="0.35"/>
    <row r="17" spans="1:1" ht="15" customHeight="1" x14ac:dyDescent="0.35"/>
    <row r="18" spans="1:1" ht="15" customHeight="1" x14ac:dyDescent="0.35"/>
    <row r="19" spans="1:1" ht="15" customHeight="1" x14ac:dyDescent="0.35">
      <c r="A19" s="313"/>
    </row>
    <row r="20" spans="1:1" ht="15" customHeight="1" x14ac:dyDescent="0.35">
      <c r="A20" s="313"/>
    </row>
    <row r="42" spans="1:12" x14ac:dyDescent="0.35">
      <c r="A42" t="s">
        <v>16</v>
      </c>
    </row>
    <row r="45" spans="1:12" x14ac:dyDescent="0.35">
      <c r="J45" t="s">
        <v>17</v>
      </c>
      <c r="L45" t="s">
        <v>18</v>
      </c>
    </row>
    <row r="47" spans="1:12" x14ac:dyDescent="0.35">
      <c r="J47" t="s">
        <v>19</v>
      </c>
      <c r="L47" t="s">
        <v>20</v>
      </c>
    </row>
    <row r="48" spans="1:12" x14ac:dyDescent="0.35">
      <c r="J48" s="314" t="s">
        <v>21</v>
      </c>
      <c r="L48" t="s">
        <v>22</v>
      </c>
    </row>
    <row r="49" spans="10:12" x14ac:dyDescent="0.35">
      <c r="J49" t="s">
        <v>20</v>
      </c>
      <c r="L49" t="s">
        <v>19</v>
      </c>
    </row>
    <row r="50" spans="10:12" x14ac:dyDescent="0.35">
      <c r="J50" t="s">
        <v>23</v>
      </c>
      <c r="L50" t="s">
        <v>24</v>
      </c>
    </row>
    <row r="51" spans="10:12" x14ac:dyDescent="0.35">
      <c r="J51" s="17" t="s">
        <v>25</v>
      </c>
      <c r="L51" t="s">
        <v>26</v>
      </c>
    </row>
    <row r="52" spans="10:12" x14ac:dyDescent="0.35">
      <c r="J52" t="s">
        <v>22</v>
      </c>
      <c r="L52" t="s">
        <v>27</v>
      </c>
    </row>
    <row r="53" spans="10:12" x14ac:dyDescent="0.35">
      <c r="J53" t="s">
        <v>24</v>
      </c>
      <c r="L53" t="s">
        <v>21</v>
      </c>
    </row>
    <row r="54" spans="10:12" x14ac:dyDescent="0.35">
      <c r="J54" t="s">
        <v>28</v>
      </c>
      <c r="L54" t="s">
        <v>29</v>
      </c>
    </row>
    <row r="55" spans="10:12" x14ac:dyDescent="0.35">
      <c r="J55" t="s">
        <v>27</v>
      </c>
      <c r="L55" t="s">
        <v>30</v>
      </c>
    </row>
    <row r="56" spans="10:12" x14ac:dyDescent="0.35">
      <c r="J56" t="s">
        <v>31</v>
      </c>
      <c r="L56" t="s">
        <v>31</v>
      </c>
    </row>
    <row r="57" spans="10:12" x14ac:dyDescent="0.35">
      <c r="J57" t="s">
        <v>30</v>
      </c>
      <c r="L57" t="s">
        <v>28</v>
      </c>
    </row>
    <row r="58" spans="10:12" x14ac:dyDescent="0.35">
      <c r="J58" t="s">
        <v>32</v>
      </c>
      <c r="L58" t="s">
        <v>25</v>
      </c>
    </row>
    <row r="71" spans="1:13" ht="43.5" x14ac:dyDescent="0.35">
      <c r="B71" s="313" t="s">
        <v>33</v>
      </c>
      <c r="C71" s="313" t="s">
        <v>34</v>
      </c>
      <c r="D71" s="313" t="s">
        <v>35</v>
      </c>
      <c r="E71" s="313" t="s">
        <v>36</v>
      </c>
      <c r="F71" s="313" t="s">
        <v>37</v>
      </c>
      <c r="G71" s="313" t="s">
        <v>38</v>
      </c>
      <c r="H71" s="313" t="s">
        <v>39</v>
      </c>
      <c r="I71" s="314" t="s">
        <v>40</v>
      </c>
      <c r="J71" s="314" t="s">
        <v>41</v>
      </c>
      <c r="K71" s="313" t="s">
        <v>42</v>
      </c>
      <c r="L71" s="313" t="s">
        <v>43</v>
      </c>
      <c r="M71" s="313" t="s">
        <v>44</v>
      </c>
    </row>
    <row r="72" spans="1:13" x14ac:dyDescent="0.35">
      <c r="A72" t="s">
        <v>19</v>
      </c>
      <c r="B72">
        <f>'GHG detailed, results per kg'!H106</f>
        <v>0.23803530641059373</v>
      </c>
      <c r="C72">
        <f>'GHG detailed, results per kg'!I106</f>
        <v>9.0380114167463596E-2</v>
      </c>
      <c r="D72">
        <f>'GHG detailed, results per kg'!J106+'GHG detailed, results per kg'!K106</f>
        <v>0.35702712435151035</v>
      </c>
      <c r="E72">
        <f>'GHG detailed, results per kg'!L106+'GHG detailed, results per kg'!N106</f>
        <v>0.13266083723617669</v>
      </c>
      <c r="F72">
        <f>'GHG detailed, results per kg'!O106</f>
        <v>0.15985879297689648</v>
      </c>
      <c r="G72">
        <f>'GHG detailed, results per kg'!P106</f>
        <v>0.10943919104259656</v>
      </c>
      <c r="H72">
        <f>'GHG detailed, results per kg'!R106</f>
        <v>9.6323149723153562E-2</v>
      </c>
      <c r="I72">
        <f>'GHG detailed, results per kg'!S106</f>
        <v>0</v>
      </c>
      <c r="J72">
        <f>'GHG detailed, results per kg'!T106</f>
        <v>0.13869379537724535</v>
      </c>
      <c r="K72">
        <f>'GHG detailed, results per kg'!W106</f>
        <v>0.1507493227417642</v>
      </c>
      <c r="L72">
        <f>'GHG detailed, results per kg'!X106</f>
        <v>0.54600896351345796</v>
      </c>
      <c r="M72">
        <f t="shared" ref="M72:M83" si="0">SUM(B72:L72)</f>
        <v>2.0191765975408584</v>
      </c>
    </row>
    <row r="73" spans="1:13" x14ac:dyDescent="0.35">
      <c r="A73" s="314" t="s">
        <v>21</v>
      </c>
      <c r="B73">
        <f>'GHG detailed, results per kg'!H141</f>
        <v>0.22131228515212539</v>
      </c>
      <c r="C73">
        <f>'GHG detailed, results per kg'!I141</f>
        <v>9.0151259590037003E-2</v>
      </c>
      <c r="D73">
        <f>'GHG detailed, results per kg'!J141+'GHG detailed, results per kg'!K141</f>
        <v>0.46530070405710994</v>
      </c>
      <c r="E73">
        <f>'GHG detailed, results per kg'!L141+'GHG detailed, results per kg'!N141</f>
        <v>0.11866239898615329</v>
      </c>
      <c r="F73">
        <f>'GHG detailed, results per kg'!O141</f>
        <v>0.11300218600527881</v>
      </c>
      <c r="G73">
        <f>'GHG detailed, results per kg'!P141</f>
        <v>0.19408948992808309</v>
      </c>
      <c r="H73">
        <f>'GHG detailed, results per kg'!R141</f>
        <v>0.17830095846016009</v>
      </c>
      <c r="I73">
        <f>'GHG detailed, results per kg'!S141</f>
        <v>0</v>
      </c>
      <c r="J73">
        <f>'GHG detailed, results per kg'!T141</f>
        <v>9.3263728567251403E-2</v>
      </c>
      <c r="K73">
        <f>'GHG detailed, results per kg'!W141</f>
        <v>9.4238726789122609E-2</v>
      </c>
      <c r="L73">
        <f>'GHG detailed, results per kg'!X141</f>
        <v>0.2230912723555058</v>
      </c>
      <c r="M73">
        <f t="shared" si="0"/>
        <v>1.7914130098908274</v>
      </c>
    </row>
    <row r="74" spans="1:13" x14ac:dyDescent="0.35">
      <c r="A74" t="s">
        <v>20</v>
      </c>
      <c r="B74">
        <f>'GHG detailed, results per kg'!H101</f>
        <v>0.18889797903668962</v>
      </c>
      <c r="C74">
        <f>'GHG detailed, results per kg'!I101</f>
        <v>8.8547667634318053E-2</v>
      </c>
      <c r="D74">
        <f>'GHG detailed, results per kg'!J101+'GHG detailed, results per kg'!K101</f>
        <v>0.38352742302063969</v>
      </c>
      <c r="E74">
        <f>'GHG detailed, results per kg'!L101+'GHG detailed, results per kg'!N101</f>
        <v>9.827251317024023E-2</v>
      </c>
      <c r="F74">
        <f>'GHG detailed, results per kg'!O101</f>
        <v>0.13182430709561582</v>
      </c>
      <c r="G74">
        <f>'GHG detailed, results per kg'!P101</f>
        <v>0.16580919227488314</v>
      </c>
      <c r="H74">
        <f>'GHG detailed, results per kg'!R101</f>
        <v>0.16108315438700654</v>
      </c>
      <c r="I74">
        <f>'GHG detailed, results per kg'!S101</f>
        <v>0</v>
      </c>
      <c r="J74">
        <f>'GHG detailed, results per kg'!T101</f>
        <v>0.15104449580553436</v>
      </c>
      <c r="K74">
        <f>'GHG detailed, results per kg'!W101</f>
        <v>0.10486036971128213</v>
      </c>
      <c r="L74">
        <f>'GHG detailed, results per kg'!X101</f>
        <v>0.28378637476784591</v>
      </c>
      <c r="M74">
        <f t="shared" si="0"/>
        <v>1.7576534769040557</v>
      </c>
    </row>
    <row r="75" spans="1:13" x14ac:dyDescent="0.35">
      <c r="A75" t="s">
        <v>23</v>
      </c>
      <c r="B75">
        <f>'GHG detailed, results per kg'!H41</f>
        <v>0.24971371223845368</v>
      </c>
      <c r="C75">
        <f>'GHG detailed, results per kg'!I41</f>
        <v>9.0853562585327785E-2</v>
      </c>
      <c r="D75">
        <f>'GHG detailed, results per kg'!J41+'GHG detailed, results per kg'!K41</f>
        <v>0.48955718902602935</v>
      </c>
      <c r="E75">
        <f>'GHG detailed, results per kg'!L41+'GHG detailed, results per kg'!N41</f>
        <v>9.9457168638487581E-2</v>
      </c>
      <c r="F75">
        <f>'GHG detailed, results per kg'!O41</f>
        <v>0.12602943738808636</v>
      </c>
      <c r="G75">
        <f>'GHG detailed, results per kg'!P41</f>
        <v>0.11199553670653163</v>
      </c>
      <c r="H75">
        <f>'GHG detailed, results per kg'!R41</f>
        <v>0.10108348867710014</v>
      </c>
      <c r="I75">
        <f>'GHG detailed, results per kg'!S41</f>
        <v>0</v>
      </c>
      <c r="J75">
        <f>'GHG detailed, results per kg'!T41</f>
        <v>9.3263728567251403E-2</v>
      </c>
      <c r="K75">
        <f>'GHG detailed, results per kg'!W41</f>
        <v>9.2086076701015276E-2</v>
      </c>
      <c r="L75">
        <f>'GHG detailed, results per kg'!X41</f>
        <v>0.21079041470917817</v>
      </c>
      <c r="M75">
        <f t="shared" si="0"/>
        <v>1.6648303152374613</v>
      </c>
    </row>
    <row r="76" spans="1:13" x14ac:dyDescent="0.35">
      <c r="A76" s="17" t="s">
        <v>25</v>
      </c>
      <c r="B76">
        <f>'GHG detailed, results per kg'!H136</f>
        <v>0.25129263891056819</v>
      </c>
      <c r="C76">
        <f>'GHG detailed, results per kg'!I136</f>
        <v>9.2035734889641035E-2</v>
      </c>
      <c r="D76">
        <f>'GHG detailed, results per kg'!J136+'GHG detailed, results per kg'!K36</f>
        <v>0.48733228615251784</v>
      </c>
      <c r="E76">
        <f>'GHG detailed, results per kg'!L136+'GHG detailed, results per kg'!N136</f>
        <v>0.11182226975411456</v>
      </c>
      <c r="F76">
        <f>'GHG detailed, results per kg'!O136</f>
        <v>0.1147290387670723</v>
      </c>
      <c r="G76">
        <f>'GHG detailed, results per kg'!P136</f>
        <v>0.1936675271752315</v>
      </c>
      <c r="H76">
        <f>'GHG detailed, results per kg'!R136</f>
        <v>0.17244619098414077</v>
      </c>
      <c r="I76">
        <f>'GHG detailed, results per kg'!S136</f>
        <v>0</v>
      </c>
      <c r="J76">
        <f>'GHG detailed, results per kg'!T136</f>
        <v>9.3263728567251403E-2</v>
      </c>
      <c r="K76">
        <f>'GHG detailed, results per kg'!W136</f>
        <v>6.5053683314751559E-2</v>
      </c>
      <c r="L76">
        <f>'GHG detailed, results per kg'!X136</f>
        <v>5.6319595359099743E-2</v>
      </c>
      <c r="M76">
        <f t="shared" si="0"/>
        <v>1.637962693874389</v>
      </c>
    </row>
    <row r="77" spans="1:13" x14ac:dyDescent="0.35">
      <c r="A77" t="s">
        <v>22</v>
      </c>
      <c r="B77">
        <f>'GHG detailed, results per kg'!H66</f>
        <v>0.12850413006433067</v>
      </c>
      <c r="C77">
        <f>'GHG detailed, results per kg'!I66</f>
        <v>8.1097112490599629E-2</v>
      </c>
      <c r="D77">
        <f>'GHG detailed, results per kg'!J66+'GHG detailed, results per kg'!K66</f>
        <v>0.11730113152558365</v>
      </c>
      <c r="E77">
        <f>'GHG detailed, results per kg'!L66+'GHG detailed, results per kg'!N66</f>
        <v>0.15210488045828771</v>
      </c>
      <c r="F77">
        <f>'GHG detailed, results per kg'!O66</f>
        <v>0.12393546866124183</v>
      </c>
      <c r="G77">
        <f>'GHG detailed, results per kg'!P66</f>
        <v>0.21074568629094556</v>
      </c>
      <c r="H77">
        <f>'GHG detailed, results per kg'!R66</f>
        <v>0.17453023247926583</v>
      </c>
      <c r="I77">
        <f>'GHG detailed, results per kg'!S66</f>
        <v>0</v>
      </c>
      <c r="J77">
        <f>'GHG detailed, results per kg'!T66</f>
        <v>0.14380683590262272</v>
      </c>
      <c r="K77">
        <f>'GHG detailed, results per kg'!W66</f>
        <v>0.11871036444910726</v>
      </c>
      <c r="L77">
        <f>'GHG detailed, results per kg'!X66</f>
        <v>0.36292920184113242</v>
      </c>
      <c r="M77">
        <f t="shared" si="0"/>
        <v>1.6136650441631173</v>
      </c>
    </row>
    <row r="78" spans="1:13" x14ac:dyDescent="0.35">
      <c r="A78" t="s">
        <v>24</v>
      </c>
      <c r="B78">
        <f>'GHG detailed, results per kg'!H61</f>
        <v>0.22779947666878139</v>
      </c>
      <c r="C78">
        <f>'GHG detailed, results per kg'!I61</f>
        <v>9.0347173687458884E-2</v>
      </c>
      <c r="D78">
        <f>'GHG detailed, results per kg'!J61+'GHG detailed, results per kg'!K61</f>
        <v>0.34558455350263384</v>
      </c>
      <c r="E78">
        <f>'GHG detailed, results per kg'!L61+'GHG detailed, results per kg'!N61</f>
        <v>9.0175519062989679E-2</v>
      </c>
      <c r="F78">
        <f>'GHG detailed, results per kg'!O61</f>
        <v>0.1339672441805671</v>
      </c>
      <c r="G78">
        <f>'GHG detailed, results per kg'!P61</f>
        <v>9.4471241184542698E-2</v>
      </c>
      <c r="H78">
        <f>'GHG detailed, results per kg'!R61</f>
        <v>9.7794323173801503E-2</v>
      </c>
      <c r="I78">
        <f>'GHG detailed, results per kg'!S1</f>
        <v>0</v>
      </c>
      <c r="J78">
        <f>'GHG detailed, results per kg'!T61</f>
        <v>0.16129505897840996</v>
      </c>
      <c r="K78">
        <f>'GHG detailed, results per kg'!W61</f>
        <v>0.10159751091576574</v>
      </c>
      <c r="L78">
        <f>'GHG detailed, results per kg'!X61</f>
        <v>0.26514146736489513</v>
      </c>
      <c r="M78">
        <f t="shared" si="0"/>
        <v>1.6081735687198457</v>
      </c>
    </row>
    <row r="79" spans="1:13" x14ac:dyDescent="0.35">
      <c r="A79" t="s">
        <v>28</v>
      </c>
      <c r="B79">
        <f>'GHG detailed, results per kg'!H131</f>
        <v>0.16629825740550352</v>
      </c>
      <c r="C79">
        <f>'GHG detailed, results per kg'!I131</f>
        <v>9.199003271465872E-2</v>
      </c>
      <c r="D79">
        <f>'GHG detailed, results per kg'!J131+'GHG detailed, results per kg'!K131</f>
        <v>0.22550367499002022</v>
      </c>
      <c r="E79">
        <f>'GHG detailed, results per kg'!L131+'GHG detailed, results per kg'!N131</f>
        <v>0.17747388672212985</v>
      </c>
      <c r="F79">
        <f>'GHG detailed, results per kg'!O131</f>
        <v>0.12052009355126349</v>
      </c>
      <c r="G79">
        <f>'GHG detailed, results per kg'!P131</f>
        <v>0.17947456253376395</v>
      </c>
      <c r="H79">
        <f>'GHG detailed, results per kg'!R131</f>
        <v>0.15094580882326702</v>
      </c>
      <c r="I79">
        <f>'GHG detailed, results per kg'!S131</f>
        <v>0</v>
      </c>
      <c r="J79">
        <f>'GHG detailed, results per kg'!T131</f>
        <v>0.15066079905510055</v>
      </c>
      <c r="K79">
        <f>'GHG detailed, results per kg'!W131</f>
        <v>8.3464270801641899E-2</v>
      </c>
      <c r="L79">
        <f>'GHG detailed, results per kg'!X131</f>
        <v>0.16152295242704456</v>
      </c>
      <c r="M79">
        <f t="shared" si="0"/>
        <v>1.5078543390243937</v>
      </c>
    </row>
    <row r="80" spans="1:13" x14ac:dyDescent="0.35">
      <c r="A80" t="s">
        <v>27</v>
      </c>
      <c r="B80">
        <f>'GHG detailed, results per kg'!H76</f>
        <v>0.12006494472129353</v>
      </c>
      <c r="C80">
        <f>'GHG detailed, results per kg'!I76</f>
        <v>6.9390557624715576E-2</v>
      </c>
      <c r="D80">
        <f>'GHG detailed, results per kg'!J76+'GHG detailed, results per kg'!K76</f>
        <v>0.29117874693707196</v>
      </c>
      <c r="E80">
        <f>'GHG detailed, results per kg'!L76+'GHG detailed, results per kg'!N76</f>
        <v>7.5023333099158707E-2</v>
      </c>
      <c r="F80">
        <f>'GHG detailed, results per kg'!O76</f>
        <v>0.10049495688677507</v>
      </c>
      <c r="G80">
        <f>'GHG detailed, results per kg'!P76</f>
        <v>0.14537905545271551</v>
      </c>
      <c r="H80">
        <f>'GHG detailed, results per kg'!R76</f>
        <v>0.13484734119175021</v>
      </c>
      <c r="I80">
        <f>'GHG detailed, results per kg'!S76</f>
        <v>0</v>
      </c>
      <c r="J80">
        <f>'GHG detailed, results per kg'!T76</f>
        <v>0.12361807791880663</v>
      </c>
      <c r="K80">
        <f>'GHG detailed, results per kg'!W76</f>
        <v>9.366977233729705E-2</v>
      </c>
      <c r="L80">
        <f>'GHG detailed, results per kg'!X76</f>
        <v>0.21984010405935969</v>
      </c>
      <c r="M80">
        <f t="shared" si="0"/>
        <v>1.3735068902289438</v>
      </c>
    </row>
    <row r="81" spans="1:13" x14ac:dyDescent="0.35">
      <c r="A81" t="s">
        <v>31</v>
      </c>
      <c r="B81">
        <f>'GHG detailed, results per kg'!H56</f>
        <v>0.25670204712471223</v>
      </c>
      <c r="C81">
        <f>'GHG detailed, results per kg'!I56</f>
        <v>8.452825609174093E-2</v>
      </c>
      <c r="D81">
        <f>'GHG detailed, results per kg'!J56+'GHG detailed, results per kg'!K56</f>
        <v>0.34183842865958947</v>
      </c>
      <c r="E81">
        <f>'GHG detailed, results per kg'!L56+'GHG detailed, results per kg'!N56</f>
        <v>9.3381307750231013E-2</v>
      </c>
      <c r="F81">
        <f>'GHG detailed, results per kg'!O56</f>
        <v>0.1083022565483913</v>
      </c>
      <c r="G81">
        <f>'GHG detailed, results per kg'!P56</f>
        <v>9.1730991286372396E-2</v>
      </c>
      <c r="H81">
        <f>'GHG detailed, results per kg'!R56</f>
        <v>9.6283525688234423E-2</v>
      </c>
      <c r="I81">
        <f>'GHG detailed, results per kg'!S56</f>
        <v>0</v>
      </c>
      <c r="J81">
        <f>'GHG detailed, results per kg'!T56</f>
        <v>0.11017855987224708</v>
      </c>
      <c r="K81">
        <f>'GHG detailed, results per kg'!W56</f>
        <v>6.5397296060153529E-2</v>
      </c>
      <c r="L81">
        <f>'GHG detailed, results per kg'!X56</f>
        <v>5.8283096761396737E-2</v>
      </c>
      <c r="M81">
        <f t="shared" si="0"/>
        <v>1.3066257658430691</v>
      </c>
    </row>
    <row r="82" spans="1:13" x14ac:dyDescent="0.35">
      <c r="A82" t="s">
        <v>30</v>
      </c>
      <c r="B82">
        <f>'GHG detailed, results per kg'!H81</f>
        <v>0.20126111374932382</v>
      </c>
      <c r="C82">
        <f>'GHG detailed, results per kg'!I81</f>
        <v>8.3040165648594427E-2</v>
      </c>
      <c r="D82">
        <f>'GHG detailed, results per kg'!J81+'GHG detailed, results per kg'!K81</f>
        <v>0.1364632801706574</v>
      </c>
      <c r="E82">
        <f>'GHG detailed, results per kg'!L81+'GHG detailed, results per kg'!N81</f>
        <v>0.11065476555282697</v>
      </c>
      <c r="F82">
        <f>'GHG detailed, results per kg'!O81</f>
        <v>0.11751803695468491</v>
      </c>
      <c r="G82">
        <f>'GHG detailed, results per kg'!P81</f>
        <v>0.12172101088019294</v>
      </c>
      <c r="H82">
        <f>'GHG detailed, results per kg'!R81</f>
        <v>0.10263629067269443</v>
      </c>
      <c r="I82">
        <f>'GHG detailed, results per kg'!S81</f>
        <v>0</v>
      </c>
      <c r="J82">
        <f>'GHG detailed, results per kg'!T81</f>
        <v>0.1008461520215579</v>
      </c>
      <c r="K82">
        <f>'GHG detailed, results per kg'!W81</f>
        <v>9.5764816402928402E-2</v>
      </c>
      <c r="L82">
        <f>'GHG detailed, results per kg'!X81</f>
        <v>0.2318117844343961</v>
      </c>
      <c r="M82">
        <f t="shared" si="0"/>
        <v>1.3017174164878573</v>
      </c>
    </row>
    <row r="83" spans="1:13" x14ac:dyDescent="0.35">
      <c r="A83" t="s">
        <v>32</v>
      </c>
      <c r="B83">
        <f>'GHG detailed, results per kg'!H71</f>
        <v>0.19919809092462742</v>
      </c>
      <c r="C83">
        <f>'GHG detailed, results per kg'!I71</f>
        <v>8.8757377370740048E-2</v>
      </c>
      <c r="D83">
        <f>'GHG detailed, results per kg'!J71+'GHG detailed, results per kg'!K71</f>
        <v>0.12819491367328623</v>
      </c>
      <c r="E83">
        <f>'GHG detailed, results per kg'!L71+'GHG detailed, results per kg'!N71</f>
        <v>0.10101657494852012</v>
      </c>
      <c r="F83">
        <f>'GHG detailed, results per kg'!O71</f>
        <v>0.12688012533715867</v>
      </c>
      <c r="G83">
        <f>'GHG detailed, results per kg'!P71</f>
        <v>0.10270073851020657</v>
      </c>
      <c r="H83">
        <f>'GHG detailed, results per kg'!R71</f>
        <v>8.4100046730292963E-2</v>
      </c>
      <c r="I83">
        <f>'GHG detailed, results per kg'!S71</f>
        <v>0</v>
      </c>
      <c r="J83">
        <f>'GHG detailed, results per kg'!T71</f>
        <v>0.11443726599848156</v>
      </c>
      <c r="K83">
        <f>'GHG detailed, results per kg'!W71</f>
        <v>9.9655029410123525E-2</v>
      </c>
      <c r="L83">
        <f>'GHG detailed, results per kg'!X71</f>
        <v>0.25404157304693958</v>
      </c>
      <c r="M83">
        <f t="shared" si="0"/>
        <v>1.2989817359503766</v>
      </c>
    </row>
  </sheetData>
  <autoFilter ref="A71:M71" xr:uid="{4F69FFA1-1932-4638-AD84-8A9CFF415E51}">
    <sortState xmlns:xlrd2="http://schemas.microsoft.com/office/spreadsheetml/2017/richdata2" ref="A72:M83">
      <sortCondition descending="1" ref="M71"/>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U37"/>
  <sheetViews>
    <sheetView topLeftCell="A2" zoomScale="90" zoomScaleNormal="90" workbookViewId="0">
      <selection activeCell="W13" sqref="W13:AG13"/>
    </sheetView>
  </sheetViews>
  <sheetFormatPr defaultColWidth="8.81640625" defaultRowHeight="14.5" x14ac:dyDescent="0.35"/>
  <cols>
    <col min="1" max="1" width="8.81640625" style="31"/>
    <col min="2" max="2" width="22.81640625" customWidth="1"/>
    <col min="3" max="3" width="25.453125" customWidth="1"/>
    <col min="4" max="4" width="16.453125" customWidth="1"/>
    <col min="5" max="11" width="10.453125" customWidth="1"/>
    <col min="12" max="13" width="14.54296875" customWidth="1"/>
    <col min="14" max="14" width="14.54296875" style="13" customWidth="1"/>
    <col min="15" max="20" width="14.54296875" customWidth="1"/>
    <col min="21" max="21" width="15.81640625" customWidth="1"/>
  </cols>
  <sheetData>
    <row r="2" spans="1:21" ht="21" x14ac:dyDescent="0.5">
      <c r="A2" s="65" t="s">
        <v>45</v>
      </c>
      <c r="M2" s="224" t="s">
        <v>46</v>
      </c>
    </row>
    <row r="3" spans="1:21" x14ac:dyDescent="0.35">
      <c r="P3" s="8"/>
      <c r="R3" s="8"/>
      <c r="S3" s="9"/>
      <c r="T3" s="9"/>
      <c r="U3" s="9"/>
    </row>
    <row r="4" spans="1:21" x14ac:dyDescent="0.35">
      <c r="A4" s="86"/>
      <c r="B4" s="87"/>
      <c r="C4" s="87"/>
      <c r="D4" s="87"/>
      <c r="E4" s="87"/>
      <c r="F4" s="87"/>
      <c r="G4" s="87"/>
      <c r="H4" s="87"/>
      <c r="I4" s="87"/>
      <c r="J4" s="87"/>
      <c r="K4" s="87"/>
      <c r="L4" s="87"/>
      <c r="M4" s="87"/>
      <c r="N4" s="88"/>
      <c r="O4" s="87"/>
      <c r="P4" s="89"/>
      <c r="Q4" s="87"/>
      <c r="R4" s="89"/>
      <c r="S4" s="90"/>
      <c r="T4" s="90"/>
      <c r="U4" s="90"/>
    </row>
    <row r="5" spans="1:21" x14ac:dyDescent="0.35">
      <c r="A5" s="67" t="s">
        <v>47</v>
      </c>
      <c r="B5" s="47"/>
      <c r="C5" s="47"/>
      <c r="D5" s="54"/>
      <c r="E5" s="54"/>
      <c r="F5" s="248" t="s">
        <v>48</v>
      </c>
      <c r="G5" s="54"/>
      <c r="H5" s="54"/>
      <c r="I5" s="54"/>
      <c r="J5" s="54"/>
      <c r="K5" s="54"/>
      <c r="L5" s="40" t="s">
        <v>49</v>
      </c>
      <c r="M5" s="40" t="s">
        <v>50</v>
      </c>
      <c r="N5" s="40" t="s">
        <v>51</v>
      </c>
      <c r="O5" s="40" t="s">
        <v>52</v>
      </c>
      <c r="P5" s="41" t="s">
        <v>53</v>
      </c>
      <c r="Q5" s="41" t="s">
        <v>54</v>
      </c>
      <c r="R5" s="41" t="s">
        <v>55</v>
      </c>
      <c r="S5" s="41" t="s">
        <v>56</v>
      </c>
      <c r="T5" s="59" t="s">
        <v>57</v>
      </c>
      <c r="U5" s="59" t="s">
        <v>58</v>
      </c>
    </row>
    <row r="6" spans="1:21" s="10" customFormat="1" ht="43.5" x14ac:dyDescent="0.35">
      <c r="A6" s="69" t="s">
        <v>59</v>
      </c>
      <c r="B6" s="68" t="s">
        <v>60</v>
      </c>
      <c r="C6" s="68" t="s">
        <v>61</v>
      </c>
      <c r="D6" s="70" t="s">
        <v>62</v>
      </c>
      <c r="E6" s="71" t="s">
        <v>63</v>
      </c>
      <c r="F6" s="247" t="s">
        <v>64</v>
      </c>
      <c r="G6" s="246" t="s">
        <v>65</v>
      </c>
      <c r="H6" s="247" t="s">
        <v>66</v>
      </c>
      <c r="I6" s="247" t="s">
        <v>67</v>
      </c>
      <c r="J6" s="247" t="s">
        <v>68</v>
      </c>
      <c r="K6" s="246" t="s">
        <v>69</v>
      </c>
      <c r="L6" s="75" t="s">
        <v>70</v>
      </c>
      <c r="M6" s="75" t="s">
        <v>71</v>
      </c>
      <c r="N6" s="75" t="s">
        <v>72</v>
      </c>
      <c r="O6" s="76" t="s">
        <v>73</v>
      </c>
      <c r="P6" s="77" t="s">
        <v>74</v>
      </c>
      <c r="Q6" s="78" t="s">
        <v>75</v>
      </c>
      <c r="R6" s="78" t="s">
        <v>76</v>
      </c>
      <c r="S6" s="78" t="s">
        <v>77</v>
      </c>
      <c r="T6" s="74" t="s">
        <v>78</v>
      </c>
      <c r="U6" s="74"/>
    </row>
    <row r="7" spans="1:21" x14ac:dyDescent="0.35">
      <c r="A7" s="13">
        <v>21121</v>
      </c>
      <c r="B7" s="13" t="s">
        <v>79</v>
      </c>
      <c r="C7" s="17" t="s">
        <v>80</v>
      </c>
      <c r="D7" t="s">
        <v>81</v>
      </c>
      <c r="E7" t="s">
        <v>82</v>
      </c>
      <c r="F7" s="12">
        <f>'GHG detailed, results per kg'!G11</f>
        <v>1.5092702353840179</v>
      </c>
      <c r="G7" s="12">
        <f>'GHG detailed, results per kg'!G7</f>
        <v>0.86319394456174492</v>
      </c>
      <c r="H7" s="48">
        <f>'GHG detailed, results per kg'!G8</f>
        <v>1.0944361722769577E-3</v>
      </c>
      <c r="I7" s="48">
        <f>'GHG detailed, results per kg'!G9</f>
        <v>2.2013861429824129E-3</v>
      </c>
      <c r="J7" s="48">
        <f>'GHG detailed, results per kg'!G10</f>
        <v>2.029394384717562E-3</v>
      </c>
      <c r="L7" s="19">
        <f>'EFP per kg feed'!F17*FCR_bonefree_incl_parents_AT</f>
        <v>10.389611204340774</v>
      </c>
      <c r="M7" s="20">
        <f>'EFP per kg feed'!G17*FCR_bonefree_incl_parents_AT-Manure_repl_factor_AT*Excreted_N_after_losses_AT</f>
        <v>5.169168906219436E-2</v>
      </c>
      <c r="N7" s="20">
        <f>'EFP per kg feed'!H17*FCR_bonefree_incl_parents_AT</f>
        <v>7.6615155347610148E-3</v>
      </c>
      <c r="O7" s="33">
        <f>'EFP per kg feed'!I17*FCR_bonefree_incl_parents_AT+Water_stables_AT/Bonefree_outof_CW_AT</f>
        <v>1.443950163384292E-2</v>
      </c>
      <c r="P7" s="33">
        <f>'EFP per kg feed'!J17*FCR_bonefree_incl_parents_AT</f>
        <v>0.16155117549260153</v>
      </c>
      <c r="Q7" s="33">
        <f>'EFP per kg feed'!K17*FCR_bonefree_incl_parents_AT</f>
        <v>2.5375629163168937E-10</v>
      </c>
      <c r="R7" s="33">
        <f>'EFP per kg feed'!L17*FCR_bonefree_incl_parents_AT+Excreted_N_after_losses_AT</f>
        <v>2.9187573404077627E-2</v>
      </c>
      <c r="S7" s="11">
        <f>Production!B52*Labour_per_animal_AT</f>
        <v>0.16374995401654163</v>
      </c>
      <c r="T7" s="5"/>
    </row>
    <row r="8" spans="1:21" x14ac:dyDescent="0.35">
      <c r="A8" s="13">
        <v>21121</v>
      </c>
      <c r="B8" s="13" t="s">
        <v>79</v>
      </c>
      <c r="C8" s="17" t="s">
        <v>80</v>
      </c>
      <c r="D8" t="s">
        <v>83</v>
      </c>
      <c r="E8" t="s">
        <v>84</v>
      </c>
      <c r="F8" s="12">
        <f>'GHG detailed, results per kg'!G16</f>
        <v>1.4361306050991585</v>
      </c>
      <c r="G8" s="12">
        <f>'GHG detailed, results per kg'!G12</f>
        <v>0.88800536101837024</v>
      </c>
      <c r="H8" s="48">
        <f>'GHG detailed, results per kg'!G13</f>
        <v>9.2155385115356492E-4</v>
      </c>
      <c r="I8" s="48">
        <f>'GHG detailed, results per kg'!G14</f>
        <v>2.2013861429824129E-3</v>
      </c>
      <c r="J8" s="48">
        <f>'GHG detailed, results per kg'!G15</f>
        <v>1.6894707452596587E-3</v>
      </c>
      <c r="L8" s="19">
        <f>'EFP per kg feed'!F29*FCR_bonefree_incl_parents_BE</f>
        <v>8.0264570257644294</v>
      </c>
      <c r="M8" s="20">
        <f>'EFP per kg feed'!G29*FCR_bonefree_incl_parents_BE-Manure_repl_factor_BE*Excreted_N_after_losses_BE</f>
        <v>5.9569595578647508E-2</v>
      </c>
      <c r="N8" s="20">
        <f>'EFP per kg feed'!H29*FCR_bonefree_incl_parents_BE</f>
        <v>7.78251380202441E-3</v>
      </c>
      <c r="O8" s="33">
        <f>'EFP per kg feed'!I29*FCR_bonefree_incl_parents_BE+Water_stables_BE/Bonefree_outof_CW_BE</f>
        <v>1.5369114868224523E-2</v>
      </c>
      <c r="P8" s="33">
        <f>'EFP per kg feed'!J29*FCR_bonefree_incl_parents_BE</f>
        <v>0.26539614199426242</v>
      </c>
      <c r="Q8" s="33">
        <f>'EFP per kg feed'!K29*FCR_bonefree_incl_parents_BE</f>
        <v>3.994122861073649E-10</v>
      </c>
      <c r="R8" s="33">
        <f>'EFP per kg feed'!L29*FCR_bonefree_incl_parents_BE+Excreted_N_after_losses_BE</f>
        <v>2.9645549184559569E-2</v>
      </c>
      <c r="S8" s="11">
        <f>Production!C52*Labour_per_animal_BE</f>
        <v>9.2488399953787409E-2</v>
      </c>
      <c r="T8" s="5"/>
    </row>
    <row r="9" spans="1:21" x14ac:dyDescent="0.35">
      <c r="A9" s="13">
        <v>21121</v>
      </c>
      <c r="B9" s="13" t="s">
        <v>79</v>
      </c>
      <c r="C9" s="17" t="s">
        <v>80</v>
      </c>
      <c r="D9" t="s">
        <v>85</v>
      </c>
      <c r="E9" t="s">
        <v>86</v>
      </c>
      <c r="F9" s="12">
        <f>'GHG detailed, results per kg'!G21</f>
        <v>1.4825254219595194</v>
      </c>
      <c r="G9" s="12">
        <f>'GHG detailed, results per kg'!G17</f>
        <v>0.88601639983684854</v>
      </c>
      <c r="H9" s="48">
        <f>'GHG detailed, results per kg'!G18</f>
        <v>8.3549633664460913E-4</v>
      </c>
      <c r="I9" s="48">
        <f>'GHG detailed, results per kg'!G19</f>
        <v>2.2013861429824129E-3</v>
      </c>
      <c r="J9" s="48">
        <f>'GHG detailed, results per kg'!G20</f>
        <v>1.876094525385115E-3</v>
      </c>
      <c r="L9" s="19">
        <f>'EFP per kg feed'!F41*FCR_bonefree_incl_parents_BG</f>
        <v>11.873853821805657</v>
      </c>
      <c r="M9" s="20">
        <f>'EFP per kg feed'!G41*FCR_bonefree_incl_parents_BG-Manure_repl_factor_BG*Excreted_N_after_losses_BG</f>
        <v>3.7889186828936904E-2</v>
      </c>
      <c r="N9" s="20">
        <f>'EFP per kg feed'!H41*FCR_bonefree_incl_parents_BG</f>
        <v>6.7014532185722059E-3</v>
      </c>
      <c r="O9" s="33">
        <f>'EFP per kg feed'!I41*FCR_bonefree_incl_parents_BG+Water_stables_BG/Bonefree_outof_CW_BG</f>
        <v>1.377155543629463E-2</v>
      </c>
      <c r="P9" s="33">
        <f>'EFP per kg feed'!J41*FCR_bonefree_incl_parents_BG</f>
        <v>8.6617264137706124E-2</v>
      </c>
      <c r="Q9" s="33">
        <f>'EFP per kg feed'!K41*FCR_bonefree_incl_parents_BG</f>
        <v>1.6096579548023118E-10</v>
      </c>
      <c r="R9" s="33">
        <f>'EFP per kg feed'!L41*FCR_bonefree_incl_parents_BG+Excreted_N_after_losses_BG</f>
        <v>2.8661273282736117E-2</v>
      </c>
      <c r="S9" s="11">
        <f>Production!D52*Labour_per_animal_BG</f>
        <v>0.30930546869791198</v>
      </c>
      <c r="T9" s="5"/>
    </row>
    <row r="10" spans="1:21" x14ac:dyDescent="0.35">
      <c r="A10" s="13">
        <v>21121</v>
      </c>
      <c r="B10" s="13" t="s">
        <v>79</v>
      </c>
      <c r="C10" s="17" t="s">
        <v>80</v>
      </c>
      <c r="D10" t="s">
        <v>87</v>
      </c>
      <c r="E10" t="s">
        <v>88</v>
      </c>
      <c r="F10" s="12">
        <f>'GHG detailed, results per kg'!G26</f>
        <v>1.6668185573589773</v>
      </c>
      <c r="G10" s="12">
        <f>'GHG detailed, results per kg'!G22</f>
        <v>1.083244492157039</v>
      </c>
      <c r="H10" s="48">
        <f>'GHG detailed, results per kg'!G23</f>
        <v>1.2461444038142906E-3</v>
      </c>
      <c r="I10" s="48">
        <f>'GHG detailed, results per kg'!G24</f>
        <v>2.2013861429824129E-3</v>
      </c>
      <c r="J10" s="48">
        <f>'GHG detailed, results per kg'!G25</f>
        <v>1.7838884106510884E-3</v>
      </c>
      <c r="L10" s="19">
        <f>'EFP per kg feed'!F53*FCR_bonefree_incl_parents_HR</f>
        <v>10.818017073283576</v>
      </c>
      <c r="M10" s="20">
        <f>'EFP per kg feed'!G53*FCR_bonefree_incl_parents_HR-Manure_repl_factor_HR*Excreted_N_after_losses_HR</f>
        <v>5.035367745363864E-2</v>
      </c>
      <c r="N10" s="20">
        <f>'EFP per kg feed'!H53*FCR_bonefree_incl_parents_HR</f>
        <v>8.1656824107238929E-3</v>
      </c>
      <c r="O10" s="33">
        <f>'EFP per kg feed'!I53*FCR_bonefree_incl_parents_HR+Water_stables_HR/Bonefree_outof_CW_HR</f>
        <v>1.4594992982911493E-2</v>
      </c>
      <c r="P10" s="33">
        <f>'EFP per kg feed'!J53*FCR_bonefree_incl_parents_HR</f>
        <v>0.17611603051737518</v>
      </c>
      <c r="Q10" s="33">
        <f>'EFP per kg feed'!K53*FCR_bonefree_incl_parents_HR</f>
        <v>3.8239745377183229E-10</v>
      </c>
      <c r="R10" s="33">
        <f>'EFP per kg feed'!L53*FCR_bonefree_incl_parents_HR+Excreted_N_after_losses_HR</f>
        <v>2.881673829020823E-2</v>
      </c>
      <c r="S10" s="11">
        <f>Production!E52*Labour_per_animal_HR</f>
        <v>0.34721055064618556</v>
      </c>
      <c r="T10" s="5"/>
    </row>
    <row r="11" spans="1:21" x14ac:dyDescent="0.35">
      <c r="A11" s="13">
        <v>21121</v>
      </c>
      <c r="B11" s="13" t="s">
        <v>79</v>
      </c>
      <c r="C11" s="17" t="s">
        <v>80</v>
      </c>
      <c r="D11" t="s">
        <v>89</v>
      </c>
      <c r="E11" t="s">
        <v>90</v>
      </c>
      <c r="F11" s="12">
        <f>'GHG detailed, results per kg'!G31</f>
        <v>2.1249190365814208</v>
      </c>
      <c r="G11" s="12">
        <f>'GHG detailed, results per kg'!G27</f>
        <v>1.4349526870645297</v>
      </c>
      <c r="H11" s="48">
        <f>'GHG detailed, results per kg'!G28</f>
        <v>2.2274804115728726E-3</v>
      </c>
      <c r="I11" s="48">
        <f>'GHG detailed, results per kg'!G29</f>
        <v>2.2013861429824129E-3</v>
      </c>
      <c r="J11" s="48">
        <f>'GHG detailed, results per kg'!G30</f>
        <v>2.0664835435585888E-3</v>
      </c>
      <c r="L11" s="19">
        <f>'EFP per kg feed'!F65*FCR_bonefree_incl_parents_CY</f>
        <v>9.5598528615961484</v>
      </c>
      <c r="M11" s="20">
        <f>'EFP per kg feed'!G65*FCR_bonefree_incl_parents_CY-Manure_repl_factor_CY*Excreted_N_after_losses_CY</f>
        <v>6.0438068610760828E-2</v>
      </c>
      <c r="N11" s="20">
        <f>'EFP per kg feed'!H65*FCR_bonefree_incl_parents_CY</f>
        <v>8.4524033541131475E-3</v>
      </c>
      <c r="O11" s="33">
        <f>'EFP per kg feed'!I65*FCR_bonefree_incl_parents_CY+Water_stables_CY/Bonefree_outof_CW_CY</f>
        <v>1.4579277236949616E-2</v>
      </c>
      <c r="P11" s="33">
        <f>'EFP per kg feed'!J65*FCR_bonefree_incl_parents_CY</f>
        <v>0.17409708288124615</v>
      </c>
      <c r="Q11" s="33">
        <f>'EFP per kg feed'!K65*FCR_bonefree_incl_parents_CY</f>
        <v>3.8972337066287369E-10</v>
      </c>
      <c r="R11" s="33">
        <f>'EFP per kg feed'!L65*FCR_bonefree_incl_parents_CY+Excreted_N_after_losses_CY</f>
        <v>2.9038099353623007E-2</v>
      </c>
      <c r="S11" s="11">
        <f>Production!F52*Labour_per_animal_CY</f>
        <v>6.9745350784823287E-2</v>
      </c>
      <c r="T11" s="5"/>
    </row>
    <row r="12" spans="1:21" x14ac:dyDescent="0.35">
      <c r="A12" s="13">
        <v>21121</v>
      </c>
      <c r="B12" s="13" t="s">
        <v>79</v>
      </c>
      <c r="C12" s="17" t="s">
        <v>80</v>
      </c>
      <c r="D12" t="s">
        <v>91</v>
      </c>
      <c r="E12" t="s">
        <v>92</v>
      </c>
      <c r="F12" s="12">
        <f>'GHG detailed, results per kg'!G36</f>
        <v>1.784701960192874</v>
      </c>
      <c r="G12" s="12">
        <f>'GHG detailed, results per kg'!G32</f>
        <v>1.0963772803051568</v>
      </c>
      <c r="H12" s="48">
        <f>'GHG detailed, results per kg'!G33</f>
        <v>1.1323231933800012E-3</v>
      </c>
      <c r="I12" s="48">
        <f>'GHG detailed, results per kg'!G34</f>
        <v>2.2013861429824129E-3</v>
      </c>
      <c r="J12" s="48">
        <f>'GHG detailed, results per kg'!G35</f>
        <v>2.1800147357672805E-3</v>
      </c>
      <c r="L12" s="19">
        <f>'EFP per kg feed'!F77*FCR_bonefree_incl_parents_CZ</f>
        <v>9.1816938243575592</v>
      </c>
      <c r="M12" s="20">
        <f>'EFP per kg feed'!G77*FCR_bonefree_incl_parents_CZ-Manure_repl_factor_CZ*Excreted_N_after_losses_CZ</f>
        <v>5.6446161909795331E-2</v>
      </c>
      <c r="N12" s="20">
        <f>'EFP per kg feed'!H77*FCR_bonefree_incl_parents_CZ</f>
        <v>7.7073249172400181E-3</v>
      </c>
      <c r="O12" s="33">
        <f>'EFP per kg feed'!I77*FCR_bonefree_incl_parents_CZ+Water_stables_CZ/Bonefree_outof_CW_CZ</f>
        <v>1.4247699496122687E-2</v>
      </c>
      <c r="P12" s="33">
        <f>'EFP per kg feed'!J77*FCR_bonefree_incl_parents_CZ</f>
        <v>0.13997568335238722</v>
      </c>
      <c r="Q12" s="33">
        <f>'EFP per kg feed'!K77*FCR_bonefree_incl_parents_CZ</f>
        <v>2.2926494415845609E-10</v>
      </c>
      <c r="R12" s="33">
        <f>'EFP per kg feed'!L77*FCR_bonefree_incl_parents_CZ+Excreted_N_after_losses_CZ</f>
        <v>2.9095855223884221E-2</v>
      </c>
      <c r="S12" s="11">
        <f>Production!G52*Labour_per_animal_CZ</f>
        <v>0.1334258884579228</v>
      </c>
      <c r="T12" s="5"/>
    </row>
    <row r="13" spans="1:21" x14ac:dyDescent="0.35">
      <c r="A13" s="52">
        <v>21121</v>
      </c>
      <c r="B13" s="52" t="s">
        <v>79</v>
      </c>
      <c r="C13" s="73" t="s">
        <v>80</v>
      </c>
      <c r="D13" s="119" t="s">
        <v>23</v>
      </c>
      <c r="E13" t="s">
        <v>93</v>
      </c>
      <c r="F13" s="12">
        <f>'GHG detailed, results per kg'!G41</f>
        <v>1.683250085903762</v>
      </c>
      <c r="G13" s="12">
        <f>'GHG detailed, results per kg'!G37</f>
        <v>0.96979987723667149</v>
      </c>
      <c r="H13" s="48">
        <f>'GHG detailed, results per kg'!G38</f>
        <v>1.1031150597600678E-3</v>
      </c>
      <c r="I13" s="48">
        <f>'GHG detailed, results per kg'!G39</f>
        <v>2.2013861429824129E-3</v>
      </c>
      <c r="J13" s="48">
        <f>'GHG detailed, results per kg'!G40</f>
        <v>2.2752379268341223E-3</v>
      </c>
      <c r="L13" s="19">
        <f>'EFP per kg feed'!F89*FCR_bonefree_incl_parents_DK</f>
        <v>5.5056841515964186</v>
      </c>
      <c r="M13" s="20">
        <f>'EFP per kg feed'!G89*FCR_bonefree_incl_parents_DK-Manure_repl_factor_DK*Excreted_N_after_losses_DK</f>
        <v>6.8024950043581028E-2</v>
      </c>
      <c r="N13" s="20">
        <f>'EFP per kg feed'!H89*FCR_bonefree_incl_parents_DK</f>
        <v>9.368176957283569E-3</v>
      </c>
      <c r="O13" s="33">
        <f>'EFP per kg feed'!I89*FCR_bonefree_incl_parents_DK+Water_stables_DK/Bonefree_outof_CW_DK</f>
        <v>2.1950283298467356E-2</v>
      </c>
      <c r="P13" s="33">
        <f>'EFP per kg feed'!J89*FCR_bonefree_incl_parents_DK</f>
        <v>0.74850461547851443</v>
      </c>
      <c r="Q13" s="33">
        <f>'EFP per kg feed'!K89*FCR_bonefree_incl_parents_DK</f>
        <v>4.6901395541385206E-10</v>
      </c>
      <c r="R13" s="33">
        <f>'EFP per kg feed'!L89*FCR_bonefree_incl_parents_DK+Excreted_N_after_losses_DK</f>
        <v>3.2019300787486736E-2</v>
      </c>
      <c r="S13" s="11">
        <f>Production!H52*Labour_per_animal_DK</f>
        <v>6.2164334395168587E-2</v>
      </c>
      <c r="T13" s="12">
        <v>3.7137561564762751</v>
      </c>
      <c r="U13">
        <v>19.399999999999999</v>
      </c>
    </row>
    <row r="14" spans="1:21" x14ac:dyDescent="0.35">
      <c r="A14" s="13">
        <v>21121</v>
      </c>
      <c r="B14" s="13" t="s">
        <v>79</v>
      </c>
      <c r="C14" s="17" t="s">
        <v>80</v>
      </c>
      <c r="D14" t="s">
        <v>94</v>
      </c>
      <c r="E14" t="s">
        <v>95</v>
      </c>
      <c r="F14" s="12">
        <f>'GHG detailed, results per kg'!G46</f>
        <v>1.239892596549629</v>
      </c>
      <c r="G14" s="12">
        <f>'GHG detailed, results per kg'!G42</f>
        <v>0.81427153361817495</v>
      </c>
      <c r="H14" s="48">
        <f>'GHG detailed, results per kg'!G43</f>
        <v>1.8321997416666164E-3</v>
      </c>
      <c r="I14" s="48">
        <f>'GHG detailed, results per kg'!G44</f>
        <v>2.2013861429824129E-3</v>
      </c>
      <c r="J14" s="48">
        <f>'GHG detailed, results per kg'!G45</f>
        <v>1.1413336438434562E-3</v>
      </c>
      <c r="L14" s="19">
        <f>'EFP per kg feed'!F101*FCR_bonefree_incl_parents_EE</f>
        <v>4.827718663738831</v>
      </c>
      <c r="M14" s="20">
        <f>'EFP per kg feed'!G101*FCR_bonefree_incl_parents_EE-Manure_repl_factor_EE*Excreted_N_after_losses_EE</f>
        <v>2.9066435359428822E-2</v>
      </c>
      <c r="N14" s="20">
        <f>'EFP per kg feed'!H101*FCR_bonefree_incl_parents_EE</f>
        <v>4.6807495158404568E-3</v>
      </c>
      <c r="O14" s="33">
        <f>'EFP per kg feed'!I101*FCR_bonefree_incl_parents_EE+Water_stables_EE/Bonefree_outof_CW_EE</f>
        <v>1.386508017287089E-2</v>
      </c>
      <c r="P14" s="33">
        <f>'EFP per kg feed'!J101*FCR_bonefree_incl_parents_EE</f>
        <v>9.8381513269077445E-2</v>
      </c>
      <c r="Q14" s="33">
        <f>'EFP per kg feed'!K101*FCR_bonefree_incl_parents_EE</f>
        <v>1.2664368298239209E-10</v>
      </c>
      <c r="R14" s="33">
        <f>'EFP per kg feed'!L101*FCR_bonefree_incl_parents_EE+Excreted_N_after_losses_EE</f>
        <v>2.9009394920301541E-2</v>
      </c>
      <c r="S14" s="11">
        <f>Production!I52*Labour_per_animal_EE</f>
        <v>6.8229147506892351E-2</v>
      </c>
      <c r="T14" s="12"/>
    </row>
    <row r="15" spans="1:21" x14ac:dyDescent="0.35">
      <c r="A15" s="13">
        <v>21121</v>
      </c>
      <c r="B15" s="13" t="s">
        <v>79</v>
      </c>
      <c r="C15" s="17" t="s">
        <v>80</v>
      </c>
      <c r="D15" t="s">
        <v>96</v>
      </c>
      <c r="E15" t="s">
        <v>97</v>
      </c>
      <c r="F15" s="12">
        <f>'GHG detailed, results per kg'!G51</f>
        <v>1.5575329482490563</v>
      </c>
      <c r="G15" s="12">
        <f>'GHG detailed, results per kg'!G47</f>
        <v>0.89988161564699287</v>
      </c>
      <c r="H15" s="48">
        <f>'GHG detailed, results per kg'!G48</f>
        <v>1.1415948049499957E-3</v>
      </c>
      <c r="I15" s="48">
        <f>'GHG detailed, results per kg'!G49</f>
        <v>2.2013861429824129E-3</v>
      </c>
      <c r="J15" s="48">
        <f>'GHG detailed, results per kg'!G50</f>
        <v>2.0666460862784923E-3</v>
      </c>
      <c r="L15" s="19">
        <f>'EFP per kg feed'!F113*FCR_bonefree_incl_parents_FI</f>
        <v>6.2414861894719671</v>
      </c>
      <c r="M15" s="20">
        <f>'EFP per kg feed'!G113*FCR_bonefree_incl_parents_FI-Manure_repl_factor_FI*Excreted_N_after_losses_FI</f>
        <v>6.4779925731413029E-2</v>
      </c>
      <c r="N15" s="20">
        <f>'EFP per kg feed'!H113*FCR_bonefree_incl_parents_FI</f>
        <v>1.1241359063938267E-2</v>
      </c>
      <c r="O15" s="33">
        <f>'EFP per kg feed'!I113*FCR_bonefree_incl_parents_FI+Water_stables_FI/Bonefree_outof_CW_FI</f>
        <v>1.5227821347399055E-2</v>
      </c>
      <c r="P15" s="33">
        <f>'EFP per kg feed'!J113*FCR_bonefree_incl_parents_FI</f>
        <v>0.25303358237449558</v>
      </c>
      <c r="Q15" s="33">
        <f>'EFP per kg feed'!K113*FCR_bonefree_incl_parents_FI</f>
        <v>2.5007745545752075E-10</v>
      </c>
      <c r="R15" s="33">
        <f>'EFP per kg feed'!L113*FCR_bonefree_incl_parents_FI+Excreted_N_after_losses_FI</f>
        <v>3.0844704119911179E-2</v>
      </c>
      <c r="S15" s="11">
        <f>Production!J52*Labour_per_animal_FI</f>
        <v>8.9455993397925523E-2</v>
      </c>
      <c r="T15" s="12"/>
    </row>
    <row r="16" spans="1:21" x14ac:dyDescent="0.35">
      <c r="A16" s="52">
        <v>21121</v>
      </c>
      <c r="B16" s="52" t="s">
        <v>79</v>
      </c>
      <c r="C16" s="73" t="s">
        <v>80</v>
      </c>
      <c r="D16" s="119" t="s">
        <v>31</v>
      </c>
      <c r="E16" t="s">
        <v>98</v>
      </c>
      <c r="F16" s="12">
        <f>'GHG detailed, results per kg'!G56</f>
        <v>1.326514314291348</v>
      </c>
      <c r="G16" s="12">
        <f>'GHG detailed, results per kg'!G52</f>
        <v>0.74603329812799513</v>
      </c>
      <c r="H16" s="48">
        <f>'GHG detailed, results per kg'!G53</f>
        <v>1.0169099467455076E-3</v>
      </c>
      <c r="I16" s="48">
        <f>'GHG detailed, results per kg'!G54</f>
        <v>2.2548527409656507E-3</v>
      </c>
      <c r="J16" s="48">
        <f>'GHG detailed, results per kg'!G55</f>
        <v>1.7922933177445578E-3</v>
      </c>
      <c r="L16" s="19">
        <f>'EFP per kg feed'!F125*FCR_bonefree_incl_parents_FR</f>
        <v>4.7229560834841617</v>
      </c>
      <c r="M16" s="20">
        <f>'EFP per kg feed'!G125*FCR_bonefree_incl_parents_FR-Manure_repl_factor_FR*Excreted_N_after_losses_FR</f>
        <v>5.8493448935379083E-2</v>
      </c>
      <c r="N16" s="20">
        <f>'EFP per kg feed'!H125*FCR_bonefree_incl_parents_FR</f>
        <v>1.0741996792452196E-2</v>
      </c>
      <c r="O16" s="33">
        <f>'EFP per kg feed'!I125*FCR_bonefree_incl_parents_FR+Water_stables_FR/Bonefree_outof_CW_FR</f>
        <v>8.9587278661005312E-2</v>
      </c>
      <c r="P16" s="33">
        <f>'EFP per kg feed'!J125*FCR_bonefree_incl_parents_FR</f>
        <v>0.70109480356314402</v>
      </c>
      <c r="Q16" s="33">
        <f>'EFP per kg feed'!K125*FCR_bonefree_incl_parents_FR</f>
        <v>1.3831994113259023E-9</v>
      </c>
      <c r="R16" s="33">
        <f>'EFP per kg feed'!L125*FCR_bonefree_incl_parents_FR+Excreted_N_after_losses_FR</f>
        <v>4.5473607797830724E-2</v>
      </c>
      <c r="S16" s="11">
        <f>Production!K52*Labour_per_animal_FR</f>
        <v>9.4548197933773892E-2</v>
      </c>
      <c r="T16" s="12">
        <v>4.0414332061466203</v>
      </c>
      <c r="U16">
        <v>38.1</v>
      </c>
    </row>
    <row r="17" spans="1:21" x14ac:dyDescent="0.35">
      <c r="A17" s="52">
        <v>21121</v>
      </c>
      <c r="B17" s="52" t="s">
        <v>79</v>
      </c>
      <c r="C17" s="73" t="s">
        <v>80</v>
      </c>
      <c r="D17" s="119" t="s">
        <v>24</v>
      </c>
      <c r="E17" t="s">
        <v>99</v>
      </c>
      <c r="F17" s="12">
        <f>'GHG detailed, results per kg'!G61</f>
        <v>1.6281702255221076</v>
      </c>
      <c r="G17" s="12">
        <f>'GHG detailed, results per kg'!G57</f>
        <v>0.98916343458231615</v>
      </c>
      <c r="H17" s="48">
        <f>'GHG detailed, results per kg'!G58</f>
        <v>1.4032804898214482E-3</v>
      </c>
      <c r="I17" s="48">
        <f>'GHG detailed, results per kg'!G59</f>
        <v>3.3020792144736189E-3</v>
      </c>
      <c r="J17" s="48">
        <f>'GHG detailed, results per kg'!G60</f>
        <v>1.8609263500085154E-3</v>
      </c>
      <c r="K17" s="48">
        <f>G17+H17*29.8+I17*27+J17*273</f>
        <v>1.628170225522108</v>
      </c>
      <c r="L17" s="19">
        <f>'EFP per kg feed'!F137*FCR_bonefree_incl_parents_DE</f>
        <v>4.7692642755306673</v>
      </c>
      <c r="M17" s="20">
        <f>'EFP per kg feed'!G137*FCR_bonefree_incl_parents_DE-Manure_repl_factor_DE*Excreted_N_after_losses_DE</f>
        <v>5.2998510196146265E-2</v>
      </c>
      <c r="N17" s="20">
        <f>'EFP per kg feed'!H137*FCR_bonefree_incl_parents_DE</f>
        <v>1.0613089155077067E-2</v>
      </c>
      <c r="O17" s="33">
        <f>'EFP per kg feed'!I137*FCR_bonefree_incl_parents_DE+Water_stables_DE/Bonefree_outof_CW_DE</f>
        <v>1.5870448829415185E-2</v>
      </c>
      <c r="P17" s="33">
        <f>'EFP per kg feed'!J137*FCR_bonefree_incl_parents_DE</f>
        <v>1.2965167462828615</v>
      </c>
      <c r="Q17" s="33">
        <f>'EFP per kg feed'!K137*FCR_bonefree_incl_parents_DE</f>
        <v>3.6072016890845634E-10</v>
      </c>
      <c r="R17" s="33">
        <f>'EFP per kg feed'!L137*FCR_bonefree_incl_parents_DE+Excreted_N_after_losses_DE</f>
        <v>6.5457899236309583E-2</v>
      </c>
      <c r="S17" s="11">
        <f>Production!L52*Labour_per_animal_DE</f>
        <v>0.10613422945516589</v>
      </c>
      <c r="T17" s="12">
        <v>3.591005581703445</v>
      </c>
      <c r="U17">
        <v>50.4</v>
      </c>
    </row>
    <row r="18" spans="1:21" x14ac:dyDescent="0.35">
      <c r="A18" s="52">
        <v>21121</v>
      </c>
      <c r="B18" s="52" t="s">
        <v>79</v>
      </c>
      <c r="C18" s="73" t="s">
        <v>80</v>
      </c>
      <c r="D18" s="119" t="s">
        <v>22</v>
      </c>
      <c r="E18" t="s">
        <v>100</v>
      </c>
      <c r="F18" s="12">
        <f>'GHG detailed, results per kg'!G66</f>
        <v>1.6420556431989173</v>
      </c>
      <c r="G18" s="12">
        <f>'GHG detailed, results per kg'!G62</f>
        <v>1.2701078226641762</v>
      </c>
      <c r="H18" s="48">
        <f>'GHG detailed, results per kg'!G63</f>
        <v>1.7458147098191618E-3</v>
      </c>
      <c r="I18" s="48">
        <f>'GHG detailed, results per kg'!G64</f>
        <v>3.3020792144736189E-3</v>
      </c>
      <c r="J18" s="48">
        <f>'GHG detailed, results per kg'!G65</f>
        <v>8.4529818092066828E-4</v>
      </c>
      <c r="L18" s="19">
        <f>'EFP per kg feed'!F138*FCR_bonefree_incl_parents_GR</f>
        <v>11.530703537152011</v>
      </c>
      <c r="M18" s="20">
        <f>'EFP per kg feed'!G138*FCR_bonefree_incl_parents_GR-Manure_repl_factor_GR*Excreted_N_after_losses_GR</f>
        <v>4.5724947221165102E-2</v>
      </c>
      <c r="N18" s="20">
        <f>'EFP per kg feed'!H138*FCR_bonefree_incl_parents_GR</f>
        <v>1.0154880956014556E-2</v>
      </c>
      <c r="O18" s="33">
        <f>'EFP per kg feed'!I138*FCR_bonefree_incl_parents_GR+Water_stables_GR/Bonefree_outof_CW_GR</f>
        <v>1.2987012987012986E-2</v>
      </c>
      <c r="P18" s="33">
        <f>'EFP per kg feed'!J138*FCR_bonefree_incl_parents_GR</f>
        <v>0.52412288805236418</v>
      </c>
      <c r="Q18" s="33">
        <f>'EFP per kg feed'!K138*FCR_bonefree_incl_parents_GR</f>
        <v>1.9032212372401476E-8</v>
      </c>
      <c r="R18" s="33">
        <f>'EFP per kg feed'!L138*FCR_bonefree_incl_parents_GR+Excreted_N_after_losses_GR</f>
        <v>5.0227073734324508E-2</v>
      </c>
      <c r="S18" s="11">
        <f>Production!M52*Labour_per_animal_GR</f>
        <v>6.9745350784823287E-2</v>
      </c>
      <c r="T18" s="12">
        <v>4.0181974202978896</v>
      </c>
      <c r="U18">
        <v>111.7</v>
      </c>
    </row>
    <row r="19" spans="1:21" x14ac:dyDescent="0.35">
      <c r="A19" s="52">
        <v>21121</v>
      </c>
      <c r="B19" s="52" t="s">
        <v>79</v>
      </c>
      <c r="C19" s="73" t="s">
        <v>80</v>
      </c>
      <c r="D19" s="119" t="s">
        <v>32</v>
      </c>
      <c r="E19" t="s">
        <v>101</v>
      </c>
      <c r="F19" s="12">
        <f>'GHG detailed, results per kg'!G71</f>
        <v>1.3128137736693268</v>
      </c>
      <c r="G19" s="12">
        <f>'GHG detailed, results per kg'!G67</f>
        <v>0.94482381171406504</v>
      </c>
      <c r="H19" s="48">
        <f>'GHG detailed, results per kg'!G68</f>
        <v>1.4900730847458676E-3</v>
      </c>
      <c r="I19" s="48">
        <f>'GHG detailed, results per kg'!G69</f>
        <v>2.2013861429824129E-3</v>
      </c>
      <c r="J19" s="48">
        <f>'GHG detailed, results per kg'!G70</f>
        <v>9.6757640355058579E-4</v>
      </c>
      <c r="L19" s="19">
        <f>'EFP per kg feed'!F161*FCR_bonefree_incl_parents_HU</f>
        <v>5.4437520912070489</v>
      </c>
      <c r="M19" s="20">
        <f>'EFP per kg feed'!G161*FCR_bonefree_incl_parents_HU-Manure_repl_factor_HU*Excreted_N_after_losses_HU</f>
        <v>4.6445614937644063E-2</v>
      </c>
      <c r="N19" s="20">
        <f>'EFP per kg feed'!H161*FCR_bonefree_incl_parents_HU</f>
        <v>1.3406362292078131E-2</v>
      </c>
      <c r="O19" s="33">
        <f>'EFP per kg feed'!I161*FCR_bonefree_incl_parents_HU+Water_stables_HU/Bonefree_outof_CW_HU</f>
        <v>2.4492772498181679E-2</v>
      </c>
      <c r="P19" s="33">
        <f>'EFP per kg feed'!J161*FCR_bonefree_incl_parents_HU</f>
        <v>0.48488616366908199</v>
      </c>
      <c r="Q19" s="33">
        <f>'EFP per kg feed'!K161*FCR_bonefree_incl_parents_HU</f>
        <v>3.8941155585687361E-10</v>
      </c>
      <c r="R19" s="33">
        <f>'EFP per kg feed'!L161*FCR_bonefree_incl_parents_HU+Excreted_N_after_losses_HU</f>
        <v>4.9707416463464861E-2</v>
      </c>
      <c r="S19" s="11">
        <f>Production!N52*Labour_per_animal_HU</f>
        <v>0.30475685886411918</v>
      </c>
      <c r="T19" s="12">
        <v>4.0175550842976389</v>
      </c>
      <c r="U19">
        <v>102.5</v>
      </c>
    </row>
    <row r="20" spans="1:21" x14ac:dyDescent="0.35">
      <c r="A20" s="13">
        <v>21121</v>
      </c>
      <c r="B20" s="13" t="s">
        <v>79</v>
      </c>
      <c r="C20" s="17" t="s">
        <v>80</v>
      </c>
      <c r="D20" t="s">
        <v>27</v>
      </c>
      <c r="E20" t="s">
        <v>102</v>
      </c>
      <c r="F20" s="12">
        <f>'GHG detailed, results per kg'!G76</f>
        <v>1.3987103274657782</v>
      </c>
      <c r="G20" s="12">
        <f>'GHG detailed, results per kg'!G72</f>
        <v>0.90510556042248769</v>
      </c>
      <c r="H20" s="48">
        <f>'GHG detailed, results per kg'!G73</f>
        <v>9.238180389124262E-4</v>
      </c>
      <c r="I20" s="48">
        <f>'GHG detailed, results per kg'!G74</f>
        <v>2.3114554501315336E-3</v>
      </c>
      <c r="J20" s="48">
        <f>'GHG detailed, results per kg'!G75</f>
        <v>1.4786289096342456E-3</v>
      </c>
      <c r="L20" s="19">
        <f>'EFP per kg feed'!F173*FCR_bonefree_incl_parents_IE</f>
        <v>4.0873593892691229</v>
      </c>
      <c r="M20" s="20">
        <f>'EFP per kg feed'!G173*FCR_bonefree_incl_parents_IE-Manure_repl_factor_IE*Excreted_N_after_losses_IE</f>
        <v>4.4099760053628131E-2</v>
      </c>
      <c r="N20" s="20">
        <f>'EFP per kg feed'!H173*FCR_bonefree_incl_parents_IE</f>
        <v>7.8240708298358327E-3</v>
      </c>
      <c r="O20" s="33">
        <f>'EFP per kg feed'!I173*FCR_bonefree_incl_parents_IE+Water_stables_IE/Bonefree_outof_CW_IE</f>
        <v>1.4883423855141496E-2</v>
      </c>
      <c r="P20" s="33">
        <f>'EFP per kg feed'!J173*FCR_bonefree_incl_parents_IE</f>
        <v>0.99114393711345983</v>
      </c>
      <c r="Q20" s="33">
        <f>'EFP per kg feed'!K173*FCR_bonefree_incl_parents_IE</f>
        <v>4.4076574151776756E-10</v>
      </c>
      <c r="R20" s="33">
        <f>'EFP per kg feed'!L173*FCR_bonefree_incl_parents_IE+Excreted_N_after_losses_IE</f>
        <v>5.469516496056482E-2</v>
      </c>
      <c r="S20" s="11">
        <f>Production!O52*Labour_per_animal_IE</f>
        <v>0.20317123924274613</v>
      </c>
      <c r="T20" s="12">
        <v>4.0181974202978896</v>
      </c>
      <c r="U20">
        <v>40.6</v>
      </c>
    </row>
    <row r="21" spans="1:21" x14ac:dyDescent="0.35">
      <c r="A21" s="52">
        <v>21121</v>
      </c>
      <c r="B21" s="52" t="s">
        <v>79</v>
      </c>
      <c r="C21" s="73" t="s">
        <v>80</v>
      </c>
      <c r="D21" s="119" t="s">
        <v>30</v>
      </c>
      <c r="E21" t="s">
        <v>103</v>
      </c>
      <c r="F21" s="12">
        <f>'GHG detailed, results per kg'!G81</f>
        <v>1.3184302503331922</v>
      </c>
      <c r="G21" s="12">
        <f>'GHG detailed, results per kg'!G77</f>
        <v>0.94113878961121478</v>
      </c>
      <c r="H21" s="48">
        <f>'GHG detailed, results per kg'!G78</f>
        <v>1.9482908510904931E-3</v>
      </c>
      <c r="I21" s="48">
        <f>'GHG detailed, results per kg'!G79</f>
        <v>2.2013861429824129E-3</v>
      </c>
      <c r="J21" s="48">
        <f>'GHG detailed, results per kg'!G80</f>
        <v>9.5162991757859194E-4</v>
      </c>
      <c r="L21" s="19">
        <f>'EFP per kg feed'!F185*FCR_bonefree_incl_parents_IT</f>
        <v>5.1818383147469289</v>
      </c>
      <c r="M21" s="20">
        <f>'EFP per kg feed'!G185*FCR_bonefree_incl_parents_IT-Manure_repl_factor_IT*Excreted_N_after_losses_IT</f>
        <v>5.1948917337710634E-2</v>
      </c>
      <c r="N21" s="20">
        <f>'EFP per kg feed'!H185*FCR_bonefree_incl_parents_IT</f>
        <v>1.2513636711859061E-2</v>
      </c>
      <c r="O21" s="33">
        <f>'EFP per kg feed'!I185*FCR_bonefree_incl_parents_IT+Water_stables_IT/Bonefree_outof_CW_IT</f>
        <v>0.19261166266100527</v>
      </c>
      <c r="P21" s="33">
        <f>'EFP per kg feed'!J185*FCR_bonefree_incl_parents_IT</f>
        <v>0.59106668307558075</v>
      </c>
      <c r="Q21" s="33">
        <f>'EFP per kg feed'!K185*FCR_bonefree_incl_parents_IT</f>
        <v>4.9457643165630463E-9</v>
      </c>
      <c r="R21" s="33">
        <f>'EFP per kg feed'!L185*FCR_bonefree_incl_parents_IT+Excreted_N_after_losses_IT</f>
        <v>3.7695122040076717E-2</v>
      </c>
      <c r="S21" s="11">
        <f>Production!P52*Labour_per_animal_IT</f>
        <v>9.855321306551118E-2</v>
      </c>
      <c r="T21" s="12">
        <v>4.0181974202978896</v>
      </c>
      <c r="U21">
        <v>129.1</v>
      </c>
    </row>
    <row r="22" spans="1:21" x14ac:dyDescent="0.35">
      <c r="A22" s="13">
        <v>21121</v>
      </c>
      <c r="B22" s="13" t="s">
        <v>79</v>
      </c>
      <c r="C22" s="17" t="s">
        <v>80</v>
      </c>
      <c r="D22" t="s">
        <v>104</v>
      </c>
      <c r="E22" t="s">
        <v>105</v>
      </c>
      <c r="F22" s="12">
        <f>'GHG detailed, results per kg'!G86</f>
        <v>1.6461429688289848</v>
      </c>
      <c r="G22" s="12">
        <f>'GHG detailed, results per kg'!G82</f>
        <v>1.0047266558365409</v>
      </c>
      <c r="H22" s="48">
        <f>'GHG detailed, results per kg'!G83</f>
        <v>1.9934817505708876E-3</v>
      </c>
      <c r="I22" s="48">
        <f>'GHG detailed, results per kg'!G84</f>
        <v>2.2013861429824129E-3</v>
      </c>
      <c r="J22" s="48">
        <f>'GHG detailed, results per kg'!G85</f>
        <v>1.9141872929117447E-3</v>
      </c>
      <c r="L22" s="19">
        <f>'EFP per kg feed'!F197*FCR_bonefree_incl_parents_LV</f>
        <v>7.4883006729665098</v>
      </c>
      <c r="M22" s="20">
        <f>'EFP per kg feed'!G197*FCR_bonefree_incl_parents_LV-Manure_repl_factor_LV*Excreted_N_after_losses_LV</f>
        <v>5.584174966959124E-2</v>
      </c>
      <c r="N22" s="20">
        <f>'EFP per kg feed'!H197*FCR_bonefree_incl_parents_LV</f>
        <v>7.1391218882594469E-3</v>
      </c>
      <c r="O22" s="33">
        <f>'EFP per kg feed'!I197*FCR_bonefree_incl_parents_LV+Water_stables_LV/Bonefree_outof_CW_LV</f>
        <v>1.4686064576309036E-2</v>
      </c>
      <c r="P22" s="33">
        <f>'EFP per kg feed'!J197*FCR_bonefree_incl_parents_LV</f>
        <v>0.19032494938319419</v>
      </c>
      <c r="Q22" s="33">
        <f>'EFP per kg feed'!K197*FCR_bonefree_incl_parents_LV</f>
        <v>2.466231179528101E-10</v>
      </c>
      <c r="R22" s="33">
        <f>'EFP per kg feed'!L197*FCR_bonefree_incl_parents_LV+Excreted_N_after_losses_LV</f>
        <v>2.9386731462935148E-2</v>
      </c>
      <c r="S22" s="11">
        <f>Production!Q52*Labour_per_animal_LV</f>
        <v>0.22743049168964116</v>
      </c>
      <c r="T22" s="12"/>
    </row>
    <row r="23" spans="1:21" x14ac:dyDescent="0.35">
      <c r="A23" s="13">
        <v>21121</v>
      </c>
      <c r="B23" s="13" t="s">
        <v>79</v>
      </c>
      <c r="C23" s="17" t="s">
        <v>80</v>
      </c>
      <c r="D23" t="s">
        <v>106</v>
      </c>
      <c r="E23" t="s">
        <v>107</v>
      </c>
      <c r="F23" s="12">
        <f>'GHG detailed, results per kg'!G91</f>
        <v>1.6839321360203192</v>
      </c>
      <c r="G23" s="12">
        <f>'GHG detailed, results per kg'!G87</f>
        <v>1.048896052074419</v>
      </c>
      <c r="H23" s="48">
        <f>'GHG detailed, results per kg'!G88</f>
        <v>1.6311932516947065E-3</v>
      </c>
      <c r="I23" s="48">
        <f>'GHG detailed, results per kg'!G89</f>
        <v>2.2013861429824129E-3</v>
      </c>
      <c r="J23" s="48">
        <f>'GHG detailed, results per kg'!G90</f>
        <v>1.9303630006771888E-3</v>
      </c>
      <c r="L23" s="19">
        <f>'EFP per kg feed'!F209*FCR_bonefree_incl_parents_LT</f>
        <v>8.6015859247540618</v>
      </c>
      <c r="M23" s="20">
        <f>'EFP per kg feed'!G209*FCR_bonefree_incl_parents_LT-Manure_repl_factor_LT*Excreted_N_after_losses_LT</f>
        <v>5.8759056840044288E-2</v>
      </c>
      <c r="N23" s="20">
        <f>'EFP per kg feed'!H209*FCR_bonefree_incl_parents_LT</f>
        <v>7.2175693659412973E-3</v>
      </c>
      <c r="O23" s="33">
        <f>'EFP per kg feed'!I209*FCR_bonefree_incl_parents_LT+Water_stables_LT/Bonefree_outof_CW_LT</f>
        <v>1.4556736663924274E-2</v>
      </c>
      <c r="P23" s="33">
        <f>'EFP per kg feed'!J209*FCR_bonefree_incl_parents_LT</f>
        <v>0.17309923176897091</v>
      </c>
      <c r="Q23" s="33">
        <f>'EFP per kg feed'!K209*FCR_bonefree_incl_parents_LT</f>
        <v>3.2967357286636496E-10</v>
      </c>
      <c r="R23" s="33">
        <f>'EFP per kg feed'!L209*FCR_bonefree_incl_parents_LT+Excreted_N_after_losses_LT</f>
        <v>2.8907773216921208E-2</v>
      </c>
      <c r="S23" s="11">
        <f>Production!R52*Labour_per_animal_LT</f>
        <v>0.23197910152343398</v>
      </c>
      <c r="T23" s="12"/>
    </row>
    <row r="24" spans="1:21" x14ac:dyDescent="0.35">
      <c r="A24" s="13">
        <v>21121</v>
      </c>
      <c r="B24" s="13" t="s">
        <v>79</v>
      </c>
      <c r="C24" s="17" t="s">
        <v>80</v>
      </c>
      <c r="D24" t="s">
        <v>108</v>
      </c>
      <c r="E24" t="s">
        <v>109</v>
      </c>
      <c r="F24" s="12">
        <f>'GHG detailed, results per kg'!G96</f>
        <v>1.7630950729928887</v>
      </c>
      <c r="G24" s="12">
        <f>'GHG detailed, results per kg'!G92</f>
        <v>1.1042139256553085</v>
      </c>
      <c r="H24" s="48">
        <f>'GHG detailed, results per kg'!G93</f>
        <v>1.9325332901096077E-3</v>
      </c>
      <c r="I24" s="48">
        <f>'GHG detailed, results per kg'!G94</f>
        <v>2.2013861429824129E-3</v>
      </c>
      <c r="J24" s="48">
        <f>'GHG detailed, results per kg'!G95</f>
        <v>1.98481402722267E-3</v>
      </c>
      <c r="L24" s="19">
        <f>'EFP per kg feed'!F221*FCR_bonefree_incl_parents_MT</f>
        <v>10.774720651314887</v>
      </c>
      <c r="M24" s="20">
        <f>'EFP per kg feed'!G221*FCR_bonefree_incl_parents_MT-Manure_repl_factor_MT*Excreted_N_after_losses_MT</f>
        <v>5.7416792079413179E-2</v>
      </c>
      <c r="N24" s="20">
        <f>'EFP per kg feed'!H221*FCR_bonefree_incl_parents_MT</f>
        <v>7.6342442729152469E-3</v>
      </c>
      <c r="O24" s="33">
        <f>'EFP per kg feed'!I221*FCR_bonefree_incl_parents_MT+Water_stables_MT/Bonefree_outof_CW_MT</f>
        <v>1.4620401561666482E-2</v>
      </c>
      <c r="P24" s="33">
        <f>'EFP per kg feed'!J221*FCR_bonefree_incl_parents_MT</f>
        <v>0.17823711311703583</v>
      </c>
      <c r="Q24" s="33">
        <f>'EFP per kg feed'!K221*FCR_bonefree_incl_parents_MT</f>
        <v>4.1304521943098953E-10</v>
      </c>
      <c r="R24" s="33">
        <f>'EFP per kg feed'!L221*FCR_bonefree_incl_parents_MT+Excreted_N_after_losses_MT</f>
        <v>2.8644145006727517E-2</v>
      </c>
      <c r="S24" s="11">
        <f>Production!S52*Labour_per_animal_MT</f>
        <v>0.11978005895654435</v>
      </c>
      <c r="T24" s="12"/>
    </row>
    <row r="25" spans="1:21" x14ac:dyDescent="0.35">
      <c r="A25" s="52">
        <v>21121</v>
      </c>
      <c r="B25" s="52" t="s">
        <v>79</v>
      </c>
      <c r="C25" s="73" t="s">
        <v>80</v>
      </c>
      <c r="D25" s="119" t="s">
        <v>20</v>
      </c>
      <c r="E25" t="s">
        <v>110</v>
      </c>
      <c r="F25" s="12">
        <f>'GHG detailed, results per kg'!G101</f>
        <v>1.7895471803834464</v>
      </c>
      <c r="G25" s="12">
        <f>'GHG detailed, results per kg'!G97</f>
        <v>1.131967192468728</v>
      </c>
      <c r="H25" s="48">
        <f>'GHG detailed, results per kg'!G98</f>
        <v>1.5856928529503691E-3</v>
      </c>
      <c r="I25" s="48">
        <f>'GHG detailed, results per kg'!G99</f>
        <v>3.1693197592288259E-3</v>
      </c>
      <c r="J25" s="48">
        <f>'GHG detailed, results per kg'!G100</f>
        <v>1.9221784153758937E-3</v>
      </c>
      <c r="L25" s="19">
        <f>'EFP per kg feed'!F233*FCR_bonefree_incl_parents_NL</f>
        <v>5.125260640462252</v>
      </c>
      <c r="M25" s="20">
        <f>'EFP per kg feed'!G233*FCR_bonefree_incl_parents_NL-Manure_repl_factor_NL*Excreted_N_after_losses_NL</f>
        <v>6.1582344251947099E-2</v>
      </c>
      <c r="N25" s="20">
        <f>'EFP per kg feed'!H233*FCR_bonefree_incl_parents_NL</f>
        <v>1.151563680070015E-2</v>
      </c>
      <c r="O25" s="33">
        <f>'EFP per kg feed'!I233*FCR_bonefree_incl_parents_NL+Water_stables_NL/Bonefree_outof_CW_NL</f>
        <v>2.7587862842527427E-2</v>
      </c>
      <c r="P25" s="33">
        <f>'EFP per kg feed'!J233*FCR_bonefree_incl_parents_NL</f>
        <v>1.4322928834114559</v>
      </c>
      <c r="Q25" s="33">
        <f>'EFP per kg feed'!K233*FCR_bonefree_incl_parents_NL</f>
        <v>5.2214193847712449E-10</v>
      </c>
      <c r="R25" s="33">
        <f>'EFP per kg feed'!L233*FCR_bonefree_incl_parents_NL+Excreted_N_after_losses_NL</f>
        <v>5.9299832156451966E-2</v>
      </c>
      <c r="S25" s="11">
        <f>Production!T52*Labour_per_animal_NL</f>
        <v>0.12736107534619906</v>
      </c>
      <c r="T25" s="12">
        <v>3.9652974110484567</v>
      </c>
      <c r="U25">
        <v>32.1</v>
      </c>
    </row>
    <row r="26" spans="1:21" x14ac:dyDescent="0.35">
      <c r="A26" s="52">
        <v>21121</v>
      </c>
      <c r="B26" s="52" t="s">
        <v>79</v>
      </c>
      <c r="C26" s="73" t="s">
        <v>80</v>
      </c>
      <c r="D26" s="119" t="s">
        <v>19</v>
      </c>
      <c r="E26" t="s">
        <v>111</v>
      </c>
      <c r="F26" s="12">
        <f>'GHG detailed, results per kg'!G106</f>
        <v>2.0362176644441434</v>
      </c>
      <c r="G26" s="12">
        <f>'GHG detailed, results per kg'!G102</f>
        <v>1.3816965219126489</v>
      </c>
      <c r="H26" s="48">
        <f>'GHG detailed, results per kg'!G103</f>
        <v>2.1239648828208497E-3</v>
      </c>
      <c r="I26" s="48">
        <f>'GHG detailed, results per kg'!G104</f>
        <v>3.3020792144736189E-3</v>
      </c>
      <c r="J26" s="48">
        <f>'GHG detailed, results per kg'!G105</f>
        <v>1.839087363489545E-3</v>
      </c>
      <c r="L26" s="19">
        <f>'EFP per kg feed'!F245*FCR_bonefree_incl_parents_PL</f>
        <v>7.0510223239481578</v>
      </c>
      <c r="M26" s="20">
        <f>'EFP per kg feed'!G245*FCR_bonefree_incl_parents_PL-Manure_repl_factor_PL*Excreted_N_after_losses_PL</f>
        <v>5.5335452912070753E-2</v>
      </c>
      <c r="N26" s="20">
        <f>'EFP per kg feed'!H245*FCR_bonefree_incl_parents_PL</f>
        <v>1.0506686777606527E-2</v>
      </c>
      <c r="O26" s="33">
        <f>'EFP per kg feed'!I245*FCR_bonefree_incl_parents_PL+Water_stables_PL/Bonefree_outof_CW_PL</f>
        <v>1.7549217910379257E-2</v>
      </c>
      <c r="P26" s="33">
        <f>'EFP per kg feed'!J245*FCR_bonefree_incl_parents_PL</f>
        <v>0.68914628627154917</v>
      </c>
      <c r="Q26" s="33">
        <f>'EFP per kg feed'!K245*FCR_bonefree_incl_parents_PL</f>
        <v>5.1482480186745822E-10</v>
      </c>
      <c r="R26" s="33">
        <f>'EFP per kg feed'!L245*FCR_bonefree_incl_parents_PL+Excreted_N_after_losses_PL</f>
        <v>4.5305435275347382E-2</v>
      </c>
      <c r="S26" s="11">
        <f>Production!U52*Labour_per_animal_PL</f>
        <v>0.32143509492135952</v>
      </c>
      <c r="T26" s="12">
        <v>4.0175550842976389</v>
      </c>
      <c r="U26">
        <v>134.69999999999999</v>
      </c>
    </row>
    <row r="27" spans="1:21" x14ac:dyDescent="0.35">
      <c r="A27" s="13">
        <v>21121</v>
      </c>
      <c r="B27" s="13" t="s">
        <v>79</v>
      </c>
      <c r="C27" s="17" t="s">
        <v>80</v>
      </c>
      <c r="D27" t="s">
        <v>112</v>
      </c>
      <c r="E27" t="s">
        <v>113</v>
      </c>
      <c r="F27" s="12">
        <f>'GHG detailed, results per kg'!G111</f>
        <v>1.7759507368085936</v>
      </c>
      <c r="G27" s="12">
        <f>'GHG detailed, results per kg'!G107</f>
        <v>1.0590785625923216</v>
      </c>
      <c r="H27" s="48">
        <f>'GHG detailed, results per kg'!G108</f>
        <v>1.5130991985907157E-3</v>
      </c>
      <c r="I27" s="48">
        <f>'GHG detailed, results per kg'!G109</f>
        <v>2.2013861429824129E-3</v>
      </c>
      <c r="J27" s="48">
        <f>'GHG detailed, results per kg'!G110</f>
        <v>2.2430197517866058E-3</v>
      </c>
      <c r="L27" s="19">
        <f>'EFP per kg feed'!F246*FCR_bonefree_incl_parents_PL</f>
        <v>7.1460908602252964</v>
      </c>
      <c r="M27" s="20">
        <f>'EFP per kg feed'!G246*FCR_bonefree_incl_parents_PL-Manure_repl_factor_PL*Excreted_N_after_losses_PL</f>
        <v>4.6311839681239246E-2</v>
      </c>
      <c r="N27" s="20">
        <f>'EFP per kg feed'!H246*FCR_bonefree_incl_parents_PL</f>
        <v>1.0004527204315414E-2</v>
      </c>
      <c r="O27" s="33">
        <f>'EFP per kg feed'!I246*FCR_bonefree_incl_parents_PL+Water_stables_PL/Bonefree_outof_CW_PL</f>
        <v>1.2987012987012986E-2</v>
      </c>
      <c r="P27" s="33">
        <f>'EFP per kg feed'!J246*FCR_bonefree_incl_parents_PL</f>
        <v>3.7159672473171544E-7</v>
      </c>
      <c r="Q27" s="33">
        <f>'EFP per kg feed'!K246*FCR_bonefree_incl_parents_PL</f>
        <v>3.0572459562644889E-15</v>
      </c>
      <c r="R27" s="33">
        <f>'EFP per kg feed'!L246*FCR_bonefree_incl_parents_PL+Excreted_N_after_losses_PL</f>
        <v>4.3438012753296305E-2</v>
      </c>
      <c r="S27" s="11">
        <f>Production!V52*Labour_per_animal_PT</f>
        <v>6.368053767309953E-2</v>
      </c>
      <c r="T27" s="12"/>
    </row>
    <row r="28" spans="1:21" x14ac:dyDescent="0.35">
      <c r="A28" s="13">
        <v>21121</v>
      </c>
      <c r="B28" s="13" t="s">
        <v>79</v>
      </c>
      <c r="C28" s="17" t="s">
        <v>80</v>
      </c>
      <c r="D28" t="s">
        <v>114</v>
      </c>
      <c r="E28" t="s">
        <v>115</v>
      </c>
      <c r="F28" s="12">
        <f>'GHG detailed, results per kg'!G116</f>
        <v>1.3046116571485418</v>
      </c>
      <c r="G28" s="12">
        <f>'GHG detailed, results per kg'!G112</f>
        <v>0.79410434766212834</v>
      </c>
      <c r="H28" s="48">
        <f>'GHG detailed, results per kg'!G113</f>
        <v>7.6706291181248565E-4</v>
      </c>
      <c r="I28" s="48">
        <f>'GHG detailed, results per kg'!G114</f>
        <v>2.2013861429824129E-3</v>
      </c>
      <c r="J28" s="48">
        <f>'GHG detailed, results per kg'!G115</f>
        <v>1.5685399591717068E-3</v>
      </c>
      <c r="L28" s="19">
        <f>'EFP per kg feed'!F269*FCR_bonefree_incl_parents_RO</f>
        <v>9.5783282989405372</v>
      </c>
      <c r="M28" s="20">
        <f>'EFP per kg feed'!G269*FCR_bonefree_incl_parents_RO-Manure_repl_factor_RO*Excreted_N_after_losses_RO</f>
        <v>3.5441919968981675E-2</v>
      </c>
      <c r="N28" s="20">
        <f>'EFP per kg feed'!H269*FCR_bonefree_incl_parents_RO</f>
        <v>6.4312059154011201E-3</v>
      </c>
      <c r="O28" s="33">
        <f>'EFP per kg feed'!I269*FCR_bonefree_incl_parents_RO+Water_stables_RO/Bonefree_outof_CW_RO</f>
        <v>1.3922612210989459E-2</v>
      </c>
      <c r="P28" s="33">
        <f>'EFP per kg feed'!J269*FCR_bonefree_incl_parents_RO</f>
        <v>0.10305746152884816</v>
      </c>
      <c r="Q28" s="33">
        <f>'EFP per kg feed'!K269*FCR_bonefree_incl_parents_RO</f>
        <v>2.0076439842924336E-10</v>
      </c>
      <c r="R28" s="33">
        <f>'EFP per kg feed'!L269*FCR_bonefree_incl_parents_RO+Excreted_N_after_losses_RO</f>
        <v>2.8677813216407812E-2</v>
      </c>
      <c r="S28" s="11">
        <f>Production!W52*Labour_per_animal_RO</f>
        <v>0.42453691782066355</v>
      </c>
      <c r="T28" s="12"/>
    </row>
    <row r="29" spans="1:21" x14ac:dyDescent="0.35">
      <c r="A29" s="13">
        <v>21121</v>
      </c>
      <c r="B29" s="13" t="s">
        <v>79</v>
      </c>
      <c r="C29" s="17" t="s">
        <v>80</v>
      </c>
      <c r="D29" t="s">
        <v>116</v>
      </c>
      <c r="E29" t="s">
        <v>117</v>
      </c>
      <c r="F29" s="12">
        <f>'GHG detailed, results per kg'!G121</f>
        <v>1.4811817504282108</v>
      </c>
      <c r="G29" s="12">
        <f>'GHG detailed, results per kg'!G117</f>
        <v>0.9200587825785318</v>
      </c>
      <c r="H29" s="48">
        <f>'GHG detailed, results per kg'!G118</f>
        <v>1.1282747068985643E-3</v>
      </c>
      <c r="I29" s="48">
        <f>'GHG detailed, results per kg'!G119</f>
        <v>2.2013861429824129E-3</v>
      </c>
      <c r="J29" s="48">
        <f>'GHG detailed, results per kg'!G120</f>
        <v>1.7145163213317823E-3</v>
      </c>
      <c r="L29" s="19">
        <f>'EFP per kg feed'!F281*FCR_bonefree_incl_parents_SK</f>
        <v>10.992647488336871</v>
      </c>
      <c r="M29" s="20">
        <f>'EFP per kg feed'!G281*FCR_bonefree_incl_parents_SK-Manure_repl_factor_SK*Excreted_N_after_losses_SK</f>
        <v>4.3065463727571862E-2</v>
      </c>
      <c r="N29" s="20">
        <f>'EFP per kg feed'!H281*FCR_bonefree_incl_parents_SK</f>
        <v>7.0468091703865835E-3</v>
      </c>
      <c r="O29" s="33">
        <f>'EFP per kg feed'!I281*FCR_bonefree_incl_parents_SK+Water_stables_SK/Bonefree_outof_CW_SK</f>
        <v>1.447249997319356E-2</v>
      </c>
      <c r="P29" s="33">
        <f>'EFP per kg feed'!J281*FCR_bonefree_incl_parents_SK</f>
        <v>0.16453257579517178</v>
      </c>
      <c r="Q29" s="33">
        <f>'EFP per kg feed'!K281*FCR_bonefree_incl_parents_SK</f>
        <v>2.8513121172739961E-10</v>
      </c>
      <c r="R29" s="33">
        <f>'EFP per kg feed'!L281*FCR_bonefree_incl_parents_SK+Excreted_N_after_losses_SK</f>
        <v>2.8895602013132318E-2</v>
      </c>
      <c r="S29" s="11">
        <f>Production!X52*Labour_per_animal_SK</f>
        <v>0.15616893762688694</v>
      </c>
      <c r="T29" s="12"/>
    </row>
    <row r="30" spans="1:21" x14ac:dyDescent="0.35">
      <c r="A30" s="13">
        <v>21121</v>
      </c>
      <c r="B30" s="13" t="s">
        <v>79</v>
      </c>
      <c r="C30" s="17" t="s">
        <v>80</v>
      </c>
      <c r="D30" t="s">
        <v>118</v>
      </c>
      <c r="E30" t="s">
        <v>119</v>
      </c>
      <c r="F30" s="12">
        <f>'GHG detailed, results per kg'!G126</f>
        <v>1.3972174044346231</v>
      </c>
      <c r="G30" s="12">
        <f>'GHG detailed, results per kg'!G122</f>
        <v>0.71718286479737714</v>
      </c>
      <c r="H30" s="48">
        <f>'GHG detailed, results per kg'!G123</f>
        <v>8.6241938703432864E-4</v>
      </c>
      <c r="I30" s="48">
        <f>'GHG detailed, results per kg'!G124</f>
        <v>2.2013861429824129E-3</v>
      </c>
      <c r="J30" s="48">
        <f>'GHG detailed, results per kg'!G125</f>
        <v>2.1791099488758158E-3</v>
      </c>
      <c r="L30" s="19">
        <f>'EFP per kg feed'!F293*FCR_bonefree_incl_parents_SI</f>
        <v>10.598309683643084</v>
      </c>
      <c r="M30" s="20">
        <f>'EFP per kg feed'!G293*FCR_bonefree_incl_parents_SI-Manure_repl_factor_SI*Excreted_N_after_losses_SI</f>
        <v>4.1838404235599189E-2</v>
      </c>
      <c r="N30" s="20">
        <f>'EFP per kg feed'!H293*FCR_bonefree_incl_parents_SI</f>
        <v>6.9792425874096132E-3</v>
      </c>
      <c r="O30" s="33">
        <f>'EFP per kg feed'!I293*FCR_bonefree_incl_parents_SI+Water_stables_SI/Bonefree_outof_CW_SI</f>
        <v>1.3512505602536156E-2</v>
      </c>
      <c r="P30" s="33">
        <f>'EFP per kg feed'!J293*FCR_bonefree_incl_parents_SI</f>
        <v>5.9471498823708377E-2</v>
      </c>
      <c r="Q30" s="33">
        <f>'EFP per kg feed'!K293*FCR_bonefree_incl_parents_SI</f>
        <v>5.374310718913171E-11</v>
      </c>
      <c r="R30" s="33">
        <f>'EFP per kg feed'!L293*FCR_bonefree_incl_parents_SI+Excreted_N_after_losses_SI</f>
        <v>2.8977954639168239E-2</v>
      </c>
      <c r="S30" s="11">
        <f>Production!Y52*Labour_per_animal_SI</f>
        <v>0.45637718665721327</v>
      </c>
      <c r="T30" s="12"/>
    </row>
    <row r="31" spans="1:21" x14ac:dyDescent="0.35">
      <c r="A31" s="52">
        <v>21121</v>
      </c>
      <c r="B31" s="52" t="s">
        <v>79</v>
      </c>
      <c r="C31" s="73" t="s">
        <v>80</v>
      </c>
      <c r="D31" s="119" t="s">
        <v>28</v>
      </c>
      <c r="E31" t="s">
        <v>120</v>
      </c>
      <c r="F31" s="12">
        <f>'GHG detailed, results per kg'!G131</f>
        <v>1.533532930669921</v>
      </c>
      <c r="G31" s="12">
        <f>'GHG detailed, results per kg'!G127</f>
        <v>1.0417050786071167</v>
      </c>
      <c r="H31" s="48">
        <f>'GHG detailed, results per kg'!G128</f>
        <v>1.5090294734024876E-3</v>
      </c>
      <c r="I31" s="48">
        <f>'GHG detailed, results per kg'!G129</f>
        <v>2.9891817315537664E-3</v>
      </c>
      <c r="J31" s="48">
        <f>'GHG detailed, results per kg'!G130</f>
        <v>1.3412119670456355E-3</v>
      </c>
      <c r="L31" s="19">
        <f>'EFP per kg feed'!F305*FCR_bonefree_incl_parents_ES</f>
        <v>7.5137078946604463</v>
      </c>
      <c r="M31" s="20">
        <f>'EFP per kg feed'!G305*FCR_bonefree_incl_parents_ES-Manure_repl_factor_ES*Excreted_N_after_losses_ES</f>
        <v>5.2321449730115488E-2</v>
      </c>
      <c r="N31" s="20">
        <f>'EFP per kg feed'!H305*FCR_bonefree_incl_parents_ES</f>
        <v>1.1865134590449923E-2</v>
      </c>
      <c r="O31" s="33">
        <f>'EFP per kg feed'!I305*FCR_bonefree_incl_parents_ES+Water_stables_ES/Bonefree_outof_CW_ES</f>
        <v>0.65893968124649371</v>
      </c>
      <c r="P31" s="33">
        <f>'EFP per kg feed'!J305*FCR_bonefree_incl_parents_ES</f>
        <v>0.52449158424294329</v>
      </c>
      <c r="Q31" s="33">
        <f>'EFP per kg feed'!K305*FCR_bonefree_incl_parents_ES</f>
        <v>1.1939788374507376E-8</v>
      </c>
      <c r="R31" s="33">
        <f>'EFP per kg feed'!L305*FCR_bonefree_incl_parents_ES+Excreted_N_after_losses_ES</f>
        <v>6.2712674860449374E-2</v>
      </c>
      <c r="S31" s="11">
        <f>Production!Z52*Labour_per_animal_ES</f>
        <v>3.0324065558618822E-2</v>
      </c>
      <c r="T31" s="12">
        <v>4.0175550842976389</v>
      </c>
      <c r="U31">
        <v>95.7</v>
      </c>
    </row>
    <row r="32" spans="1:21" x14ac:dyDescent="0.35">
      <c r="A32" s="52">
        <v>21121</v>
      </c>
      <c r="B32" s="52" t="s">
        <v>79</v>
      </c>
      <c r="C32" s="73" t="s">
        <v>80</v>
      </c>
      <c r="D32" s="37" t="s">
        <v>25</v>
      </c>
      <c r="E32" s="18" t="s">
        <v>121</v>
      </c>
      <c r="F32" s="11">
        <f>'GHG detailed, results per kg'!G136</f>
        <v>1.6703778271990886</v>
      </c>
      <c r="G32" s="12">
        <f>'GHG detailed, results per kg'!G132</f>
        <v>0.96137293425267856</v>
      </c>
      <c r="H32" s="48">
        <f>'GHG detailed, results per kg'!G133</f>
        <v>9.6050213917710605E-4</v>
      </c>
      <c r="I32" s="48">
        <f>'GHG detailed, results per kg'!G134</f>
        <v>2.2013861429824129E-3</v>
      </c>
      <c r="J32" s="48">
        <f>'GHG detailed, results per kg'!G135</f>
        <v>2.2745219902505758E-3</v>
      </c>
      <c r="K32" s="18"/>
      <c r="L32" s="19">
        <f>'EFP per kg feed'!F317*FCR_bonefree_incl_parents_SE</f>
        <v>6.0474278332696754</v>
      </c>
      <c r="M32" s="20">
        <f>'EFP per kg feed'!G317*FCR_bonefree_incl_parents_SE-Manure_repl_factor_SE*Excreted_N_after_losses_SE</f>
        <v>7.836753861316012E-2</v>
      </c>
      <c r="N32" s="20">
        <f>'EFP per kg feed'!H317*FCR_bonefree_incl_parents_SE</f>
        <v>9.1283906588472356E-3</v>
      </c>
      <c r="O32" s="33">
        <f>'EFP per kg feed'!I317*FCR_bonefree_incl_parents_SE+Water_stables_SE/Bonefree_outof_CW_SE</f>
        <v>1.5210233237848887E-2</v>
      </c>
      <c r="P32" s="33">
        <f>'EFP per kg feed'!J317*FCR_bonefree_incl_parents_SE</f>
        <v>0.4999489870327774</v>
      </c>
      <c r="Q32" s="33">
        <f>'EFP per kg feed'!K317*FCR_bonefree_incl_parents_SE</f>
        <v>4.6739435695688283E-10</v>
      </c>
      <c r="R32" s="33">
        <f>'EFP per kg feed'!L317*FCR_bonefree_incl_parents_SE+Excreted_N_after_losses_SE</f>
        <v>3.2095316530379496E-2</v>
      </c>
      <c r="S32" s="11">
        <f>Production!AA52*Labour_per_animal_SE</f>
        <v>6.2164334395168587E-2</v>
      </c>
      <c r="T32" s="12">
        <v>3.2167137523584328</v>
      </c>
      <c r="U32" s="20">
        <v>10.1</v>
      </c>
    </row>
    <row r="33" spans="1:21" x14ac:dyDescent="0.35">
      <c r="A33" s="52">
        <v>21121</v>
      </c>
      <c r="B33" s="52" t="s">
        <v>79</v>
      </c>
      <c r="C33" s="73" t="s">
        <v>80</v>
      </c>
      <c r="D33" s="119" t="s">
        <v>21</v>
      </c>
      <c r="E33" t="s">
        <v>122</v>
      </c>
      <c r="F33" s="12">
        <f>'GHG detailed, results per kg'!G141</f>
        <v>1.824872410262919</v>
      </c>
      <c r="G33" s="12">
        <f>'GHG detailed, results per kg'!G137</f>
        <v>1.1435902604087524</v>
      </c>
      <c r="H33" s="48">
        <f>'GHG detailed, results per kg'!G138</f>
        <v>1.2190320725461298E-3</v>
      </c>
      <c r="I33" s="48">
        <f>'GHG detailed, results per kg'!G139</f>
        <v>2.2013861429824129E-3</v>
      </c>
      <c r="J33" s="48">
        <f>'GHG detailed, results per kg'!G140</f>
        <v>2.1447529971859586E-3</v>
      </c>
      <c r="L33" s="19">
        <f>'EFP per kg feed'!F329*FCR_bonefree_incl_parents_GB</f>
        <v>8.575451799344755</v>
      </c>
      <c r="M33" s="20">
        <f>'EFP per kg feed'!G329*FCR_bonefree_incl_parents_GB-Manure_repl_factor_GB*Excreted_N_after_losses_GB</f>
        <v>7.3266339998383986E-2</v>
      </c>
      <c r="N33" s="20">
        <f>'EFP per kg feed'!H329*FCR_bonefree_incl_parents_GB</f>
        <v>8.9749896304999969E-3</v>
      </c>
      <c r="O33" s="33">
        <f>'EFP per kg feed'!I329*FCR_bonefree_incl_parents_GB+Water_stables_GB/Bonefree_outof_CW_GB</f>
        <v>1.5325818832228512E-2</v>
      </c>
      <c r="P33" s="33">
        <f>'EFP per kg feed'!J329*FCR_bonefree_incl_parents_GB</f>
        <v>0.25920829313243415</v>
      </c>
      <c r="Q33" s="33">
        <f>'EFP per kg feed'!K329*FCR_bonefree_incl_parents_GB</f>
        <v>4.4287036191647821E-10</v>
      </c>
      <c r="R33" s="33">
        <f>'EFP per kg feed'!L329*FCR_bonefree_incl_parents_GB+Excreted_N_after_losses_GB</f>
        <v>2.9588220278222915E-2</v>
      </c>
      <c r="S33" s="12">
        <f>Production!AB52*Labour_per_animal_GB</f>
        <v>8.6423586842063652E-2</v>
      </c>
      <c r="T33" s="5"/>
      <c r="U33">
        <v>29.8</v>
      </c>
    </row>
    <row r="34" spans="1:21" x14ac:dyDescent="0.35">
      <c r="A34" s="13">
        <v>21121</v>
      </c>
      <c r="B34" s="13" t="s">
        <v>79</v>
      </c>
      <c r="C34" s="17" t="s">
        <v>80</v>
      </c>
      <c r="D34" t="s">
        <v>123</v>
      </c>
      <c r="E34" t="s">
        <v>124</v>
      </c>
      <c r="F34" s="12">
        <f>'GHG detailed, results per kg'!G146</f>
        <v>1.9757190225831405</v>
      </c>
      <c r="G34" s="12">
        <f>'GHG detailed, results per kg'!G142</f>
        <v>1.2972924640616945</v>
      </c>
      <c r="H34" s="48">
        <f>'GHG detailed, results per kg'!G143</f>
        <v>1.1640501494362379E-3</v>
      </c>
      <c r="I34" s="48">
        <f>'GHG detailed, results per kg'!G144</f>
        <v>2.2013861429824129E-3</v>
      </c>
      <c r="J34" s="48">
        <f>'GHG detailed, results per kg'!G145</f>
        <v>2.1402946454495259E-3</v>
      </c>
      <c r="L34" s="19">
        <f>'EFP per kg feed'!F341*FCR_bonefree_incl_parents_BR</f>
        <v>8.575451799344755</v>
      </c>
      <c r="M34" s="20">
        <f>'EFP per kg feed'!G341*FCR_bonefree_incl_parents_BR-Manure_repl_factor_BR*Excreted_N_after_losses_BR</f>
        <v>7.3266339998383986E-2</v>
      </c>
      <c r="N34" s="20">
        <f>'EFP per kg feed'!H341*FCR_bonefree_incl_parents_BR</f>
        <v>8.9749896304999969E-3</v>
      </c>
      <c r="O34" s="33">
        <f>'EFP per kg feed'!I341*FCR_bonefree_incl_parents_BR+Water_stables_BR/Bonefree_outof_CW_BR</f>
        <v>1.5325818832228512E-2</v>
      </c>
      <c r="P34" s="33">
        <f>'EFP per kg feed'!J341*FCR_bonefree_incl_parents_BR</f>
        <v>0.25920829313243415</v>
      </c>
      <c r="Q34" s="33">
        <f>'EFP per kg feed'!K341*FCR_bonefree_incl_parents_BR</f>
        <v>4.4287036191647821E-10</v>
      </c>
      <c r="R34" s="33">
        <f>'EFP per kg feed'!L341*FCR_bonefree_incl_parents_BR+Excreted_N_after_losses_BR</f>
        <v>2.9588220278222915E-2</v>
      </c>
      <c r="S34" s="12">
        <f>Production!AC52*Labour_per_animal_BR</f>
        <v>8.6423586842063652E-2</v>
      </c>
      <c r="T34" s="5"/>
    </row>
    <row r="35" spans="1:21" x14ac:dyDescent="0.35">
      <c r="A35" s="13">
        <v>21121</v>
      </c>
      <c r="B35" s="13" t="s">
        <v>79</v>
      </c>
      <c r="C35" s="17" t="s">
        <v>80</v>
      </c>
      <c r="D35" t="s">
        <v>125</v>
      </c>
      <c r="E35" t="s">
        <v>126</v>
      </c>
      <c r="F35" s="12">
        <f>'GHG detailed, results per kg'!G151</f>
        <v>2.0457731895871496</v>
      </c>
      <c r="G35" s="12">
        <f>'GHG detailed, results per kg'!G147</f>
        <v>1.349425631307839</v>
      </c>
      <c r="H35" s="48">
        <f>'GHG detailed, results per kg'!G148</f>
        <v>1.8170867462388453E-3</v>
      </c>
      <c r="I35" s="48">
        <f>'GHG detailed, results per kg'!G149</f>
        <v>2.2013861429824129E-3</v>
      </c>
      <c r="J35" s="48">
        <f>'GHG detailed, results per kg'!G150</f>
        <v>2.1346554849116036E-3</v>
      </c>
      <c r="L35" s="19">
        <f>'EFP per kg feed'!F353*FCR_bonefree_incl_parents_TH</f>
        <v>8.575451799344755</v>
      </c>
      <c r="M35" s="20">
        <f>'EFP per kg feed'!G353*FCR_bonefree_incl_parents_TH-Manure_repl_factor_TH*Excreted_N_after_losses_TH</f>
        <v>7.3266339998383986E-2</v>
      </c>
      <c r="N35" s="20">
        <f>'EFP per kg feed'!H353*FCR_bonefree_incl_parents_TH</f>
        <v>8.9749896304999969E-3</v>
      </c>
      <c r="O35" s="33">
        <f>'EFP per kg feed'!I353*FCR_bonefree_incl_parents_TH+Water_stables_TH/Bonefree_outof_CW_TH</f>
        <v>1.5325818832228512E-2</v>
      </c>
      <c r="P35" s="33">
        <f>'EFP per kg feed'!J353*FCR_bonefree_incl_parents_TH</f>
        <v>0.25920829313243415</v>
      </c>
      <c r="Q35" s="33">
        <f>'EFP per kg feed'!K353*FCR_bonefree_incl_parents_TH</f>
        <v>4.4287036191647821E-10</v>
      </c>
      <c r="R35" s="33">
        <f>'EFP per kg feed'!L353*FCR_bonefree_incl_parents_TH+Excreted_N_after_losses_TH</f>
        <v>2.9588220278222915E-2</v>
      </c>
      <c r="S35" s="12">
        <f>Production!AD52*Labour_per_animal_TH</f>
        <v>8.6423586842063652E-2</v>
      </c>
      <c r="T35" s="5"/>
    </row>
    <row r="36" spans="1:21" x14ac:dyDescent="0.35">
      <c r="A36" s="13">
        <v>21121</v>
      </c>
      <c r="B36" s="13" t="s">
        <v>79</v>
      </c>
      <c r="C36" s="17" t="s">
        <v>80</v>
      </c>
      <c r="D36" t="s">
        <v>127</v>
      </c>
      <c r="E36" t="s">
        <v>128</v>
      </c>
      <c r="F36" s="12">
        <f>'GHG detailed, results per kg'!G156</f>
        <v>2.0214358823853322</v>
      </c>
      <c r="G36" s="12">
        <f>'GHG detailed, results per kg'!G152</f>
        <v>1.3446880244442621</v>
      </c>
      <c r="H36" s="48">
        <f>'GHG detailed, results per kg'!G153</f>
        <v>1.151805921516552E-3</v>
      </c>
      <c r="I36" s="48">
        <f>'GHG detailed, results per kg'!G154</f>
        <v>2.2013861429824129E-3</v>
      </c>
      <c r="J36" s="48">
        <f>'GHG detailed, results per kg'!G155</f>
        <v>2.1354821084957937E-3</v>
      </c>
      <c r="L36" s="19">
        <f>'EFP per kg feed'!F365*FCR_bonefree_incl_parents_US</f>
        <v>8.575451799344755</v>
      </c>
      <c r="M36" s="20">
        <f>'EFP per kg feed'!G365*FCR_bonefree_incl_parents_US-Manure_repl_factor_US*Excreted_N_after_losses_US</f>
        <v>7.3266339998383986E-2</v>
      </c>
      <c r="N36" s="20">
        <f>'EFP per kg feed'!H365*FCR_bonefree_incl_parents_US</f>
        <v>8.9749896304999969E-3</v>
      </c>
      <c r="O36" s="33">
        <f>'EFP per kg feed'!I365*FCR_bonefree_incl_parents_US+Water_stables_US/Bonefree_outof_CW_US</f>
        <v>1.5325818832228512E-2</v>
      </c>
      <c r="P36" s="33">
        <f>'EFP per kg feed'!J365*FCR_bonefree_incl_parents_US</f>
        <v>0.25920829313243415</v>
      </c>
      <c r="Q36" s="33">
        <f>'EFP per kg feed'!K365*FCR_bonefree_incl_parents_US</f>
        <v>4.4287036191647821E-10</v>
      </c>
      <c r="R36" s="33">
        <f>'EFP per kg feed'!L365*FCR_bonefree_incl_parents_US+Excreted_N_after_losses_US</f>
        <v>2.9588220278222915E-2</v>
      </c>
      <c r="S36" s="12">
        <f>Production!AE52*Labour_per_animal_US</f>
        <v>8.6423586842063652E-2</v>
      </c>
      <c r="T36" s="5"/>
    </row>
    <row r="37" spans="1:21" x14ac:dyDescent="0.35">
      <c r="A37" s="13"/>
      <c r="B37" s="13"/>
      <c r="C37" s="17"/>
      <c r="T37"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theme="9" tint="0.59999389629810485"/>
  </sheetPr>
  <dimension ref="A1:AC158"/>
  <sheetViews>
    <sheetView zoomScale="80" zoomScaleNormal="80" workbookViewId="0">
      <selection activeCell="K132" sqref="K132"/>
    </sheetView>
  </sheetViews>
  <sheetFormatPr defaultColWidth="8.81640625" defaultRowHeight="14.5" x14ac:dyDescent="0.35"/>
  <cols>
    <col min="1" max="1" width="8.1796875" style="31" customWidth="1"/>
    <col min="2" max="2" width="22.453125" customWidth="1"/>
    <col min="3" max="3" width="27.453125" customWidth="1"/>
    <col min="4" max="5" width="10.1796875" customWidth="1"/>
    <col min="6" max="6" width="15.1796875" customWidth="1"/>
    <col min="7" max="7" width="9.453125" style="13" customWidth="1"/>
    <col min="8" max="20" width="14.54296875" customWidth="1"/>
    <col min="21" max="22" width="14.54296875" style="9" customWidth="1"/>
    <col min="23" max="24" width="14.54296875" customWidth="1"/>
    <col min="26" max="26" width="16" customWidth="1"/>
    <col min="27" max="27" width="19.453125" customWidth="1"/>
    <col min="29" max="29" width="17.54296875" bestFit="1" customWidth="1"/>
    <col min="30" max="30" width="15.54296875" customWidth="1"/>
  </cols>
  <sheetData>
    <row r="1" spans="1:27" x14ac:dyDescent="0.35">
      <c r="H1" s="224" t="s">
        <v>129</v>
      </c>
    </row>
    <row r="2" spans="1:27" ht="21" x14ac:dyDescent="0.5">
      <c r="A2" s="65" t="s">
        <v>130</v>
      </c>
      <c r="F2" s="48"/>
      <c r="H2" s="224" t="s">
        <v>131</v>
      </c>
    </row>
    <row r="3" spans="1:27" x14ac:dyDescent="0.35">
      <c r="H3" s="224" t="s">
        <v>132</v>
      </c>
      <c r="J3" s="8"/>
      <c r="K3" s="9"/>
      <c r="L3" s="9"/>
      <c r="M3" s="9"/>
      <c r="N3" s="9"/>
      <c r="O3" s="9"/>
      <c r="P3" s="9"/>
      <c r="Q3" s="9"/>
      <c r="R3" s="9"/>
      <c r="S3" s="9"/>
      <c r="T3" s="9"/>
    </row>
    <row r="4" spans="1:27" x14ac:dyDescent="0.35">
      <c r="A4" s="66"/>
      <c r="B4" s="49"/>
      <c r="C4" s="49"/>
      <c r="D4" s="49"/>
      <c r="E4" s="49"/>
      <c r="F4" s="49"/>
      <c r="G4" s="49"/>
      <c r="H4" s="50"/>
      <c r="I4" s="50"/>
      <c r="J4" s="51"/>
      <c r="K4" s="51"/>
      <c r="L4" s="51"/>
      <c r="M4" s="51"/>
      <c r="N4" s="51"/>
      <c r="O4" s="51"/>
      <c r="P4" s="51"/>
      <c r="Q4" s="51"/>
      <c r="R4" s="51"/>
      <c r="S4" s="50" t="s">
        <v>133</v>
      </c>
      <c r="T4" s="50"/>
      <c r="U4" s="62"/>
      <c r="V4" s="62"/>
      <c r="W4" s="51" t="s">
        <v>134</v>
      </c>
      <c r="X4" s="51" t="s">
        <v>135</v>
      </c>
      <c r="Z4" s="50" t="s">
        <v>136</v>
      </c>
      <c r="AA4" s="50"/>
    </row>
    <row r="5" spans="1:27" x14ac:dyDescent="0.35">
      <c r="A5" s="67" t="s">
        <v>47</v>
      </c>
      <c r="B5" s="47"/>
      <c r="C5" s="47"/>
      <c r="D5" s="54"/>
      <c r="E5" s="54"/>
      <c r="F5" s="55"/>
      <c r="G5" s="56" t="s">
        <v>137</v>
      </c>
      <c r="H5" s="56" t="s">
        <v>138</v>
      </c>
      <c r="I5" s="57"/>
      <c r="J5" s="56" t="s">
        <v>139</v>
      </c>
      <c r="K5" s="58"/>
      <c r="L5" s="59" t="s">
        <v>140</v>
      </c>
      <c r="M5" s="58"/>
      <c r="N5" s="58"/>
      <c r="O5" s="58"/>
      <c r="P5" s="59" t="s">
        <v>141</v>
      </c>
      <c r="Q5" s="59" t="s">
        <v>142</v>
      </c>
      <c r="R5" s="59" t="s">
        <v>143</v>
      </c>
      <c r="S5" s="60"/>
      <c r="T5" s="60"/>
      <c r="U5" s="63"/>
      <c r="V5" s="63"/>
      <c r="W5" s="61"/>
      <c r="X5" s="61"/>
      <c r="Z5" s="56"/>
      <c r="AA5" s="56"/>
    </row>
    <row r="6" spans="1:27" ht="58" x14ac:dyDescent="0.35">
      <c r="A6" s="69" t="s">
        <v>144</v>
      </c>
      <c r="B6" s="68" t="s">
        <v>145</v>
      </c>
      <c r="C6" s="68" t="s">
        <v>146</v>
      </c>
      <c r="D6" s="70" t="s">
        <v>62</v>
      </c>
      <c r="E6" s="71" t="s">
        <v>63</v>
      </c>
      <c r="F6" s="70" t="s">
        <v>147</v>
      </c>
      <c r="G6" s="71" t="s">
        <v>148</v>
      </c>
      <c r="H6" s="53" t="s">
        <v>149</v>
      </c>
      <c r="I6" s="53" t="s">
        <v>34</v>
      </c>
      <c r="J6" s="53" t="s">
        <v>150</v>
      </c>
      <c r="K6" s="53" t="s">
        <v>151</v>
      </c>
      <c r="L6" s="53" t="s">
        <v>152</v>
      </c>
      <c r="M6" s="53" t="s">
        <v>153</v>
      </c>
      <c r="N6" s="53" t="s">
        <v>154</v>
      </c>
      <c r="O6" s="53" t="s">
        <v>155</v>
      </c>
      <c r="P6" s="53" t="s">
        <v>156</v>
      </c>
      <c r="Q6" s="53" t="s">
        <v>142</v>
      </c>
      <c r="R6" s="53" t="s">
        <v>39</v>
      </c>
      <c r="S6" s="71" t="s">
        <v>40</v>
      </c>
      <c r="T6" s="71" t="s">
        <v>157</v>
      </c>
      <c r="U6" s="72" t="s">
        <v>158</v>
      </c>
      <c r="V6" s="72" t="s">
        <v>159</v>
      </c>
      <c r="W6" s="53" t="s">
        <v>42</v>
      </c>
      <c r="X6" s="53" t="s">
        <v>43</v>
      </c>
      <c r="Z6" s="71" t="s">
        <v>160</v>
      </c>
      <c r="AA6" s="71" t="s">
        <v>161</v>
      </c>
    </row>
    <row r="7" spans="1:27" x14ac:dyDescent="0.35">
      <c r="A7" s="13" t="s">
        <v>162</v>
      </c>
      <c r="B7" s="13" t="s">
        <v>163</v>
      </c>
      <c r="C7" s="17" t="s">
        <v>164</v>
      </c>
      <c r="D7" s="18" t="s">
        <v>81</v>
      </c>
      <c r="E7" s="18" t="s">
        <v>82</v>
      </c>
      <c r="F7" s="36" t="s">
        <v>165</v>
      </c>
      <c r="G7" s="20">
        <f t="shared" ref="G7:G46" si="0">SUM(H7:X7)</f>
        <v>0.86319394456174492</v>
      </c>
      <c r="H7" s="20">
        <f>'CO2 per kg feed'!G17*FCR_bonefree_incl_parents_AT-Excreted_N_after_losses_AT*Manure_repl_factor_AT*(EF_min_fert_BAT_CO2*Frac_BAT_AT+EF_min_fert_AN_CO2*Frac_AN_AT)</f>
        <v>0.13083499682757491</v>
      </c>
      <c r="I7" s="20">
        <f>'CO2 per kg feed'!H17*FCR_bonefree_incl_parents_AT</f>
        <v>7.5059881713853763E-2</v>
      </c>
      <c r="J7" s="20">
        <f>'CO2 per kg feed'!I17*FCR_bonefree_incl_parents_AT</f>
        <v>0</v>
      </c>
      <c r="K7" s="20"/>
      <c r="L7" s="20">
        <f>'CO2 per kg feed'!K17*FCR_bonefree_incl_parents_AT</f>
        <v>9.7086501314943993E-2</v>
      </c>
      <c r="M7" s="20"/>
      <c r="N7" s="20">
        <f>'CO2 per kg feed'!M17*FCR_bonefree_incl_parents_AT</f>
        <v>1.0897753829183462E-4</v>
      </c>
      <c r="O7" s="20">
        <f>'CO2 per kg feed'!N17*FCR_bonefree_incl_parents_AT</f>
        <v>0.10276168846740018</v>
      </c>
      <c r="P7" s="20">
        <f>'CO2 per kg feed'!O17*FCR_bonefree_incl_parents_AT</f>
        <v>0.10488857153069413</v>
      </c>
      <c r="Q7" s="20">
        <f>'CO2 per kg feed'!P17*FCR_bonefree_incl_parents_AT</f>
        <v>1.6583651853773619E-2</v>
      </c>
      <c r="R7" s="20">
        <f>'CO2 per kg feed'!Q17*FCR_bonefree_incl_parents_AT</f>
        <v>9.7748589812474806E-2</v>
      </c>
      <c r="W7" s="4">
        <f>Energy_stables_AT/Bonefree_outof_CW_AT*(Share_heating_AT*(Share_biofuels_AT*EF_biofuels_CO2+(1-Share_biofuels_AT)*EF_oil_CO2)+(1-Share_heating_AT)*EF_el_CO2_AT)</f>
        <v>8.0709809639672739E-2</v>
      </c>
      <c r="X7" s="12">
        <f>(Energy_slaughter_el_AT*EF_el_CO2_AT+Energy_slaughter_oil_AT*EF_oil_CO2)/Bonefree_outof_CW_AT</f>
        <v>0.15741127586306491</v>
      </c>
    </row>
    <row r="8" spans="1:27" x14ac:dyDescent="0.35">
      <c r="A8" s="13" t="s">
        <v>162</v>
      </c>
      <c r="B8" s="13" t="s">
        <v>163</v>
      </c>
      <c r="C8" s="17" t="s">
        <v>164</v>
      </c>
      <c r="D8" s="18" t="s">
        <v>81</v>
      </c>
      <c r="E8" s="18" t="s">
        <v>82</v>
      </c>
      <c r="F8" s="13" t="s">
        <v>166</v>
      </c>
      <c r="G8" s="20">
        <f t="shared" si="0"/>
        <v>1.0944361722769577E-3</v>
      </c>
      <c r="H8" s="34">
        <f>'CH4 per kg feed'!G17*FCR_bonefree_incl_parents_AT-Excreted_N_after_losses_AT*Manure_repl_factor_AT*(EF_min_fert_BAT_CH4*Frac_BAT_AT+EF_min_fert_AN_CH4*Frac_AN_AT)</f>
        <v>1.4314288445161407E-4</v>
      </c>
      <c r="I8" s="34">
        <f>'CH4 per kg feed'!H17*FCR_bonefree_incl_parents_AT</f>
        <v>2.6409958380800395E-4</v>
      </c>
      <c r="J8" s="34"/>
      <c r="K8" s="34"/>
      <c r="L8" s="34">
        <f>'CH4 per kg feed'!K17*FCR_bonefree_incl_parents_AT</f>
        <v>4.3006046354340974E-5</v>
      </c>
      <c r="M8" s="34"/>
      <c r="N8" s="34">
        <f>'CH4 per kg feed'!M17*FCR_bonefree_incl_parents_AT</f>
        <v>3.6447126221243195E-7</v>
      </c>
      <c r="O8" s="34">
        <f>'CH4 per kg feed'!N17*FCR_bonefree_incl_parents_AT</f>
        <v>4.329983580593599E-5</v>
      </c>
      <c r="P8" s="34">
        <f>'CH4 per kg feed'!O17*FCR_bonefree_incl_parents_AT</f>
        <v>0</v>
      </c>
      <c r="Q8" s="34">
        <f>'CH4 per kg feed'!P17*FCR_bonefree_incl_parents_AT</f>
        <v>5.340378137129696E-5</v>
      </c>
      <c r="R8" s="34">
        <f>'CH4 per kg feed'!Q17*FCR_bonefree_incl_parents_AT</f>
        <v>9.0202499419412971E-5</v>
      </c>
      <c r="W8" s="4">
        <f>Energy_stables_AT/Bonefree_outof_CW_AT*(Share_heating_AT*(Share_biofuels_AT*EF_biofuel_CH4+(1-Share_biofuels_AT)*EF_oil_CH4)+(1-Share_heating_AT)*EF_el_CH4_AT)</f>
        <v>9.034408970003634E-5</v>
      </c>
      <c r="X8" s="12">
        <f>(Energy_slaughter_el_AT*EF_el_CH4_AT+Energy_slaughter_oil_AT*EF_oil_CH4)/Bonefree_outof_CW_AT</f>
        <v>3.665729801041039E-4</v>
      </c>
    </row>
    <row r="9" spans="1:27" x14ac:dyDescent="0.35">
      <c r="A9" s="13" t="s">
        <v>162</v>
      </c>
      <c r="B9" s="13" t="s">
        <v>163</v>
      </c>
      <c r="C9" s="17" t="s">
        <v>164</v>
      </c>
      <c r="D9" s="18" t="s">
        <v>81</v>
      </c>
      <c r="E9" s="18" t="s">
        <v>82</v>
      </c>
      <c r="F9" s="13" t="s">
        <v>167</v>
      </c>
      <c r="G9" s="33">
        <f>SUM(H9:T9)+SUM(W9:X9)</f>
        <v>2.2013861429824129E-3</v>
      </c>
      <c r="H9" s="34"/>
      <c r="I9" s="34"/>
      <c r="J9" s="34"/>
      <c r="K9" s="34"/>
      <c r="L9" s="34"/>
      <c r="M9" s="34"/>
      <c r="N9" s="34"/>
      <c r="O9" s="34"/>
      <c r="P9" s="34"/>
      <c r="Q9" s="34"/>
      <c r="R9" s="34"/>
      <c r="T9" s="48">
        <f>SUM(U9:V9)</f>
        <v>2.2013861429824129E-3</v>
      </c>
      <c r="U9" s="64">
        <f>(Production!B40*(Slaughter_age_AT/365)+SUM(Production!B41:B44))*EF_CH4_manure_AT</f>
        <v>2.2013861429824129E-3</v>
      </c>
      <c r="W9" s="4"/>
      <c r="X9" s="12"/>
    </row>
    <row r="10" spans="1:27" ht="15" thickBot="1" x14ac:dyDescent="0.4">
      <c r="A10" s="13" t="s">
        <v>162</v>
      </c>
      <c r="B10" s="13" t="s">
        <v>163</v>
      </c>
      <c r="C10" s="17" t="s">
        <v>164</v>
      </c>
      <c r="D10" s="18" t="s">
        <v>81</v>
      </c>
      <c r="E10" s="18" t="s">
        <v>82</v>
      </c>
      <c r="F10" s="35" t="s">
        <v>168</v>
      </c>
      <c r="G10" s="33">
        <f>SUM(H10:T10)+SUM(W10:X10)</f>
        <v>2.029394384717562E-3</v>
      </c>
      <c r="H10" s="34">
        <f>'N2O per kg feed'!G17*FCR_bonefree_incl_parents_AT-Excreted_N_after_losses_AT*Manure_repl_factor_AT*(EF_min_fert_BAT_N2O*Frac_BAT_AT+EF_min_fert_AN_N2O*Frac_AN_AT)</f>
        <v>2.6048803845824523E-4</v>
      </c>
      <c r="I10" s="33">
        <f>'N2O per kg feed'!H17*FCR_bonefree_incl_parents_AT</f>
        <v>3.0579951809347831E-6</v>
      </c>
      <c r="J10" s="33">
        <f>'N2O per kg feed'!I17*FCR_bonefree_incl_parents_AT-Excreted_N_after_losses_AT*Manure_repl_factor_AT*EF_N2O_diff_AT</f>
        <v>1.4666534755723394E-3</v>
      </c>
      <c r="K10" s="33">
        <f>J10*EF_indirect_N2O_AT</f>
        <v>1.4666534755723395E-4</v>
      </c>
      <c r="L10" s="33">
        <f>'N2O per kg feed'!K17*FCR_bonefree_incl_parents_AT</f>
        <v>2.6087521428146172E-6</v>
      </c>
      <c r="M10" s="33"/>
      <c r="N10" s="33">
        <f>'N2O per kg feed'!M17*FCR_bonefree_incl_parents_AT</f>
        <v>4.4855072535131631E-9</v>
      </c>
      <c r="O10" s="33">
        <f>'N2O per kg feed'!N17*FCR_bonefree_incl_parents_AT</f>
        <v>3.4942021697457122E-6</v>
      </c>
      <c r="P10" s="33">
        <f>'N2O per kg feed'!O17*FCR_bonefree_incl_parents_AT</f>
        <v>0</v>
      </c>
      <c r="Q10" s="33">
        <f>'N2O per kg feed'!P17*FCR_bonefree_incl_parents_AT</f>
        <v>5.3557562951462428E-6</v>
      </c>
      <c r="R10" s="33">
        <f>'N2O per kg feed'!Q17*FCR_bonefree_incl_parents_AT</f>
        <v>3.430865067005917E-6</v>
      </c>
      <c r="T10" s="48">
        <f>SUM(U10:V10)</f>
        <v>1.2390587072060898E-4</v>
      </c>
      <c r="U10" s="9">
        <f>Excreted_N_per_kg_of_bonefree_meat_AT*EF_N2O_manure_direct_AT*44/28</f>
        <v>4.5919975807215269E-5</v>
      </c>
      <c r="V10" s="64">
        <f>(Excreted_N_per_kg_of_bonefree_meat_AT-U10*28/44)*EF_ammonia_AT*EF_N2O_manure_indirect_AT*44/28</f>
        <v>7.7985894913393708E-5</v>
      </c>
      <c r="W10" s="4">
        <f>Energy_stables_AT/Bonefree_outof_CW_AT*(Share_heating_AT*(Share_biofuels_AT*EF_biofuel_N2O+(1-Share_biofuels_AT)*EF_oil_N2O)+(1-Share_heating_AT)*EF_el_N2O_AT)</f>
        <v>5.9551817709090873E-6</v>
      </c>
      <c r="X10" s="12">
        <f>(Energy_slaughter_el_AT*EF_el_N2O_AT+Energy_slaughter_oil_AT*EF_oil_N2O)/Bonefree_outof_CW_AT</f>
        <v>7.774414275324676E-6</v>
      </c>
    </row>
    <row r="11" spans="1:27" ht="15.5" thickTop="1" thickBot="1" x14ac:dyDescent="0.4">
      <c r="A11" s="172" t="s">
        <v>162</v>
      </c>
      <c r="B11" s="172" t="s">
        <v>163</v>
      </c>
      <c r="C11" s="173" t="s">
        <v>164</v>
      </c>
      <c r="D11" s="174" t="s">
        <v>81</v>
      </c>
      <c r="E11" s="174" t="s">
        <v>82</v>
      </c>
      <c r="F11" s="185" t="s">
        <v>169</v>
      </c>
      <c r="G11" s="326">
        <f>SUM(H11:X11)</f>
        <v>1.5092702353840179</v>
      </c>
      <c r="H11" s="324">
        <f>SUMPRODUCT(H7:H10,'Parameters, general'!$B$13:$B$16)</f>
        <v>0.20621388928333395</v>
      </c>
      <c r="I11" s="324">
        <f>SUMPRODUCT(I7:I10,'Parameters, general'!$B$13:$B$16)</f>
        <v>8.3764881995727486E-2</v>
      </c>
      <c r="J11" s="324">
        <f>SUMPRODUCT(J7:J10,'Parameters, general'!$B$13:$B$16)</f>
        <v>0.40039639883124867</v>
      </c>
      <c r="K11" s="324">
        <f>SUMPRODUCT(K7:K10,'Parameters, general'!$B$13:$B$16)</f>
        <v>4.0039639883124867E-2</v>
      </c>
      <c r="L11" s="324">
        <f>SUMPRODUCT(L7:L10,'Parameters, general'!$B$13:$B$16)</f>
        <v>9.9080270831291742E-2</v>
      </c>
      <c r="M11" s="324">
        <f>SUMPRODUCT(M7:M10,'Parameters, general'!$B$13:$B$16)</f>
        <v>0</v>
      </c>
      <c r="N11" s="324">
        <f>SUMPRODUCT(N7:N10,'Parameters, general'!$B$13:$B$16)</f>
        <v>1.2106332538597419E-4</v>
      </c>
      <c r="O11" s="324">
        <f>SUMPRODUCT(O7:O10,'Parameters, general'!$B$13:$B$16)</f>
        <v>0.10500594076675765</v>
      </c>
      <c r="P11" s="324">
        <f>SUMPRODUCT(P7:P10,'Parameters, general'!$B$13:$B$16)</f>
        <v>0.10488857153069413</v>
      </c>
      <c r="Q11" s="176">
        <f>SUMPRODUCT(Q7:Q10,'Parameters, general'!$B$13:$B$16)</f>
        <v>1.9637206007213193E-2</v>
      </c>
      <c r="R11" s="324">
        <f>SUMPRODUCT(R7:R10,'Parameters, general'!$B$13:$B$16)</f>
        <v>0.10137325045846593</v>
      </c>
      <c r="S11" s="324">
        <f>SUMPRODUCT(S7:S10,'Parameters, general'!$B$13:$B$16)</f>
        <v>0</v>
      </c>
      <c r="T11" s="324">
        <f>SUMPRODUCT(T7:T10,'Parameters, general'!$B$13:$B$16)</f>
        <v>9.3263728567251403E-2</v>
      </c>
      <c r="U11" s="325"/>
      <c r="V11" s="325"/>
      <c r="W11" s="324">
        <f>SUMPRODUCT(W7:W10,'Parameters, general'!$B$13:$B$16)</f>
        <v>8.5027828136192002E-2</v>
      </c>
      <c r="X11" s="324">
        <f>SUMPRODUCT(X7:X10,'Parameters, general'!$B$13:$B$16)</f>
        <v>0.17045756576733084</v>
      </c>
      <c r="Z11" s="115">
        <f>SUM(H11:R11)</f>
        <v>1.1605211129132436</v>
      </c>
      <c r="AA11" s="210">
        <f>'CO2 per kg feed'!F17+'CH4 per kg feed'!F17*CF_GWP_CH4_fossil+'N2O per kg feed'!F17*CF_GWP_N2O</f>
        <v>0.39397498522376806</v>
      </c>
    </row>
    <row r="12" spans="1:27" ht="15" thickTop="1" x14ac:dyDescent="0.35">
      <c r="A12" s="178" t="s">
        <v>162</v>
      </c>
      <c r="B12" s="178" t="s">
        <v>163</v>
      </c>
      <c r="C12" s="179" t="s">
        <v>164</v>
      </c>
      <c r="D12" s="163" t="s">
        <v>83</v>
      </c>
      <c r="E12" s="163" t="s">
        <v>84</v>
      </c>
      <c r="F12" s="180" t="s">
        <v>165</v>
      </c>
      <c r="G12" s="20">
        <f t="shared" si="0"/>
        <v>0.88800536101837024</v>
      </c>
      <c r="H12" s="181">
        <f>'CO2 per kg feed'!G29*FCR_bonefree_incl_parents_BE-Excreted_N_after_losses_BE*Manure_repl_factor_BE*(EF_min_fert_BAT_CO2*Frac_BAT_BE+EF_min_fert_AN_CO2*Frac_AN_BE)</f>
        <v>0.11234189963764518</v>
      </c>
      <c r="I12" s="181">
        <f>'CO2 per kg feed'!H29*FCR_bonefree_incl_parents_BE</f>
        <v>6.4985011821571737E-2</v>
      </c>
      <c r="J12" s="181">
        <f>'CO2 per kg feed'!I29*FCR_bonefree_incl_parents_BE</f>
        <v>0</v>
      </c>
      <c r="K12" s="181"/>
      <c r="L12" s="181">
        <f>'CO2 per kg feed'!K29*FCR_bonefree_incl_parents_BE</f>
        <v>9.4632861248896208E-2</v>
      </c>
      <c r="M12" s="181"/>
      <c r="N12" s="181">
        <f>'CO2 per kg feed'!M29*FCR_bonefree_incl_parents_BE</f>
        <v>1.7872470090651016E-4</v>
      </c>
      <c r="O12" s="181">
        <f>'CO2 per kg feed'!N29*FCR_bonefree_incl_parents_BE</f>
        <v>9.4131804460344276E-2</v>
      </c>
      <c r="P12" s="181">
        <f>'CO2 per kg feed'!O29*FCR_bonefree_incl_parents_BE</f>
        <v>0.15039507061684274</v>
      </c>
      <c r="Q12" s="181">
        <f>'CO2 per kg feed'!P29*FCR_bonefree_incl_parents_BE</f>
        <v>2.4886348970872794E-2</v>
      </c>
      <c r="R12" s="181">
        <f>'CO2 per kg feed'!Q29*FCR_bonefree_incl_parents_BE</f>
        <v>0.14346438038460238</v>
      </c>
      <c r="S12" s="162"/>
      <c r="T12" s="162"/>
      <c r="U12" s="182"/>
      <c r="V12" s="182"/>
      <c r="W12" s="183">
        <f>Energy_stables_BE/Bonefree_outof_CW_BE*(Share_heating_BE*(Share_biofuels_BE*EF_biofuels_CO2+(1-Share_biofuels_BE)*EF_oil_CO2)+(1-Share_heating_BE)*EF_el_CO2_BE)</f>
        <v>7.5477409974090914E-2</v>
      </c>
      <c r="X12" s="184">
        <f>(Energy_slaughter_el_BE*EF_el_CO2_BE+Energy_slaughter_oil_BE*EF_oil_CO2)/Bonefree_outof_CW_BE</f>
        <v>0.12751184920259742</v>
      </c>
    </row>
    <row r="13" spans="1:27" x14ac:dyDescent="0.35">
      <c r="A13" s="13" t="s">
        <v>162</v>
      </c>
      <c r="B13" s="13" t="s">
        <v>163</v>
      </c>
      <c r="C13" s="17" t="s">
        <v>164</v>
      </c>
      <c r="D13" s="18" t="s">
        <v>83</v>
      </c>
      <c r="E13" s="18" t="s">
        <v>84</v>
      </c>
      <c r="F13" s="13" t="s">
        <v>166</v>
      </c>
      <c r="G13" s="33">
        <f t="shared" si="0"/>
        <v>9.2155385115356492E-4</v>
      </c>
      <c r="H13" s="34">
        <f>'CH4 per kg feed'!G29*FCR_bonefree_incl_parents_BE-Excreted_N_after_losses_BE*Manure_repl_factor_BE*(EF_min_fert_BAT_CH4*Frac_BAT_BE+EF_min_fert_AN_CH4*Frac_AN_BE)</f>
        <v>1.2643274177662835E-4</v>
      </c>
      <c r="I13" s="34">
        <f>'CH4 per kg feed'!H29*FCR_bonefree_incl_parents_BE</f>
        <v>2.2865096752034504E-4</v>
      </c>
      <c r="J13" s="34"/>
      <c r="K13" s="34"/>
      <c r="L13" s="34">
        <f>'CH4 per kg feed'!K29*FCR_bonefree_incl_parents_BE</f>
        <v>4.1919166541100886E-5</v>
      </c>
      <c r="M13" s="34"/>
      <c r="N13" s="34">
        <f>'CH4 per kg feed'!M29*FCR_bonefree_incl_parents_BE</f>
        <v>5.9773801417219095E-7</v>
      </c>
      <c r="O13" s="34">
        <f>'CH4 per kg feed'!N29*FCR_bonefree_incl_parents_BE</f>
        <v>4.4063929213999238E-5</v>
      </c>
      <c r="P13" s="34">
        <f>'CH4 per kg feed'!O29*FCR_bonefree_incl_parents_BE</f>
        <v>0</v>
      </c>
      <c r="Q13" s="34">
        <f>'CH4 per kg feed'!P29*FCR_bonefree_incl_parents_BE</f>
        <v>7.897833486750703E-5</v>
      </c>
      <c r="R13" s="34">
        <f>'CH4 per kg feed'!Q29*FCR_bonefree_incl_parents_BE</f>
        <v>1.3397846545899251E-4</v>
      </c>
      <c r="W13" s="4">
        <f>Energy_stables_BE/Bonefree_outof_CW_BE*(Share_heating_BE*(Share_biofuels_BE*EF_biofuel_CH4+(1-Share_biofuels_BE)*EF_oil_CH4)+(1-Share_heating_BE)*EF_el_CH4_BE)</f>
        <v>6.2048516629754533E-5</v>
      </c>
      <c r="X13" s="12">
        <f>(Energy_slaughter_el_BE*EF_el_CH4_BE+Energy_slaughter_oil_BE*EF_oil_CH4)/Bonefree_outof_CW_BE</f>
        <v>2.0488399113106499E-4</v>
      </c>
    </row>
    <row r="14" spans="1:27" x14ac:dyDescent="0.35">
      <c r="A14" s="13" t="s">
        <v>162</v>
      </c>
      <c r="B14" s="13" t="s">
        <v>163</v>
      </c>
      <c r="C14" s="17" t="s">
        <v>164</v>
      </c>
      <c r="D14" s="18" t="s">
        <v>83</v>
      </c>
      <c r="E14" s="18" t="s">
        <v>84</v>
      </c>
      <c r="F14" s="13" t="s">
        <v>167</v>
      </c>
      <c r="G14" s="33">
        <f>SUM(H14:T14)+SUM(W14:X14)</f>
        <v>2.2013861429824129E-3</v>
      </c>
      <c r="H14" s="34"/>
      <c r="I14" s="34"/>
      <c r="J14" s="34"/>
      <c r="K14" s="34"/>
      <c r="L14" s="34"/>
      <c r="M14" s="34"/>
      <c r="N14" s="34"/>
      <c r="O14" s="34"/>
      <c r="P14" s="34"/>
      <c r="Q14" s="34"/>
      <c r="R14" s="34"/>
      <c r="T14" s="48">
        <f>SUM(U14:V14)</f>
        <v>2.2013861429824129E-3</v>
      </c>
      <c r="U14" s="64">
        <f>(Production!C40*(Slaughter_age_BE/365)+SUM(Production!C41:C44))*EF_CH4_manure_BE</f>
        <v>2.2013861429824129E-3</v>
      </c>
      <c r="W14" s="4"/>
      <c r="X14" s="12"/>
    </row>
    <row r="15" spans="1:27" ht="15" thickBot="1" x14ac:dyDescent="0.4">
      <c r="A15" s="13" t="s">
        <v>162</v>
      </c>
      <c r="B15" s="13" t="s">
        <v>163</v>
      </c>
      <c r="C15" s="17" t="s">
        <v>164</v>
      </c>
      <c r="D15" s="18" t="s">
        <v>83</v>
      </c>
      <c r="E15" s="18" t="s">
        <v>84</v>
      </c>
      <c r="F15" s="35" t="s">
        <v>168</v>
      </c>
      <c r="G15" s="33">
        <f>SUM(H15:T15)+SUM(W15:X15)</f>
        <v>1.6894707452596587E-3</v>
      </c>
      <c r="H15" s="34">
        <f>'N2O per kg feed'!G29*FCR_bonefree_incl_parents_BE-Excreted_N_after_losses_BE*Manure_repl_factor_BE*(EF_min_fert_BAT_N2O*Frac_BAT_BE+EF_min_fert_AN_N2O*Frac_AN_BE)</f>
        <v>2.1401142056789535E-4</v>
      </c>
      <c r="I15" s="33">
        <f>'N2O per kg feed'!H29*FCR_bonefree_incl_parents_BE</f>
        <v>2.6475375186566267E-6</v>
      </c>
      <c r="J15" s="33">
        <f>'N2O per kg feed'!I29*FCR_bonefree_incl_parents_BE-Excreted_N_after_losses_BE*Manure_repl_factor_BE*EF_N2O_diff_BE</f>
        <v>1.1989662076524812E-3</v>
      </c>
      <c r="K15" s="33">
        <f>J15*EF_indirect_N2O_BE</f>
        <v>1.1989662076524813E-4</v>
      </c>
      <c r="L15" s="33">
        <f>'N2O per kg feed'!K29*FCR_bonefree_incl_parents_BE</f>
        <v>2.5428218776046922E-6</v>
      </c>
      <c r="M15" s="33"/>
      <c r="N15" s="33">
        <f>'N2O per kg feed'!M29*FCR_bonefree_incl_parents_BE</f>
        <v>7.356295204166754E-9</v>
      </c>
      <c r="O15" s="33">
        <f>'N2O per kg feed'!N29*FCR_bonefree_incl_parents_BE</f>
        <v>3.2306693875671062E-6</v>
      </c>
      <c r="P15" s="33">
        <f>'N2O per kg feed'!O29*FCR_bonefree_incl_parents_BE</f>
        <v>0</v>
      </c>
      <c r="Q15" s="33">
        <f>'N2O per kg feed'!P29*FCR_bonefree_incl_parents_BE</f>
        <v>7.8850901829993247E-6</v>
      </c>
      <c r="R15" s="33">
        <f>'N2O per kg feed'!Q29*FCR_bonefree_incl_parents_BE</f>
        <v>5.0150019025618664E-6</v>
      </c>
      <c r="T15" s="48">
        <f>SUM(U15:V15)</f>
        <v>1.2390587072060898E-4</v>
      </c>
      <c r="U15" s="9">
        <f>Excreted_N_per_kg_of_bonefree_meat_BE*EF_N2O_manure_direct_BE*44/28</f>
        <v>4.5919975807215269E-5</v>
      </c>
      <c r="V15" s="64">
        <f>(Excreted_N_per_kg_of_bonefree_meat_BE-U15*28/44)*EF_ammonia_BE*EF_N2O_manure_indirect_BE*44/28</f>
        <v>7.7985894913393708E-5</v>
      </c>
      <c r="W15" s="4">
        <f>Energy_stables_BE/Bonefree_outof_CW_BE*(Share_heating_BE*(Share_biofuels_BE*EF_biofuel_N2O+(1-Share_biofuels_BE)*EF_oil_N2O)+(1-Share_heating_BE)*EF_el_N2O_BE)</f>
        <v>5.6025831836363606E-6</v>
      </c>
      <c r="X15" s="12">
        <f>(Energy_slaughter_el_BE*EF_el_N2O_BE+Energy_slaughter_oil_BE*EF_oil_N2O)/Bonefree_outof_CW_BE</f>
        <v>5.7595652051948046E-6</v>
      </c>
    </row>
    <row r="16" spans="1:27" ht="15.5" thickTop="1" thickBot="1" x14ac:dyDescent="0.4">
      <c r="A16" s="172" t="s">
        <v>162</v>
      </c>
      <c r="B16" s="172" t="s">
        <v>163</v>
      </c>
      <c r="C16" s="173" t="s">
        <v>164</v>
      </c>
      <c r="D16" s="174" t="s">
        <v>83</v>
      </c>
      <c r="E16" s="174" t="s">
        <v>84</v>
      </c>
      <c r="F16" s="175" t="s">
        <v>169</v>
      </c>
      <c r="G16" s="186">
        <f t="shared" si="0"/>
        <v>1.4361306050991585</v>
      </c>
      <c r="H16" s="176">
        <f>SUMPRODUCT(H12:H15,'Parameters, general'!$B$13:$B$16)</f>
        <v>0.17453471315762414</v>
      </c>
      <c r="I16" s="176">
        <f>SUMPRODUCT(I12:I15,'Parameters, general'!$B$13:$B$16)</f>
        <v>7.2521588396271278E-2</v>
      </c>
      <c r="J16" s="176">
        <f>SUMPRODUCT(J12:J15,'Parameters, general'!$B$13:$B$16)</f>
        <v>0.32731777468912737</v>
      </c>
      <c r="K16" s="176">
        <f>SUMPRODUCT(K12:K15,'Parameters, general'!$B$13:$B$16)</f>
        <v>3.2731777468912739E-2</v>
      </c>
      <c r="L16" s="176">
        <f>SUMPRODUCT(L12:L15,'Parameters, general'!$B$13:$B$16)</f>
        <v>9.6576242784407101E-2</v>
      </c>
      <c r="M16" s="176">
        <f>SUMPRODUCT(M12:M15,'Parameters, general'!$B$13:$B$16)</f>
        <v>0</v>
      </c>
      <c r="N16" s="176">
        <f>SUMPRODUCT(N12:N15,'Parameters, general'!$B$13:$B$16)</f>
        <v>1.9854556231957898E-4</v>
      </c>
      <c r="O16" s="176">
        <f>SUMPRODUCT(O12:O15,'Parameters, general'!$B$13:$B$16)</f>
        <v>9.6326882293727281E-2</v>
      </c>
      <c r="P16" s="176">
        <f>SUMPRODUCT(P12:P15,'Parameters, general'!$B$13:$B$16)</f>
        <v>0.15039507061684274</v>
      </c>
      <c r="Q16" s="176">
        <f>SUMPRODUCT(Q12:Q15,'Parameters, general'!$B$13:$B$16)</f>
        <v>2.9392532969883322E-2</v>
      </c>
      <c r="R16" s="176">
        <f>SUMPRODUCT(R12:R15,'Parameters, general'!$B$13:$B$16)</f>
        <v>0.14882603417467977</v>
      </c>
      <c r="S16" s="176">
        <f>SUMPRODUCT(S12:S15,'Parameters, general'!$B$13:$B$16)</f>
        <v>0</v>
      </c>
      <c r="T16" s="176">
        <f>SUMPRODUCT(T12:T15,'Parameters, general'!$B$13:$B$16)</f>
        <v>9.3263728567251403E-2</v>
      </c>
      <c r="U16" s="177"/>
      <c r="V16" s="177"/>
      <c r="W16" s="176">
        <f>SUMPRODUCT(W12:W15,'Parameters, general'!$B$13:$B$16)</f>
        <v>7.8855960978790329E-2</v>
      </c>
      <c r="X16" s="176">
        <f>SUMPRODUCT(X12:X15,'Parameters, general'!$B$13:$B$16)</f>
        <v>0.13518975343932133</v>
      </c>
      <c r="Z16" s="115">
        <f>SUM(H16:R16)</f>
        <v>1.1288211621137954</v>
      </c>
      <c r="AA16" s="210">
        <f>'CO2 per kg feed'!F29+'CH4 per kg feed'!F29*CF_GWP_CH4_fossil+'N2O per kg feed'!F29*CF_GWP_N2O</f>
        <v>0.38429788040058582</v>
      </c>
    </row>
    <row r="17" spans="1:27" ht="15" thickTop="1" x14ac:dyDescent="0.35">
      <c r="A17" s="13" t="s">
        <v>162</v>
      </c>
      <c r="B17" s="13" t="s">
        <v>163</v>
      </c>
      <c r="C17" s="17" t="s">
        <v>164</v>
      </c>
      <c r="D17" s="18" t="s">
        <v>85</v>
      </c>
      <c r="E17" s="18" t="s">
        <v>86</v>
      </c>
      <c r="F17" s="36" t="s">
        <v>165</v>
      </c>
      <c r="G17" s="20">
        <f t="shared" si="0"/>
        <v>0.88601639983684854</v>
      </c>
      <c r="H17" s="181">
        <f>'CO2 per kg feed'!G41*FCR_bonefree_incl_parents_BG-Excreted_N_after_losses_BG*Manure_repl_factor_BG*(EF_min_fert_BAT_CO2*Frac_BAT_BG+EF_min_fert_AN_CO2*Frac_AN_BG)</f>
        <v>0.10982780701645112</v>
      </c>
      <c r="I17" s="181">
        <f>'CO2 per kg feed'!H41*FCR_bonefree_incl_parents_BG</f>
        <v>7.5047726219283392E-2</v>
      </c>
      <c r="J17" s="181">
        <f>'CO2 per kg feed'!I41*FCR_bonefree_incl_parents_BG</f>
        <v>0</v>
      </c>
      <c r="K17" s="181"/>
      <c r="L17" s="181">
        <f>'CO2 per kg feed'!K41*FCR_bonefree_incl_parents_BG</f>
        <v>9.3347027556034176E-2</v>
      </c>
      <c r="M17" s="181"/>
      <c r="N17" s="181">
        <f>'CO2 per kg feed'!M41*FCR_bonefree_incl_parents_BG</f>
        <v>5.8862769767432596E-5</v>
      </c>
      <c r="O17" s="181">
        <f>'CO2 per kg feed'!N41*FCR_bonefree_incl_parents_BG</f>
        <v>9.9191959408854807E-2</v>
      </c>
      <c r="P17" s="181">
        <f>'CO2 per kg feed'!O41*FCR_bonefree_incl_parents_BG</f>
        <v>5.0937136701452057E-2</v>
      </c>
      <c r="Q17" s="181">
        <f>'CO2 per kg feed'!P41*FCR_bonefree_incl_parents_BG</f>
        <v>5.7702282408779084E-3</v>
      </c>
      <c r="R17" s="181">
        <f>'CO2 per kg feed'!Q41*FCR_bonefree_incl_parents_BG</f>
        <v>4.0653511796346006E-2</v>
      </c>
      <c r="S17" s="162"/>
      <c r="T17" s="162"/>
      <c r="U17" s="182"/>
      <c r="V17" s="182"/>
      <c r="W17" s="183">
        <f>Energy_stables_BG/Bonefree_outof_CW_BG*(Share_heating_BG*(Share_biofuels_BG*EF_biofuels_CO2+(1-Share_biofuels_BG)*EF_oil_CO2)+(1-Share_heating_BG)*EF_el_CO2_BG)</f>
        <v>0.10648486032850905</v>
      </c>
      <c r="X17" s="184">
        <f>(Energy_slaughter_el_BG*EF_el_CO2_BG+Energy_slaughter_oil_BG*EF_oil_CO2)/Bonefree_outof_CW_BG</f>
        <v>0.30469727979927264</v>
      </c>
    </row>
    <row r="18" spans="1:27" x14ac:dyDescent="0.35">
      <c r="A18" s="13" t="s">
        <v>162</v>
      </c>
      <c r="B18" s="13" t="s">
        <v>163</v>
      </c>
      <c r="C18" s="17" t="s">
        <v>164</v>
      </c>
      <c r="D18" s="18" t="s">
        <v>85</v>
      </c>
      <c r="E18" s="18" t="s">
        <v>86</v>
      </c>
      <c r="F18" s="13" t="s">
        <v>166</v>
      </c>
      <c r="G18" s="33">
        <f t="shared" si="0"/>
        <v>8.3549633664460913E-4</v>
      </c>
      <c r="H18" s="34">
        <f>'CH4 per kg feed'!G41*FCR_bonefree_incl_parents_BG-Excreted_N_after_losses_BG*Manure_repl_factor_BG*(EF_min_fert_BAT_CH4*Frac_BAT_BG+EF_min_fert_AN_CH4*Frac_AN_BG)</f>
        <v>1.1149410453660694E-4</v>
      </c>
      <c r="I18" s="34">
        <f>'CH4 per kg feed'!H41*FCR_bonefree_incl_parents_BG</f>
        <v>2.6405681447525637E-4</v>
      </c>
      <c r="J18" s="34"/>
      <c r="K18" s="34"/>
      <c r="L18" s="34">
        <f>'CH4 per kg feed'!K41*FCR_bonefree_incl_parents_BG</f>
        <v>4.134958557309575E-5</v>
      </c>
      <c r="M18" s="34"/>
      <c r="N18" s="34">
        <f>'CH4 per kg feed'!M41*FCR_bonefree_incl_parents_BG</f>
        <v>1.968643110381528E-7</v>
      </c>
      <c r="O18" s="34">
        <f>'CH4 per kg feed'!N41*FCR_bonefree_incl_parents_BG</f>
        <v>3.9342235122961713E-5</v>
      </c>
      <c r="P18" s="34">
        <f>'CH4 per kg feed'!O41*FCR_bonefree_incl_parents_BG</f>
        <v>0</v>
      </c>
      <c r="Q18" s="34">
        <f>'CH4 per kg feed'!P41*FCR_bonefree_incl_parents_BG</f>
        <v>2.0977434446495508E-5</v>
      </c>
      <c r="R18" s="34">
        <f>'CH4 per kg feed'!Q41*FCR_bonefree_incl_parents_BG</f>
        <v>3.4239146768763757E-5</v>
      </c>
      <c r="W18" s="4">
        <f>Energy_stables_BG/Bonefree_outof_CW_BG*(Share_heating_BG*(Share_biofuels_BG*EF_biofuel_CH4+(1-Share_biofuels_BG)*EF_oil_CH4)+(1-Share_heating_BG)*EF_el_CH4_BG)</f>
        <v>7.0524123130754512E-5</v>
      </c>
      <c r="X18" s="12">
        <f>(Energy_slaughter_el_BG*EF_el_CH4_BG+Energy_slaughter_oil_BG*EF_oil_CH4)/Bonefree_outof_CW_BG</f>
        <v>2.533160282796364E-4</v>
      </c>
    </row>
    <row r="19" spans="1:27" x14ac:dyDescent="0.35">
      <c r="A19" s="13" t="s">
        <v>162</v>
      </c>
      <c r="B19" s="13" t="s">
        <v>163</v>
      </c>
      <c r="C19" s="17" t="s">
        <v>164</v>
      </c>
      <c r="D19" s="18" t="s">
        <v>85</v>
      </c>
      <c r="E19" s="18" t="s">
        <v>86</v>
      </c>
      <c r="F19" s="13" t="s">
        <v>167</v>
      </c>
      <c r="G19" s="33">
        <f>SUM(H19:T19)+SUM(W19:X19)</f>
        <v>2.2013861429824129E-3</v>
      </c>
      <c r="H19" s="34"/>
      <c r="I19" s="34"/>
      <c r="J19" s="34"/>
      <c r="K19" s="34"/>
      <c r="L19" s="34"/>
      <c r="M19" s="34"/>
      <c r="N19" s="34"/>
      <c r="O19" s="34"/>
      <c r="P19" s="34"/>
      <c r="Q19" s="34"/>
      <c r="R19" s="34"/>
      <c r="T19" s="48">
        <f>SUM(U19:V19)</f>
        <v>2.2013861429824129E-3</v>
      </c>
      <c r="U19" s="64">
        <f>(Production!D40*(Slaughter_age_BG/365)+SUM(Production!D41:D44))*EF_CH4_manure_BG</f>
        <v>2.2013861429824129E-3</v>
      </c>
      <c r="W19" s="4"/>
      <c r="X19" s="12"/>
    </row>
    <row r="20" spans="1:27" ht="15" thickBot="1" x14ac:dyDescent="0.4">
      <c r="A20" s="13" t="s">
        <v>162</v>
      </c>
      <c r="B20" s="13" t="s">
        <v>163</v>
      </c>
      <c r="C20" s="17" t="s">
        <v>164</v>
      </c>
      <c r="D20" s="18" t="s">
        <v>85</v>
      </c>
      <c r="E20" s="18" t="s">
        <v>86</v>
      </c>
      <c r="F20" s="35" t="s">
        <v>168</v>
      </c>
      <c r="G20" s="33">
        <f>SUM(H20:T20)+SUM(W20:X20)</f>
        <v>1.876094525385115E-3</v>
      </c>
      <c r="H20" s="34">
        <f>'N2O per kg feed'!G41*FCR_bonefree_incl_parents_BG-Excreted_N_after_losses_BG*Manure_repl_factor_BG*(EF_min_fert_BAT_N2O*Frac_BAT_BG+EF_min_fert_AN_N2O*Frac_AN_BG)</f>
        <v>2.2278321142232306E-4</v>
      </c>
      <c r="I20" s="33">
        <f>'N2O per kg feed'!H41*FCR_bonefree_incl_parents_BG</f>
        <v>3.0574999570819158E-6</v>
      </c>
      <c r="J20" s="33">
        <f>'N2O per kg feed'!I41*FCR_bonefree_incl_parents_BG-Excreted_N_after_losses_BG*Manure_repl_factor_BG*EF_N2O_diff_BG</f>
        <v>1.3679738880858819E-3</v>
      </c>
      <c r="K20" s="33">
        <f>J20*EF_indirect_N2O_BG</f>
        <v>1.3679738880858819E-4</v>
      </c>
      <c r="L20" s="33">
        <f>'N2O per kg feed'!K41*FCR_bonefree_incl_parents_BG</f>
        <v>2.508271024951393E-6</v>
      </c>
      <c r="M20" s="33"/>
      <c r="N20" s="33">
        <f>'N2O per kg feed'!M41*FCR_bonefree_incl_parents_BG</f>
        <v>2.4227871623108335E-9</v>
      </c>
      <c r="O20" s="33">
        <f>'N2O per kg feed'!N41*FCR_bonefree_incl_parents_BG</f>
        <v>3.3570713447565726E-6</v>
      </c>
      <c r="P20" s="33">
        <f>'N2O per kg feed'!O41*FCR_bonefree_incl_parents_BG</f>
        <v>0</v>
      </c>
      <c r="Q20" s="33">
        <f>'N2O per kg feed'!P41*FCR_bonefree_incl_parents_BG</f>
        <v>2.1769256744381727E-6</v>
      </c>
      <c r="R20" s="33">
        <f>'N2O per kg feed'!Q41*FCR_bonefree_incl_parents_BG</f>
        <v>1.4690133811408607E-6</v>
      </c>
      <c r="T20" s="48">
        <f>SUM(U20:V20)</f>
        <v>1.2390587072060898E-4</v>
      </c>
      <c r="U20" s="9">
        <f>Excreted_N_per_kg_of_bonefree_meat_BG*EF_N2O_manure_direct_BG*44/28</f>
        <v>4.5919975807215269E-5</v>
      </c>
      <c r="V20" s="64">
        <f>(Excreted_N_per_kg_of_bonefree_meat_BG-U20*28/44)*EF_ammonia_BG*EF_N2O_manure_indirect_BG*44/28</f>
        <v>7.7985894913393708E-5</v>
      </c>
      <c r="W20" s="4">
        <f>Energy_stables_BG/Bonefree_outof_CW_BG*(Share_heating_BG*(Share_biofuels_BG*EF_biofuel_N2O+(1-Share_biofuels_BG)*EF_oil_N2O)+(1-Share_heating_BG)*EF_el_N2O_BG)</f>
        <v>5.7069597054545429E-6</v>
      </c>
      <c r="X20" s="12">
        <f>(Energy_slaughter_el_BG*EF_el_N2O_BG+Energy_slaughter_oil_BG*EF_oil_N2O)/Bonefree_outof_CW_BG</f>
        <v>6.3560024727272729E-6</v>
      </c>
    </row>
    <row r="21" spans="1:27" ht="15.5" thickTop="1" thickBot="1" x14ac:dyDescent="0.4">
      <c r="A21" s="172" t="s">
        <v>162</v>
      </c>
      <c r="B21" s="172" t="s">
        <v>163</v>
      </c>
      <c r="C21" s="173" t="s">
        <v>164</v>
      </c>
      <c r="D21" s="37" t="s">
        <v>85</v>
      </c>
      <c r="E21" s="37" t="s">
        <v>86</v>
      </c>
      <c r="F21" s="175" t="s">
        <v>169</v>
      </c>
      <c r="G21" s="186">
        <f t="shared" si="0"/>
        <v>1.4825254219595194</v>
      </c>
      <c r="H21" s="176">
        <f>SUMPRODUCT(H17:H20,'Parameters, general'!$B$13:$B$16)</f>
        <v>0.17397014804993619</v>
      </c>
      <c r="I21" s="176">
        <f>SUMPRODUCT(I17:I20,'Parameters, general'!$B$13:$B$16)</f>
        <v>8.3751316778929399E-2</v>
      </c>
      <c r="J21" s="176">
        <f>SUMPRODUCT(J17:J20,'Parameters, general'!$B$13:$B$16)</f>
        <v>0.37345687144744577</v>
      </c>
      <c r="K21" s="176">
        <f>SUMPRODUCT(K17:K20,'Parameters, general'!$B$13:$B$16)</f>
        <v>3.7345687144744573E-2</v>
      </c>
      <c r="L21" s="176">
        <f>SUMPRODUCT(L17:L20,'Parameters, general'!$B$13:$B$16)</f>
        <v>9.5264003195924152E-2</v>
      </c>
      <c r="M21" s="176">
        <f>SUMPRODUCT(M17:M20,'Parameters, general'!$B$13:$B$16)</f>
        <v>0</v>
      </c>
      <c r="N21" s="176">
        <f>SUMPRODUCT(N17:N20,'Parameters, general'!$B$13:$B$16)</f>
        <v>6.5390747131680412E-5</v>
      </c>
      <c r="O21" s="176">
        <f>SUMPRODUCT(O17:O20,'Parameters, general'!$B$13:$B$16)</f>
        <v>0.10128083849263762</v>
      </c>
      <c r="P21" s="176">
        <f>SUMPRODUCT(P17:P20,'Parameters, general'!$B$13:$B$16)</f>
        <v>5.0937136701452057E-2</v>
      </c>
      <c r="Q21" s="176">
        <f>SUMPRODUCT(Q17:Q20,'Parameters, general'!$B$13:$B$16)</f>
        <v>6.9896564965050961E-3</v>
      </c>
      <c r="R21" s="176">
        <f>SUMPRODUCT(R17:R20,'Parameters, general'!$B$13:$B$16)</f>
        <v>4.2074879023106616E-2</v>
      </c>
      <c r="S21" s="176">
        <f>SUMPRODUCT(S17:S20,'Parameters, general'!$B$13:$B$16)</f>
        <v>0</v>
      </c>
      <c r="T21" s="176">
        <f>SUMPRODUCT(T17:T20,'Parameters, general'!$B$13:$B$16)</f>
        <v>9.3263728567251403E-2</v>
      </c>
      <c r="U21" s="177"/>
      <c r="V21" s="177"/>
      <c r="W21" s="176">
        <f>SUMPRODUCT(W17:W20,'Parameters, general'!$B$13:$B$16)</f>
        <v>0.11014447919739463</v>
      </c>
      <c r="X21" s="176">
        <f>SUMPRODUCT(X17:X20,'Parameters, general'!$B$13:$B$16)</f>
        <v>0.31398128611706039</v>
      </c>
      <c r="Z21" s="115">
        <f>SUM(H21:R21)</f>
        <v>0.96513592807781301</v>
      </c>
      <c r="AA21" s="210">
        <f>'CO2 per kg feed'!F41+'CH4 per kg feed'!F41*CF_GWP_CH4_fossil+'N2O per kg feed'!F41*CF_GWP_N2O</f>
        <v>0.33432937484060621</v>
      </c>
    </row>
    <row r="22" spans="1:27" ht="15" thickTop="1" x14ac:dyDescent="0.35">
      <c r="A22" s="178" t="s">
        <v>162</v>
      </c>
      <c r="B22" s="178" t="s">
        <v>163</v>
      </c>
      <c r="C22" s="179" t="s">
        <v>164</v>
      </c>
      <c r="D22" s="163" t="s">
        <v>87</v>
      </c>
      <c r="E22" s="163" t="s">
        <v>88</v>
      </c>
      <c r="F22" s="180" t="s">
        <v>165</v>
      </c>
      <c r="G22" s="20">
        <f t="shared" si="0"/>
        <v>1.083244492157039</v>
      </c>
      <c r="H22" s="181">
        <f>'CO2 per kg feed'!G53*FCR_bonefree_incl_parents_HR-Excreted_N_after_losses_HR*Manure_repl_factor_HR*(EF_min_fert_BAT_CO2*Frac_BAT_HR+EF_min_fert_AN_CO2*Frac_AN_HR)</f>
        <v>9.79231644133155E-2</v>
      </c>
      <c r="I22" s="181">
        <f>'CO2 per kg feed'!H53*FCR_bonefree_incl_parents_HR</f>
        <v>7.5806381290030977E-2</v>
      </c>
      <c r="J22" s="181">
        <f>'CO2 per kg feed'!I53*FCR_bonefree_incl_parents_HR</f>
        <v>0</v>
      </c>
      <c r="K22" s="181"/>
      <c r="L22" s="181">
        <f>'CO2 per kg feed'!K53*FCR_bonefree_incl_parents_HR</f>
        <v>0.10456214036092903</v>
      </c>
      <c r="M22" s="181"/>
      <c r="N22" s="181">
        <f>'CO2 per kg feed'!M53*FCR_bonefree_incl_parents_HR</f>
        <v>1.2064376679155618E-4</v>
      </c>
      <c r="O22" s="181">
        <f>'CO2 per kg feed'!N53*FCR_bonefree_incl_parents_HR</f>
        <v>0.10081375982276292</v>
      </c>
      <c r="P22" s="181">
        <f>'CO2 per kg feed'!O53*FCR_bonefree_incl_parents_HR</f>
        <v>0.18375273426209598</v>
      </c>
      <c r="Q22" s="181">
        <f>'CO2 per kg feed'!P53*FCR_bonefree_incl_parents_HR</f>
        <v>2.1123159282483411E-2</v>
      </c>
      <c r="R22" s="181">
        <f>'CO2 per kg feed'!Q53*FCR_bonefree_incl_parents_HR</f>
        <v>0.14757282225750792</v>
      </c>
      <c r="S22" s="162"/>
      <c r="T22" s="162"/>
      <c r="U22" s="182"/>
      <c r="V22" s="182"/>
      <c r="W22" s="183">
        <f>Energy_stables_HR/Bonefree_outof_CW_HR*(Share_heating_HR*(Share_biofuels_HR*EF_biofuels_CO2+(1-Share_biofuels_HR)*EF_oil_CO2)+(1-Share_heating_HR)*EF_el_CO2_HR)</f>
        <v>9.7606409818155465E-2</v>
      </c>
      <c r="X22" s="184">
        <f>(Energy_slaughter_el_HR*EF_el_CO2_HR+Energy_slaughter_oil_HR*EF_oil_CO2)/Bonefree_outof_CW_HR</f>
        <v>0.25396327688296627</v>
      </c>
    </row>
    <row r="23" spans="1:27" x14ac:dyDescent="0.35">
      <c r="A23" s="13" t="s">
        <v>162</v>
      </c>
      <c r="B23" s="13" t="s">
        <v>163</v>
      </c>
      <c r="C23" s="17" t="s">
        <v>164</v>
      </c>
      <c r="D23" s="18" t="s">
        <v>87</v>
      </c>
      <c r="E23" s="18" t="s">
        <v>88</v>
      </c>
      <c r="F23" s="13" t="s">
        <v>166</v>
      </c>
      <c r="G23" s="33">
        <f t="shared" si="0"/>
        <v>1.2461444038142906E-3</v>
      </c>
      <c r="H23" s="34">
        <f>'CH4 per kg feed'!G53*FCR_bonefree_incl_parents_HR-Excreted_N_after_losses_HR*Manure_repl_factor_HR*(EF_min_fert_BAT_CH4*Frac_BAT_HR+EF_min_fert_AN_CH4*Frac_AN_HR)</f>
        <v>9.8346474456508895E-5</v>
      </c>
      <c r="I23" s="34">
        <f>'CH4 per kg feed'!H53*FCR_bonefree_incl_parents_HR</f>
        <v>2.6672615639084982E-4</v>
      </c>
      <c r="J23" s="34"/>
      <c r="K23" s="34"/>
      <c r="L23" s="34">
        <f>'CH4 per kg feed'!K53*FCR_bonefree_incl_parents_HR</f>
        <v>4.631750237536939E-5</v>
      </c>
      <c r="M23" s="34"/>
      <c r="N23" s="34">
        <f>'CH4 per kg feed'!M53*FCR_bonefree_incl_parents_HR</f>
        <v>4.0348852295441693E-7</v>
      </c>
      <c r="O23" s="34">
        <f>'CH4 per kg feed'!N53*FCR_bonefree_incl_parents_HR</f>
        <v>4.4212965450524257E-5</v>
      </c>
      <c r="P23" s="34">
        <f>'CH4 per kg feed'!O53*FCR_bonefree_incl_parents_HR</f>
        <v>0</v>
      </c>
      <c r="Q23" s="34">
        <f>'CH4 per kg feed'!P53*FCR_bonefree_incl_parents_HR</f>
        <v>7.6342233475326903E-5</v>
      </c>
      <c r="R23" s="34">
        <f>'CH4 per kg feed'!Q53*FCR_bonefree_incl_parents_HR</f>
        <v>1.2480357251933933E-4</v>
      </c>
      <c r="W23" s="4">
        <f>Energy_stables_HR/Bonefree_outof_CW_HR*(Share_heating_HR*(Share_biofuels_HR*EF_biofuel_CH4+(1-Share_biofuels_HR)*EF_oil_CH4)+(1-Share_heating_HR)*EF_el_CH4_HR)</f>
        <v>1.1001482556673724E-4</v>
      </c>
      <c r="X23" s="12">
        <f>(Energy_slaughter_el_HR*EF_el_CH4_HR+Energy_slaughter_oil_HR*EF_oil_CH4)/Bonefree_outof_CW_HR</f>
        <v>4.7897718505668054E-4</v>
      </c>
    </row>
    <row r="24" spans="1:27" x14ac:dyDescent="0.35">
      <c r="A24" s="13" t="s">
        <v>162</v>
      </c>
      <c r="B24" s="13" t="s">
        <v>163</v>
      </c>
      <c r="C24" s="17" t="s">
        <v>164</v>
      </c>
      <c r="D24" s="18" t="s">
        <v>87</v>
      </c>
      <c r="E24" s="18" t="s">
        <v>88</v>
      </c>
      <c r="F24" s="13" t="s">
        <v>167</v>
      </c>
      <c r="G24" s="33">
        <f>SUM(H24:T24)+SUM(W24:X24)</f>
        <v>2.2013861429824129E-3</v>
      </c>
      <c r="H24" s="34"/>
      <c r="I24" s="34"/>
      <c r="J24" s="34"/>
      <c r="K24" s="34"/>
      <c r="L24" s="34"/>
      <c r="M24" s="34"/>
      <c r="N24" s="34"/>
      <c r="O24" s="34"/>
      <c r="P24" s="34"/>
      <c r="Q24" s="34"/>
      <c r="R24" s="34"/>
      <c r="T24" s="48">
        <f>SUM(U24:V24)</f>
        <v>2.2013861429824129E-3</v>
      </c>
      <c r="U24" s="64">
        <f>(Production!E40*(Slaughter_age_HR/365)+SUM(Production!E41:E44))*EF_CH4_manure_HR</f>
        <v>2.2013861429824129E-3</v>
      </c>
      <c r="W24" s="4"/>
      <c r="X24" s="12"/>
    </row>
    <row r="25" spans="1:27" ht="15" thickBot="1" x14ac:dyDescent="0.4">
      <c r="A25" s="13" t="s">
        <v>162</v>
      </c>
      <c r="B25" s="13" t="s">
        <v>163</v>
      </c>
      <c r="C25" s="17" t="s">
        <v>164</v>
      </c>
      <c r="D25" s="18" t="s">
        <v>87</v>
      </c>
      <c r="E25" s="18" t="s">
        <v>88</v>
      </c>
      <c r="F25" s="35" t="s">
        <v>168</v>
      </c>
      <c r="G25" s="33">
        <f>SUM(H25:T25)+SUM(W25:X25)</f>
        <v>1.7838884106510884E-3</v>
      </c>
      <c r="H25" s="34">
        <f>'N2O per kg feed'!G53*FCR_bonefree_incl_parents_HR-Excreted_N_after_losses_HR*Manure_repl_factor_HR*(EF_min_fert_BAT_N2O*Frac_BAT_HR+EF_min_fert_AN_N2O*Frac_AN_HR)</f>
        <v>1.9893191758635185E-4</v>
      </c>
      <c r="I25" s="33">
        <f>'N2O per kg feed'!H53*FCR_bonefree_incl_parents_HR</f>
        <v>3.0884081266308921E-6</v>
      </c>
      <c r="J25" s="33">
        <f>'N2O per kg feed'!I53*FCR_bonefree_incl_parents_HR-Excreted_N_after_losses_HR*Manure_repl_factor_HR*EF_N2O_diff_HR</f>
        <v>1.2936077256546631E-3</v>
      </c>
      <c r="K25" s="33">
        <f>J25*EF_indirect_N2O_HR</f>
        <v>1.2936077256546632E-4</v>
      </c>
      <c r="L25" s="33">
        <f>'N2O per kg feed'!K53*FCR_bonefree_incl_parents_HR</f>
        <v>2.8096254786129516E-6</v>
      </c>
      <c r="M25" s="33"/>
      <c r="N25" s="33">
        <f>'N2O per kg feed'!M53*FCR_bonefree_incl_parents_HR</f>
        <v>4.9656883383208371E-9</v>
      </c>
      <c r="O25" s="33">
        <f>'N2O per kg feed'!N53*FCR_bonefree_incl_parents_HR</f>
        <v>3.4466268325058672E-6</v>
      </c>
      <c r="P25" s="33">
        <f>'N2O per kg feed'!O53*FCR_bonefree_incl_parents_HR</f>
        <v>0</v>
      </c>
      <c r="Q25" s="33">
        <f>'N2O per kg feed'!P53*FCR_bonefree_incl_parents_HR</f>
        <v>7.9102138003381213E-6</v>
      </c>
      <c r="R25" s="33">
        <f>'N2O per kg feed'!Q53*FCR_bonefree_incl_parents_HR</f>
        <v>5.3259178290003933E-6</v>
      </c>
      <c r="T25" s="48">
        <f>SUM(U25:V25)</f>
        <v>1.2390587072060898E-4</v>
      </c>
      <c r="U25" s="9">
        <f>Excreted_N_per_kg_of_bonefree_meat_HR*EF_N2O_manure_direct_HR*44/28</f>
        <v>4.5919975807215269E-5</v>
      </c>
      <c r="V25" s="64">
        <f>(Excreted_N_per_kg_of_bonefree_meat_HR-U25*28/44)*EF_ammonia_HR*EF_N2O_manure_indirect_HR*44/28</f>
        <v>7.7985894913393708E-5</v>
      </c>
      <c r="W25" s="4">
        <f>Energy_stables_HR/Bonefree_outof_CW_HR*(Share_heating_HR*(Share_biofuels_HR*EF_biofuel_N2O+(1-Share_biofuels_HR)*EF_oil_N2O)+(1-Share_heating_HR)*EF_el_N2O_HR)</f>
        <v>6.2183177763636333E-6</v>
      </c>
      <c r="X25" s="12">
        <f>(Energy_slaughter_el_HR*EF_el_N2O_HR+Energy_slaughter_oil_HR*EF_oil_N2O)/Bonefree_outof_CW_HR</f>
        <v>9.2780485922077908E-6</v>
      </c>
    </row>
    <row r="26" spans="1:27" ht="15.5" thickTop="1" thickBot="1" x14ac:dyDescent="0.4">
      <c r="A26" s="172" t="s">
        <v>162</v>
      </c>
      <c r="B26" s="172" t="s">
        <v>163</v>
      </c>
      <c r="C26" s="173" t="s">
        <v>164</v>
      </c>
      <c r="D26" s="174" t="s">
        <v>87</v>
      </c>
      <c r="E26" s="174" t="s">
        <v>88</v>
      </c>
      <c r="F26" s="175" t="s">
        <v>169</v>
      </c>
      <c r="G26" s="186">
        <f t="shared" si="0"/>
        <v>1.6668185573589773</v>
      </c>
      <c r="H26" s="176">
        <f>SUMPRODUCT(H22:H25,'Parameters, general'!$B$13:$B$16)</f>
        <v>0.15516230285319352</v>
      </c>
      <c r="I26" s="176">
        <f>SUMPRODUCT(I22:I25,'Parameters, general'!$B$13:$B$16)</f>
        <v>8.4597956169048527E-2</v>
      </c>
      <c r="J26" s="176">
        <f>SUMPRODUCT(J22:J25,'Parameters, general'!$B$13:$B$16)</f>
        <v>0.35315490910372305</v>
      </c>
      <c r="K26" s="176">
        <f>SUMPRODUCT(K22:K25,'Parameters, general'!$B$13:$B$16)</f>
        <v>3.5315490910372303E-2</v>
      </c>
      <c r="L26" s="176">
        <f>SUMPRODUCT(L22:L25,'Parameters, general'!$B$13:$B$16)</f>
        <v>0.10670942968737639</v>
      </c>
      <c r="M26" s="176">
        <f>SUMPRODUCT(M22:M25,'Parameters, general'!$B$13:$B$16)</f>
        <v>0</v>
      </c>
      <c r="N26" s="176">
        <f>SUMPRODUCT(N22:N25,'Parameters, general'!$B$13:$B$16)</f>
        <v>1.340233576919594E-4</v>
      </c>
      <c r="O26" s="176">
        <f>SUMPRODUCT(O22:O25,'Parameters, general'!$B$13:$B$16)</f>
        <v>0.10307223531846264</v>
      </c>
      <c r="P26" s="176">
        <f>SUMPRODUCT(P22:P25,'Parameters, general'!$B$13:$B$16)</f>
        <v>0.18375273426209598</v>
      </c>
      <c r="Q26" s="176">
        <f>SUMPRODUCT(Q22:Q25,'Parameters, general'!$B$13:$B$16)</f>
        <v>2.555764620754046E-2</v>
      </c>
      <c r="R26" s="176">
        <f>SUMPRODUCT(R22:R25,'Parameters, general'!$B$13:$B$16)</f>
        <v>0.15274594428590135</v>
      </c>
      <c r="S26" s="176">
        <f>SUMPRODUCT(S22:S25,'Parameters, general'!$B$13:$B$16)</f>
        <v>0</v>
      </c>
      <c r="T26" s="176">
        <f>SUMPRODUCT(T22:T25,'Parameters, general'!$B$13:$B$16)</f>
        <v>9.3263728567251403E-2</v>
      </c>
      <c r="U26" s="177"/>
      <c r="V26" s="177"/>
      <c r="W26" s="176">
        <f>SUMPRODUCT(W22:W25,'Parameters, general'!$B$13:$B$16)</f>
        <v>0.1025824523729915</v>
      </c>
      <c r="X26" s="176">
        <f>SUMPRODUCT(X22:X25,'Parameters, general'!$B$13:$B$16)</f>
        <v>0.27076970426332808</v>
      </c>
      <c r="Z26" s="115">
        <f>SUM(H26:R26)</f>
        <v>1.2002026721554062</v>
      </c>
      <c r="AA26" s="210">
        <f>'CO2 per kg feed'!F53+'CH4 per kg feed'!F53*CF_GWP_CH4_fossil+'N2O per kg feed'!F53*CF_GWP_N2O</f>
        <v>0.4060886509755901</v>
      </c>
    </row>
    <row r="27" spans="1:27" ht="15" thickTop="1" x14ac:dyDescent="0.35">
      <c r="A27" s="13" t="s">
        <v>162</v>
      </c>
      <c r="B27" s="13" t="s">
        <v>163</v>
      </c>
      <c r="C27" s="17" t="s">
        <v>164</v>
      </c>
      <c r="D27" t="s">
        <v>89</v>
      </c>
      <c r="E27" t="s">
        <v>90</v>
      </c>
      <c r="F27" s="36" t="s">
        <v>165</v>
      </c>
      <c r="G27" s="20">
        <f t="shared" si="0"/>
        <v>1.4349526870645297</v>
      </c>
      <c r="H27" s="181">
        <f>'CO2 per kg feed'!G65*FCR_bonefree_incl_parents_CY-Excreted_N_after_losses_CY*Manure_repl_factor_CY*(EF_min_fert_BAT_CO2*Frac_BAT_CY+EF_min_fert_AN_CO2*Frac_AN_CY)</f>
        <v>0.11546691071496945</v>
      </c>
      <c r="I27" s="181">
        <f>'CO2 per kg feed'!H65*FCR_bonefree_incl_parents_CY</f>
        <v>8.0896502007861637E-2</v>
      </c>
      <c r="J27" s="181">
        <f>'CO2 per kg feed'!I65*FCR_bonefree_incl_parents_CY</f>
        <v>0</v>
      </c>
      <c r="K27" s="181"/>
      <c r="L27" s="181">
        <f>'CO2 per kg feed'!K65*FCR_bonefree_incl_parents_CY</f>
        <v>0.11613902500886134</v>
      </c>
      <c r="M27" s="181"/>
      <c r="N27" s="181">
        <f>'CO2 per kg feed'!M65*FCR_bonefree_incl_parents_CY</f>
        <v>1.1946464342210132E-4</v>
      </c>
      <c r="O27" s="181">
        <f>'CO2 per kg feed'!N65*FCR_bonefree_incl_parents_CY</f>
        <v>0.10696569289053066</v>
      </c>
      <c r="P27" s="181">
        <f>'CO2 per kg feed'!O65*FCR_bonefree_incl_parents_CY</f>
        <v>0.19071164228756185</v>
      </c>
      <c r="Q27" s="181">
        <f>'CO2 per kg feed'!P65*FCR_bonefree_incl_parents_CY</f>
        <v>2.1462888527655943E-2</v>
      </c>
      <c r="R27" s="181">
        <f>'CO2 per kg feed'!Q65*FCR_bonefree_incl_parents_CY</f>
        <v>0.15178766929427695</v>
      </c>
      <c r="S27" s="162"/>
      <c r="T27" s="162"/>
      <c r="U27" s="182"/>
      <c r="V27" s="182"/>
      <c r="W27" s="183">
        <f>Energy_stables_CY/Bonefree_outof_CW_CY*(Share_heating_CY*(Share_biofuels_CY*EF_biofuels_CO2+(1-Share_biofuels_CY)*EF_oil_CO2)+(1-Share_heating_CY)*EF_el_CO2_CY)</f>
        <v>0.14226241907172726</v>
      </c>
      <c r="X27" s="184">
        <f>(Energy_slaughter_el_CY*EF_el_CO2_CY+Energy_slaughter_oil_CY*EF_oil_CO2)/Bonefree_outof_CW_CY</f>
        <v>0.50914047261766238</v>
      </c>
    </row>
    <row r="28" spans="1:27" x14ac:dyDescent="0.35">
      <c r="A28" s="13" t="s">
        <v>162</v>
      </c>
      <c r="B28" s="13" t="s">
        <v>163</v>
      </c>
      <c r="C28" s="17" t="s">
        <v>164</v>
      </c>
      <c r="D28" t="s">
        <v>89</v>
      </c>
      <c r="E28" t="s">
        <v>90</v>
      </c>
      <c r="F28" s="13" t="s">
        <v>166</v>
      </c>
      <c r="G28" s="33">
        <f t="shared" si="0"/>
        <v>2.2274804115728726E-3</v>
      </c>
      <c r="H28" s="34">
        <f>'CH4 per kg feed'!G65*FCR_bonefree_incl_parents_CY-Excreted_N_after_losses_CY*Manure_repl_factor_CY*(EF_min_fert_BAT_CH4*Frac_BAT_CY+EF_min_fert_AN_CH4*Frac_AN_CY)</f>
        <v>1.198852401202143E-4</v>
      </c>
      <c r="I28" s="34">
        <f>'CH4 per kg feed'!H65*FCR_bonefree_incl_parents_CY</f>
        <v>2.8463584039803164E-4</v>
      </c>
      <c r="J28" s="34"/>
      <c r="K28" s="34"/>
      <c r="L28" s="34">
        <f>'CH4 per kg feed'!K65*FCR_bonefree_incl_parents_CY</f>
        <v>5.1445671905268802E-5</v>
      </c>
      <c r="M28" s="34"/>
      <c r="N28" s="34">
        <f>'CH4 per kg feed'!M65*FCR_bonefree_incl_parents_CY</f>
        <v>3.9954498936478367E-7</v>
      </c>
      <c r="O28" s="34">
        <f>'CH4 per kg feed'!N65*FCR_bonefree_incl_parents_CY</f>
        <v>4.6453766250358442E-5</v>
      </c>
      <c r="P28" s="34">
        <f>'CH4 per kg feed'!O65*FCR_bonefree_incl_parents_CY</f>
        <v>0</v>
      </c>
      <c r="Q28" s="34">
        <f>'CH4 per kg feed'!P65*FCR_bonefree_incl_parents_CY</f>
        <v>7.823423372849478E-5</v>
      </c>
      <c r="R28" s="34">
        <f>'CH4 per kg feed'!Q65*FCR_bonefree_incl_parents_CY</f>
        <v>1.2760188029951373E-4</v>
      </c>
      <c r="W28" s="4">
        <f>Energy_stables_CY/Bonefree_outof_CW_CY*(Share_heating_CY*(Share_biofuels_CY*EF_biofuel_CH4+(1-Share_biofuels_CY)*EF_oil_CH4)+(1-Share_heating_CY)*EF_el_CH4_CY)</f>
        <v>2.4850047583923625E-4</v>
      </c>
      <c r="X28" s="12">
        <f>(Energy_slaughter_el_CY*EF_el_CH4_CY+Energy_slaughter_oil_CY*EF_oil_CH4)/Bonefree_outof_CW_CY</f>
        <v>1.2703237580423898E-3</v>
      </c>
    </row>
    <row r="29" spans="1:27" x14ac:dyDescent="0.35">
      <c r="A29" s="13" t="s">
        <v>162</v>
      </c>
      <c r="B29" s="13" t="s">
        <v>163</v>
      </c>
      <c r="C29" s="17" t="s">
        <v>164</v>
      </c>
      <c r="D29" t="s">
        <v>89</v>
      </c>
      <c r="E29" t="s">
        <v>90</v>
      </c>
      <c r="F29" s="13" t="s">
        <v>167</v>
      </c>
      <c r="G29" s="33">
        <f>SUM(H29:T29)+SUM(W29:X29)</f>
        <v>2.2013861429824129E-3</v>
      </c>
      <c r="H29" s="34"/>
      <c r="I29" s="34"/>
      <c r="J29" s="34"/>
      <c r="K29" s="34"/>
      <c r="L29" s="34"/>
      <c r="M29" s="34"/>
      <c r="N29" s="34"/>
      <c r="O29" s="34"/>
      <c r="P29" s="34"/>
      <c r="Q29" s="34"/>
      <c r="R29" s="34"/>
      <c r="T29" s="48">
        <f>SUM(U29:V29)</f>
        <v>2.2013861429824129E-3</v>
      </c>
      <c r="U29" s="64">
        <f>(Production!F40*(Slaughter_age_CY/365)+SUM(Production!F41:F44))*EF_CH4_manure_CY</f>
        <v>2.2013861429824129E-3</v>
      </c>
      <c r="W29" s="4"/>
      <c r="X29" s="12"/>
    </row>
    <row r="30" spans="1:27" ht="15" thickBot="1" x14ac:dyDescent="0.4">
      <c r="A30" s="13" t="s">
        <v>162</v>
      </c>
      <c r="B30" s="13" t="s">
        <v>163</v>
      </c>
      <c r="C30" s="17" t="s">
        <v>164</v>
      </c>
      <c r="D30" t="s">
        <v>89</v>
      </c>
      <c r="E30" t="s">
        <v>90</v>
      </c>
      <c r="F30" s="35" t="s">
        <v>168</v>
      </c>
      <c r="G30" s="33">
        <f>SUM(H30:T30)+SUM(W30:X30)</f>
        <v>2.0664835435585888E-3</v>
      </c>
      <c r="H30" s="34">
        <f>'N2O per kg feed'!G65*FCR_bonefree_incl_parents_CY-Excreted_N_after_losses_CY*Manure_repl_factor_CY*(EF_min_fert_BAT_N2O*Frac_BAT_CY+EF_min_fert_AN_N2O*Frac_AN_CY)</f>
        <v>2.3678800333706309E-4</v>
      </c>
      <c r="I30" s="33">
        <f>'N2O per kg feed'!H65*FCR_bonefree_incl_parents_CY</f>
        <v>3.2957834151351034E-6</v>
      </c>
      <c r="J30" s="33">
        <f>'N2O per kg feed'!I65*FCR_bonefree_incl_parents_CY-Excreted_N_after_losses_CY*Manure_repl_factor_CY*EF_N2O_diff_CY</f>
        <v>1.4962031776282554E-3</v>
      </c>
      <c r="K30" s="33">
        <f>J30*EF_indirect_N2O_CY</f>
        <v>1.4962031776282554E-4</v>
      </c>
      <c r="L30" s="33">
        <f>'N2O per kg feed'!K65*FCR_bonefree_incl_parents_CY</f>
        <v>3.1207008827460116E-6</v>
      </c>
      <c r="M30" s="33"/>
      <c r="N30" s="33">
        <f>'N2O per kg feed'!M65*FCR_bonefree_incl_parents_CY</f>
        <v>4.9171557094013505E-9</v>
      </c>
      <c r="O30" s="33">
        <f>'N2O per kg feed'!N65*FCR_bonefree_incl_parents_CY</f>
        <v>3.6539780919665001E-6</v>
      </c>
      <c r="P30" s="33">
        <f>'N2O per kg feed'!O65*FCR_bonefree_incl_parents_CY</f>
        <v>0</v>
      </c>
      <c r="Q30" s="33">
        <f>'N2O per kg feed'!P65*FCR_bonefree_incl_parents_CY</f>
        <v>8.1243206846398152E-6</v>
      </c>
      <c r="R30" s="33">
        <f>'N2O per kg feed'!Q65*FCR_bonefree_incl_parents_CY</f>
        <v>5.4878839027559352E-6</v>
      </c>
      <c r="T30" s="48">
        <f>SUM(U30:V30)</f>
        <v>1.2390587072060898E-4</v>
      </c>
      <c r="U30" s="9">
        <f>Excreted_N_per_kg_of_bonefree_meat_CY*EF_N2O_manure_direct_CY*44/28</f>
        <v>4.5919975807215269E-5</v>
      </c>
      <c r="V30" s="64">
        <f>(Excreted_N_per_kg_of_bonefree_meat_CY-U30*28/44)*EF_ammonia_CY*EF_N2O_manure_indirect_CY*44/28</f>
        <v>7.7985894913393708E-5</v>
      </c>
      <c r="W30" s="4">
        <f>Energy_stables_CY/Bonefree_outof_CW_CY*(Share_heating_CY*(Share_biofuels_CY*EF_biofuel_N2O+(1-Share_biofuels_CY)*EF_oil_N2O)+(1-Share_heating_CY)*EF_el_N2O_CY)</f>
        <v>9.3135425690909049E-6</v>
      </c>
      <c r="X30" s="12">
        <f>(Energy_slaughter_el_CY*EF_el_N2O_CY+Energy_slaughter_oil_CY*EF_oil_N2O)/Bonefree_outof_CW_CY</f>
        <v>2.696504740779221E-5</v>
      </c>
    </row>
    <row r="31" spans="1:27" ht="15.5" thickTop="1" thickBot="1" x14ac:dyDescent="0.4">
      <c r="A31" s="172" t="s">
        <v>162</v>
      </c>
      <c r="B31" s="172" t="s">
        <v>163</v>
      </c>
      <c r="C31" s="173" t="s">
        <v>164</v>
      </c>
      <c r="D31" s="174" t="s">
        <v>89</v>
      </c>
      <c r="E31" s="174" t="s">
        <v>90</v>
      </c>
      <c r="F31" s="185" t="s">
        <v>169</v>
      </c>
      <c r="G31" s="186">
        <f t="shared" si="0"/>
        <v>2.1249190365814208</v>
      </c>
      <c r="H31" s="176">
        <f>SUMPRODUCT(H27:H30,'Parameters, general'!$B$13:$B$16)</f>
        <v>0.18368261578157005</v>
      </c>
      <c r="I31" s="176">
        <f>SUMPRODUCT(I27:I30,'Parameters, general'!$B$13:$B$16)</f>
        <v>9.0278398924054856E-2</v>
      </c>
      <c r="J31" s="176">
        <f>SUMPRODUCT(J27:J30,'Parameters, general'!$B$13:$B$16)</f>
        <v>0.40846346749251372</v>
      </c>
      <c r="K31" s="176">
        <f>SUMPRODUCT(K27:K30,'Parameters, general'!$B$13:$B$16)</f>
        <v>4.0846346749251375E-2</v>
      </c>
      <c r="L31" s="176">
        <f>SUMPRODUCT(L27:L30,'Parameters, general'!$B$13:$B$16)</f>
        <v>0.118524057372628</v>
      </c>
      <c r="M31" s="176">
        <f>SUMPRODUCT(M27:M30,'Parameters, general'!$B$13:$B$16)</f>
        <v>0</v>
      </c>
      <c r="N31" s="176">
        <f>SUMPRODUCT(N27:N30,'Parameters, general'!$B$13:$B$16)</f>
        <v>1.3271346761383845E-4</v>
      </c>
      <c r="O31" s="176">
        <f>SUMPRODUCT(O27:O30,'Parameters, general'!$B$13:$B$16)</f>
        <v>0.1093475511438982</v>
      </c>
      <c r="P31" s="176">
        <f>SUMPRODUCT(P27:P30,'Parameters, general'!$B$13:$B$16)</f>
        <v>0.19071164228756185</v>
      </c>
      <c r="Q31" s="176">
        <f>SUMPRODUCT(Q27:Q30,'Parameters, general'!$B$13:$B$16)</f>
        <v>2.6012208239671757E-2</v>
      </c>
      <c r="R31" s="176">
        <f>SUMPRODUCT(R27:R30,'Parameters, general'!$B$13:$B$16)</f>
        <v>0.15708839763265484</v>
      </c>
      <c r="S31" s="176">
        <f>SUMPRODUCT(S27:S30,'Parameters, general'!$B$13:$B$16)</f>
        <v>0</v>
      </c>
      <c r="T31" s="176">
        <f>SUMPRODUCT(T27:T30,'Parameters, general'!$B$13:$B$16)</f>
        <v>9.3263728567251403E-2</v>
      </c>
      <c r="U31" s="177"/>
      <c r="V31" s="177"/>
      <c r="W31" s="176">
        <f>SUMPRODUCT(W27:W30,'Parameters, general'!$B$13:$B$16)</f>
        <v>0.15221033037309833</v>
      </c>
      <c r="X31" s="176">
        <f>SUMPRODUCT(X27:X30,'Parameters, general'!$B$13:$B$16)</f>
        <v>0.55435757854965284</v>
      </c>
      <c r="Z31" s="115">
        <f>SUM(H31:R31)</f>
        <v>1.3250873990914183</v>
      </c>
      <c r="AA31" s="210">
        <f>'CO2 per kg feed'!F65+'CH4 per kg feed'!F65*CF_GWP_CH4_fossil+'N2O per kg feed'!F65*CF_GWP_N2O</f>
        <v>0.44421245126222375</v>
      </c>
    </row>
    <row r="32" spans="1:27" ht="15" thickTop="1" x14ac:dyDescent="0.35">
      <c r="A32" s="13" t="s">
        <v>162</v>
      </c>
      <c r="B32" s="13" t="s">
        <v>163</v>
      </c>
      <c r="C32" s="17" t="s">
        <v>164</v>
      </c>
      <c r="D32" s="18" t="s">
        <v>170</v>
      </c>
      <c r="E32" s="18" t="s">
        <v>92</v>
      </c>
      <c r="F32" s="36" t="s">
        <v>165</v>
      </c>
      <c r="G32" s="20">
        <f t="shared" si="0"/>
        <v>1.0963772803051568</v>
      </c>
      <c r="H32" s="181">
        <f>'CO2 per kg feed'!G77*FCR_bonefree_incl_parents_CZ-Excreted_N_after_losses_CZ*Manure_repl_factor_CZ*(EF_min_fert_BAT_CO2*Frac_BAT_CZ+EF_min_fert_AN_CO2*Frac_AN_CZ)</f>
        <v>0.13956817919240025</v>
      </c>
      <c r="I32" s="181">
        <f>'CO2 per kg feed'!H77*FCR_bonefree_incl_parents_CZ</f>
        <v>7.6633971660064346E-2</v>
      </c>
      <c r="J32" s="181">
        <f>'CO2 per kg feed'!I77*FCR_bonefree_incl_parents_CZ</f>
        <v>0</v>
      </c>
      <c r="K32" s="181"/>
      <c r="L32" s="181">
        <f>'CO2 per kg feed'!K77*FCR_bonefree_incl_parents_CZ</f>
        <v>0.10137571866323035</v>
      </c>
      <c r="M32" s="181"/>
      <c r="N32" s="181">
        <f>'CO2 per kg feed'!M77*FCR_bonefree_incl_parents_CZ</f>
        <v>9.458697843893574E-5</v>
      </c>
      <c r="O32" s="181">
        <f>'CO2 per kg feed'!N77*FCR_bonefree_incl_parents_CZ</f>
        <v>0.1036969140996253</v>
      </c>
      <c r="P32" s="181">
        <f>'CO2 per kg feed'!O77*FCR_bonefree_incl_parents_CZ</f>
        <v>9.6596329623319058E-2</v>
      </c>
      <c r="Q32" s="181">
        <f>'CO2 per kg feed'!P77*FCR_bonefree_incl_parents_CZ</f>
        <v>1.4559289524406835E-2</v>
      </c>
      <c r="R32" s="181">
        <f>'CO2 per kg feed'!Q77*FCR_bonefree_incl_parents_CZ</f>
        <v>8.7891448359209354E-2</v>
      </c>
      <c r="S32" s="162"/>
      <c r="T32" s="162"/>
      <c r="U32" s="182"/>
      <c r="V32" s="182"/>
      <c r="W32" s="183">
        <f>Energy_stables_CZ/Bonefree_outof_CW_CZ*(Share_heating_CZ*(Share_biofuels_CZ*EF_biofuels_CO2+(1-Share_biofuels_CZ)*EF_oil_CO2)+(1-Share_heating_CZ)*EF_el_CO2_CZ)</f>
        <v>0.11613275212716363</v>
      </c>
      <c r="X32" s="184">
        <f>(Energy_slaughter_el_CZ*EF_el_CO2_CZ+Energy_slaughter_oil_CZ*EF_oil_CO2)/Bonefree_outof_CW_CZ</f>
        <v>0.35982809007729871</v>
      </c>
      <c r="Z32" s="20"/>
      <c r="AA32" s="20"/>
    </row>
    <row r="33" spans="1:27" x14ac:dyDescent="0.35">
      <c r="A33" s="13" t="s">
        <v>162</v>
      </c>
      <c r="B33" s="13" t="s">
        <v>163</v>
      </c>
      <c r="C33" s="17" t="s">
        <v>164</v>
      </c>
      <c r="D33" s="18" t="s">
        <v>170</v>
      </c>
      <c r="E33" s="18" t="s">
        <v>92</v>
      </c>
      <c r="F33" s="13" t="s">
        <v>166</v>
      </c>
      <c r="G33" s="33">
        <f t="shared" si="0"/>
        <v>1.1323231933800012E-3</v>
      </c>
      <c r="H33" s="34">
        <f>'CH4 per kg feed'!G77*FCR_bonefree_incl_parents_CZ-Excreted_N_after_losses_CZ*Manure_repl_factor_CZ*(EF_min_fert_BAT_CH4*Frac_BAT_CZ+EF_min_fert_AN_CH4*Frac_AN_CZ)</f>
        <v>1.5253780209775779E-4</v>
      </c>
      <c r="I33" s="34">
        <f>'CH4 per kg feed'!H77*FCR_bonefree_incl_parents_CZ</f>
        <v>2.6963804843355978E-4</v>
      </c>
      <c r="J33" s="34"/>
      <c r="K33" s="34"/>
      <c r="L33" s="34">
        <f>'CH4 per kg feed'!K77*FCR_bonefree_incl_parents_CZ</f>
        <v>4.4906025008488376E-5</v>
      </c>
      <c r="M33" s="34"/>
      <c r="N33" s="34">
        <f>'CH4 per kg feed'!M77*FCR_bonefree_incl_parents_CZ</f>
        <v>3.1634257812081672E-7</v>
      </c>
      <c r="O33" s="34">
        <f>'CH4 per kg feed'!N77*FCR_bonefree_incl_parents_CZ</f>
        <v>4.2889332471538814E-5</v>
      </c>
      <c r="P33" s="34">
        <f>'CH4 per kg feed'!O77*FCR_bonefree_incl_parents_CZ</f>
        <v>0</v>
      </c>
      <c r="Q33" s="34">
        <f>'CH4 per kg feed'!P77*FCR_bonefree_incl_parents_CZ</f>
        <v>4.763322335425961E-5</v>
      </c>
      <c r="R33" s="34">
        <f>'CH4 per kg feed'!Q77*FCR_bonefree_incl_parents_CZ</f>
        <v>8.008292028504596E-5</v>
      </c>
      <c r="W33" s="4">
        <f>Energy_stables_CZ/Bonefree_outof_CW_CZ*(Share_heating_CZ*(Share_biofuels_CZ*EF_biofuel_CH4+(1-Share_biofuels_CZ)*EF_oil_CH4)+(1-Share_heating_CZ)*EF_el_CH4_CZ)</f>
        <v>9.5914664283645428E-5</v>
      </c>
      <c r="X33" s="12">
        <f>(Energy_slaughter_el_CZ*EF_el_CH4_CZ+Energy_slaughter_oil_CZ*EF_oil_CH4)/Bonefree_outof_CW_CZ</f>
        <v>3.984048348675845E-4</v>
      </c>
      <c r="Z33" s="33"/>
      <c r="AA33" s="33"/>
    </row>
    <row r="34" spans="1:27" x14ac:dyDescent="0.35">
      <c r="A34" s="13" t="s">
        <v>162</v>
      </c>
      <c r="B34" s="13" t="s">
        <v>163</v>
      </c>
      <c r="C34" s="17" t="s">
        <v>164</v>
      </c>
      <c r="D34" s="18" t="s">
        <v>170</v>
      </c>
      <c r="E34" s="18" t="s">
        <v>92</v>
      </c>
      <c r="F34" s="13" t="s">
        <v>167</v>
      </c>
      <c r="G34" s="33">
        <f>SUM(H34:T34)+SUM(W34:X34)</f>
        <v>2.2013861429824129E-3</v>
      </c>
      <c r="H34" s="34"/>
      <c r="I34" s="34"/>
      <c r="J34" s="34"/>
      <c r="K34" s="34"/>
      <c r="L34" s="34"/>
      <c r="M34" s="34"/>
      <c r="N34" s="34"/>
      <c r="O34" s="34"/>
      <c r="P34" s="34"/>
      <c r="Q34" s="34"/>
      <c r="R34" s="34"/>
      <c r="T34" s="48">
        <f>SUM(U34:V34)</f>
        <v>2.2013861429824129E-3</v>
      </c>
      <c r="U34" s="64">
        <f>(Production!G40*(Slaughter_age_CZ/365)+SUM(Production!G41:G44))*EF_CH4_manure_CZ</f>
        <v>2.2013861429824129E-3</v>
      </c>
      <c r="W34" s="4"/>
      <c r="X34" s="12"/>
    </row>
    <row r="35" spans="1:27" ht="15" thickBot="1" x14ac:dyDescent="0.4">
      <c r="A35" s="13" t="s">
        <v>162</v>
      </c>
      <c r="B35" s="13" t="s">
        <v>163</v>
      </c>
      <c r="C35" s="17" t="s">
        <v>164</v>
      </c>
      <c r="D35" s="18" t="s">
        <v>170</v>
      </c>
      <c r="E35" s="18" t="s">
        <v>92</v>
      </c>
      <c r="F35" s="35" t="s">
        <v>168</v>
      </c>
      <c r="G35" s="33">
        <f>SUM(H35:T35)+SUM(W35:X35)</f>
        <v>2.1800147357672805E-3</v>
      </c>
      <c r="H35" s="34">
        <f>'N2O per kg feed'!G77*FCR_bonefree_incl_parents_CZ-Excreted_N_after_losses_CZ*Manure_repl_factor_CZ*(EF_min_fert_BAT_N2O*Frac_BAT_CZ+EF_min_fert_AN_N2O*Frac_AN_CZ)</f>
        <v>2.8089362828701724E-4</v>
      </c>
      <c r="I35" s="33">
        <f>'N2O per kg feed'!H77*FCR_bonefree_incl_parents_CZ</f>
        <v>3.1221247713359556E-6</v>
      </c>
      <c r="J35" s="33">
        <f>'N2O per kg feed'!I77*FCR_bonefree_incl_parents_CZ-Excreted_N_after_losses_CZ*Manure_repl_factor_CZ*EF_N2O_diff_CZ</f>
        <v>1.5864036305567538E-3</v>
      </c>
      <c r="K35" s="33">
        <f>J35*EF_indirect_N2O_CZ</f>
        <v>1.5864036305567541E-4</v>
      </c>
      <c r="L35" s="33">
        <f>'N2O per kg feed'!K77*FCR_bonefree_incl_parents_CZ</f>
        <v>2.7240050852606683E-6</v>
      </c>
      <c r="M35" s="33"/>
      <c r="N35" s="33">
        <f>'N2O per kg feed'!M77*FCR_bonefree_incl_parents_CZ</f>
        <v>3.8931928957650966E-9</v>
      </c>
      <c r="O35" s="33">
        <f>'N2O per kg feed'!N77*FCR_bonefree_incl_parents_CZ</f>
        <v>3.5209128690602579E-6</v>
      </c>
      <c r="P35" s="33">
        <f>'N2O per kg feed'!O77*FCR_bonefree_incl_parents_CZ</f>
        <v>0</v>
      </c>
      <c r="Q35" s="33">
        <f>'N2O per kg feed'!P77*FCR_bonefree_incl_parents_CZ</f>
        <v>4.799888010364169E-6</v>
      </c>
      <c r="R35" s="33">
        <f>'N2O per kg feed'!Q77*FCR_bonefree_incl_parents_CZ</f>
        <v>3.0980490281784413E-6</v>
      </c>
      <c r="T35" s="48">
        <f>SUM(U35:V35)</f>
        <v>1.2390587072060898E-4</v>
      </c>
      <c r="U35" s="9">
        <f>Excreted_N_per_kg_of_bonefree_meat_CZ*EF_N2O_manure_direct_CZ*44/28</f>
        <v>4.5919975807215269E-5</v>
      </c>
      <c r="V35" s="64">
        <f>(Excreted_N_per_kg_of_bonefree_meat_CZ-U35*28/44)*EF_ammonia_CZ*EF_N2O_manure_indirect_CZ*44/28</f>
        <v>7.7985894913393708E-5</v>
      </c>
      <c r="W35" s="4">
        <f>Energy_stables_CZ/Bonefree_outof_CW_CZ*(Share_heating_CZ*(Share_biofuels_CZ*EF_biofuel_N2O+(1-Share_biofuels_CZ)*EF_oil_N2O)+(1-Share_heating_CZ)*EF_el_N2O_CZ)</f>
        <v>5.8319779199999964E-6</v>
      </c>
      <c r="X35" s="12">
        <f>(Energy_slaughter_el_CZ*EF_el_N2O_CZ+Energy_slaughter_oil_CZ*EF_oil_N2O)/Bonefree_outof_CW_CZ</f>
        <v>7.0703922701298699E-6</v>
      </c>
      <c r="Z35" s="33"/>
      <c r="AA35" s="33"/>
    </row>
    <row r="36" spans="1:27" ht="15.5" thickTop="1" thickBot="1" x14ac:dyDescent="0.4">
      <c r="A36" s="172" t="s">
        <v>162</v>
      </c>
      <c r="B36" s="172" t="s">
        <v>163</v>
      </c>
      <c r="C36" s="173" t="s">
        <v>164</v>
      </c>
      <c r="D36" s="37" t="s">
        <v>170</v>
      </c>
      <c r="E36" s="37" t="s">
        <v>92</v>
      </c>
      <c r="F36" s="185" t="s">
        <v>169</v>
      </c>
      <c r="G36" s="186">
        <f t="shared" si="0"/>
        <v>1.784701960192874</v>
      </c>
      <c r="H36" s="176">
        <f>SUMPRODUCT(H32:H35,'Parameters, general'!$B$13:$B$16)</f>
        <v>0.22079776621726915</v>
      </c>
      <c r="I36" s="176">
        <f>SUMPRODUCT(I32:I35,'Parameters, general'!$B$13:$B$16)</f>
        <v>8.5521525565959142E-2</v>
      </c>
      <c r="J36" s="176">
        <f>SUMPRODUCT(J32:J35,'Parameters, general'!$B$13:$B$16)</f>
        <v>0.43308819114199382</v>
      </c>
      <c r="K36" s="176">
        <f>SUMPRODUCT(K32:K35,'Parameters, general'!$B$13:$B$16)</f>
        <v>4.3308819114199384E-2</v>
      </c>
      <c r="L36" s="176">
        <f>SUMPRODUCT(L32:L35,'Parameters, general'!$B$13:$B$16)</f>
        <v>0.10345757159675946</v>
      </c>
      <c r="M36" s="176">
        <f>SUMPRODUCT(M32:M35,'Parameters, general'!$B$13:$B$16)</f>
        <v>0</v>
      </c>
      <c r="N36" s="176">
        <f>SUMPRODUCT(N32:N35,'Parameters, general'!$B$13:$B$16)</f>
        <v>1.0507682892747996E-4</v>
      </c>
      <c r="O36" s="176">
        <f>SUMPRODUCT(O32:O35,'Parameters, general'!$B$13:$B$16)</f>
        <v>0.10593622542053061</v>
      </c>
      <c r="P36" s="176">
        <f>SUMPRODUCT(P32:P35,'Parameters, general'!$B$13:$B$16)</f>
        <v>9.6596329623319058E-2</v>
      </c>
      <c r="Q36" s="176">
        <f>SUMPRODUCT(Q32:Q35,'Parameters, general'!$B$13:$B$16)</f>
        <v>1.7289129007193191E-2</v>
      </c>
      <c r="R36" s="176">
        <f>SUMPRODUCT(R32:R35,'Parameters, general'!$B$13:$B$16)</f>
        <v>9.1123686768396439E-2</v>
      </c>
      <c r="S36" s="176">
        <f>SUMPRODUCT(S32:S35,'Parameters, general'!$B$13:$B$16)</f>
        <v>0</v>
      </c>
      <c r="T36" s="176">
        <f>SUMPRODUCT(T32:T35,'Parameters, general'!$B$13:$B$16)</f>
        <v>9.3263728567251403E-2</v>
      </c>
      <c r="U36" s="177"/>
      <c r="V36" s="177"/>
      <c r="W36" s="176">
        <f>SUMPRODUCT(W32:W35,'Parameters, general'!$B$13:$B$16)</f>
        <v>0.12058313909497627</v>
      </c>
      <c r="X36" s="176">
        <f>SUMPRODUCT(X32:X35,'Parameters, general'!$B$13:$B$16)</f>
        <v>0.37363077124609817</v>
      </c>
      <c r="Z36" s="115">
        <f>SUM(H36:R36)</f>
        <v>1.1972243212845479</v>
      </c>
      <c r="AA36" s="210">
        <f>'CO2 per kg feed'!F77+'CH4 per kg feed'!F77*CF_GWP_CH4_fossil+'N2O per kg feed'!F77*CF_GWP_N2O</f>
        <v>0.40517944408880796</v>
      </c>
    </row>
    <row r="37" spans="1:27" ht="15" thickTop="1" x14ac:dyDescent="0.35">
      <c r="A37" s="178" t="s">
        <v>162</v>
      </c>
      <c r="B37" s="178" t="s">
        <v>163</v>
      </c>
      <c r="C37" s="179" t="s">
        <v>164</v>
      </c>
      <c r="D37" s="163" t="s">
        <v>29</v>
      </c>
      <c r="E37" s="163" t="s">
        <v>93</v>
      </c>
      <c r="F37" s="180" t="s">
        <v>165</v>
      </c>
      <c r="G37" s="20">
        <f t="shared" si="0"/>
        <v>0.96979987723667149</v>
      </c>
      <c r="H37" s="181">
        <f>'CO2 per kg feed'!G89*FCR_bonefree_incl_parents_DK-Excreted_N_after_losses_DK*Manure_repl_factor_DK*(EF_min_fert_BAT_CO2*Frac_BAT_DK+EF_min_fert_AN_CO2*Frac_AN_DK)</f>
        <v>0.15582779932847879</v>
      </c>
      <c r="I37" s="181">
        <f>'CO2 per kg feed'!H89*FCR_bonefree_incl_parents_DK</f>
        <v>8.1035416450437853E-2</v>
      </c>
      <c r="J37" s="181">
        <f>'CO2 per kg feed'!I89*FCR_bonefree_incl_parents_DK</f>
        <v>0</v>
      </c>
      <c r="K37" s="181"/>
      <c r="L37" s="181">
        <f>'CO2 per kg feed'!K89*FCR_bonefree_incl_parents_DK</f>
        <v>9.6796331565040639E-2</v>
      </c>
      <c r="M37" s="181"/>
      <c r="N37" s="181">
        <f>'CO2 per kg feed'!M89*FCR_bonefree_incl_parents_DK</f>
        <v>4.4158907457002343E-4</v>
      </c>
      <c r="O37" s="181">
        <f>'CO2 per kg feed'!N89*FCR_bonefree_incl_parents_DK</f>
        <v>0.12254513762721125</v>
      </c>
      <c r="P37" s="181">
        <f>'CO2 per kg feed'!O89*FCR_bonefree_incl_parents_DK</f>
        <v>0.11199553670653163</v>
      </c>
      <c r="Q37" s="181">
        <f>'CO2 per kg feed'!P89*FCR_bonefree_incl_parents_DK</f>
        <v>1.5422914394032912E-2</v>
      </c>
      <c r="R37" s="181">
        <f>'CO2 per kg feed'!Q89*FCR_bonefree_incl_parents_DK</f>
        <v>9.755227344507221E-2</v>
      </c>
      <c r="S37" s="162"/>
      <c r="T37" s="162"/>
      <c r="U37" s="182"/>
      <c r="V37" s="182"/>
      <c r="W37" s="183">
        <f>Energy_stables_DK/Bonefree_outof_CW_DK*(Share_heating_DK*(Share_biofuels_DK*EF_biofuels_CO2+(1-Share_biofuels_DK)*EF_oil_CO2)+(1-Share_heating_DK)*EF_el_CO2_DK)</f>
        <v>8.8165821384309104E-2</v>
      </c>
      <c r="X37" s="184">
        <f>(Energy_slaughter_el_DK*EF_el_CO2_DK+Energy_slaughter_oil_DK*EF_oil_CO2)/Bonefree_outof_CW_DK</f>
        <v>0.20001705726098704</v>
      </c>
      <c r="Z37" s="20"/>
      <c r="AA37" s="20"/>
    </row>
    <row r="38" spans="1:27" x14ac:dyDescent="0.35">
      <c r="A38" s="13" t="s">
        <v>162</v>
      </c>
      <c r="B38" s="13" t="s">
        <v>163</v>
      </c>
      <c r="C38" s="17" t="s">
        <v>164</v>
      </c>
      <c r="D38" s="18" t="s">
        <v>29</v>
      </c>
      <c r="E38" s="18" t="s">
        <v>93</v>
      </c>
      <c r="F38" s="13" t="s">
        <v>166</v>
      </c>
      <c r="G38" s="33">
        <f t="shared" si="0"/>
        <v>1.1031150597600678E-3</v>
      </c>
      <c r="H38" s="34">
        <f>'CH4 per kg feed'!G89*FCR_bonefree_incl_parents_DK-Excreted_N_after_losses_DK*Manure_repl_factor_DK*(EF_min_fert_BAT_CH4*Frac_BAT_DK+EF_min_fert_AN_CH4*Frac_AN_DK)</f>
        <v>1.9891544090829319E-4</v>
      </c>
      <c r="I38" s="34">
        <f>'CH4 per kg feed'!H89*FCR_bonefree_incl_parents_DK</f>
        <v>3.0129717318643141E-4</v>
      </c>
      <c r="J38" s="34"/>
      <c r="K38" s="34"/>
      <c r="L38" s="34">
        <f>'CH4 per kg feed'!K89*FCR_bonefree_incl_parents_DK</f>
        <v>4.4219940871966469E-5</v>
      </c>
      <c r="M38" s="34"/>
      <c r="N38" s="34">
        <f>'CH4 per kg feed'!M89*FCR_bonefree_incl_parents_DK</f>
        <v>5.0607310382560943E-6</v>
      </c>
      <c r="O38" s="34">
        <f>'CH4 per kg feed'!N89*FCR_bonefree_incl_parents_DK</f>
        <v>7.3304796895099349E-5</v>
      </c>
      <c r="P38" s="34">
        <f>'CH4 per kg feed'!O89*FCR_bonefree_incl_parents_DK</f>
        <v>0</v>
      </c>
      <c r="Q38" s="34">
        <f>'CH4 per kg feed'!P89*FCR_bonefree_incl_parents_DK</f>
        <v>5.2062806227921423E-5</v>
      </c>
      <c r="R38" s="34">
        <f>'CH4 per kg feed'!Q89*FCR_bonefree_incl_parents_DK</f>
        <v>8.6743812526790973E-5</v>
      </c>
      <c r="W38" s="4">
        <f>Energy_stables_DK/Bonefree_outof_CW_DK*(Share_heating_DK*(Share_biofuels_DK*EF_biofuel_CH4+(1-Share_biofuels_DK)*EF_oil_CH4)+(1-Share_heating_DK)*EF_el_CH4_DK)</f>
        <v>7.3155856042763585E-5</v>
      </c>
      <c r="X38" s="12">
        <f>(Energy_slaughter_el_DK*EF_el_CH4_DK+Energy_slaughter_oil_DK*EF_oil_CH4)/Bonefree_outof_CW_DK</f>
        <v>2.683545020625454E-4</v>
      </c>
      <c r="Z38" s="33"/>
      <c r="AA38" s="33"/>
    </row>
    <row r="39" spans="1:27" x14ac:dyDescent="0.35">
      <c r="A39" s="13" t="s">
        <v>162</v>
      </c>
      <c r="B39" s="13" t="s">
        <v>163</v>
      </c>
      <c r="C39" s="17" t="s">
        <v>164</v>
      </c>
      <c r="D39" s="18" t="s">
        <v>29</v>
      </c>
      <c r="E39" s="18" t="s">
        <v>93</v>
      </c>
      <c r="F39" s="13" t="s">
        <v>167</v>
      </c>
      <c r="G39" s="33">
        <f>SUM(H39:T39)+SUM(W39:X39)</f>
        <v>2.2013861429824129E-3</v>
      </c>
      <c r="H39" s="34"/>
      <c r="I39" s="34"/>
      <c r="J39" s="34"/>
      <c r="K39" s="34"/>
      <c r="L39" s="34"/>
      <c r="M39" s="34"/>
      <c r="N39" s="34"/>
      <c r="O39" s="34"/>
      <c r="P39" s="34"/>
      <c r="Q39" s="34"/>
      <c r="R39" s="34"/>
      <c r="T39" s="48">
        <f>SUM(U39:V39)</f>
        <v>2.2013861429824129E-3</v>
      </c>
      <c r="U39" s="64">
        <f>(Production!H40*(Slaughter_age_DK/365)+SUM(Production!H41:H44))*EF_CH4_manure_DK</f>
        <v>2.2013861429824129E-3</v>
      </c>
      <c r="W39" s="4"/>
      <c r="X39" s="12"/>
    </row>
    <row r="40" spans="1:27" ht="15" thickBot="1" x14ac:dyDescent="0.4">
      <c r="A40" s="13" t="s">
        <v>162</v>
      </c>
      <c r="B40" s="13" t="s">
        <v>163</v>
      </c>
      <c r="C40" s="17" t="s">
        <v>164</v>
      </c>
      <c r="D40" s="18" t="s">
        <v>29</v>
      </c>
      <c r="E40" s="18" t="s">
        <v>93</v>
      </c>
      <c r="F40" s="35" t="s">
        <v>168</v>
      </c>
      <c r="G40" s="33">
        <f>SUM(H40:T40)+SUM(W40:X40)</f>
        <v>2.2752379268341223E-3</v>
      </c>
      <c r="H40" s="34">
        <f>'N2O per kg feed'!G89*FCR_bonefree_incl_parents_DK-Excreted_N_after_losses_DK*Manure_repl_factor_DK*(EF_min_fert_BAT_N2O*Frac_BAT_DK+EF_min_fert_AN_N2O*Frac_AN_DK)</f>
        <v>3.221913288311639E-4</v>
      </c>
      <c r="I40" s="33">
        <f>'N2O per kg feed'!H89*FCR_bonefree_incl_parents_DK</f>
        <v>3.0750563147775556E-6</v>
      </c>
      <c r="J40" s="33">
        <f>'N2O per kg feed'!I89*FCR_bonefree_incl_parents_DK-Excreted_N_after_losses_DK*Manure_repl_factor_DK*EF_N2O_diff_DK</f>
        <v>1.6302270696837474E-3</v>
      </c>
      <c r="K40" s="33">
        <f>J40*EF_indirect_N2O_DK</f>
        <v>1.6302270696837476E-4</v>
      </c>
      <c r="L40" s="33">
        <f>'N2O per kg feed'!K89*FCR_bonefree_incl_parents_DK</f>
        <v>2.6876140555132513E-6</v>
      </c>
      <c r="M40" s="33"/>
      <c r="N40" s="33">
        <f>'N2O per kg feed'!M89*FCR_bonefree_incl_parents_DK</f>
        <v>6.2144098158157332E-8</v>
      </c>
      <c r="O40" s="33">
        <f>'N2O per kg feed'!N89*FCR_bonefree_incl_parents_DK</f>
        <v>4.7612337487221382E-6</v>
      </c>
      <c r="P40" s="33">
        <f>'N2O per kg feed'!O89*FCR_bonefree_incl_parents_DK</f>
        <v>0</v>
      </c>
      <c r="Q40" s="33">
        <f>'N2O per kg feed'!P89*FCR_bonefree_incl_parents_DK</f>
        <v>5.29444925522237E-6</v>
      </c>
      <c r="R40" s="33">
        <f>'N2O per kg feed'!Q89*FCR_bonefree_incl_parents_DK</f>
        <v>3.4661158195222369E-6</v>
      </c>
      <c r="T40" s="48">
        <f>SUM(U40:V40)</f>
        <v>1.2390587072060898E-4</v>
      </c>
      <c r="U40" s="9">
        <f>Excreted_N_per_kg_of_bonefree_meat_DK*EF_N2O_manure_direct_DK*44/28</f>
        <v>4.5919975807215269E-5</v>
      </c>
      <c r="V40" s="64">
        <f>(Excreted_N_per_kg_of_bonefree_meat_DK-U40*28/44)*EF_ammonia_DK*EF_N2O_manure_indirect_DK*44/28</f>
        <v>7.7985894913393708E-5</v>
      </c>
      <c r="W40" s="4">
        <f>Energy_stables_DK/Bonefree_outof_CW_DK*(Share_heating_DK*(Share_biofuels_DK*EF_biofuel_N2O+(1-Share_biofuels_DK)*EF_oil_N2O)+(1-Share_heating_DK)*EF_el_N2O_DK)</f>
        <v>6.374398559090906E-6</v>
      </c>
      <c r="X40" s="12">
        <f>(Energy_slaughter_el_DK*EF_el_N2O_DK+Energy_slaughter_oil_DK*EF_oil_N2O)/Bonefree_outof_CW_DK</f>
        <v>1.016993877922078E-5</v>
      </c>
      <c r="Z40" s="33"/>
      <c r="AA40" s="33"/>
    </row>
    <row r="41" spans="1:27" ht="15.5" thickTop="1" thickBot="1" x14ac:dyDescent="0.4">
      <c r="A41" s="172" t="s">
        <v>162</v>
      </c>
      <c r="B41" s="172" t="s">
        <v>163</v>
      </c>
      <c r="C41" s="173" t="s">
        <v>164</v>
      </c>
      <c r="D41" s="37" t="s">
        <v>29</v>
      </c>
      <c r="E41" s="37" t="s">
        <v>93</v>
      </c>
      <c r="F41" s="175" t="s">
        <v>169</v>
      </c>
      <c r="G41" s="186">
        <f t="shared" si="0"/>
        <v>1.683250085903762</v>
      </c>
      <c r="H41" s="176">
        <f>SUMPRODUCT(H37:H40,'Parameters, general'!$B$13:$B$16)</f>
        <v>0.24971371223845368</v>
      </c>
      <c r="I41" s="176">
        <f>SUMPRODUCT(I37:I40,'Parameters, general'!$B$13:$B$16)</f>
        <v>9.0853562585327785E-2</v>
      </c>
      <c r="J41" s="176">
        <f>SUMPRODUCT(J37:J40,'Parameters, general'!$B$13:$B$16)</f>
        <v>0.44505199002366302</v>
      </c>
      <c r="K41" s="176">
        <f>SUMPRODUCT(K37:K40,'Parameters, general'!$B$13:$B$16)</f>
        <v>4.4505199002366311E-2</v>
      </c>
      <c r="L41" s="176">
        <f>SUMPRODUCT(L37:L40,'Parameters, general'!$B$13:$B$16)</f>
        <v>9.8847804440180348E-2</v>
      </c>
      <c r="M41" s="176">
        <f>SUMPRODUCT(M37:M40,'Parameters, general'!$B$13:$B$16)</f>
        <v>0</v>
      </c>
      <c r="N41" s="176">
        <f>SUMPRODUCT(N37:N40,'Parameters, general'!$B$13:$B$16)</f>
        <v>6.093641983072319E-4</v>
      </c>
      <c r="O41" s="176">
        <f>SUMPRODUCT(O37:O40,'Parameters, general'!$B$13:$B$16)</f>
        <v>0.12602943738808636</v>
      </c>
      <c r="P41" s="176">
        <f>SUMPRODUCT(P37:P40,'Parameters, general'!$B$13:$B$16)</f>
        <v>0.11199553670653163</v>
      </c>
      <c r="Q41" s="176">
        <f>SUMPRODUCT(Q37:Q40,'Parameters, general'!$B$13:$B$16)</f>
        <v>1.8419770666300676E-2</v>
      </c>
      <c r="R41" s="176">
        <f>SUMPRODUCT(R37:R40,'Parameters, general'!$B$13:$B$16)</f>
        <v>0.10108348867710014</v>
      </c>
      <c r="S41" s="176">
        <f>SUMPRODUCT(S37:S40,'Parameters, general'!$B$13:$B$16)</f>
        <v>0</v>
      </c>
      <c r="T41" s="176">
        <f>SUMPRODUCT(T37:T40,'Parameters, general'!$B$13:$B$16)</f>
        <v>9.3263728567251403E-2</v>
      </c>
      <c r="U41" s="177"/>
      <c r="V41" s="177"/>
      <c r="W41" s="176">
        <f>SUMPRODUCT(W37:W40,'Parameters, general'!$B$13:$B$16)</f>
        <v>9.2086076701015276E-2</v>
      </c>
      <c r="X41" s="176">
        <f>SUMPRODUCT(X37:X40,'Parameters, general'!$B$13:$B$16)</f>
        <v>0.21079041470917817</v>
      </c>
      <c r="Z41" s="115">
        <f>SUM(H41:R41)</f>
        <v>1.2871098659263174</v>
      </c>
      <c r="AA41" s="210">
        <f>'CO2 per kg feed'!F89+'CH4 per kg feed'!F89*CF_GWP_CH4_fossil+'N2O per kg feed'!F89*CF_GWP_N2O</f>
        <v>0.42757257003276783</v>
      </c>
    </row>
    <row r="42" spans="1:27" ht="15" thickTop="1" x14ac:dyDescent="0.35">
      <c r="A42" s="13" t="s">
        <v>162</v>
      </c>
      <c r="B42" s="13" t="s">
        <v>163</v>
      </c>
      <c r="C42" s="17" t="s">
        <v>164</v>
      </c>
      <c r="D42" s="163" t="s">
        <v>171</v>
      </c>
      <c r="E42" s="163" t="s">
        <v>95</v>
      </c>
      <c r="F42" s="36" t="s">
        <v>165</v>
      </c>
      <c r="G42" s="20">
        <f t="shared" si="0"/>
        <v>0.81427153361817495</v>
      </c>
      <c r="H42" s="181">
        <f>'CO2 per kg feed'!G101*FCR_bonefree_incl_parents_EE-Excreted_N_after_losses_EE*Manure_repl_factor_EE*(EF_min_fert_BAT_CO2*Frac_BAT_EE+EF_min_fert_AN_CO2*Frac_AN_EE)</f>
        <v>5.4738383511527676E-2</v>
      </c>
      <c r="I42" s="181">
        <f>'CO2 per kg feed'!H101*FCR_bonefree_incl_parents_EE</f>
        <v>4.4238313719422599E-2</v>
      </c>
      <c r="J42" s="181">
        <f>'CO2 per kg feed'!I101*FCR_bonefree_incl_parents_EE</f>
        <v>0</v>
      </c>
      <c r="K42" s="181"/>
      <c r="L42" s="181">
        <f>'CO2 per kg feed'!K101*FCR_bonefree_incl_parents_EE</f>
        <v>6.536069230108299E-2</v>
      </c>
      <c r="M42" s="181"/>
      <c r="N42" s="181">
        <f>'CO2 per kg feed'!M101*FCR_bonefree_incl_parents_EE</f>
        <v>6.5879757875200148E-5</v>
      </c>
      <c r="O42" s="181">
        <f>'CO2 per kg feed'!N101*FCR_bonefree_incl_parents_EE</f>
        <v>6.1589174552918111E-2</v>
      </c>
      <c r="P42" s="181">
        <f>'CO2 per kg feed'!O101*FCR_bonefree_incl_parents_EE</f>
        <v>1.9953416582695418E-2</v>
      </c>
      <c r="Q42" s="181">
        <f>'CO2 per kg feed'!P101*FCR_bonefree_incl_parents_EE</f>
        <v>4.7536522845660675E-3</v>
      </c>
      <c r="R42" s="181">
        <f>'CO2 per kg feed'!Q101*FCR_bonefree_incl_parents_EE</f>
        <v>2.336816753518297E-2</v>
      </c>
      <c r="S42" s="162"/>
      <c r="T42" s="162"/>
      <c r="U42" s="182"/>
      <c r="V42" s="182"/>
      <c r="W42" s="183">
        <f>Energy_stables_EE/Bonefree_outof_CW_EE*(Share_heating_EE*(Share_biofuels_EE*EF_biofuels_CO2+(1-Share_biofuels_EE)*EF_oil_CO2)+(1-Share_heating_EE)*EF_el_CO2_EE)</f>
        <v>0.12570086017352725</v>
      </c>
      <c r="X42" s="184">
        <f>(Energy_slaughter_el_EE*EF_el_CO2_EE+Energy_slaughter_oil_EE*EF_oil_CO2)/Bonefree_outof_CW_EE</f>
        <v>0.41450299319937672</v>
      </c>
      <c r="Z42" s="20"/>
      <c r="AA42" s="20"/>
    </row>
    <row r="43" spans="1:27" x14ac:dyDescent="0.35">
      <c r="A43" s="13" t="s">
        <v>162</v>
      </c>
      <c r="B43" s="13" t="s">
        <v>163</v>
      </c>
      <c r="C43" s="17" t="s">
        <v>164</v>
      </c>
      <c r="D43" s="18" t="s">
        <v>171</v>
      </c>
      <c r="E43" s="18" t="s">
        <v>95</v>
      </c>
      <c r="F43" s="13" t="s">
        <v>166</v>
      </c>
      <c r="G43" s="33">
        <f t="shared" si="0"/>
        <v>1.8321997416666164E-3</v>
      </c>
      <c r="H43" s="34">
        <f>'CH4 per kg feed'!G101*FCR_bonefree_incl_parents_EE-Excreted_N_after_losses_EE*Manure_repl_factor_EE*(EF_min_fert_BAT_CH4*Frac_BAT_EE+EF_min_fert_AN_CH4*Frac_AN_EE)</f>
        <v>4.4956180770041739E-5</v>
      </c>
      <c r="I43" s="34">
        <f>'CH4 per kg feed'!H101*FCR_bonefree_incl_parents_EE</f>
        <v>1.5565332604982029E-4</v>
      </c>
      <c r="J43" s="34"/>
      <c r="K43" s="34"/>
      <c r="L43" s="34">
        <f>'CH4 per kg feed'!K101*FCR_bonefree_incl_parents_EE</f>
        <v>2.895258274611988E-5</v>
      </c>
      <c r="M43" s="34"/>
      <c r="N43" s="34">
        <f>'CH4 per kg feed'!M101*FCR_bonefree_incl_parents_EE</f>
        <v>2.203323628280443E-7</v>
      </c>
      <c r="O43" s="34">
        <f>'CH4 per kg feed'!N101*FCR_bonefree_incl_parents_EE</f>
        <v>2.5735817615528907E-5</v>
      </c>
      <c r="P43" s="34">
        <f>'CH4 per kg feed'!O101*FCR_bonefree_incl_parents_EE</f>
        <v>0</v>
      </c>
      <c r="Q43" s="34">
        <f>'CH4 per kg feed'!P101*FCR_bonefree_incl_parents_EE</f>
        <v>1.3630411665306281E-5</v>
      </c>
      <c r="R43" s="34">
        <f>'CH4 per kg feed'!Q101*FCR_bonefree_incl_parents_EE</f>
        <v>2.3858136487490534E-5</v>
      </c>
      <c r="W43" s="4">
        <f>Energy_stables_EE/Bonefree_outof_CW_EE*(Share_heating_EE*(Share_biofuels_EE*EF_biofuel_CH4+(1-Share_biofuels_EE)*EF_oil_CH4)+(1-Share_heating_EE)*EF_el_CH4_EE)</f>
        <v>2.515341150012572E-4</v>
      </c>
      <c r="X43" s="12">
        <f>(Energy_slaughter_el_EE*EF_el_CH4_EE+Energy_slaughter_oil_EE*EF_oil_CH4)/Bonefree_outof_CW_EE</f>
        <v>1.2876588389682236E-3</v>
      </c>
      <c r="Z43" s="33"/>
      <c r="AA43" s="33"/>
    </row>
    <row r="44" spans="1:27" x14ac:dyDescent="0.35">
      <c r="A44" s="13" t="s">
        <v>162</v>
      </c>
      <c r="B44" s="13" t="s">
        <v>163</v>
      </c>
      <c r="C44" s="17" t="s">
        <v>164</v>
      </c>
      <c r="D44" s="18" t="s">
        <v>171</v>
      </c>
      <c r="E44" s="18" t="s">
        <v>95</v>
      </c>
      <c r="F44" s="13" t="s">
        <v>167</v>
      </c>
      <c r="G44" s="33">
        <f>SUM(H44:T44)+SUM(W44:X44)</f>
        <v>2.2013861429824129E-3</v>
      </c>
      <c r="H44" s="34"/>
      <c r="I44" s="34"/>
      <c r="J44" s="34"/>
      <c r="K44" s="34"/>
      <c r="L44" s="34"/>
      <c r="M44" s="34"/>
      <c r="N44" s="34"/>
      <c r="O44" s="34"/>
      <c r="P44" s="34"/>
      <c r="Q44" s="34"/>
      <c r="R44" s="34"/>
      <c r="T44" s="48">
        <f>SUM(U44:V44)</f>
        <v>2.2013861429824129E-3</v>
      </c>
      <c r="U44" s="64">
        <f>(Production!I40*(Slaughter_age_EE/365)+SUM(Production!I41:I44))*EF_CH4_manure_EE</f>
        <v>2.2013861429824129E-3</v>
      </c>
      <c r="W44" s="4"/>
      <c r="X44" s="12"/>
    </row>
    <row r="45" spans="1:27" ht="15" thickBot="1" x14ac:dyDescent="0.4">
      <c r="A45" s="13" t="s">
        <v>162</v>
      </c>
      <c r="B45" s="13" t="s">
        <v>163</v>
      </c>
      <c r="C45" s="17" t="s">
        <v>164</v>
      </c>
      <c r="D45" s="18" t="s">
        <v>171</v>
      </c>
      <c r="E45" s="18" t="s">
        <v>95</v>
      </c>
      <c r="F45" s="35" t="s">
        <v>168</v>
      </c>
      <c r="G45" s="33">
        <f>SUM(H45:T45)+SUM(W45:X45)</f>
        <v>1.1413336438434562E-3</v>
      </c>
      <c r="H45" s="34">
        <f>'N2O per kg feed'!G101*FCR_bonefree_incl_parents_EE-Excreted_N_after_losses_EE*Manure_repl_factor_EE*(EF_min_fert_BAT_N2O*Frac_BAT_EE+EF_min_fert_AN_N2O*Frac_AN_EE)</f>
        <v>1.0199026123819682E-4</v>
      </c>
      <c r="I45" s="33">
        <f>'N2O per kg feed'!H101*FCR_bonefree_incl_parents_EE</f>
        <v>1.8023016700505503E-6</v>
      </c>
      <c r="J45" s="33">
        <f>'N2O per kg feed'!I101*FCR_bonefree_incl_parents_EE-Excreted_N_after_losses_EE*Manure_repl_factor_EE*EF_N2O_diff_EE</f>
        <v>7.9823901209494057E-4</v>
      </c>
      <c r="K45" s="33">
        <f>J45*EF_indirect_N2O_EE</f>
        <v>7.9823901209494059E-5</v>
      </c>
      <c r="L45" s="33">
        <f>'N2O per kg feed'!K101*FCR_bonefree_incl_parents_EE</f>
        <v>1.7562672852240428E-6</v>
      </c>
      <c r="M45" s="33"/>
      <c r="N45" s="33">
        <f>'N2O per kg feed'!M101*FCR_bonefree_incl_parents_EE</f>
        <v>2.7116058633804027E-9</v>
      </c>
      <c r="O45" s="33">
        <f>'N2O per kg feed'!N101*FCR_bonefree_incl_parents_EE</f>
        <v>2.0909955828409917E-6</v>
      </c>
      <c r="P45" s="33">
        <f>'N2O per kg feed'!O101*FCR_bonefree_incl_parents_EE</f>
        <v>0</v>
      </c>
      <c r="Q45" s="33">
        <f>'N2O per kg feed'!P101*FCR_bonefree_incl_parents_EE</f>
        <v>1.3157492609647846E-6</v>
      </c>
      <c r="R45" s="33">
        <f>'N2O per kg feed'!Q101*FCR_bonefree_incl_parents_EE</f>
        <v>7.9070128176549173E-7</v>
      </c>
      <c r="T45" s="48">
        <f>SUM(U45:V45)</f>
        <v>1.2390587072060898E-4</v>
      </c>
      <c r="U45" s="9">
        <f>Excreted_N_per_kg_of_bonefree_meat_EE*EF_N2O_manure_direct_EE*44/28</f>
        <v>4.5919975807215269E-5</v>
      </c>
      <c r="V45" s="64">
        <f>(Excreted_N_per_kg_of_bonefree_meat_EE-U45*28/44)*EF_ammonia_EE*EF_N2O_manure_indirect_EE*44/28</f>
        <v>7.7985894913393708E-5</v>
      </c>
      <c r="W45" s="4">
        <f>Energy_stables_EE/Bonefree_outof_CW_EE*(Share_heating_EE*(Share_biofuels_EE*EF_biofuel_N2O+(1-Share_biofuels_EE)*EF_oil_N2O)+(1-Share_heating_EE)*EF_el_N2O_EE)</f>
        <v>8.3212228545454513E-6</v>
      </c>
      <c r="X45" s="12">
        <f>(Energy_slaughter_el_EE*EF_el_N2O_EE+Energy_slaughter_oil_EE*EF_oil_N2O)/Bonefree_outof_CW_EE</f>
        <v>2.1294649038961041E-5</v>
      </c>
      <c r="Z45" s="33"/>
      <c r="AA45" s="33"/>
    </row>
    <row r="46" spans="1:27" ht="15.5" thickTop="1" thickBot="1" x14ac:dyDescent="0.4">
      <c r="A46" s="172" t="s">
        <v>162</v>
      </c>
      <c r="B46" s="172" t="s">
        <v>163</v>
      </c>
      <c r="C46" s="173" t="s">
        <v>164</v>
      </c>
      <c r="D46" s="37" t="s">
        <v>171</v>
      </c>
      <c r="E46" s="37" t="s">
        <v>95</v>
      </c>
      <c r="F46" s="175" t="s">
        <v>169</v>
      </c>
      <c r="G46" s="186">
        <f t="shared" si="0"/>
        <v>1.239892596549629</v>
      </c>
      <c r="H46" s="176">
        <f>SUMPRODUCT(H42:H45,'Parameters, general'!$B$13:$B$16)</f>
        <v>8.3921419016502657E-2</v>
      </c>
      <c r="I46" s="176">
        <f>SUMPRODUCT(I42:I45,'Parameters, general'!$B$13:$B$16)</f>
        <v>4.936881119163105E-2</v>
      </c>
      <c r="J46" s="176">
        <f>SUMPRODUCT(J42:J45,'Parameters, general'!$B$13:$B$16)</f>
        <v>0.21791925030191878</v>
      </c>
      <c r="K46" s="176">
        <f>SUMPRODUCT(K42:K45,'Parameters, general'!$B$13:$B$16)</f>
        <v>2.1791925030191877E-2</v>
      </c>
      <c r="L46" s="176">
        <f>SUMPRODUCT(L42:L45,'Parameters, general'!$B$13:$B$16)</f>
        <v>6.6702940235783534E-2</v>
      </c>
      <c r="M46" s="176">
        <f>SUMPRODUCT(M42:M45,'Parameters, general'!$B$13:$B$16)</f>
        <v>0</v>
      </c>
      <c r="N46" s="176">
        <f>SUMPRODUCT(N42:N45,'Parameters, general'!$B$13:$B$16)</f>
        <v>7.3185930688178717E-5</v>
      </c>
      <c r="O46" s="176">
        <f>SUMPRODUCT(O42:O45,'Parameters, general'!$B$13:$B$16)</f>
        <v>6.2926943711976463E-2</v>
      </c>
      <c r="P46" s="176">
        <f>SUMPRODUCT(P42:P45,'Parameters, general'!$B$13:$B$16)</f>
        <v>1.9953416582695418E-2</v>
      </c>
      <c r="Q46" s="176">
        <f>SUMPRODUCT(Q42:Q45,'Parameters, general'!$B$13:$B$16)</f>
        <v>5.5190381004355813E-3</v>
      </c>
      <c r="R46" s="176">
        <f>SUMPRODUCT(R42:R45,'Parameters, general'!$B$13:$B$16)</f>
        <v>2.4295001452432168E-2</v>
      </c>
      <c r="S46" s="176">
        <f>SUMPRODUCT(S42:S45,'Parameters, general'!$B$13:$B$16)</f>
        <v>0</v>
      </c>
      <c r="T46" s="176">
        <f>SUMPRODUCT(T42:T45,'Parameters, general'!$B$13:$B$16)</f>
        <v>9.3263728567251403E-2</v>
      </c>
      <c r="U46" s="177"/>
      <c r="V46" s="177"/>
      <c r="W46" s="176">
        <f>SUMPRODUCT(W42:W45,'Parameters, general'!$B$13:$B$16)</f>
        <v>0.13546827063985561</v>
      </c>
      <c r="X46" s="176">
        <f>SUMPRODUCT(X42:X45,'Parameters, general'!$B$13:$B$16)</f>
        <v>0.45868866578826617</v>
      </c>
      <c r="Z46" s="115">
        <f>SUM(H46:R46)</f>
        <v>0.55247193155425578</v>
      </c>
      <c r="AA46" s="210">
        <f>'CO2 per kg feed'!F101+'CH4 per kg feed'!F101*CF_GWP_CH4_fossil+'N2O per kg feed'!F101*CF_GWP_N2O</f>
        <v>0.20835464458388697</v>
      </c>
    </row>
    <row r="47" spans="1:27" ht="15" thickTop="1" x14ac:dyDescent="0.35">
      <c r="A47" s="178" t="s">
        <v>162</v>
      </c>
      <c r="B47" s="178" t="s">
        <v>163</v>
      </c>
      <c r="C47" s="179" t="s">
        <v>164</v>
      </c>
      <c r="D47" s="163" t="s">
        <v>96</v>
      </c>
      <c r="E47" s="163" t="s">
        <v>97</v>
      </c>
      <c r="F47" s="180" t="s">
        <v>165</v>
      </c>
      <c r="G47" s="20">
        <f t="shared" ref="G47:G86" si="1">SUM(H47:X47)</f>
        <v>0.89988161564699287</v>
      </c>
      <c r="H47" s="181">
        <f>'CO2 per kg feed'!G113*FCR_bonefree_incl_parents_FI-Excreted_N_after_losses_FI*Manure_repl_factor_FI*(EF_min_fert_BAT_CO2*Frac_BAT_FI+EF_min_fert_AN_CO2*Frac_AN_FI)</f>
        <v>0.16125469737277298</v>
      </c>
      <c r="I47" s="181">
        <f>'CO2 per kg feed'!H113*FCR_bonefree_incl_parents_FI</f>
        <v>7.1201847455082623E-2</v>
      </c>
      <c r="J47" s="181">
        <f>'CO2 per kg feed'!I113*FCR_bonefree_incl_parents_FI</f>
        <v>0</v>
      </c>
      <c r="K47" s="181"/>
      <c r="L47" s="181">
        <f>'CO2 per kg feed'!K113*FCR_bonefree_incl_parents_FI</f>
        <v>0.11558591098137314</v>
      </c>
      <c r="M47" s="181"/>
      <c r="N47" s="181">
        <f>'CO2 per kg feed'!M113*FCR_bonefree_incl_parents_FI</f>
        <v>1.7646562233247312E-4</v>
      </c>
      <c r="O47" s="181">
        <f>'CO2 per kg feed'!N113*FCR_bonefree_incl_parents_FI</f>
        <v>0.10606327792298932</v>
      </c>
      <c r="P47" s="181">
        <f>'CO2 per kg feed'!O113*FCR_bonefree_incl_parents_FI</f>
        <v>7.7197498416045798E-2</v>
      </c>
      <c r="Q47" s="181">
        <f>'CO2 per kg feed'!P113*FCR_bonefree_incl_parents_FI</f>
        <v>2.2449520435750298E-2</v>
      </c>
      <c r="R47" s="181">
        <f>'CO2 per kg feed'!Q113*FCR_bonefree_incl_parents_FI</f>
        <v>0.10252344449318228</v>
      </c>
      <c r="S47" s="162"/>
      <c r="T47" s="162"/>
      <c r="U47" s="182"/>
      <c r="V47" s="182"/>
      <c r="W47" s="183">
        <f>Energy_stables_FI/Bonefree_outof_CW_FI*(Share_heating_FI*(Share_biofuels_FI*EF_biofuels_CO2+(1-Share_biofuels_FI)*EF_oil_CO2)+(1-Share_heating_FI)*EF_el_CO2_FI)</f>
        <v>8.1500343088887275E-2</v>
      </c>
      <c r="X47" s="184">
        <f>(Energy_slaughter_el_FI*EF_el_CO2_FI+Energy_slaughter_oil_FI*EF_oil_CO2)/Bonefree_outof_CW_FI</f>
        <v>0.16192860985857663</v>
      </c>
      <c r="Z47" s="20"/>
      <c r="AA47" s="20"/>
    </row>
    <row r="48" spans="1:27" x14ac:dyDescent="0.35">
      <c r="A48" s="13" t="s">
        <v>162</v>
      </c>
      <c r="B48" s="13" t="s">
        <v>163</v>
      </c>
      <c r="C48" s="17" t="s">
        <v>164</v>
      </c>
      <c r="D48" s="18" t="s">
        <v>96</v>
      </c>
      <c r="E48" s="18" t="s">
        <v>97</v>
      </c>
      <c r="F48" s="13" t="s">
        <v>166</v>
      </c>
      <c r="G48" s="33">
        <f t="shared" si="1"/>
        <v>1.1415948049499957E-3</v>
      </c>
      <c r="H48" s="34">
        <f>'CH4 per kg feed'!G113*FCR_bonefree_incl_parents_FI-Excreted_N_after_losses_FI*Manure_repl_factor_FI*(EF_min_fert_BAT_CH4*Frac_BAT_FI+EF_min_fert_AN_CH4*Frac_AN_FI)</f>
        <v>2.2331779856142565E-4</v>
      </c>
      <c r="I48" s="34">
        <f>'CH4 per kg feed'!H113*FCR_bonefree_incl_parents_FI</f>
        <v>2.5052501882343888E-4</v>
      </c>
      <c r="J48" s="34"/>
      <c r="K48" s="34"/>
      <c r="L48" s="34">
        <f>'CH4 per kg feed'!K113*FCR_bonefree_incl_parents_FI</f>
        <v>5.1200661041933341E-5</v>
      </c>
      <c r="M48" s="34"/>
      <c r="N48" s="34">
        <f>'CH4 per kg feed'!M113*FCR_bonefree_incl_parents_FI</f>
        <v>5.9018261117610376E-7</v>
      </c>
      <c r="O48" s="34">
        <f>'CH4 per kg feed'!N113*FCR_bonefree_incl_parents_FI</f>
        <v>4.7159647177544764E-5</v>
      </c>
      <c r="P48" s="34">
        <f>'CH4 per kg feed'!O113*FCR_bonefree_incl_parents_FI</f>
        <v>0</v>
      </c>
      <c r="Q48" s="34">
        <f>'CH4 per kg feed'!P113*FCR_bonefree_incl_parents_FI</f>
        <v>6.1544886904381688E-5</v>
      </c>
      <c r="R48" s="34">
        <f>'CH4 per kg feed'!Q113*FCR_bonefree_incl_parents_FI</f>
        <v>1.0930628176285464E-4</v>
      </c>
      <c r="W48" s="4">
        <f>Energy_stables_FI/Bonefree_outof_CW_FI*(Share_heating_FI*(Share_biofuels_FI*EF_biofuel_CH4+(1-Share_biofuels_FI)*EF_oil_CH4)+(1-Share_heating_FI)*EF_el_CH4_FI)</f>
        <v>8.1561809015817243E-5</v>
      </c>
      <c r="X48" s="12">
        <f>(Energy_slaughter_el_FI*EF_el_CH4_FI+Energy_slaughter_oil_FI*EF_oil_CH4)/Bonefree_outof_CW_FI</f>
        <v>3.1638851905142339E-4</v>
      </c>
      <c r="Z48" s="33"/>
      <c r="AA48" s="33"/>
    </row>
    <row r="49" spans="1:27" x14ac:dyDescent="0.35">
      <c r="A49" s="13" t="s">
        <v>162</v>
      </c>
      <c r="B49" s="13" t="s">
        <v>163</v>
      </c>
      <c r="C49" s="17" t="s">
        <v>164</v>
      </c>
      <c r="D49" s="18" t="s">
        <v>96</v>
      </c>
      <c r="E49" s="18" t="s">
        <v>97</v>
      </c>
      <c r="F49" s="13" t="s">
        <v>167</v>
      </c>
      <c r="G49" s="33">
        <f>SUM(H49:T49)+SUM(W49:X49)</f>
        <v>2.2013861429824129E-3</v>
      </c>
      <c r="H49" s="34"/>
      <c r="I49" s="34"/>
      <c r="J49" s="34"/>
      <c r="K49" s="34"/>
      <c r="L49" s="34"/>
      <c r="M49" s="34"/>
      <c r="N49" s="34"/>
      <c r="O49" s="34"/>
      <c r="P49" s="34"/>
      <c r="Q49" s="34"/>
      <c r="R49" s="34"/>
      <c r="T49" s="48">
        <f>SUM(U49:V49)</f>
        <v>2.2013861429824129E-3</v>
      </c>
      <c r="U49" s="64">
        <f>(Production!J40*(Slaughter_age_FI/365)+SUM(Production!J41:J44))*EF_CH4_manure_FI</f>
        <v>2.2013861429824129E-3</v>
      </c>
      <c r="W49" s="4"/>
      <c r="X49" s="12"/>
    </row>
    <row r="50" spans="1:27" ht="15" thickBot="1" x14ac:dyDescent="0.4">
      <c r="A50" s="13" t="s">
        <v>162</v>
      </c>
      <c r="B50" s="13" t="s">
        <v>163</v>
      </c>
      <c r="C50" s="17" t="s">
        <v>164</v>
      </c>
      <c r="D50" s="18" t="s">
        <v>96</v>
      </c>
      <c r="E50" s="18" t="s">
        <v>97</v>
      </c>
      <c r="F50" s="35" t="s">
        <v>168</v>
      </c>
      <c r="G50" s="33">
        <f>SUM(H50:T50)+SUM(W50:X50)</f>
        <v>2.0666460862784923E-3</v>
      </c>
      <c r="H50" s="34">
        <f>'N2O per kg feed'!G113*FCR_bonefree_incl_parents_FI-Excreted_N_after_losses_FI*Manure_repl_factor_FI*(EF_min_fert_BAT_N2O*Frac_BAT_FI+EF_min_fert_AN_N2O*Frac_AN_FI)</f>
        <v>3.1219456133025643E-4</v>
      </c>
      <c r="I50" s="33">
        <f>'N2O per kg feed'!H113*FCR_bonefree_incl_parents_FI</f>
        <v>2.9008160074292919E-6</v>
      </c>
      <c r="J50" s="33">
        <f>'N2O per kg feed'!I113*FCR_bonefree_incl_parents_FI-Excreted_N_after_losses_FI*Manure_repl_factor_FI*EF_N2O_diff_FI</f>
        <v>1.449933806250969E-3</v>
      </c>
      <c r="K50" s="33">
        <f>J50*EF_indirect_N2O_FI</f>
        <v>1.449933806250969E-4</v>
      </c>
      <c r="L50" s="33">
        <f>'N2O per kg feed'!K113*FCR_bonefree_incl_parents_FI</f>
        <v>3.1058384931770449E-6</v>
      </c>
      <c r="M50" s="33"/>
      <c r="N50" s="33">
        <f>'N2O per kg feed'!M113*FCR_bonefree_incl_parents_FI</f>
        <v>7.2633117005115007E-9</v>
      </c>
      <c r="O50" s="33">
        <f>'N2O per kg feed'!N113*FCR_bonefree_incl_parents_FI</f>
        <v>3.6154327018012949E-6</v>
      </c>
      <c r="P50" s="33">
        <f>'N2O per kg feed'!O113*FCR_bonefree_incl_parents_FI</f>
        <v>0</v>
      </c>
      <c r="Q50" s="33">
        <f>'N2O per kg feed'!P113*FCR_bonefree_incl_parents_FI</f>
        <v>5.8440622917155296E-6</v>
      </c>
      <c r="R50" s="33">
        <f>'N2O per kg feed'!Q113*FCR_bonefree_incl_parents_FI</f>
        <v>3.4094814344387079E-6</v>
      </c>
      <c r="T50" s="48">
        <f>SUM(U50:V50)</f>
        <v>1.2390587072060898E-4</v>
      </c>
      <c r="U50" s="9">
        <f>Excreted_N_per_kg_of_bonefree_meat_FI*EF_N2O_manure_direct_FI*44/28</f>
        <v>4.5919975807215269E-5</v>
      </c>
      <c r="V50" s="64">
        <f>(Excreted_N_per_kg_of_bonefree_meat_FI-U50*28/44)*EF_ammonia_FI*EF_N2O_manure_indirect_FI*44/28</f>
        <v>7.7985894913393708E-5</v>
      </c>
      <c r="W50" s="4">
        <f>Energy_stables_FI/Bonefree_outof_CW_FI*(Share_heating_FI*(Share_biofuels_FI*EF_biofuel_N2O+(1-Share_biofuels_FI)*EF_oil_N2O)+(1-Share_heating_FI)*EF_el_N2O_FI)</f>
        <v>6.4028804827272695E-6</v>
      </c>
      <c r="X50" s="12">
        <f>(Energy_slaughter_el_FI*EF_el_N2O_FI+Energy_slaughter_oil_FI*EF_oil_N2O)/Bonefree_outof_CW_FI</f>
        <v>1.0332692628571429E-5</v>
      </c>
      <c r="Z50" s="33"/>
      <c r="AA50" s="33"/>
    </row>
    <row r="51" spans="1:27" ht="15.5" thickTop="1" thickBot="1" x14ac:dyDescent="0.4">
      <c r="A51" s="172" t="s">
        <v>162</v>
      </c>
      <c r="B51" s="172" t="s">
        <v>163</v>
      </c>
      <c r="C51" s="173" t="s">
        <v>164</v>
      </c>
      <c r="D51" s="174" t="s">
        <v>96</v>
      </c>
      <c r="E51" s="174" t="s">
        <v>97</v>
      </c>
      <c r="F51" s="175" t="s">
        <v>169</v>
      </c>
      <c r="G51" s="186">
        <f t="shared" si="1"/>
        <v>1.5575329482490563</v>
      </c>
      <c r="H51" s="176">
        <f>SUMPRODUCT(H47:H50,'Parameters, general'!$B$13:$B$16)</f>
        <v>0.25313868301306347</v>
      </c>
      <c r="I51" s="176">
        <f>SUMPRODUCT(I47:I50,'Parameters, general'!$B$13:$B$16)</f>
        <v>7.9459415786049301E-2</v>
      </c>
      <c r="J51" s="176">
        <f>SUMPRODUCT(J47:J50,'Parameters, general'!$B$13:$B$16)</f>
        <v>0.39583192910651455</v>
      </c>
      <c r="K51" s="176">
        <f>SUMPRODUCT(K47:K50,'Parameters, general'!$B$13:$B$16)</f>
        <v>3.9583192910651453E-2</v>
      </c>
      <c r="L51" s="176">
        <f>SUMPRODUCT(L47:L50,'Parameters, general'!$B$13:$B$16)</f>
        <v>0.11795958458906008</v>
      </c>
      <c r="M51" s="176">
        <f>SUMPRODUCT(M47:M50,'Parameters, general'!$B$13:$B$16)</f>
        <v>0</v>
      </c>
      <c r="N51" s="176">
        <f>SUMPRODUCT(N47:N50,'Parameters, general'!$B$13:$B$16)</f>
        <v>1.9603594823976067E-4</v>
      </c>
      <c r="O51" s="176">
        <f>SUMPRODUCT(O47:O50,'Parameters, general'!$B$13:$B$16)</f>
        <v>0.10845564853647191</v>
      </c>
      <c r="P51" s="176">
        <f>SUMPRODUCT(P47:P50,'Parameters, general'!$B$13:$B$16)</f>
        <v>7.7197498416045798E-2</v>
      </c>
      <c r="Q51" s="176">
        <f>SUMPRODUCT(Q47:Q50,'Parameters, general'!$B$13:$B$16)</f>
        <v>2.5878987071139212E-2</v>
      </c>
      <c r="R51" s="176">
        <f>SUMPRODUCT(R47:R50,'Parameters, general'!$B$13:$B$16)</f>
        <v>0.10671156012131712</v>
      </c>
      <c r="S51" s="176">
        <f>SUMPRODUCT(S47:S50,'Parameters, general'!$B$13:$B$16)</f>
        <v>0</v>
      </c>
      <c r="T51" s="176">
        <f>SUMPRODUCT(T47:T50,'Parameters, general'!$B$13:$B$16)</f>
        <v>9.3263728567251403E-2</v>
      </c>
      <c r="U51" s="177"/>
      <c r="V51" s="177"/>
      <c r="W51" s="176">
        <f>SUMPRODUCT(W47:W50,'Parameters, general'!$B$13:$B$16)</f>
        <v>8.5678871369343171E-2</v>
      </c>
      <c r="X51" s="176">
        <f>SUMPRODUCT(X47:X50,'Parameters, general'!$B$13:$B$16)</f>
        <v>0.17417781281390907</v>
      </c>
      <c r="Z51" s="115">
        <f>SUM(H51:R51)</f>
        <v>1.2044125354985526</v>
      </c>
      <c r="AA51" s="210">
        <f>'CO2 per kg feed'!F113+'CH4 per kg feed'!F113*CF_GWP_CH4_fossil+'N2O per kg feed'!F113*CF_GWP_N2O</f>
        <v>0.40232739724970024</v>
      </c>
    </row>
    <row r="52" spans="1:27" ht="15" thickTop="1" x14ac:dyDescent="0.35">
      <c r="A52" s="13" t="s">
        <v>162</v>
      </c>
      <c r="B52" s="13" t="s">
        <v>163</v>
      </c>
      <c r="C52" s="17" t="s">
        <v>164</v>
      </c>
      <c r="D52" s="18" t="s">
        <v>31</v>
      </c>
      <c r="E52" s="18" t="s">
        <v>98</v>
      </c>
      <c r="F52" s="36" t="s">
        <v>165</v>
      </c>
      <c r="G52" s="20">
        <f t="shared" si="1"/>
        <v>0.74603329812799513</v>
      </c>
      <c r="H52" s="181">
        <f>'CO2 per kg feed'!G125*FCR_bonefree_incl_parents_FR-Excreted_N_after_losses_FR*Manure_repl_factor_FR*(EF_min_fert_BAT_CO2*Frac_BAT_FR+EF_min_fert_AN_CO2*Frac_AN_FR)</f>
        <v>0.15744981278820208</v>
      </c>
      <c r="I52" s="181">
        <f>'CO2 per kg feed'!H125*FCR_bonefree_incl_parents_FR</f>
        <v>7.5484001359292743E-2</v>
      </c>
      <c r="J52" s="181">
        <f>'CO2 per kg feed'!I125*FCR_bonefree_incl_parents_FR</f>
        <v>0</v>
      </c>
      <c r="K52" s="181"/>
      <c r="L52" s="181">
        <f>'CO2 per kg feed'!K125*FCR_bonefree_incl_parents_FR</f>
        <v>8.5386586298980202E-2</v>
      </c>
      <c r="M52" s="181"/>
      <c r="N52" s="181">
        <f>'CO2 per kg feed'!M125*FCR_bonefree_incl_parents_FR</f>
        <v>5.5928481880847224E-3</v>
      </c>
      <c r="O52" s="181">
        <f>'CO2 per kg feed'!N125*FCR_bonefree_incl_parents_FR</f>
        <v>0.10551287107527549</v>
      </c>
      <c r="P52" s="181">
        <f>'CO2 per kg feed'!O125*FCR_bonefree_incl_parents_FR</f>
        <v>9.1730991286372396E-2</v>
      </c>
      <c r="Q52" s="181">
        <f>'CO2 per kg feed'!P125*FCR_bonefree_incl_parents_FR</f>
        <v>1.6937198338641407E-2</v>
      </c>
      <c r="R52" s="181">
        <f>'CO2 per kg feed'!Q125*FCR_bonefree_incl_parents_FR</f>
        <v>9.2752330581814882E-2</v>
      </c>
      <c r="S52" s="162"/>
      <c r="T52" s="162"/>
      <c r="U52" s="182"/>
      <c r="V52" s="182"/>
      <c r="W52" s="183">
        <f>Energy_stables_FR/Bonefree_outof_CW_FR*(Share_heating_FR*(Share_biofuels_FR*EF_biofuels_CO2+(1-Share_biofuels_FR)*EF_oil_CO2)+(1-Share_heating_FR)*EF_el_CO2_FR)</f>
        <v>6.2400426851590918E-2</v>
      </c>
      <c r="X52" s="184">
        <f>(Energy_slaughter_el_FR*EF_el_CO2_FR+Energy_slaughter_oil_FR*EF_oil_CO2)/Bonefree_outof_CW_FR</f>
        <v>5.2786231359740254E-2</v>
      </c>
      <c r="Z52" s="20"/>
      <c r="AA52" s="20"/>
    </row>
    <row r="53" spans="1:27" x14ac:dyDescent="0.35">
      <c r="A53" s="13" t="s">
        <v>162</v>
      </c>
      <c r="B53" s="13" t="s">
        <v>163</v>
      </c>
      <c r="C53" s="17" t="s">
        <v>164</v>
      </c>
      <c r="D53" s="18" t="s">
        <v>31</v>
      </c>
      <c r="E53" s="18" t="s">
        <v>98</v>
      </c>
      <c r="F53" s="13" t="s">
        <v>166</v>
      </c>
      <c r="G53" s="33">
        <f t="shared" si="1"/>
        <v>1.0169099467455076E-3</v>
      </c>
      <c r="H53" s="34">
        <f>'CH4 per kg feed'!G125*FCR_bonefree_incl_parents_FR-Excreted_N_after_losses_FR*Manure_repl_factor_FR*(EF_min_fert_BAT_CH4*Frac_BAT_FR+EF_min_fert_AN_CH4*Frac_AN_FR)</f>
        <v>2.89195446930623E-4</v>
      </c>
      <c r="I53" s="34">
        <f>'CH4 per kg feed'!H125*FCR_bonefree_incl_parents_FR</f>
        <v>2.7750917657695022E-4</v>
      </c>
      <c r="J53" s="34"/>
      <c r="K53" s="34"/>
      <c r="L53" s="34">
        <f>'CH4 per kg feed'!K125*FCR_bonefree_incl_parents_FR</f>
        <v>3.7833579362281445E-5</v>
      </c>
      <c r="M53" s="34"/>
      <c r="N53" s="34">
        <f>'CH4 per kg feed'!M125*FCR_bonefree_incl_parents_FR</f>
        <v>1.9538691548016668E-5</v>
      </c>
      <c r="O53" s="34">
        <f>'CH4 per kg feed'!N125*FCR_bonefree_incl_parents_FR</f>
        <v>5.7353021255166712E-5</v>
      </c>
      <c r="P53" s="34">
        <f>'CH4 per kg feed'!O125*FCR_bonefree_incl_parents_FR</f>
        <v>0</v>
      </c>
      <c r="Q53" s="34">
        <f>'CH4 per kg feed'!P125*FCR_bonefree_incl_parents_FR</f>
        <v>5.1988569920082553E-5</v>
      </c>
      <c r="R53" s="34">
        <f>'CH4 per kg feed'!Q125*FCR_bonefree_incl_parents_FR</f>
        <v>8.9083902457246818E-5</v>
      </c>
      <c r="W53" s="4">
        <f>Energy_stables_FR/Bonefree_outof_CW_FR*(Share_heating_FR*(Share_biofuels_FR*EF_biofuel_CH4+(1-Share_biofuels_FR)*EF_oil_CH4)+(1-Share_heating_FR)*EF_el_CH4_FR)</f>
        <v>5.1246928471036339E-5</v>
      </c>
      <c r="X53" s="12">
        <f>(Energy_slaughter_el_FR*EF_el_CH4_FR+Energy_slaughter_oil_FR*EF_oil_CH4)/Bonefree_outof_CW_FR</f>
        <v>1.4316063022410392E-4</v>
      </c>
      <c r="Z53" s="33"/>
      <c r="AA53" s="33"/>
    </row>
    <row r="54" spans="1:27" x14ac:dyDescent="0.35">
      <c r="A54" s="13" t="s">
        <v>162</v>
      </c>
      <c r="B54" s="13" t="s">
        <v>163</v>
      </c>
      <c r="C54" s="17" t="s">
        <v>164</v>
      </c>
      <c r="D54" s="18" t="s">
        <v>31</v>
      </c>
      <c r="E54" s="18" t="s">
        <v>98</v>
      </c>
      <c r="F54" s="13" t="s">
        <v>167</v>
      </c>
      <c r="G54" s="33">
        <f>SUM(H54:T54)+SUM(W54:X54)</f>
        <v>2.2548527409656507E-3</v>
      </c>
      <c r="H54" s="34"/>
      <c r="I54" s="34"/>
      <c r="J54" s="34"/>
      <c r="K54" s="34"/>
      <c r="L54" s="34"/>
      <c r="M54" s="34"/>
      <c r="N54" s="34"/>
      <c r="O54" s="34"/>
      <c r="P54" s="34"/>
      <c r="Q54" s="34"/>
      <c r="R54" s="34"/>
      <c r="T54" s="48">
        <f>SUM(U54:V54)</f>
        <v>2.2548527409656507E-3</v>
      </c>
      <c r="U54" s="64">
        <f>(Production!K40*(Slaughter_age_FR/365)+SUM(Production!K41:K44))*EF_CH4_manure_FR</f>
        <v>2.2548527409656507E-3</v>
      </c>
      <c r="W54" s="4"/>
      <c r="X54" s="12"/>
    </row>
    <row r="55" spans="1:27" ht="15" thickBot="1" x14ac:dyDescent="0.4">
      <c r="A55" s="13" t="s">
        <v>162</v>
      </c>
      <c r="B55" s="13" t="s">
        <v>163</v>
      </c>
      <c r="C55" s="17" t="s">
        <v>164</v>
      </c>
      <c r="D55" s="18" t="s">
        <v>31</v>
      </c>
      <c r="E55" s="18" t="s">
        <v>98</v>
      </c>
      <c r="F55" s="35" t="s">
        <v>168</v>
      </c>
      <c r="G55" s="33">
        <f>SUM(H55:T55)+SUM(W55:X55)</f>
        <v>1.7922933177445578E-3</v>
      </c>
      <c r="H55" s="34">
        <f>'N2O per kg feed'!G125*FCR_bonefree_incl_parents_FR-Excreted_N_after_losses_FR*Manure_repl_factor_FR*(EF_min_fert_BAT_N2O*Frac_BAT_FR+EF_min_fert_AN_N2O*Frac_AN_FR)</f>
        <v>3.3199344328929524E-4</v>
      </c>
      <c r="I55" s="33">
        <f>'N2O per kg feed'!H125*FCR_bonefree_incl_parents_FR</f>
        <v>2.8369277306046328E-6</v>
      </c>
      <c r="J55" s="33">
        <f>'N2O per kg feed'!I125*FCR_bonefree_incl_parents_FR-Excreted_N_after_losses_FR*Manure_repl_factor_FR*EF_N2O_diff_FR</f>
        <v>1.1383231057595386E-3</v>
      </c>
      <c r="K55" s="33">
        <f>J55*EF_indirect_N2O_FR</f>
        <v>1.1383231057595386E-4</v>
      </c>
      <c r="L55" s="33">
        <f>'N2O per kg feed'!K125*FCR_bonefree_incl_parents_FR</f>
        <v>2.2946469799159597E-6</v>
      </c>
      <c r="M55" s="33"/>
      <c r="N55" s="33">
        <f>'N2O per kg feed'!M125*FCR_bonefree_incl_parents_FR</f>
        <v>2.4080939385404767E-7</v>
      </c>
      <c r="O55" s="33">
        <f>'N2O per kg feed'!N125*FCR_bonefree_incl_parents_FR</f>
        <v>3.9570162626807675E-6</v>
      </c>
      <c r="P55" s="33">
        <f>'N2O per kg feed'!O125*FCR_bonefree_incl_parents_FR</f>
        <v>0</v>
      </c>
      <c r="Q55" s="33">
        <f>'N2O per kg feed'!P125*FCR_bonefree_incl_parents_FR</f>
        <v>5.1358634652715183E-6</v>
      </c>
      <c r="R55" s="33">
        <f>'N2O per kg feed'!Q125*FCR_bonefree_incl_parents_FR</f>
        <v>3.2106037113318351E-6</v>
      </c>
      <c r="T55" s="48">
        <f>SUM(U55:V55)</f>
        <v>1.8057705445485167E-4</v>
      </c>
      <c r="U55" s="9">
        <f>Excreted_N_per_kg_of_bonefree_meat_FR*EF_N2O_manure_direct_FR*44/28</f>
        <v>6.6922526944688019E-5</v>
      </c>
      <c r="V55" s="64">
        <f>(Excreted_N_per_kg_of_bonefree_meat_FR-U55*28/44)*EF_ammonia_FR*EF_N2O_manure_indirect_FR*44/28</f>
        <v>1.1365452751016366E-4</v>
      </c>
      <c r="W55" s="4">
        <f>Energy_stables_FR/Bonefree_outof_CW_FR*(Share_heating_FR*(Share_biofuels_FR*EF_biofuel_N2O+(1-Share_biofuels_FR)*EF_oil_N2O)+(1-Share_heating_FR)*EF_el_N2O_FR)</f>
        <v>5.3835558246363609E-6</v>
      </c>
      <c r="X55" s="12">
        <f>(Energy_slaughter_el_FR*EF_el_N2O_FR+Energy_slaughter_oil_FR*EF_oil_N2O)/Bonefree_outof_CW_FR</f>
        <v>4.507980296623376E-6</v>
      </c>
      <c r="Z55" s="33"/>
      <c r="AA55" s="33"/>
    </row>
    <row r="56" spans="1:27" ht="15.5" thickTop="1" thickBot="1" x14ac:dyDescent="0.4">
      <c r="A56" s="172" t="s">
        <v>162</v>
      </c>
      <c r="B56" s="172" t="s">
        <v>163</v>
      </c>
      <c r="C56" s="173" t="s">
        <v>164</v>
      </c>
      <c r="D56" s="37" t="s">
        <v>31</v>
      </c>
      <c r="E56" s="37" t="s">
        <v>98</v>
      </c>
      <c r="F56" s="185" t="s">
        <v>169</v>
      </c>
      <c r="G56" s="186">
        <f t="shared" si="1"/>
        <v>1.326514314291348</v>
      </c>
      <c r="H56" s="176">
        <f>SUMPRODUCT(H52:H55,'Parameters, general'!$B$13:$B$16)</f>
        <v>0.25670204712471223</v>
      </c>
      <c r="I56" s="176">
        <f>SUMPRODUCT(I52:I55,'Parameters, general'!$B$13:$B$16)</f>
        <v>8.452825609174093E-2</v>
      </c>
      <c r="J56" s="176">
        <f>SUMPRODUCT(J52:J55,'Parameters, general'!$B$13:$B$16)</f>
        <v>0.31076220787235403</v>
      </c>
      <c r="K56" s="176">
        <f>SUMPRODUCT(K52:K55,'Parameters, general'!$B$13:$B$16)</f>
        <v>3.1076220787235403E-2</v>
      </c>
      <c r="L56" s="176">
        <f>SUMPRODUCT(L52:L55,'Parameters, general'!$B$13:$B$16)</f>
        <v>8.7140465589493246E-2</v>
      </c>
      <c r="M56" s="176">
        <f>SUMPRODUCT(M52:M55,'Parameters, general'!$B$13:$B$16)</f>
        <v>0</v>
      </c>
      <c r="N56" s="176">
        <f>SUMPRODUCT(N52:N55,'Parameters, general'!$B$13:$B$16)</f>
        <v>6.2408421607377737E-3</v>
      </c>
      <c r="O56" s="176">
        <f>SUMPRODUCT(O52:O55,'Parameters, general'!$B$13:$B$16)</f>
        <v>0.1083022565483913</v>
      </c>
      <c r="P56" s="176">
        <f>SUMPRODUCT(P52:P55,'Parameters, general'!$B$13:$B$16)</f>
        <v>9.1730991286372396E-2</v>
      </c>
      <c r="Q56" s="176">
        <f>SUMPRODUCT(Q52:Q55,'Parameters, general'!$B$13:$B$16)</f>
        <v>1.9888548448278993E-2</v>
      </c>
      <c r="R56" s="176">
        <f>SUMPRODUCT(R52:R55,'Parameters, general'!$B$13:$B$16)</f>
        <v>9.6283525688234423E-2</v>
      </c>
      <c r="S56" s="176">
        <f>SUMPRODUCT(S52:S55,'Parameters, general'!$B$13:$B$16)</f>
        <v>0</v>
      </c>
      <c r="T56" s="176">
        <f>SUMPRODUCT(T52:T55,'Parameters, general'!$B$13:$B$16)</f>
        <v>0.11017855987224708</v>
      </c>
      <c r="U56" s="177"/>
      <c r="V56" s="177"/>
      <c r="W56" s="176">
        <f>SUMPRODUCT(W52:W55,'Parameters, general'!$B$13:$B$16)</f>
        <v>6.5397296060153529E-2</v>
      </c>
      <c r="X56" s="176">
        <f>SUMPRODUCT(X52:X55,'Parameters, general'!$B$13:$B$16)</f>
        <v>5.8283096761396737E-2</v>
      </c>
      <c r="Z56" s="115">
        <f>SUM(H56:R56)</f>
        <v>1.0926553615975507</v>
      </c>
      <c r="AA56" s="210">
        <f>'CO2 per kg feed'!F125+'CH4 per kg feed'!F125*CF_GWP_CH4_fossil+'N2O per kg feed'!F125*CF_GWP_N2O</f>
        <v>0.38891067605745983</v>
      </c>
    </row>
    <row r="57" spans="1:27" ht="15" thickTop="1" x14ac:dyDescent="0.35">
      <c r="A57" s="178" t="s">
        <v>162</v>
      </c>
      <c r="B57" s="178" t="s">
        <v>163</v>
      </c>
      <c r="C57" s="179" t="s">
        <v>164</v>
      </c>
      <c r="D57" s="163" t="s">
        <v>24</v>
      </c>
      <c r="E57" s="163" t="s">
        <v>99</v>
      </c>
      <c r="F57" s="180" t="s">
        <v>165</v>
      </c>
      <c r="G57" s="20">
        <f>SUM(H57:X57)</f>
        <v>0.98916343458231615</v>
      </c>
      <c r="H57" s="181">
        <f>'CO2 per kg feed'!G137*FCR_bonefree_incl_parents_DE-Excreted_N_after_losses_DE*Manure_repl_factor_DE*(EF_min_fert_BAT_CO2*Frac_BAT_DE+EF_min_fert_AN_CO2*Frac_AN_DE)</f>
        <v>0.13971618849444883</v>
      </c>
      <c r="I57" s="181">
        <f>'CO2 per kg feed'!H137*FCR_bonefree_incl_parents_DE</f>
        <v>8.0675571130795487E-2</v>
      </c>
      <c r="J57" s="181">
        <f>'CO2 per kg feed'!I137*FCR_bonefree_incl_parents_DE</f>
        <v>0</v>
      </c>
      <c r="K57" s="181"/>
      <c r="L57" s="181">
        <f>'CO2 per kg feed'!K137*FCR_bonefree_incl_parents_DE</f>
        <v>8.6792439955505937E-2</v>
      </c>
      <c r="M57" s="181"/>
      <c r="N57" s="181">
        <f>'CO2 per kg feed'!M137*FCR_bonefree_incl_parents_DE</f>
        <v>1.4603878231679718E-3</v>
      </c>
      <c r="O57" s="181">
        <f>'CO2 per kg feed'!N137*FCR_bonefree_incl_parents_DE</f>
        <v>0.12988624027038756</v>
      </c>
      <c r="P57" s="181">
        <f>'CO2 per kg feed'!O137*FCR_bonefree_incl_parents_DE</f>
        <v>9.4471241184542698E-2</v>
      </c>
      <c r="Q57" s="181">
        <f>'CO2 per kg feed'!P137*FCR_bonefree_incl_parents_DE</f>
        <v>1.7007421815292072E-2</v>
      </c>
      <c r="R57" s="181">
        <f>'CO2 per kg feed'!Q137*FCR_bonefree_incl_parents_DE</f>
        <v>9.4222312196757377E-2</v>
      </c>
      <c r="S57" s="162"/>
      <c r="T57" s="162"/>
      <c r="U57" s="182"/>
      <c r="V57" s="182"/>
      <c r="W57" s="183">
        <f>Energy_stables_DE/Bonefree_outof_CW_DE*(Share_heating_DE*(Share_biofuels_DE*EF_biofuels_CO2+(1-Share_biofuels_DE)*EF_oil_CO2)+(1-Share_heating_DE)*EF_el_CO2_DE)</f>
        <v>9.6617763330327275E-2</v>
      </c>
      <c r="X57" s="184">
        <f>(Energy_slaughter_el_DE*EF_el_CO2_DE+Energy_slaughter_oil_DE*EF_oil_CO2)/Bonefree_outof_CW_DE</f>
        <v>0.24831386838109093</v>
      </c>
      <c r="Z57" s="20"/>
      <c r="AA57" s="20"/>
    </row>
    <row r="58" spans="1:27" x14ac:dyDescent="0.35">
      <c r="A58" s="13" t="s">
        <v>162</v>
      </c>
      <c r="B58" s="13" t="s">
        <v>163</v>
      </c>
      <c r="C58" s="17" t="s">
        <v>164</v>
      </c>
      <c r="D58" s="18" t="s">
        <v>24</v>
      </c>
      <c r="E58" s="18" t="s">
        <v>99</v>
      </c>
      <c r="F58" s="13" t="s">
        <v>166</v>
      </c>
      <c r="G58" s="33">
        <f>SUM(H58:X58)</f>
        <v>1.4032804898214482E-3</v>
      </c>
      <c r="H58" s="34">
        <f>'CH4 per kg feed'!G137*FCR_bonefree_incl_parents_DE-Excreted_N_after_losses_DE*Manure_repl_factor_DE*(EF_min_fert_BAT_CH4*Frac_BAT_DE+EF_min_fert_AN_CH4*Frac_AN_DE)</f>
        <v>2.5792928364802651E-4</v>
      </c>
      <c r="I58" s="34">
        <f>'CH4 per kg feed'!H137*FCR_bonefree_incl_parents_DE</f>
        <v>2.9681362225537981E-4</v>
      </c>
      <c r="J58" s="34"/>
      <c r="K58" s="34"/>
      <c r="L58" s="34">
        <f>'CH4 per kg feed'!K137*FCR_bonefree_incl_parents_DE</f>
        <v>3.8353870407000006E-5</v>
      </c>
      <c r="M58" s="34"/>
      <c r="N58" s="34">
        <f>'CH4 per kg feed'!M137*FCR_bonefree_incl_parents_DE</f>
        <v>4.3594979577843623E-6</v>
      </c>
      <c r="O58" s="34">
        <f>'CH4 per kg feed'!N137*FCR_bonefree_incl_parents_DE</f>
        <v>9.2562813578873771E-5</v>
      </c>
      <c r="P58" s="34">
        <f>'CH4 per kg feed'!O137*FCR_bonefree_incl_parents_DE</f>
        <v>0</v>
      </c>
      <c r="Q58" s="34">
        <f>'CH4 per kg feed'!P137*FCR_bonefree_incl_parents_DE</f>
        <v>5.2595617833870938E-5</v>
      </c>
      <c r="R58" s="34">
        <f>'CH4 per kg feed'!Q137*FCR_bonefree_incl_parents_DE</f>
        <v>8.9919548412112764E-5</v>
      </c>
      <c r="W58" s="4">
        <f>Energy_stables_DE/Bonefree_outof_CW_DE*(Share_heating_DE*(Share_biofuels_DE*EF_biofuel_CH4+(1-Share_biofuels_DE)*EF_oil_CH4)+(1-Share_heating_DE)*EF_el_CH4_DE)</f>
        <v>1.0729736973130906E-4</v>
      </c>
      <c r="X58" s="12">
        <f>(Energy_slaughter_el_DE*EF_el_CH4_DE+Energy_slaughter_oil_DE*EF_oil_CH4)/Bonefree_outof_CW_DE</f>
        <v>4.6344886599709086E-4</v>
      </c>
      <c r="Z58" s="33"/>
      <c r="AA58" s="33"/>
    </row>
    <row r="59" spans="1:27" x14ac:dyDescent="0.35">
      <c r="A59" s="13" t="s">
        <v>162</v>
      </c>
      <c r="B59" s="13" t="s">
        <v>163</v>
      </c>
      <c r="C59" s="17" t="s">
        <v>164</v>
      </c>
      <c r="D59" s="18" t="s">
        <v>24</v>
      </c>
      <c r="E59" s="18" t="s">
        <v>99</v>
      </c>
      <c r="F59" s="13" t="s">
        <v>167</v>
      </c>
      <c r="G59" s="33">
        <f>SUM(H59:T59)+SUM(W59:X59)</f>
        <v>3.3020792144736189E-3</v>
      </c>
      <c r="H59" s="34"/>
      <c r="I59" s="34"/>
      <c r="J59" s="34"/>
      <c r="K59" s="34"/>
      <c r="L59" s="34"/>
      <c r="M59" s="34"/>
      <c r="N59" s="34"/>
      <c r="O59" s="34"/>
      <c r="P59" s="34"/>
      <c r="Q59" s="34"/>
      <c r="R59" s="34"/>
      <c r="T59" s="48">
        <f>SUM(U59:V59)</f>
        <v>3.3020792144736189E-3</v>
      </c>
      <c r="U59" s="64">
        <f>(Production!L40*(Slaughter_age_DE/365)+SUM(Production!L41:L44))*EF_CH4_manure_DE</f>
        <v>3.3020792144736189E-3</v>
      </c>
      <c r="W59" s="4"/>
      <c r="X59" s="12"/>
    </row>
    <row r="60" spans="1:27" ht="15" thickBot="1" x14ac:dyDescent="0.4">
      <c r="A60" s="13" t="s">
        <v>162</v>
      </c>
      <c r="B60" s="13" t="s">
        <v>163</v>
      </c>
      <c r="C60" s="17" t="s">
        <v>164</v>
      </c>
      <c r="D60" s="18" t="s">
        <v>24</v>
      </c>
      <c r="E60" s="18" t="s">
        <v>99</v>
      </c>
      <c r="F60" s="35" t="s">
        <v>168</v>
      </c>
      <c r="G60" s="33">
        <f>SUM(H60:T60)+SUM(W60:X60)</f>
        <v>1.8609263500085154E-3</v>
      </c>
      <c r="H60" s="34">
        <f>'N2O per kg feed'!G137*FCR_bonefree_incl_parents_DE-Excreted_N_after_losses_DE*Manure_repl_factor_DE*(EF_min_fert_BAT_N2O*Frac_BAT_DE+EF_min_fert_AN_N2O*Frac_AN_DE)</f>
        <v>2.9449448909018813E-4</v>
      </c>
      <c r="I60" s="33">
        <f>'N2O per kg feed'!H137*FCR_bonefree_incl_parents_DE</f>
        <v>3.0276799027585705E-6</v>
      </c>
      <c r="J60" s="33">
        <f>'N2O per kg feed'!I137*FCR_bonefree_incl_parents_DE-Excreted_N_after_losses_DE*Manure_repl_factor_DE*EF_N2O_diff_DE</f>
        <v>1.1507977139614846E-3</v>
      </c>
      <c r="K60" s="33">
        <f>J60*EF_indirect_N2O_DE</f>
        <v>1.1507977139614847E-4</v>
      </c>
      <c r="L60" s="33">
        <f>'N2O per kg feed'!K137*FCR_bonefree_incl_parents_DE</f>
        <v>2.3266654434352227E-6</v>
      </c>
      <c r="M60" s="33"/>
      <c r="N60" s="33">
        <f>'N2O per kg feed'!M137*FCR_bonefree_incl_parents_DE</f>
        <v>5.3674875411625427E-8</v>
      </c>
      <c r="O60" s="33">
        <f>'N2O per kg feed'!N137*FCR_bonefree_incl_parents_DE</f>
        <v>4.8448061008391923E-6</v>
      </c>
      <c r="P60" s="33">
        <f>'N2O per kg feed'!O137*FCR_bonefree_incl_parents_DE</f>
        <v>0</v>
      </c>
      <c r="Q60" s="33">
        <f>'N2O per kg feed'!P137*FCR_bonefree_incl_parents_DE</f>
        <v>5.2083720715029182E-6</v>
      </c>
      <c r="R60" s="33">
        <f>'N2O per kg feed'!Q137*FCR_bonefree_incl_parents_DE</f>
        <v>3.2688953639676601E-6</v>
      </c>
      <c r="T60" s="48">
        <f>SUM(U60:V60)</f>
        <v>2.642451288923892E-4</v>
      </c>
      <c r="U60" s="9">
        <f>Excreted_N_per_kg_of_bonefree_meat_DE*EF_N2O_manure_direct_DE*44/28</f>
        <v>9.7930226028384234E-5</v>
      </c>
      <c r="V60" s="64">
        <f>(Excreted_N_per_kg_of_bonefree_meat_DE-U60*28/44)*EF_ammonia_DE*EF_N2O_manure_indirect_DE*44/28</f>
        <v>1.6631490286400497E-4</v>
      </c>
      <c r="W60" s="4">
        <f>Energy_stables_DE/Bonefree_outof_CW_DE*(Share_heating_DE*(Share_biofuels_DE*EF_biofuel_N2O+(1-Share_biofuels_DE)*EF_oil_N2O)+(1-Share_heating_DE)*EF_el_N2O_DE)</f>
        <v>6.5285200272727236E-6</v>
      </c>
      <c r="X60" s="12">
        <f>(Energy_slaughter_el_DE*EF_el_N2O_DE+Energy_slaughter_oil_DE*EF_oil_N2O)/Bonefree_outof_CW_DE</f>
        <v>1.1050632883116888E-5</v>
      </c>
      <c r="Z60" s="33"/>
      <c r="AA60" s="33"/>
    </row>
    <row r="61" spans="1:27" ht="15.5" thickTop="1" thickBot="1" x14ac:dyDescent="0.4">
      <c r="A61" s="172" t="s">
        <v>162</v>
      </c>
      <c r="B61" s="172" t="s">
        <v>163</v>
      </c>
      <c r="C61" s="173" t="s">
        <v>164</v>
      </c>
      <c r="D61" s="174" t="s">
        <v>24</v>
      </c>
      <c r="E61" s="174" t="s">
        <v>99</v>
      </c>
      <c r="F61" s="175" t="s">
        <v>169</v>
      </c>
      <c r="G61" s="186">
        <f>SUM(H61:X61)</f>
        <v>1.6281702255221076</v>
      </c>
      <c r="H61" s="176">
        <f>SUMPRODUCT(H57:H60,'Parameters, general'!$B$13:$B$16)</f>
        <v>0.22779947666878139</v>
      </c>
      <c r="I61" s="176">
        <f>SUMPRODUCT(I57:I60,'Parameters, general'!$B$13:$B$16)</f>
        <v>9.0347173687458884E-2</v>
      </c>
      <c r="J61" s="176">
        <f>SUMPRODUCT(J57:J60,'Parameters, general'!$B$13:$B$16)</f>
        <v>0.31416777591148531</v>
      </c>
      <c r="K61" s="176">
        <f>SUMPRODUCT(K57:K60,'Parameters, general'!$B$13:$B$16)</f>
        <v>3.1416777591148533E-2</v>
      </c>
      <c r="L61" s="176">
        <f>SUMPRODUCT(L57:L60,'Parameters, general'!$B$13:$B$16)</f>
        <v>8.8570564959692358E-2</v>
      </c>
      <c r="M61" s="176">
        <f>SUMPRODUCT(M57:M60,'Parameters, general'!$B$13:$B$16)</f>
        <v>0</v>
      </c>
      <c r="N61" s="176">
        <f>SUMPRODUCT(N57:N60,'Parameters, general'!$B$13:$B$16)</f>
        <v>1.6049541032973197E-3</v>
      </c>
      <c r="O61" s="176">
        <f>SUMPRODUCT(O57:O60,'Parameters, general'!$B$13:$B$16)</f>
        <v>0.1339672441805671</v>
      </c>
      <c r="P61" s="176">
        <f>SUMPRODUCT(P57:P60,'Parameters, general'!$B$13:$B$16)</f>
        <v>9.4471241184542698E-2</v>
      </c>
      <c r="Q61" s="176">
        <f>SUMPRODUCT(Q57:Q60,'Parameters, general'!$B$13:$B$16)</f>
        <v>1.999665680226172E-2</v>
      </c>
      <c r="R61" s="176">
        <f>SUMPRODUCT(R57:R60,'Parameters, general'!$B$13:$B$16)</f>
        <v>9.7794323173801503E-2</v>
      </c>
      <c r="S61" s="176">
        <f>SUMPRODUCT(S57:S60,'Parameters, general'!$B$13:$B$16)</f>
        <v>0</v>
      </c>
      <c r="T61" s="176">
        <f>SUMPRODUCT(T57:T60,'Parameters, general'!$B$13:$B$16)</f>
        <v>0.16129505897840996</v>
      </c>
      <c r="U61" s="177"/>
      <c r="V61" s="177"/>
      <c r="W61" s="176">
        <f>SUMPRODUCT(W57:W60,'Parameters, general'!$B$13:$B$16)</f>
        <v>0.10159751091576574</v>
      </c>
      <c r="X61" s="176">
        <f>SUMPRODUCT(X57:X60,'Parameters, general'!$B$13:$B$16)</f>
        <v>0.26514146736489513</v>
      </c>
      <c r="Z61" s="115">
        <f>SUM(H61:R61)</f>
        <v>1.1001361882630369</v>
      </c>
      <c r="AA61" s="210">
        <f>'CO2 per kg feed'!F137+'CH4 per kg feed'!F137*CF_GWP_CH4_fossil+'N2O per kg feed'!F137*CF_GWP_N2O</f>
        <v>0.42210136010924315</v>
      </c>
    </row>
    <row r="62" spans="1:27" ht="15" thickTop="1" x14ac:dyDescent="0.35">
      <c r="A62" s="13" t="s">
        <v>162</v>
      </c>
      <c r="B62" s="13" t="s">
        <v>163</v>
      </c>
      <c r="C62" s="17" t="s">
        <v>164</v>
      </c>
      <c r="D62" s="18" t="s">
        <v>22</v>
      </c>
      <c r="E62" s="18" t="s">
        <v>100</v>
      </c>
      <c r="F62" s="36" t="s">
        <v>165</v>
      </c>
      <c r="G62" s="20">
        <f>SUM(H62:X62)</f>
        <v>1.2701078226641762</v>
      </c>
      <c r="H62" s="181">
        <f>'CO2 per kg feed'!G149*FCR_bonefree_incl_parents_GR-Excreted_N_after_losses_GR*Manure_repl_factor_GR*(EF_min_fert_BAT_CO2*Frac_BAT_GR+EF_min_fert_AN_CO2*Frac_AN_GR)</f>
        <v>7.7225019756086991E-2</v>
      </c>
      <c r="I62" s="181">
        <f>'CO2 per kg feed'!H149*FCR_bonefree_incl_parents_GR</f>
        <v>7.244103886116654E-2</v>
      </c>
      <c r="J62" s="181">
        <f>'CO2 per kg feed'!I149*FCR_bonefree_incl_parents_GR</f>
        <v>0</v>
      </c>
      <c r="K62" s="181"/>
      <c r="L62" s="181">
        <f>'CO2 per kg feed'!K149*FCR_bonefree_incl_parents_GR</f>
        <v>0.12418652700653203</v>
      </c>
      <c r="M62" s="181"/>
      <c r="N62" s="181">
        <f>'CO2 per kg feed'!M149*FCR_bonefree_incl_parents_GR</f>
        <v>2.2798804088378678E-2</v>
      </c>
      <c r="O62" s="181">
        <f>'CO2 per kg feed'!N149*FCR_bonefree_incl_parents_GR</f>
        <v>0.11988509202721101</v>
      </c>
      <c r="P62" s="181">
        <f>'CO2 per kg feed'!O149*FCR_bonefree_incl_parents_GR</f>
        <v>0.21074568629094556</v>
      </c>
      <c r="Q62" s="181">
        <f>'CO2 per kg feed'!P149*FCR_bonefree_incl_parents_GR</f>
        <v>2.340001760305942E-2</v>
      </c>
      <c r="R62" s="181">
        <f>'CO2 per kg feed'!Q149*FCR_bonefree_incl_parents_GR</f>
        <v>0.16678490885548827</v>
      </c>
      <c r="S62" s="162"/>
      <c r="T62" s="162"/>
      <c r="U62" s="182"/>
      <c r="V62" s="182"/>
      <c r="W62" s="183">
        <f>Energy_stables_GR/Bonefree_outof_CW_GR*(Share_heating_GR*(Share_biofuels_GR*EF_biofuels_CO2+(1-Share_biofuels_GR)*EF_oil_CO2)+(1-Share_heating_GR)*EF_el_CO2_GR)</f>
        <v>0.11265954365473635</v>
      </c>
      <c r="X62" s="184">
        <f>(Energy_slaughter_el_GR*EF_el_CO2_GR+Energy_slaughter_oil_GR*EF_oil_CO2)/Bonefree_outof_CW_GR</f>
        <v>0.33998118452057141</v>
      </c>
      <c r="Z62" s="20"/>
      <c r="AA62" s="20"/>
    </row>
    <row r="63" spans="1:27" x14ac:dyDescent="0.35">
      <c r="A63" s="13" t="s">
        <v>162</v>
      </c>
      <c r="B63" s="13" t="s">
        <v>163</v>
      </c>
      <c r="C63" s="17" t="s">
        <v>164</v>
      </c>
      <c r="D63" s="18" t="s">
        <v>22</v>
      </c>
      <c r="E63" s="18" t="s">
        <v>100</v>
      </c>
      <c r="F63" s="13" t="s">
        <v>166</v>
      </c>
      <c r="G63" s="33">
        <f>SUM(H63:X63)</f>
        <v>1.7458147098191618E-3</v>
      </c>
      <c r="H63" s="34">
        <f>'CH4 per kg feed'!G149*FCR_bonefree_incl_parents_GR-Excreted_N_after_losses_GR*Manure_repl_factor_GR*(EF_min_fert_BAT_CH4*Frac_BAT_GR+EF_min_fert_AN_CH4*Frac_AN_GR)</f>
        <v>1.5547768432601423E-4</v>
      </c>
      <c r="I63" s="34">
        <f>'CH4 per kg feed'!H149*FCR_bonefree_incl_parents_GR</f>
        <v>2.6535314094676936E-4</v>
      </c>
      <c r="J63" s="34"/>
      <c r="K63" s="34"/>
      <c r="L63" s="34">
        <f>'CH4 per kg feed'!K149*FCR_bonefree_incl_parents_GR</f>
        <v>5.5030546622838139E-5</v>
      </c>
      <c r="M63" s="34"/>
      <c r="N63" s="34">
        <f>'CH4 per kg feed'!M149*FCR_bonefree_incl_parents_GR</f>
        <v>7.7451555064330979E-5</v>
      </c>
      <c r="O63" s="34">
        <f>'CH4 per kg feed'!N149*FCR_bonefree_incl_parents_GR</f>
        <v>9.7128687673706006E-5</v>
      </c>
      <c r="P63" s="34">
        <f>'CH4 per kg feed'!O149*FCR_bonefree_incl_parents_GR</f>
        <v>0</v>
      </c>
      <c r="Q63" s="34">
        <f>'CH4 per kg feed'!P149*FCR_bonefree_incl_parents_GR</f>
        <v>8.576330406859139E-5</v>
      </c>
      <c r="R63" s="34">
        <f>'CH4 per kg feed'!Q149*FCR_bonefree_incl_parents_GR</f>
        <v>2.046050815663885E-4</v>
      </c>
      <c r="W63" s="4">
        <f>Energy_stables_GR/Bonefree_outof_CW_GR*(Share_heating_GR*(Share_biofuels_GR*EF_biofuel_CH4+(1-Share_biofuels_GR)*EF_oil_CH4)+(1-Share_heating_GR)*EF_el_CH4_GR)</f>
        <v>1.4218692966226358E-4</v>
      </c>
      <c r="X63" s="12">
        <f>(Energy_slaughter_el_GR*EF_el_CH4_GR+Energy_slaughter_oil_GR*EF_oil_CH4)/Bonefree_outof_CW_GR</f>
        <v>6.6281777988825977E-4</v>
      </c>
      <c r="Z63" s="33"/>
      <c r="AA63" s="33"/>
    </row>
    <row r="64" spans="1:27" x14ac:dyDescent="0.35">
      <c r="A64" s="13" t="s">
        <v>162</v>
      </c>
      <c r="B64" s="13" t="s">
        <v>163</v>
      </c>
      <c r="C64" s="17" t="s">
        <v>164</v>
      </c>
      <c r="D64" s="18" t="s">
        <v>22</v>
      </c>
      <c r="E64" s="18" t="s">
        <v>100</v>
      </c>
      <c r="F64" s="13" t="s">
        <v>167</v>
      </c>
      <c r="G64" s="33">
        <f>SUM(H64:T64)+SUM(W64:X64)</f>
        <v>3.3020792144736189E-3</v>
      </c>
      <c r="H64" s="34"/>
      <c r="I64" s="34"/>
      <c r="J64" s="34"/>
      <c r="K64" s="34"/>
      <c r="L64" s="34"/>
      <c r="M64" s="34"/>
      <c r="N64" s="34"/>
      <c r="O64" s="34"/>
      <c r="P64" s="34"/>
      <c r="Q64" s="34"/>
      <c r="R64" s="34"/>
      <c r="T64" s="48">
        <f>SUM(U64:V64)</f>
        <v>3.3020792144736189E-3</v>
      </c>
      <c r="U64" s="64">
        <f>(Production!M40*(Slaughter_age_GR/365)+SUM(Production!M41:M44))*EF_CH4_manure_GR</f>
        <v>3.3020792144736189E-3</v>
      </c>
      <c r="W64" s="4"/>
      <c r="X64" s="12"/>
    </row>
    <row r="65" spans="1:27" ht="15" thickBot="1" x14ac:dyDescent="0.4">
      <c r="A65" s="13" t="s">
        <v>162</v>
      </c>
      <c r="B65" s="13" t="s">
        <v>163</v>
      </c>
      <c r="C65" s="17" t="s">
        <v>164</v>
      </c>
      <c r="D65" s="18" t="s">
        <v>22</v>
      </c>
      <c r="E65" s="18" t="s">
        <v>100</v>
      </c>
      <c r="F65" s="35" t="s">
        <v>168</v>
      </c>
      <c r="G65" s="33">
        <f>SUM(H65:T65)+SUM(W65:X65)</f>
        <v>8.4529818092066828E-4</v>
      </c>
      <c r="H65" s="34">
        <f>'N2O per kg feed'!G149*FCR_bonefree_incl_parents_GR-Excreted_N_after_losses_GR*Manure_repl_factor_GR*(EF_min_fert_BAT_N2O*Frac_BAT_GR+EF_min_fert_AN_N2O*Frac_AN_GR)</f>
        <v>1.7086401214406029E-4</v>
      </c>
      <c r="I65" s="33">
        <f>'N2O per kg feed'!H149*FCR_bonefree_incl_parents_GR</f>
        <v>2.7419414989720062E-6</v>
      </c>
      <c r="J65" s="33">
        <f>'N2O per kg feed'!I149*FCR_bonefree_incl_parents_GR-Excreted_N_after_losses_GR*Manure_repl_factor_GR*EF_N2O_diff_GR</f>
        <v>3.9061315859335215E-4</v>
      </c>
      <c r="K65" s="33">
        <f>J65*EF_indirect_N2O_GR</f>
        <v>3.9061315859335219E-5</v>
      </c>
      <c r="L65" s="33">
        <f>'N2O per kg feed'!K149*FCR_bonefree_incl_parents_GR</f>
        <v>3.3385732131389467E-6</v>
      </c>
      <c r="M65" s="33"/>
      <c r="N65" s="33">
        <f>'N2O per kg feed'!M149*FCR_bonefree_incl_parents_GR</f>
        <v>9.5293862971588521E-7</v>
      </c>
      <c r="O65" s="33">
        <f>'N2O per kg feed'!N149*FCR_bonefree_incl_parents_GR</f>
        <v>4.2342188327999436E-6</v>
      </c>
      <c r="P65" s="33">
        <f>'N2O per kg feed'!O149*FCR_bonefree_incl_parents_GR</f>
        <v>0</v>
      </c>
      <c r="Q65" s="33">
        <f>'N2O per kg feed'!P149*FCR_bonefree_incl_parents_GR</f>
        <v>8.9188094194018159E-6</v>
      </c>
      <c r="R65" s="33">
        <f>'N2O per kg feed'!Q149*FCR_bonefree_incl_parents_GR</f>
        <v>6.0369677402900235E-6</v>
      </c>
      <c r="T65" s="48">
        <f>SUM(U65:V65)</f>
        <v>2.0018570370635542E-4</v>
      </c>
      <c r="U65" s="9">
        <f>Excreted_N_per_kg_of_bonefree_meat_GR*EF_N2O_manure_direct_GR*44/28</f>
        <v>7.4189565173018348E-5</v>
      </c>
      <c r="V65" s="64">
        <f>(Excreted_N_per_kg_of_bonefree_meat_GR-U65*28/44)*EF_ammonia_GR*EF_N2O_manure_indirect_GR*44/28</f>
        <v>1.2599613853333708E-4</v>
      </c>
      <c r="W65" s="4">
        <f>Energy_stables_GR/Bonefree_outof_CW_GR*(Share_heating_GR*(Share_biofuels_GR*EF_biofuel_N2O+(1-Share_biofuels_GR)*EF_oil_N2O)+(1-Share_heating_GR)*EF_el_N2O_GR)</f>
        <v>6.6434076572727234E-6</v>
      </c>
      <c r="X65" s="12">
        <f>(Energy_slaughter_el_GR*EF_el_N2O_GR+Energy_slaughter_oil_GR*EF_oil_N2O)/Bonefree_outof_CW_GR</f>
        <v>1.1707133625974028E-5</v>
      </c>
      <c r="Z65" s="33"/>
      <c r="AA65" s="33"/>
    </row>
    <row r="66" spans="1:27" ht="15.5" thickTop="1" thickBot="1" x14ac:dyDescent="0.4">
      <c r="A66" s="172" t="s">
        <v>162</v>
      </c>
      <c r="B66" s="172" t="s">
        <v>163</v>
      </c>
      <c r="C66" s="173" t="s">
        <v>164</v>
      </c>
      <c r="D66" s="37" t="s">
        <v>22</v>
      </c>
      <c r="E66" s="37" t="s">
        <v>100</v>
      </c>
      <c r="F66" s="175" t="s">
        <v>169</v>
      </c>
      <c r="G66" s="186">
        <f>SUM(H66:X66)</f>
        <v>1.6420556431989173</v>
      </c>
      <c r="H66" s="176">
        <f>SUMPRODUCT(H62:H65,'Parameters, general'!$B$13:$B$16)</f>
        <v>0.12850413006433067</v>
      </c>
      <c r="I66" s="176">
        <f>SUMPRODUCT(I62:I65,'Parameters, general'!$B$13:$B$16)</f>
        <v>8.1097112490599629E-2</v>
      </c>
      <c r="J66" s="176">
        <f>SUMPRODUCT(J62:J65,'Parameters, general'!$B$13:$B$16)</f>
        <v>0.10663739229598514</v>
      </c>
      <c r="K66" s="176">
        <f>SUMPRODUCT(K62:K65,'Parameters, general'!$B$13:$B$16)</f>
        <v>1.0663739229598514E-2</v>
      </c>
      <c r="L66" s="176">
        <f>SUMPRODUCT(L62:L65,'Parameters, general'!$B$13:$B$16)</f>
        <v>0.12673786778307952</v>
      </c>
      <c r="M66" s="176">
        <f>SUMPRODUCT(M62:M65,'Parameters, general'!$B$13:$B$16)</f>
        <v>0</v>
      </c>
      <c r="N66" s="176">
        <f>SUMPRODUCT(N62:N65,'Parameters, general'!$B$13:$B$16)</f>
        <v>2.5367012675208179E-2</v>
      </c>
      <c r="O66" s="176">
        <f>SUMPRODUCT(O62:O65,'Parameters, general'!$B$13:$B$16)</f>
        <v>0.12393546866124183</v>
      </c>
      <c r="P66" s="176">
        <f>SUMPRODUCT(P62:P65,'Parameters, general'!$B$13:$B$16)</f>
        <v>0.21074568629094556</v>
      </c>
      <c r="Q66" s="176">
        <f>SUMPRODUCT(Q62:Q65,'Parameters, general'!$B$13:$B$16)</f>
        <v>2.839059903580014E-2</v>
      </c>
      <c r="R66" s="176">
        <f>SUMPRODUCT(R62:R65,'Parameters, general'!$B$13:$B$16)</f>
        <v>0.17453023247926583</v>
      </c>
      <c r="S66" s="176">
        <f>SUMPRODUCT(S62:S65,'Parameters, general'!$B$13:$B$16)</f>
        <v>0</v>
      </c>
      <c r="T66" s="176">
        <f>SUMPRODUCT(T62:T65,'Parameters, general'!$B$13:$B$16)</f>
        <v>0.14380683590262272</v>
      </c>
      <c r="U66" s="177"/>
      <c r="V66" s="177"/>
      <c r="W66" s="176">
        <f>SUMPRODUCT(W62:W65,'Parameters, general'!$B$13:$B$16)</f>
        <v>0.11871036444910726</v>
      </c>
      <c r="X66" s="176">
        <f>SUMPRODUCT(X62:X65,'Parameters, general'!$B$13:$B$16)</f>
        <v>0.36292920184113242</v>
      </c>
      <c r="Z66" s="115">
        <f>SUM(H66:R66)</f>
        <v>1.016609241006055</v>
      </c>
      <c r="AA66" s="210">
        <f>'CO2 per kg feed'!F149+'CH4 per kg feed'!F149*CF_GWP_CH4_fossil+'N2O per kg feed'!F149*CF_GWP_N2O</f>
        <v>0.37535000566571175</v>
      </c>
    </row>
    <row r="67" spans="1:27" ht="15" thickTop="1" x14ac:dyDescent="0.35">
      <c r="A67" s="178" t="s">
        <v>162</v>
      </c>
      <c r="B67" s="178" t="s">
        <v>163</v>
      </c>
      <c r="C67" s="179" t="s">
        <v>164</v>
      </c>
      <c r="D67" s="163" t="s">
        <v>26</v>
      </c>
      <c r="E67" s="163" t="s">
        <v>101</v>
      </c>
      <c r="F67" s="180" t="s">
        <v>165</v>
      </c>
      <c r="G67" s="20">
        <f t="shared" si="1"/>
        <v>0.94482381171406504</v>
      </c>
      <c r="H67" s="181">
        <f>'CO2 per kg feed'!G161*FCR_bonefree_incl_parents_HU-Excreted_N_after_losses_HU*Manure_repl_factor_HU*(EF_min_fert_BAT_CO2*Frac_BAT_HU+EF_min_fert_AN_CO2*Frac_AN_HU)</f>
        <v>0.11976551814140372</v>
      </c>
      <c r="I67" s="181">
        <f>'CO2 per kg feed'!H161*FCR_bonefree_incl_parents_HU</f>
        <v>7.9244948748787694E-2</v>
      </c>
      <c r="J67" s="181">
        <f>'CO2 per kg feed'!I161*FCR_bonefree_incl_parents_HU</f>
        <v>0</v>
      </c>
      <c r="K67" s="181"/>
      <c r="L67" s="181">
        <f>'CO2 per kg feed'!K161*FCR_bonefree_incl_parents_HU</f>
        <v>9.824151163044724E-2</v>
      </c>
      <c r="M67" s="181"/>
      <c r="N67" s="181">
        <f>'CO2 per kg feed'!M161*FCR_bonefree_incl_parents_HU</f>
        <v>6.448196132052067E-4</v>
      </c>
      <c r="O67" s="181">
        <f>'CO2 per kg feed'!N161*FCR_bonefree_incl_parents_HU</f>
        <v>0.12271005318954616</v>
      </c>
      <c r="P67" s="181">
        <f>'CO2 per kg feed'!O161*FCR_bonefree_incl_parents_HU</f>
        <v>0.10270073851020657</v>
      </c>
      <c r="Q67" s="181">
        <f>'CO2 per kg feed'!P161*FCR_bonefree_incl_parents_HU</f>
        <v>1.1400364295597796E-2</v>
      </c>
      <c r="R67" s="181">
        <f>'CO2 per kg feed'!Q161*FCR_bonefree_incl_parents_HU</f>
        <v>8.1268937498851071E-2</v>
      </c>
      <c r="S67" s="162"/>
      <c r="T67" s="162"/>
      <c r="U67" s="182"/>
      <c r="V67" s="182"/>
      <c r="W67" s="183">
        <f>Energy_stables_HU/Bonefree_outof_CW_HU*(Share_heating_HU*(Share_biofuels_HU*EF_biofuels_CO2+(1-Share_biofuels_HU)*EF_oil_CO2)+(1-Share_heating_HU)*EF_el_CO2_HU)</f>
        <v>9.4222167981863642E-2</v>
      </c>
      <c r="X67" s="184">
        <f>(Energy_slaughter_el_HU*EF_el_CO2_HU+Energy_slaughter_oil_HU*EF_oil_CO2)/Bonefree_outof_CW_HU</f>
        <v>0.23462475210415584</v>
      </c>
      <c r="Z67" s="20"/>
      <c r="AA67" s="20"/>
    </row>
    <row r="68" spans="1:27" x14ac:dyDescent="0.35">
      <c r="A68" s="13" t="s">
        <v>162</v>
      </c>
      <c r="B68" s="13" t="s">
        <v>163</v>
      </c>
      <c r="C68" s="17" t="s">
        <v>164</v>
      </c>
      <c r="D68" s="18" t="s">
        <v>26</v>
      </c>
      <c r="E68" s="18" t="s">
        <v>101</v>
      </c>
      <c r="F68" s="13" t="s">
        <v>166</v>
      </c>
      <c r="G68" s="33">
        <f t="shared" si="1"/>
        <v>1.4900730847458676E-3</v>
      </c>
      <c r="H68" s="34">
        <f>'CH4 per kg feed'!G161*FCR_bonefree_incl_parents_HU-Excreted_N_after_losses_HU*Manure_repl_factor_HU*(EF_min_fert_BAT_CH4*Frac_BAT_HU+EF_min_fert_AN_CH4*Frac_AN_HU)</f>
        <v>2.3789942550602494E-4</v>
      </c>
      <c r="I68" s="34">
        <f>'CH4 per kg feed'!H161*FCR_bonefree_incl_parents_HU</f>
        <v>2.9205690947298521E-4</v>
      </c>
      <c r="J68" s="34"/>
      <c r="K68" s="34"/>
      <c r="L68" s="34">
        <f>'CH4 per kg feed'!K161*FCR_bonefree_incl_parents_HU</f>
        <v>4.3794601695904772E-5</v>
      </c>
      <c r="M68" s="34"/>
      <c r="N68" s="34">
        <f>'CH4 per kg feed'!M161*FCR_bonefree_incl_parents_HU</f>
        <v>3.0300550533386496E-6</v>
      </c>
      <c r="O68" s="34">
        <f>'CH4 per kg feed'!N161*FCR_bonefree_incl_parents_HU</f>
        <v>1.0017621748410996E-4</v>
      </c>
      <c r="P68" s="34">
        <f>'CH4 per kg feed'!O161*FCR_bonefree_incl_parents_HU</f>
        <v>0</v>
      </c>
      <c r="Q68" s="34">
        <f>'CH4 per kg feed'!P161*FCR_bonefree_incl_parents_HU</f>
        <v>4.1787832300764941E-5</v>
      </c>
      <c r="R68" s="34">
        <f>'CH4 per kg feed'!Q161*FCR_bonefree_incl_parents_HU</f>
        <v>6.8054673466235493E-5</v>
      </c>
      <c r="W68" s="4">
        <f>Energy_stables_HU/Bonefree_outof_CW_HU*(Share_heating_HU*(Share_biofuels_HU*EF_biofuel_CH4+(1-Share_biofuels_HU)*EF_oil_CH4)+(1-Share_heating_HU)*EF_el_CH4_HU)</f>
        <v>1.270354535242181E-4</v>
      </c>
      <c r="X68" s="12">
        <f>(Energy_slaughter_el_HU*EF_el_CH4_HU+Energy_slaughter_oil_HU*EF_oil_CH4)/Bonefree_outof_CW_HU</f>
        <v>5.7623791624228566E-4</v>
      </c>
      <c r="Z68" s="33"/>
      <c r="AA68" s="33"/>
    </row>
    <row r="69" spans="1:27" x14ac:dyDescent="0.35">
      <c r="A69" s="13" t="s">
        <v>162</v>
      </c>
      <c r="B69" s="13" t="s">
        <v>163</v>
      </c>
      <c r="C69" s="17" t="s">
        <v>164</v>
      </c>
      <c r="D69" s="18" t="s">
        <v>26</v>
      </c>
      <c r="E69" s="18" t="s">
        <v>101</v>
      </c>
      <c r="F69" s="13" t="s">
        <v>167</v>
      </c>
      <c r="G69" s="33">
        <f>SUM(H69:T69)+SUM(W69:X69)</f>
        <v>2.2013861429824129E-3</v>
      </c>
      <c r="H69" s="34"/>
      <c r="I69" s="34"/>
      <c r="J69" s="34"/>
      <c r="K69" s="34"/>
      <c r="L69" s="34"/>
      <c r="M69" s="34"/>
      <c r="N69" s="34"/>
      <c r="O69" s="34"/>
      <c r="P69" s="34"/>
      <c r="Q69" s="34"/>
      <c r="R69" s="34"/>
      <c r="T69" s="48">
        <f>SUM(U69:V69)</f>
        <v>2.2013861429824129E-3</v>
      </c>
      <c r="U69" s="64">
        <f>(Production!N40*(Slaughter_age_HU/365)+SUM(Production!N41:N44))*EF_CH4_manure_HU</f>
        <v>2.2013861429824129E-3</v>
      </c>
      <c r="W69" s="4"/>
      <c r="X69" s="12"/>
    </row>
    <row r="70" spans="1:27" ht="15" thickBot="1" x14ac:dyDescent="0.4">
      <c r="A70" s="13" t="s">
        <v>162</v>
      </c>
      <c r="B70" s="13" t="s">
        <v>163</v>
      </c>
      <c r="C70" s="17" t="s">
        <v>164</v>
      </c>
      <c r="D70" s="18" t="s">
        <v>26</v>
      </c>
      <c r="E70" s="18" t="s">
        <v>101</v>
      </c>
      <c r="F70" s="35" t="s">
        <v>168</v>
      </c>
      <c r="G70" s="33">
        <f>SUM(H70:T70)+SUM(W70:X70)</f>
        <v>9.6757640355058579E-4</v>
      </c>
      <c r="H70" s="34">
        <f>'N2O per kg feed'!G161*FCR_bonefree_incl_parents_HU-Excreted_N_after_losses_HU*Manure_repl_factor_HU*(EF_min_fert_BAT_N2O*Frac_BAT_HU+EF_min_fert_AN_N2O*Frac_AN_HU)</f>
        <v>2.6499329634851343E-4</v>
      </c>
      <c r="I70" s="33">
        <f>'N2O per kg feed'!H161*FCR_bonefree_incl_parents_HU</f>
        <v>2.9638561159611502E-6</v>
      </c>
      <c r="J70" s="33">
        <f>'N2O per kg feed'!I161*FCR_bonefree_incl_parents_HU-Excreted_N_after_losses_HU*Manure_repl_factor_HU*EF_N2O_diff_HU</f>
        <v>4.2688948942153256E-4</v>
      </c>
      <c r="K70" s="33">
        <f>J70*EF_indirect_N2O_HU</f>
        <v>4.2688948942153258E-5</v>
      </c>
      <c r="L70" s="33">
        <f>'N2O per kg feed'!K161*FCR_bonefree_incl_parents_HU</f>
        <v>2.6545385709170937E-6</v>
      </c>
      <c r="M70" s="33"/>
      <c r="N70" s="33">
        <f>'N2O per kg feed'!M161*FCR_bonefree_incl_parents_HU</f>
        <v>3.728902520093863E-8</v>
      </c>
      <c r="O70" s="33">
        <f>'N2O per kg feed'!N161*FCR_bonefree_incl_parents_HU</f>
        <v>4.3400031743078446E-6</v>
      </c>
      <c r="P70" s="33">
        <f>'N2O per kg feed'!O161*FCR_bonefree_incl_parents_HU</f>
        <v>0</v>
      </c>
      <c r="Q70" s="33">
        <f>'N2O per kg feed'!P161*FCR_bonefree_incl_parents_HU</f>
        <v>4.3457729699251553E-6</v>
      </c>
      <c r="R70" s="33">
        <f>'N2O per kg feed'!Q161*FCR_bonefree_incl_parents_HU</f>
        <v>2.9416848430332019E-6</v>
      </c>
      <c r="T70" s="48">
        <f>SUM(U70:V70)</f>
        <v>2.0146461588995025E-4</v>
      </c>
      <c r="U70" s="9">
        <f>Excreted_N_per_kg_of_bonefree_meat_HU*EF_N2O_manure_direct_HU*44/28</f>
        <v>7.4663534777434033E-5</v>
      </c>
      <c r="V70" s="64">
        <f>(Excreted_N_per_kg_of_bonefree_meat_HU-U70*28/44)*EF_ammonia_HU*EF_N2O_manure_indirect_HU*44/28</f>
        <v>1.2680108111251621E-4</v>
      </c>
      <c r="W70" s="4">
        <f>Energy_stables_HU/Bonefree_outof_CW_HU*(Share_heating_HU*(Share_biofuels_HU*EF_biofuel_N2O+(1-Share_biofuels_HU)*EF_oil_N2O)+(1-Share_heating_HU)*EF_el_N2O_HU)</f>
        <v>6.0337176309090884E-6</v>
      </c>
      <c r="X70" s="12">
        <f>(Energy_slaughter_el_HU*EF_el_N2O_HU+Energy_slaughter_oil_HU*EF_oil_N2O)/Bonefree_outof_CW_HU</f>
        <v>8.2231906181818181E-6</v>
      </c>
      <c r="Z70" s="33"/>
      <c r="AA70" s="33"/>
    </row>
    <row r="71" spans="1:27" ht="15.5" thickTop="1" thickBot="1" x14ac:dyDescent="0.4">
      <c r="A71" s="172" t="s">
        <v>162</v>
      </c>
      <c r="B71" s="172" t="s">
        <v>163</v>
      </c>
      <c r="C71" s="173" t="s">
        <v>164</v>
      </c>
      <c r="D71" s="174" t="s">
        <v>26</v>
      </c>
      <c r="E71" s="174" t="s">
        <v>101</v>
      </c>
      <c r="F71" s="175" t="s">
        <v>169</v>
      </c>
      <c r="G71" s="186">
        <f t="shared" si="1"/>
        <v>1.3128137736693268</v>
      </c>
      <c r="H71" s="176">
        <f>SUMPRODUCT(H67:H70,'Parameters, general'!$B$13:$B$16)</f>
        <v>0.19919809092462742</v>
      </c>
      <c r="I71" s="176">
        <f>SUMPRODUCT(I67:I70,'Parameters, general'!$B$13:$B$16)</f>
        <v>8.8757377370740048E-2</v>
      </c>
      <c r="J71" s="176">
        <f>SUMPRODUCT(J67:J70,'Parameters, general'!$B$13:$B$16)</f>
        <v>0.11654083061207839</v>
      </c>
      <c r="K71" s="176">
        <f>SUMPRODUCT(K67:K70,'Parameters, general'!$B$13:$B$16)</f>
        <v>1.165408306120784E-2</v>
      </c>
      <c r="L71" s="176">
        <f>SUMPRODUCT(L67:L70,'Parameters, general'!$B$13:$B$16)</f>
        <v>0.10027127979084556</v>
      </c>
      <c r="M71" s="176">
        <f>SUMPRODUCT(M67:M70,'Parameters, general'!$B$13:$B$16)</f>
        <v>0</v>
      </c>
      <c r="N71" s="176">
        <f>SUMPRODUCT(N67:N70,'Parameters, general'!$B$13:$B$16)</f>
        <v>7.4529515767455471E-4</v>
      </c>
      <c r="O71" s="176">
        <f>SUMPRODUCT(O67:O70,'Parameters, general'!$B$13:$B$16)</f>
        <v>0.12688012533715867</v>
      </c>
      <c r="P71" s="176">
        <f>SUMPRODUCT(P67:P70,'Parameters, general'!$B$13:$B$16)</f>
        <v>0.10270073851020657</v>
      </c>
      <c r="Q71" s="176">
        <f>SUMPRODUCT(Q67:Q70,'Parameters, general'!$B$13:$B$16)</f>
        <v>1.3832037718950158E-2</v>
      </c>
      <c r="R71" s="176">
        <f>SUMPRODUCT(R67:R70,'Parameters, general'!$B$13:$B$16)</f>
        <v>8.4100046730292963E-2</v>
      </c>
      <c r="S71" s="176">
        <f>SUMPRODUCT(S67:S70,'Parameters, general'!$B$13:$B$16)</f>
        <v>0</v>
      </c>
      <c r="T71" s="176">
        <f>SUMPRODUCT(T67:T70,'Parameters, general'!$B$13:$B$16)</f>
        <v>0.11443726599848156</v>
      </c>
      <c r="U71" s="177"/>
      <c r="V71" s="177"/>
      <c r="W71" s="176">
        <f>SUMPRODUCT(W67:W70,'Parameters, general'!$B$13:$B$16)</f>
        <v>9.9655029410123525E-2</v>
      </c>
      <c r="X71" s="176">
        <f>SUMPRODUCT(X67:X70,'Parameters, general'!$B$13:$B$16)</f>
        <v>0.25404157304693958</v>
      </c>
      <c r="Z71" s="115">
        <f>SUM(H71:R71)</f>
        <v>0.844679905213782</v>
      </c>
      <c r="AA71" s="210">
        <f>'CO2 per kg feed'!F161+'CH4 per kg feed'!F161*CF_GWP_CH4_fossil+'N2O per kg feed'!F161*CF_GWP_N2O</f>
        <v>0.32328911058606979</v>
      </c>
    </row>
    <row r="72" spans="1:27" ht="15" thickTop="1" x14ac:dyDescent="0.35">
      <c r="A72" s="178" t="s">
        <v>162</v>
      </c>
      <c r="B72" s="178" t="s">
        <v>163</v>
      </c>
      <c r="C72" s="179" t="s">
        <v>164</v>
      </c>
      <c r="D72" s="163" t="s">
        <v>172</v>
      </c>
      <c r="E72" s="163" t="s">
        <v>102</v>
      </c>
      <c r="F72" s="180" t="s">
        <v>165</v>
      </c>
      <c r="G72" s="20">
        <f t="shared" si="1"/>
        <v>0.90510556042248769</v>
      </c>
      <c r="H72" s="181">
        <f>'CO2 per kg feed'!G173*FCR_bonefree_incl_parents_IE-Excreted_N_after_losses_IE*Manure_repl_factor_IE*(EF_min_fert_BAT_CO2*Frac_BAT_IE+EF_min_fert_AN_CO2*Frac_AN_IE)</f>
        <v>7.3870634042071642E-2</v>
      </c>
      <c r="I72" s="181">
        <f>'CO2 per kg feed'!H173*FCR_bonefree_incl_parents_IE</f>
        <v>6.1987142705091862E-2</v>
      </c>
      <c r="J72" s="181">
        <f>'CO2 per kg feed'!I173*FCR_bonefree_incl_parents_IE</f>
        <v>0</v>
      </c>
      <c r="K72" s="181"/>
      <c r="L72" s="181">
        <f>'CO2 per kg feed'!K173*FCR_bonefree_incl_parents_IE</f>
        <v>7.3289324738994646E-2</v>
      </c>
      <c r="M72" s="181"/>
      <c r="N72" s="181">
        <f>'CO2 per kg feed'!M173*FCR_bonefree_incl_parents_IE</f>
        <v>1.9093930700649341E-4</v>
      </c>
      <c r="O72" s="181">
        <f>'CO2 per kg feed'!N173*FCR_bonefree_incl_parents_IE</f>
        <v>9.7908903415762263E-2</v>
      </c>
      <c r="P72" s="181">
        <f>'CO2 per kg feed'!O173*FCR_bonefree_incl_parents_IE</f>
        <v>0.14537905545271551</v>
      </c>
      <c r="Q72" s="181">
        <f>'CO2 per kg feed'!P173*FCR_bonefree_incl_parents_IE</f>
        <v>2.1179503776865685E-2</v>
      </c>
      <c r="R72" s="181">
        <f>'CO2 per kg feed'!Q173*FCR_bonefree_incl_parents_IE</f>
        <v>0.13009147937537194</v>
      </c>
      <c r="S72" s="162"/>
      <c r="T72" s="162"/>
      <c r="U72" s="182"/>
      <c r="V72" s="182"/>
      <c r="W72" s="183">
        <f>Energy_stables_IE/Bonefree_outof_CW_IE*(Share_heating_IE*(Share_biofuels_IE*EF_biofuels_CO2+(1-Share_biofuels_IE)*EF_oil_CO2)+(1-Share_heating_IE)*EF_el_CO2_IE)</f>
        <v>9.0105819102249102E-2</v>
      </c>
      <c r="X72" s="184">
        <f>(Energy_slaughter_el_IE*EF_el_CO2_IE+Energy_slaughter_oil_IE*EF_oil_CO2)/Bonefree_outof_CW_IE</f>
        <v>0.21110275850635851</v>
      </c>
      <c r="Z72" s="20"/>
      <c r="AA72" s="20"/>
    </row>
    <row r="73" spans="1:27" x14ac:dyDescent="0.35">
      <c r="A73" s="13" t="s">
        <v>162</v>
      </c>
      <c r="B73" s="13" t="s">
        <v>163</v>
      </c>
      <c r="C73" s="17" t="s">
        <v>164</v>
      </c>
      <c r="D73" s="18" t="s">
        <v>172</v>
      </c>
      <c r="E73" s="18" t="s">
        <v>102</v>
      </c>
      <c r="F73" s="13" t="s">
        <v>166</v>
      </c>
      <c r="G73" s="33">
        <f t="shared" si="1"/>
        <v>9.238180389124262E-4</v>
      </c>
      <c r="H73" s="34">
        <f>'CH4 per kg feed'!G173*FCR_bonefree_incl_parents_IE-Excreted_N_after_losses_IE*Manure_repl_factor_IE*(EF_min_fert_BAT_CH4*Frac_BAT_IE+EF_min_fert_AN_CH4*Frac_AN_IE)</f>
        <v>1.3352963996697526E-4</v>
      </c>
      <c r="I73" s="34">
        <f>'CH4 per kg feed'!H173*FCR_bonefree_incl_parents_IE</f>
        <v>2.2691611575880239E-4</v>
      </c>
      <c r="J73" s="34"/>
      <c r="K73" s="34"/>
      <c r="L73" s="34">
        <f>'CH4 per kg feed'!K173*FCR_bonefree_incl_parents_IE</f>
        <v>3.2220328324216942E-5</v>
      </c>
      <c r="M73" s="34"/>
      <c r="N73" s="34">
        <f>'CH4 per kg feed'!M173*FCR_bonefree_incl_parents_IE</f>
        <v>1.5062730519148909E-6</v>
      </c>
      <c r="O73" s="34">
        <f>'CH4 per kg feed'!N173*FCR_bonefree_incl_parents_IE</f>
        <v>5.4757723407661476E-5</v>
      </c>
      <c r="P73" s="34">
        <f>'CH4 per kg feed'!O173*FCR_bonefree_incl_parents_IE</f>
        <v>0</v>
      </c>
      <c r="Q73" s="34">
        <f>'CH4 per kg feed'!P173*FCR_bonefree_incl_parents_IE</f>
        <v>7.0098586717185177E-5</v>
      </c>
      <c r="R73" s="34">
        <f>'CH4 per kg feed'!Q173*FCR_bonefree_incl_parents_IE</f>
        <v>1.1745742086050077E-4</v>
      </c>
      <c r="W73" s="4">
        <f>Energy_stables_IE/Bonefree_outof_CW_IE*(Share_heating_IE*(Share_biofuels_IE*EF_biofuel_CH4+(1-Share_biofuels_IE)*EF_oil_CH4)+(1-Share_heating_IE)*EF_el_CH4_IE)</f>
        <v>6.5086731554232156E-5</v>
      </c>
      <c r="X73" s="12">
        <f>(Energy_slaughter_el_IE*EF_el_CH4_IE+Energy_slaughter_oil_IE*EF_oil_CH4)/Bonefree_outof_CW_IE</f>
        <v>2.2224521927093717E-4</v>
      </c>
      <c r="Z73" s="33"/>
      <c r="AA73" s="33"/>
    </row>
    <row r="74" spans="1:27" x14ac:dyDescent="0.35">
      <c r="A74" s="13" t="s">
        <v>162</v>
      </c>
      <c r="B74" s="13" t="s">
        <v>163</v>
      </c>
      <c r="C74" s="17" t="s">
        <v>164</v>
      </c>
      <c r="D74" s="18" t="s">
        <v>172</v>
      </c>
      <c r="E74" s="18" t="s">
        <v>102</v>
      </c>
      <c r="F74" s="13" t="s">
        <v>167</v>
      </c>
      <c r="G74" s="33">
        <f>SUM(H74:T74)+SUM(W74:X74)</f>
        <v>2.3114554501315336E-3</v>
      </c>
      <c r="H74" s="34"/>
      <c r="I74" s="34"/>
      <c r="J74" s="34"/>
      <c r="K74" s="34"/>
      <c r="L74" s="34"/>
      <c r="M74" s="34"/>
      <c r="N74" s="34"/>
      <c r="O74" s="34"/>
      <c r="P74" s="34"/>
      <c r="Q74" s="34"/>
      <c r="R74" s="34"/>
      <c r="T74" s="48">
        <f>SUM(U74:V74)</f>
        <v>2.3114554501315336E-3</v>
      </c>
      <c r="U74" s="64">
        <f>(Production!O40*(Slaughter_age_IE/365)+SUM(Production!O41:O44))*EF_CH4_manure_IE</f>
        <v>2.3114554501315336E-3</v>
      </c>
      <c r="W74" s="4"/>
      <c r="X74" s="12"/>
    </row>
    <row r="75" spans="1:27" ht="15" thickBot="1" x14ac:dyDescent="0.4">
      <c r="A75" s="13" t="s">
        <v>162</v>
      </c>
      <c r="B75" s="13" t="s">
        <v>163</v>
      </c>
      <c r="C75" s="17" t="s">
        <v>164</v>
      </c>
      <c r="D75" s="18" t="s">
        <v>172</v>
      </c>
      <c r="E75" s="18" t="s">
        <v>102</v>
      </c>
      <c r="F75" s="35" t="s">
        <v>168</v>
      </c>
      <c r="G75" s="33">
        <f>SUM(H75:T75)+SUM(W75:X75)</f>
        <v>1.4786289096342456E-3</v>
      </c>
      <c r="H75" s="34">
        <f>'N2O per kg feed'!G173*FCR_bonefree_incl_parents_IE-Excreted_N_after_losses_IE*Manure_repl_factor_IE*(EF_min_fert_BAT_N2O*Frac_BAT_IE+EF_min_fert_AN_N2O*Frac_AN_IE)</f>
        <v>1.54634166330425E-4</v>
      </c>
      <c r="I75" s="33">
        <f>'N2O per kg feed'!H173*FCR_bonefree_incl_parents_IE</f>
        <v>2.349137985389717E-6</v>
      </c>
      <c r="J75" s="33">
        <f>'N2O per kg feed'!I173*FCR_bonefree_incl_parents_IE-Excreted_N_after_losses_IE*Manure_repl_factor_IE*EF_N2O_diff_IE</f>
        <v>9.6962619692664656E-4</v>
      </c>
      <c r="K75" s="33">
        <f>J75*EF_indirect_N2O_IE</f>
        <v>9.6962619692664666E-5</v>
      </c>
      <c r="L75" s="33">
        <f>'N2O per kg feed'!K173*FCR_bonefree_incl_parents_IE</f>
        <v>1.9522283700003912E-6</v>
      </c>
      <c r="M75" s="33"/>
      <c r="N75" s="33">
        <f>'N2O per kg feed'!M173*FCR_bonefree_incl_parents_IE</f>
        <v>1.8527425416637677E-8</v>
      </c>
      <c r="O75" s="33">
        <f>'N2O per kg feed'!N173*FCR_bonefree_incl_parents_IE</f>
        <v>3.4955066427270998E-6</v>
      </c>
      <c r="P75" s="33">
        <f>'N2O per kg feed'!O173*FCR_bonefree_incl_parents_IE</f>
        <v>0</v>
      </c>
      <c r="Q75" s="33">
        <f>'N2O per kg feed'!P173*FCR_bonefree_incl_parents_IE</f>
        <v>7.0878958820386658E-6</v>
      </c>
      <c r="R75" s="33">
        <f>'N2O per kg feed'!Q173*FCR_bonefree_incl_parents_IE</f>
        <v>4.5993797609353656E-6</v>
      </c>
      <c r="T75" s="48">
        <f>SUM(U75:V75)</f>
        <v>2.2420798815111804E-4</v>
      </c>
      <c r="U75" s="9">
        <f>Excreted_N_per_kg_of_bonefree_meat_IE*EF_N2O_manure_direct_IE*44/28</f>
        <v>8.3092312993780548E-5</v>
      </c>
      <c r="V75" s="64">
        <f>(Excreted_N_per_kg_of_bonefree_meat_IE-U75*28/44)*EF_ammonia_IE*EF_N2O_manure_indirect_IE*44/28</f>
        <v>1.4111567515733749E-4</v>
      </c>
      <c r="W75" s="4">
        <f>Energy_stables_IE/Bonefree_outof_CW_IE*(Share_heating_IE*(Share_biofuels_IE*EF_biofuel_N2O+(1-Share_biofuels_IE)*EF_oil_N2O)+(1-Share_heating_IE)*EF_el_N2O_IE)</f>
        <v>5.9500682590909063E-6</v>
      </c>
      <c r="X75" s="12">
        <f>(Energy_slaughter_el_IE*EF_el_N2O_IE+Energy_slaughter_oil_IE*EF_oil_N2O)/Bonefree_outof_CW_IE</f>
        <v>7.7451942077922069E-6</v>
      </c>
      <c r="Z75" s="33"/>
      <c r="AA75" s="33"/>
    </row>
    <row r="76" spans="1:27" ht="15.5" thickTop="1" thickBot="1" x14ac:dyDescent="0.4">
      <c r="A76" s="172" t="s">
        <v>162</v>
      </c>
      <c r="B76" s="172" t="s">
        <v>163</v>
      </c>
      <c r="C76" s="173" t="s">
        <v>164</v>
      </c>
      <c r="D76" s="37" t="s">
        <v>172</v>
      </c>
      <c r="E76" s="37" t="s">
        <v>102</v>
      </c>
      <c r="F76" s="175" t="s">
        <v>169</v>
      </c>
      <c r="G76" s="186">
        <f t="shared" si="1"/>
        <v>1.3987103274657782</v>
      </c>
      <c r="H76" s="176">
        <f>SUMPRODUCT(H72:H75,'Parameters, general'!$B$13:$B$16)</f>
        <v>0.12006494472129353</v>
      </c>
      <c r="I76" s="176">
        <f>SUMPRODUCT(I72:I75,'Parameters, general'!$B$13:$B$16)</f>
        <v>6.9390557624715576E-2</v>
      </c>
      <c r="J76" s="176">
        <f>SUMPRODUCT(J72:J75,'Parameters, general'!$B$13:$B$16)</f>
        <v>0.2647079517609745</v>
      </c>
      <c r="K76" s="176">
        <f>SUMPRODUCT(K72:K75,'Parameters, general'!$B$13:$B$16)</f>
        <v>2.6470795176097454E-2</v>
      </c>
      <c r="L76" s="176">
        <f>SUMPRODUCT(L72:L75,'Parameters, general'!$B$13:$B$16)</f>
        <v>7.4782448868066412E-2</v>
      </c>
      <c r="M76" s="176">
        <f>SUMPRODUCT(M72:M75,'Parameters, general'!$B$13:$B$16)</f>
        <v>0</v>
      </c>
      <c r="N76" s="176">
        <f>SUMPRODUCT(N72:N75,'Parameters, general'!$B$13:$B$16)</f>
        <v>2.4088423109229923E-4</v>
      </c>
      <c r="O76" s="176">
        <f>SUMPRODUCT(O72:O75,'Parameters, general'!$B$13:$B$16)</f>
        <v>0.10049495688677507</v>
      </c>
      <c r="P76" s="176">
        <f>SUMPRODUCT(P72:P75,'Parameters, general'!$B$13:$B$16)</f>
        <v>0.14537905545271551</v>
      </c>
      <c r="Q76" s="176">
        <f>SUMPRODUCT(Q72:Q75,'Parameters, general'!$B$13:$B$16)</f>
        <v>2.5203437236834356E-2</v>
      </c>
      <c r="R76" s="176">
        <f>SUMPRODUCT(R72:R75,'Parameters, general'!$B$13:$B$16)</f>
        <v>0.13484734119175021</v>
      </c>
      <c r="S76" s="176">
        <f>SUMPRODUCT(S72:S75,'Parameters, general'!$B$13:$B$16)</f>
        <v>0</v>
      </c>
      <c r="T76" s="176">
        <f>SUMPRODUCT(T72:T75,'Parameters, general'!$B$13:$B$16)</f>
        <v>0.12361807791880663</v>
      </c>
      <c r="U76" s="177"/>
      <c r="V76" s="177"/>
      <c r="W76" s="176">
        <f>SUMPRODUCT(W72:W75,'Parameters, general'!$B$13:$B$16)</f>
        <v>9.366977233729705E-2</v>
      </c>
      <c r="X76" s="176">
        <f>SUMPRODUCT(X72:X75,'Parameters, general'!$B$13:$B$16)</f>
        <v>0.21984010405935969</v>
      </c>
      <c r="Z76" s="115">
        <f>SUM(H76:R76)</f>
        <v>0.96158237315031492</v>
      </c>
      <c r="AA76" s="210">
        <f>'CO2 per kg feed'!F173+'CH4 per kg feed'!F173*CF_GWP_CH4_fossil+'N2O per kg feed'!F173*CF_GWP_N2O</f>
        <v>0.36652169420274006</v>
      </c>
    </row>
    <row r="77" spans="1:27" ht="15" thickTop="1" x14ac:dyDescent="0.35">
      <c r="A77" s="178" t="s">
        <v>162</v>
      </c>
      <c r="B77" s="178" t="s">
        <v>163</v>
      </c>
      <c r="C77" s="179" t="s">
        <v>164</v>
      </c>
      <c r="D77" s="163" t="s">
        <v>30</v>
      </c>
      <c r="E77" s="163" t="s">
        <v>103</v>
      </c>
      <c r="F77" s="180" t="s">
        <v>165</v>
      </c>
      <c r="G77" s="20">
        <f t="shared" si="1"/>
        <v>0.94113878961121478</v>
      </c>
      <c r="H77" s="181">
        <f>'CO2 per kg feed'!G185*FCR_bonefree_incl_parents_IT-Excreted_N_after_losses_IT*Manure_repl_factor_IT*(EF_min_fert_BAT_CO2*Frac_BAT_IT+EF_min_fert_AN_CO2*Frac_AN_IT)</f>
        <v>0.12143610821430112</v>
      </c>
      <c r="I77" s="181">
        <f>'CO2 per kg feed'!H185*FCR_bonefree_incl_parents_IT</f>
        <v>7.4152094164650045E-2</v>
      </c>
      <c r="J77" s="181">
        <f>'CO2 per kg feed'!I185*FCR_bonefree_incl_parents_IT</f>
        <v>0</v>
      </c>
      <c r="K77" s="181"/>
      <c r="L77" s="181">
        <f>'CO2 per kg feed'!K185*FCR_bonefree_incl_parents_IT</f>
        <v>9.3443167380547157E-2</v>
      </c>
      <c r="M77" s="181"/>
      <c r="N77" s="181">
        <f>'CO2 per kg feed'!M185*FCR_bonefree_incl_parents_IT</f>
        <v>1.3844658112289163E-2</v>
      </c>
      <c r="O77" s="181">
        <f>'CO2 per kg feed'!N185*FCR_bonefree_incl_parents_IT</f>
        <v>0.11284311162434965</v>
      </c>
      <c r="P77" s="181">
        <f>'CO2 per kg feed'!O185*FCR_bonefree_incl_parents_IT</f>
        <v>0.12172101088019294</v>
      </c>
      <c r="Q77" s="181">
        <f>'CO2 per kg feed'!P185*FCR_bonefree_incl_parents_IT</f>
        <v>1.3797801402552474E-2</v>
      </c>
      <c r="R77" s="181">
        <f>'CO2 per kg feed'!Q185*FCR_bonefree_incl_parents_IT</f>
        <v>9.7174036340963305E-2</v>
      </c>
      <c r="S77" s="162"/>
      <c r="T77" s="162"/>
      <c r="U77" s="182"/>
      <c r="V77" s="182"/>
      <c r="W77" s="183">
        <f>Energy_stables_IT/Bonefree_outof_CW_IT*(Share_heating_IT*(Share_biofuels_IT*EF_biofuels_CO2+(1-Share_biofuels_IT)*EF_oil_CO2)+(1-Share_heating_IT)*EF_el_CO2_IT)</f>
        <v>8.8842575850745453E-2</v>
      </c>
      <c r="X77" s="184">
        <f>(Energy_slaughter_el_IT*EF_el_CO2_IT+Energy_slaughter_oil_IT*EF_oil_CO2)/Bonefree_outof_CW_IT</f>
        <v>0.20388422564062339</v>
      </c>
      <c r="Z77" s="20"/>
      <c r="AA77" s="20"/>
    </row>
    <row r="78" spans="1:27" x14ac:dyDescent="0.35">
      <c r="A78" s="13" t="s">
        <v>162</v>
      </c>
      <c r="B78" s="13" t="s">
        <v>163</v>
      </c>
      <c r="C78" s="17" t="s">
        <v>164</v>
      </c>
      <c r="D78" s="18" t="s">
        <v>30</v>
      </c>
      <c r="E78" s="18" t="s">
        <v>103</v>
      </c>
      <c r="F78" s="13" t="s">
        <v>166</v>
      </c>
      <c r="G78" s="33">
        <f t="shared" si="1"/>
        <v>1.9482908510904931E-3</v>
      </c>
      <c r="H78" s="34">
        <f>'CH4 per kg feed'!G185*FCR_bonefree_incl_parents_IT-Excreted_N_after_losses_IT*Manure_repl_factor_IT*(EF_min_fert_BAT_CH4*Frac_BAT_IT+EF_min_fert_AN_CH4*Frac_AN_IT)</f>
        <v>2.3758590064577303E-4</v>
      </c>
      <c r="I78" s="34">
        <f>'CH4 per kg feed'!H185*FCR_bonefree_incl_parents_IT</f>
        <v>2.7275231283004666E-4</v>
      </c>
      <c r="J78" s="34"/>
      <c r="K78" s="34"/>
      <c r="L78" s="34">
        <f>'CH4 per kg feed'!K185*FCR_bonefree_incl_parents_IT</f>
        <v>4.1352626644511915E-5</v>
      </c>
      <c r="M78" s="34"/>
      <c r="N78" s="34">
        <f>'CH4 per kg feed'!M185*FCR_bonefree_incl_parents_IT</f>
        <v>4.3731438260207251E-5</v>
      </c>
      <c r="O78" s="34">
        <f>'CH4 per kg feed'!N185*FCR_bonefree_incl_parents_IT</f>
        <v>1.1907303408592466E-4</v>
      </c>
      <c r="P78" s="34">
        <f>'CH4 per kg feed'!O185*FCR_bonefree_incl_parents_IT</f>
        <v>0</v>
      </c>
      <c r="Q78" s="34">
        <f>'CH4 per kg feed'!P185*FCR_bonefree_incl_parents_IT</f>
        <v>5.0148059886283597E-5</v>
      </c>
      <c r="R78" s="34">
        <f>'CH4 per kg feed'!Q185*FCR_bonefree_incl_parents_IT</f>
        <v>1.5113089841220596E-4</v>
      </c>
      <c r="W78" s="4">
        <f>Energy_stables_IT/Bonefree_outof_CW_IT*(Share_heating_IT*(Share_biofuels_IT*EF_biofuel_CH4+(1-Share_biofuels_IT)*EF_oil_CH4)+(1-Share_heating_IT)*EF_el_CH4_IT)</f>
        <v>1.7607167637343627E-4</v>
      </c>
      <c r="X78" s="12">
        <f>(Energy_slaughter_el_IT*EF_el_CH4_IT+Energy_slaughter_oil_IT*EF_oil_CH4)/Bonefree_outof_CW_IT</f>
        <v>8.5644490395210375E-4</v>
      </c>
      <c r="Z78" s="33"/>
      <c r="AA78" s="33"/>
    </row>
    <row r="79" spans="1:27" x14ac:dyDescent="0.35">
      <c r="A79" s="13" t="s">
        <v>162</v>
      </c>
      <c r="B79" s="13" t="s">
        <v>163</v>
      </c>
      <c r="C79" s="17" t="s">
        <v>164</v>
      </c>
      <c r="D79" s="18" t="s">
        <v>30</v>
      </c>
      <c r="E79" s="18" t="s">
        <v>103</v>
      </c>
      <c r="F79" s="13" t="s">
        <v>167</v>
      </c>
      <c r="G79" s="33">
        <f>SUM(H79:T79)+SUM(W79:X79)</f>
        <v>2.2013861429824129E-3</v>
      </c>
      <c r="H79" s="34"/>
      <c r="I79" s="34"/>
      <c r="J79" s="34"/>
      <c r="K79" s="34"/>
      <c r="L79" s="34"/>
      <c r="M79" s="34"/>
      <c r="N79" s="34"/>
      <c r="O79" s="34"/>
      <c r="P79" s="34"/>
      <c r="Q79" s="34"/>
      <c r="R79" s="34"/>
      <c r="T79" s="48">
        <f>SUM(U79:V79)</f>
        <v>2.2013861429824129E-3</v>
      </c>
      <c r="U79" s="64">
        <f>(Production!P40*(Slaughter_age_IT/365)+SUM(Production!P41:P44))*EF_CH4_manure_IT</f>
        <v>2.2013861429824129E-3</v>
      </c>
      <c r="W79" s="4"/>
      <c r="X79" s="12"/>
    </row>
    <row r="80" spans="1:27" ht="15" thickBot="1" x14ac:dyDescent="0.4">
      <c r="A80" s="13" t="s">
        <v>162</v>
      </c>
      <c r="B80" s="13" t="s">
        <v>163</v>
      </c>
      <c r="C80" s="17" t="s">
        <v>164</v>
      </c>
      <c r="D80" s="18" t="s">
        <v>30</v>
      </c>
      <c r="E80" s="18" t="s">
        <v>103</v>
      </c>
      <c r="F80" s="35" t="s">
        <v>168</v>
      </c>
      <c r="G80" s="33">
        <f>SUM(H80:T80)+SUM(W80:X80)</f>
        <v>9.5162991757859194E-4</v>
      </c>
      <c r="H80" s="34">
        <f>'N2O per kg feed'!G185*FCR_bonefree_incl_parents_IT-Excreted_N_after_losses_IT*Manure_repl_factor_IT*(EF_min_fert_BAT_N2O*Frac_BAT_IT+EF_min_fert_AN_N2O*Frac_AN_IT)</f>
        <v>2.6646500254863976E-4</v>
      </c>
      <c r="I80" s="33">
        <f>'N2O per kg feed'!H185*FCR_bonefree_incl_parents_IT</f>
        <v>2.7840753172490729E-6</v>
      </c>
      <c r="J80" s="33">
        <f>'N2O per kg feed'!I185*FCR_bonefree_incl_parents_IT-Excreted_N_after_losses_IT*Manure_repl_factor_IT*EF_N2O_diff_IT</f>
        <v>4.5442317739146656E-4</v>
      </c>
      <c r="K80" s="33">
        <f>J80*EF_indirect_N2O_IT</f>
        <v>4.5442317739146656E-5</v>
      </c>
      <c r="L80" s="33">
        <f>'N2O per kg feed'!K185*FCR_bonefree_incl_parents_IT</f>
        <v>2.5072242449018082E-6</v>
      </c>
      <c r="M80" s="33"/>
      <c r="N80" s="33">
        <f>'N2O per kg feed'!M185*FCR_bonefree_incl_parents_IT</f>
        <v>5.3832493396272496E-7</v>
      </c>
      <c r="O80" s="33">
        <f>'N2O per kg feed'!N185*FCR_bonefree_incl_parents_IT</f>
        <v>4.1265528006399379E-6</v>
      </c>
      <c r="P80" s="33">
        <f>'N2O per kg feed'!O185*FCR_bonefree_incl_parents_IT</f>
        <v>0</v>
      </c>
      <c r="Q80" s="33">
        <f>'N2O per kg feed'!P185*FCR_bonefree_incl_parents_IT</f>
        <v>5.2037372094182247E-6</v>
      </c>
      <c r="R80" s="33">
        <f>'N2O per kg feed'!Q185*FCR_bonefree_incl_parents_IT</f>
        <v>3.5111851979757836E-6</v>
      </c>
      <c r="T80" s="48">
        <f>SUM(U80:V80)</f>
        <v>1.516803156081786E-4</v>
      </c>
      <c r="U80" s="9">
        <f>Excreted_N_per_kg_of_bonefree_meat_IT*EF_N2O_manure_direct_IT*44/28</f>
        <v>5.6213288221538974E-5</v>
      </c>
      <c r="V80" s="64">
        <f>(Excreted_N_per_kg_of_bonefree_meat_IT-U80*28/44)*EF_ammonia_IT*EF_N2O_manure_indirect_IT*44/28</f>
        <v>9.546702738663964E-5</v>
      </c>
      <c r="W80" s="4">
        <f>Energy_stables_IT/Bonefree_outof_CW_IT*(Share_heating_IT*(Share_biofuels_IT*EF_biofuel_N2O+(1-Share_biofuels_IT)*EF_oil_N2O)+(1-Share_heating_IT)*EF_el_N2O_IT)</f>
        <v>6.1366468727272697E-6</v>
      </c>
      <c r="X80" s="12">
        <f>(Energy_slaughter_el_IT*EF_el_N2O_IT+Energy_slaughter_oil_IT*EF_oil_N2O)/Bonefree_outof_CW_IT</f>
        <v>8.8113577142857141E-6</v>
      </c>
      <c r="Z80" s="33"/>
      <c r="AA80" s="33"/>
    </row>
    <row r="81" spans="1:27" ht="15.5" thickTop="1" thickBot="1" x14ac:dyDescent="0.4">
      <c r="A81" s="172" t="s">
        <v>162</v>
      </c>
      <c r="B81" s="172" t="s">
        <v>163</v>
      </c>
      <c r="C81" s="173" t="s">
        <v>164</v>
      </c>
      <c r="D81" s="37" t="s">
        <v>30</v>
      </c>
      <c r="E81" s="37" t="s">
        <v>103</v>
      </c>
      <c r="F81" s="175" t="s">
        <v>169</v>
      </c>
      <c r="G81" s="186">
        <f t="shared" si="1"/>
        <v>1.3184302503331922</v>
      </c>
      <c r="H81" s="176">
        <f>SUMPRODUCT(H77:H80,'Parameters, general'!$B$13:$B$16)</f>
        <v>0.20126111374932382</v>
      </c>
      <c r="I81" s="176">
        <f>SUMPRODUCT(I77:I80,'Parameters, general'!$B$13:$B$16)</f>
        <v>8.3040165648594427E-2</v>
      </c>
      <c r="J81" s="176">
        <f>SUMPRODUCT(J77:J80,'Parameters, general'!$B$13:$B$16)</f>
        <v>0.12405752742787036</v>
      </c>
      <c r="K81" s="176">
        <f>SUMPRODUCT(K77:K80,'Parameters, general'!$B$13:$B$16)</f>
        <v>1.2405752742787038E-2</v>
      </c>
      <c r="L81" s="176">
        <f>SUMPRODUCT(L77:L80,'Parameters, general'!$B$13:$B$16)</f>
        <v>9.5359947873411802E-2</v>
      </c>
      <c r="M81" s="176">
        <f>SUMPRODUCT(M77:M80,'Parameters, general'!$B$13:$B$16)</f>
        <v>0</v>
      </c>
      <c r="N81" s="176">
        <f>SUMPRODUCT(N77:N80,'Parameters, general'!$B$13:$B$16)</f>
        <v>1.5294817679415163E-2</v>
      </c>
      <c r="O81" s="176">
        <f>SUMPRODUCT(O77:O80,'Parameters, general'!$B$13:$B$16)</f>
        <v>0.11751803695468491</v>
      </c>
      <c r="P81" s="176">
        <f>SUMPRODUCT(P77:P80,'Parameters, general'!$B$13:$B$16)</f>
        <v>0.12172101088019294</v>
      </c>
      <c r="Q81" s="176">
        <f>SUMPRODUCT(Q77:Q80,'Parameters, general'!$B$13:$B$16)</f>
        <v>1.6712833845334903E-2</v>
      </c>
      <c r="R81" s="176">
        <f>SUMPRODUCT(R77:R80,'Parameters, general'!$B$13:$B$16)</f>
        <v>0.10263629067269443</v>
      </c>
      <c r="S81" s="176">
        <f>SUMPRODUCT(S77:S80,'Parameters, general'!$B$13:$B$16)</f>
        <v>0</v>
      </c>
      <c r="T81" s="176">
        <f>SUMPRODUCT(T77:T80,'Parameters, general'!$B$13:$B$16)</f>
        <v>0.1008461520215579</v>
      </c>
      <c r="U81" s="177"/>
      <c r="V81" s="177"/>
      <c r="W81" s="176">
        <f>SUMPRODUCT(W77:W80,'Parameters, general'!$B$13:$B$16)</f>
        <v>9.5764816402928402E-2</v>
      </c>
      <c r="X81" s="176">
        <f>SUMPRODUCT(X77:X80,'Parameters, general'!$B$13:$B$16)</f>
        <v>0.2318117844343961</v>
      </c>
      <c r="Z81" s="115">
        <f>SUM(H81:R81)</f>
        <v>0.89000749747430985</v>
      </c>
      <c r="AA81" s="210">
        <f>'CO2 per kg feed'!F185+'CH4 per kg feed'!F185*CF_GWP_CH4_fossil+'N2O per kg feed'!F185*CF_GWP_N2O</f>
        <v>0.32060947075643409</v>
      </c>
    </row>
    <row r="82" spans="1:27" ht="15" thickTop="1" x14ac:dyDescent="0.35">
      <c r="A82" s="178" t="s">
        <v>162</v>
      </c>
      <c r="B82" s="178" t="s">
        <v>163</v>
      </c>
      <c r="C82" s="179" t="s">
        <v>164</v>
      </c>
      <c r="D82" s="163" t="s">
        <v>104</v>
      </c>
      <c r="E82" s="163" t="s">
        <v>105</v>
      </c>
      <c r="F82" s="180" t="s">
        <v>165</v>
      </c>
      <c r="G82" s="20">
        <f t="shared" si="1"/>
        <v>1.0047266558365409</v>
      </c>
      <c r="H82" s="181">
        <f>'CO2 per kg feed'!G197*FCR_bonefree_incl_parents_LV-Excreted_N_after_losses_LV*Manure_repl_factor_LV*(EF_min_fert_BAT_CO2*Frac_BAT_LV+EF_min_fert_AN_CO2*Frac_AN_LV)</f>
        <v>0.12917014104953589</v>
      </c>
      <c r="I82" s="181">
        <f>'CO2 per kg feed'!H197*FCR_bonefree_incl_parents_LV</f>
        <v>6.5093013450394199E-2</v>
      </c>
      <c r="J82" s="181">
        <f>'CO2 per kg feed'!I197*FCR_bonefree_incl_parents_LV</f>
        <v>0</v>
      </c>
      <c r="K82" s="181"/>
      <c r="L82" s="181">
        <f>'CO2 per kg feed'!K197*FCR_bonefree_incl_parents_LV</f>
        <v>8.7913063994662241E-2</v>
      </c>
      <c r="M82" s="181"/>
      <c r="N82" s="181">
        <f>'CO2 per kg feed'!M197*FCR_bonefree_incl_parents_LV</f>
        <v>1.2747670010118309E-4</v>
      </c>
      <c r="O82" s="181">
        <f>'CO2 per kg feed'!N197*FCR_bonefree_incl_parents_LV</f>
        <v>9.2658937852689902E-2</v>
      </c>
      <c r="P82" s="181">
        <f>'CO2 per kg feed'!O197*FCR_bonefree_incl_parents_LV</f>
        <v>8.2337115306005057E-2</v>
      </c>
      <c r="Q82" s="181">
        <f>'CO2 per kg feed'!P197*FCR_bonefree_incl_parents_LV</f>
        <v>1.6808948508508427E-2</v>
      </c>
      <c r="R82" s="181">
        <f>'CO2 per kg feed'!Q197*FCR_bonefree_incl_parents_LV</f>
        <v>8.8048865082134706E-2</v>
      </c>
      <c r="S82" s="162"/>
      <c r="T82" s="162"/>
      <c r="U82" s="182"/>
      <c r="V82" s="182"/>
      <c r="W82" s="183">
        <f>Energy_stables_LV/Bonefree_outof_CW_LV*(Share_heating_LV*(Share_biofuels_LV*EF_biofuels_CO2+(1-Share_biofuels_LV)*EF_oil_CO2)+(1-Share_heating_LV)*EF_el_CO2_LV)</f>
        <v>0.11115951301687273</v>
      </c>
      <c r="X82" s="184">
        <f>(Energy_slaughter_el_LV*EF_el_CO2_LV+Energy_slaughter_oil_LV*EF_oil_CO2)/Bonefree_outof_CW_LV</f>
        <v>0.33140958087563638</v>
      </c>
      <c r="Z82" s="20"/>
      <c r="AA82" s="20"/>
    </row>
    <row r="83" spans="1:27" x14ac:dyDescent="0.35">
      <c r="A83" s="13" t="s">
        <v>162</v>
      </c>
      <c r="B83" s="13" t="s">
        <v>163</v>
      </c>
      <c r="C83" s="17" t="s">
        <v>164</v>
      </c>
      <c r="D83" s="18" t="s">
        <v>104</v>
      </c>
      <c r="E83" s="18" t="s">
        <v>105</v>
      </c>
      <c r="F83" s="13" t="s">
        <v>166</v>
      </c>
      <c r="G83" s="33">
        <f t="shared" si="1"/>
        <v>1.9934817505708876E-3</v>
      </c>
      <c r="H83" s="34">
        <f>'CH4 per kg feed'!G197*FCR_bonefree_incl_parents_LV-Excreted_N_after_losses_LV*Manure_repl_factor_LV*(EF_min_fert_BAT_CH4*Frac_BAT_LV+EF_min_fert_AN_CH4*Frac_AN_LV)</f>
        <v>1.7198101470980264E-4</v>
      </c>
      <c r="I83" s="34">
        <f>'CH4 per kg feed'!H197*FCR_bonefree_incl_parents_LV</f>
        <v>2.930079024982998E-4</v>
      </c>
      <c r="J83" s="34"/>
      <c r="K83" s="34"/>
      <c r="L83" s="34">
        <f>'CH4 per kg feed'!K197*FCR_bonefree_incl_parents_LV</f>
        <v>3.7165596648171557E-5</v>
      </c>
      <c r="M83" s="34"/>
      <c r="N83" s="34">
        <f>'CH4 per kg feed'!M197*FCR_bonefree_incl_parents_LV</f>
        <v>2.7669313880151639E-7</v>
      </c>
      <c r="O83" s="34">
        <f>'CH4 per kg feed'!N197*FCR_bonefree_incl_parents_LV</f>
        <v>3.4602839758528806E-5</v>
      </c>
      <c r="P83" s="34">
        <f>'CH4 per kg feed'!O197*FCR_bonefree_incl_parents_LV</f>
        <v>8.1775774783367762E-6</v>
      </c>
      <c r="Q83" s="34">
        <f>'CH4 per kg feed'!P197*FCR_bonefree_incl_parents_LV</f>
        <v>5.4175041568547014E-5</v>
      </c>
      <c r="R83" s="34">
        <f>'CH4 per kg feed'!Q197*FCR_bonefree_incl_parents_LV</f>
        <v>5.4440127045238405E-5</v>
      </c>
      <c r="W83" s="4">
        <f>Energy_stables_LV/Bonefree_outof_CW_LV*(Share_heating_LV*(Share_biofuels_LV*EF_biofuel_CH4+(1-Share_biofuels_LV)*EF_oil_CH4)+(1-Share_heating_LV)*EF_el_CH4_LV)</f>
        <v>2.2181569002869902E-4</v>
      </c>
      <c r="X83" s="12">
        <f>(Energy_slaughter_el_LV*EF_el_CH4_LV+Energy_slaughter_oil_LV*EF_oil_CH4)/Bonefree_outof_CW_LV</f>
        <v>1.1178392676964622E-3</v>
      </c>
      <c r="Z83" s="33"/>
      <c r="AA83" s="33"/>
    </row>
    <row r="84" spans="1:27" x14ac:dyDescent="0.35">
      <c r="A84" s="13" t="s">
        <v>162</v>
      </c>
      <c r="B84" s="13" t="s">
        <v>163</v>
      </c>
      <c r="C84" s="17" t="s">
        <v>164</v>
      </c>
      <c r="D84" s="18" t="s">
        <v>104</v>
      </c>
      <c r="E84" s="18" t="s">
        <v>105</v>
      </c>
      <c r="F84" s="13" t="s">
        <v>167</v>
      </c>
      <c r="G84" s="33">
        <f>SUM(H84:T84)+SUM(W84:X84)</f>
        <v>2.2013861429824129E-3</v>
      </c>
      <c r="H84" s="34"/>
      <c r="I84" s="34"/>
      <c r="J84" s="34"/>
      <c r="K84" s="34"/>
      <c r="L84" s="34"/>
      <c r="M84" s="34"/>
      <c r="N84" s="34"/>
      <c r="O84" s="34"/>
      <c r="P84" s="34"/>
      <c r="Q84" s="34"/>
      <c r="R84" s="34"/>
      <c r="T84" s="48">
        <f>SUM(U84:V84)</f>
        <v>2.2013861429824129E-3</v>
      </c>
      <c r="U84" s="64">
        <f>(Production!Q40*(Slaughter_age_LV/365)+SUM(Production!Q41:Q44))*EF_CH4_manure_LV</f>
        <v>2.2013861429824129E-3</v>
      </c>
      <c r="W84" s="4"/>
      <c r="X84" s="12"/>
    </row>
    <row r="85" spans="1:27" ht="15" thickBot="1" x14ac:dyDescent="0.4">
      <c r="A85" s="13" t="s">
        <v>162</v>
      </c>
      <c r="B85" s="13" t="s">
        <v>163</v>
      </c>
      <c r="C85" s="17" t="s">
        <v>164</v>
      </c>
      <c r="D85" s="18" t="s">
        <v>104</v>
      </c>
      <c r="E85" s="18" t="s">
        <v>105</v>
      </c>
      <c r="F85" s="35" t="s">
        <v>168</v>
      </c>
      <c r="G85" s="33">
        <f>SUM(H85:T85)+SUM(W85:X85)</f>
        <v>1.9141872929117447E-3</v>
      </c>
      <c r="H85" s="34">
        <f>'N2O per kg feed'!G197*FCR_bonefree_incl_parents_LV-Excreted_N_after_losses_LV*Manure_repl_factor_LV*(EF_min_fert_BAT_N2O*Frac_BAT_LV+EF_min_fert_AN_N2O*Frac_AN_LV)</f>
        <v>2.5105964330260491E-4</v>
      </c>
      <c r="I85" s="33">
        <f>'N2O per kg feed'!H197*FCR_bonefree_incl_parents_LV</f>
        <v>2.65193758501606E-6</v>
      </c>
      <c r="J85" s="33">
        <f>'N2O per kg feed'!I197*FCR_bonefree_incl_parents_LV-Excreted_N_after_losses_LV*Manure_repl_factor_LV*EF_N2O_diff_LV</f>
        <v>1.3616412859702035E-3</v>
      </c>
      <c r="K85" s="33">
        <f>J85*EF_indirect_N2O_LV</f>
        <v>1.3616412859702035E-4</v>
      </c>
      <c r="L85" s="33">
        <f>'N2O per kg feed'!K197*FCR_bonefree_incl_parents_LV</f>
        <v>2.3622583054413987E-6</v>
      </c>
      <c r="M85" s="33"/>
      <c r="N85" s="33">
        <f>'N2O per kg feed'!M197*FCR_bonefree_incl_parents_LV</f>
        <v>5.2469313577862488E-9</v>
      </c>
      <c r="O85" s="33">
        <f>'N2O per kg feed'!N197*FCR_bonefree_incl_parents_LV</f>
        <v>3.1560809696727022E-6</v>
      </c>
      <c r="P85" s="33">
        <f>'N2O per kg feed'!O197*FCR_bonefree_incl_parents_LV</f>
        <v>0</v>
      </c>
      <c r="Q85" s="33">
        <f>'N2O per kg feed'!P197*FCR_bonefree_incl_parents_LV</f>
        <v>4.9081835848008447E-6</v>
      </c>
      <c r="R85" s="33">
        <f>'N2O per kg feed'!Q197*FCR_bonefree_incl_parents_LV</f>
        <v>3.0204844452780711E-6</v>
      </c>
      <c r="T85" s="48">
        <f>SUM(U85:V85)</f>
        <v>1.2390587072060898E-4</v>
      </c>
      <c r="U85" s="9">
        <f>Excreted_N_per_kg_of_bonefree_meat_LV*EF_N2O_manure_direct_LV*44/28</f>
        <v>4.5919975807215269E-5</v>
      </c>
      <c r="V85" s="64">
        <f>(Excreted_N_per_kg_of_bonefree_meat_LV-U85*28/44)*EF_ammonia_LV*EF_N2O_manure_indirect_LV*44/28</f>
        <v>7.7985894913393708E-5</v>
      </c>
      <c r="W85" s="4">
        <f>Energy_stables_LV/Bonefree_outof_CW_LV*(Share_heating_LV*(Share_biofuels_LV*EF_biofuel_N2O+(1-Share_biofuels_LV)*EF_oil_N2O)+(1-Share_heating_LV)*EF_el_N2O_LV)</f>
        <v>7.6802463490909062E-6</v>
      </c>
      <c r="X85" s="12">
        <f>(Energy_slaughter_el_LV*EF_el_N2O_LV+Energy_slaughter_oil_LV*EF_oil_N2O)/Bonefree_outof_CW_LV</f>
        <v>1.7631926150649351E-5</v>
      </c>
      <c r="Z85" s="33"/>
      <c r="AA85" s="33"/>
    </row>
    <row r="86" spans="1:27" ht="15.5" thickTop="1" thickBot="1" x14ac:dyDescent="0.4">
      <c r="A86" s="172" t="s">
        <v>162</v>
      </c>
      <c r="B86" s="172" t="s">
        <v>163</v>
      </c>
      <c r="C86" s="173" t="s">
        <v>164</v>
      </c>
      <c r="D86" s="174" t="s">
        <v>104</v>
      </c>
      <c r="E86" s="37" t="s">
        <v>105</v>
      </c>
      <c r="F86" s="175" t="s">
        <v>169</v>
      </c>
      <c r="G86" s="186">
        <f t="shared" si="1"/>
        <v>1.6461429688289848</v>
      </c>
      <c r="H86" s="176">
        <f>SUMPRODUCT(H82:H85,'Parameters, general'!$B$13:$B$16)</f>
        <v>0.20283445790949917</v>
      </c>
      <c r="I86" s="176">
        <f>SUMPRODUCT(I82:I85,'Parameters, general'!$B$13:$B$16)</f>
        <v>7.4548627905552917E-2</v>
      </c>
      <c r="J86" s="176">
        <f>SUMPRODUCT(J82:J85,'Parameters, general'!$B$13:$B$16)</f>
        <v>0.37172807106986555</v>
      </c>
      <c r="K86" s="176">
        <f>SUMPRODUCT(K82:K85,'Parameters, general'!$B$13:$B$16)</f>
        <v>3.7172807106986554E-2</v>
      </c>
      <c r="L86" s="176">
        <f>SUMPRODUCT(L82:L85,'Parameters, general'!$B$13:$B$16)</f>
        <v>8.966549529216325E-2</v>
      </c>
      <c r="M86" s="176">
        <f>SUMPRODUCT(M82:M85,'Parameters, general'!$B$13:$B$16)</f>
        <v>0</v>
      </c>
      <c r="N86" s="176">
        <f>SUMPRODUCT(N82:N85,'Parameters, general'!$B$13:$B$16)</f>
        <v>1.3715456789814394E-4</v>
      </c>
      <c r="O86" s="176">
        <f>SUMPRODUCT(O82:O85,'Parameters, general'!$B$13:$B$16)</f>
        <v>9.4551712582214703E-2</v>
      </c>
      <c r="P86" s="176">
        <f>SUMPRODUCT(P82:P85,'Parameters, general'!$B$13:$B$16)</f>
        <v>8.2580807114859489E-2</v>
      </c>
      <c r="Q86" s="176">
        <f>SUMPRODUCT(Q82:Q85,'Parameters, general'!$B$13:$B$16)</f>
        <v>1.9763298865901759E-2</v>
      </c>
      <c r="R86" s="176">
        <f>SUMPRODUCT(R82:R85,'Parameters, general'!$B$13:$B$16)</f>
        <v>9.0495773121643724E-2</v>
      </c>
      <c r="S86" s="176">
        <f>SUMPRODUCT(S82:S85,'Parameters, general'!$B$13:$B$16)</f>
        <v>0</v>
      </c>
      <c r="T86" s="176">
        <f>SUMPRODUCT(T82:T85,'Parameters, general'!$B$13:$B$16)</f>
        <v>9.3263728567251403E-2</v>
      </c>
      <c r="U86" s="177"/>
      <c r="V86" s="177"/>
      <c r="W86" s="176">
        <f>SUMPRODUCT(W82:W85,'Parameters, general'!$B$13:$B$16)</f>
        <v>0.11986632783302976</v>
      </c>
      <c r="X86" s="176">
        <f>SUMPRODUCT(X82:X85,'Parameters, general'!$B$13:$B$16)</f>
        <v>0.3695347068921182</v>
      </c>
      <c r="Z86" s="115">
        <f>SUM(H86:R86)</f>
        <v>1.0634782055365855</v>
      </c>
      <c r="AA86" s="210">
        <f>'CO2 per kg feed'!F197+'CH4 per kg feed'!F197*CF_GWP_CH4_fossil+'N2O per kg feed'!F197*CF_GWP_N2O</f>
        <v>0.36454895225090672</v>
      </c>
    </row>
    <row r="87" spans="1:27" ht="15" thickTop="1" x14ac:dyDescent="0.35">
      <c r="A87" s="178" t="s">
        <v>162</v>
      </c>
      <c r="B87" s="178" t="s">
        <v>163</v>
      </c>
      <c r="C87" s="179" t="s">
        <v>164</v>
      </c>
      <c r="D87" t="s">
        <v>106</v>
      </c>
      <c r="E87" s="163" t="s">
        <v>107</v>
      </c>
      <c r="F87" s="180" t="s">
        <v>165</v>
      </c>
      <c r="G87" s="20">
        <f t="shared" ref="G87:G126" si="2">SUM(H87:X87)</f>
        <v>1.048896052074419</v>
      </c>
      <c r="H87" s="181">
        <f>'CO2 per kg feed'!G209*FCR_bonefree_incl_parents_LT-Excreted_N_after_losses_LT*Manure_repl_factor_LT*(EF_min_fert_BAT_CO2*Frac_BAT_LT+EF_min_fert_AN_CO2*Frac_AN_LT)</f>
        <v>0.11299936394865284</v>
      </c>
      <c r="I87" s="181">
        <f>'CO2 per kg feed'!H209*FCR_bonefree_incl_parents_LT</f>
        <v>7.3618213391417567E-2</v>
      </c>
      <c r="J87" s="181">
        <f>'CO2 per kg feed'!I209*FCR_bonefree_incl_parents_LT</f>
        <v>0</v>
      </c>
      <c r="K87" s="181"/>
      <c r="L87" s="181">
        <f>'CO2 per kg feed'!K209*FCR_bonefree_incl_parents_LT</f>
        <v>0.10378855590681967</v>
      </c>
      <c r="M87" s="181"/>
      <c r="N87" s="181">
        <f>'CO2 per kg feed'!M209*FCR_bonefree_incl_parents_LT</f>
        <v>1.1777346589355389E-4</v>
      </c>
      <c r="O87" s="181">
        <f>'CO2 per kg feed'!N209*FCR_bonefree_incl_parents_LT</f>
        <v>9.944262980449281E-2</v>
      </c>
      <c r="P87" s="181">
        <f>'CO2 per kg feed'!O209*FCR_bonefree_incl_parents_LT</f>
        <v>0.14708457984802958</v>
      </c>
      <c r="Q87" s="181">
        <f>'CO2 per kg feed'!P209*FCR_bonefree_incl_parents_LT</f>
        <v>1.886140913302874E-2</v>
      </c>
      <c r="R87" s="181">
        <f>'CO2 per kg feed'!Q209*FCR_bonefree_incl_parents_LT</f>
        <v>0.12395583596958566</v>
      </c>
      <c r="S87" s="162"/>
      <c r="T87" s="162"/>
      <c r="U87" s="182"/>
      <c r="V87" s="182"/>
      <c r="W87" s="183">
        <f>Energy_stables_LT/Bonefree_outof_CW_LT*(Share_heating_LT*(Share_biofuels_LT*EF_biofuels_CO2+(1-Share_biofuels_LT)*EF_oil_CO2)+(1-Share_heating_LT)*EF_el_CO2_LT)</f>
        <v>0.10020653805938183</v>
      </c>
      <c r="X87" s="184">
        <f>(Energy_slaughter_el_LT*EF_el_CO2_LT+Energy_slaughter_oil_LT*EF_oil_CO2)/Bonefree_outof_CW_LT</f>
        <v>0.26882115254711691</v>
      </c>
      <c r="Z87" s="20"/>
      <c r="AA87" s="20"/>
    </row>
    <row r="88" spans="1:27" x14ac:dyDescent="0.35">
      <c r="A88" s="13" t="s">
        <v>162</v>
      </c>
      <c r="B88" s="13" t="s">
        <v>163</v>
      </c>
      <c r="C88" s="17" t="s">
        <v>164</v>
      </c>
      <c r="D88" t="s">
        <v>106</v>
      </c>
      <c r="E88" s="18" t="s">
        <v>107</v>
      </c>
      <c r="F88" s="13" t="s">
        <v>166</v>
      </c>
      <c r="G88" s="33">
        <f t="shared" si="2"/>
        <v>1.6311932516947065E-3</v>
      </c>
      <c r="H88" s="34">
        <f>'CH4 per kg feed'!G209*FCR_bonefree_incl_parents_LT-Excreted_N_after_losses_LT*Manure_repl_factor_LT*(EF_min_fert_BAT_CH4*Frac_BAT_LT+EF_min_fert_AN_CH4*Frac_AN_LT)</f>
        <v>1.2879757133882948E-4</v>
      </c>
      <c r="I88" s="34">
        <f>'CH4 per kg feed'!H209*FCR_bonefree_incl_parents_LT</f>
        <v>2.8542202969637954E-4</v>
      </c>
      <c r="J88" s="34"/>
      <c r="K88" s="34"/>
      <c r="L88" s="34">
        <f>'CH4 per kg feed'!K209*FCR_bonefree_incl_parents_LT</f>
        <v>4.5867208023591367E-5</v>
      </c>
      <c r="M88" s="34"/>
      <c r="N88" s="34">
        <f>'CH4 per kg feed'!M209*FCR_bonefree_incl_parents_LT</f>
        <v>3.3201733412653512E-7</v>
      </c>
      <c r="O88" s="34">
        <f>'CH4 per kg feed'!N209*FCR_bonefree_incl_parents_LT</f>
        <v>4.0915752029087356E-5</v>
      </c>
      <c r="P88" s="34">
        <f>'CH4 per kg feed'!O209*FCR_bonefree_incl_parents_LT</f>
        <v>2.7467391609798232E-6</v>
      </c>
      <c r="Q88" s="34">
        <f>'CH4 per kg feed'!P209*FCR_bonefree_incl_parents_LT</f>
        <v>6.6700273510771426E-5</v>
      </c>
      <c r="R88" s="34">
        <f>'CH4 per kg feed'!Q209*FCR_bonefree_incl_parents_LT</f>
        <v>9.7250227720065033E-5</v>
      </c>
      <c r="W88" s="4">
        <f>Energy_stables_LT/Bonefree_outof_CW_LT*(Share_heating_LT*(Share_biofuels_LT*EF_biofuel_CH4+(1-Share_biofuels_LT)*EF_oil_CH4)+(1-Share_heating_LT)*EF_el_CH4_LT)</f>
        <v>1.6574218632848633E-4</v>
      </c>
      <c r="X88" s="12">
        <f>(Energy_slaughter_el_LT*EF_el_CH4_LT+Energy_slaughter_oil_LT*EF_oil_CH4)/Bonefree_outof_CW_LT</f>
        <v>7.9741924655238956E-4</v>
      </c>
      <c r="Z88" s="33"/>
      <c r="AA88" s="33"/>
    </row>
    <row r="89" spans="1:27" x14ac:dyDescent="0.35">
      <c r="A89" s="13" t="s">
        <v>162</v>
      </c>
      <c r="B89" s="13" t="s">
        <v>163</v>
      </c>
      <c r="C89" s="17" t="s">
        <v>164</v>
      </c>
      <c r="D89" t="s">
        <v>106</v>
      </c>
      <c r="E89" s="18" t="s">
        <v>107</v>
      </c>
      <c r="F89" s="13" t="s">
        <v>167</v>
      </c>
      <c r="G89" s="33">
        <f>SUM(H89:T89)+SUM(W89:X89)</f>
        <v>2.2013861429824129E-3</v>
      </c>
      <c r="H89" s="34"/>
      <c r="I89" s="34"/>
      <c r="J89" s="34"/>
      <c r="K89" s="34"/>
      <c r="L89" s="34"/>
      <c r="M89" s="34"/>
      <c r="N89" s="34"/>
      <c r="O89" s="34"/>
      <c r="P89" s="34"/>
      <c r="Q89" s="34"/>
      <c r="R89" s="34"/>
      <c r="T89" s="48">
        <f>SUM(U89:V89)</f>
        <v>2.2013861429824129E-3</v>
      </c>
      <c r="U89" s="64">
        <f>(Production!R40*(Slaughter_age_LT/365)+SUM(Production!R41:R44))*EF_CH4_manure_LT</f>
        <v>2.2013861429824129E-3</v>
      </c>
      <c r="W89" s="4"/>
      <c r="X89" s="12"/>
    </row>
    <row r="90" spans="1:27" ht="15" thickBot="1" x14ac:dyDescent="0.4">
      <c r="A90" s="13" t="s">
        <v>162</v>
      </c>
      <c r="B90" s="13" t="s">
        <v>163</v>
      </c>
      <c r="C90" s="17" t="s">
        <v>164</v>
      </c>
      <c r="D90" t="s">
        <v>106</v>
      </c>
      <c r="E90" s="18" t="s">
        <v>107</v>
      </c>
      <c r="F90" s="35" t="s">
        <v>168</v>
      </c>
      <c r="G90" s="33">
        <f>SUM(H90:T90)+SUM(W90:X90)</f>
        <v>1.9303630006771888E-3</v>
      </c>
      <c r="H90" s="34">
        <f>'N2O per kg feed'!G209*FCR_bonefree_incl_parents_LT-Excreted_N_after_losses_LT*Manure_repl_factor_LT*(EF_min_fert_BAT_N2O*Frac_BAT_LT+EF_min_fert_AN_N2O*Frac_AN_LT)</f>
        <v>2.2694909605359531E-4</v>
      </c>
      <c r="I90" s="33">
        <f>'N2O per kg feed'!H209*FCR_bonefree_incl_parents_LT</f>
        <v>2.9992605455762718E-6</v>
      </c>
      <c r="J90" s="33">
        <f>'N2O per kg feed'!I209*FCR_bonefree_incl_parents_LT-Excreted_N_after_losses_LT*Manure_repl_factor_LT*EF_N2O_diff_LT</f>
        <v>1.3940229217373307E-3</v>
      </c>
      <c r="K90" s="33">
        <f>J90*EF_indirect_N2O_LT</f>
        <v>1.3940229217373307E-4</v>
      </c>
      <c r="L90" s="33">
        <f>'N2O per kg feed'!K209*FCR_bonefree_incl_parents_LT</f>
        <v>2.7888389627227626E-6</v>
      </c>
      <c r="M90" s="33"/>
      <c r="N90" s="33">
        <f>'N2O per kg feed'!M209*FCR_bonefree_incl_parents_LT</f>
        <v>4.8475469699291526E-9</v>
      </c>
      <c r="O90" s="33">
        <f>'N2O per kg feed'!N209*FCR_bonefree_incl_parents_LT</f>
        <v>3.3934949118919601E-6</v>
      </c>
      <c r="P90" s="33">
        <f>'N2O per kg feed'!O209*FCR_bonefree_incl_parents_LT</f>
        <v>0</v>
      </c>
      <c r="Q90" s="33">
        <f>'N2O per kg feed'!P209*FCR_bonefree_incl_parents_LT</f>
        <v>6.6944536519173821E-6</v>
      </c>
      <c r="R90" s="33">
        <f>'N2O per kg feed'!Q209*FCR_bonefree_incl_parents_LT</f>
        <v>4.4317628573877572E-6</v>
      </c>
      <c r="T90" s="48">
        <f>SUM(U90:V90)</f>
        <v>1.2390587072060898E-4</v>
      </c>
      <c r="U90" s="9">
        <f>Excreted_N_per_kg_of_bonefree_meat_LT*EF_N2O_manure_direct_LT*44/28</f>
        <v>4.5919975807215269E-5</v>
      </c>
      <c r="V90" s="64">
        <f>(Excreted_N_per_kg_of_bonefree_meat_LT-U90*28/44)*EF_ammonia_LT*EF_N2O_manure_indirect_LT*44/28</f>
        <v>7.7985894913393708E-5</v>
      </c>
      <c r="W90" s="4">
        <f>Energy_stables_LT/Bonefree_outof_CW_LT*(Share_heating_LT*(Share_biofuels_LT*EF_biofuel_N2O+(1-Share_biofuels_LT)*EF_oil_N2O)+(1-Share_heating_LT)*EF_el_N2O_LT)</f>
        <v>7.7484574790909062E-6</v>
      </c>
      <c r="X90" s="12">
        <f>(Energy_slaughter_el_LT*EF_el_N2O_LT+Energy_slaughter_oil_LT*EF_oil_N2O)/Bonefree_outof_CW_LT</f>
        <v>1.8021704036363638E-5</v>
      </c>
      <c r="Z90" s="33"/>
      <c r="AA90" s="33"/>
    </row>
    <row r="91" spans="1:27" ht="15.5" thickTop="1" thickBot="1" x14ac:dyDescent="0.4">
      <c r="A91" s="172" t="s">
        <v>162</v>
      </c>
      <c r="B91" s="172" t="s">
        <v>163</v>
      </c>
      <c r="C91" s="173" t="s">
        <v>164</v>
      </c>
      <c r="D91" s="211" t="s">
        <v>106</v>
      </c>
      <c r="E91" s="174" t="s">
        <v>107</v>
      </c>
      <c r="F91" s="175" t="s">
        <v>169</v>
      </c>
      <c r="G91" s="186">
        <f t="shared" si="2"/>
        <v>1.6839321360203192</v>
      </c>
      <c r="H91" s="176">
        <f>SUMPRODUCT(H87:H90,'Parameters, general'!$B$13:$B$16)</f>
        <v>0.17879463479718147</v>
      </c>
      <c r="I91" s="176">
        <f>SUMPRODUCT(I87:I90,'Parameters, general'!$B$13:$B$16)</f>
        <v>8.2942588005311998E-2</v>
      </c>
      <c r="J91" s="176">
        <f>SUMPRODUCT(J87:J90,'Parameters, general'!$B$13:$B$16)</f>
        <v>0.38056825763429131</v>
      </c>
      <c r="K91" s="176">
        <f>SUMPRODUCT(K87:K90,'Parameters, general'!$B$13:$B$16)</f>
        <v>3.8056825763429128E-2</v>
      </c>
      <c r="L91" s="176">
        <f>SUMPRODUCT(L87:L90,'Parameters, general'!$B$13:$B$16)</f>
        <v>0.10591675174274601</v>
      </c>
      <c r="M91" s="176">
        <f>SUMPRODUCT(M87:M90,'Parameters, general'!$B$13:$B$16)</f>
        <v>0</v>
      </c>
      <c r="N91" s="176">
        <f>SUMPRODUCT(N87:N90,'Parameters, general'!$B$13:$B$16)</f>
        <v>1.2899096277331531E-4</v>
      </c>
      <c r="O91" s="176">
        <f>SUMPRODUCT(O87:O90,'Parameters, general'!$B$13:$B$16)</f>
        <v>0.10158834332590612</v>
      </c>
      <c r="P91" s="176">
        <f>SUMPRODUCT(P87:P90,'Parameters, general'!$B$13:$B$16)</f>
        <v>0.14716643267502677</v>
      </c>
      <c r="Q91" s="176">
        <f>SUMPRODUCT(Q87:Q90,'Parameters, general'!$B$13:$B$16)</f>
        <v>2.2676663130623175E-2</v>
      </c>
      <c r="R91" s="176">
        <f>SUMPRODUCT(R87:R90,'Parameters, general'!$B$13:$B$16)</f>
        <v>0.12806376401571046</v>
      </c>
      <c r="S91" s="176">
        <f>SUMPRODUCT(S87:S90,'Parameters, general'!$B$13:$B$16)</f>
        <v>0</v>
      </c>
      <c r="T91" s="176">
        <f>SUMPRODUCT(T87:T90,'Parameters, general'!$B$13:$B$16)</f>
        <v>9.3263728567251403E-2</v>
      </c>
      <c r="U91" s="177"/>
      <c r="V91" s="177"/>
      <c r="W91" s="176">
        <f>SUMPRODUCT(W87:W90,'Parameters, general'!$B$13:$B$16)</f>
        <v>0.10726098410376254</v>
      </c>
      <c r="X91" s="176">
        <f>SUMPRODUCT(X87:X90,'Parameters, general'!$B$13:$B$16)</f>
        <v>0.29750417129630541</v>
      </c>
      <c r="Z91" s="115">
        <f>SUM(H91:R91)</f>
        <v>1.185903252053</v>
      </c>
      <c r="AA91" s="210">
        <f>'CO2 per kg feed'!F209+'CH4 per kg feed'!F209*CF_GWP_CH4_fossil+'N2O per kg feed'!F209*CF_GWP_N2O</f>
        <v>0.40185968259653748</v>
      </c>
    </row>
    <row r="92" spans="1:27" ht="15" thickTop="1" x14ac:dyDescent="0.35">
      <c r="A92" s="178" t="s">
        <v>162</v>
      </c>
      <c r="B92" s="178" t="s">
        <v>163</v>
      </c>
      <c r="C92" s="179" t="s">
        <v>164</v>
      </c>
      <c r="D92" t="s">
        <v>108</v>
      </c>
      <c r="E92" s="163" t="s">
        <v>109</v>
      </c>
      <c r="F92" s="180" t="s">
        <v>165</v>
      </c>
      <c r="G92" s="20">
        <f t="shared" si="2"/>
        <v>1.1042139256553085</v>
      </c>
      <c r="H92" s="181">
        <f>'CO2 per kg feed'!G221*FCR_bonefree_incl_parents_MT-Excreted_N_after_losses_MT*Manure_repl_factor_MT*(EF_min_fert_BAT_CO2*Frac_BAT_MT+EF_min_fert_AN_CO2*Frac_AN_MT)</f>
        <v>0.11127939047988417</v>
      </c>
      <c r="I92" s="181">
        <f>'CO2 per kg feed'!H221*FCR_bonefree_incl_parents_MT</f>
        <v>7.9586895628667054E-2</v>
      </c>
      <c r="J92" s="181">
        <f>'CO2 per kg feed'!I221*FCR_bonefree_incl_parents_MT</f>
        <v>0</v>
      </c>
      <c r="K92" s="181"/>
      <c r="L92" s="181">
        <f>'CO2 per kg feed'!K221*FCR_bonefree_incl_parents_MT</f>
        <v>0.10672242624357114</v>
      </c>
      <c r="M92" s="181"/>
      <c r="N92" s="181">
        <f>'CO2 per kg feed'!M221*FCR_bonefree_incl_parents_MT</f>
        <v>1.2255012548858035E-4</v>
      </c>
      <c r="O92" s="181">
        <f>'CO2 per kg feed'!N221*FCR_bonefree_incl_parents_MT</f>
        <v>0.10487976199050747</v>
      </c>
      <c r="P92" s="181">
        <f>'CO2 per kg feed'!O221*FCR_bonefree_incl_parents_MT</f>
        <v>0.20819033077315288</v>
      </c>
      <c r="Q92" s="181">
        <f>'CO2 per kg feed'!P221*FCR_bonefree_incl_parents_MT</f>
        <v>2.3037529923734125E-2</v>
      </c>
      <c r="R92" s="181">
        <f>'CO2 per kg feed'!Q221*FCR_bonefree_incl_parents_MT</f>
        <v>0.16452748711396417</v>
      </c>
      <c r="S92" s="162"/>
      <c r="T92" s="162"/>
      <c r="U92" s="182"/>
      <c r="V92" s="182"/>
      <c r="W92" s="183">
        <f>Energy_stables_MT/Bonefree_outof_CW_MT*(Share_heating_MT*(Share_biofuels_MT*EF_biofuels_CO2+(1-Share_biofuels_MT)*EF_oil_CO2)+(1-Share_heating_MT)*EF_el_CO2_MT)</f>
        <v>9.0799709110209084E-2</v>
      </c>
      <c r="X92" s="184">
        <f>(Energy_slaughter_el_MT*EF_el_CO2_MT+Energy_slaughter_oil_MT*EF_oil_CO2)/Bonefree_outof_CW_MT</f>
        <v>0.21506784426612988</v>
      </c>
      <c r="Z92" s="20"/>
      <c r="AA92" s="20"/>
    </row>
    <row r="93" spans="1:27" x14ac:dyDescent="0.35">
      <c r="A93" s="13" t="s">
        <v>162</v>
      </c>
      <c r="B93" s="13" t="s">
        <v>163</v>
      </c>
      <c r="C93" s="17" t="s">
        <v>164</v>
      </c>
      <c r="D93" t="s">
        <v>108</v>
      </c>
      <c r="E93" s="18" t="s">
        <v>109</v>
      </c>
      <c r="F93" s="13" t="s">
        <v>166</v>
      </c>
      <c r="G93" s="33">
        <f t="shared" si="2"/>
        <v>1.9325332901096077E-3</v>
      </c>
      <c r="H93" s="34">
        <f>'CH4 per kg feed'!G221*FCR_bonefree_incl_parents_MT-Excreted_N_after_losses_MT*Manure_repl_factor_MT*(EF_min_fert_BAT_CH4*Frac_BAT_MT+EF_min_fert_AN_CH4*Frac_AN_MT)</f>
        <v>1.1513852953059959E-4</v>
      </c>
      <c r="I93" s="34">
        <f>'CH4 per kg feed'!H221*FCR_bonefree_incl_parents_MT</f>
        <v>2.8262284273549717E-4</v>
      </c>
      <c r="J93" s="34"/>
      <c r="K93" s="34"/>
      <c r="L93" s="34">
        <f>'CH4 per kg feed'!K221*FCR_bonefree_incl_parents_MT</f>
        <v>4.7263855864379474E-5</v>
      </c>
      <c r="M93" s="34"/>
      <c r="N93" s="34">
        <f>'CH4 per kg feed'!M221*FCR_bonefree_incl_parents_MT</f>
        <v>4.0378170607532582E-7</v>
      </c>
      <c r="O93" s="34">
        <f>'CH4 per kg feed'!N221*FCR_bonefree_incl_parents_MT</f>
        <v>4.5813024387659918E-5</v>
      </c>
      <c r="P93" s="34">
        <f>'CH4 per kg feed'!O221*FCR_bonefree_incl_parents_MT</f>
        <v>1.5245172436260147E-6</v>
      </c>
      <c r="Q93" s="34">
        <f>'CH4 per kg feed'!P221*FCR_bonefree_incl_parents_MT</f>
        <v>8.4552418804109583E-5</v>
      </c>
      <c r="R93" s="34">
        <f>'CH4 per kg feed'!Q221*FCR_bonefree_incl_parents_MT</f>
        <v>1.5188752917617512E-4</v>
      </c>
      <c r="W93" s="4">
        <f>Energy_stables_MT/Bonefree_outof_CW_MT*(Share_heating_MT*(Share_biofuels_MT*EF_biofuel_CH4+(1-Share_biofuels_MT)*EF_oil_CH4)+(1-Share_heating_MT)*EF_el_CH4_MT)</f>
        <v>2.0151149493410903E-4</v>
      </c>
      <c r="X93" s="12">
        <f>(Energy_slaughter_el_MT*EF_el_CH4_MT+Energy_slaughter_oil_MT*EF_oil_CH4)/Bonefree_outof_CW_MT</f>
        <v>1.0018152957273765E-3</v>
      </c>
      <c r="Z93" s="33"/>
      <c r="AA93" s="33"/>
    </row>
    <row r="94" spans="1:27" x14ac:dyDescent="0.35">
      <c r="A94" s="13" t="s">
        <v>162</v>
      </c>
      <c r="B94" s="13" t="s">
        <v>163</v>
      </c>
      <c r="C94" s="17" t="s">
        <v>164</v>
      </c>
      <c r="D94" t="s">
        <v>108</v>
      </c>
      <c r="E94" s="18" t="s">
        <v>109</v>
      </c>
      <c r="F94" s="13" t="s">
        <v>167</v>
      </c>
      <c r="G94" s="33">
        <f>SUM(H94:T94)+SUM(W94:X94)</f>
        <v>2.2013861429824129E-3</v>
      </c>
      <c r="H94" s="34"/>
      <c r="I94" s="34"/>
      <c r="J94" s="34"/>
      <c r="K94" s="34"/>
      <c r="L94" s="34"/>
      <c r="M94" s="34"/>
      <c r="N94" s="34"/>
      <c r="O94" s="34"/>
      <c r="P94" s="34"/>
      <c r="Q94" s="34"/>
      <c r="R94" s="34"/>
      <c r="T94" s="48">
        <f>SUM(U94:V94)</f>
        <v>2.2013861429824129E-3</v>
      </c>
      <c r="U94" s="64">
        <f>(Production!S40*(Slaughter_age_MT/365)+SUM(Production!S41:S44))*EF_CH4_manure_MT</f>
        <v>2.2013861429824129E-3</v>
      </c>
      <c r="W94" s="4"/>
      <c r="X94" s="12"/>
    </row>
    <row r="95" spans="1:27" ht="15" thickBot="1" x14ac:dyDescent="0.4">
      <c r="A95" s="13" t="s">
        <v>162</v>
      </c>
      <c r="B95" s="13" t="s">
        <v>163</v>
      </c>
      <c r="C95" s="17" t="s">
        <v>164</v>
      </c>
      <c r="D95" t="s">
        <v>108</v>
      </c>
      <c r="E95" s="18" t="s">
        <v>109</v>
      </c>
      <c r="F95" s="35" t="s">
        <v>168</v>
      </c>
      <c r="G95" s="33">
        <f>SUM(H95:T95)+SUM(W95:X95)</f>
        <v>1.98481402722267E-3</v>
      </c>
      <c r="H95" s="34">
        <f>'N2O per kg feed'!G221*FCR_bonefree_incl_parents_MT-Excreted_N_after_losses_MT*Manure_repl_factor_MT*(EF_min_fert_BAT_N2O*Frac_BAT_MT+EF_min_fert_AN_N2O*Frac_AN_MT)</f>
        <v>2.2909049058225482E-4</v>
      </c>
      <c r="I95" s="33">
        <f>'N2O per kg feed'!H221*FCR_bonefree_incl_parents_MT</f>
        <v>3.2424290811679175E-6</v>
      </c>
      <c r="J95" s="33">
        <f>'N2O per kg feed'!I221*FCR_bonefree_incl_parents_MT-Excreted_N_after_losses_MT*Manure_repl_factor_MT*EF_N2O_diff_MT</f>
        <v>1.4482136464618797E-3</v>
      </c>
      <c r="K95" s="33">
        <f>J95*EF_indirect_N2O_MT</f>
        <v>1.4482136464618797E-4</v>
      </c>
      <c r="L95" s="33">
        <f>'N2O per kg feed'!K221*FCR_bonefree_incl_parents_MT</f>
        <v>2.8676732025406366E-6</v>
      </c>
      <c r="M95" s="33"/>
      <c r="N95" s="33">
        <f>'N2O per kg feed'!M221*FCR_bonefree_incl_parents_MT</f>
        <v>5.0441539184516795E-9</v>
      </c>
      <c r="O95" s="33">
        <f>'N2O per kg feed'!N221*FCR_bonefree_incl_parents_MT</f>
        <v>3.587283191383836E-6</v>
      </c>
      <c r="P95" s="33">
        <f>'N2O per kg feed'!O221*FCR_bonefree_incl_parents_MT</f>
        <v>0</v>
      </c>
      <c r="Q95" s="33">
        <f>'N2O per kg feed'!P221*FCR_bonefree_incl_parents_MT</f>
        <v>8.7960417800554947E-6</v>
      </c>
      <c r="R95" s="33">
        <f>'N2O per kg feed'!Q221*FCR_bonefree_incl_parents_MT</f>
        <v>5.9569686165683705E-6</v>
      </c>
      <c r="T95" s="48">
        <f>SUM(U95:V95)</f>
        <v>1.2390587072060898E-4</v>
      </c>
      <c r="U95" s="9">
        <f>Excreted_N_per_kg_of_bonefree_meat_MT*EF_N2O_manure_direct_MT*44/28</f>
        <v>4.5919975807215269E-5</v>
      </c>
      <c r="V95" s="64">
        <f>(Excreted_N_per_kg_of_bonefree_meat_MT-U95*28/44)*EF_ammonia_MT*EF_N2O_manure_indirect_MT*44/28</f>
        <v>7.7985894913393708E-5</v>
      </c>
      <c r="W95" s="4">
        <f>Energy_stables_MT/Bonefree_outof_CW_MT*(Share_heating_MT*(Share_biofuels_MT*EF_biofuel_N2O+(1-Share_biofuels_MT)*EF_oil_N2O)+(1-Share_heating_MT)*EF_el_N2O_MT)</f>
        <v>6.0441888172727244E-6</v>
      </c>
      <c r="X95" s="12">
        <f>(Energy_slaughter_el_MT*EF_el_N2O_MT+Energy_slaughter_oil_MT*EF_oil_N2O)/Bonefree_outof_CW_MT</f>
        <v>8.2830259688311709E-6</v>
      </c>
      <c r="Z95" s="33"/>
      <c r="AA95" s="33"/>
    </row>
    <row r="96" spans="1:27" ht="15.5" thickTop="1" thickBot="1" x14ac:dyDescent="0.4">
      <c r="A96" s="172" t="s">
        <v>162</v>
      </c>
      <c r="B96" s="172" t="s">
        <v>163</v>
      </c>
      <c r="C96" s="173" t="s">
        <v>164</v>
      </c>
      <c r="D96" s="211" t="s">
        <v>108</v>
      </c>
      <c r="E96" s="174" t="s">
        <v>109</v>
      </c>
      <c r="F96" s="175" t="s">
        <v>169</v>
      </c>
      <c r="G96" s="186">
        <f t="shared" si="2"/>
        <v>1.7630950729928887</v>
      </c>
      <c r="H96" s="176">
        <f>SUMPRODUCT(H92:H95,'Parameters, general'!$B$13:$B$16)</f>
        <v>0.17725222258885159</v>
      </c>
      <c r="I96" s="176">
        <f>SUMPRODUCT(I92:I95,'Parameters, general'!$B$13:$B$16)</f>
        <v>8.8894239481343701E-2</v>
      </c>
      <c r="J96" s="176">
        <f>SUMPRODUCT(J92:J95,'Parameters, general'!$B$13:$B$16)</f>
        <v>0.39536232548409317</v>
      </c>
      <c r="K96" s="176">
        <f>SUMPRODUCT(K92:K95,'Parameters, general'!$B$13:$B$16)</f>
        <v>3.9536232548409316E-2</v>
      </c>
      <c r="L96" s="176">
        <f>SUMPRODUCT(L92:L95,'Parameters, general'!$B$13:$B$16)</f>
        <v>0.10891376393262324</v>
      </c>
      <c r="M96" s="176">
        <f>SUMPRODUCT(M92:M95,'Parameters, general'!$B$13:$B$16)</f>
        <v>0</v>
      </c>
      <c r="N96" s="176">
        <f>SUMPRODUCT(N92:N95,'Parameters, general'!$B$13:$B$16)</f>
        <v>1.3595987434936237E-4</v>
      </c>
      <c r="O96" s="176">
        <f>SUMPRODUCT(O92:O95,'Parameters, general'!$B$13:$B$16)</f>
        <v>0.10722431842850753</v>
      </c>
      <c r="P96" s="176">
        <f>SUMPRODUCT(P92:P95,'Parameters, general'!$B$13:$B$16)</f>
        <v>0.20823576138701294</v>
      </c>
      <c r="Q96" s="176">
        <f>SUMPRODUCT(Q92:Q95,'Parameters, general'!$B$13:$B$16)</f>
        <v>2.7958511410051741E-2</v>
      </c>
      <c r="R96" s="176">
        <f>SUMPRODUCT(R92:R95,'Parameters, general'!$B$13:$B$16)</f>
        <v>0.17067998791573735</v>
      </c>
      <c r="S96" s="176">
        <f>SUMPRODUCT(S92:S95,'Parameters, general'!$B$13:$B$16)</f>
        <v>0</v>
      </c>
      <c r="T96" s="176">
        <f>SUMPRODUCT(T92:T95,'Parameters, general'!$B$13:$B$16)</f>
        <v>9.3263728567251403E-2</v>
      </c>
      <c r="U96" s="177"/>
      <c r="V96" s="177"/>
      <c r="W96" s="176">
        <f>SUMPRODUCT(W92:W95,'Parameters, general'!$B$13:$B$16)</f>
        <v>9.8454815206360985E-2</v>
      </c>
      <c r="X96" s="176">
        <f>SUMPRODUCT(X92:X95,'Parameters, general'!$B$13:$B$16)</f>
        <v>0.24718320616829659</v>
      </c>
      <c r="Z96" s="115">
        <f>SUM(H96:R96)</f>
        <v>1.3241933230509799</v>
      </c>
      <c r="AA96" s="210">
        <f>'CO2 per kg feed'!F221+'CH4 per kg feed'!F221*CF_GWP_CH4_fossil+'N2O per kg feed'!F221*CF_GWP_N2O</f>
        <v>0.44397475654721374</v>
      </c>
    </row>
    <row r="97" spans="1:27" ht="15" thickTop="1" x14ac:dyDescent="0.35">
      <c r="A97" s="178" t="s">
        <v>162</v>
      </c>
      <c r="B97" s="178" t="s">
        <v>163</v>
      </c>
      <c r="C97" s="179" t="s">
        <v>164</v>
      </c>
      <c r="D97" t="s">
        <v>173</v>
      </c>
      <c r="E97" s="18" t="s">
        <v>110</v>
      </c>
      <c r="F97" s="180" t="s">
        <v>165</v>
      </c>
      <c r="G97" s="20">
        <f t="shared" si="2"/>
        <v>1.131967192468728</v>
      </c>
      <c r="H97" s="181">
        <f>'CO2 per kg feed'!G233*FCR_bonefree_incl_parents_NL-Excreted_N_after_losses_NL*Manure_repl_factor_NL*(EF_min_fert_BAT_CO2*Frac_BAT_NL+EF_min_fert_AN_CO2*Frac_AN_NL)</f>
        <v>0.11726582037688661</v>
      </c>
      <c r="I97" s="181">
        <f>'CO2 per kg feed'!H233*FCR_bonefree_incl_parents_NL</f>
        <v>7.6915781436205727E-2</v>
      </c>
      <c r="J97" s="181">
        <f>'CO2 per kg feed'!I233*FCR_bonefree_incl_parents_NL</f>
        <v>0</v>
      </c>
      <c r="K97" s="181"/>
      <c r="L97" s="181">
        <f>'CO2 per kg feed'!K233*FCR_bonefree_incl_parents_NL</f>
        <v>9.0565867076903853E-2</v>
      </c>
      <c r="M97" s="181"/>
      <c r="N97" s="181">
        <f>'CO2 per kg feed'!M233*FCR_bonefree_incl_parents_NL</f>
        <v>5.2976138815788963E-3</v>
      </c>
      <c r="O97" s="181">
        <f>'CO2 per kg feed'!N233*FCR_bonefree_incl_parents_NL</f>
        <v>0.12798050031176947</v>
      </c>
      <c r="P97" s="181">
        <f>'CO2 per kg feed'!O233*FCR_bonefree_incl_parents_NL</f>
        <v>0.16553871256597608</v>
      </c>
      <c r="Q97" s="181">
        <f>'CO2 per kg feed'!P233*FCR_bonefree_incl_parents_NL</f>
        <v>2.6861900739376204E-2</v>
      </c>
      <c r="R97" s="181">
        <f>'CO2 per kg feed'!Q233*FCR_bonefree_incl_parents_NL</f>
        <v>0.15632703528865707</v>
      </c>
      <c r="S97" s="162"/>
      <c r="T97" s="162"/>
      <c r="U97" s="182"/>
      <c r="V97" s="182"/>
      <c r="W97" s="183">
        <f>Energy_stables_NL/Bonefree_outof_CW_NL*(Share_heating_NL*(Share_biofuels_NL*EF_biofuels_CO2+(1-Share_biofuels_NL)*EF_oil_CO2)+(1-Share_heating_NL)*EF_el_CO2_NL)</f>
        <v>9.9638535746490897E-2</v>
      </c>
      <c r="X97" s="184">
        <f>(Energy_slaughter_el_NL*EF_el_CO2_NL+Energy_slaughter_oil_NL*EF_oil_CO2)/Bonefree_outof_CW_NL</f>
        <v>0.26557542504488307</v>
      </c>
      <c r="Z97" s="20"/>
      <c r="AA97" s="20"/>
    </row>
    <row r="98" spans="1:27" x14ac:dyDescent="0.35">
      <c r="A98" s="13" t="s">
        <v>162</v>
      </c>
      <c r="B98" s="13" t="s">
        <v>163</v>
      </c>
      <c r="C98" s="17" t="s">
        <v>164</v>
      </c>
      <c r="D98" t="s">
        <v>173</v>
      </c>
      <c r="E98" s="18" t="s">
        <v>110</v>
      </c>
      <c r="F98" s="13" t="s">
        <v>166</v>
      </c>
      <c r="G98" s="33">
        <f t="shared" si="2"/>
        <v>1.5856928529503691E-3</v>
      </c>
      <c r="H98" s="34">
        <f>'CH4 per kg feed'!G233*FCR_bonefree_incl_parents_NL-Excreted_N_after_losses_NL*Manure_repl_factor_NL*(EF_min_fert_BAT_CH4*Frac_BAT_NL+EF_min_fert_AN_CH4*Frac_AN_NL)</f>
        <v>2.4041030802612212E-4</v>
      </c>
      <c r="I98" s="34">
        <f>'CH4 per kg feed'!H233*FCR_bonefree_incl_parents_NL</f>
        <v>3.6359113779957841E-4</v>
      </c>
      <c r="J98" s="34"/>
      <c r="K98" s="34"/>
      <c r="L98" s="34">
        <f>'CH4 per kg feed'!K233*FCR_bonefree_incl_parents_NL</f>
        <v>3.9749889745540118E-5</v>
      </c>
      <c r="M98" s="34"/>
      <c r="N98" s="34">
        <f>'CH4 per kg feed'!M233*FCR_bonefree_incl_parents_NL</f>
        <v>1.6894328135822036E-5</v>
      </c>
      <c r="O98" s="34">
        <f>'CH4 per kg feed'!N233*FCR_bonefree_incl_parents_NL</f>
        <v>8.6416552331442946E-5</v>
      </c>
      <c r="P98" s="34">
        <f>'CH4 per kg feed'!O233*FCR_bonefree_incl_parents_NL</f>
        <v>9.0765002988949152E-6</v>
      </c>
      <c r="Q98" s="34">
        <f>'CH4 per kg feed'!P233*FCR_bonefree_incl_parents_NL</f>
        <v>9.0245087730192415E-5</v>
      </c>
      <c r="R98" s="34">
        <f>'CH4 per kg feed'!Q233*FCR_bonefree_incl_parents_NL</f>
        <v>1.0945183723651387E-4</v>
      </c>
      <c r="W98" s="4">
        <f>Energy_stables_NL/Bonefree_outof_CW_NL*(Share_heating_NL*(Share_biofuels_NL*EF_biofuel_CH4+(1-Share_biofuels_NL)*EF_oil_CH4)+(1-Share_heating_NL)*EF_el_CH4_NL)</f>
        <v>1.1610113210205449E-4</v>
      </c>
      <c r="X98" s="12">
        <f>(Energy_slaughter_el_NL*EF_el_CH4_NL+Energy_slaughter_oil_NL*EF_oil_CH4)/Bonefree_outof_CW_NL</f>
        <v>5.1375607954420779E-4</v>
      </c>
      <c r="Z98" s="33"/>
      <c r="AA98" s="33"/>
    </row>
    <row r="99" spans="1:27" x14ac:dyDescent="0.35">
      <c r="A99" s="13" t="s">
        <v>162</v>
      </c>
      <c r="B99" s="13" t="s">
        <v>163</v>
      </c>
      <c r="C99" s="17" t="s">
        <v>164</v>
      </c>
      <c r="D99" t="s">
        <v>173</v>
      </c>
      <c r="E99" s="18" t="s">
        <v>110</v>
      </c>
      <c r="F99" s="13" t="s">
        <v>167</v>
      </c>
      <c r="G99" s="33">
        <f>SUM(H99:T99)+SUM(W99:X99)</f>
        <v>3.1693197592288259E-3</v>
      </c>
      <c r="H99" s="34"/>
      <c r="I99" s="34"/>
      <c r="J99" s="34"/>
      <c r="K99" s="34"/>
      <c r="L99" s="34"/>
      <c r="M99" s="34"/>
      <c r="N99" s="34"/>
      <c r="O99" s="34"/>
      <c r="P99" s="34"/>
      <c r="Q99" s="34"/>
      <c r="R99" s="34"/>
      <c r="T99" s="48">
        <f>SUM(U99:V99)</f>
        <v>3.1693197592288259E-3</v>
      </c>
      <c r="U99" s="64">
        <f>(Production!T40*(Slaughter_age_NL/365)+SUM(Production!T41:T44))*EF_CH4_manure_NL</f>
        <v>3.1693197592288259E-3</v>
      </c>
      <c r="W99" s="4"/>
      <c r="X99" s="12"/>
    </row>
    <row r="100" spans="1:27" ht="15" thickBot="1" x14ac:dyDescent="0.4">
      <c r="A100" s="13" t="s">
        <v>162</v>
      </c>
      <c r="B100" s="13" t="s">
        <v>163</v>
      </c>
      <c r="C100" s="17" t="s">
        <v>164</v>
      </c>
      <c r="D100" t="s">
        <v>173</v>
      </c>
      <c r="E100" s="18" t="s">
        <v>110</v>
      </c>
      <c r="F100" s="35" t="s">
        <v>168</v>
      </c>
      <c r="G100" s="33">
        <f>SUM(H100:T100)+SUM(W100:X100)</f>
        <v>1.9221784153758937E-3</v>
      </c>
      <c r="H100" s="34">
        <f>'N2O per kg feed'!G233*FCR_bonefree_incl_parents_NL-Excreted_N_after_losses_NL*Manure_repl_factor_NL*(EF_min_fert_BAT_N2O*Frac_BAT_NL+EF_min_fert_AN_N2O*Frac_AN_NL)</f>
        <v>2.3614626915979692E-4</v>
      </c>
      <c r="I100" s="33">
        <f>'N2O per kg feed'!H233*FCR_bonefree_incl_parents_NL</f>
        <v>2.9189387973805424E-6</v>
      </c>
      <c r="J100" s="33">
        <f>'N2O per kg feed'!I233*FCR_bonefree_incl_parents_NL-Excreted_N_after_losses_NL*Manure_repl_factor_NL*EF_N2O_diff_NL</f>
        <v>1.2771475958063259E-3</v>
      </c>
      <c r="K100" s="33">
        <f>J100*EF_indirect_N2O_NL</f>
        <v>1.2771475958063259E-4</v>
      </c>
      <c r="L100" s="33">
        <f>'N2O per kg feed'!K233*FCR_bonefree_incl_parents_NL</f>
        <v>2.4309735032918581E-6</v>
      </c>
      <c r="M100" s="33"/>
      <c r="N100" s="33">
        <f>'N2O per kg feed'!M233*FCR_bonefree_incl_parents_NL</f>
        <v>2.1017858056490616E-7</v>
      </c>
      <c r="O100" s="33">
        <f>'N2O per kg feed'!N233*FCR_bonefree_incl_parents_NL</f>
        <v>4.646862726627737E-6</v>
      </c>
      <c r="P100" s="33">
        <f>'N2O per kg feed'!O233*FCR_bonefree_incl_parents_NL</f>
        <v>0</v>
      </c>
      <c r="Q100" s="33">
        <f>'N2O per kg feed'!P233*FCR_bonefree_incl_parents_NL</f>
        <v>8.5805828778560201E-6</v>
      </c>
      <c r="R100" s="33">
        <f>'N2O per kg feed'!Q233*FCR_bonefree_incl_parents_NL</f>
        <v>5.4741917534848112E-6</v>
      </c>
      <c r="T100" s="48">
        <f>SUM(U100:V100)</f>
        <v>2.3982733445551663E-4</v>
      </c>
      <c r="U100" s="9">
        <f>Excreted_N_per_kg_of_bonefree_meat_NL*EF_N2O_manure_direct_NL*44/28</f>
        <v>8.8880900735839827E-5</v>
      </c>
      <c r="V100" s="64">
        <f>(Excreted_N_per_kg_of_bonefree_meat_NL-U100*28/44)*EF_ammonia_NL*EF_N2O_manure_indirect_NL*44/28</f>
        <v>1.5094643371967682E-4</v>
      </c>
      <c r="W100" s="4">
        <f>Energy_stables_NL/Bonefree_outof_CW_NL*(Share_heating_NL*(Share_biofuels_NL*EF_biofuel_N2O+(1-Share_biofuels_NL)*EF_oil_N2O)+(1-Share_heating_NL)*EF_el_N2O_NL)</f>
        <v>6.4542865499999965E-6</v>
      </c>
      <c r="X100" s="12">
        <f>(Energy_slaughter_el_NL*EF_el_N2O_NL+Energy_slaughter_oil_NL*EF_oil_N2O)/Bonefree_outof_CW_NL</f>
        <v>1.0626441584415587E-5</v>
      </c>
      <c r="Z100" s="33"/>
      <c r="AA100" s="33"/>
    </row>
    <row r="101" spans="1:27" ht="15.5" thickTop="1" thickBot="1" x14ac:dyDescent="0.4">
      <c r="A101" s="172" t="s">
        <v>162</v>
      </c>
      <c r="B101" s="172" t="s">
        <v>163</v>
      </c>
      <c r="C101" s="173" t="s">
        <v>164</v>
      </c>
      <c r="D101" s="211" t="s">
        <v>173</v>
      </c>
      <c r="E101" s="174" t="s">
        <v>110</v>
      </c>
      <c r="F101" s="175" t="s">
        <v>169</v>
      </c>
      <c r="G101" s="186">
        <f t="shared" si="2"/>
        <v>1.7895471803834464</v>
      </c>
      <c r="H101" s="176">
        <f>SUMPRODUCT(H97:H100,'Parameters, general'!$B$13:$B$16)</f>
        <v>0.18889797903668962</v>
      </c>
      <c r="I101" s="176">
        <f>SUMPRODUCT(I97:I100,'Parameters, general'!$B$13:$B$16)</f>
        <v>8.8547667634318053E-2</v>
      </c>
      <c r="J101" s="176">
        <f>SUMPRODUCT(J97:J100,'Parameters, general'!$B$13:$B$16)</f>
        <v>0.34866129365512699</v>
      </c>
      <c r="K101" s="176">
        <f>SUMPRODUCT(K97:K100,'Parameters, general'!$B$13:$B$16)</f>
        <v>3.4866129365512699E-2</v>
      </c>
      <c r="L101" s="176">
        <f>SUMPRODUCT(L97:L100,'Parameters, general'!$B$13:$B$16)</f>
        <v>9.2414069557719622E-2</v>
      </c>
      <c r="M101" s="176">
        <f>SUMPRODUCT(M97:M100,'Parameters, general'!$B$13:$B$16)</f>
        <v>0</v>
      </c>
      <c r="N101" s="176">
        <f>SUMPRODUCT(N97:N100,'Parameters, general'!$B$13:$B$16)</f>
        <v>5.858443612520612E-3</v>
      </c>
      <c r="O101" s="176">
        <f>SUMPRODUCT(O97:O100,'Parameters, general'!$B$13:$B$16)</f>
        <v>0.13182430709561582</v>
      </c>
      <c r="P101" s="176">
        <f>SUMPRODUCT(P97:P100,'Parameters, general'!$B$13:$B$16)</f>
        <v>0.16580919227488314</v>
      </c>
      <c r="Q101" s="176">
        <f>SUMPRODUCT(Q97:Q100,'Parameters, general'!$B$13:$B$16)</f>
        <v>3.1893703479390634E-2</v>
      </c>
      <c r="R101" s="176">
        <f>SUMPRODUCT(R97:R100,'Parameters, general'!$B$13:$B$16)</f>
        <v>0.16108315438700654</v>
      </c>
      <c r="S101" s="176">
        <f>SUMPRODUCT(S97:S100,'Parameters, general'!$B$13:$B$16)</f>
        <v>0</v>
      </c>
      <c r="T101" s="176">
        <f>SUMPRODUCT(T97:T100,'Parameters, general'!$B$13:$B$16)</f>
        <v>0.15104449580553436</v>
      </c>
      <c r="U101" s="177"/>
      <c r="V101" s="177"/>
      <c r="W101" s="176">
        <f>SUMPRODUCT(W97:W100,'Parameters, general'!$B$13:$B$16)</f>
        <v>0.10486036971128213</v>
      </c>
      <c r="X101" s="176">
        <f>SUMPRODUCT(X97:X100,'Parameters, general'!$B$13:$B$16)</f>
        <v>0.28378637476784591</v>
      </c>
      <c r="Z101" s="115">
        <f>SUM(H101:R101)</f>
        <v>1.2498559400987839</v>
      </c>
      <c r="AA101" s="210">
        <f>'CO2 per kg feed'!F233+'CH4 per kg feed'!F233*CF_GWP_CH4_fossil+'N2O per kg feed'!F233*CF_GWP_N2O</f>
        <v>0.46008793011821969</v>
      </c>
    </row>
    <row r="102" spans="1:27" ht="15" thickTop="1" x14ac:dyDescent="0.35">
      <c r="A102" s="178" t="s">
        <v>162</v>
      </c>
      <c r="B102" s="178" t="s">
        <v>163</v>
      </c>
      <c r="C102" s="179" t="s">
        <v>164</v>
      </c>
      <c r="D102" t="s">
        <v>19</v>
      </c>
      <c r="E102" s="18" t="s">
        <v>111</v>
      </c>
      <c r="F102" s="180" t="s">
        <v>165</v>
      </c>
      <c r="G102" s="20">
        <f t="shared" si="2"/>
        <v>1.3816965219126489</v>
      </c>
      <c r="H102" s="181">
        <f>'CO2 per kg feed'!G245*FCR_bonefree_incl_parents_PL-Excreted_N_after_losses_PL*Manure_repl_factor_PL*(EF_min_fert_BAT_CO2*Frac_BAT_PL+EF_min_fert_AN_CO2*Frac_AN_PL)</f>
        <v>0.14368948544767265</v>
      </c>
      <c r="I102" s="181">
        <f>'CO2 per kg feed'!H245*FCR_bonefree_incl_parents_PL</f>
        <v>8.014189109575115E-2</v>
      </c>
      <c r="J102" s="181">
        <f>'CO2 per kg feed'!I245*FCR_bonefree_incl_parents_PL</f>
        <v>0</v>
      </c>
      <c r="K102" s="181"/>
      <c r="L102" s="181">
        <f>'CO2 per kg feed'!K245*FCR_bonefree_incl_parents_PL</f>
        <v>0.12903980665294482</v>
      </c>
      <c r="M102" s="181"/>
      <c r="N102" s="181">
        <f>'CO2 per kg feed'!M245*FCR_bonefree_incl_parents_PL</f>
        <v>8.7490449095264998E-4</v>
      </c>
      <c r="O102" s="181">
        <f>'CO2 per kg feed'!N245*FCR_bonefree_incl_parents_PL</f>
        <v>0.15442875703285569</v>
      </c>
      <c r="P102" s="181">
        <f>'CO2 per kg feed'!O245*FCR_bonefree_incl_parents_PL</f>
        <v>0.10930332474514153</v>
      </c>
      <c r="Q102" s="181">
        <f>'CO2 per kg feed'!P245*FCR_bonefree_incl_parents_PL</f>
        <v>1.4183906626631949E-2</v>
      </c>
      <c r="R102" s="181">
        <f>'CO2 per kg feed'!Q245*FCR_bonefree_incl_parents_PL</f>
        <v>9.2615278953938632E-2</v>
      </c>
      <c r="S102" s="162"/>
      <c r="T102" s="162"/>
      <c r="U102" s="182"/>
      <c r="V102" s="182"/>
      <c r="W102" s="183">
        <f>Energy_stables_PL/Bonefree_outof_CW_PL*(Share_heating_PL*(Share_biofuels_PL*EF_biofuels_CO2+(1-Share_biofuels_PL)*EF_oil_CO2)+(1-Share_heating_PL)*EF_el_CO2_PL)</f>
        <v>0.14315846005559088</v>
      </c>
      <c r="X102" s="184">
        <f>(Energy_slaughter_el_PL*EF_el_CO2_PL+Energy_slaughter_oil_PL*EF_oil_CO2)/Bonefree_outof_CW_PL</f>
        <v>0.51426070681116887</v>
      </c>
      <c r="Z102" s="20"/>
      <c r="AA102" s="20"/>
    </row>
    <row r="103" spans="1:27" x14ac:dyDescent="0.35">
      <c r="A103" s="13" t="s">
        <v>162</v>
      </c>
      <c r="B103" s="13" t="s">
        <v>163</v>
      </c>
      <c r="C103" s="17" t="s">
        <v>164</v>
      </c>
      <c r="D103" t="s">
        <v>19</v>
      </c>
      <c r="E103" s="18" t="s">
        <v>111</v>
      </c>
      <c r="F103" s="13" t="s">
        <v>166</v>
      </c>
      <c r="G103" s="33">
        <f t="shared" si="2"/>
        <v>2.1239648828208497E-3</v>
      </c>
      <c r="H103" s="34">
        <f>'CH4 per kg feed'!G245*FCR_bonefree_incl_parents_PL-Excreted_N_after_losses_PL*Manure_repl_factor_PL*(EF_min_fert_BAT_CH4*Frac_BAT_PL+EF_min_fert_AN_CH4*Frac_AN_PL)</f>
        <v>2.8187140177128421E-4</v>
      </c>
      <c r="I103" s="34">
        <f>'CH4 per kg feed'!H245*FCR_bonefree_incl_parents_PL</f>
        <v>3.1605190218993482E-4</v>
      </c>
      <c r="J103" s="34"/>
      <c r="K103" s="34"/>
      <c r="L103" s="34">
        <f>'CH4 per kg feed'!K245*FCR_bonefree_incl_parents_PL</f>
        <v>5.7061792235275844E-5</v>
      </c>
      <c r="M103" s="34"/>
      <c r="N103" s="34">
        <f>'CH4 per kg feed'!M245*FCR_bonefree_incl_parents_PL</f>
        <v>2.9951441267913627E-6</v>
      </c>
      <c r="O103" s="34">
        <f>'CH4 per kg feed'!N245*FCR_bonefree_incl_parents_PL</f>
        <v>1.4056293131697585E-4</v>
      </c>
      <c r="P103" s="34">
        <f>'CH4 per kg feed'!O245*FCR_bonefree_incl_parents_PL</f>
        <v>4.5592717266788646E-6</v>
      </c>
      <c r="Q103" s="34">
        <f>'CH4 per kg feed'!P245*FCR_bonefree_incl_parents_PL</f>
        <v>5.0018007778590775E-5</v>
      </c>
      <c r="R103" s="34">
        <f>'CH4 per kg feed'!Q245*FCR_bonefree_incl_parents_PL</f>
        <v>9.4121854049459858E-5</v>
      </c>
      <c r="W103" s="4">
        <f>Energy_stables_PL/Bonefree_outof_CW_PL*(Share_heating_PL*(Share_biofuels_PL*EF_biofuel_CH4+(1-Share_biofuels_PL)*EF_oil_CH4)+(1-Share_heating_PL)*EF_el_CH4_PL)</f>
        <v>1.9754916533305813E-4</v>
      </c>
      <c r="X103" s="12">
        <f>(Energy_slaughter_el_PL*EF_el_CH4_PL+Energy_slaughter_oil_PL*EF_oil_CH4)/Bonefree_outof_CW_PL</f>
        <v>9.7917341229280001E-4</v>
      </c>
      <c r="Z103" s="33"/>
      <c r="AA103" s="33"/>
    </row>
    <row r="104" spans="1:27" x14ac:dyDescent="0.35">
      <c r="A104" s="13" t="s">
        <v>162</v>
      </c>
      <c r="B104" s="13" t="s">
        <v>163</v>
      </c>
      <c r="C104" s="17" t="s">
        <v>164</v>
      </c>
      <c r="D104" t="s">
        <v>19</v>
      </c>
      <c r="E104" s="18" t="s">
        <v>111</v>
      </c>
      <c r="F104" s="13" t="s">
        <v>167</v>
      </c>
      <c r="G104" s="33">
        <f>SUM(H104:T104)+SUM(W104:X104)</f>
        <v>3.3020792144736189E-3</v>
      </c>
      <c r="H104" s="34"/>
      <c r="I104" s="34"/>
      <c r="J104" s="34"/>
      <c r="K104" s="34"/>
      <c r="L104" s="34"/>
      <c r="M104" s="34"/>
      <c r="N104" s="34"/>
      <c r="O104" s="34"/>
      <c r="P104" s="34"/>
      <c r="Q104" s="34"/>
      <c r="R104" s="34"/>
      <c r="T104" s="48">
        <f>SUM(U104:V104)</f>
        <v>3.3020792144736189E-3</v>
      </c>
      <c r="U104" s="64">
        <f>(Production!U40*(Slaughter_age_PL/365)+SUM(Production!U41:U44))*EF_CH4_manure_PL</f>
        <v>3.3020792144736189E-3</v>
      </c>
      <c r="W104" s="4"/>
      <c r="X104" s="12"/>
    </row>
    <row r="105" spans="1:27" ht="15" thickBot="1" x14ac:dyDescent="0.4">
      <c r="A105" s="13" t="s">
        <v>162</v>
      </c>
      <c r="B105" s="13" t="s">
        <v>163</v>
      </c>
      <c r="C105" s="17" t="s">
        <v>164</v>
      </c>
      <c r="D105" t="s">
        <v>19</v>
      </c>
      <c r="E105" s="18" t="s">
        <v>111</v>
      </c>
      <c r="F105" s="35" t="s">
        <v>168</v>
      </c>
      <c r="G105" s="33">
        <f>SUM(H105:T105)+SUM(W105:X105)</f>
        <v>1.839087363489545E-3</v>
      </c>
      <c r="H105" s="34">
        <f>'N2O per kg feed'!G245*FCR_bonefree_incl_parents_PL-Excreted_N_after_losses_PL*Manure_repl_factor_PL*(EF_min_fert_BAT_N2O*Frac_BAT_PL+EF_min_fert_AN_N2O*Frac_AN_PL)</f>
        <v>3.1482070765617882E-4</v>
      </c>
      <c r="I105" s="33">
        <f>'N2O per kg feed'!H245*FCR_bonefree_incl_parents_PL</f>
        <v>3.0032102067852761E-6</v>
      </c>
      <c r="J105" s="33">
        <f>'N2O per kg feed'!I245*FCR_bonefree_incl_parents_PL-Excreted_N_after_losses_PL*Manure_repl_factor_PL*EF_N2O_diff_PL</f>
        <v>1.1889015129920425E-3</v>
      </c>
      <c r="K105" s="33">
        <f>J105*EF_indirect_N2O_PL</f>
        <v>1.1889015129920425E-4</v>
      </c>
      <c r="L105" s="33">
        <f>'N2O per kg feed'!K245*FCR_bonefree_incl_parents_PL</f>
        <v>3.4658925335938756E-6</v>
      </c>
      <c r="M105" s="33"/>
      <c r="N105" s="33">
        <f>'N2O per kg feed'!M245*FCR_bonefree_incl_parents_PL</f>
        <v>3.7511820580610342E-8</v>
      </c>
      <c r="O105" s="33">
        <f>'N2O per kg feed'!N245*FCR_bonefree_incl_parents_PL</f>
        <v>4.5467420908238776E-6</v>
      </c>
      <c r="P105" s="33">
        <f>'N2O per kg feed'!O245*FCR_bonefree_incl_parents_PL</f>
        <v>0</v>
      </c>
      <c r="Q105" s="33">
        <f>'N2O per kg feed'!P245*FCR_bonefree_incl_parents_PL</f>
        <v>5.0059474170374712E-6</v>
      </c>
      <c r="R105" s="33">
        <f>'N2O per kg feed'!Q245*FCR_bonefree_incl_parents_PL</f>
        <v>3.3078370642528297E-6</v>
      </c>
      <c r="T105" s="48">
        <f>SUM(U105:V105)</f>
        <v>1.8145661753281187E-4</v>
      </c>
      <c r="U105" s="9">
        <f>Excreted_N_per_kg_of_bonefree_meat_PL*EF_N2O_manure_direct_PL*44/28</f>
        <v>6.724849628759288E-5</v>
      </c>
      <c r="V105" s="64">
        <f>(Excreted_N_per_kg_of_bonefree_meat_PL-U105*28/44)*EF_ammonia_PL*EF_N2O_manure_indirect_PL*44/28</f>
        <v>1.1420812124521899E-4</v>
      </c>
      <c r="W105" s="4">
        <f>Energy_stables_PL/Bonefree_outof_CW_PL*(Share_heating_PL*(Share_biofuels_PL*EF_biofuel_N2O+(1-Share_biofuels_PL)*EF_oil_N2O)+(1-Share_heating_PL)*EF_el_N2O_PL)</f>
        <v>6.2413830009090877E-6</v>
      </c>
      <c r="X105" s="12">
        <f>(Energy_slaughter_el_PL*EF_el_N2O_PL+Energy_slaughter_oil_PL*EF_oil_N2O)/Bonefree_outof_CW_PL</f>
        <v>9.4098498753246761E-6</v>
      </c>
      <c r="Z105" s="33"/>
      <c r="AA105" s="33"/>
    </row>
    <row r="106" spans="1:27" ht="15.5" thickTop="1" thickBot="1" x14ac:dyDescent="0.4">
      <c r="A106" s="172" t="s">
        <v>162</v>
      </c>
      <c r="B106" s="172" t="s">
        <v>163</v>
      </c>
      <c r="C106" s="173" t="s">
        <v>164</v>
      </c>
      <c r="D106" s="211" t="s">
        <v>19</v>
      </c>
      <c r="E106" s="37" t="s">
        <v>111</v>
      </c>
      <c r="F106" s="175" t="s">
        <v>169</v>
      </c>
      <c r="G106" s="186">
        <f t="shared" si="2"/>
        <v>2.0362176644441434</v>
      </c>
      <c r="H106" s="176">
        <f>SUMPRODUCT(H102:H105,'Parameters, general'!$B$13:$B$16)</f>
        <v>0.23803530641059373</v>
      </c>
      <c r="I106" s="176">
        <f>SUMPRODUCT(I102:I105,'Parameters, general'!$B$13:$B$16)</f>
        <v>9.0380114167463596E-2</v>
      </c>
      <c r="J106" s="176">
        <f>SUMPRODUCT(J102:J105,'Parameters, general'!$B$13:$B$16)</f>
        <v>0.32457011304682759</v>
      </c>
      <c r="K106" s="176">
        <f>SUMPRODUCT(K102:K105,'Parameters, general'!$B$13:$B$16)</f>
        <v>3.2457011304682759E-2</v>
      </c>
      <c r="L106" s="176">
        <f>SUMPRODUCT(L102:L105,'Parameters, general'!$B$13:$B$16)</f>
        <v>0.13168643672322716</v>
      </c>
      <c r="M106" s="176">
        <f>SUMPRODUCT(M102:M105,'Parameters, general'!$B$13:$B$16)</f>
        <v>0</v>
      </c>
      <c r="N106" s="176">
        <f>SUMPRODUCT(N102:N105,'Parameters, general'!$B$13:$B$16)</f>
        <v>9.7440051294953923E-4</v>
      </c>
      <c r="O106" s="176">
        <f>SUMPRODUCT(O102:O105,'Parameters, general'!$B$13:$B$16)</f>
        <v>0.15985879297689648</v>
      </c>
      <c r="P106" s="176">
        <f>SUMPRODUCT(P102:P105,'Parameters, general'!$B$13:$B$16)</f>
        <v>0.10943919104259656</v>
      </c>
      <c r="Q106" s="176">
        <f>SUMPRODUCT(Q102:Q105,'Parameters, general'!$B$13:$B$16)</f>
        <v>1.7041066903285183E-2</v>
      </c>
      <c r="R106" s="176">
        <f>SUMPRODUCT(R102:R105,'Parameters, general'!$B$13:$B$16)</f>
        <v>9.6323149723153562E-2</v>
      </c>
      <c r="S106" s="176">
        <f>SUMPRODUCT(S102:S105,'Parameters, general'!$B$13:$B$16)</f>
        <v>0</v>
      </c>
      <c r="T106" s="176">
        <f>SUMPRODUCT(T102:T105,'Parameters, general'!$B$13:$B$16)</f>
        <v>0.13869379537724535</v>
      </c>
      <c r="U106" s="177"/>
      <c r="V106" s="177"/>
      <c r="W106" s="176">
        <f>SUMPRODUCT(W102:W105,'Parameters, general'!$B$13:$B$16)</f>
        <v>0.1507493227417642</v>
      </c>
      <c r="X106" s="176">
        <f>SUMPRODUCT(X102:X105,'Parameters, general'!$B$13:$B$16)</f>
        <v>0.54600896351345796</v>
      </c>
      <c r="Z106" s="115">
        <f>SUM(H106:R106)</f>
        <v>1.2007655828116759</v>
      </c>
      <c r="AA106" s="210">
        <f>'CO2 per kg feed'!F245+'CH4 per kg feed'!F245*CF_GWP_CH4_fossil+'N2O per kg feed'!F245*CF_GWP_N2O</f>
        <v>0.42545943255561613</v>
      </c>
    </row>
    <row r="107" spans="1:27" ht="15" thickTop="1" x14ac:dyDescent="0.35">
      <c r="A107" s="178" t="s">
        <v>162</v>
      </c>
      <c r="B107" s="178" t="s">
        <v>163</v>
      </c>
      <c r="C107" s="179" t="s">
        <v>164</v>
      </c>
      <c r="D107" t="s">
        <v>112</v>
      </c>
      <c r="E107" s="163" t="s">
        <v>113</v>
      </c>
      <c r="F107" s="180" t="s">
        <v>165</v>
      </c>
      <c r="G107" s="20">
        <f t="shared" si="2"/>
        <v>1.0590785625923216</v>
      </c>
      <c r="H107" s="181">
        <f>'CO2 per kg feed'!G257*FCR_bonefree_incl_parents_PT-Excreted_N_after_losses_PT*Manure_repl_factor_PT*(EF_min_fert_BAT_CO2*Frac_BAT_PT+EF_min_fert_AN_CO2*Frac_AN_PT)</f>
        <v>0.11322147023725027</v>
      </c>
      <c r="I107" s="181">
        <f>'CO2 per kg feed'!H257*FCR_bonefree_incl_parents_PT</f>
        <v>7.501110702605332E-2</v>
      </c>
      <c r="J107" s="181">
        <f>'CO2 per kg feed'!I257*FCR_bonefree_incl_parents_PT</f>
        <v>0</v>
      </c>
      <c r="K107" s="181"/>
      <c r="L107" s="181">
        <f>'CO2 per kg feed'!K257*FCR_bonefree_incl_parents_PT</f>
        <v>0.10118142871633357</v>
      </c>
      <c r="M107" s="181"/>
      <c r="N107" s="181">
        <f>'CO2 per kg feed'!M257*FCR_bonefree_incl_parents_PT</f>
        <v>1.6407802655330506E-4</v>
      </c>
      <c r="O107" s="181">
        <f>'CO2 per kg feed'!N257*FCR_bonefree_incl_parents_PT</f>
        <v>0.10367530754498444</v>
      </c>
      <c r="P107" s="181">
        <f>'CO2 per kg feed'!O257*FCR_bonefree_incl_parents_PT</f>
        <v>0.1961661373481858</v>
      </c>
      <c r="Q107" s="181">
        <f>'CO2 per kg feed'!P257*FCR_bonefree_incl_parents_PT</f>
        <v>2.6507468934686383E-2</v>
      </c>
      <c r="R107" s="181">
        <f>'CO2 per kg feed'!Q257*FCR_bonefree_incl_parents_PT</f>
        <v>0.16935571150917697</v>
      </c>
      <c r="S107" s="162"/>
      <c r="T107" s="162"/>
      <c r="U107" s="182"/>
      <c r="V107" s="182"/>
      <c r="W107" s="183">
        <f>Energy_stables_PT/Bonefree_outof_CW_PT*(Share_heating_PT*(Share_biofuels_PT*EF_biofuels_CO2+(1-Share_biofuels_PT)*EF_oil_CO2)+(1-Share_heating_PT)*EF_el_CO2_PT)</f>
        <v>8.6023072921045454E-2</v>
      </c>
      <c r="X107" s="184">
        <f>(Energy_slaughter_el_PT*EF_el_CO2_PT+Energy_slaughter_oil_PT*EF_oil_CO2)/Bonefree_outof_CW_PT</f>
        <v>0.18777278032805197</v>
      </c>
      <c r="Z107" s="20"/>
      <c r="AA107" s="20"/>
    </row>
    <row r="108" spans="1:27" x14ac:dyDescent="0.35">
      <c r="A108" s="13" t="s">
        <v>162</v>
      </c>
      <c r="B108" s="13" t="s">
        <v>163</v>
      </c>
      <c r="C108" s="17" t="s">
        <v>164</v>
      </c>
      <c r="D108" t="s">
        <v>112</v>
      </c>
      <c r="E108" s="18" t="s">
        <v>113</v>
      </c>
      <c r="F108" s="13" t="s">
        <v>166</v>
      </c>
      <c r="G108" s="33">
        <f t="shared" si="2"/>
        <v>1.5130991985907157E-3</v>
      </c>
      <c r="H108" s="34">
        <f>'CH4 per kg feed'!G257*FCR_bonefree_incl_parents_PT-Excreted_N_after_losses_PT*Manure_repl_factor_PT*(EF_min_fert_BAT_CH4*Frac_BAT_PT+EF_min_fert_AN_CH4*Frac_AN_PT)</f>
        <v>1.3925484443146741E-4</v>
      </c>
      <c r="I108" s="34">
        <f>'CH4 per kg feed'!H257*FCR_bonefree_incl_parents_PT</f>
        <v>3.0766008623420176E-4</v>
      </c>
      <c r="J108" s="34"/>
      <c r="K108" s="34"/>
      <c r="L108" s="34">
        <f>'CH4 per kg feed'!K257*FCR_bonefree_incl_parents_PT</f>
        <v>4.4641648406088419E-5</v>
      </c>
      <c r="M108" s="34"/>
      <c r="N108" s="34">
        <f>'CH4 per kg feed'!M257*FCR_bonefree_incl_parents_PT</f>
        <v>4.4624180499947986E-7</v>
      </c>
      <c r="O108" s="34">
        <f>'CH4 per kg feed'!N257*FCR_bonefree_incl_parents_PT</f>
        <v>4.3682095141435521E-5</v>
      </c>
      <c r="P108" s="34">
        <f>'CH4 per kg feed'!O257*FCR_bonefree_incl_parents_PT</f>
        <v>5.0996579146092997E-6</v>
      </c>
      <c r="Q108" s="34">
        <f>'CH4 per kg feed'!P257*FCR_bonefree_incl_parents_PT</f>
        <v>9.2599953069570542E-5</v>
      </c>
      <c r="R108" s="34">
        <f>'CH4 per kg feed'!Q257*FCR_bonefree_incl_parents_PT</f>
        <v>1.2970225395338877E-4</v>
      </c>
      <c r="W108" s="4">
        <f>Energy_stables_PT/Bonefree_outof_CW_PT*(Share_heating_PT*(Share_biofuels_PT*EF_biofuel_CH4+(1-Share_biofuels_PT)*EF_oil_CH4)+(1-Share_heating_PT)*EF_el_CH4_PT)</f>
        <v>1.3399658831313632E-4</v>
      </c>
      <c r="X108" s="12">
        <f>(Energy_slaughter_el_PT*EF_el_CH4_PT+Energy_slaughter_oil_PT*EF_oil_CH4)/Bonefree_outof_CW_PT</f>
        <v>6.1601582932181817E-4</v>
      </c>
      <c r="Z108" s="33"/>
      <c r="AA108" s="33"/>
    </row>
    <row r="109" spans="1:27" x14ac:dyDescent="0.35">
      <c r="A109" s="13" t="s">
        <v>162</v>
      </c>
      <c r="B109" s="13" t="s">
        <v>163</v>
      </c>
      <c r="C109" s="17" t="s">
        <v>164</v>
      </c>
      <c r="D109" t="s">
        <v>112</v>
      </c>
      <c r="E109" s="18" t="s">
        <v>113</v>
      </c>
      <c r="F109" s="13" t="s">
        <v>167</v>
      </c>
      <c r="G109" s="33">
        <f>SUM(H109:T109)+SUM(W109:X109)</f>
        <v>2.2013861429824129E-3</v>
      </c>
      <c r="H109" s="34"/>
      <c r="I109" s="34"/>
      <c r="J109" s="34"/>
      <c r="K109" s="34"/>
      <c r="L109" s="34"/>
      <c r="M109" s="34"/>
      <c r="N109" s="34"/>
      <c r="O109" s="34"/>
      <c r="P109" s="34"/>
      <c r="Q109" s="34"/>
      <c r="R109" s="34"/>
      <c r="T109" s="48">
        <f>SUM(U109:V109)</f>
        <v>2.2013861429824129E-3</v>
      </c>
      <c r="U109" s="64">
        <f>(Production!V40*(Slaughter_age_PT/365)+SUM(Production!V41:V44))*EF_CH4_manure_PT</f>
        <v>2.2013861429824129E-3</v>
      </c>
      <c r="W109" s="4"/>
      <c r="X109" s="12"/>
    </row>
    <row r="110" spans="1:27" ht="15" thickBot="1" x14ac:dyDescent="0.4">
      <c r="A110" s="13" t="s">
        <v>162</v>
      </c>
      <c r="B110" s="13" t="s">
        <v>163</v>
      </c>
      <c r="C110" s="17" t="s">
        <v>164</v>
      </c>
      <c r="D110" t="s">
        <v>112</v>
      </c>
      <c r="E110" s="18" t="s">
        <v>113</v>
      </c>
      <c r="F110" s="35" t="s">
        <v>168</v>
      </c>
      <c r="G110" s="33">
        <f>SUM(H110:T110)+SUM(W110:X110)</f>
        <v>2.2430197517866058E-3</v>
      </c>
      <c r="H110" s="34">
        <f>'N2O per kg feed'!G257*FCR_bonefree_incl_parents_PT-Excreted_N_after_losses_PT*Manure_repl_factor_PT*(EF_min_fert_BAT_N2O*Frac_BAT_PT+EF_min_fert_AN_N2O*Frac_AN_PT)</f>
        <v>2.9285667893715138E-4</v>
      </c>
      <c r="I110" s="33">
        <f>'N2O per kg feed'!H257*FCR_bonefree_incl_parents_PT</f>
        <v>3.3153208908918482E-6</v>
      </c>
      <c r="J110" s="33">
        <f>'N2O per kg feed'!I257*FCR_bonefree_incl_parents_PT-Excreted_N_after_losses_PT*Manure_repl_factor_PT*EF_N2O_diff_PT</f>
        <v>1.6254593925222331E-3</v>
      </c>
      <c r="K110" s="33">
        <f>J110*EF_indirect_N2O_PT</f>
        <v>1.6254593925222333E-4</v>
      </c>
      <c r="L110" s="33">
        <f>'N2O per kg feed'!K257*FCR_bonefree_incl_parents_PT</f>
        <v>2.9323032770523401E-6</v>
      </c>
      <c r="M110" s="33"/>
      <c r="N110" s="33">
        <f>'N2O per kg feed'!M257*FCR_bonefree_incl_parents_PT</f>
        <v>6.6742932783776104E-9</v>
      </c>
      <c r="O110" s="33">
        <f>'N2O per kg feed'!N257*FCR_bonefree_incl_parents_PT</f>
        <v>3.8267725670780664E-6</v>
      </c>
      <c r="P110" s="33">
        <f>'N2O per kg feed'!O257*FCR_bonefree_incl_parents_PT</f>
        <v>0</v>
      </c>
      <c r="Q110" s="33">
        <f>'N2O per kg feed'!P257*FCR_bonefree_incl_parents_PT</f>
        <v>9.1794396685732482E-6</v>
      </c>
      <c r="R110" s="33">
        <f>'N2O per kg feed'!Q257*FCR_bonefree_incl_parents_PT</f>
        <v>5.9442795315411799E-6</v>
      </c>
      <c r="T110" s="48">
        <f>SUM(U110:V110)</f>
        <v>1.2390587072060898E-4</v>
      </c>
      <c r="U110" s="9">
        <f>Excreted_N_per_kg_of_bonefree_meat_PT*EF_N2O_manure_direct_PT*44/28</f>
        <v>4.5919975807215269E-5</v>
      </c>
      <c r="V110" s="64">
        <f>(Excreted_N_per_kg_of_bonefree_meat_PT-U110*28/44)*EF_ammonia_PT*EF_N2O_manure_indirect_PT*44/28</f>
        <v>7.7985894913393708E-5</v>
      </c>
      <c r="W110" s="4">
        <f>Energy_stables_PT/Bonefree_outof_CW_PT*(Share_heating_PT*(Share_biofuels_PT*EF_biofuel_N2O+(1-Share_biofuels_PT)*EF_oil_N2O)+(1-Share_heating_PT)*EF_el_N2O_PT)</f>
        <v>5.8535304636363606E-6</v>
      </c>
      <c r="X110" s="12">
        <f>(Energy_slaughter_el_PT*EF_el_N2O_PT+Energy_slaughter_oil_PT*EF_oil_N2O)/Bonefree_outof_CW_PT</f>
        <v>7.1935496623376627E-6</v>
      </c>
      <c r="Z110" s="33"/>
      <c r="AA110" s="33"/>
    </row>
    <row r="111" spans="1:27" ht="15.5" thickTop="1" thickBot="1" x14ac:dyDescent="0.4">
      <c r="A111" s="172" t="s">
        <v>162</v>
      </c>
      <c r="B111" s="172" t="s">
        <v>163</v>
      </c>
      <c r="C111" s="173" t="s">
        <v>164</v>
      </c>
      <c r="D111" s="211" t="s">
        <v>112</v>
      </c>
      <c r="E111" s="174" t="s">
        <v>113</v>
      </c>
      <c r="F111" s="175" t="s">
        <v>169</v>
      </c>
      <c r="G111" s="186">
        <f t="shared" si="2"/>
        <v>1.7759507368085936</v>
      </c>
      <c r="H111" s="176">
        <f>SUMPRODUCT(H107:H110,'Parameters, general'!$B$13:$B$16)</f>
        <v>0.1973211379511503</v>
      </c>
      <c r="I111" s="176">
        <f>SUMPRODUCT(I107:I110,'Parameters, general'!$B$13:$B$16)</f>
        <v>8.5084460199046016E-2</v>
      </c>
      <c r="J111" s="176">
        <f>SUMPRODUCT(J107:J110,'Parameters, general'!$B$13:$B$16)</f>
        <v>0.44375041415856964</v>
      </c>
      <c r="K111" s="176">
        <f>SUMPRODUCT(K107:K110,'Parameters, general'!$B$13:$B$16)</f>
        <v>4.4375041415856971E-2</v>
      </c>
      <c r="L111" s="176">
        <f>SUMPRODUCT(L107:L110,'Parameters, general'!$B$13:$B$16)</f>
        <v>0.10331226863347029</v>
      </c>
      <c r="M111" s="176">
        <f>SUMPRODUCT(M107:M110,'Parameters, general'!$B$13:$B$16)</f>
        <v>0</v>
      </c>
      <c r="N111" s="176">
        <f>SUMPRODUCT(N107:N110,'Parameters, general'!$B$13:$B$16)</f>
        <v>1.7919811440728664E-4</v>
      </c>
      <c r="O111" s="176">
        <f>SUMPRODUCT(O107:O110,'Parameters, general'!$B$13:$B$16)</f>
        <v>0.10602174289101153</v>
      </c>
      <c r="P111" s="176">
        <f>SUMPRODUCT(P107:P110,'Parameters, general'!$B$13:$B$16)</f>
        <v>0.19631810715404116</v>
      </c>
      <c r="Q111" s="176">
        <f>SUMPRODUCT(Q107:Q110,'Parameters, general'!$B$13:$B$16)</f>
        <v>3.1772934565680082E-2</v>
      </c>
      <c r="R111" s="176">
        <f>SUMPRODUCT(R107:R110,'Parameters, general'!$B$13:$B$16)</f>
        <v>0.17484362698909869</v>
      </c>
      <c r="S111" s="176">
        <f>SUMPRODUCT(S107:S110,'Parameters, general'!$B$13:$B$16)</f>
        <v>0</v>
      </c>
      <c r="T111" s="176">
        <f>SUMPRODUCT(T107:T110,'Parameters, general'!$B$13:$B$16)</f>
        <v>9.3263728567251403E-2</v>
      </c>
      <c r="U111" s="177"/>
      <c r="V111" s="177"/>
      <c r="W111" s="176">
        <f>SUMPRODUCT(W107:W110,'Parameters, general'!$B$13:$B$16)</f>
        <v>9.1614185069349638E-2</v>
      </c>
      <c r="X111" s="176">
        <f>SUMPRODUCT(X107:X110,'Parameters, general'!$B$13:$B$16)</f>
        <v>0.20809389109966034</v>
      </c>
      <c r="Z111" s="115">
        <f>SUM(H111:R111)</f>
        <v>1.382978932072332</v>
      </c>
      <c r="AA111" s="210">
        <f>'CO2 per kg feed'!F257+'CH4 per kg feed'!F257*CF_GWP_CH4_fossil+'N2O per kg feed'!F257*CF_GWP_N2O</f>
        <v>0.42734695613012802</v>
      </c>
    </row>
    <row r="112" spans="1:27" ht="15" thickTop="1" x14ac:dyDescent="0.35">
      <c r="A112" s="178" t="s">
        <v>162</v>
      </c>
      <c r="B112" s="178" t="s">
        <v>163</v>
      </c>
      <c r="C112" s="179" t="s">
        <v>164</v>
      </c>
      <c r="D112" t="s">
        <v>114</v>
      </c>
      <c r="E112" s="18" t="s">
        <v>115</v>
      </c>
      <c r="F112" s="180" t="s">
        <v>165</v>
      </c>
      <c r="G112" s="20">
        <f t="shared" si="2"/>
        <v>0.79410434766212834</v>
      </c>
      <c r="H112" s="181">
        <f>'CO2 per kg feed'!G269*FCR_bonefree_incl_parents_RO-Excreted_N_after_losses_RO*Manure_repl_factor_RO*(EF_min_fert_BAT_CO2*Frac_BAT_RO+EF_min_fert_AN_CO2*Frac_AN_RO)</f>
        <v>8.4363896401528221E-2</v>
      </c>
      <c r="I112" s="181">
        <f>'CO2 per kg feed'!H269*FCR_bonefree_incl_parents_RO</f>
        <v>6.4673563371816817E-2</v>
      </c>
      <c r="J112" s="181">
        <f>'CO2 per kg feed'!I269*FCR_bonefree_incl_parents_RO</f>
        <v>0</v>
      </c>
      <c r="K112" s="181"/>
      <c r="L112" s="181">
        <f>'CO2 per kg feed'!K269*FCR_bonefree_incl_parents_RO</f>
        <v>8.4948309499002728E-2</v>
      </c>
      <c r="M112" s="181"/>
      <c r="N112" s="181">
        <f>'CO2 per kg feed'!M269*FCR_bonefree_incl_parents_RO</f>
        <v>7.0196280349064239E-5</v>
      </c>
      <c r="O112" s="181">
        <f>'CO2 per kg feed'!N269*FCR_bonefree_incl_parents_RO</f>
        <v>8.5952998095179159E-2</v>
      </c>
      <c r="P112" s="181">
        <f>'CO2 per kg feed'!O269*FCR_bonefree_incl_parents_RO</f>
        <v>7.9720260753603028E-2</v>
      </c>
      <c r="Q112" s="181">
        <f>'CO2 per kg feed'!P269*FCR_bonefree_incl_parents_RO</f>
        <v>9.4448331100364987E-3</v>
      </c>
      <c r="R112" s="181">
        <f>'CO2 per kg feed'!Q269*FCR_bonefree_incl_parents_RO</f>
        <v>6.4861583833347891E-2</v>
      </c>
      <c r="S112" s="162"/>
      <c r="T112" s="162"/>
      <c r="U112" s="182"/>
      <c r="V112" s="182"/>
      <c r="W112" s="183">
        <f>Energy_stables_RO/Bonefree_outof_CW_RO*(Share_heating_RO*(Share_biofuels_RO*EF_biofuels_CO2+(1-Share_biofuels_RO)*EF_oil_CO2)+(1-Share_heating_RO)*EF_el_CO2_RO)</f>
        <v>9.2914774441836365E-2</v>
      </c>
      <c r="X112" s="184">
        <f>(Energy_slaughter_el_RO*EF_el_CO2_RO+Energy_slaughter_oil_RO*EF_oil_CO2)/Bonefree_outof_CW_RO</f>
        <v>0.22715393187542859</v>
      </c>
      <c r="Z112" s="20"/>
      <c r="AA112" s="20"/>
    </row>
    <row r="113" spans="1:27" x14ac:dyDescent="0.35">
      <c r="A113" s="13" t="s">
        <v>162</v>
      </c>
      <c r="B113" s="13" t="s">
        <v>163</v>
      </c>
      <c r="C113" s="17" t="s">
        <v>164</v>
      </c>
      <c r="D113" t="s">
        <v>114</v>
      </c>
      <c r="E113" s="18" t="s">
        <v>115</v>
      </c>
      <c r="F113" s="13" t="s">
        <v>166</v>
      </c>
      <c r="G113" s="33">
        <f t="shared" si="2"/>
        <v>7.6706291181248565E-4</v>
      </c>
      <c r="H113" s="34">
        <f>'CH4 per kg feed'!G269*FCR_bonefree_incl_parents_RO-Excreted_N_after_losses_RO*Manure_repl_factor_RO*(EF_min_fert_BAT_CH4*Frac_BAT_RO+EF_min_fert_AN_CH4*Frac_AN_RO)</f>
        <v>8.5077530789617675E-5</v>
      </c>
      <c r="I113" s="34">
        <f>'CH4 per kg feed'!H269*FCR_bonefree_incl_parents_RO</f>
        <v>2.4177094256141302E-4</v>
      </c>
      <c r="J113" s="34"/>
      <c r="K113" s="34"/>
      <c r="L113" s="34">
        <f>'CH4 per kg feed'!K269*FCR_bonefree_incl_parents_RO</f>
        <v>3.757127332730128E-5</v>
      </c>
      <c r="M113" s="34"/>
      <c r="N113" s="34">
        <f>'CH4 per kg feed'!M269*FCR_bonefree_incl_parents_RO</f>
        <v>2.0144601017462164E-7</v>
      </c>
      <c r="O113" s="34">
        <f>'CH4 per kg feed'!N269*FCR_bonefree_incl_parents_RO</f>
        <v>3.4162599139712685E-5</v>
      </c>
      <c r="P113" s="34">
        <f>'CH4 per kg feed'!O269*FCR_bonefree_incl_parents_RO</f>
        <v>6.6214434181311721E-7</v>
      </c>
      <c r="Q113" s="34">
        <f>'CH4 per kg feed'!P269*FCR_bonefree_incl_parents_RO</f>
        <v>3.4055783352719143E-5</v>
      </c>
      <c r="R113" s="34">
        <f>'CH4 per kg feed'!Q269*FCR_bonefree_incl_parents_RO</f>
        <v>5.2709900114622492E-5</v>
      </c>
      <c r="W113" s="4">
        <f>Energy_stables_RO/Bonefree_outof_CW_RO*(Share_heating_RO*(Share_biofuels_RO*EF_biofuel_CH4+(1-Share_biofuels_RO)*EF_oil_CH4)+(1-Share_heating_RO)*EF_el_CH4_RO)</f>
        <v>6.4121527074436334E-5</v>
      </c>
      <c r="X113" s="12">
        <f>(Energy_slaughter_el_RO*EF_el_CH4_RO+Energy_slaughter_oil_RO*EF_oil_CH4)/Bonefree_outof_CW_RO</f>
        <v>2.1672976510067534E-4</v>
      </c>
      <c r="Z113" s="33"/>
      <c r="AA113" s="33"/>
    </row>
    <row r="114" spans="1:27" x14ac:dyDescent="0.35">
      <c r="A114" s="13" t="s">
        <v>162</v>
      </c>
      <c r="B114" s="13" t="s">
        <v>163</v>
      </c>
      <c r="C114" s="17" t="s">
        <v>164</v>
      </c>
      <c r="D114" t="s">
        <v>114</v>
      </c>
      <c r="E114" s="18" t="s">
        <v>115</v>
      </c>
      <c r="F114" s="13" t="s">
        <v>167</v>
      </c>
      <c r="G114" s="33">
        <f>SUM(H114:T114)+SUM(W114:X114)</f>
        <v>2.2013861429824129E-3</v>
      </c>
      <c r="H114" s="34"/>
      <c r="I114" s="34"/>
      <c r="J114" s="34"/>
      <c r="K114" s="34"/>
      <c r="L114" s="34"/>
      <c r="M114" s="34"/>
      <c r="N114" s="34"/>
      <c r="O114" s="34"/>
      <c r="P114" s="34"/>
      <c r="Q114" s="34"/>
      <c r="R114" s="34"/>
      <c r="T114" s="48">
        <f>SUM(U114:V114)</f>
        <v>2.2013861429824129E-3</v>
      </c>
      <c r="U114" s="64">
        <f>(Production!W40*(Slaughter_age_RO/365)+SUM(Production!W41:W44))*EF_CH4_manure_RO</f>
        <v>2.2013861429824129E-3</v>
      </c>
      <c r="W114" s="4"/>
      <c r="X114" s="12"/>
    </row>
    <row r="115" spans="1:27" ht="15" thickBot="1" x14ac:dyDescent="0.4">
      <c r="A115" s="13" t="s">
        <v>162</v>
      </c>
      <c r="B115" s="13" t="s">
        <v>163</v>
      </c>
      <c r="C115" s="17" t="s">
        <v>164</v>
      </c>
      <c r="D115" t="s">
        <v>114</v>
      </c>
      <c r="E115" s="18" t="s">
        <v>115</v>
      </c>
      <c r="F115" s="35" t="s">
        <v>168</v>
      </c>
      <c r="G115" s="33">
        <f>SUM(H115:T115)+SUM(W115:X115)</f>
        <v>1.5685399591717068E-3</v>
      </c>
      <c r="H115" s="34">
        <f>'N2O per kg feed'!G269*FCR_bonefree_incl_parents_RO-Excreted_N_after_losses_RO*Manure_repl_factor_RO*(EF_min_fert_BAT_N2O*Frac_BAT_RO+EF_min_fert_AN_N2O*Frac_AN_RO)</f>
        <v>1.6938491860455003E-4</v>
      </c>
      <c r="I115" s="33">
        <f>'N2O per kg feed'!H269*FCR_bonefree_incl_parents_RO</f>
        <v>2.6348488781110556E-6</v>
      </c>
      <c r="J115" s="33">
        <f>'N2O per kg feed'!I269*FCR_bonefree_incl_parents_RO-Excreted_N_after_losses_RO*Manure_repl_factor_RO*EF_N2O_diff_RO</f>
        <v>1.1363604195294833E-3</v>
      </c>
      <c r="K115" s="33">
        <f>J115*EF_indirect_N2O_RO</f>
        <v>1.1363604195294834E-4</v>
      </c>
      <c r="L115" s="33">
        <f>'N2O per kg feed'!K269*FCR_bonefree_incl_parents_RO</f>
        <v>2.2825941962324234E-6</v>
      </c>
      <c r="M115" s="33"/>
      <c r="N115" s="33">
        <f>'N2O per kg feed'!M269*FCR_bonefree_incl_parents_RO</f>
        <v>2.8892736027141763E-9</v>
      </c>
      <c r="O115" s="33">
        <f>'N2O per kg feed'!N269*FCR_bonefree_incl_parents_RO</f>
        <v>2.9189483292958411E-6</v>
      </c>
      <c r="P115" s="33">
        <f>'N2O per kg feed'!O269*FCR_bonefree_incl_parents_RO</f>
        <v>0</v>
      </c>
      <c r="Q115" s="33">
        <f>'N2O per kg feed'!P269*FCR_bonefree_incl_parents_RO</f>
        <v>3.4839239482885378E-6</v>
      </c>
      <c r="R115" s="33">
        <f>'N2O per kg feed'!Q269*FCR_bonefree_incl_parents_RO</f>
        <v>2.3348532959880719E-6</v>
      </c>
      <c r="T115" s="48">
        <f>SUM(U115:V115)</f>
        <v>1.2390587072060898E-4</v>
      </c>
      <c r="U115" s="9">
        <f>Excreted_N_per_kg_of_bonefree_meat_RO*EF_N2O_manure_direct_RO*44/28</f>
        <v>4.5919975807215269E-5</v>
      </c>
      <c r="V115" s="64">
        <f>(Excreted_N_per_kg_of_bonefree_meat_RO-U115*28/44)*EF_ammonia_RO*EF_N2O_manure_indirect_RO*44/28</f>
        <v>7.7985894913393708E-5</v>
      </c>
      <c r="W115" s="4">
        <f>Energy_stables_RO/Bonefree_outof_CW_RO*(Share_heating_RO*(Share_biofuels_RO*EF_biofuel_N2O+(1-Share_biofuels_RO)*EF_oil_N2O)+(1-Share_heating_RO)*EF_el_N2O_RO)</f>
        <v>5.6372111490909058E-6</v>
      </c>
      <c r="X115" s="12">
        <f>(Energy_slaughter_el_RO*EF_el_N2O_RO+Energy_slaughter_oil_RO*EF_oil_N2O)/Bonefree_outof_CW_RO</f>
        <v>5.9574392935064936E-6</v>
      </c>
      <c r="Z115" s="33"/>
      <c r="AA115" s="33"/>
    </row>
    <row r="116" spans="1:27" ht="15.5" thickTop="1" thickBot="1" x14ac:dyDescent="0.4">
      <c r="A116" s="172" t="s">
        <v>162</v>
      </c>
      <c r="B116" s="172" t="s">
        <v>163</v>
      </c>
      <c r="C116" s="173" t="s">
        <v>164</v>
      </c>
      <c r="D116" s="211" t="s">
        <v>114</v>
      </c>
      <c r="E116" s="37" t="s">
        <v>115</v>
      </c>
      <c r="F116" s="175" t="s">
        <v>169</v>
      </c>
      <c r="G116" s="186">
        <f t="shared" si="2"/>
        <v>1.3046116571485418</v>
      </c>
      <c r="H116" s="176">
        <f>SUMPRODUCT(H112:H115,'Parameters, general'!$B$13:$B$16)</f>
        <v>0.13314128959810098</v>
      </c>
      <c r="I116" s="176">
        <f>SUMPRODUCT(I112:I115,'Parameters, general'!$B$13:$B$16)</f>
        <v>7.2597651203871238E-2</v>
      </c>
      <c r="J116" s="176">
        <f>SUMPRODUCT(J112:J115,'Parameters, general'!$B$13:$B$16)</f>
        <v>0.31022639453154893</v>
      </c>
      <c r="K116" s="176">
        <f>SUMPRODUCT(K112:K115,'Parameters, general'!$B$13:$B$16)</f>
        <v>3.1022639453154897E-2</v>
      </c>
      <c r="L116" s="176">
        <f>SUMPRODUCT(L112:L115,'Parameters, general'!$B$13:$B$16)</f>
        <v>8.6691081659727762E-2</v>
      </c>
      <c r="M116" s="176">
        <f>SUMPRODUCT(M112:M115,'Parameters, general'!$B$13:$B$16)</f>
        <v>0</v>
      </c>
      <c r="N116" s="176">
        <f>SUMPRODUCT(N112:N115,'Parameters, general'!$B$13:$B$16)</f>
        <v>7.6988143145808929E-5</v>
      </c>
      <c r="O116" s="176">
        <f>SUMPRODUCT(O112:O115,'Parameters, general'!$B$13:$B$16)</f>
        <v>8.7767916443440369E-2</v>
      </c>
      <c r="P116" s="176">
        <f>SUMPRODUCT(P112:P115,'Parameters, general'!$B$13:$B$16)</f>
        <v>7.9739992654989059E-2</v>
      </c>
      <c r="Q116" s="176">
        <f>SUMPRODUCT(Q112:Q115,'Parameters, general'!$B$13:$B$16)</f>
        <v>1.1410806691830299E-2</v>
      </c>
      <c r="R116" s="176">
        <f>SUMPRODUCT(R112:R115,'Parameters, general'!$B$13:$B$16)</f>
        <v>6.7069753806568377E-2</v>
      </c>
      <c r="S116" s="176">
        <f>SUMPRODUCT(S112:S115,'Parameters, general'!$B$13:$B$16)</f>
        <v>0</v>
      </c>
      <c r="T116" s="176">
        <f>SUMPRODUCT(T112:T115,'Parameters, general'!$B$13:$B$16)</f>
        <v>9.3263728567251403E-2</v>
      </c>
      <c r="U116" s="177"/>
      <c r="V116" s="177"/>
      <c r="W116" s="176">
        <f>SUMPRODUCT(W112:W115,'Parameters, general'!$B$13:$B$16)</f>
        <v>9.6364554592356391E-2</v>
      </c>
      <c r="X116" s="176">
        <f>SUMPRODUCT(X112:X115,'Parameters, general'!$B$13:$B$16)</f>
        <v>0.23523885980255599</v>
      </c>
      <c r="Z116" s="115">
        <f>SUM(H116:R116)</f>
        <v>0.87974451418637778</v>
      </c>
      <c r="AA116" s="210">
        <f>'CO2 per kg feed'!F269+'CH4 per kg feed'!F269*CF_GWP_CH4_fossil+'N2O per kg feed'!F269*CF_GWP_N2O</f>
        <v>0.30840126937200762</v>
      </c>
    </row>
    <row r="117" spans="1:27" ht="15" thickTop="1" x14ac:dyDescent="0.35">
      <c r="A117" s="178" t="s">
        <v>162</v>
      </c>
      <c r="B117" s="178" t="s">
        <v>163</v>
      </c>
      <c r="C117" s="179" t="s">
        <v>164</v>
      </c>
      <c r="D117" t="s">
        <v>174</v>
      </c>
      <c r="E117" s="163" t="s">
        <v>117</v>
      </c>
      <c r="F117" s="180" t="s">
        <v>165</v>
      </c>
      <c r="G117" s="20">
        <f t="shared" si="2"/>
        <v>0.9200587825785318</v>
      </c>
      <c r="H117" s="181">
        <f>'CO2 per kg feed'!G281*FCR_bonefree_incl_parents_SK-Excreted_N_after_losses_SK*Manure_repl_factor_SK*(EF_min_fert_BAT_CO2*Frac_BAT_SK+EF_min_fert_AN_CO2*Frac_AN_SK)</f>
        <v>0.1033942250071743</v>
      </c>
      <c r="I117" s="181">
        <f>'CO2 per kg feed'!H281*FCR_bonefree_incl_parents_SK</f>
        <v>6.9347833757999827E-2</v>
      </c>
      <c r="J117" s="181">
        <f>'CO2 per kg feed'!I281*FCR_bonefree_incl_parents_SK</f>
        <v>0</v>
      </c>
      <c r="K117" s="181"/>
      <c r="L117" s="181">
        <f>'CO2 per kg feed'!K281*FCR_bonefree_incl_parents_SK</f>
        <v>8.884326339365857E-2</v>
      </c>
      <c r="M117" s="181"/>
      <c r="N117" s="181">
        <f>'CO2 per kg feed'!M281*FCR_bonefree_incl_parents_SK</f>
        <v>1.1145334269691547E-4</v>
      </c>
      <c r="O117" s="181">
        <f>'CO2 per kg feed'!N281*FCR_bonefree_incl_parents_SK</f>
        <v>9.4631435263943006E-2</v>
      </c>
      <c r="P117" s="181">
        <f>'CO2 per kg feed'!O281*FCR_bonefree_incl_parents_SK</f>
        <v>0.11951040924207254</v>
      </c>
      <c r="Q117" s="181">
        <f>'CO2 per kg feed'!P281*FCR_bonefree_incl_parents_SK</f>
        <v>1.6801520641384564E-2</v>
      </c>
      <c r="R117" s="181">
        <f>'CO2 per kg feed'!Q281*FCR_bonefree_incl_parents_SK</f>
        <v>0.10512413246202805</v>
      </c>
      <c r="S117" s="162"/>
      <c r="T117" s="162"/>
      <c r="U117" s="182"/>
      <c r="V117" s="182"/>
      <c r="W117" s="183">
        <f>Energy_stables_SK/Bonefree_outof_CW_SK*(Share_heating_SK*(Share_biofuels_SK*EF_biofuels_CO2+(1-Share_biofuels_SK)*EF_oil_CO2)+(1-Share_heating_SK)*EF_el_CO2_SK)</f>
        <v>9.3246277038690914E-2</v>
      </c>
      <c r="X117" s="184">
        <f>(Energy_slaughter_el_SK*EF_el_CO2_SK+Energy_slaughter_oil_SK*EF_oil_CO2)/Bonefree_outof_CW_SK</f>
        <v>0.22904823242888311</v>
      </c>
      <c r="Z117" s="20"/>
      <c r="AA117" s="20"/>
    </row>
    <row r="118" spans="1:27" x14ac:dyDescent="0.35">
      <c r="A118" s="13" t="s">
        <v>162</v>
      </c>
      <c r="B118" s="13" t="s">
        <v>163</v>
      </c>
      <c r="C118" s="17" t="s">
        <v>164</v>
      </c>
      <c r="D118" t="s">
        <v>174</v>
      </c>
      <c r="E118" s="18" t="s">
        <v>117</v>
      </c>
      <c r="F118" s="13" t="s">
        <v>166</v>
      </c>
      <c r="G118" s="33">
        <f t="shared" si="2"/>
        <v>1.1282747068985643E-3</v>
      </c>
      <c r="H118" s="34">
        <f>'CH4 per kg feed'!G281*FCR_bonefree_incl_parents_SK-Excreted_N_after_losses_SK*Manure_repl_factor_SK*(EF_min_fert_BAT_CH4*Frac_BAT_SK+EF_min_fert_AN_CH4*Frac_AN_SK)</f>
        <v>1.2046769656119976E-4</v>
      </c>
      <c r="I118" s="34">
        <f>'CH4 per kg feed'!H281*FCR_bonefree_incl_parents_SK</f>
        <v>2.7852062125301944E-4</v>
      </c>
      <c r="J118" s="34"/>
      <c r="K118" s="34"/>
      <c r="L118" s="34">
        <f>'CH4 per kg feed'!K281*FCR_bonefree_incl_parents_SK</f>
        <v>3.9213822704337583E-5</v>
      </c>
      <c r="M118" s="34"/>
      <c r="N118" s="34">
        <f>'CH4 per kg feed'!M281*FCR_bonefree_incl_parents_SK</f>
        <v>2.9183672696450216E-7</v>
      </c>
      <c r="O118" s="34">
        <f>'CH4 per kg feed'!N281*FCR_bonefree_incl_parents_SK</f>
        <v>3.786114081782025E-5</v>
      </c>
      <c r="P118" s="34">
        <f>'CH4 per kg feed'!O281*FCR_bonefree_incl_parents_SK</f>
        <v>3.7998829168797823E-6</v>
      </c>
      <c r="Q118" s="34">
        <f>'CH4 per kg feed'!P281*FCR_bonefree_incl_parents_SK</f>
        <v>5.8171964243625208E-5</v>
      </c>
      <c r="R118" s="34">
        <f>'CH4 per kg feed'!Q281*FCR_bonefree_incl_parents_SK</f>
        <v>7.9018579144858042E-5</v>
      </c>
      <c r="W118" s="4">
        <f>Energy_stables_SK/Bonefree_outof_CW_SK*(Share_heating_SK*(Share_biofuels_SK*EF_biofuel_CH4+(1-Share_biofuels_SK)*EF_oil_CH4)+(1-Share_heating_SK)*EF_el_CH4_SK)</f>
        <v>9.8388443935781792E-5</v>
      </c>
      <c r="X118" s="12">
        <f>(Energy_slaughter_el_SK*EF_el_CH4_SK+Energy_slaughter_oil_SK*EF_oil_CH4)/Bonefree_outof_CW_SK</f>
        <v>4.1254071859407794E-4</v>
      </c>
      <c r="Z118" s="33"/>
      <c r="AA118" s="33"/>
    </row>
    <row r="119" spans="1:27" x14ac:dyDescent="0.35">
      <c r="A119" s="13" t="s">
        <v>162</v>
      </c>
      <c r="B119" s="13" t="s">
        <v>163</v>
      </c>
      <c r="C119" s="17" t="s">
        <v>164</v>
      </c>
      <c r="D119" t="s">
        <v>174</v>
      </c>
      <c r="E119" s="18" t="s">
        <v>117</v>
      </c>
      <c r="F119" s="13" t="s">
        <v>167</v>
      </c>
      <c r="G119" s="33">
        <f>SUM(H119:T119)+SUM(W119:X119)</f>
        <v>2.2013861429824129E-3</v>
      </c>
      <c r="H119" s="34"/>
      <c r="I119" s="34"/>
      <c r="J119" s="34"/>
      <c r="K119" s="34"/>
      <c r="L119" s="34"/>
      <c r="M119" s="34"/>
      <c r="N119" s="34"/>
      <c r="O119" s="34"/>
      <c r="P119" s="34"/>
      <c r="Q119" s="34"/>
      <c r="R119" s="34"/>
      <c r="T119" s="48">
        <f>SUM(U119:V119)</f>
        <v>2.2013861429824129E-3</v>
      </c>
      <c r="U119" s="64">
        <f>(Production!X40*(Slaughter_age_SK/365)+SUM(Production!X41:X44))*EF_CH4_manure_SK</f>
        <v>2.2013861429824129E-3</v>
      </c>
      <c r="W119" s="4"/>
      <c r="X119" s="12"/>
    </row>
    <row r="120" spans="1:27" ht="15" thickBot="1" x14ac:dyDescent="0.4">
      <c r="A120" s="13" t="s">
        <v>162</v>
      </c>
      <c r="B120" s="13" t="s">
        <v>163</v>
      </c>
      <c r="C120" s="17" t="s">
        <v>164</v>
      </c>
      <c r="D120" t="s">
        <v>174</v>
      </c>
      <c r="E120" s="18" t="s">
        <v>117</v>
      </c>
      <c r="F120" s="35" t="s">
        <v>168</v>
      </c>
      <c r="G120" s="33">
        <f>SUM(H120:T120)+SUM(W120:X120)</f>
        <v>1.7145163213317823E-3</v>
      </c>
      <c r="H120" s="34">
        <f>'N2O per kg feed'!G281*FCR_bonefree_incl_parents_SK-Excreted_N_after_losses_SK*Manure_repl_factor_SK*(EF_min_fert_BAT_N2O*Frac_BAT_SK+EF_min_fert_AN_N2O*Frac_AN_SK)</f>
        <v>2.0475836297835634E-4</v>
      </c>
      <c r="I120" s="33">
        <f>'N2O per kg feed'!H281*FCR_bonefree_incl_parents_SK</f>
        <v>2.8252821160666592E-6</v>
      </c>
      <c r="J120" s="33">
        <f>'N2O per kg feed'!I281*FCR_bonefree_incl_parents_SK-Excreted_N_after_losses_SK*Manure_repl_factor_SK*EF_N2O_diff_SK</f>
        <v>1.2314767475454565E-3</v>
      </c>
      <c r="K120" s="33">
        <f>J120*EF_indirect_N2O_SK</f>
        <v>1.2314767475454566E-4</v>
      </c>
      <c r="L120" s="33">
        <f>'N2O per kg feed'!K281*FCR_bonefree_incl_parents_SK</f>
        <v>2.3872531259623752E-6</v>
      </c>
      <c r="M120" s="33"/>
      <c r="N120" s="33">
        <f>'N2O per kg feed'!M281*FCR_bonefree_incl_parents_SK</f>
        <v>4.5874111760217707E-9</v>
      </c>
      <c r="O120" s="33">
        <f>'N2O per kg feed'!N281*FCR_bonefree_incl_parents_SK</f>
        <v>3.2255607435066024E-6</v>
      </c>
      <c r="P120" s="33">
        <f>'N2O per kg feed'!O281*FCR_bonefree_incl_parents_SK</f>
        <v>0</v>
      </c>
      <c r="Q120" s="33">
        <f>'N2O per kg feed'!P281*FCR_bonefree_incl_parents_SK</f>
        <v>5.7135344061219E-6</v>
      </c>
      <c r="R120" s="33">
        <f>'N2O per kg feed'!Q281*FCR_bonefree_incl_parents_SK</f>
        <v>3.7283662138770644E-6</v>
      </c>
      <c r="T120" s="48">
        <f>SUM(U120:V120)</f>
        <v>1.2390587072060898E-4</v>
      </c>
      <c r="U120" s="9">
        <f>Excreted_N_per_kg_of_bonefree_meat_SK*EF_N2O_manure_direct_SK*44/28</f>
        <v>4.5919975807215269E-5</v>
      </c>
      <c r="V120" s="64">
        <f>(Excreted_N_per_kg_of_bonefree_meat_SK-U120*28/44)*EF_ammonia_SK*EF_N2O_manure_indirect_SK*44/28</f>
        <v>7.7985894913393708E-5</v>
      </c>
      <c r="W120" s="4">
        <f>Energy_stables_SK/Bonefree_outof_CW_SK*(Share_heating_SK*(Share_biofuels_SK*EF_biofuel_N2O+(1-Share_biofuels_SK)*EF_oil_N2O)+(1-Share_heating_SK)*EF_el_N2O_SK)</f>
        <v>5.897615747272724E-6</v>
      </c>
      <c r="X120" s="12">
        <f>(Energy_slaughter_el_SK*EF_el_N2O_SK+Energy_slaughter_oil_SK*EF_oil_N2O)/Bonefree_outof_CW_SK</f>
        <v>7.4454655688311678E-6</v>
      </c>
      <c r="Z120" s="33"/>
      <c r="AA120" s="33"/>
    </row>
    <row r="121" spans="1:27" ht="15.5" thickTop="1" thickBot="1" x14ac:dyDescent="0.4">
      <c r="A121" s="172" t="s">
        <v>162</v>
      </c>
      <c r="B121" s="172" t="s">
        <v>163</v>
      </c>
      <c r="C121" s="173" t="s">
        <v>164</v>
      </c>
      <c r="D121" s="211" t="s">
        <v>174</v>
      </c>
      <c r="E121" s="174" t="s">
        <v>117</v>
      </c>
      <c r="F121" s="175" t="s">
        <v>169</v>
      </c>
      <c r="G121" s="186">
        <f t="shared" si="2"/>
        <v>1.4811817504282108</v>
      </c>
      <c r="H121" s="176">
        <f>SUMPRODUCT(H117:H120,'Parameters, general'!$B$13:$B$16)</f>
        <v>0.16288319545778931</v>
      </c>
      <c r="I121" s="176">
        <f>SUMPRODUCT(I117:I120,'Parameters, general'!$B$13:$B$16)</f>
        <v>7.8419050289026002E-2</v>
      </c>
      <c r="J121" s="176">
        <f>SUMPRODUCT(J117:J120,'Parameters, general'!$B$13:$B$16)</f>
        <v>0.33619315207990963</v>
      </c>
      <c r="K121" s="176">
        <f>SUMPRODUCT(K117:K120,'Parameters, general'!$B$13:$B$16)</f>
        <v>3.3619315207990962E-2</v>
      </c>
      <c r="L121" s="176">
        <f>SUMPRODUCT(L117:L120,'Parameters, general'!$B$13:$B$16)</f>
        <v>9.0663555413635549E-2</v>
      </c>
      <c r="M121" s="176">
        <f>SUMPRODUCT(M117:M120,'Parameters, general'!$B$13:$B$16)</f>
        <v>0</v>
      </c>
      <c r="N121" s="176">
        <f>SUMPRODUCT(N117:N120,'Parameters, general'!$B$13:$B$16)</f>
        <v>1.2140244041151158E-4</v>
      </c>
      <c r="O121" s="176">
        <f>SUMPRODUCT(O117:O120,'Parameters, general'!$B$13:$B$16)</f>
        <v>9.6640275343291351E-2</v>
      </c>
      <c r="P121" s="176">
        <f>SUMPRODUCT(P117:P120,'Parameters, general'!$B$13:$B$16)</f>
        <v>0.11962364575299556</v>
      </c>
      <c r="Q121" s="176">
        <f>SUMPRODUCT(Q117:Q120,'Parameters, general'!$B$13:$B$16)</f>
        <v>2.0094840068715876E-2</v>
      </c>
      <c r="R121" s="176">
        <f>SUMPRODUCT(R117:R120,'Parameters, general'!$B$13:$B$16)</f>
        <v>0.10849673009693325</v>
      </c>
      <c r="S121" s="176">
        <f>SUMPRODUCT(S117:S120,'Parameters, general'!$B$13:$B$16)</f>
        <v>0</v>
      </c>
      <c r="T121" s="176">
        <f>SUMPRODUCT(T117:T120,'Parameters, general'!$B$13:$B$16)</f>
        <v>9.3263728567251403E-2</v>
      </c>
      <c r="U121" s="176"/>
      <c r="V121" s="176"/>
      <c r="W121" s="176">
        <f>SUMPRODUCT(W117:W120,'Parameters, general'!$B$13:$B$16)</f>
        <v>9.7788301766982666E-2</v>
      </c>
      <c r="X121" s="176">
        <f>SUMPRODUCT(X117:X120,'Parameters, general'!$B$13:$B$16)</f>
        <v>0.24337455794327753</v>
      </c>
      <c r="Z121" s="115">
        <f>SUM(H121:R121)</f>
        <v>1.046755162150699</v>
      </c>
      <c r="AA121" s="210">
        <f>'CO2 per kg feed'!F281+'CH4 per kg feed'!F281*CF_GWP_CH4_fossil+'N2O per kg feed'!F281*CF_GWP_N2O</f>
        <v>0.35940680427005828</v>
      </c>
    </row>
    <row r="122" spans="1:27" ht="15" thickTop="1" x14ac:dyDescent="0.35">
      <c r="A122" s="178" t="s">
        <v>162</v>
      </c>
      <c r="B122" s="178" t="s">
        <v>163</v>
      </c>
      <c r="C122" s="179" t="s">
        <v>164</v>
      </c>
      <c r="D122" t="s">
        <v>118</v>
      </c>
      <c r="E122" s="163" t="s">
        <v>119</v>
      </c>
      <c r="F122" s="180" t="s">
        <v>165</v>
      </c>
      <c r="G122" s="20">
        <f t="shared" si="2"/>
        <v>0.71718286479737714</v>
      </c>
      <c r="H122" s="181">
        <f>'CO2 per kg feed'!G293*FCR_bonefree_incl_parents_SI-Excreted_N_after_losses_SI*Manure_repl_factor_SI*(EF_min_fert_BAT_CO2*Frac_BAT_SI+EF_min_fert_AN_CO2*Frac_AN_SI)</f>
        <v>0.14023603390881795</v>
      </c>
      <c r="I122" s="181">
        <f>'CO2 per kg feed'!H293*FCR_bonefree_incl_parents_SI</f>
        <v>7.6328743599459084E-2</v>
      </c>
      <c r="J122" s="181">
        <f>'CO2 per kg feed'!I293*FCR_bonefree_incl_parents_SI</f>
        <v>0</v>
      </c>
      <c r="K122" s="181"/>
      <c r="L122" s="181">
        <f>'CO2 per kg feed'!K293*FCR_bonefree_incl_parents_SI</f>
        <v>9.3680935102756366E-2</v>
      </c>
      <c r="M122" s="181"/>
      <c r="N122" s="181">
        <f>'CO2 per kg feed'!M293*FCR_bonefree_incl_parents_SI</f>
        <v>3.9426739586046334E-5</v>
      </c>
      <c r="O122" s="181">
        <f>'CO2 per kg feed'!N293*FCR_bonefree_incl_parents_SI</f>
        <v>0.10195440817681904</v>
      </c>
      <c r="P122" s="181">
        <f>'CO2 per kg feed'!O293*FCR_bonefree_incl_parents_SI</f>
        <v>2.1427335859844688E-4</v>
      </c>
      <c r="Q122" s="181">
        <f>'CO2 per kg feed'!P293*FCR_bonefree_incl_parents_SI</f>
        <v>2.7709753618428939E-3</v>
      </c>
      <c r="R122" s="181">
        <f>'CO2 per kg feed'!Q293*FCR_bonefree_incl_parents_SI</f>
        <v>8.3705928131660758E-3</v>
      </c>
      <c r="S122" s="162"/>
      <c r="T122" s="162"/>
      <c r="U122" s="182"/>
      <c r="V122" s="182"/>
      <c r="W122" s="183">
        <f>Energy_stables_SI/Bonefree_outof_CW_SI*(Share_heating_SI*(Share_biofuels_SI*EF_biofuels_CO2+(1-Share_biofuels_SI)*EF_oil_CO2)+(1-Share_heating_SI)*EF_el_CO2_SI)</f>
        <v>8.8970761376590921E-2</v>
      </c>
      <c r="X122" s="184">
        <f>(Energy_slaughter_el_SI*EF_el_CO2_SI+Energy_slaughter_oil_SI*EF_oil_CO2)/Bonefree_outof_CW_SI</f>
        <v>0.20461671435974027</v>
      </c>
      <c r="Z122" s="20"/>
      <c r="AA122" s="20"/>
    </row>
    <row r="123" spans="1:27" x14ac:dyDescent="0.35">
      <c r="A123" s="13" t="s">
        <v>162</v>
      </c>
      <c r="B123" s="13" t="s">
        <v>163</v>
      </c>
      <c r="C123" s="17" t="s">
        <v>164</v>
      </c>
      <c r="D123" t="s">
        <v>118</v>
      </c>
      <c r="E123" s="18" t="s">
        <v>119</v>
      </c>
      <c r="F123" s="13" t="s">
        <v>166</v>
      </c>
      <c r="G123" s="33">
        <f t="shared" si="2"/>
        <v>8.6241938703432864E-4</v>
      </c>
      <c r="H123" s="34">
        <f>'CH4 per kg feed'!G293*FCR_bonefree_incl_parents_SI-Excreted_N_after_losses_SI*Manure_repl_factor_SI*(EF_min_fert_BAT_CH4*Frac_BAT_SI+EF_min_fert_AN_CH4*Frac_AN_SI)</f>
        <v>1.6147819361735723E-4</v>
      </c>
      <c r="I123" s="34">
        <f>'CH4 per kg feed'!H293*FCR_bonefree_incl_parents_SI</f>
        <v>2.9751858605121172E-4</v>
      </c>
      <c r="J123" s="34"/>
      <c r="K123" s="34"/>
      <c r="L123" s="34">
        <f>'CH4 per kg feed'!K293*FCR_bonefree_incl_parents_SI</f>
        <v>4.1379436741841346E-5</v>
      </c>
      <c r="M123" s="34"/>
      <c r="N123" s="34">
        <f>'CH4 per kg feed'!M293*FCR_bonefree_incl_parents_SI</f>
        <v>6.3990016500030996E-8</v>
      </c>
      <c r="O123" s="34">
        <f>'CH4 per kg feed'!N293*FCR_bonefree_incl_parents_SI</f>
        <v>3.6215055396803164E-5</v>
      </c>
      <c r="P123" s="34">
        <f>'CH4 per kg feed'!O293*FCR_bonefree_incl_parents_SI</f>
        <v>2.9184754261830803E-6</v>
      </c>
      <c r="Q123" s="34">
        <f>'CH4 per kg feed'!P293*FCR_bonefree_incl_parents_SI</f>
        <v>7.4872419483722703E-6</v>
      </c>
      <c r="R123" s="34">
        <f>'CH4 per kg feed'!Q293*FCR_bonefree_incl_parents_SI</f>
        <v>1.4167449055211932E-7</v>
      </c>
      <c r="W123" s="4">
        <f>Energy_stables_SI/Bonefree_outof_CW_SI*(Share_heating_SI*(Share_biofuels_SI*EF_biofuel_CH4+(1-Share_biofuels_SI)*EF_oil_CH4)+(1-Share_heating_SI)*EF_el_CH4_SI)</f>
        <v>6.9239784270027236E-5</v>
      </c>
      <c r="X123" s="12">
        <f>(Energy_slaughter_el_SI*EF_el_CH4_SI+Energy_slaughter_oil_SI*EF_oil_CH4)/Bonefree_outof_CW_SI</f>
        <v>2.459769490754805E-4</v>
      </c>
      <c r="Z123" s="33"/>
      <c r="AA123" s="33"/>
    </row>
    <row r="124" spans="1:27" x14ac:dyDescent="0.35">
      <c r="A124" s="13" t="s">
        <v>162</v>
      </c>
      <c r="B124" s="13" t="s">
        <v>163</v>
      </c>
      <c r="C124" s="17" t="s">
        <v>164</v>
      </c>
      <c r="D124" t="s">
        <v>118</v>
      </c>
      <c r="E124" s="18" t="s">
        <v>119</v>
      </c>
      <c r="F124" s="13" t="s">
        <v>167</v>
      </c>
      <c r="G124" s="33">
        <f>SUM(H124:T124)+SUM(W124:X124)</f>
        <v>2.2013861429824129E-3</v>
      </c>
      <c r="H124" s="34"/>
      <c r="I124" s="34"/>
      <c r="J124" s="34"/>
      <c r="K124" s="34"/>
      <c r="L124" s="34"/>
      <c r="M124" s="34"/>
      <c r="N124" s="34"/>
      <c r="O124" s="34"/>
      <c r="P124" s="34"/>
      <c r="Q124" s="34"/>
      <c r="R124" s="34"/>
      <c r="T124" s="48">
        <f>SUM(U124:V124)</f>
        <v>2.2013861429824129E-3</v>
      </c>
      <c r="U124" s="64">
        <f>(Production!Y40*(Slaughter_age_SI/365)+SUM(Production!Y41:Y44))*EF_CH4_manure_SI</f>
        <v>2.2013861429824129E-3</v>
      </c>
      <c r="W124" s="4"/>
      <c r="X124" s="12"/>
    </row>
    <row r="125" spans="1:27" ht="15" thickBot="1" x14ac:dyDescent="0.4">
      <c r="A125" s="13" t="s">
        <v>162</v>
      </c>
      <c r="B125" s="13" t="s">
        <v>163</v>
      </c>
      <c r="C125" s="17" t="s">
        <v>164</v>
      </c>
      <c r="D125" t="s">
        <v>118</v>
      </c>
      <c r="E125" s="18" t="s">
        <v>119</v>
      </c>
      <c r="F125" s="35" t="s">
        <v>168</v>
      </c>
      <c r="G125" s="33">
        <f>SUM(H125:T125)+SUM(W125:X125)</f>
        <v>2.1791099488758158E-3</v>
      </c>
      <c r="H125" s="34">
        <f>'N2O per kg feed'!G293*FCR_bonefree_incl_parents_SI-Excreted_N_after_losses_SI*Manure_repl_factor_SI*(EF_min_fert_BAT_N2O*Frac_BAT_SI+EF_min_fert_AN_N2O*Frac_AN_SI)</f>
        <v>2.8314030848943992E-4</v>
      </c>
      <c r="I125" s="33">
        <f>'N2O per kg feed'!H293*FCR_bonefree_incl_parents_SI</f>
        <v>3.1096895540520371E-6</v>
      </c>
      <c r="J125" s="33">
        <f>'N2O per kg feed'!I293*FCR_bonefree_incl_parents_SI-Excreted_N_after_losses_SI*Manure_repl_factor_SI*EF_N2O_diff_SI</f>
        <v>1.5900927253786174E-3</v>
      </c>
      <c r="K125" s="33">
        <f>J125*EF_indirect_N2O_SI</f>
        <v>1.5900927253786174E-4</v>
      </c>
      <c r="L125" s="33">
        <f>'N2O per kg feed'!K293*FCR_bonefree_incl_parents_SI</f>
        <v>2.5172432509170574E-6</v>
      </c>
      <c r="M125" s="33"/>
      <c r="N125" s="33">
        <f>'N2O per kg feed'!M293*FCR_bonefree_incl_parents_SI</f>
        <v>1.6228016265333107E-9</v>
      </c>
      <c r="O125" s="33">
        <f>'N2O per kg feed'!N293*FCR_bonefree_incl_parents_SI</f>
        <v>3.4339261314802366E-6</v>
      </c>
      <c r="P125" s="33">
        <f>'N2O per kg feed'!O293*FCR_bonefree_incl_parents_SI</f>
        <v>0</v>
      </c>
      <c r="Q125" s="33">
        <f>'N2O per kg feed'!P293*FCR_bonefree_incl_parents_SI</f>
        <v>5.1920248259409255E-7</v>
      </c>
      <c r="R125" s="33">
        <f>'N2O per kg feed'!Q293*FCR_bonefree_incl_parents_SI</f>
        <v>2.4330604705980781E-7</v>
      </c>
      <c r="T125" s="48">
        <f>SUM(U125:V125)</f>
        <v>1.2390587072060898E-4</v>
      </c>
      <c r="U125" s="9">
        <f>Excreted_N_per_kg_of_bonefree_meat_SI*EF_N2O_manure_direct_SI*44/28</f>
        <v>4.5919975807215269E-5</v>
      </c>
      <c r="V125" s="64">
        <f>(Excreted_N_per_kg_of_bonefree_meat_SI-U125*28/44)*EF_ammonia_SI*EF_N2O_manure_indirect_SI*44/28</f>
        <v>7.7985894913393708E-5</v>
      </c>
      <c r="W125" s="4">
        <f>Energy_stables_SI/Bonefree_outof_CW_SI*(Share_heating_SI*(Share_biofuels_SI*EF_biofuel_N2O+(1-Share_biofuels_SI)*EF_oil_N2O)+(1-Share_heating_SI)*EF_el_N2O_SI)</f>
        <v>5.8668902399999973E-6</v>
      </c>
      <c r="X125" s="12">
        <f>(Energy_slaughter_el_SI*EF_el_N2O_SI+Energy_slaughter_oil_SI*EF_oil_N2O)/Bonefree_outof_CW_SI</f>
        <v>7.2698912415584407E-6</v>
      </c>
      <c r="Z125" s="33"/>
      <c r="AA125" s="33"/>
    </row>
    <row r="126" spans="1:27" ht="15.5" thickTop="1" thickBot="1" x14ac:dyDescent="0.4">
      <c r="A126" s="172" t="s">
        <v>162</v>
      </c>
      <c r="B126" s="172" t="s">
        <v>163</v>
      </c>
      <c r="C126" s="173" t="s">
        <v>164</v>
      </c>
      <c r="D126" s="211" t="s">
        <v>118</v>
      </c>
      <c r="E126" s="174" t="s">
        <v>119</v>
      </c>
      <c r="F126" s="175" t="s">
        <v>169</v>
      </c>
      <c r="G126" s="186">
        <f t="shared" si="2"/>
        <v>1.3972174044346231</v>
      </c>
      <c r="H126" s="176">
        <f>SUMPRODUCT(H122:H125,'Parameters, general'!$B$13:$B$16)</f>
        <v>0.22234538829623229</v>
      </c>
      <c r="I126" s="176">
        <f>SUMPRODUCT(I122:I125,'Parameters, general'!$B$13:$B$16)</f>
        <v>8.6043742712041404E-2</v>
      </c>
      <c r="J126" s="176">
        <f>SUMPRODUCT(J122:J125,'Parameters, general'!$B$13:$B$16)</f>
        <v>0.43409531402836254</v>
      </c>
      <c r="K126" s="176">
        <f>SUMPRODUCT(K122:K125,'Parameters, general'!$B$13:$B$16)</f>
        <v>4.3409531402836252E-2</v>
      </c>
      <c r="L126" s="176">
        <f>SUMPRODUCT(L122:L125,'Parameters, general'!$B$13:$B$16)</f>
        <v>9.5601249725163595E-2</v>
      </c>
      <c r="M126" s="176">
        <f>SUMPRODUCT(M122:M125,'Parameters, general'!$B$13:$B$16)</f>
        <v>0</v>
      </c>
      <c r="N126" s="176">
        <f>SUMPRODUCT(N122:N125,'Parameters, general'!$B$13:$B$16)</f>
        <v>4.1776666921790852E-5</v>
      </c>
      <c r="O126" s="176">
        <f>SUMPRODUCT(O122:O125,'Parameters, general'!$B$13:$B$16)</f>
        <v>0.10397107866153789</v>
      </c>
      <c r="P126" s="176">
        <f>SUMPRODUCT(P122:P125,'Parameters, general'!$B$13:$B$16)</f>
        <v>3.0124392629870265E-4</v>
      </c>
      <c r="Q126" s="176">
        <f>SUMPRODUCT(Q122:Q125,'Parameters, general'!$B$13:$B$16)</f>
        <v>3.1358374496525745E-3</v>
      </c>
      <c r="R126" s="176">
        <f>SUMPRODUCT(R122:R125,'Parameters, general'!$B$13:$B$16)</f>
        <v>8.4412372638318564E-3</v>
      </c>
      <c r="S126" s="176">
        <f>SUMPRODUCT(S122:S125,'Parameters, general'!$B$13:$B$16)</f>
        <v>0</v>
      </c>
      <c r="T126" s="176">
        <f>SUMPRODUCT(T122:T125,'Parameters, general'!$B$13:$B$16)</f>
        <v>9.3263728567251403E-2</v>
      </c>
      <c r="U126" s="176"/>
      <c r="V126" s="176"/>
      <c r="W126" s="176">
        <f>SUMPRODUCT(W122:W125,'Parameters, general'!$B$13:$B$16)</f>
        <v>9.2635767983357722E-2</v>
      </c>
      <c r="X126" s="176">
        <f>SUMPRODUCT(X122:X125,'Parameters, general'!$B$13:$B$16)</f>
        <v>0.21393150775113504</v>
      </c>
      <c r="Z126" s="115">
        <f>SUM(H126:R126)</f>
        <v>0.99738640013287894</v>
      </c>
      <c r="AA126" s="210">
        <f>'CO2 per kg feed'!F285+'CH4 per kg feed'!F285*CF_GWP_CH4_fossil+'N2O per kg feed'!F285*CF_GWP_N2O</f>
        <v>0.32901592133727731</v>
      </c>
    </row>
    <row r="127" spans="1:27" ht="15" thickTop="1" x14ac:dyDescent="0.35">
      <c r="A127" s="178" t="s">
        <v>162</v>
      </c>
      <c r="B127" s="178" t="s">
        <v>163</v>
      </c>
      <c r="C127" s="179" t="s">
        <v>164</v>
      </c>
      <c r="D127" t="s">
        <v>28</v>
      </c>
      <c r="E127" s="163" t="s">
        <v>120</v>
      </c>
      <c r="F127" s="180" t="s">
        <v>165</v>
      </c>
      <c r="G127" s="181">
        <f>SUM(H127:X127)</f>
        <v>1.0417050786071167</v>
      </c>
      <c r="H127" s="181">
        <f>'CO2 per kg feed'!G305*FCR_bonefree_incl_parents_ES-Excreted_N_after_losses_ES*Manure_repl_factor_ES*(EF_min_fert_BAT_CO2*Frac_BAT_ES+EF_min_fert_AN_CO2*Frac_AN_ES)</f>
        <v>9.9951183948770742E-2</v>
      </c>
      <c r="I127" s="181">
        <f>'CO2 per kg feed'!H305*FCR_bonefree_incl_parents_ES</f>
        <v>8.1798311357871634E-2</v>
      </c>
      <c r="J127" s="181">
        <f>'CO2 per kg feed'!I305*FCR_bonefree_incl_parents_ES</f>
        <v>0</v>
      </c>
      <c r="K127" s="181"/>
      <c r="L127" s="181">
        <f>'CO2 per kg feed'!K305*FCR_bonefree_incl_parents_ES</f>
        <v>0.13617480825735256</v>
      </c>
      <c r="M127" s="181"/>
      <c r="N127" s="181">
        <f>'CO2 per kg feed'!M305*FCR_bonefree_incl_parents_ES</f>
        <v>3.4723120639342714E-2</v>
      </c>
      <c r="O127" s="181">
        <f>'CO2 per kg feed'!N305*FCR_bonefree_incl_parents_ES</f>
        <v>0.11672871452569965</v>
      </c>
      <c r="P127" s="181">
        <f>'CO2 per kg feed'!O305*FCR_bonefree_incl_parents_ES</f>
        <v>0.17943027040143328</v>
      </c>
      <c r="Q127" s="181">
        <f>'CO2 per kg feed'!P305*FCR_bonefree_incl_parents_ES</f>
        <v>2.1254173266292253E-2</v>
      </c>
      <c r="R127" s="181">
        <f>'CO2 per kg feed'!Q305*FCR_bonefree_incl_parents_ES</f>
        <v>0.14597586211155766</v>
      </c>
      <c r="S127" s="162"/>
      <c r="T127" s="162"/>
      <c r="U127" s="182"/>
      <c r="V127" s="182"/>
      <c r="W127" s="183">
        <f>Energy_stables_ES/Bonefree_outof_CW_ES*(Share_heating_ES*(Share_biofuels_ES*EF_biofuels_CO2+(1-Share_biofuels_ES)*EF_oil_CO2)+(1-Share_heating_ES)*EF_el_CO2_ES)</f>
        <v>7.8855189217809096E-2</v>
      </c>
      <c r="X127" s="184">
        <f>(Energy_slaughter_el_ES*EF_el_CO2_ES+Energy_slaughter_oil_ES*EF_oil_CO2)/Bonefree_outof_CW_ES</f>
        <v>0.14681344488098702</v>
      </c>
      <c r="Z127" s="20"/>
      <c r="AA127" s="20"/>
    </row>
    <row r="128" spans="1:27" x14ac:dyDescent="0.35">
      <c r="A128" s="13" t="s">
        <v>162</v>
      </c>
      <c r="B128" s="13" t="s">
        <v>163</v>
      </c>
      <c r="C128" s="17" t="s">
        <v>164</v>
      </c>
      <c r="D128" t="s">
        <v>28</v>
      </c>
      <c r="E128" s="18" t="s">
        <v>120</v>
      </c>
      <c r="F128" s="13" t="s">
        <v>166</v>
      </c>
      <c r="G128" s="33">
        <f>SUM(H128:X128)</f>
        <v>1.5090294734024876E-3</v>
      </c>
      <c r="H128" s="34">
        <f>'CH4 per kg feed'!G305*FCR_bonefree_incl_parents_ES-Excreted_N_after_losses_ES*Manure_repl_factor_ES*(EF_min_fert_BAT_CH4*Frac_BAT_ES+EF_min_fert_AN_CH4*Frac_AN_ES)</f>
        <v>2.0118114346470879E-4</v>
      </c>
      <c r="I128" s="34">
        <f>'CH4 per kg feed'!H305*FCR_bonefree_incl_parents_ES</f>
        <v>3.1379744348390318E-4</v>
      </c>
      <c r="J128" s="34"/>
      <c r="K128" s="34"/>
      <c r="L128" s="34">
        <f>'CH4 per kg feed'!K305*FCR_bonefree_incl_parents_ES</f>
        <v>6.0444429056990246E-5</v>
      </c>
      <c r="M128" s="34"/>
      <c r="N128" s="34">
        <f>'CH4 per kg feed'!M305*FCR_bonefree_incl_parents_ES</f>
        <v>1.1374409324497328E-4</v>
      </c>
      <c r="O128" s="34">
        <f>'CH4 per kg feed'!N305*FCR_bonefree_incl_parents_ES</f>
        <v>8.7660975524989209E-5</v>
      </c>
      <c r="P128" s="34">
        <f>'CH4 per kg feed'!O305*FCR_bonefree_incl_parents_ES</f>
        <v>1.4863131654585744E-6</v>
      </c>
      <c r="Q128" s="34">
        <f>'CH4 per kg feed'!P305*FCR_bonefree_incl_parents_ES</f>
        <v>7.664084772807884E-5</v>
      </c>
      <c r="R128" s="34">
        <f>'CH4 per kg feed'!Q305*FCR_bonefree_incl_parents_ES</f>
        <v>1.186367372734892E-4</v>
      </c>
      <c r="W128" s="4">
        <f>Energy_stables_ES/Bonefree_outof_CW_ES*(Share_heating_ES*(Share_biofuels_ES*EF_biofuel_CH4+(1-Share_biofuels_ES)*EF_oil_CH4)+(1-Share_heating_ES)*EF_el_CH4_ES)</f>
        <v>1.0203862043599995E-4</v>
      </c>
      <c r="X128" s="12">
        <f>(Energy_slaughter_el_ES*EF_el_CH4_ES+Energy_slaughter_oil_ES*EF_oil_CH4)/Bonefree_outof_CW_ES</f>
        <v>4.3339887002389612E-4</v>
      </c>
      <c r="Z128" s="33"/>
      <c r="AA128" s="33"/>
    </row>
    <row r="129" spans="1:29" x14ac:dyDescent="0.35">
      <c r="A129" s="13" t="s">
        <v>162</v>
      </c>
      <c r="B129" s="13" t="s">
        <v>163</v>
      </c>
      <c r="C129" s="17" t="s">
        <v>164</v>
      </c>
      <c r="D129" t="s">
        <v>28</v>
      </c>
      <c r="E129" s="18" t="s">
        <v>120</v>
      </c>
      <c r="F129" s="13" t="s">
        <v>167</v>
      </c>
      <c r="G129" s="33">
        <f>SUM(H129:T129)+SUM(W129:X129)</f>
        <v>2.9891817315537664E-3</v>
      </c>
      <c r="H129" s="34"/>
      <c r="I129" s="34"/>
      <c r="J129" s="34"/>
      <c r="K129" s="34"/>
      <c r="L129" s="34"/>
      <c r="M129" s="34"/>
      <c r="N129" s="34"/>
      <c r="O129" s="34"/>
      <c r="P129" s="34"/>
      <c r="Q129" s="34"/>
      <c r="R129" s="34"/>
      <c r="T129" s="48">
        <f>SUM(U129:V129)</f>
        <v>2.9891817315537664E-3</v>
      </c>
      <c r="U129" s="64">
        <f>(Production!Z40*(Slaughter_age_ES/365)+SUM(Production!Z41:Z44))*EF_CH4_manure_ES</f>
        <v>2.9891817315537664E-3</v>
      </c>
      <c r="W129" s="4"/>
      <c r="X129" s="12"/>
    </row>
    <row r="130" spans="1:29" ht="15" thickBot="1" x14ac:dyDescent="0.4">
      <c r="A130" s="13" t="s">
        <v>162</v>
      </c>
      <c r="B130" s="13" t="s">
        <v>163</v>
      </c>
      <c r="C130" s="17" t="s">
        <v>164</v>
      </c>
      <c r="D130" t="s">
        <v>28</v>
      </c>
      <c r="E130" s="18" t="s">
        <v>120</v>
      </c>
      <c r="F130" s="35" t="s">
        <v>168</v>
      </c>
      <c r="G130" s="33">
        <f>SUM(H130:T130)+SUM(W130:X130)</f>
        <v>1.3412119670456355E-3</v>
      </c>
      <c r="H130" s="34">
        <f>'N2O per kg feed'!G305*FCR_bonefree_incl_parents_ES-Excreted_N_after_losses_ES*Manure_repl_factor_ES*(EF_min_fert_BAT_N2O*Frac_BAT_ES+EF_min_fert_AN_N2O*Frac_AN_ES)</f>
        <v>2.2106914059151814E-4</v>
      </c>
      <c r="I130" s="33">
        <f>'N2O per kg feed'!H305*FCR_bonefree_incl_parents_ES</f>
        <v>3.0789653515266777E-6</v>
      </c>
      <c r="J130" s="33">
        <f>'N2O per kg feed'!I305*FCR_bonefree_incl_parents_ES-Excreted_N_after_losses_ES*Manure_repl_factor_ES*EF_N2O_diff_ES</f>
        <v>7.5092798864475599E-4</v>
      </c>
      <c r="K130" s="33">
        <f>J130*EF_indirect_N2O_ES</f>
        <v>7.5092798864475607E-5</v>
      </c>
      <c r="L130" s="33">
        <f>'N2O per kg feed'!K305*FCR_bonefree_incl_parents_ES</f>
        <v>3.6736123367901671E-6</v>
      </c>
      <c r="M130" s="33"/>
      <c r="N130" s="33">
        <f>'N2O per kg feed'!M305*FCR_bonefree_incl_parents_ES</f>
        <v>1.400160047224696E-6</v>
      </c>
      <c r="O130" s="33">
        <f>'N2O per kg feed'!N305*FCR_bonefree_incl_parents_ES</f>
        <v>4.318981519850372E-6</v>
      </c>
      <c r="P130" s="33">
        <f>'N2O per kg feed'!O305*FCR_bonefree_incl_parents_ES</f>
        <v>0</v>
      </c>
      <c r="Q130" s="33">
        <f>'N2O per kg feed'!P305*FCR_bonefree_incl_parents_ES</f>
        <v>7.8407366920810169E-6</v>
      </c>
      <c r="R130" s="33">
        <f>'N2O per kg feed'!Q305*FCR_bonefree_incl_parents_ES</f>
        <v>5.2548422745764931E-6</v>
      </c>
      <c r="T130" s="48">
        <f>SUM(U130:V130)</f>
        <v>2.5623770074413501E-4</v>
      </c>
      <c r="U130" s="9">
        <f>Excreted_N_per_kg_of_bonefree_meat_ES*EF_N2O_manure_direct_ES*44/28</f>
        <v>9.4962643421463519E-5</v>
      </c>
      <c r="V130" s="64">
        <f>(Excreted_N_per_kg_of_bonefree_meat_ES-U130*28/44)*EF_ammonia_ES*EF_N2O_manure_indirect_ES*44/28</f>
        <v>1.6127505732267152E-4</v>
      </c>
      <c r="W130" s="4">
        <f>Energy_stables_ES/Bonefree_outof_CW_ES*(Share_heating_ES*(Share_biofuels_ES*EF_biofuel_N2O+(1-Share_biofuels_ES)*EF_oil_N2O)+(1-Share_heating_ES)*EF_el_N2O_ES)</f>
        <v>5.7448010799999976E-6</v>
      </c>
      <c r="X130" s="12">
        <f>(Energy_slaughter_el_ES*EF_el_N2O_ES+Energy_slaughter_oil_ES*EF_oil_N2O)/Bonefree_outof_CW_ES</f>
        <v>6.5722388987012982E-6</v>
      </c>
      <c r="Z130" s="33"/>
      <c r="AA130" s="33"/>
    </row>
    <row r="131" spans="1:29" ht="15.5" thickTop="1" thickBot="1" x14ac:dyDescent="0.4">
      <c r="A131" s="172" t="s">
        <v>162</v>
      </c>
      <c r="B131" s="172" t="s">
        <v>163</v>
      </c>
      <c r="C131" s="173" t="s">
        <v>164</v>
      </c>
      <c r="D131" s="211" t="s">
        <v>28</v>
      </c>
      <c r="E131" s="174" t="s">
        <v>120</v>
      </c>
      <c r="F131" s="175" t="s">
        <v>169</v>
      </c>
      <c r="G131" s="186">
        <f>SUM(H131:X131)</f>
        <v>1.533532930669921</v>
      </c>
      <c r="H131" s="327">
        <f>SUMPRODUCT(H127:H130,'Parameters, general'!$B$13:$B$16)</f>
        <v>0.16629825740550352</v>
      </c>
      <c r="I131" s="327">
        <f>SUMPRODUCT(I127:I130,'Parameters, general'!$B$13:$B$16)</f>
        <v>9.199003271465872E-2</v>
      </c>
      <c r="J131" s="327">
        <f>SUMPRODUCT(J127:J130,'Parameters, general'!$B$13:$B$16)</f>
        <v>0.20500334090001837</v>
      </c>
      <c r="K131" s="327">
        <f>SUMPRODUCT(K127:K130,'Parameters, general'!$B$13:$B$16)</f>
        <v>2.0500334090001841E-2</v>
      </c>
      <c r="L131" s="327">
        <f>SUMPRODUCT(L127:L130,'Parameters, general'!$B$13:$B$16)</f>
        <v>0.1389789484111946</v>
      </c>
      <c r="M131" s="327">
        <f>SUMPRODUCT(M127:M130,'Parameters, general'!$B$13:$B$16)</f>
        <v>0</v>
      </c>
      <c r="N131" s="327">
        <f>SUMPRODUCT(N127:N130,'Parameters, general'!$B$13:$B$16)</f>
        <v>3.8494938310935263E-2</v>
      </c>
      <c r="O131" s="327">
        <f>SUMPRODUCT(O127:O130,'Parameters, general'!$B$13:$B$16)</f>
        <v>0.12052009355126349</v>
      </c>
      <c r="P131" s="327">
        <f>SUMPRODUCT(P127:P130,'Parameters, general'!$B$13:$B$16)</f>
        <v>0.17947456253376395</v>
      </c>
      <c r="Q131" s="327">
        <f>SUMPRODUCT(Q127:Q130,'Parameters, general'!$B$13:$B$16)</f>
        <v>2.5678591645527122E-2</v>
      </c>
      <c r="R131" s="327">
        <f>SUMPRODUCT(R127:R130,'Parameters, general'!$B$13:$B$16)</f>
        <v>0.15094580882326702</v>
      </c>
      <c r="S131" s="327">
        <f>SUMPRODUCT(S127:S130,'Parameters, general'!$B$13:$B$16)</f>
        <v>0</v>
      </c>
      <c r="T131" s="327">
        <f>SUMPRODUCT(T127:T130,'Parameters, general'!$B$13:$B$16)</f>
        <v>0.15066079905510055</v>
      </c>
      <c r="U131" s="327"/>
      <c r="V131" s="327"/>
      <c r="W131" s="327">
        <f>SUMPRODUCT(W127:W130,'Parameters, general'!$B$13:$B$16)</f>
        <v>8.3464270801641899E-2</v>
      </c>
      <c r="X131" s="327">
        <f>SUMPRODUCT(X127:X130,'Parameters, general'!$B$13:$B$16)</f>
        <v>0.16152295242704456</v>
      </c>
      <c r="Z131" s="115">
        <f>SUM(H131:R131)</f>
        <v>1.137884908386134</v>
      </c>
      <c r="AA131" s="210">
        <f>'CO2 per kg feed'!F289+'CH4 per kg feed'!F289*CF_GWP_CH4_fossil+'N2O per kg feed'!F289*CF_GWP_N2O</f>
        <v>0.47266435729674461</v>
      </c>
    </row>
    <row r="132" spans="1:29" ht="15" thickTop="1" x14ac:dyDescent="0.35">
      <c r="A132" s="13" t="s">
        <v>162</v>
      </c>
      <c r="B132" s="13" t="s">
        <v>163</v>
      </c>
      <c r="C132" s="17" t="s">
        <v>164</v>
      </c>
      <c r="D132" s="18" t="s">
        <v>25</v>
      </c>
      <c r="E132" s="18" t="s">
        <v>121</v>
      </c>
      <c r="F132" s="36" t="s">
        <v>165</v>
      </c>
      <c r="G132" s="181">
        <f>SUM(H132:X132)</f>
        <v>0.96137293425267856</v>
      </c>
      <c r="H132" s="20">
        <f>'CO2 per kg feed'!G317*FCR_bonefree_incl_parents_SE-Excreted_N_after_losses_SE*Manure_repl_factor_SE*(EF_min_fert_BAT_CO2*Frac_BAT_SE+EF_min_fert_AN_CO2*Frac_AN_SE)</f>
        <v>0.15557897468160156</v>
      </c>
      <c r="I132" s="20">
        <f>'CO2 per kg feed'!H317*FCR_bonefree_incl_parents_SE</f>
        <v>8.1376058230981721E-2</v>
      </c>
      <c r="J132" s="20">
        <f>'CO2 per kg feed'!I317*FCR_bonefree_incl_parents_SE</f>
        <v>0</v>
      </c>
      <c r="K132" s="20"/>
      <c r="L132" s="20">
        <f>'CO2 per kg feed'!K317*FCR_bonefree_incl_parents_SE</f>
        <v>0.10890908180342121</v>
      </c>
      <c r="M132" s="20"/>
      <c r="N132" s="20">
        <f>'CO2 per kg feed'!M317*FCR_bonefree_incl_parents_SE</f>
        <v>6.5424829481218786E-4</v>
      </c>
      <c r="O132" s="20">
        <f>'CO2 per kg feed'!N317*FCR_bonefree_incl_parents_SE</f>
        <v>0.11219292938121507</v>
      </c>
      <c r="P132" s="20">
        <f>'CO2 per kg feed'!O317*FCR_bonefree_incl_parents_SE</f>
        <v>0.19351823709175994</v>
      </c>
      <c r="Q132" s="20">
        <f>'CO2 per kg feed'!P317*FCR_bonefree_incl_parents_SE</f>
        <v>2.6129814366563753E-2</v>
      </c>
      <c r="R132" s="20">
        <f>'CO2 per kg feed'!Q317*FCR_bonefree_incl_parents_SE</f>
        <v>0.16701044797066569</v>
      </c>
      <c r="W132" s="4">
        <f>Energy_stables_SE/Bonefree_outof_CW_SE*(Share_heating_SE*(Share_biofuels_SE*EF_biofuels_CO2+(1-Share_biofuels_SE)*EF_oil_CO2)+(1-Share_heating_SE)*EF_el_CO2_SE)</f>
        <v>6.2522030884405472E-2</v>
      </c>
      <c r="X132" s="12">
        <f>(Energy_slaughter_el_SE*EF_el_CO2_SE+Energy_slaughter_oil_SE*EF_oil_CO2)/Bonefree_outof_CW_SE</f>
        <v>5.3481111547251943E-2</v>
      </c>
    </row>
    <row r="133" spans="1:29" x14ac:dyDescent="0.35">
      <c r="A133" s="13" t="s">
        <v>162</v>
      </c>
      <c r="B133" s="13" t="s">
        <v>163</v>
      </c>
      <c r="C133" s="17" t="s">
        <v>164</v>
      </c>
      <c r="D133" s="18" t="s">
        <v>25</v>
      </c>
      <c r="E133" s="18" t="s">
        <v>121</v>
      </c>
      <c r="F133" s="13" t="s">
        <v>166</v>
      </c>
      <c r="G133" s="33">
        <f>SUM(H133:X133)</f>
        <v>9.6050213917710605E-4</v>
      </c>
      <c r="H133" s="34">
        <f>'CH4 per kg feed'!G317*FCR_bonefree_incl_parents_SE-Excreted_N_after_losses_SE*Manure_repl_factor_SE*(EF_min_fert_BAT_CH4*Frac_BAT_SE+EF_min_fert_AN_CH4*Frac_AN_SE)</f>
        <v>2.220350539325972E-4</v>
      </c>
      <c r="I133" s="34">
        <f>'CH4 per kg feed'!H317*FCR_bonefree_incl_parents_SE</f>
        <v>3.2952273395827578E-4</v>
      </c>
      <c r="J133" s="34"/>
      <c r="K133" s="34"/>
      <c r="L133" s="34">
        <f>'CH4 per kg feed'!K317*FCR_bonefree_incl_parents_SE</f>
        <v>4.8163740672674797E-5</v>
      </c>
      <c r="M133" s="34"/>
      <c r="N133" s="34">
        <f>'CH4 per kg feed'!M317*FCR_bonefree_incl_parents_SE</f>
        <v>4.4105911402471734E-7</v>
      </c>
      <c r="O133" s="34">
        <f>'CH4 per kg feed'!N317*FCR_bonefree_incl_parents_SE</f>
        <v>4.6537721899329755E-5</v>
      </c>
      <c r="P133" s="34">
        <f>'CH4 per kg feed'!O317*FCR_bonefree_incl_parents_SE</f>
        <v>5.0097343446832216E-6</v>
      </c>
      <c r="Q133" s="34">
        <f>'CH4 per kg feed'!P317*FCR_bonefree_incl_parents_SE</f>
        <v>9.1296546030137366E-5</v>
      </c>
      <c r="R133" s="34">
        <f>'CH4 per kg feed'!Q317*FCR_bonefree_incl_parents_SE</f>
        <v>1.2795150004578341E-4</v>
      </c>
      <c r="W133" s="4">
        <f>Energy_stables_SE/Bonefree_outof_CW_SE*(Share_heating_SE*(Share_biofuels_SE*EF_biofuel_CH4+(1-Share_biofuels_SE)*EF_oil_CH4)+(1-Share_heating_SE)*EF_el_CH4_SE)</f>
        <v>3.5628958968721792E-5</v>
      </c>
      <c r="X133" s="12">
        <f>(Energy_slaughter_el_SE*EF_el_CH4_SE+Energy_slaughter_oil_SE*EF_oil_CH4)/Bonefree_outof_CW_SE</f>
        <v>5.3915090210877913E-5</v>
      </c>
    </row>
    <row r="134" spans="1:29" x14ac:dyDescent="0.35">
      <c r="A134" s="13" t="s">
        <v>162</v>
      </c>
      <c r="B134" s="13" t="s">
        <v>163</v>
      </c>
      <c r="C134" s="17" t="s">
        <v>164</v>
      </c>
      <c r="D134" s="18" t="s">
        <v>25</v>
      </c>
      <c r="E134" s="18" t="s">
        <v>121</v>
      </c>
      <c r="F134" s="13" t="s">
        <v>167</v>
      </c>
      <c r="G134" s="33">
        <f>SUM(H134:T134)+SUM(W134:X134)</f>
        <v>2.2013861429824129E-3</v>
      </c>
      <c r="H134" s="34"/>
      <c r="I134" s="34"/>
      <c r="J134" s="34"/>
      <c r="K134" s="34"/>
      <c r="L134" s="34"/>
      <c r="M134" s="34"/>
      <c r="N134" s="34"/>
      <c r="O134" s="34"/>
      <c r="P134" s="34"/>
      <c r="Q134" s="34"/>
      <c r="R134" s="34"/>
      <c r="T134" s="48">
        <f>SUM(U134:V134)</f>
        <v>2.2013861429824129E-3</v>
      </c>
      <c r="U134" s="64">
        <f>(Production!AA40*(Slaughter_age_SE/365)+SUM(Production!AA41:AA44))*EF_CH4_manure_SE</f>
        <v>2.2013861429824129E-3</v>
      </c>
      <c r="W134" s="4"/>
      <c r="X134" s="12"/>
    </row>
    <row r="135" spans="1:29" ht="15" thickBot="1" x14ac:dyDescent="0.4">
      <c r="A135" s="13" t="s">
        <v>162</v>
      </c>
      <c r="B135" s="13" t="s">
        <v>163</v>
      </c>
      <c r="C135" s="17" t="s">
        <v>164</v>
      </c>
      <c r="D135" s="18" t="s">
        <v>25</v>
      </c>
      <c r="E135" s="18" t="s">
        <v>121</v>
      </c>
      <c r="F135" s="35" t="s">
        <v>168</v>
      </c>
      <c r="G135" s="33">
        <f>SUM(H135:T135)+SUM(W135:X135)</f>
        <v>2.2745219902505758E-3</v>
      </c>
      <c r="H135" s="34">
        <f>'N2O per kg feed'!G317*FCR_bonefree_incl_parents_SE-Excreted_N_after_losses_SE*Manure_repl_factor_SE*(EF_min_fert_BAT_N2O*Frac_BAT_SE+EF_min_fert_AN_N2O*Frac_AN_SE)</f>
        <v>3.2636270923727201E-4</v>
      </c>
      <c r="I135" s="33">
        <f>'N2O per kg feed'!H317*FCR_bonefree_incl_parents_SE</f>
        <v>3.0765537974457709E-6</v>
      </c>
      <c r="J135" s="33">
        <f>'N2O per kg feed'!I317*FCR_bonefree_incl_parents_SE-Excreted_N_after_losses_SE*Manure_repl_factor_SE*EF_N2O_diff_SE</f>
        <v>1.6264595862209468E-3</v>
      </c>
      <c r="K135" s="33">
        <f>J135*EF_indirect_N2O_SE</f>
        <v>1.6264595862209468E-4</v>
      </c>
      <c r="L135" s="33">
        <f>'N2O per kg feed'!K317*FCR_bonefree_incl_parents_SE</f>
        <v>2.9309947251330754E-6</v>
      </c>
      <c r="M135" s="33"/>
      <c r="N135" s="33">
        <f>'N2O per kg feed'!M317*FCR_bonefree_incl_parents_SE</f>
        <v>3.7930631048308945E-8</v>
      </c>
      <c r="O135" s="33">
        <f>'N2O per kg feed'!N317*FCR_bonefree_incl_parents_SE</f>
        <v>4.2098361657773456E-6</v>
      </c>
      <c r="P135" s="33">
        <f>'N2O per kg feed'!O317*FCR_bonefree_incl_parents_SE</f>
        <v>0</v>
      </c>
      <c r="Q135" s="33">
        <f>'N2O per kg feed'!P317*FCR_bonefree_incl_parents_SE</f>
        <v>9.051847241045052E-6</v>
      </c>
      <c r="R135" s="33">
        <f>'N2O per kg feed'!Q317*FCR_bonefree_incl_parents_SE</f>
        <v>5.9442795315411799E-6</v>
      </c>
      <c r="T135" s="48">
        <f>SUM(U135:V135)</f>
        <v>1.2390587072060898E-4</v>
      </c>
      <c r="U135" s="9">
        <f>Excreted_N_per_kg_of_bonefree_meat_SE*EF_N2O_manure_direct_SE*44/28</f>
        <v>4.5919975807215269E-5</v>
      </c>
      <c r="V135" s="64">
        <f>(Excreted_N_per_kg_of_bonefree_meat_SE-U135*28/44)*EF_ammonia_SE*EF_N2O_manure_indirect_SE*44/28</f>
        <v>7.7985894913393708E-5</v>
      </c>
      <c r="W135" s="4">
        <f>Energy_stables_SE/Bonefree_outof_CW_SE*(Share_heating_SE*(Share_biofuels_SE*EF_biofuel_N2O+(1-Share_biofuels_SE)*EF_oil_N2O)+(1-Share_heating_SE)*EF_el_N2O_SE)</f>
        <v>5.3842837109090881E-6</v>
      </c>
      <c r="X135" s="12">
        <f>(Energy_slaughter_el_SE*EF_el_N2O_SE+Energy_slaughter_oil_SE*EF_oil_N2O)/Bonefree_outof_CW_SE</f>
        <v>4.5121396467532456E-6</v>
      </c>
    </row>
    <row r="136" spans="1:29" ht="15.5" thickTop="1" thickBot="1" x14ac:dyDescent="0.4">
      <c r="A136" s="52" t="s">
        <v>162</v>
      </c>
      <c r="B136" s="52" t="s">
        <v>163</v>
      </c>
      <c r="C136" s="73" t="s">
        <v>164</v>
      </c>
      <c r="D136" s="37" t="s">
        <v>25</v>
      </c>
      <c r="E136" s="37" t="s">
        <v>121</v>
      </c>
      <c r="F136" s="38" t="s">
        <v>169</v>
      </c>
      <c r="G136" s="186">
        <f>SUM(H136:X136)</f>
        <v>1.6703778271990886</v>
      </c>
      <c r="H136" s="225">
        <f>SUMPRODUCT(H132:H135,'Parameters, general'!$B$13:$B$16)</f>
        <v>0.25129263891056819</v>
      </c>
      <c r="I136" s="176">
        <f>SUMPRODUCT(I132:I135,'Parameters, general'!$B$13:$B$16)</f>
        <v>9.2035734889641035E-2</v>
      </c>
      <c r="J136" s="176">
        <f>SUMPRODUCT(J132:J135,'Parameters, general'!$B$13:$B$16)</f>
        <v>0.44402346703831846</v>
      </c>
      <c r="K136" s="176">
        <f>SUMPRODUCT(K132:K135,'Parameters, general'!$B$13:$B$16)</f>
        <v>4.4402346703831849E-2</v>
      </c>
      <c r="L136" s="176">
        <f>SUMPRODUCT(L132:L135,'Parameters, general'!$B$13:$B$16)</f>
        <v>0.11114452283542825</v>
      </c>
      <c r="M136" s="176">
        <f>SUMPRODUCT(M132:M135,'Parameters, general'!$B$13:$B$16)</f>
        <v>0</v>
      </c>
      <c r="N136" s="176">
        <f>SUMPRODUCT(N132:N135,'Parameters, general'!$B$13:$B$16)</f>
        <v>6.777469186863128E-4</v>
      </c>
      <c r="O136" s="176">
        <f>SUMPRODUCT(O132:O135,'Parameters, general'!$B$13:$B$16)</f>
        <v>0.1147290387670723</v>
      </c>
      <c r="P136" s="176">
        <f>SUMPRODUCT(P132:P135,'Parameters, general'!$B$13:$B$16)</f>
        <v>0.1936675271752315</v>
      </c>
      <c r="Q136" s="176">
        <f>SUMPRODUCT(Q132:Q135,'Parameters, general'!$B$13:$B$16)</f>
        <v>3.1321605735067148E-2</v>
      </c>
      <c r="R136" s="176">
        <f>SUMPRODUCT(R132:R135,'Parameters, general'!$B$13:$B$16)</f>
        <v>0.17244619098414077</v>
      </c>
      <c r="S136" s="176">
        <f>SUMPRODUCT(S132:S135,'Parameters, general'!$B$13:$B$16)</f>
        <v>0</v>
      </c>
      <c r="T136" s="176">
        <f>SUMPRODUCT(T132:T135,'Parameters, general'!$B$13:$B$16)</f>
        <v>9.3263728567251403E-2</v>
      </c>
      <c r="U136" s="177"/>
      <c r="V136" s="177"/>
      <c r="W136" s="176">
        <f>SUMPRODUCT(W132:W135,'Parameters, general'!$B$13:$B$16)</f>
        <v>6.5053683314751559E-2</v>
      </c>
      <c r="X136" s="176">
        <f>SUMPRODUCT(X132:X135,'Parameters, general'!$B$13:$B$16)</f>
        <v>5.6319595359099743E-2</v>
      </c>
      <c r="Z136" s="115">
        <f>SUM(H136:R136)</f>
        <v>1.4557408199579858</v>
      </c>
      <c r="AA136" s="210">
        <f>'CO2 per kg feed'!F317+'CH4 per kg feed'!F317*CF_GWP_CH4_fossil+'N2O per kg feed'!F317*CF_GWP_N2O</f>
        <v>0.47923224051590563</v>
      </c>
      <c r="AC136" s="322"/>
    </row>
    <row r="137" spans="1:29" ht="15" thickTop="1" x14ac:dyDescent="0.35">
      <c r="A137" s="178" t="s">
        <v>162</v>
      </c>
      <c r="B137" s="178" t="s">
        <v>163</v>
      </c>
      <c r="C137" s="179" t="s">
        <v>164</v>
      </c>
      <c r="D137" s="163" t="s">
        <v>21</v>
      </c>
      <c r="E137" s="163" t="s">
        <v>122</v>
      </c>
      <c r="F137" s="180" t="s">
        <v>165</v>
      </c>
      <c r="G137" s="181">
        <f>SUM(H137:X137)</f>
        <v>1.1435902604087524</v>
      </c>
      <c r="H137" s="20">
        <f>'CO2 per kg feed'!G329*FCR_bonefree_incl_parents_GB-Excreted_N_after_losses_GB*Manure_repl_factor_GB*(EF_min_fert_BAT_CO2*Frac_BAT_GB+EF_min_fert_AN_CO2*Frac_AN_GB)</f>
        <v>0.14024053808718068</v>
      </c>
      <c r="I137" s="20">
        <f>'CO2 per kg feed'!H329*FCR_bonefree_incl_parents_GB</f>
        <v>7.9273942911501846E-2</v>
      </c>
      <c r="J137" s="20">
        <f>'CO2 per kg feed'!I329*FCR_bonefree_incl_parents_GB</f>
        <v>0</v>
      </c>
      <c r="K137" s="20"/>
      <c r="L137" s="20">
        <f>'CO2 per kg feed'!K329*FCR_bonefree_incl_parents_GB</f>
        <v>0.11609416216152174</v>
      </c>
      <c r="M137" s="20"/>
      <c r="N137" s="20">
        <f>'CO2 per kg feed'!M329*FCR_bonefree_incl_parents_GB</f>
        <v>1.7547627935709725E-4</v>
      </c>
      <c r="O137" s="20">
        <f>'CO2 per kg feed'!N329*FCR_bonefree_incl_parents_GB</f>
        <v>0.11061030400742843</v>
      </c>
      <c r="P137" s="20">
        <f>'CO2 per kg feed'!O329*FCR_bonefree_incl_parents_GB</f>
        <v>0.19388172665675926</v>
      </c>
      <c r="Q137" s="20">
        <f>'CO2 per kg feed'!P329*FCR_bonefree_incl_parents_GB</f>
        <v>2.8017113589711984E-2</v>
      </c>
      <c r="R137" s="20">
        <f>'CO2 per kg feed'!Q329*FCR_bonefree_incl_parents_GB</f>
        <v>0.17281168139074457</v>
      </c>
      <c r="W137" s="4">
        <f>Energy_stables_GB/Bonefree_outof_CW_GB*(Share_heating_GB*(Share_biofuels_GB*EF_biofuels_CO2+(1-Share_biofuels_GB)*EF_oil_CO2)+(1-Share_heating_GB)*EF_el_CO2_GB)</f>
        <v>9.0295971528027277E-2</v>
      </c>
      <c r="X137" s="12">
        <f>(Energy_slaughter_el_GB*EF_el_CO2_GB+Energy_slaughter_oil_GB*EF_oil_CO2)/Bonefree_outof_CW_GB</f>
        <v>0.21218934379651946</v>
      </c>
    </row>
    <row r="138" spans="1:29" x14ac:dyDescent="0.35">
      <c r="A138" s="13" t="s">
        <v>162</v>
      </c>
      <c r="B138" s="13" t="s">
        <v>163</v>
      </c>
      <c r="C138" s="17" t="s">
        <v>164</v>
      </c>
      <c r="D138" s="18" t="s">
        <v>21</v>
      </c>
      <c r="E138" s="18" t="s">
        <v>122</v>
      </c>
      <c r="F138" s="13" t="s">
        <v>166</v>
      </c>
      <c r="G138" s="33">
        <f>SUM(H138:X138)</f>
        <v>1.2190320725461298E-3</v>
      </c>
      <c r="H138" s="34">
        <f>'CH4 per kg feed'!G329*FCR_bonefree_incl_parents_GB-Excreted_N_after_losses_GB*Manure_repl_factor_GB*(EF_min_fert_BAT_CH4*Frac_BAT_GB+EF_min_fert_AN_CH4*Frac_AN_GB)</f>
        <v>1.7991713860196625E-4</v>
      </c>
      <c r="I138" s="34">
        <f>'CH4 per kg feed'!H329*FCR_bonefree_incl_parents_GB</f>
        <v>3.3542329761884846E-4</v>
      </c>
      <c r="J138" s="34"/>
      <c r="K138" s="34"/>
      <c r="L138" s="34">
        <f>'CH4 per kg feed'!K329*FCR_bonefree_incl_parents_GB</f>
        <v>5.1195441314509581E-5</v>
      </c>
      <c r="M138" s="34"/>
      <c r="N138" s="34">
        <f>'CH4 per kg feed'!M329*FCR_bonefree_incl_parents_GB</f>
        <v>4.5444236807463165E-7</v>
      </c>
      <c r="O138" s="34">
        <f>'CH4 per kg feed'!N329*FCR_bonefree_incl_parents_GB</f>
        <v>4.555190201391715E-5</v>
      </c>
      <c r="P138" s="34">
        <f>'CH4 per kg feed'!O329*FCR_bonefree_incl_parents_GB</f>
        <v>6.9719218565038649E-6</v>
      </c>
      <c r="Q138" s="34">
        <f>'CH4 per kg feed'!P329*FCR_bonefree_incl_parents_GB</f>
        <v>9.6419582084560931E-5</v>
      </c>
      <c r="R138" s="34">
        <f>'CH4 per kg feed'!Q329*FCR_bonefree_incl_parents_GB</f>
        <v>1.2819183416514911E-4</v>
      </c>
      <c r="W138" s="4">
        <f>Energy_stables_GB/Bonefree_outof_CW_GB*(Share_heating_GB*(Share_biofuels_GB*EF_biofuel_CH4+(1-Share_biofuels_GB)*EF_oil_CH4)+(1-Share_heating_GB)*EF_el_CH4_GB)</f>
        <v>7.8129751381509052E-5</v>
      </c>
      <c r="X138" s="12">
        <f>(Energy_slaughter_el_GB*EF_el_CH4_GB+Energy_slaughter_oil_GB*EF_oil_CH4)/Bonefree_outof_CW_GB</f>
        <v>2.9677676114109092E-4</v>
      </c>
    </row>
    <row r="139" spans="1:29" x14ac:dyDescent="0.35">
      <c r="A139" s="13" t="s">
        <v>162</v>
      </c>
      <c r="B139" s="13" t="s">
        <v>163</v>
      </c>
      <c r="C139" s="17" t="s">
        <v>164</v>
      </c>
      <c r="D139" s="18" t="s">
        <v>21</v>
      </c>
      <c r="E139" s="18" t="s">
        <v>122</v>
      </c>
      <c r="F139" s="13" t="s">
        <v>167</v>
      </c>
      <c r="G139" s="33">
        <f>SUM(H139:T139)+SUM(W139:X139)</f>
        <v>2.2013861429824129E-3</v>
      </c>
      <c r="H139" s="34"/>
      <c r="I139" s="34"/>
      <c r="J139" s="34"/>
      <c r="K139" s="34"/>
      <c r="L139" s="34"/>
      <c r="M139" s="34"/>
      <c r="N139" s="34"/>
      <c r="O139" s="34"/>
      <c r="P139" s="34"/>
      <c r="Q139" s="34"/>
      <c r="R139" s="34"/>
      <c r="T139" s="48">
        <f>SUM(U139:V139)</f>
        <v>2.2013861429824129E-3</v>
      </c>
      <c r="U139" s="64">
        <f>(Production!AB40*(Slaughter_age_GB/365)+SUM(Production!AB41:AB44))*EF_CH4_manure_GB</f>
        <v>2.2013861429824129E-3</v>
      </c>
      <c r="W139" s="4"/>
      <c r="X139" s="12"/>
    </row>
    <row r="140" spans="1:29" ht="15" thickBot="1" x14ac:dyDescent="0.4">
      <c r="A140" s="13" t="s">
        <v>162</v>
      </c>
      <c r="B140" s="13" t="s">
        <v>163</v>
      </c>
      <c r="C140" s="17" t="s">
        <v>164</v>
      </c>
      <c r="D140" s="18" t="s">
        <v>21</v>
      </c>
      <c r="E140" s="18" t="s">
        <v>122</v>
      </c>
      <c r="F140" s="35" t="s">
        <v>168</v>
      </c>
      <c r="G140" s="33">
        <f>SUM(H140:T140)+SUM(W140:X140)</f>
        <v>2.1447529971859586E-3</v>
      </c>
      <c r="H140" s="34">
        <f>'N2O per kg feed'!G329*FCR_bonefree_incl_parents_GB-Excreted_N_after_losses_GB*Manure_repl_factor_GB*(EF_min_fert_BAT_N2O*Frac_BAT_GB+EF_min_fert_AN_N2O*Frac_AN_GB)</f>
        <v>2.7732679976046195E-4</v>
      </c>
      <c r="I140" s="33">
        <f>'N2O per kg feed'!H329*FCR_bonefree_incl_parents_GB</f>
        <v>3.2296791556537795E-6</v>
      </c>
      <c r="J140" s="33">
        <f>'N2O per kg feed'!I329*FCR_bonefree_incl_parents_GB-Excreted_N_after_losses_GB*Manure_repl_factor_GB*EF_N2O_diff_GB</f>
        <v>1.54945289396307E-3</v>
      </c>
      <c r="K140" s="33">
        <f>J140*EF_indirect_N2O_GB</f>
        <v>1.5494528939630702E-4</v>
      </c>
      <c r="L140" s="33">
        <f>'N2O per kg feed'!K329*FCR_bonefree_incl_parents_GB</f>
        <v>3.119495400546685E-6</v>
      </c>
      <c r="M140" s="33"/>
      <c r="N140" s="33">
        <f>'N2O per kg feed'!M329*FCR_bonefree_incl_parents_GB</f>
        <v>7.2225904182929864E-9</v>
      </c>
      <c r="O140" s="33">
        <f>'N2O per kg feed'!N329*FCR_bonefree_incl_parents_GB</f>
        <v>3.7891403583723175E-6</v>
      </c>
      <c r="P140" s="33">
        <f>'N2O per kg feed'!O329*FCR_bonefree_incl_parents_GB</f>
        <v>0</v>
      </c>
      <c r="Q140" s="33">
        <f>'N2O per kg feed'!P329*FCR_bonefree_incl_parents_GB</f>
        <v>9.4101950046141694E-6</v>
      </c>
      <c r="R140" s="33">
        <f>'N2O per kg feed'!Q329*FCR_bonefree_incl_parents_GB</f>
        <v>6.1141407007109557E-6</v>
      </c>
      <c r="T140" s="48">
        <f>SUM(U140:V140)</f>
        <v>1.2390587072060898E-4</v>
      </c>
      <c r="U140" s="9">
        <f>Excreted_N_per_kg_of_bonefree_meat_GB*EF_N2O_manure_direct_GB*44/28</f>
        <v>4.5919975807215269E-5</v>
      </c>
      <c r="V140" s="64">
        <f>(Excreted_N_per_kg_of_bonefree_meat_GB-U140*28/44)*EF_ammonia_GB*EF_N2O_manure_indirect_GB*44/28</f>
        <v>7.7985894913393708E-5</v>
      </c>
      <c r="W140" s="4">
        <f>Energy_stables_GB/Bonefree_outof_CW_GB*(Share_heating_GB*(Share_biofuels_GB*EF_biofuel_N2O+(1-Share_biofuels_GB)*EF_oil_N2O)+(1-Share_heating_GB)*EF_el_N2O_GB)</f>
        <v>5.9138779118181782E-6</v>
      </c>
      <c r="X140" s="12">
        <f>(Energy_slaughter_el_GB*EF_el_N2O_GB+Energy_slaughter_oil_GB*EF_oil_N2O)/Bonefree_outof_CW_GB</f>
        <v>7.538392223376623E-6</v>
      </c>
    </row>
    <row r="141" spans="1:29" ht="15.5" thickTop="1" thickBot="1" x14ac:dyDescent="0.4">
      <c r="A141" s="172" t="s">
        <v>162</v>
      </c>
      <c r="B141" s="172" t="s">
        <v>163</v>
      </c>
      <c r="C141" s="173" t="s">
        <v>164</v>
      </c>
      <c r="D141" s="174" t="s">
        <v>21</v>
      </c>
      <c r="E141" s="174" t="s">
        <v>122</v>
      </c>
      <c r="F141" s="175" t="s">
        <v>169</v>
      </c>
      <c r="G141" s="186">
        <f>SUM(H141:X141)</f>
        <v>1.824872410262919</v>
      </c>
      <c r="H141" s="225">
        <f>SUMPRODUCT(H137:H140,'Parameters, general'!$B$13:$B$16)</f>
        <v>0.22131228515212539</v>
      </c>
      <c r="I141" s="176">
        <f>SUMPRODUCT(I137:I140,'Parameters, general'!$B$13:$B$16)</f>
        <v>9.0151259590037003E-2</v>
      </c>
      <c r="J141" s="176">
        <f>SUMPRODUCT(J137:J140,'Parameters, general'!$B$13:$B$16)</f>
        <v>0.42300064005191812</v>
      </c>
      <c r="K141" s="176">
        <f>SUMPRODUCT(K137:K140,'Parameters, general'!$B$13:$B$16)</f>
        <v>4.2300064005191818E-2</v>
      </c>
      <c r="L141" s="176">
        <f>SUMPRODUCT(L137:L140,'Parameters, general'!$B$13:$B$16)</f>
        <v>0.11847140855704337</v>
      </c>
      <c r="M141" s="176">
        <f>SUMPRODUCT(M137:M140,'Parameters, general'!$B$13:$B$16)</f>
        <v>0</v>
      </c>
      <c r="N141" s="176">
        <f>SUMPRODUCT(N137:N140,'Parameters, general'!$B$13:$B$16)</f>
        <v>1.9099042910991526E-4</v>
      </c>
      <c r="O141" s="176">
        <f>SUMPRODUCT(O137:O140,'Parameters, general'!$B$13:$B$16)</f>
        <v>0.11300218600527881</v>
      </c>
      <c r="P141" s="176">
        <f>SUMPRODUCT(P137:P140,'Parameters, general'!$B$13:$B$16)</f>
        <v>0.19408948992808309</v>
      </c>
      <c r="Q141" s="176">
        <f>SUMPRODUCT(Q137:Q140,'Parameters, general'!$B$13:$B$16)</f>
        <v>3.3459400372091566E-2</v>
      </c>
      <c r="R141" s="176">
        <f>SUMPRODUCT(R137:R140,'Parameters, general'!$B$13:$B$16)</f>
        <v>0.17830095846016009</v>
      </c>
      <c r="S141" s="176">
        <f>SUMPRODUCT(S137:S140,'Parameters, general'!$B$13:$B$16)</f>
        <v>0</v>
      </c>
      <c r="T141" s="176">
        <f>SUMPRODUCT(T137:T140,'Parameters, general'!$B$13:$B$16)</f>
        <v>9.3263728567251403E-2</v>
      </c>
      <c r="U141" s="177"/>
      <c r="V141" s="177"/>
      <c r="W141" s="176">
        <f>SUMPRODUCT(W137:W140,'Parameters, general'!$B$13:$B$16)</f>
        <v>9.4238726789122609E-2</v>
      </c>
      <c r="X141" s="176">
        <f>SUMPRODUCT(X137:X140,'Parameters, general'!$B$13:$B$16)</f>
        <v>0.2230912723555058</v>
      </c>
      <c r="Z141" s="115">
        <f>SUM(H141:R141)</f>
        <v>1.4142786825510392</v>
      </c>
      <c r="AA141" s="210">
        <f>'CO2 per kg feed'!F329+'CH4 per kg feed'!F329*CF_GWP_CH4_fossil+'N2O per kg feed'!F329*CF_GWP_N2O</f>
        <v>0.47164325253081341</v>
      </c>
    </row>
    <row r="142" spans="1:29" ht="15" thickTop="1" x14ac:dyDescent="0.35">
      <c r="A142" s="178" t="s">
        <v>162</v>
      </c>
      <c r="B142" s="178" t="s">
        <v>163</v>
      </c>
      <c r="C142" s="179" t="s">
        <v>164</v>
      </c>
      <c r="D142" s="163" t="s">
        <v>123</v>
      </c>
      <c r="E142" s="163" t="s">
        <v>124</v>
      </c>
      <c r="F142" s="180" t="s">
        <v>165</v>
      </c>
      <c r="G142" s="181">
        <f>SUM(H142:X142)</f>
        <v>1.2972924640616945</v>
      </c>
      <c r="H142" s="20">
        <f>'CO2 per kg feed'!G341*FCR_bonefree_incl_parents_BR-Excreted_N_after_losses_BR*Manure_repl_factor_BR*(EF_min_fert_BAT_CO2*Frac_BAT_BR+EF_min_fert_AN_CO2*Frac_AN_BR)</f>
        <v>0.13434438903863255</v>
      </c>
      <c r="I142" s="20">
        <f>'CO2 per kg feed'!H333*FCR_bonefree_incl_parents_BR</f>
        <v>8.8445737358836443E-2</v>
      </c>
      <c r="J142" s="20">
        <f>'CO2 per kg feed'!I341*FCR_bonefree_incl_parents_BR</f>
        <v>0</v>
      </c>
      <c r="K142" s="20"/>
      <c r="L142" s="20">
        <f>'CO2 per kg feed'!K341*FCR_bonefree_incl_parents_BR</f>
        <v>0.11609416216152174</v>
      </c>
      <c r="M142" s="20"/>
      <c r="N142" s="20">
        <f>'CO2 per kg feed'!M341*FCR_bonefree_incl_parents_BR</f>
        <v>1.7547627935709725E-4</v>
      </c>
      <c r="O142" s="20">
        <f>'CO2 per kg feed'!N341*FCR_bonefree_incl_parents_BR</f>
        <v>0.11061030400742843</v>
      </c>
      <c r="P142" s="20">
        <f>'CO2 per kg feed'!O341*FCR_bonefree_incl_parents_BR</f>
        <v>0.19388172665675926</v>
      </c>
      <c r="Q142" s="20">
        <f>'CO2 per kg feed'!P341*FCR_bonefree_incl_parents_BR</f>
        <v>2.8017113589711984E-2</v>
      </c>
      <c r="R142" s="20">
        <f>'CO2 per kg feed'!Q341*FCR_bonefree_incl_parents_BR</f>
        <v>0.17281168139074457</v>
      </c>
      <c r="W142" s="4">
        <f>Energy_stables_BR/Bonefree_outof_CW_BR*(Share_heating_BR*(Share_biofuels_BR*EF_biofuels_CO2+(1-Share_biofuels_BR)*EF_oil_CO2)+(1-Share_heating_BR)*EF_el_CO2_BR)</f>
        <v>7.8960931901390918E-2</v>
      </c>
      <c r="X142" s="12">
        <f>(Energy_slaughter_el_BR*EF_el_CO2_BR+Energy_slaughter_oil_BR*EF_oil_CO2)/Bonefree_outof_CW_BR</f>
        <v>0.37395094167731174</v>
      </c>
    </row>
    <row r="143" spans="1:29" x14ac:dyDescent="0.35">
      <c r="A143" s="13" t="s">
        <v>162</v>
      </c>
      <c r="B143" s="13" t="s">
        <v>163</v>
      </c>
      <c r="C143" s="17" t="s">
        <v>164</v>
      </c>
      <c r="D143" s="18" t="s">
        <v>123</v>
      </c>
      <c r="E143" s="18" t="s">
        <v>124</v>
      </c>
      <c r="F143" s="13" t="s">
        <v>166</v>
      </c>
      <c r="G143" s="33">
        <f>SUM(H143:X143)</f>
        <v>1.1640501494362379E-3</v>
      </c>
      <c r="H143" s="34">
        <f>'CH4 per kg feed'!G341*FCR_bonefree_incl_parents_BR-Excreted_N_after_losses_BR*Manure_repl_factor_BR*(EF_min_fert_BAT_CH4*Frac_BAT_BR+EF_min_fert_AN_CH4*Frac_AN_BR)</f>
        <v>1.5211960203896017E-4</v>
      </c>
      <c r="I143" s="34">
        <f>'CH4 per kg feed'!H333*FCR_bonefree_incl_parents_BR</f>
        <v>3.1119796478109121E-4</v>
      </c>
      <c r="J143" s="34"/>
      <c r="K143" s="34"/>
      <c r="L143" s="34">
        <f>'CH4 per kg feed'!K341*FCR_bonefree_incl_parents_BR</f>
        <v>5.1195441314509581E-5</v>
      </c>
      <c r="M143" s="34"/>
      <c r="N143" s="34">
        <f>'CH4 per kg feed'!M341*FCR_bonefree_incl_parents_BR</f>
        <v>4.5444236807463165E-7</v>
      </c>
      <c r="O143" s="34">
        <f>'CH4 per kg feed'!N341*FCR_bonefree_incl_parents_BR</f>
        <v>4.555190201391715E-5</v>
      </c>
      <c r="P143" s="34">
        <f>'CH4 per kg feed'!O341*FCR_bonefree_incl_parents_BR</f>
        <v>6.9719218565038649E-6</v>
      </c>
      <c r="Q143" s="34">
        <f>'CH4 per kg feed'!P341*FCR_bonefree_incl_parents_BR</f>
        <v>9.6419582084560931E-5</v>
      </c>
      <c r="R143" s="34">
        <f>'CH4 per kg feed'!Q341*FCR_bonefree_incl_parents_BR</f>
        <v>1.2819183416514911E-4</v>
      </c>
      <c r="W143" s="4">
        <f>Energy_stables_BR/Bonefree_outof_CW_BR*(Share_heating_BR*(Share_biofuels_BR*EF_biofuel_CH4+(1-Share_biofuels_BR)*EF_oil_CH4)+(1-Share_heating_BR)*EF_el_CH4_BR)</f>
        <v>1.1583932796062724E-4</v>
      </c>
      <c r="X143" s="12">
        <f>(Energy_slaughter_el_BR*EF_el_CH4_BR+Energy_slaughter_oil_BR*EF_oil_CH4)/Bonefree_outof_CW_BR</f>
        <v>2.5610813085284419E-4</v>
      </c>
    </row>
    <row r="144" spans="1:29" x14ac:dyDescent="0.35">
      <c r="A144" s="13" t="s">
        <v>162</v>
      </c>
      <c r="B144" s="13" t="s">
        <v>163</v>
      </c>
      <c r="C144" s="17" t="s">
        <v>164</v>
      </c>
      <c r="D144" s="18" t="s">
        <v>123</v>
      </c>
      <c r="E144" s="18" t="s">
        <v>124</v>
      </c>
      <c r="F144" s="13" t="s">
        <v>167</v>
      </c>
      <c r="G144" s="33">
        <f>SUM(H144:T144)+SUM(W144:X144)</f>
        <v>2.2013861429824129E-3</v>
      </c>
      <c r="H144" s="34"/>
      <c r="I144" s="34"/>
      <c r="J144" s="34"/>
      <c r="K144" s="34"/>
      <c r="L144" s="34"/>
      <c r="M144" s="34"/>
      <c r="N144" s="34"/>
      <c r="O144" s="34"/>
      <c r="P144" s="34"/>
      <c r="Q144" s="34"/>
      <c r="R144" s="34"/>
      <c r="T144" s="48">
        <f>SUM(U144:V144)</f>
        <v>2.2013861429824129E-3</v>
      </c>
      <c r="U144" s="64">
        <f>(Production!AC40*(Slaughter_age_BR/365)+SUM(Production!AC41:AC44))*EF_CH4_manure_BR</f>
        <v>2.2013861429824129E-3</v>
      </c>
      <c r="W144" s="4"/>
      <c r="X144" s="12"/>
    </row>
    <row r="145" spans="1:27" ht="15" thickBot="1" x14ac:dyDescent="0.4">
      <c r="A145" s="13" t="s">
        <v>162</v>
      </c>
      <c r="B145" s="13" t="s">
        <v>163</v>
      </c>
      <c r="C145" s="17" t="s">
        <v>164</v>
      </c>
      <c r="D145" s="18" t="s">
        <v>123</v>
      </c>
      <c r="E145" s="18" t="s">
        <v>124</v>
      </c>
      <c r="F145" s="35" t="s">
        <v>168</v>
      </c>
      <c r="G145" s="33">
        <f>SUM(H145:T145)+SUM(W145:X145)</f>
        <v>2.1402946454495259E-3</v>
      </c>
      <c r="H145" s="34">
        <f>'N2O per kg feed'!G341*FCR_bonefree_incl_parents_BR-Excreted_N_after_losses_BR*Manure_repl_factor_BR*(EF_min_fert_BAT_N2O*Frac_BAT_BR+EF_min_fert_AN_N2O*Frac_AN_BR)</f>
        <v>2.6159032925886856E-4</v>
      </c>
      <c r="I145" s="33">
        <f>'N2O per kg feed'!H333*FCR_bonefree_incl_parents_BR</f>
        <v>3.6033448553600039E-6</v>
      </c>
      <c r="J145" s="33">
        <f>'N2O per kg feed'!I341*FCR_bonefree_incl_parents_BR-Excreted_N_after_losses_BR*Manure_repl_factor_BR*EF_N2O_diff_BR</f>
        <v>1.54945289396307E-3</v>
      </c>
      <c r="K145" s="33">
        <f>J145*EF_indirect_N2O_BR</f>
        <v>1.5494528939630702E-4</v>
      </c>
      <c r="L145" s="33">
        <f>'N2O per kg feed'!K341*FCR_bonefree_incl_parents_BR</f>
        <v>3.119495400546685E-6</v>
      </c>
      <c r="M145" s="33"/>
      <c r="N145" s="33">
        <f>'N2O per kg feed'!M341*FCR_bonefree_incl_parents_BR</f>
        <v>7.2225904182929864E-9</v>
      </c>
      <c r="O145" s="33">
        <f>'N2O per kg feed'!N341*FCR_bonefree_incl_parents_BR</f>
        <v>3.7891403583723175E-6</v>
      </c>
      <c r="P145" s="33">
        <f>'N2O per kg feed'!O341*FCR_bonefree_incl_parents_BR</f>
        <v>0</v>
      </c>
      <c r="Q145" s="33">
        <f>'N2O per kg feed'!P341*FCR_bonefree_incl_parents_BR</f>
        <v>9.4101950046141694E-6</v>
      </c>
      <c r="R145" s="33">
        <f>'N2O per kg feed'!Q341*FCR_bonefree_incl_parents_BR</f>
        <v>6.1141407007109557E-6</v>
      </c>
      <c r="T145" s="48">
        <f>SUM(U145:V145)</f>
        <v>1.2390587072060898E-4</v>
      </c>
      <c r="U145" s="9">
        <f>Excreted_N_per_kg_of_bonefree_meat_BR*EF_N2O_manure_direct_BR*44/28</f>
        <v>4.5919975807215269E-5</v>
      </c>
      <c r="V145" s="64">
        <f>(Excreted_N_per_kg_of_bonefree_meat_BR-U145*28/44)*EF_ammonia_BR*EF_N2O_manure_indirect_BR*44/28</f>
        <v>7.7985894913393708E-5</v>
      </c>
      <c r="W145" s="4">
        <f>Energy_stables_BR/Bonefree_outof_CW_BR*(Share_heating_BR*(Share_biofuels_BR*EF_biofuel_N2O+(1-Share_biofuels_BR)*EF_oil_N2O)+(1-Share_heating_BR)*EF_el_N2O_BR)</f>
        <v>7.8169651681818145E-6</v>
      </c>
      <c r="X145" s="12">
        <f>(Energy_slaughter_el_BR*EF_el_N2O_BR+Energy_slaughter_oil_BR*EF_oil_N2O)/Bonefree_outof_CW_BR</f>
        <v>1.6539758032467534E-5</v>
      </c>
    </row>
    <row r="146" spans="1:27" ht="15.5" thickTop="1" thickBot="1" x14ac:dyDescent="0.4">
      <c r="A146" s="172" t="s">
        <v>162</v>
      </c>
      <c r="B146" s="172" t="s">
        <v>163</v>
      </c>
      <c r="C146" s="173" t="s">
        <v>164</v>
      </c>
      <c r="D146" s="174" t="s">
        <v>123</v>
      </c>
      <c r="E146" s="174" t="s">
        <v>124</v>
      </c>
      <c r="F146" s="175" t="s">
        <v>169</v>
      </c>
      <c r="G146" s="186">
        <f>SUM(H146:X146)</f>
        <v>1.9757190225831405</v>
      </c>
      <c r="H146" s="225">
        <f>SUMPRODUCT(H142:H145,'Parameters, general'!$B$13:$B$16)</f>
        <v>0.21029171306706468</v>
      </c>
      <c r="I146" s="176">
        <f>SUMPRODUCT(I142:I145,'Parameters, general'!$B$13:$B$16)</f>
        <v>9.8703149854826241E-2</v>
      </c>
      <c r="J146" s="176">
        <f>SUMPRODUCT(J142:J145,'Parameters, general'!$B$13:$B$16)</f>
        <v>0.42300064005191812</v>
      </c>
      <c r="K146" s="176">
        <f>SUMPRODUCT(K142:K145,'Parameters, general'!$B$13:$B$16)</f>
        <v>4.2300064005191818E-2</v>
      </c>
      <c r="L146" s="176">
        <f>SUMPRODUCT(L142:L145,'Parameters, general'!$B$13:$B$16)</f>
        <v>0.11847140855704337</v>
      </c>
      <c r="M146" s="176">
        <f>SUMPRODUCT(M142:M145,'Parameters, general'!$B$13:$B$16)</f>
        <v>0</v>
      </c>
      <c r="N146" s="176">
        <f>SUMPRODUCT(N142:N145,'Parameters, general'!$B$13:$B$16)</f>
        <v>1.9099042910991526E-4</v>
      </c>
      <c r="O146" s="176">
        <f>SUMPRODUCT(O142:O145,'Parameters, general'!$B$13:$B$16)</f>
        <v>0.11300218600527881</v>
      </c>
      <c r="P146" s="176">
        <f>SUMPRODUCT(P142:P145,'Parameters, general'!$B$13:$B$16)</f>
        <v>0.19408948992808309</v>
      </c>
      <c r="Q146" s="176">
        <f>SUMPRODUCT(Q142:Q145,'Parameters, general'!$B$13:$B$16)</f>
        <v>3.3459400372091566E-2</v>
      </c>
      <c r="R146" s="176">
        <f>SUMPRODUCT(R142:R145,'Parameters, general'!$B$13:$B$16)</f>
        <v>0.17830095846016009</v>
      </c>
      <c r="S146" s="176">
        <f>SUMPRODUCT(S142:S145,'Parameters, general'!$B$13:$B$16)</f>
        <v>0</v>
      </c>
      <c r="T146" s="176">
        <f>SUMPRODUCT(T142:T145,'Parameters, general'!$B$13:$B$16)</f>
        <v>9.3263728567251403E-2</v>
      </c>
      <c r="U146" s="177"/>
      <c r="V146" s="177"/>
      <c r="W146" s="176">
        <f>SUMPRODUCT(W142:W145,'Parameters, general'!$B$13:$B$16)</f>
        <v>8.4546975365531254E-2</v>
      </c>
      <c r="X146" s="176">
        <f>SUMPRODUCT(X142:X145,'Parameters, general'!$B$13:$B$16)</f>
        <v>0.38609831791959009</v>
      </c>
      <c r="Z146" s="115">
        <f>SUM(H146:R146)</f>
        <v>1.4118100007307677</v>
      </c>
      <c r="AA146" s="210">
        <f>'CO2 per kg feed'!F333+'CH4 per kg feed'!F333*CF_GWP_CH4_fossil+'N2O per kg feed'!F333*CF_GWP_N2O</f>
        <v>0.32901592133727731</v>
      </c>
    </row>
    <row r="147" spans="1:27" ht="15" thickTop="1" x14ac:dyDescent="0.35">
      <c r="A147" s="178" t="s">
        <v>162</v>
      </c>
      <c r="B147" s="178" t="s">
        <v>163</v>
      </c>
      <c r="C147" s="179" t="s">
        <v>164</v>
      </c>
      <c r="D147" s="163" t="s">
        <v>125</v>
      </c>
      <c r="E147" s="163" t="s">
        <v>126</v>
      </c>
      <c r="F147" s="180" t="s">
        <v>165</v>
      </c>
      <c r="G147" s="181">
        <f>SUM(H147:X147)</f>
        <v>1.349425631307839</v>
      </c>
      <c r="H147" s="20">
        <f>'CO2 per kg feed'!G353*FCR_bonefree_incl_parents_TH-Excreted_N_after_losses_TH*Manure_repl_factor_TH*(EF_min_fert_BAT_CO2*Frac_BAT_TH+EF_min_fert_AN_CO2*Frac_AN_TH)</f>
        <v>0.13434438903863255</v>
      </c>
      <c r="I147" s="20">
        <f>'CO2 per kg feed'!H337*FCR_bonefree_incl_parents_TH</f>
        <v>4.2697942173231397E-2</v>
      </c>
      <c r="J147" s="20">
        <f>'CO2 per kg feed'!I353*FCR_bonefree_incl_parents_TH</f>
        <v>0</v>
      </c>
      <c r="K147" s="20"/>
      <c r="L147" s="20">
        <f>'CO2 per kg feed'!K353*FCR_bonefree_incl_parents_TH</f>
        <v>0.11609416216152174</v>
      </c>
      <c r="M147" s="20"/>
      <c r="N147" s="20">
        <f>'CO2 per kg feed'!M353*FCR_bonefree_incl_parents_TH</f>
        <v>1.7547627935709725E-4</v>
      </c>
      <c r="O147" s="20">
        <f>'CO2 per kg feed'!N353*FCR_bonefree_incl_parents_TH</f>
        <v>0.11061030400742843</v>
      </c>
      <c r="P147" s="20">
        <f>'CO2 per kg feed'!O353*FCR_bonefree_incl_parents_TH</f>
        <v>0.19388172665675926</v>
      </c>
      <c r="Q147" s="20">
        <f>'CO2 per kg feed'!P353*FCR_bonefree_incl_parents_TH</f>
        <v>2.8017113589711984E-2</v>
      </c>
      <c r="R147" s="20">
        <f>'CO2 per kg feed'!Q353*FCR_bonefree_incl_parents_TH</f>
        <v>0.17281168139074457</v>
      </c>
      <c r="W147" s="4">
        <f>Energy_stables_TH/Bonefree_outof_CW_TH*(Share_heating_TH*(Share_biofuels_TH*EF_biofuels_CO2+(1-Share_biofuels_TH)*EF_oil_CO2)+(1-Share_heating_TH)*EF_el_CO2_TH)</f>
        <v>0.11926485760858181</v>
      </c>
      <c r="X147" s="12">
        <f>(Energy_slaughter_el_TH*EF_el_CO2_TH+Energy_slaughter_oil_TH*EF_oil_CO2)/Bonefree_outof_CW_TH</f>
        <v>0.43152797840187018</v>
      </c>
    </row>
    <row r="148" spans="1:27" x14ac:dyDescent="0.35">
      <c r="A148" s="13" t="s">
        <v>162</v>
      </c>
      <c r="B148" s="13" t="s">
        <v>163</v>
      </c>
      <c r="C148" s="17" t="s">
        <v>164</v>
      </c>
      <c r="D148" s="18" t="s">
        <v>125</v>
      </c>
      <c r="E148" s="18" t="s">
        <v>126</v>
      </c>
      <c r="F148" s="13" t="s">
        <v>166</v>
      </c>
      <c r="G148" s="33">
        <f>SUM(H148:X148)</f>
        <v>1.8170867462388453E-3</v>
      </c>
      <c r="H148" s="34">
        <f>'CH4 per kg feed'!G353*FCR_bonefree_incl_parents_TH-Excreted_N_after_losses_TH*Manure_repl_factor_TH*(EF_min_fert_BAT_CH4*Frac_BAT_TH+EF_min_fert_AN_CH4*Frac_AN_TH)</f>
        <v>1.5211960203896017E-4</v>
      </c>
      <c r="I148" s="34">
        <f>'CH4 per kg feed'!H337*FCR_bonefree_incl_parents_TH</f>
        <v>7.145239138483311E-4</v>
      </c>
      <c r="J148" s="34"/>
      <c r="K148" s="34"/>
      <c r="L148" s="34">
        <f>'CH4 per kg feed'!K353*FCR_bonefree_incl_parents_TH</f>
        <v>5.1195441314509581E-5</v>
      </c>
      <c r="M148" s="34"/>
      <c r="N148" s="34">
        <f>'CH4 per kg feed'!M353*FCR_bonefree_incl_parents_TH</f>
        <v>4.5444236807463165E-7</v>
      </c>
      <c r="O148" s="34">
        <f>'CH4 per kg feed'!N353*FCR_bonefree_incl_parents_TH</f>
        <v>4.555190201391715E-5</v>
      </c>
      <c r="P148" s="34">
        <f>'CH4 per kg feed'!O353*FCR_bonefree_incl_parents_TH</f>
        <v>6.9719218565038649E-6</v>
      </c>
      <c r="Q148" s="34">
        <f>'CH4 per kg feed'!P353*FCR_bonefree_incl_parents_TH</f>
        <v>9.6419582084560931E-5</v>
      </c>
      <c r="R148" s="34">
        <f>'CH4 per kg feed'!Q353*FCR_bonefree_incl_parents_TH</f>
        <v>1.2819183416514911E-4</v>
      </c>
      <c r="W148" s="4">
        <f>Energy_stables_TH/Bonefree_outof_CW_TH*(Share_heating_TH*(Share_biofuels_TH*EF_biofuel_CH4+(1-Share_biofuels_TH)*EF_oil_CH4)+(1-Share_heating_TH)*EF_el_CH4_TH)</f>
        <v>2.1866135938107266E-4</v>
      </c>
      <c r="X148" s="12">
        <f>(Energy_slaughter_el_TH*EF_el_CH4_TH+Energy_slaughter_oil_TH*EF_oil_CH4)/Bonefree_outof_CW_TH</f>
        <v>4.0299674716776622E-4</v>
      </c>
    </row>
    <row r="149" spans="1:27" x14ac:dyDescent="0.35">
      <c r="A149" s="13" t="s">
        <v>162</v>
      </c>
      <c r="B149" s="13" t="s">
        <v>163</v>
      </c>
      <c r="C149" s="17" t="s">
        <v>164</v>
      </c>
      <c r="D149" s="18" t="s">
        <v>125</v>
      </c>
      <c r="E149" s="18" t="s">
        <v>126</v>
      </c>
      <c r="F149" s="13" t="s">
        <v>167</v>
      </c>
      <c r="G149" s="33">
        <f>SUM(H149:T149)+SUM(W149:X149)</f>
        <v>2.2013861429824129E-3</v>
      </c>
      <c r="H149" s="34"/>
      <c r="I149" s="34"/>
      <c r="J149" s="34"/>
      <c r="K149" s="34"/>
      <c r="L149" s="34"/>
      <c r="M149" s="34"/>
      <c r="N149" s="34"/>
      <c r="O149" s="34"/>
      <c r="P149" s="34"/>
      <c r="Q149" s="34"/>
      <c r="R149" s="34"/>
      <c r="T149" s="48">
        <f>SUM(U149:V149)</f>
        <v>2.2013861429824129E-3</v>
      </c>
      <c r="U149" s="64">
        <f>(Production!AD40*(Slaughter_age_TH/365)+SUM(Production!AD41:AD44))*EF_CH4_manure_TH</f>
        <v>2.2013861429824129E-3</v>
      </c>
      <c r="W149" s="4"/>
      <c r="X149" s="12"/>
    </row>
    <row r="150" spans="1:27" ht="15" thickBot="1" x14ac:dyDescent="0.4">
      <c r="A150" s="13" t="s">
        <v>162</v>
      </c>
      <c r="B150" s="13" t="s">
        <v>163</v>
      </c>
      <c r="C150" s="17" t="s">
        <v>164</v>
      </c>
      <c r="D150" s="18" t="s">
        <v>125</v>
      </c>
      <c r="E150" s="18" t="s">
        <v>126</v>
      </c>
      <c r="F150" s="35" t="s">
        <v>168</v>
      </c>
      <c r="G150" s="33">
        <f>SUM(H150:T150)+SUM(W150:X150)</f>
        <v>2.1346554849116036E-3</v>
      </c>
      <c r="H150" s="34">
        <f>'N2O per kg feed'!G353*FCR_bonefree_incl_parents_TH-Excreted_N_after_losses_TH*Manure_repl_factor_TH*(EF_min_fert_BAT_N2O*Frac_BAT_TH+EF_min_fert_AN_N2O*Frac_AN_TH)</f>
        <v>2.6159032925886856E-4</v>
      </c>
      <c r="I150" s="33">
        <f>'N2O per kg feed'!H337*FCR_bonefree_incl_parents_TH</f>
        <v>1.7395457922427608E-6</v>
      </c>
      <c r="J150" s="33">
        <f>'N2O per kg feed'!I353*FCR_bonefree_incl_parents_TH-Excreted_N_after_losses_TH*Manure_repl_factor_TH*EF_N2O_diff_TH</f>
        <v>1.54945289396307E-3</v>
      </c>
      <c r="K150" s="33">
        <f>J150*EF_indirect_N2O_TH</f>
        <v>1.5494528939630702E-4</v>
      </c>
      <c r="L150" s="33">
        <f>'N2O per kg feed'!K353*FCR_bonefree_incl_parents_TH</f>
        <v>3.119495400546685E-6</v>
      </c>
      <c r="M150" s="33"/>
      <c r="N150" s="33">
        <f>'N2O per kg feed'!M353*FCR_bonefree_incl_parents_TH</f>
        <v>7.2225904182929864E-9</v>
      </c>
      <c r="O150" s="33">
        <f>'N2O per kg feed'!N353*FCR_bonefree_incl_parents_TH</f>
        <v>3.7891403583723175E-6</v>
      </c>
      <c r="P150" s="33">
        <f>'N2O per kg feed'!O353*FCR_bonefree_incl_parents_TH</f>
        <v>0</v>
      </c>
      <c r="Q150" s="33">
        <f>'N2O per kg feed'!P353*FCR_bonefree_incl_parents_TH</f>
        <v>9.4101950046141694E-6</v>
      </c>
      <c r="R150" s="33">
        <f>'N2O per kg feed'!Q353*FCR_bonefree_incl_parents_TH</f>
        <v>6.1141407007109557E-6</v>
      </c>
      <c r="T150" s="48">
        <f>SUM(U150:V150)</f>
        <v>1.2390587072060898E-4</v>
      </c>
      <c r="U150" s="9">
        <f>Excreted_N_per_kg_of_bonefree_meat_TH*EF_N2O_manure_direct_TH*44/28</f>
        <v>4.5919975807215269E-5</v>
      </c>
      <c r="V150" s="64">
        <f>(Excreted_N_per_kg_of_bonefree_meat_TH-U150*28/44)*EF_ammonia_TH*EF_N2O_manure_indirect_TH*44/28</f>
        <v>7.7985894913393708E-5</v>
      </c>
      <c r="W150" s="4">
        <f>Energy_stables_TH/Bonefree_outof_CW_TH*(Share_heating_TH*(Share_biofuels_TH*EF_biofuel_N2O+(1-Share_biofuels_TH)*EF_oil_N2O)+(1-Share_heating_TH)*EF_el_N2O_TH)</f>
        <v>6.2624045609090883E-6</v>
      </c>
      <c r="X150" s="12">
        <f>(Energy_slaughter_el_TH*EF_el_N2O_TH+Energy_slaughter_oil_TH*EF_oil_N2O)/Bonefree_outof_CW_TH</f>
        <v>1.4318957164935066E-5</v>
      </c>
    </row>
    <row r="151" spans="1:27" ht="15.5" thickTop="1" thickBot="1" x14ac:dyDescent="0.4">
      <c r="A151" s="172" t="s">
        <v>162</v>
      </c>
      <c r="B151" s="172" t="s">
        <v>163</v>
      </c>
      <c r="C151" s="173" t="s">
        <v>164</v>
      </c>
      <c r="D151" s="174" t="s">
        <v>125</v>
      </c>
      <c r="E151" s="174" t="s">
        <v>126</v>
      </c>
      <c r="F151" s="175" t="s">
        <v>169</v>
      </c>
      <c r="G151" s="186">
        <f>SUM(H151:X151)</f>
        <v>2.0457731895871496</v>
      </c>
      <c r="H151" s="225">
        <f>SUMPRODUCT(H147:H150,'Parameters, general'!$B$13:$B$16)</f>
        <v>0.21029171306706468</v>
      </c>
      <c r="I151" s="176">
        <f>SUMPRODUCT(I147:I150,'Parameters, general'!$B$13:$B$16)</f>
        <v>6.4465650807193936E-2</v>
      </c>
      <c r="J151" s="176">
        <f>SUMPRODUCT(J147:J150,'Parameters, general'!$B$13:$B$16)</f>
        <v>0.42300064005191812</v>
      </c>
      <c r="K151" s="176">
        <f>SUMPRODUCT(K147:K150,'Parameters, general'!$B$13:$B$16)</f>
        <v>4.2300064005191818E-2</v>
      </c>
      <c r="L151" s="176">
        <f>SUMPRODUCT(L147:L150,'Parameters, general'!$B$13:$B$16)</f>
        <v>0.11847140855704337</v>
      </c>
      <c r="M151" s="176">
        <f>SUMPRODUCT(M147:M150,'Parameters, general'!$B$13:$B$16)</f>
        <v>0</v>
      </c>
      <c r="N151" s="176">
        <f>SUMPRODUCT(N147:N150,'Parameters, general'!$B$13:$B$16)</f>
        <v>1.9099042910991526E-4</v>
      </c>
      <c r="O151" s="176">
        <f>SUMPRODUCT(O147:O150,'Parameters, general'!$B$13:$B$16)</f>
        <v>0.11300218600527881</v>
      </c>
      <c r="P151" s="176">
        <f>SUMPRODUCT(P147:P150,'Parameters, general'!$B$13:$B$16)</f>
        <v>0.19408948992808309</v>
      </c>
      <c r="Q151" s="176">
        <f>SUMPRODUCT(Q147:Q150,'Parameters, general'!$B$13:$B$16)</f>
        <v>3.3459400372091566E-2</v>
      </c>
      <c r="R151" s="176">
        <f>SUMPRODUCT(R147:R150,'Parameters, general'!$B$13:$B$16)</f>
        <v>0.17830095846016009</v>
      </c>
      <c r="S151" s="176">
        <f>SUMPRODUCT(S147:S150,'Parameters, general'!$B$13:$B$16)</f>
        <v>0</v>
      </c>
      <c r="T151" s="176">
        <f>SUMPRODUCT(T147:T150,'Parameters, general'!$B$13:$B$16)</f>
        <v>9.3263728567251403E-2</v>
      </c>
      <c r="U151" s="177"/>
      <c r="V151" s="177"/>
      <c r="W151" s="176">
        <f>SUMPRODUCT(W147:W150,'Parameters, general'!$B$13:$B$16)</f>
        <v>0.12749060256326594</v>
      </c>
      <c r="X151" s="176">
        <f>SUMPRODUCT(X147:X150,'Parameters, general'!$B$13:$B$16)</f>
        <v>0.44744635677349692</v>
      </c>
      <c r="Z151" s="115">
        <f>SUM(H151:R151)</f>
        <v>1.3775725016831355</v>
      </c>
      <c r="AA151" s="210">
        <f>'CO2 per kg feed'!F337+'CH4 per kg feed'!F337*CF_GWP_CH4_fossil+'N2O per kg feed'!F337*CF_GWP_N2O</f>
        <v>0.47266435729674461</v>
      </c>
    </row>
    <row r="152" spans="1:27" ht="15" thickTop="1" x14ac:dyDescent="0.35">
      <c r="A152" s="178" t="s">
        <v>162</v>
      </c>
      <c r="B152" s="178" t="s">
        <v>163</v>
      </c>
      <c r="C152" s="179" t="s">
        <v>164</v>
      </c>
      <c r="D152" s="163" t="s">
        <v>127</v>
      </c>
      <c r="E152" s="163" t="s">
        <v>128</v>
      </c>
      <c r="F152" s="180" t="s">
        <v>165</v>
      </c>
      <c r="G152" s="181">
        <f>SUM(H152:X152)</f>
        <v>1.3446880244442621</v>
      </c>
      <c r="H152" s="20">
        <f>'CO2 per kg feed'!G365*FCR_bonefree_incl_parents_US-Excreted_N_after_losses_US*Manure_repl_factor_US*(EF_min_fert_BAT_CO2*Frac_BAT_US+EF_min_fert_AN_CO2*Frac_AN_US)</f>
        <v>0.13434438903863255</v>
      </c>
      <c r="I152" s="20">
        <f>'CO2 per kg feed'!H341*FCR_bonefree_incl_parents_US</f>
        <v>7.9273942911501846E-2</v>
      </c>
      <c r="J152" s="20">
        <f>'CO2 per kg feed'!I365*FCR_bonefree_incl_parents_US</f>
        <v>0</v>
      </c>
      <c r="K152" s="20"/>
      <c r="L152" s="20">
        <f>'CO2 per kg feed'!K365*FCR_bonefree_incl_parents_US</f>
        <v>0.11609416216152174</v>
      </c>
      <c r="M152" s="20"/>
      <c r="N152" s="20">
        <f>'CO2 per kg feed'!M365*FCR_bonefree_incl_parents_US</f>
        <v>1.7547627935709725E-4</v>
      </c>
      <c r="O152" s="20">
        <f>'CO2 per kg feed'!N365*FCR_bonefree_incl_parents_US</f>
        <v>0.11061030400742843</v>
      </c>
      <c r="P152" s="20">
        <f>'CO2 per kg feed'!O365*FCR_bonefree_incl_parents_US</f>
        <v>0.19388172665675926</v>
      </c>
      <c r="Q152" s="20">
        <f>'CO2 per kg feed'!P365*FCR_bonefree_incl_parents_US</f>
        <v>2.8017113589711984E-2</v>
      </c>
      <c r="R152" s="20">
        <f>'CO2 per kg feed'!Q365*FCR_bonefree_incl_parents_US</f>
        <v>0.17281168139074457</v>
      </c>
      <c r="W152" s="4">
        <f>Energy_stables_US/Bonefree_outof_CW_US*(Share_heating_US*(Share_biofuels_US*EF_biofuels_CO2+(1-Share_biofuels_US)*EF_oil_CO2)+(1-Share_heating_US)*EF_el_CO2_US)</f>
        <v>0.10225337212546817</v>
      </c>
      <c r="X152" s="12">
        <f>(Energy_slaughter_el_US*EF_el_CO2_US+Energy_slaughter_oil_US*EF_oil_CO2)/Bonefree_outof_CW_US</f>
        <v>0.4072258562831364</v>
      </c>
    </row>
    <row r="153" spans="1:27" x14ac:dyDescent="0.35">
      <c r="A153" s="13" t="s">
        <v>162</v>
      </c>
      <c r="B153" s="13" t="s">
        <v>163</v>
      </c>
      <c r="C153" s="17" t="s">
        <v>164</v>
      </c>
      <c r="D153" s="18" t="s">
        <v>127</v>
      </c>
      <c r="E153" s="18" t="s">
        <v>128</v>
      </c>
      <c r="F153" s="13" t="s">
        <v>166</v>
      </c>
      <c r="G153" s="33">
        <f>SUM(H153:X153)</f>
        <v>1.151805921516552E-3</v>
      </c>
      <c r="H153" s="34">
        <f>'CH4 per kg feed'!G365*FCR_bonefree_incl_parents_US-Excreted_N_after_losses_US*Manure_repl_factor_US*(EF_min_fert_BAT_CH4*Frac_BAT_US+EF_min_fert_AN_CH4*Frac_AN_US)</f>
        <v>1.5211960203896017E-4</v>
      </c>
      <c r="I153" s="34">
        <f>'CH4 per kg feed'!H341*FCR_bonefree_incl_parents_US</f>
        <v>3.3542329761884846E-4</v>
      </c>
      <c r="J153" s="34"/>
      <c r="K153" s="34"/>
      <c r="L153" s="34">
        <f>'CH4 per kg feed'!K365*FCR_bonefree_incl_parents_US</f>
        <v>5.1195441314509581E-5</v>
      </c>
      <c r="M153" s="34"/>
      <c r="N153" s="34">
        <f>'CH4 per kg feed'!M365*FCR_bonefree_incl_parents_US</f>
        <v>4.5444236807463165E-7</v>
      </c>
      <c r="O153" s="34">
        <f>'CH4 per kg feed'!N365*FCR_bonefree_incl_parents_US</f>
        <v>4.555190201391715E-5</v>
      </c>
      <c r="P153" s="34">
        <f>'CH4 per kg feed'!O365*FCR_bonefree_incl_parents_US</f>
        <v>6.9719218565038649E-6</v>
      </c>
      <c r="Q153" s="34">
        <f>'CH4 per kg feed'!P365*FCR_bonefree_incl_parents_US</f>
        <v>9.6419582084560931E-5</v>
      </c>
      <c r="R153" s="34">
        <f>'CH4 per kg feed'!Q365*FCR_bonefree_incl_parents_US</f>
        <v>1.2819183416514911E-4</v>
      </c>
      <c r="W153" s="4">
        <f>Energy_stables_US/Bonefree_outof_CW_US*(Share_heating_US*(Share_biofuels_US*EF_biofuel_CH4+(1-Share_biofuels_US)*EF_oil_CH4)+(1-Share_heating_US)*EF_el_CH4_US)</f>
        <v>1.0082245000167997E-4</v>
      </c>
      <c r="X153" s="12">
        <f>(Energy_slaughter_el_US*EF_el_CH4_US+Energy_slaughter_oil_US*EF_oil_CH4)/Bonefree_outof_CW_US</f>
        <v>2.3465544805434808E-4</v>
      </c>
    </row>
    <row r="154" spans="1:27" x14ac:dyDescent="0.35">
      <c r="A154" s="13" t="s">
        <v>162</v>
      </c>
      <c r="B154" s="13" t="s">
        <v>163</v>
      </c>
      <c r="C154" s="17" t="s">
        <v>164</v>
      </c>
      <c r="D154" s="18" t="s">
        <v>127</v>
      </c>
      <c r="E154" s="18" t="s">
        <v>128</v>
      </c>
      <c r="F154" s="13" t="s">
        <v>167</v>
      </c>
      <c r="G154" s="33">
        <f>SUM(H154:T154)+SUM(W154:X154)</f>
        <v>2.2013861429824129E-3</v>
      </c>
      <c r="H154" s="34"/>
      <c r="I154" s="34"/>
      <c r="J154" s="34"/>
      <c r="K154" s="34"/>
      <c r="L154" s="34"/>
      <c r="M154" s="34"/>
      <c r="N154" s="34"/>
      <c r="O154" s="34"/>
      <c r="P154" s="34"/>
      <c r="Q154" s="34"/>
      <c r="R154" s="34"/>
      <c r="T154" s="48">
        <f>SUM(U154:V154)</f>
        <v>2.2013861429824129E-3</v>
      </c>
      <c r="U154" s="64">
        <f>(Production!AE40*(Slaughter_age_US/365)+SUM(Production!AE41:AE44))*EF_CH4_manure_US</f>
        <v>2.2013861429824129E-3</v>
      </c>
      <c r="W154" s="4"/>
      <c r="X154" s="12"/>
    </row>
    <row r="155" spans="1:27" ht="15" thickBot="1" x14ac:dyDescent="0.4">
      <c r="A155" s="13" t="s">
        <v>162</v>
      </c>
      <c r="B155" s="13" t="s">
        <v>163</v>
      </c>
      <c r="C155" s="17" t="s">
        <v>164</v>
      </c>
      <c r="D155" s="18" t="s">
        <v>127</v>
      </c>
      <c r="E155" s="18" t="s">
        <v>128</v>
      </c>
      <c r="F155" s="35" t="s">
        <v>168</v>
      </c>
      <c r="G155" s="33">
        <f>SUM(H155:T155)+SUM(W155:X155)</f>
        <v>2.1354821084957937E-3</v>
      </c>
      <c r="H155" s="34">
        <f>'N2O per kg feed'!G365*FCR_bonefree_incl_parents_US-Excreted_N_after_losses_US*Manure_repl_factor_US*(EF_min_fert_BAT_N2O*Frac_BAT_US+EF_min_fert_AN_N2O*Frac_AN_US)</f>
        <v>2.6159032925886856E-4</v>
      </c>
      <c r="I155" s="33">
        <f>'N2O per kg feed'!H341*FCR_bonefree_incl_parents_US</f>
        <v>3.2296791556537795E-6</v>
      </c>
      <c r="J155" s="33">
        <f>'N2O per kg feed'!I365*FCR_bonefree_incl_parents_US-Excreted_N_after_losses_US*Manure_repl_factor_US*EF_N2O_diff_US</f>
        <v>1.54945289396307E-3</v>
      </c>
      <c r="K155" s="33">
        <f>J155*EF_indirect_N2O_US</f>
        <v>1.5494528939630702E-4</v>
      </c>
      <c r="L155" s="33">
        <f>'N2O per kg feed'!K365*FCR_bonefree_incl_parents_US</f>
        <v>3.119495400546685E-6</v>
      </c>
      <c r="M155" s="33"/>
      <c r="N155" s="33">
        <f>'N2O per kg feed'!M365*FCR_bonefree_incl_parents_US</f>
        <v>7.2225904182929864E-9</v>
      </c>
      <c r="O155" s="33">
        <f>'N2O per kg feed'!N365*FCR_bonefree_incl_parents_US</f>
        <v>3.7891403583723175E-6</v>
      </c>
      <c r="P155" s="33">
        <f>'N2O per kg feed'!O365*FCR_bonefree_incl_parents_US</f>
        <v>0</v>
      </c>
      <c r="Q155" s="33">
        <f>'N2O per kg feed'!P365*FCR_bonefree_incl_parents_US</f>
        <v>9.4101950046141694E-6</v>
      </c>
      <c r="R155" s="33">
        <f>'N2O per kg feed'!Q365*FCR_bonefree_incl_parents_US</f>
        <v>6.1141407007109557E-6</v>
      </c>
      <c r="T155" s="48">
        <f>SUM(U155:V155)</f>
        <v>1.2390587072060898E-4</v>
      </c>
      <c r="U155" s="9">
        <f>Excreted_N_per_kg_of_bonefree_meat_US*EF_N2O_manure_direct_US*44/28</f>
        <v>4.5919975807215269E-5</v>
      </c>
      <c r="V155" s="64">
        <f>(Excreted_N_per_kg_of_bonefree_meat_US-U155*28/44)*EF_ammonia_US*EF_N2O_manure_indirect_US*44/28</f>
        <v>7.7985894913393708E-5</v>
      </c>
      <c r="W155" s="4">
        <f>Energy_stables_US/Bonefree_outof_CW_US*(Share_heating_US*(Share_biofuels_US*EF_biofuel_N2O+(1-Share_biofuels_US)*EF_oil_N2O)+(1-Share_heating_US)*EF_el_N2O_US)</f>
        <v>5.9891946518181791E-6</v>
      </c>
      <c r="X155" s="12">
        <f>(Energy_slaughter_el_US*EF_el_N2O_US+Energy_slaughter_oil_US*EF_oil_N2O)/Bonefree_outof_CW_US</f>
        <v>1.3928657294805196E-5</v>
      </c>
    </row>
    <row r="156" spans="1:27" ht="15.5" thickTop="1" thickBot="1" x14ac:dyDescent="0.4">
      <c r="A156" s="172" t="s">
        <v>162</v>
      </c>
      <c r="B156" s="172" t="s">
        <v>163</v>
      </c>
      <c r="C156" s="173" t="s">
        <v>164</v>
      </c>
      <c r="D156" s="174" t="s">
        <v>127</v>
      </c>
      <c r="E156" s="174" t="s">
        <v>128</v>
      </c>
      <c r="F156" s="175" t="s">
        <v>169</v>
      </c>
      <c r="G156" s="186">
        <f>SUM(H156:X156)</f>
        <v>2.0214358823853322</v>
      </c>
      <c r="H156" s="225">
        <f>SUMPRODUCT(H152:H155,'Parameters, general'!$B$13:$B$16)</f>
        <v>0.21029171306706468</v>
      </c>
      <c r="I156" s="176">
        <f>SUMPRODUCT(I152:I155,'Parameters, general'!$B$13:$B$16)</f>
        <v>9.0151259590037003E-2</v>
      </c>
      <c r="J156" s="176">
        <f>SUMPRODUCT(J152:J155,'Parameters, general'!$B$13:$B$16)</f>
        <v>0.42300064005191812</v>
      </c>
      <c r="K156" s="176">
        <f>SUMPRODUCT(K152:K155,'Parameters, general'!$B$13:$B$16)</f>
        <v>4.2300064005191818E-2</v>
      </c>
      <c r="L156" s="176">
        <f>SUMPRODUCT(L152:L155,'Parameters, general'!$B$13:$B$16)</f>
        <v>0.11847140855704337</v>
      </c>
      <c r="M156" s="176">
        <f>SUMPRODUCT(M152:M155,'Parameters, general'!$B$13:$B$16)</f>
        <v>0</v>
      </c>
      <c r="N156" s="176">
        <f>SUMPRODUCT(N152:N155,'Parameters, general'!$B$13:$B$16)</f>
        <v>1.9099042910991526E-4</v>
      </c>
      <c r="O156" s="176">
        <f>SUMPRODUCT(O152:O155,'Parameters, general'!$B$13:$B$16)</f>
        <v>0.11300218600527881</v>
      </c>
      <c r="P156" s="176">
        <f>SUMPRODUCT(P152:P155,'Parameters, general'!$B$13:$B$16)</f>
        <v>0.19408948992808309</v>
      </c>
      <c r="Q156" s="176">
        <f>SUMPRODUCT(Q152:Q155,'Parameters, general'!$B$13:$B$16)</f>
        <v>3.3459400372091566E-2</v>
      </c>
      <c r="R156" s="176">
        <f>SUMPRODUCT(R152:R155,'Parameters, general'!$B$13:$B$16)</f>
        <v>0.17830095846016009</v>
      </c>
      <c r="S156" s="176">
        <f>SUMPRODUCT(S152:S155,'Parameters, general'!$B$13:$B$16)</f>
        <v>0</v>
      </c>
      <c r="T156" s="176">
        <f>SUMPRODUCT(T152:T155,'Parameters, general'!$B$13:$B$16)</f>
        <v>9.3263728567251403E-2</v>
      </c>
      <c r="U156" s="177"/>
      <c r="V156" s="177"/>
      <c r="W156" s="176">
        <f>SUMPRODUCT(W152:W155,'Parameters, general'!$B$13:$B$16)</f>
        <v>0.10689293127546459</v>
      </c>
      <c r="X156" s="176">
        <f>SUMPRODUCT(X152:X155,'Parameters, general'!$B$13:$B$16)</f>
        <v>0.41802111207663778</v>
      </c>
      <c r="Z156" s="115">
        <f>SUM(H156:R156)</f>
        <v>1.4032581104659785</v>
      </c>
      <c r="AA156" s="210">
        <f>'CO2 per kg feed'!F341+'CH4 per kg feed'!F341*CF_GWP_CH4_fossil+'N2O per kg feed'!F341*CF_GWP_N2O</f>
        <v>0.47164325253081341</v>
      </c>
    </row>
    <row r="157" spans="1:27" ht="15" thickTop="1" x14ac:dyDescent="0.35"/>
    <row r="158" spans="1:27" x14ac:dyDescent="0.35">
      <c r="F158" s="3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G52"/>
  <sheetViews>
    <sheetView topLeftCell="A29" zoomScale="80" zoomScaleNormal="80" workbookViewId="0">
      <selection activeCell="Z48" sqref="Z48:AA48"/>
    </sheetView>
  </sheetViews>
  <sheetFormatPr defaultColWidth="8.81640625" defaultRowHeight="14.5" x14ac:dyDescent="0.35"/>
  <cols>
    <col min="1" max="1" width="28.453125" customWidth="1"/>
    <col min="2" max="28" width="8.54296875" customWidth="1"/>
  </cols>
  <sheetData>
    <row r="1" spans="1:33" x14ac:dyDescent="0.35">
      <c r="C1" s="8"/>
    </row>
    <row r="2" spans="1:33" ht="18.5" x14ac:dyDescent="0.45">
      <c r="A2" s="1" t="s">
        <v>175</v>
      </c>
      <c r="B2" s="8"/>
      <c r="C2" s="8"/>
    </row>
    <row r="4" spans="1:33" x14ac:dyDescent="0.35">
      <c r="A4" s="119" t="s">
        <v>176</v>
      </c>
      <c r="B4" s="119" t="s">
        <v>81</v>
      </c>
      <c r="C4" s="119" t="s">
        <v>83</v>
      </c>
      <c r="D4" s="119" t="s">
        <v>85</v>
      </c>
      <c r="E4" s="119" t="s">
        <v>87</v>
      </c>
      <c r="F4" s="119" t="s">
        <v>89</v>
      </c>
      <c r="G4" s="119" t="s">
        <v>170</v>
      </c>
      <c r="H4" s="119" t="s">
        <v>23</v>
      </c>
      <c r="I4" s="119" t="s">
        <v>94</v>
      </c>
      <c r="J4" s="119" t="s">
        <v>96</v>
      </c>
      <c r="K4" s="119" t="s">
        <v>31</v>
      </c>
      <c r="L4" s="119" t="s">
        <v>24</v>
      </c>
      <c r="M4" s="119" t="s">
        <v>22</v>
      </c>
      <c r="N4" s="119" t="s">
        <v>32</v>
      </c>
      <c r="O4" s="119" t="s">
        <v>27</v>
      </c>
      <c r="P4" s="119" t="s">
        <v>30</v>
      </c>
      <c r="Q4" s="119" t="s">
        <v>104</v>
      </c>
      <c r="R4" s="119" t="s">
        <v>106</v>
      </c>
      <c r="S4" s="119" t="s">
        <v>108</v>
      </c>
      <c r="T4" s="119" t="s">
        <v>20</v>
      </c>
      <c r="U4" s="119" t="s">
        <v>19</v>
      </c>
      <c r="V4" s="119" t="s">
        <v>112</v>
      </c>
      <c r="W4" s="119" t="s">
        <v>114</v>
      </c>
      <c r="X4" s="119" t="s">
        <v>174</v>
      </c>
      <c r="Y4" s="119" t="s">
        <v>118</v>
      </c>
      <c r="Z4" s="119" t="s">
        <v>28</v>
      </c>
      <c r="AA4" s="119" t="s">
        <v>25</v>
      </c>
      <c r="AB4" s="119" t="s">
        <v>21</v>
      </c>
      <c r="AC4" s="119" t="s">
        <v>123</v>
      </c>
      <c r="AD4" s="119" t="s">
        <v>125</v>
      </c>
      <c r="AE4" s="119" t="s">
        <v>127</v>
      </c>
    </row>
    <row r="5" spans="1:33" x14ac:dyDescent="0.35">
      <c r="A5" s="3" t="s">
        <v>177</v>
      </c>
      <c r="B5" s="243">
        <v>1</v>
      </c>
      <c r="C5" s="243">
        <v>1</v>
      </c>
      <c r="D5" s="243">
        <v>1</v>
      </c>
      <c r="E5" s="243">
        <v>1</v>
      </c>
      <c r="F5" s="243">
        <v>1</v>
      </c>
      <c r="G5" s="243">
        <v>1</v>
      </c>
      <c r="H5" s="243">
        <v>1</v>
      </c>
      <c r="I5" s="243">
        <v>1</v>
      </c>
      <c r="J5" s="243">
        <v>1</v>
      </c>
      <c r="K5" s="243">
        <v>1</v>
      </c>
      <c r="L5" s="243">
        <v>1</v>
      </c>
      <c r="M5" s="243">
        <v>1</v>
      </c>
      <c r="N5" s="243">
        <v>1</v>
      </c>
      <c r="O5" s="243">
        <v>1</v>
      </c>
      <c r="P5" s="243">
        <v>1</v>
      </c>
      <c r="Q5" s="243">
        <v>1</v>
      </c>
      <c r="R5" s="243">
        <v>1</v>
      </c>
      <c r="S5" s="243">
        <v>1</v>
      </c>
      <c r="T5" s="243">
        <v>1</v>
      </c>
      <c r="U5" s="243">
        <v>1</v>
      </c>
      <c r="V5" s="243">
        <v>1</v>
      </c>
      <c r="W5" s="243">
        <v>1</v>
      </c>
      <c r="X5" s="243">
        <v>1</v>
      </c>
      <c r="Y5" s="243">
        <v>1</v>
      </c>
      <c r="Z5" s="243">
        <v>1</v>
      </c>
      <c r="AA5" s="243">
        <v>1</v>
      </c>
      <c r="AB5" s="243">
        <v>1</v>
      </c>
      <c r="AC5" s="243">
        <v>1</v>
      </c>
      <c r="AD5" s="243">
        <v>1</v>
      </c>
      <c r="AE5" s="243">
        <v>1</v>
      </c>
      <c r="AF5" s="17"/>
      <c r="AG5" s="17"/>
    </row>
    <row r="6" spans="1:33" x14ac:dyDescent="0.35">
      <c r="A6" s="3" t="s">
        <v>178</v>
      </c>
      <c r="B6" s="11">
        <f>B41*(1-'Parameters, country spec'!B16/100)</f>
        <v>7.0708356313549147E-3</v>
      </c>
      <c r="C6" s="11">
        <f>C41*(1-'Parameters, country spec'!C16/100)</f>
        <v>7.0708356313549147E-3</v>
      </c>
      <c r="D6" s="11">
        <f>D41*(1-'Parameters, country spec'!D16/100)</f>
        <v>7.0708356313549147E-3</v>
      </c>
      <c r="E6" s="11">
        <f>E41*(1-'Parameters, country spec'!E16/100)</f>
        <v>7.0708356313549147E-3</v>
      </c>
      <c r="F6" s="11">
        <f>F41*(1-'Parameters, country spec'!F16/100)</f>
        <v>7.0708356313549147E-3</v>
      </c>
      <c r="G6" s="11">
        <f>G41*(1-'Parameters, country spec'!G16/100)</f>
        <v>7.0708356313549147E-3</v>
      </c>
      <c r="H6" s="11">
        <f>H41*(1-'Parameters, country spec'!H16/100)</f>
        <v>7.0708356313549147E-3</v>
      </c>
      <c r="I6" s="11">
        <f>I41*(1-'Parameters, country spec'!I16/100)</f>
        <v>7.0708356313549147E-3</v>
      </c>
      <c r="J6" s="11">
        <f>J41*(1-'Parameters, country spec'!J16/100)</f>
        <v>7.0708356313549147E-3</v>
      </c>
      <c r="K6" s="11">
        <f>K41*(1-'Parameters, country spec'!K16/100)</f>
        <v>7.1296367592663893E-3</v>
      </c>
      <c r="L6" s="11">
        <f>L41*(1-'Parameters, country spec'!L16/100)</f>
        <v>7.0708356313549147E-3</v>
      </c>
      <c r="M6" s="11">
        <f>M41*(1-'Parameters, country spec'!M16/100)</f>
        <v>7.0708356313549147E-3</v>
      </c>
      <c r="N6" s="11">
        <f>N41*(1-'Parameters, country spec'!N16/100)</f>
        <v>7.0708356313549147E-3</v>
      </c>
      <c r="O6" s="11">
        <f>O41*(1-'Parameters, country spec'!O16/100)</f>
        <v>7.0708356313549147E-3</v>
      </c>
      <c r="P6" s="11">
        <f>P41*(1-'Parameters, country spec'!P16/100)</f>
        <v>7.0708356313549147E-3</v>
      </c>
      <c r="Q6" s="11">
        <f>Q41*(1-'Parameters, country spec'!Q16/100)</f>
        <v>7.0708356313549147E-3</v>
      </c>
      <c r="R6" s="11">
        <f>R41*(1-'Parameters, country spec'!R16/100)</f>
        <v>7.0708356313549147E-3</v>
      </c>
      <c r="S6" s="11">
        <f>S41*(1-'Parameters, country spec'!S16/100)</f>
        <v>7.0708356313549147E-3</v>
      </c>
      <c r="T6" s="11">
        <f>T41*(1-'Parameters, country spec'!T16/100)</f>
        <v>7.0708356313549147E-3</v>
      </c>
      <c r="U6" s="11">
        <f>U41*(1-'Parameters, country spec'!U16/100)</f>
        <v>7.0708356313549147E-3</v>
      </c>
      <c r="V6" s="11">
        <f>V41*(1-'Parameters, country spec'!V16/100)</f>
        <v>7.0708356313549147E-3</v>
      </c>
      <c r="W6" s="11">
        <f>W41*(1-'Parameters, country spec'!W16/100)</f>
        <v>7.0708356313549147E-3</v>
      </c>
      <c r="X6" s="11">
        <f>X41*(1-'Parameters, country spec'!X16/100)</f>
        <v>7.0708356313549147E-3</v>
      </c>
      <c r="Y6" s="11">
        <f>Y41*(1-'Parameters, country spec'!Y16/100)</f>
        <v>7.0708356313549147E-3</v>
      </c>
      <c r="Z6" s="11">
        <f>Z41*(1-'Parameters, country spec'!Z16/100)</f>
        <v>7.0708356313549147E-3</v>
      </c>
      <c r="AA6" s="11">
        <f>AA41*(1-'Parameters, country spec'!AA16/100)</f>
        <v>7.0708356313549147E-3</v>
      </c>
      <c r="AB6" s="11">
        <f>AB41*(1-'Parameters, country spec'!AB16/100)</f>
        <v>7.0708356313549147E-3</v>
      </c>
      <c r="AC6" s="11">
        <f>AC41*(1-'Parameters, country spec'!AC16/100)</f>
        <v>7.0708356313549147E-3</v>
      </c>
      <c r="AD6" s="11">
        <f>AD41*(1-'Parameters, country spec'!AD16/100)</f>
        <v>7.0708356313549147E-3</v>
      </c>
      <c r="AE6" s="11">
        <f>AE41*(1-'Parameters, country spec'!AE16/100)</f>
        <v>7.0708356313549147E-3</v>
      </c>
    </row>
    <row r="7" spans="1:33" x14ac:dyDescent="0.35">
      <c r="A7" s="3" t="s">
        <v>179</v>
      </c>
      <c r="B7" s="242">
        <f>B42*(1-'Parameters, country spec'!B16/100)</f>
        <v>5.6566685050839314E-4</v>
      </c>
      <c r="C7" s="242">
        <f>C42*(1-'Parameters, country spec'!C16/100)</f>
        <v>5.6566685050839314E-4</v>
      </c>
      <c r="D7" s="242">
        <f>D42*(1-'Parameters, country spec'!D16/100)</f>
        <v>5.6566685050839314E-4</v>
      </c>
      <c r="E7" s="242">
        <f>E42*(1-'Parameters, country spec'!E16/100)</f>
        <v>5.6566685050839314E-4</v>
      </c>
      <c r="F7" s="242">
        <f>F42*(1-'Parameters, country spec'!F16/100)</f>
        <v>5.6566685050839314E-4</v>
      </c>
      <c r="G7" s="242">
        <f>G42*(1-'Parameters, country spec'!G16/100)</f>
        <v>5.6566685050839314E-4</v>
      </c>
      <c r="H7" s="242">
        <f>H42*(1-'Parameters, country spec'!H16/100)</f>
        <v>5.6566685050839314E-4</v>
      </c>
      <c r="I7" s="242">
        <f>I42*(1-'Parameters, country spec'!I16/100)</f>
        <v>5.6566685050839314E-4</v>
      </c>
      <c r="J7" s="242">
        <f>J42*(1-'Parameters, country spec'!J16/100)</f>
        <v>5.6566685050839314E-4</v>
      </c>
      <c r="K7" s="242">
        <f>K42*(1-'Parameters, country spec'!K16/100)</f>
        <v>5.7037094074131119E-4</v>
      </c>
      <c r="L7" s="242">
        <f>L42*(1-'Parameters, country spec'!L16/100)</f>
        <v>5.6566685050839314E-4</v>
      </c>
      <c r="M7" s="242">
        <f>M42*(1-'Parameters, country spec'!M16/100)</f>
        <v>5.6566685050839314E-4</v>
      </c>
      <c r="N7" s="242">
        <f>N42*(1-'Parameters, country spec'!N16/100)</f>
        <v>5.6566685050839314E-4</v>
      </c>
      <c r="O7" s="242">
        <f>O42*(1-'Parameters, country spec'!O16/100)</f>
        <v>5.6566685050839314E-4</v>
      </c>
      <c r="P7" s="242">
        <f>P42*(1-'Parameters, country spec'!P16/100)</f>
        <v>5.6566685050839314E-4</v>
      </c>
      <c r="Q7" s="242">
        <f>Q42*(1-'Parameters, country spec'!Q16/100)</f>
        <v>5.6566685050839314E-4</v>
      </c>
      <c r="R7" s="242">
        <f>R42*(1-'Parameters, country spec'!R16/100)</f>
        <v>5.6566685050839314E-4</v>
      </c>
      <c r="S7" s="242">
        <f>S42*(1-'Parameters, country spec'!S16/100)</f>
        <v>5.6566685050839314E-4</v>
      </c>
      <c r="T7" s="242">
        <f>T42*(1-'Parameters, country spec'!T16/100)</f>
        <v>5.6566685050839314E-4</v>
      </c>
      <c r="U7" s="242">
        <f>U42*(1-'Parameters, country spec'!U16/100)</f>
        <v>5.6566685050839314E-4</v>
      </c>
      <c r="V7" s="242">
        <f>V42*(1-'Parameters, country spec'!V16/100)</f>
        <v>5.6566685050839314E-4</v>
      </c>
      <c r="W7" s="242">
        <f>W42*(1-'Parameters, country spec'!W16/100)</f>
        <v>5.6566685050839314E-4</v>
      </c>
      <c r="X7" s="242">
        <f>X42*(1-'Parameters, country spec'!X16/100)</f>
        <v>5.6566685050839314E-4</v>
      </c>
      <c r="Y7" s="242">
        <f>Y42*(1-'Parameters, country spec'!Y16/100)</f>
        <v>5.6566685050839314E-4</v>
      </c>
      <c r="Z7" s="242">
        <f>Z42*(1-'Parameters, country spec'!Z16/100)</f>
        <v>5.6566685050839314E-4</v>
      </c>
      <c r="AA7" s="242">
        <f>AA42*(1-'Parameters, country spec'!AA16/100)</f>
        <v>5.6566685050839314E-4</v>
      </c>
      <c r="AB7" s="242">
        <f>AB42*(1-'Parameters, country spec'!AB16/100)</f>
        <v>5.6566685050839314E-4</v>
      </c>
      <c r="AC7" s="242">
        <f>AC42*(1-'Parameters, country spec'!AC16/100)</f>
        <v>5.6566685050839314E-4</v>
      </c>
      <c r="AD7" s="242">
        <f>AD42*(1-'Parameters, country spec'!AD16/100)</f>
        <v>5.6566685050839314E-4</v>
      </c>
      <c r="AE7" s="242">
        <f>AE42*(1-'Parameters, country spec'!AE16/100)</f>
        <v>5.6566685050839314E-4</v>
      </c>
    </row>
    <row r="8" spans="1:33" x14ac:dyDescent="0.35">
      <c r="A8" s="3" t="s">
        <v>180</v>
      </c>
      <c r="B8" s="242">
        <f>B43*(1-'Parameters, country spec'!B16/100)</f>
        <v>5.5336974506255849E-5</v>
      </c>
      <c r="C8" s="242">
        <f>C43*(1-'Parameters, country spec'!C16/100)</f>
        <v>5.5336974506255849E-5</v>
      </c>
      <c r="D8" s="242">
        <f>D43*(1-'Parameters, country spec'!D16/100)</f>
        <v>5.5336974506255849E-5</v>
      </c>
      <c r="E8" s="242">
        <f>E43*(1-'Parameters, country spec'!E16/100)</f>
        <v>5.5336974506255849E-5</v>
      </c>
      <c r="F8" s="242">
        <f>F43*(1-'Parameters, country spec'!F16/100)</f>
        <v>5.5336974506255849E-5</v>
      </c>
      <c r="G8" s="242">
        <f>G43*(1-'Parameters, country spec'!G16/100)</f>
        <v>5.5336974506255849E-5</v>
      </c>
      <c r="H8" s="242">
        <f>H43*(1-'Parameters, country spec'!H16/100)</f>
        <v>5.5336974506255849E-5</v>
      </c>
      <c r="I8" s="242">
        <f>I43*(1-'Parameters, country spec'!I16/100)</f>
        <v>5.5336974506255849E-5</v>
      </c>
      <c r="J8" s="242">
        <f>J43*(1-'Parameters, country spec'!J16/100)</f>
        <v>5.5336974506255849E-5</v>
      </c>
      <c r="K8" s="242">
        <f>K43*(1-'Parameters, country spec'!K16/100)</f>
        <v>5.5797157246432612E-5</v>
      </c>
      <c r="L8" s="242">
        <f>L43*(1-'Parameters, country spec'!L16/100)</f>
        <v>5.5336974506255849E-5</v>
      </c>
      <c r="M8" s="242">
        <f>M43*(1-'Parameters, country spec'!M16/100)</f>
        <v>5.5336974506255849E-5</v>
      </c>
      <c r="N8" s="242">
        <f>N43*(1-'Parameters, country spec'!N16/100)</f>
        <v>5.5336974506255849E-5</v>
      </c>
      <c r="O8" s="242">
        <f>O43*(1-'Parameters, country spec'!O16/100)</f>
        <v>5.5336974506255849E-5</v>
      </c>
      <c r="P8" s="242">
        <f>P43*(1-'Parameters, country spec'!P16/100)</f>
        <v>5.5336974506255849E-5</v>
      </c>
      <c r="Q8" s="242">
        <f>Q43*(1-'Parameters, country spec'!Q16/100)</f>
        <v>5.5336974506255849E-5</v>
      </c>
      <c r="R8" s="242">
        <f>R43*(1-'Parameters, country spec'!R16/100)</f>
        <v>5.5336974506255849E-5</v>
      </c>
      <c r="S8" s="242">
        <f>S43*(1-'Parameters, country spec'!S16/100)</f>
        <v>5.5336974506255849E-5</v>
      </c>
      <c r="T8" s="242">
        <f>T43*(1-'Parameters, country spec'!T16/100)</f>
        <v>5.5336974506255849E-5</v>
      </c>
      <c r="U8" s="242">
        <f>U43*(1-'Parameters, country spec'!U16/100)</f>
        <v>5.5336974506255849E-5</v>
      </c>
      <c r="V8" s="242">
        <f>V43*(1-'Parameters, country spec'!V16/100)</f>
        <v>5.5336974506255849E-5</v>
      </c>
      <c r="W8" s="242">
        <f>W43*(1-'Parameters, country spec'!W16/100)</f>
        <v>5.5336974506255849E-5</v>
      </c>
      <c r="X8" s="242">
        <f>X43*(1-'Parameters, country spec'!X16/100)</f>
        <v>5.5336974506255849E-5</v>
      </c>
      <c r="Y8" s="242">
        <f>Y43*(1-'Parameters, country spec'!Y16/100)</f>
        <v>5.5336974506255849E-5</v>
      </c>
      <c r="Z8" s="242">
        <f>Z43*(1-'Parameters, country spec'!Z16/100)</f>
        <v>5.5336974506255849E-5</v>
      </c>
      <c r="AA8" s="242">
        <f>AA43*(1-'Parameters, country spec'!AA16/100)</f>
        <v>5.5336974506255849E-5</v>
      </c>
      <c r="AB8" s="242">
        <f>AB43*(1-'Parameters, country spec'!AB16/100)</f>
        <v>5.5336974506255849E-5</v>
      </c>
      <c r="AC8" s="242">
        <f>AC43*(1-'Parameters, country spec'!AC16/100)</f>
        <v>5.5336974506255849E-5</v>
      </c>
      <c r="AD8" s="242">
        <f>AD43*(1-'Parameters, country spec'!AD16/100)</f>
        <v>5.5336974506255849E-5</v>
      </c>
      <c r="AE8" s="242">
        <f>AE43*(1-'Parameters, country spec'!AE16/100)</f>
        <v>5.5336974506255849E-5</v>
      </c>
    </row>
    <row r="9" spans="1:33" x14ac:dyDescent="0.35">
      <c r="A9" s="3" t="s">
        <v>181</v>
      </c>
      <c r="B9" s="242">
        <f>B44*(1-'Parameters, country spec'!B16/100)</f>
        <v>4.4269579605004687E-6</v>
      </c>
      <c r="C9" s="242">
        <f>C44*(1-'Parameters, country spec'!C16/100)</f>
        <v>4.4269579605004687E-6</v>
      </c>
      <c r="D9" s="242">
        <f>D44*(1-'Parameters, country spec'!D16/100)</f>
        <v>4.4269579605004687E-6</v>
      </c>
      <c r="E9" s="242">
        <f>E44*(1-'Parameters, country spec'!E16/100)</f>
        <v>4.4269579605004687E-6</v>
      </c>
      <c r="F9" s="242">
        <f>F44*(1-'Parameters, country spec'!F16/100)</f>
        <v>4.4269579605004687E-6</v>
      </c>
      <c r="G9" s="242">
        <f>G44*(1-'Parameters, country spec'!G16/100)</f>
        <v>4.4269579605004687E-6</v>
      </c>
      <c r="H9" s="242">
        <f>H44*(1-'Parameters, country spec'!H16/100)</f>
        <v>4.4269579605004687E-6</v>
      </c>
      <c r="I9" s="242">
        <f>I44*(1-'Parameters, country spec'!I16/100)</f>
        <v>4.4269579605004687E-6</v>
      </c>
      <c r="J9" s="242">
        <f>J44*(1-'Parameters, country spec'!J16/100)</f>
        <v>4.4269579605004687E-6</v>
      </c>
      <c r="K9" s="242">
        <f>K44*(1-'Parameters, country spec'!K16/100)</f>
        <v>4.4637725797146096E-6</v>
      </c>
      <c r="L9" s="242">
        <f>L44*(1-'Parameters, country spec'!L16/100)</f>
        <v>4.4269579605004687E-6</v>
      </c>
      <c r="M9" s="242">
        <f>M44*(1-'Parameters, country spec'!M16/100)</f>
        <v>4.4269579605004687E-6</v>
      </c>
      <c r="N9" s="242">
        <f>N44*(1-'Parameters, country spec'!N16/100)</f>
        <v>4.4269579605004687E-6</v>
      </c>
      <c r="O9" s="242">
        <f>O44*(1-'Parameters, country spec'!O16/100)</f>
        <v>4.4269579605004687E-6</v>
      </c>
      <c r="P9" s="242">
        <f>P44*(1-'Parameters, country spec'!P16/100)</f>
        <v>4.4269579605004687E-6</v>
      </c>
      <c r="Q9" s="242">
        <f>Q44*(1-'Parameters, country spec'!Q16/100)</f>
        <v>4.4269579605004687E-6</v>
      </c>
      <c r="R9" s="242">
        <f>R44*(1-'Parameters, country spec'!R16/100)</f>
        <v>4.4269579605004687E-6</v>
      </c>
      <c r="S9" s="242">
        <f>S44*(1-'Parameters, country spec'!S16/100)</f>
        <v>4.4269579605004687E-6</v>
      </c>
      <c r="T9" s="242">
        <f>T44*(1-'Parameters, country spec'!T16/100)</f>
        <v>4.4269579605004687E-6</v>
      </c>
      <c r="U9" s="242">
        <f>U44*(1-'Parameters, country spec'!U16/100)</f>
        <v>4.4269579605004687E-6</v>
      </c>
      <c r="V9" s="242">
        <f>V44*(1-'Parameters, country spec'!V16/100)</f>
        <v>4.4269579605004687E-6</v>
      </c>
      <c r="W9" s="242">
        <f>W44*(1-'Parameters, country spec'!W16/100)</f>
        <v>4.4269579605004687E-6</v>
      </c>
      <c r="X9" s="242">
        <f>X44*(1-'Parameters, country spec'!X16/100)</f>
        <v>4.4269579605004687E-6</v>
      </c>
      <c r="Y9" s="242">
        <f>Y44*(1-'Parameters, country spec'!Y16/100)</f>
        <v>4.4269579605004687E-6</v>
      </c>
      <c r="Z9" s="242">
        <f>Z44*(1-'Parameters, country spec'!Z16/100)</f>
        <v>4.4269579605004687E-6</v>
      </c>
      <c r="AA9" s="242">
        <f>AA44*(1-'Parameters, country spec'!AA16/100)</f>
        <v>4.4269579605004687E-6</v>
      </c>
      <c r="AB9" s="242">
        <f>AB44*(1-'Parameters, country spec'!AB16/100)</f>
        <v>4.4269579605004687E-6</v>
      </c>
      <c r="AC9" s="242">
        <f>AC44*(1-'Parameters, country spec'!AC16/100)</f>
        <v>4.4269579605004687E-6</v>
      </c>
      <c r="AD9" s="242">
        <f>AD44*(1-'Parameters, country spec'!AD16/100)</f>
        <v>4.4269579605004687E-6</v>
      </c>
      <c r="AE9" s="242">
        <f>AE44*(1-'Parameters, country spec'!AE16/100)</f>
        <v>4.4269579605004687E-6</v>
      </c>
    </row>
    <row r="10" spans="1:33" x14ac:dyDescent="0.35">
      <c r="A10" s="6" t="s">
        <v>182</v>
      </c>
      <c r="B10" s="7">
        <f>SUM(B5:B9)</f>
        <v>1.0076962664143299</v>
      </c>
      <c r="C10" s="7">
        <f>SUM(C5:C9)</f>
        <v>1.0076962664143299</v>
      </c>
      <c r="D10" s="7">
        <f>SUM(D5:D9)</f>
        <v>1.0076962664143299</v>
      </c>
      <c r="E10" s="7">
        <f>SUM(E5:E9)</f>
        <v>1.0076962664143299</v>
      </c>
      <c r="F10" s="7">
        <f t="shared" ref="F10:AB10" si="0">SUM(F5:F9)</f>
        <v>1.0076962664143299</v>
      </c>
      <c r="G10" s="7">
        <f t="shared" si="0"/>
        <v>1.0076962664143299</v>
      </c>
      <c r="H10" s="7">
        <f t="shared" si="0"/>
        <v>1.0076962664143299</v>
      </c>
      <c r="I10" s="7">
        <f t="shared" si="0"/>
        <v>1.0076962664143299</v>
      </c>
      <c r="J10" s="7">
        <f t="shared" si="0"/>
        <v>1.0076962664143299</v>
      </c>
      <c r="K10" s="7">
        <f t="shared" si="0"/>
        <v>1.0077602686298339</v>
      </c>
      <c r="L10" s="7">
        <f t="shared" si="0"/>
        <v>1.0076962664143299</v>
      </c>
      <c r="M10" s="7">
        <f t="shared" si="0"/>
        <v>1.0076962664143299</v>
      </c>
      <c r="N10" s="7">
        <f t="shared" si="0"/>
        <v>1.0076962664143299</v>
      </c>
      <c r="O10" s="7">
        <f t="shared" si="0"/>
        <v>1.0076962664143299</v>
      </c>
      <c r="P10" s="7">
        <f t="shared" si="0"/>
        <v>1.0076962664143299</v>
      </c>
      <c r="Q10" s="7">
        <f t="shared" si="0"/>
        <v>1.0076962664143299</v>
      </c>
      <c r="R10" s="7">
        <f t="shared" si="0"/>
        <v>1.0076962664143299</v>
      </c>
      <c r="S10" s="7">
        <f t="shared" si="0"/>
        <v>1.0076962664143299</v>
      </c>
      <c r="T10" s="7">
        <f t="shared" si="0"/>
        <v>1.0076962664143299</v>
      </c>
      <c r="U10" s="7">
        <f t="shared" si="0"/>
        <v>1.0076962664143299</v>
      </c>
      <c r="V10" s="7">
        <f t="shared" si="0"/>
        <v>1.0076962664143299</v>
      </c>
      <c r="W10" s="7">
        <f t="shared" si="0"/>
        <v>1.0076962664143299</v>
      </c>
      <c r="X10" s="7">
        <f t="shared" si="0"/>
        <v>1.0076962664143299</v>
      </c>
      <c r="Y10" s="7">
        <f t="shared" si="0"/>
        <v>1.0076962664143299</v>
      </c>
      <c r="Z10" s="7">
        <f t="shared" si="0"/>
        <v>1.0076962664143299</v>
      </c>
      <c r="AA10" s="7">
        <f>SUM(AA5:AA9)</f>
        <v>1.0076962664143299</v>
      </c>
      <c r="AB10" s="7">
        <f t="shared" si="0"/>
        <v>1.0076962664143299</v>
      </c>
      <c r="AC10" s="7">
        <f t="shared" ref="AC10:AE10" si="1">SUM(AC5:AC9)</f>
        <v>1.0076962664143299</v>
      </c>
      <c r="AD10" s="7">
        <f t="shared" si="1"/>
        <v>1.0076962664143299</v>
      </c>
      <c r="AE10" s="7">
        <f t="shared" si="1"/>
        <v>1.0076962664143299</v>
      </c>
    </row>
    <row r="11" spans="1:33" x14ac:dyDescent="0.35">
      <c r="A11" s="119" t="s">
        <v>183</v>
      </c>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row>
    <row r="12" spans="1:33" x14ac:dyDescent="0.35">
      <c r="A12" s="3" t="s">
        <v>177</v>
      </c>
      <c r="B12" s="11">
        <f>B5*'Parameters, country spec'!B10</f>
        <v>1.4379</v>
      </c>
      <c r="C12" s="11">
        <f>C5*'Parameters, country spec'!C10</f>
        <v>1.4379</v>
      </c>
      <c r="D12" s="11">
        <f>D5*'Parameters, country spec'!D10</f>
        <v>1.4379</v>
      </c>
      <c r="E12" s="11">
        <f>E5*'Parameters, country spec'!E10</f>
        <v>1.4379</v>
      </c>
      <c r="F12" s="11">
        <f>F5*'Parameters, country spec'!F10</f>
        <v>1.4379</v>
      </c>
      <c r="G12" s="11">
        <f>G5*'Parameters, country spec'!G10</f>
        <v>1.4379</v>
      </c>
      <c r="H12" s="11">
        <f>H5*'Parameters, country spec'!H10</f>
        <v>1.4379</v>
      </c>
      <c r="I12" s="11">
        <f>I5*'Parameters, country spec'!I10</f>
        <v>1.4379</v>
      </c>
      <c r="J12" s="11">
        <f>J5*'Parameters, country spec'!J10</f>
        <v>1.4379</v>
      </c>
      <c r="K12" s="11">
        <f>K5*'Parameters, country spec'!K10</f>
        <v>1.4379</v>
      </c>
      <c r="L12" s="11">
        <f>L5*'Parameters, country spec'!L10</f>
        <v>1.4379</v>
      </c>
      <c r="M12" s="11">
        <f>M5*'Parameters, country spec'!M10</f>
        <v>1.4379</v>
      </c>
      <c r="N12" s="11">
        <f>N5*'Parameters, country spec'!N10</f>
        <v>1.4379</v>
      </c>
      <c r="O12" s="11">
        <f>O5*'Parameters, country spec'!O10</f>
        <v>1.4379</v>
      </c>
      <c r="P12" s="11">
        <f>P5*'Parameters, country spec'!P10</f>
        <v>1.4379</v>
      </c>
      <c r="Q12" s="11">
        <f>Q5*'Parameters, country spec'!Q10</f>
        <v>1.4379</v>
      </c>
      <c r="R12" s="11">
        <f>R5*'Parameters, country spec'!R10</f>
        <v>1.4379</v>
      </c>
      <c r="S12" s="11">
        <f>S5*'Parameters, country spec'!S10</f>
        <v>1.4379</v>
      </c>
      <c r="T12" s="11">
        <f>T5*'Parameters, country spec'!T10</f>
        <v>1.4379</v>
      </c>
      <c r="U12" s="11">
        <f>U5*'Parameters, country spec'!U10</f>
        <v>1.4379</v>
      </c>
      <c r="V12" s="11">
        <f>V5*'Parameters, country spec'!V10</f>
        <v>1.4379</v>
      </c>
      <c r="W12" s="11">
        <f>W5*'Parameters, country spec'!W10</f>
        <v>1.4379</v>
      </c>
      <c r="X12" s="11">
        <f>X5*'Parameters, country spec'!X10</f>
        <v>1.4379</v>
      </c>
      <c r="Y12" s="11">
        <f>Y5*'Parameters, country spec'!Y10</f>
        <v>1.4379</v>
      </c>
      <c r="Z12" s="11">
        <f>Z5*'Parameters, country spec'!Z10</f>
        <v>1.4379</v>
      </c>
      <c r="AA12" s="11">
        <f>AA5*'Parameters, country spec'!AA10</f>
        <v>1.4379</v>
      </c>
      <c r="AB12" s="11">
        <f>AB5*'Parameters, country spec'!AB10</f>
        <v>1.4379</v>
      </c>
      <c r="AC12" s="11">
        <f>AC5*'Parameters, country spec'!AC10</f>
        <v>1.4379</v>
      </c>
      <c r="AD12" s="11">
        <f>AD5*'Parameters, country spec'!AD10</f>
        <v>1.4379</v>
      </c>
      <c r="AE12" s="11">
        <f>AE5*'Parameters, country spec'!AE10</f>
        <v>1.4379</v>
      </c>
    </row>
    <row r="13" spans="1:33" x14ac:dyDescent="0.35">
      <c r="A13" s="3" t="s">
        <v>178</v>
      </c>
      <c r="B13" s="11">
        <f>B6*'Parameters, country spec'!B11</f>
        <v>3.0404593214826133E-2</v>
      </c>
      <c r="C13" s="11">
        <f>C6*'Parameters, country spec'!C11</f>
        <v>3.0404593214826133E-2</v>
      </c>
      <c r="D13" s="11">
        <f>D6*'Parameters, country spec'!D11</f>
        <v>3.0404593214826133E-2</v>
      </c>
      <c r="E13" s="11">
        <f>E6*'Parameters, country spec'!E11</f>
        <v>3.0404593214826133E-2</v>
      </c>
      <c r="F13" s="11">
        <f>F6*'Parameters, country spec'!F11</f>
        <v>3.0404593214826133E-2</v>
      </c>
      <c r="G13" s="11">
        <f>G6*'Parameters, country spec'!G11</f>
        <v>3.0404593214826133E-2</v>
      </c>
      <c r="H13" s="11">
        <f>H6*'Parameters, country spec'!H11</f>
        <v>3.0404593214826133E-2</v>
      </c>
      <c r="I13" s="11">
        <f>I6*'Parameters, country spec'!I11</f>
        <v>3.0404593214826133E-2</v>
      </c>
      <c r="J13" s="11">
        <f>J6*'Parameters, country spec'!J11</f>
        <v>3.0404593214826133E-2</v>
      </c>
      <c r="K13" s="11">
        <f>K6*'Parameters, country spec'!K11</f>
        <v>3.4935220120405307E-2</v>
      </c>
      <c r="L13" s="11">
        <f>L6*'Parameters, country spec'!L11</f>
        <v>3.0404593214826133E-2</v>
      </c>
      <c r="M13" s="11">
        <f>M6*'Parameters, country spec'!M11</f>
        <v>3.0404593214826133E-2</v>
      </c>
      <c r="N13" s="11">
        <f>N6*'Parameters, country spec'!N11</f>
        <v>3.0404593214826133E-2</v>
      </c>
      <c r="O13" s="11">
        <f>O6*'Parameters, country spec'!O11</f>
        <v>3.0404593214826133E-2</v>
      </c>
      <c r="P13" s="11">
        <f>P6*'Parameters, country spec'!P11</f>
        <v>3.0404593214826133E-2</v>
      </c>
      <c r="Q13" s="11">
        <f>Q6*'Parameters, country spec'!Q11</f>
        <v>3.0404593214826133E-2</v>
      </c>
      <c r="R13" s="11">
        <f>R6*'Parameters, country spec'!R11</f>
        <v>3.0404593214826133E-2</v>
      </c>
      <c r="S13" s="11">
        <f>S6*'Parameters, country spec'!S11</f>
        <v>3.0404593214826133E-2</v>
      </c>
      <c r="T13" s="11">
        <f>T6*'Parameters, country spec'!T11</f>
        <v>3.0404593214826133E-2</v>
      </c>
      <c r="U13" s="11">
        <f>U6*'Parameters, country spec'!U11</f>
        <v>3.0404593214826133E-2</v>
      </c>
      <c r="V13" s="11">
        <f>V6*'Parameters, country spec'!V11</f>
        <v>3.0404593214826133E-2</v>
      </c>
      <c r="W13" s="11">
        <f>W6*'Parameters, country spec'!W11</f>
        <v>3.0404593214826133E-2</v>
      </c>
      <c r="X13" s="11">
        <f>X6*'Parameters, country spec'!X11</f>
        <v>3.0404593214826133E-2</v>
      </c>
      <c r="Y13" s="11">
        <f>Y6*'Parameters, country spec'!Y11</f>
        <v>3.0404593214826133E-2</v>
      </c>
      <c r="Z13" s="11">
        <f>Z6*'Parameters, country spec'!Z11</f>
        <v>3.0404593214826133E-2</v>
      </c>
      <c r="AA13" s="11">
        <f>AA6*'Parameters, country spec'!AA11</f>
        <v>3.0404593214826133E-2</v>
      </c>
      <c r="AB13" s="11">
        <f>AB6*'Parameters, country spec'!AB11</f>
        <v>3.0404593214826133E-2</v>
      </c>
      <c r="AC13" s="11">
        <f>AC6*'Parameters, country spec'!AC11</f>
        <v>3.0404593214826133E-2</v>
      </c>
      <c r="AD13" s="11">
        <f>AD6*'Parameters, country spec'!AD11</f>
        <v>3.0404593214826133E-2</v>
      </c>
      <c r="AE13" s="11">
        <f>AE6*'Parameters, country spec'!AE11</f>
        <v>3.0404593214826133E-2</v>
      </c>
    </row>
    <row r="14" spans="1:33" x14ac:dyDescent="0.35">
      <c r="A14" s="3" t="s">
        <v>179</v>
      </c>
      <c r="B14" s="242">
        <f>B7*'Parameters, country spec'!B12</f>
        <v>2.8283342525419657E-3</v>
      </c>
      <c r="C14" s="242">
        <f>C7*'Parameters, country spec'!C12</f>
        <v>2.8283342525419657E-3</v>
      </c>
      <c r="D14" s="242">
        <f>D7*'Parameters, country spec'!D12</f>
        <v>2.8283342525419657E-3</v>
      </c>
      <c r="E14" s="242">
        <f>E7*'Parameters, country spec'!E12</f>
        <v>2.8283342525419657E-3</v>
      </c>
      <c r="F14" s="242">
        <f>F7*'Parameters, country spec'!F12</f>
        <v>2.8283342525419657E-3</v>
      </c>
      <c r="G14" s="242">
        <f>G7*'Parameters, country spec'!G12</f>
        <v>2.8283342525419657E-3</v>
      </c>
      <c r="H14" s="242">
        <f>H7*'Parameters, country spec'!H12</f>
        <v>2.8283342525419657E-3</v>
      </c>
      <c r="I14" s="242">
        <f>I7*'Parameters, country spec'!I12</f>
        <v>2.8283342525419657E-3</v>
      </c>
      <c r="J14" s="242">
        <f>J7*'Parameters, country spec'!J12</f>
        <v>2.8283342525419657E-3</v>
      </c>
      <c r="K14" s="242">
        <f>K7*'Parameters, country spec'!K12</f>
        <v>2.8518547037065557E-3</v>
      </c>
      <c r="L14" s="242">
        <f>L7*'Parameters, country spec'!L12</f>
        <v>2.8283342525419657E-3</v>
      </c>
      <c r="M14" s="242">
        <f>M7*'Parameters, country spec'!M12</f>
        <v>2.8283342525419657E-3</v>
      </c>
      <c r="N14" s="242">
        <f>N7*'Parameters, country spec'!N12</f>
        <v>2.8283342525419657E-3</v>
      </c>
      <c r="O14" s="242">
        <f>O7*'Parameters, country spec'!O12</f>
        <v>2.8283342525419657E-3</v>
      </c>
      <c r="P14" s="242">
        <f>P7*'Parameters, country spec'!P12</f>
        <v>2.8283342525419657E-3</v>
      </c>
      <c r="Q14" s="242">
        <f>Q7*'Parameters, country spec'!Q12</f>
        <v>2.8283342525419657E-3</v>
      </c>
      <c r="R14" s="242">
        <f>R7*'Parameters, country spec'!R12</f>
        <v>2.8283342525419657E-3</v>
      </c>
      <c r="S14" s="242">
        <f>S7*'Parameters, country spec'!S12</f>
        <v>2.8283342525419657E-3</v>
      </c>
      <c r="T14" s="242">
        <f>T7*'Parameters, country spec'!T12</f>
        <v>2.8283342525419657E-3</v>
      </c>
      <c r="U14" s="242">
        <f>U7*'Parameters, country spec'!U12</f>
        <v>2.8283342525419657E-3</v>
      </c>
      <c r="V14" s="242">
        <f>V7*'Parameters, country spec'!V12</f>
        <v>2.8283342525419657E-3</v>
      </c>
      <c r="W14" s="242">
        <f>W7*'Parameters, country spec'!W12</f>
        <v>2.8283342525419657E-3</v>
      </c>
      <c r="X14" s="242">
        <f>X7*'Parameters, country spec'!X12</f>
        <v>2.8283342525419657E-3</v>
      </c>
      <c r="Y14" s="242">
        <f>Y7*'Parameters, country spec'!Y12</f>
        <v>2.8283342525419657E-3</v>
      </c>
      <c r="Z14" s="242">
        <f>Z7*'Parameters, country spec'!Z12</f>
        <v>2.8283342525419657E-3</v>
      </c>
      <c r="AA14" s="242">
        <f>AA7*'Parameters, country spec'!AA12</f>
        <v>2.8283342525419657E-3</v>
      </c>
      <c r="AB14" s="242">
        <f>AB7*'Parameters, country spec'!AB12</f>
        <v>2.8283342525419657E-3</v>
      </c>
      <c r="AC14" s="242">
        <f>AC7*'Parameters, country spec'!AC12</f>
        <v>2.8283342525419657E-3</v>
      </c>
      <c r="AD14" s="242">
        <f>AD7*'Parameters, country spec'!AD12</f>
        <v>2.8283342525419657E-3</v>
      </c>
      <c r="AE14" s="242">
        <f>AE7*'Parameters, country spec'!AE12</f>
        <v>2.8283342525419657E-3</v>
      </c>
    </row>
    <row r="15" spans="1:33" x14ac:dyDescent="0.35">
      <c r="A15" s="3" t="s">
        <v>180</v>
      </c>
      <c r="B15" s="242">
        <f>B8*'Parameters, country spec'!B11</f>
        <v>2.3794899037690015E-4</v>
      </c>
      <c r="C15" s="242">
        <f>C8*'Parameters, country spec'!C11</f>
        <v>2.3794899037690015E-4</v>
      </c>
      <c r="D15" s="242">
        <f>D8*'Parameters, country spec'!D11</f>
        <v>2.3794899037690015E-4</v>
      </c>
      <c r="E15" s="242">
        <f>E8*'Parameters, country spec'!E11</f>
        <v>2.3794899037690015E-4</v>
      </c>
      <c r="F15" s="242">
        <f>F8*'Parameters, country spec'!F11</f>
        <v>2.3794899037690015E-4</v>
      </c>
      <c r="G15" s="242">
        <f>G8*'Parameters, country spec'!G11</f>
        <v>2.3794899037690015E-4</v>
      </c>
      <c r="H15" s="242">
        <f>H8*'Parameters, country spec'!H11</f>
        <v>2.3794899037690015E-4</v>
      </c>
      <c r="I15" s="242">
        <f>I8*'Parameters, country spec'!I11</f>
        <v>2.3794899037690015E-4</v>
      </c>
      <c r="J15" s="242">
        <f>J8*'Parameters, country spec'!J11</f>
        <v>2.3794899037690015E-4</v>
      </c>
      <c r="K15" s="242">
        <f>K8*'Parameters, country spec'!K11</f>
        <v>2.7340607050751982E-4</v>
      </c>
      <c r="L15" s="242">
        <f>L8*'Parameters, country spec'!L11</f>
        <v>2.3794899037690015E-4</v>
      </c>
      <c r="M15" s="242">
        <f>M8*'Parameters, country spec'!M11</f>
        <v>2.3794899037690015E-4</v>
      </c>
      <c r="N15" s="242">
        <f>N8*'Parameters, country spec'!N11</f>
        <v>2.3794899037690015E-4</v>
      </c>
      <c r="O15" s="242">
        <f>O8*'Parameters, country spec'!O11</f>
        <v>2.3794899037690015E-4</v>
      </c>
      <c r="P15" s="242">
        <f>P8*'Parameters, country spec'!P11</f>
        <v>2.3794899037690015E-4</v>
      </c>
      <c r="Q15" s="242">
        <f>Q8*'Parameters, country spec'!Q11</f>
        <v>2.3794899037690015E-4</v>
      </c>
      <c r="R15" s="242">
        <f>R8*'Parameters, country spec'!R11</f>
        <v>2.3794899037690015E-4</v>
      </c>
      <c r="S15" s="242">
        <f>S8*'Parameters, country spec'!S11</f>
        <v>2.3794899037690015E-4</v>
      </c>
      <c r="T15" s="242">
        <f>T8*'Parameters, country spec'!T11</f>
        <v>2.3794899037690015E-4</v>
      </c>
      <c r="U15" s="242">
        <f>U8*'Parameters, country spec'!U11</f>
        <v>2.3794899037690015E-4</v>
      </c>
      <c r="V15" s="242">
        <f>V8*'Parameters, country spec'!V11</f>
        <v>2.3794899037690015E-4</v>
      </c>
      <c r="W15" s="242">
        <f>W8*'Parameters, country spec'!W11</f>
        <v>2.3794899037690015E-4</v>
      </c>
      <c r="X15" s="242">
        <f>X8*'Parameters, country spec'!X11</f>
        <v>2.3794899037690015E-4</v>
      </c>
      <c r="Y15" s="242">
        <f>Y8*'Parameters, country spec'!Y11</f>
        <v>2.3794899037690015E-4</v>
      </c>
      <c r="Z15" s="242">
        <f>Z8*'Parameters, country spec'!Z11</f>
        <v>2.3794899037690015E-4</v>
      </c>
      <c r="AA15" s="242">
        <f>AA8*'Parameters, country spec'!AA11</f>
        <v>2.3794899037690015E-4</v>
      </c>
      <c r="AB15" s="242">
        <f>AB8*'Parameters, country spec'!AB11</f>
        <v>2.3794899037690015E-4</v>
      </c>
      <c r="AC15" s="242">
        <f>AC8*'Parameters, country spec'!AC11</f>
        <v>2.3794899037690015E-4</v>
      </c>
      <c r="AD15" s="242">
        <f>AD8*'Parameters, country spec'!AD11</f>
        <v>2.3794899037690015E-4</v>
      </c>
      <c r="AE15" s="242">
        <f>AE8*'Parameters, country spec'!AE11</f>
        <v>2.3794899037690015E-4</v>
      </c>
    </row>
    <row r="16" spans="1:33" x14ac:dyDescent="0.35">
      <c r="A16" s="3" t="s">
        <v>181</v>
      </c>
      <c r="B16" s="242">
        <f>B9*'Parameters, country spec'!B12</f>
        <v>2.2134789802502345E-5</v>
      </c>
      <c r="C16" s="242">
        <f>C9*'Parameters, country spec'!C12</f>
        <v>2.2134789802502345E-5</v>
      </c>
      <c r="D16" s="242">
        <f>D9*'Parameters, country spec'!D12</f>
        <v>2.2134789802502345E-5</v>
      </c>
      <c r="E16" s="242">
        <f>E9*'Parameters, country spec'!E12</f>
        <v>2.2134789802502345E-5</v>
      </c>
      <c r="F16" s="242">
        <f>F9*'Parameters, country spec'!F12</f>
        <v>2.2134789802502345E-5</v>
      </c>
      <c r="G16" s="242">
        <f>G9*'Parameters, country spec'!G12</f>
        <v>2.2134789802502345E-5</v>
      </c>
      <c r="H16" s="242">
        <f>H9*'Parameters, country spec'!H12</f>
        <v>2.2134789802502345E-5</v>
      </c>
      <c r="I16" s="242">
        <f>I9*'Parameters, country spec'!I12</f>
        <v>2.2134789802502345E-5</v>
      </c>
      <c r="J16" s="242">
        <f>J9*'Parameters, country spec'!J12</f>
        <v>2.2134789802502345E-5</v>
      </c>
      <c r="K16" s="242">
        <f>K9*'Parameters, country spec'!K12</f>
        <v>2.2318862898573049E-5</v>
      </c>
      <c r="L16" s="242">
        <f>L9*'Parameters, country spec'!L12</f>
        <v>2.2134789802502345E-5</v>
      </c>
      <c r="M16" s="242">
        <f>M9*'Parameters, country spec'!M12</f>
        <v>2.2134789802502345E-5</v>
      </c>
      <c r="N16" s="242">
        <f>N9*'Parameters, country spec'!N12</f>
        <v>2.2134789802502345E-5</v>
      </c>
      <c r="O16" s="242">
        <f>O9*'Parameters, country spec'!O12</f>
        <v>2.2134789802502345E-5</v>
      </c>
      <c r="P16" s="242">
        <f>P9*'Parameters, country spec'!P12</f>
        <v>2.2134789802502345E-5</v>
      </c>
      <c r="Q16" s="242">
        <f>Q9*'Parameters, country spec'!Q12</f>
        <v>2.2134789802502345E-5</v>
      </c>
      <c r="R16" s="242">
        <f>R9*'Parameters, country spec'!R12</f>
        <v>2.2134789802502345E-5</v>
      </c>
      <c r="S16" s="242">
        <f>S9*'Parameters, country spec'!S12</f>
        <v>2.2134789802502345E-5</v>
      </c>
      <c r="T16" s="242">
        <f>T9*'Parameters, country spec'!T12</f>
        <v>2.2134789802502345E-5</v>
      </c>
      <c r="U16" s="242">
        <f>U9*'Parameters, country spec'!U12</f>
        <v>2.2134789802502345E-5</v>
      </c>
      <c r="V16" s="242">
        <f>V9*'Parameters, country spec'!V12</f>
        <v>2.2134789802502345E-5</v>
      </c>
      <c r="W16" s="242">
        <f>W9*'Parameters, country spec'!W12</f>
        <v>2.2134789802502345E-5</v>
      </c>
      <c r="X16" s="242">
        <f>X9*'Parameters, country spec'!X12</f>
        <v>2.2134789802502345E-5</v>
      </c>
      <c r="Y16" s="242">
        <f>Y9*'Parameters, country spec'!Y12</f>
        <v>2.2134789802502345E-5</v>
      </c>
      <c r="Z16" s="242">
        <f>Z9*'Parameters, country spec'!Z12</f>
        <v>2.2134789802502345E-5</v>
      </c>
      <c r="AA16" s="242">
        <f>AA9*'Parameters, country spec'!AA12</f>
        <v>2.2134789802502345E-5</v>
      </c>
      <c r="AB16" s="242">
        <f>AB9*'Parameters, country spec'!AB12</f>
        <v>2.2134789802502345E-5</v>
      </c>
      <c r="AC16" s="242">
        <f>AC9*'Parameters, country spec'!AC12</f>
        <v>2.2134789802502345E-5</v>
      </c>
      <c r="AD16" s="242">
        <f>AD9*'Parameters, country spec'!AD12</f>
        <v>2.2134789802502345E-5</v>
      </c>
      <c r="AE16" s="242">
        <f>AE9*'Parameters, country spec'!AE12</f>
        <v>2.2134789802502345E-5</v>
      </c>
    </row>
    <row r="17" spans="1:31" x14ac:dyDescent="0.35">
      <c r="A17" s="6" t="s">
        <v>182</v>
      </c>
      <c r="B17" s="7">
        <f>SUM(B12:B16)</f>
        <v>1.4713930112475473</v>
      </c>
      <c r="C17" s="7">
        <f>SUM(C12:C16)</f>
        <v>1.4713930112475473</v>
      </c>
      <c r="D17" s="7">
        <f>SUM(D12:D16)</f>
        <v>1.4713930112475473</v>
      </c>
      <c r="E17" s="7">
        <f>SUM(E12:E16)</f>
        <v>1.4713930112475473</v>
      </c>
      <c r="F17" s="7">
        <f t="shared" ref="F17:AB17" si="2">SUM(F12:F16)</f>
        <v>1.4713930112475473</v>
      </c>
      <c r="G17" s="7">
        <f t="shared" si="2"/>
        <v>1.4713930112475473</v>
      </c>
      <c r="H17" s="7">
        <f t="shared" si="2"/>
        <v>1.4713930112475473</v>
      </c>
      <c r="I17" s="7">
        <f t="shared" si="2"/>
        <v>1.4713930112475473</v>
      </c>
      <c r="J17" s="7">
        <f t="shared" si="2"/>
        <v>1.4713930112475473</v>
      </c>
      <c r="K17" s="7">
        <f t="shared" si="2"/>
        <v>1.4759827997575179</v>
      </c>
      <c r="L17" s="7">
        <f t="shared" si="2"/>
        <v>1.4713930112475473</v>
      </c>
      <c r="M17" s="7">
        <f t="shared" si="2"/>
        <v>1.4713930112475473</v>
      </c>
      <c r="N17" s="7">
        <f t="shared" si="2"/>
        <v>1.4713930112475473</v>
      </c>
      <c r="O17" s="7">
        <f t="shared" si="2"/>
        <v>1.4713930112475473</v>
      </c>
      <c r="P17" s="7">
        <f t="shared" si="2"/>
        <v>1.4713930112475473</v>
      </c>
      <c r="Q17" s="7">
        <f t="shared" si="2"/>
        <v>1.4713930112475473</v>
      </c>
      <c r="R17" s="7">
        <f t="shared" si="2"/>
        <v>1.4713930112475473</v>
      </c>
      <c r="S17" s="7">
        <f t="shared" si="2"/>
        <v>1.4713930112475473</v>
      </c>
      <c r="T17" s="7">
        <f t="shared" si="2"/>
        <v>1.4713930112475473</v>
      </c>
      <c r="U17" s="7">
        <f t="shared" si="2"/>
        <v>1.4713930112475473</v>
      </c>
      <c r="V17" s="7">
        <f t="shared" si="2"/>
        <v>1.4713930112475473</v>
      </c>
      <c r="W17" s="7">
        <f t="shared" si="2"/>
        <v>1.4713930112475473</v>
      </c>
      <c r="X17" s="7">
        <f t="shared" si="2"/>
        <v>1.4713930112475473</v>
      </c>
      <c r="Y17" s="7">
        <f t="shared" si="2"/>
        <v>1.4713930112475473</v>
      </c>
      <c r="Z17" s="7">
        <f t="shared" si="2"/>
        <v>1.4713930112475473</v>
      </c>
      <c r="AA17" s="7">
        <f>SUM(AA12:AA16)</f>
        <v>1.4713930112475473</v>
      </c>
      <c r="AB17" s="7">
        <f t="shared" si="2"/>
        <v>1.4713930112475473</v>
      </c>
      <c r="AC17" s="7">
        <f t="shared" ref="AC17:AE17" si="3">SUM(AC12:AC16)</f>
        <v>1.4713930112475473</v>
      </c>
      <c r="AD17" s="7">
        <f t="shared" si="3"/>
        <v>1.4713930112475473</v>
      </c>
      <c r="AE17" s="7">
        <f t="shared" si="3"/>
        <v>1.4713930112475473</v>
      </c>
    </row>
    <row r="18" spans="1:31" x14ac:dyDescent="0.35">
      <c r="A18" s="119" t="s">
        <v>184</v>
      </c>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row>
    <row r="19" spans="1:31" x14ac:dyDescent="0.35">
      <c r="A19" s="3" t="s">
        <v>177</v>
      </c>
      <c r="B19" s="11">
        <f>B12*'Parameters, country spec'!B9</f>
        <v>1.107183</v>
      </c>
      <c r="C19" s="11">
        <f>C12*'Parameters, country spec'!C9</f>
        <v>1.107183</v>
      </c>
      <c r="D19" s="11">
        <f>D12*'Parameters, country spec'!D9</f>
        <v>1.107183</v>
      </c>
      <c r="E19" s="11">
        <f>E12*'Parameters, country spec'!E9</f>
        <v>1.107183</v>
      </c>
      <c r="F19" s="11">
        <f>F12*'Parameters, country spec'!F9</f>
        <v>1.107183</v>
      </c>
      <c r="G19" s="11">
        <f>G12*'Parameters, country spec'!G9</f>
        <v>1.107183</v>
      </c>
      <c r="H19" s="11">
        <f>H12*'Parameters, country spec'!H9</f>
        <v>1.107183</v>
      </c>
      <c r="I19" s="11">
        <f>I12*'Parameters, country spec'!I9</f>
        <v>1.107183</v>
      </c>
      <c r="J19" s="11">
        <f>J12*'Parameters, country spec'!J9</f>
        <v>1.107183</v>
      </c>
      <c r="K19" s="11">
        <f>K12*'Parameters, country spec'!K9</f>
        <v>1.107183</v>
      </c>
      <c r="L19" s="11">
        <f>L12*'Parameters, country spec'!L9</f>
        <v>1.107183</v>
      </c>
      <c r="M19" s="11">
        <f>M12*'Parameters, country spec'!M9</f>
        <v>1.107183</v>
      </c>
      <c r="N19" s="11">
        <f>N12*'Parameters, country spec'!N9</f>
        <v>1.107183</v>
      </c>
      <c r="O19" s="11">
        <f>O12*'Parameters, country spec'!O9</f>
        <v>1.107183</v>
      </c>
      <c r="P19" s="11">
        <f>P12*'Parameters, country spec'!P9</f>
        <v>1.107183</v>
      </c>
      <c r="Q19" s="11">
        <f>Q12*'Parameters, country spec'!Q9</f>
        <v>1.107183</v>
      </c>
      <c r="R19" s="11">
        <f>R12*'Parameters, country spec'!R9</f>
        <v>1.107183</v>
      </c>
      <c r="S19" s="11">
        <f>S12*'Parameters, country spec'!S9</f>
        <v>1.107183</v>
      </c>
      <c r="T19" s="11">
        <f>T12*'Parameters, country spec'!T9</f>
        <v>1.107183</v>
      </c>
      <c r="U19" s="11">
        <f>U12*'Parameters, country spec'!U9</f>
        <v>1.107183</v>
      </c>
      <c r="V19" s="11">
        <f>V12*'Parameters, country spec'!V9</f>
        <v>1.107183</v>
      </c>
      <c r="W19" s="11">
        <f>W12*'Parameters, country spec'!W9</f>
        <v>1.107183</v>
      </c>
      <c r="X19" s="11">
        <f>X12*'Parameters, country spec'!X9</f>
        <v>1.107183</v>
      </c>
      <c r="Y19" s="11">
        <f>Y12*'Parameters, country spec'!Y9</f>
        <v>1.107183</v>
      </c>
      <c r="Z19" s="11">
        <f>Z12*'Parameters, country spec'!Z9</f>
        <v>1.107183</v>
      </c>
      <c r="AA19" s="11">
        <f>AA12*'Parameters, country spec'!AA9</f>
        <v>1.107183</v>
      </c>
      <c r="AB19" s="11">
        <f>AB12*'Parameters, country spec'!AB9</f>
        <v>1.107183</v>
      </c>
      <c r="AC19" s="11">
        <f>AC12*'Parameters, country spec'!AC9</f>
        <v>1.107183</v>
      </c>
      <c r="AD19" s="11">
        <f>AD12*'Parameters, country spec'!AD9</f>
        <v>1.107183</v>
      </c>
      <c r="AE19" s="11">
        <f>AE12*'Parameters, country spec'!AE9</f>
        <v>1.107183</v>
      </c>
    </row>
    <row r="20" spans="1:31" x14ac:dyDescent="0.35">
      <c r="A20" s="3" t="s">
        <v>178</v>
      </c>
      <c r="B20" s="11">
        <f>B13*'Parameters, country spec'!B9</f>
        <v>2.3411536775416124E-2</v>
      </c>
      <c r="C20" s="11">
        <f>C13*'Parameters, country spec'!C9</f>
        <v>2.3411536775416124E-2</v>
      </c>
      <c r="D20" s="11">
        <f>D13*'Parameters, country spec'!D9</f>
        <v>2.3411536775416124E-2</v>
      </c>
      <c r="E20" s="11">
        <f>E13*'Parameters, country spec'!E9</f>
        <v>2.3411536775416124E-2</v>
      </c>
      <c r="F20" s="11">
        <f>F13*'Parameters, country spec'!F9</f>
        <v>2.3411536775416124E-2</v>
      </c>
      <c r="G20" s="11">
        <f>G13*'Parameters, country spec'!G9</f>
        <v>2.3411536775416124E-2</v>
      </c>
      <c r="H20" s="11">
        <f>H13*'Parameters, country spec'!H9</f>
        <v>2.3411536775416124E-2</v>
      </c>
      <c r="I20" s="11">
        <f>I13*'Parameters, country spec'!I9</f>
        <v>2.3411536775416124E-2</v>
      </c>
      <c r="J20" s="11">
        <f>J13*'Parameters, country spec'!J9</f>
        <v>2.3411536775416124E-2</v>
      </c>
      <c r="K20" s="11">
        <f>K13*'Parameters, country spec'!K9</f>
        <v>2.6900119492712087E-2</v>
      </c>
      <c r="L20" s="11">
        <f>L13*'Parameters, country spec'!L9</f>
        <v>2.3411536775416124E-2</v>
      </c>
      <c r="M20" s="11">
        <f>M13*'Parameters, country spec'!M9</f>
        <v>2.3411536775416124E-2</v>
      </c>
      <c r="N20" s="11">
        <f>N13*'Parameters, country spec'!N9</f>
        <v>2.3411536775416124E-2</v>
      </c>
      <c r="O20" s="11">
        <f>O13*'Parameters, country spec'!O9</f>
        <v>2.3411536775416124E-2</v>
      </c>
      <c r="P20" s="11">
        <f>P13*'Parameters, country spec'!P9</f>
        <v>2.3411536775416124E-2</v>
      </c>
      <c r="Q20" s="11">
        <f>Q13*'Parameters, country spec'!Q9</f>
        <v>2.3411536775416124E-2</v>
      </c>
      <c r="R20" s="11">
        <f>R13*'Parameters, country spec'!R9</f>
        <v>2.3411536775416124E-2</v>
      </c>
      <c r="S20" s="11">
        <f>S13*'Parameters, country spec'!S9</f>
        <v>2.3411536775416124E-2</v>
      </c>
      <c r="T20" s="11">
        <f>T13*'Parameters, country spec'!T9</f>
        <v>2.3411536775416124E-2</v>
      </c>
      <c r="U20" s="11">
        <f>U13*'Parameters, country spec'!U9</f>
        <v>2.3411536775416124E-2</v>
      </c>
      <c r="V20" s="11">
        <f>V13*'Parameters, country spec'!V9</f>
        <v>2.3411536775416124E-2</v>
      </c>
      <c r="W20" s="11">
        <f>W13*'Parameters, country spec'!W9</f>
        <v>2.3411536775416124E-2</v>
      </c>
      <c r="X20" s="11">
        <f>X13*'Parameters, country spec'!X9</f>
        <v>2.3411536775416124E-2</v>
      </c>
      <c r="Y20" s="11">
        <f>Y13*'Parameters, country spec'!Y9</f>
        <v>2.3411536775416124E-2</v>
      </c>
      <c r="Z20" s="11">
        <f>Z13*'Parameters, country spec'!Z9</f>
        <v>2.3411536775416124E-2</v>
      </c>
      <c r="AA20" s="11">
        <f>AA13*'Parameters, country spec'!AA9</f>
        <v>2.3411536775416124E-2</v>
      </c>
      <c r="AB20" s="11">
        <f>AB13*'Parameters, country spec'!AB9</f>
        <v>2.3411536775416124E-2</v>
      </c>
      <c r="AC20" s="11">
        <f>AC13*'Parameters, country spec'!AC9</f>
        <v>2.3411536775416124E-2</v>
      </c>
      <c r="AD20" s="11">
        <f>AD13*'Parameters, country spec'!AD9</f>
        <v>2.3411536775416124E-2</v>
      </c>
      <c r="AE20" s="11">
        <f>AE13*'Parameters, country spec'!AE9</f>
        <v>2.3411536775416124E-2</v>
      </c>
    </row>
    <row r="21" spans="1:31" x14ac:dyDescent="0.35">
      <c r="A21" s="3" t="s">
        <v>179</v>
      </c>
      <c r="B21" s="11">
        <f>B14*'Parameters, country spec'!B9</f>
        <v>2.1778173744573135E-3</v>
      </c>
      <c r="C21" s="11">
        <f>C14*'Parameters, country spec'!C9</f>
        <v>2.1778173744573135E-3</v>
      </c>
      <c r="D21" s="11">
        <f>D14*'Parameters, country spec'!D9</f>
        <v>2.1778173744573135E-3</v>
      </c>
      <c r="E21" s="11">
        <f>E14*'Parameters, country spec'!E9</f>
        <v>2.1778173744573135E-3</v>
      </c>
      <c r="F21" s="11">
        <f>F14*'Parameters, country spec'!F9</f>
        <v>2.1778173744573135E-3</v>
      </c>
      <c r="G21" s="11">
        <f>G14*'Parameters, country spec'!G9</f>
        <v>2.1778173744573135E-3</v>
      </c>
      <c r="H21" s="11">
        <f>H14*'Parameters, country spec'!H9</f>
        <v>2.1778173744573135E-3</v>
      </c>
      <c r="I21" s="11">
        <f>I14*'Parameters, country spec'!I9</f>
        <v>2.1778173744573135E-3</v>
      </c>
      <c r="J21" s="11">
        <f>J14*'Parameters, country spec'!J9</f>
        <v>2.1778173744573135E-3</v>
      </c>
      <c r="K21" s="11">
        <f>K14*'Parameters, country spec'!K9</f>
        <v>2.1959281218540479E-3</v>
      </c>
      <c r="L21" s="11">
        <f>L14*'Parameters, country spec'!L9</f>
        <v>2.1778173744573135E-3</v>
      </c>
      <c r="M21" s="11">
        <f>M14*'Parameters, country spec'!M9</f>
        <v>2.1778173744573135E-3</v>
      </c>
      <c r="N21" s="11">
        <f>N14*'Parameters, country spec'!N9</f>
        <v>2.1778173744573135E-3</v>
      </c>
      <c r="O21" s="11">
        <f>O14*'Parameters, country spec'!O9</f>
        <v>2.1778173744573135E-3</v>
      </c>
      <c r="P21" s="11">
        <f>P14*'Parameters, country spec'!P9</f>
        <v>2.1778173744573135E-3</v>
      </c>
      <c r="Q21" s="11">
        <f>Q14*'Parameters, country spec'!Q9</f>
        <v>2.1778173744573135E-3</v>
      </c>
      <c r="R21" s="11">
        <f>R14*'Parameters, country spec'!R9</f>
        <v>2.1778173744573135E-3</v>
      </c>
      <c r="S21" s="11">
        <f>S14*'Parameters, country spec'!S9</f>
        <v>2.1778173744573135E-3</v>
      </c>
      <c r="T21" s="11">
        <f>T14*'Parameters, country spec'!T9</f>
        <v>2.1778173744573135E-3</v>
      </c>
      <c r="U21" s="11">
        <f>U14*'Parameters, country spec'!U9</f>
        <v>2.1778173744573135E-3</v>
      </c>
      <c r="V21" s="11">
        <f>V14*'Parameters, country spec'!V9</f>
        <v>2.1778173744573135E-3</v>
      </c>
      <c r="W21" s="11">
        <f>W14*'Parameters, country spec'!W9</f>
        <v>2.1778173744573135E-3</v>
      </c>
      <c r="X21" s="11">
        <f>X14*'Parameters, country spec'!X9</f>
        <v>2.1778173744573135E-3</v>
      </c>
      <c r="Y21" s="11">
        <f>Y14*'Parameters, country spec'!Y9</f>
        <v>2.1778173744573135E-3</v>
      </c>
      <c r="Z21" s="11">
        <f>Z14*'Parameters, country spec'!Z9</f>
        <v>2.1778173744573135E-3</v>
      </c>
      <c r="AA21" s="11">
        <f>AA14*'Parameters, country spec'!AA9</f>
        <v>2.1778173744573135E-3</v>
      </c>
      <c r="AB21" s="11">
        <f>AB14*'Parameters, country spec'!AB9</f>
        <v>2.1778173744573135E-3</v>
      </c>
      <c r="AC21" s="11">
        <f>AC14*'Parameters, country spec'!AC9</f>
        <v>2.1778173744573135E-3</v>
      </c>
      <c r="AD21" s="11">
        <f>AD14*'Parameters, country spec'!AD9</f>
        <v>2.1778173744573135E-3</v>
      </c>
      <c r="AE21" s="11">
        <f>AE14*'Parameters, country spec'!AE9</f>
        <v>2.1778173744573135E-3</v>
      </c>
    </row>
    <row r="22" spans="1:31" x14ac:dyDescent="0.35">
      <c r="A22" s="3" t="s">
        <v>180</v>
      </c>
      <c r="B22" s="11">
        <f>B15*'Parameters, country spec'!B9</f>
        <v>1.8322072259021311E-4</v>
      </c>
      <c r="C22" s="11">
        <f>C15*'Parameters, country spec'!C9</f>
        <v>1.8322072259021311E-4</v>
      </c>
      <c r="D22" s="11">
        <f>D15*'Parameters, country spec'!D9</f>
        <v>1.8322072259021311E-4</v>
      </c>
      <c r="E22" s="11">
        <f>E15*'Parameters, country spec'!E9</f>
        <v>1.8322072259021311E-4</v>
      </c>
      <c r="F22" s="11">
        <f>F15*'Parameters, country spec'!F9</f>
        <v>1.8322072259021311E-4</v>
      </c>
      <c r="G22" s="11">
        <f>G15*'Parameters, country spec'!G9</f>
        <v>1.8322072259021311E-4</v>
      </c>
      <c r="H22" s="11">
        <f>H15*'Parameters, country spec'!H9</f>
        <v>1.8322072259021311E-4</v>
      </c>
      <c r="I22" s="11">
        <f>I15*'Parameters, country spec'!I9</f>
        <v>1.8322072259021311E-4</v>
      </c>
      <c r="J22" s="11">
        <f>J15*'Parameters, country spec'!J9</f>
        <v>1.8322072259021311E-4</v>
      </c>
      <c r="K22" s="11">
        <f>K15*'Parameters, country spec'!K9</f>
        <v>2.1052267429079026E-4</v>
      </c>
      <c r="L22" s="11">
        <f>L15*'Parameters, country spec'!L9</f>
        <v>1.8322072259021311E-4</v>
      </c>
      <c r="M22" s="11">
        <f>M15*'Parameters, country spec'!M9</f>
        <v>1.8322072259021311E-4</v>
      </c>
      <c r="N22" s="11">
        <f>N15*'Parameters, country spec'!N9</f>
        <v>1.8322072259021311E-4</v>
      </c>
      <c r="O22" s="11">
        <f>O15*'Parameters, country spec'!O9</f>
        <v>1.8322072259021311E-4</v>
      </c>
      <c r="P22" s="11">
        <f>P15*'Parameters, country spec'!P9</f>
        <v>1.8322072259021311E-4</v>
      </c>
      <c r="Q22" s="11">
        <f>Q15*'Parameters, country spec'!Q9</f>
        <v>1.8322072259021311E-4</v>
      </c>
      <c r="R22" s="11">
        <f>R15*'Parameters, country spec'!R9</f>
        <v>1.8322072259021311E-4</v>
      </c>
      <c r="S22" s="11">
        <f>S15*'Parameters, country spec'!S9</f>
        <v>1.8322072259021311E-4</v>
      </c>
      <c r="T22" s="11">
        <f>T15*'Parameters, country spec'!T9</f>
        <v>1.8322072259021311E-4</v>
      </c>
      <c r="U22" s="11">
        <f>U15*'Parameters, country spec'!U9</f>
        <v>1.8322072259021311E-4</v>
      </c>
      <c r="V22" s="11">
        <f>V15*'Parameters, country spec'!V9</f>
        <v>1.8322072259021311E-4</v>
      </c>
      <c r="W22" s="11">
        <f>W15*'Parameters, country spec'!W9</f>
        <v>1.8322072259021311E-4</v>
      </c>
      <c r="X22" s="11">
        <f>X15*'Parameters, country spec'!X9</f>
        <v>1.8322072259021311E-4</v>
      </c>
      <c r="Y22" s="11">
        <f>Y15*'Parameters, country spec'!Y9</f>
        <v>1.8322072259021311E-4</v>
      </c>
      <c r="Z22" s="11">
        <f>Z15*'Parameters, country spec'!Z9</f>
        <v>1.8322072259021311E-4</v>
      </c>
      <c r="AA22" s="11">
        <f>AA15*'Parameters, country spec'!AA9</f>
        <v>1.8322072259021311E-4</v>
      </c>
      <c r="AB22" s="11">
        <f>AB15*'Parameters, country spec'!AB9</f>
        <v>1.8322072259021311E-4</v>
      </c>
      <c r="AC22" s="11">
        <f>AC15*'Parameters, country spec'!AC9</f>
        <v>1.8322072259021311E-4</v>
      </c>
      <c r="AD22" s="11">
        <f>AD15*'Parameters, country spec'!AD9</f>
        <v>1.8322072259021311E-4</v>
      </c>
      <c r="AE22" s="11">
        <f>AE15*'Parameters, country spec'!AE9</f>
        <v>1.8322072259021311E-4</v>
      </c>
    </row>
    <row r="23" spans="1:31" x14ac:dyDescent="0.35">
      <c r="A23" s="3" t="s">
        <v>181</v>
      </c>
      <c r="B23" s="11">
        <f>B16*'Parameters, country spec'!B9</f>
        <v>1.7043788147926804E-5</v>
      </c>
      <c r="C23" s="11">
        <f>C16*'Parameters, country spec'!C9</f>
        <v>1.7043788147926804E-5</v>
      </c>
      <c r="D23" s="11">
        <f>D16*'Parameters, country spec'!D9</f>
        <v>1.7043788147926804E-5</v>
      </c>
      <c r="E23" s="11">
        <f>E16*'Parameters, country spec'!E9</f>
        <v>1.7043788147926804E-5</v>
      </c>
      <c r="F23" s="11">
        <f>F16*'Parameters, country spec'!F9</f>
        <v>1.7043788147926804E-5</v>
      </c>
      <c r="G23" s="11">
        <f>G16*'Parameters, country spec'!G9</f>
        <v>1.7043788147926804E-5</v>
      </c>
      <c r="H23" s="11">
        <f>H16*'Parameters, country spec'!H9</f>
        <v>1.7043788147926804E-5</v>
      </c>
      <c r="I23" s="11">
        <f>I16*'Parameters, country spec'!I9</f>
        <v>1.7043788147926804E-5</v>
      </c>
      <c r="J23" s="11">
        <f>J16*'Parameters, country spec'!J9</f>
        <v>1.7043788147926804E-5</v>
      </c>
      <c r="K23" s="11">
        <f>K16*'Parameters, country spec'!K9</f>
        <v>1.7185524431901248E-5</v>
      </c>
      <c r="L23" s="11">
        <f>L16*'Parameters, country spec'!L9</f>
        <v>1.7043788147926804E-5</v>
      </c>
      <c r="M23" s="11">
        <f>M16*'Parameters, country spec'!M9</f>
        <v>1.7043788147926804E-5</v>
      </c>
      <c r="N23" s="11">
        <f>N16*'Parameters, country spec'!N9</f>
        <v>1.7043788147926804E-5</v>
      </c>
      <c r="O23" s="11">
        <f>O16*'Parameters, country spec'!O9</f>
        <v>1.7043788147926804E-5</v>
      </c>
      <c r="P23" s="11">
        <f>P16*'Parameters, country spec'!P9</f>
        <v>1.7043788147926804E-5</v>
      </c>
      <c r="Q23" s="11">
        <f>Q16*'Parameters, country spec'!Q9</f>
        <v>1.7043788147926804E-5</v>
      </c>
      <c r="R23" s="11">
        <f>R16*'Parameters, country spec'!R9</f>
        <v>1.7043788147926804E-5</v>
      </c>
      <c r="S23" s="11">
        <f>S16*'Parameters, country spec'!S9</f>
        <v>1.7043788147926804E-5</v>
      </c>
      <c r="T23" s="11">
        <f>T16*'Parameters, country spec'!T9</f>
        <v>1.7043788147926804E-5</v>
      </c>
      <c r="U23" s="11">
        <f>U16*'Parameters, country spec'!U9</f>
        <v>1.7043788147926804E-5</v>
      </c>
      <c r="V23" s="11">
        <f>V16*'Parameters, country spec'!V9</f>
        <v>1.7043788147926804E-5</v>
      </c>
      <c r="W23" s="11">
        <f>W16*'Parameters, country spec'!W9</f>
        <v>1.7043788147926804E-5</v>
      </c>
      <c r="X23" s="11">
        <f>X16*'Parameters, country spec'!X9</f>
        <v>1.7043788147926804E-5</v>
      </c>
      <c r="Y23" s="11">
        <f>Y16*'Parameters, country spec'!Y9</f>
        <v>1.7043788147926804E-5</v>
      </c>
      <c r="Z23" s="11">
        <f>Z16*'Parameters, country spec'!Z9</f>
        <v>1.7043788147926804E-5</v>
      </c>
      <c r="AA23" s="11">
        <f>AA16*'Parameters, country spec'!AA9</f>
        <v>1.7043788147926804E-5</v>
      </c>
      <c r="AB23" s="11">
        <f>AB16*'Parameters, country spec'!AB9</f>
        <v>1.7043788147926804E-5</v>
      </c>
      <c r="AC23" s="11">
        <f>AC16*'Parameters, country spec'!AC9</f>
        <v>1.7043788147926804E-5</v>
      </c>
      <c r="AD23" s="11">
        <f>AD16*'Parameters, country spec'!AD9</f>
        <v>1.7043788147926804E-5</v>
      </c>
      <c r="AE23" s="11">
        <f>AE16*'Parameters, country spec'!AE9</f>
        <v>1.7043788147926804E-5</v>
      </c>
    </row>
    <row r="24" spans="1:31" x14ac:dyDescent="0.35">
      <c r="A24" s="6" t="s">
        <v>182</v>
      </c>
      <c r="B24" s="7">
        <f>SUM(B19:B23)</f>
        <v>1.1329726186606117</v>
      </c>
      <c r="C24" s="7">
        <f t="shared" ref="C24:AE24" si="4">SUM(C19:C23)</f>
        <v>1.1329726186606117</v>
      </c>
      <c r="D24" s="7">
        <f t="shared" si="4"/>
        <v>1.1329726186606117</v>
      </c>
      <c r="E24" s="7">
        <f t="shared" si="4"/>
        <v>1.1329726186606117</v>
      </c>
      <c r="F24" s="7">
        <f t="shared" si="4"/>
        <v>1.1329726186606117</v>
      </c>
      <c r="G24" s="7">
        <f t="shared" si="4"/>
        <v>1.1329726186606117</v>
      </c>
      <c r="H24" s="7">
        <f t="shared" si="4"/>
        <v>1.1329726186606117</v>
      </c>
      <c r="I24" s="7">
        <f t="shared" si="4"/>
        <v>1.1329726186606117</v>
      </c>
      <c r="J24" s="7">
        <f t="shared" si="4"/>
        <v>1.1329726186606117</v>
      </c>
      <c r="K24" s="7">
        <f t="shared" si="4"/>
        <v>1.1365067558132889</v>
      </c>
      <c r="L24" s="7">
        <f t="shared" si="4"/>
        <v>1.1329726186606117</v>
      </c>
      <c r="M24" s="7">
        <f t="shared" si="4"/>
        <v>1.1329726186606117</v>
      </c>
      <c r="N24" s="7">
        <f t="shared" si="4"/>
        <v>1.1329726186606117</v>
      </c>
      <c r="O24" s="7">
        <f t="shared" si="4"/>
        <v>1.1329726186606117</v>
      </c>
      <c r="P24" s="7">
        <f t="shared" si="4"/>
        <v>1.1329726186606117</v>
      </c>
      <c r="Q24" s="7">
        <f t="shared" si="4"/>
        <v>1.1329726186606117</v>
      </c>
      <c r="R24" s="7">
        <f t="shared" si="4"/>
        <v>1.1329726186606117</v>
      </c>
      <c r="S24" s="7">
        <f t="shared" si="4"/>
        <v>1.1329726186606117</v>
      </c>
      <c r="T24" s="7">
        <f t="shared" si="4"/>
        <v>1.1329726186606117</v>
      </c>
      <c r="U24" s="7">
        <f t="shared" si="4"/>
        <v>1.1329726186606117</v>
      </c>
      <c r="V24" s="7">
        <f t="shared" si="4"/>
        <v>1.1329726186606117</v>
      </c>
      <c r="W24" s="7">
        <f t="shared" si="4"/>
        <v>1.1329726186606117</v>
      </c>
      <c r="X24" s="7">
        <f t="shared" si="4"/>
        <v>1.1329726186606117</v>
      </c>
      <c r="Y24" s="7">
        <f t="shared" si="4"/>
        <v>1.1329726186606117</v>
      </c>
      <c r="Z24" s="7">
        <f t="shared" si="4"/>
        <v>1.1329726186606117</v>
      </c>
      <c r="AA24" s="7">
        <f t="shared" si="4"/>
        <v>1.1329726186606117</v>
      </c>
      <c r="AB24" s="7">
        <f t="shared" si="4"/>
        <v>1.1329726186606117</v>
      </c>
      <c r="AC24" s="7">
        <f t="shared" si="4"/>
        <v>1.1329726186606117</v>
      </c>
      <c r="AD24" s="7">
        <f t="shared" si="4"/>
        <v>1.1329726186606117</v>
      </c>
      <c r="AE24" s="7">
        <f t="shared" si="4"/>
        <v>1.1329726186606117</v>
      </c>
    </row>
    <row r="25" spans="1:31" x14ac:dyDescent="0.35">
      <c r="A25" s="119" t="s">
        <v>185</v>
      </c>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row>
    <row r="26" spans="1:31" x14ac:dyDescent="0.35">
      <c r="A26" s="3" t="s">
        <v>177</v>
      </c>
      <c r="B26" s="11">
        <f>B5*'Parameters, country spec'!B13</f>
        <v>0.27500000000000002</v>
      </c>
      <c r="C26" s="11">
        <f>C5*'Parameters, country spec'!C13</f>
        <v>0.27500000000000002</v>
      </c>
      <c r="D26" s="11">
        <f>D5*'Parameters, country spec'!D13</f>
        <v>0.27500000000000002</v>
      </c>
      <c r="E26" s="11">
        <f>E5*'Parameters, country spec'!E13</f>
        <v>0.27500000000000002</v>
      </c>
      <c r="F26" s="11">
        <f>F5*'Parameters, country spec'!F13</f>
        <v>0.27500000000000002</v>
      </c>
      <c r="G26" s="11">
        <f>G5*'Parameters, country spec'!G13</f>
        <v>0.27500000000000002</v>
      </c>
      <c r="H26" s="11">
        <f>H5*'Parameters, country spec'!H13</f>
        <v>0.27500000000000002</v>
      </c>
      <c r="I26" s="11">
        <f>I5*'Parameters, country spec'!I13</f>
        <v>0.27500000000000002</v>
      </c>
      <c r="J26" s="11">
        <f>J5*'Parameters, country spec'!J13</f>
        <v>0.27500000000000002</v>
      </c>
      <c r="K26" s="11">
        <f>K5*'Parameters, country spec'!K13</f>
        <v>0.27500000000000002</v>
      </c>
      <c r="L26" s="11">
        <f>L5*'Parameters, country spec'!L13</f>
        <v>0.27500000000000002</v>
      </c>
      <c r="M26" s="11">
        <f>M5*'Parameters, country spec'!M13</f>
        <v>0.27500000000000002</v>
      </c>
      <c r="N26" s="11">
        <f>N5*'Parameters, country spec'!N13</f>
        <v>0.27500000000000002</v>
      </c>
      <c r="O26" s="11">
        <f>O5*'Parameters, country spec'!O13</f>
        <v>0.27500000000000002</v>
      </c>
      <c r="P26" s="11">
        <f>P5*'Parameters, country spec'!P13</f>
        <v>0.27500000000000002</v>
      </c>
      <c r="Q26" s="11">
        <f>Q5*'Parameters, country spec'!Q13</f>
        <v>0.27500000000000002</v>
      </c>
      <c r="R26" s="11">
        <f>R5*'Parameters, country spec'!R13</f>
        <v>0.27500000000000002</v>
      </c>
      <c r="S26" s="11">
        <f>S5*'Parameters, country spec'!S13</f>
        <v>0.27500000000000002</v>
      </c>
      <c r="T26" s="11">
        <f>T5*'Parameters, country spec'!T13</f>
        <v>0.27500000000000002</v>
      </c>
      <c r="U26" s="11">
        <f>U5*'Parameters, country spec'!U13</f>
        <v>0.27500000000000002</v>
      </c>
      <c r="V26" s="11">
        <f>V5*'Parameters, country spec'!V13</f>
        <v>0.27500000000000002</v>
      </c>
      <c r="W26" s="11">
        <f>W5*'Parameters, country spec'!W13</f>
        <v>0.27500000000000002</v>
      </c>
      <c r="X26" s="11">
        <f>X5*'Parameters, country spec'!X13</f>
        <v>0.27500000000000002</v>
      </c>
      <c r="Y26" s="11">
        <f>Y5*'Parameters, country spec'!Y13</f>
        <v>0.27500000000000002</v>
      </c>
      <c r="Z26" s="11">
        <f>Z5*'Parameters, country spec'!Z13</f>
        <v>0.27500000000000002</v>
      </c>
      <c r="AA26" s="11">
        <f>AA5*'Parameters, country spec'!AA13</f>
        <v>0.27500000000000002</v>
      </c>
      <c r="AB26" s="11">
        <f>AB5*'Parameters, country spec'!AB13</f>
        <v>0.27500000000000002</v>
      </c>
      <c r="AC26" s="11">
        <f>AC5*'Parameters, country spec'!AC13</f>
        <v>0.27500000000000002</v>
      </c>
      <c r="AD26" s="11">
        <f>AD5*'Parameters, country spec'!AD13</f>
        <v>0.27500000000000002</v>
      </c>
      <c r="AE26" s="11">
        <f>AE5*'Parameters, country spec'!AE13</f>
        <v>0.27500000000000002</v>
      </c>
    </row>
    <row r="27" spans="1:31" x14ac:dyDescent="0.35">
      <c r="A27" s="3" t="s">
        <v>178</v>
      </c>
      <c r="B27" s="11">
        <f>B6*'Parameters, country spec'!B13</f>
        <v>1.9444797986226017E-3</v>
      </c>
      <c r="C27" s="11">
        <f>C6*'Parameters, country spec'!C13</f>
        <v>1.9444797986226017E-3</v>
      </c>
      <c r="D27" s="11">
        <f>D6*'Parameters, country spec'!D13</f>
        <v>1.9444797986226017E-3</v>
      </c>
      <c r="E27" s="11">
        <f>E6*'Parameters, country spec'!E13</f>
        <v>1.9444797986226017E-3</v>
      </c>
      <c r="F27" s="11">
        <f>F6*'Parameters, country spec'!F13</f>
        <v>1.9444797986226017E-3</v>
      </c>
      <c r="G27" s="11">
        <f>G6*'Parameters, country spec'!G13</f>
        <v>1.9444797986226017E-3</v>
      </c>
      <c r="H27" s="11">
        <f>H6*'Parameters, country spec'!H13</f>
        <v>1.9444797986226017E-3</v>
      </c>
      <c r="I27" s="11">
        <f>I6*'Parameters, country spec'!I13</f>
        <v>1.9444797986226017E-3</v>
      </c>
      <c r="J27" s="11">
        <f>J6*'Parameters, country spec'!J13</f>
        <v>1.9444797986226017E-3</v>
      </c>
      <c r="K27" s="11">
        <f>K6*'Parameters, country spec'!K13</f>
        <v>1.9606501087982573E-3</v>
      </c>
      <c r="L27" s="11">
        <f>L6*'Parameters, country spec'!L13</f>
        <v>1.9444797986226017E-3</v>
      </c>
      <c r="M27" s="11">
        <f>M6*'Parameters, country spec'!M13</f>
        <v>1.9444797986226017E-3</v>
      </c>
      <c r="N27" s="11">
        <f>N6*'Parameters, country spec'!N13</f>
        <v>1.9444797986226017E-3</v>
      </c>
      <c r="O27" s="11">
        <f>O6*'Parameters, country spec'!O13</f>
        <v>1.9444797986226017E-3</v>
      </c>
      <c r="P27" s="11">
        <f>P6*'Parameters, country spec'!P13</f>
        <v>1.9444797986226017E-3</v>
      </c>
      <c r="Q27" s="11">
        <f>Q6*'Parameters, country spec'!Q13</f>
        <v>1.9444797986226017E-3</v>
      </c>
      <c r="R27" s="11">
        <f>R6*'Parameters, country spec'!R13</f>
        <v>1.9444797986226017E-3</v>
      </c>
      <c r="S27" s="11">
        <f>S6*'Parameters, country spec'!S13</f>
        <v>1.9444797986226017E-3</v>
      </c>
      <c r="T27" s="11">
        <f>T6*'Parameters, country spec'!T13</f>
        <v>1.9444797986226017E-3</v>
      </c>
      <c r="U27" s="11">
        <f>U6*'Parameters, country spec'!U13</f>
        <v>1.9444797986226017E-3</v>
      </c>
      <c r="V27" s="11">
        <f>V6*'Parameters, country spec'!V13</f>
        <v>1.9444797986226017E-3</v>
      </c>
      <c r="W27" s="11">
        <f>W6*'Parameters, country spec'!W13</f>
        <v>1.9444797986226017E-3</v>
      </c>
      <c r="X27" s="11">
        <f>X6*'Parameters, country spec'!X13</f>
        <v>1.9444797986226017E-3</v>
      </c>
      <c r="Y27" s="11">
        <f>Y6*'Parameters, country spec'!Y13</f>
        <v>1.9444797986226017E-3</v>
      </c>
      <c r="Z27" s="11">
        <f>Z6*'Parameters, country spec'!Z13</f>
        <v>1.9444797986226017E-3</v>
      </c>
      <c r="AA27" s="11">
        <f>AA6*'Parameters, country spec'!AA13</f>
        <v>1.9444797986226017E-3</v>
      </c>
      <c r="AB27" s="11">
        <f>AB6*'Parameters, country spec'!AB13</f>
        <v>1.9444797986226017E-3</v>
      </c>
      <c r="AC27" s="11">
        <f>AC6*'Parameters, country spec'!AC13</f>
        <v>1.9444797986226017E-3</v>
      </c>
      <c r="AD27" s="11">
        <f>AD6*'Parameters, country spec'!AD13</f>
        <v>1.9444797986226017E-3</v>
      </c>
      <c r="AE27" s="11">
        <f>AE6*'Parameters, country spec'!AE13</f>
        <v>1.9444797986226017E-3</v>
      </c>
    </row>
    <row r="28" spans="1:31" x14ac:dyDescent="0.35">
      <c r="A28" s="3" t="s">
        <v>179</v>
      </c>
      <c r="B28" s="11">
        <f>B7*'Parameters, country spec'!B13</f>
        <v>1.5555838388980813E-4</v>
      </c>
      <c r="C28" s="11">
        <f>C7*'Parameters, country spec'!C13</f>
        <v>1.5555838388980813E-4</v>
      </c>
      <c r="D28" s="11">
        <f>D7*'Parameters, country spec'!D13</f>
        <v>1.5555838388980813E-4</v>
      </c>
      <c r="E28" s="11">
        <f>E7*'Parameters, country spec'!E13</f>
        <v>1.5555838388980813E-4</v>
      </c>
      <c r="F28" s="11">
        <f>F7*'Parameters, country spec'!F13</f>
        <v>1.5555838388980813E-4</v>
      </c>
      <c r="G28" s="11">
        <f>G7*'Parameters, country spec'!G13</f>
        <v>1.5555838388980813E-4</v>
      </c>
      <c r="H28" s="11">
        <f>H7*'Parameters, country spec'!H13</f>
        <v>1.5555838388980813E-4</v>
      </c>
      <c r="I28" s="11">
        <f>I7*'Parameters, country spec'!I13</f>
        <v>1.5555838388980813E-4</v>
      </c>
      <c r="J28" s="11">
        <f>J7*'Parameters, country spec'!J13</f>
        <v>1.5555838388980813E-4</v>
      </c>
      <c r="K28" s="11">
        <f>K7*'Parameters, country spec'!K13</f>
        <v>1.568520087038606E-4</v>
      </c>
      <c r="L28" s="11">
        <f>L7*'Parameters, country spec'!L13</f>
        <v>1.5555838388980813E-4</v>
      </c>
      <c r="M28" s="11">
        <f>M7*'Parameters, country spec'!M13</f>
        <v>1.5555838388980813E-4</v>
      </c>
      <c r="N28" s="11">
        <f>N7*'Parameters, country spec'!N13</f>
        <v>1.5555838388980813E-4</v>
      </c>
      <c r="O28" s="11">
        <f>O7*'Parameters, country spec'!O13</f>
        <v>1.5555838388980813E-4</v>
      </c>
      <c r="P28" s="11">
        <f>P7*'Parameters, country spec'!P13</f>
        <v>1.5555838388980813E-4</v>
      </c>
      <c r="Q28" s="11">
        <f>Q7*'Parameters, country spec'!Q13</f>
        <v>1.5555838388980813E-4</v>
      </c>
      <c r="R28" s="11">
        <f>R7*'Parameters, country spec'!R13</f>
        <v>1.5555838388980813E-4</v>
      </c>
      <c r="S28" s="11">
        <f>S7*'Parameters, country spec'!S13</f>
        <v>1.5555838388980813E-4</v>
      </c>
      <c r="T28" s="11">
        <f>T7*'Parameters, country spec'!T13</f>
        <v>1.5555838388980813E-4</v>
      </c>
      <c r="U28" s="11">
        <f>U7*'Parameters, country spec'!U13</f>
        <v>1.5555838388980813E-4</v>
      </c>
      <c r="V28" s="11">
        <f>V7*'Parameters, country spec'!V13</f>
        <v>1.5555838388980813E-4</v>
      </c>
      <c r="W28" s="11">
        <f>W7*'Parameters, country spec'!W13</f>
        <v>1.5555838388980813E-4</v>
      </c>
      <c r="X28" s="11">
        <f>X7*'Parameters, country spec'!X13</f>
        <v>1.5555838388980813E-4</v>
      </c>
      <c r="Y28" s="11">
        <f>Y7*'Parameters, country spec'!Y13</f>
        <v>1.5555838388980813E-4</v>
      </c>
      <c r="Z28" s="11">
        <f>Z7*'Parameters, country spec'!Z13</f>
        <v>1.5555838388980813E-4</v>
      </c>
      <c r="AA28" s="11">
        <f>AA7*'Parameters, country spec'!AA13</f>
        <v>1.5555838388980813E-4</v>
      </c>
      <c r="AB28" s="11">
        <f>AB7*'Parameters, country spec'!AB13</f>
        <v>1.5555838388980813E-4</v>
      </c>
      <c r="AC28" s="11">
        <f>AC7*'Parameters, country spec'!AC13</f>
        <v>1.5555838388980813E-4</v>
      </c>
      <c r="AD28" s="11">
        <f>AD7*'Parameters, country spec'!AD13</f>
        <v>1.5555838388980813E-4</v>
      </c>
      <c r="AE28" s="11">
        <f>AE7*'Parameters, country spec'!AE13</f>
        <v>1.5555838388980813E-4</v>
      </c>
    </row>
    <row r="29" spans="1:31" x14ac:dyDescent="0.35">
      <c r="A29" s="3" t="s">
        <v>180</v>
      </c>
      <c r="B29" s="11">
        <f>B8*'Parameters, country spec'!B13</f>
        <v>1.521766798922036E-5</v>
      </c>
      <c r="C29" s="11">
        <f>C8*'Parameters, country spec'!C13</f>
        <v>1.521766798922036E-5</v>
      </c>
      <c r="D29" s="11">
        <f>D8*'Parameters, country spec'!D13</f>
        <v>1.521766798922036E-5</v>
      </c>
      <c r="E29" s="11">
        <f>E8*'Parameters, country spec'!E13</f>
        <v>1.521766798922036E-5</v>
      </c>
      <c r="F29" s="11">
        <f>F8*'Parameters, country spec'!F13</f>
        <v>1.521766798922036E-5</v>
      </c>
      <c r="G29" s="11">
        <f>G8*'Parameters, country spec'!G13</f>
        <v>1.521766798922036E-5</v>
      </c>
      <c r="H29" s="11">
        <f>H8*'Parameters, country spec'!H13</f>
        <v>1.521766798922036E-5</v>
      </c>
      <c r="I29" s="11">
        <f>I8*'Parameters, country spec'!I13</f>
        <v>1.521766798922036E-5</v>
      </c>
      <c r="J29" s="11">
        <f>J8*'Parameters, country spec'!J13</f>
        <v>1.521766798922036E-5</v>
      </c>
      <c r="K29" s="11">
        <f>K8*'Parameters, country spec'!K13</f>
        <v>1.5344218242768971E-5</v>
      </c>
      <c r="L29" s="11">
        <f>L8*'Parameters, country spec'!L13</f>
        <v>1.521766798922036E-5</v>
      </c>
      <c r="M29" s="11">
        <f>M8*'Parameters, country spec'!M13</f>
        <v>1.521766798922036E-5</v>
      </c>
      <c r="N29" s="11">
        <f>N8*'Parameters, country spec'!N13</f>
        <v>1.521766798922036E-5</v>
      </c>
      <c r="O29" s="11">
        <f>O8*'Parameters, country spec'!O13</f>
        <v>1.521766798922036E-5</v>
      </c>
      <c r="P29" s="11">
        <f>P8*'Parameters, country spec'!P13</f>
        <v>1.521766798922036E-5</v>
      </c>
      <c r="Q29" s="11">
        <f>Q8*'Parameters, country spec'!Q13</f>
        <v>1.521766798922036E-5</v>
      </c>
      <c r="R29" s="11">
        <f>R8*'Parameters, country spec'!R13</f>
        <v>1.521766798922036E-5</v>
      </c>
      <c r="S29" s="11">
        <f>S8*'Parameters, country spec'!S13</f>
        <v>1.521766798922036E-5</v>
      </c>
      <c r="T29" s="11">
        <f>T8*'Parameters, country spec'!T13</f>
        <v>1.521766798922036E-5</v>
      </c>
      <c r="U29" s="11">
        <f>U8*'Parameters, country spec'!U13</f>
        <v>1.521766798922036E-5</v>
      </c>
      <c r="V29" s="11">
        <f>V8*'Parameters, country spec'!V13</f>
        <v>1.521766798922036E-5</v>
      </c>
      <c r="W29" s="11">
        <f>W8*'Parameters, country spec'!W13</f>
        <v>1.521766798922036E-5</v>
      </c>
      <c r="X29" s="11">
        <f>X8*'Parameters, country spec'!X13</f>
        <v>1.521766798922036E-5</v>
      </c>
      <c r="Y29" s="11">
        <f>Y8*'Parameters, country spec'!Y13</f>
        <v>1.521766798922036E-5</v>
      </c>
      <c r="Z29" s="11">
        <f>Z8*'Parameters, country spec'!Z13</f>
        <v>1.521766798922036E-5</v>
      </c>
      <c r="AA29" s="11">
        <f>AA8*'Parameters, country spec'!AA13</f>
        <v>1.521766798922036E-5</v>
      </c>
      <c r="AB29" s="11">
        <f>AB8*'Parameters, country spec'!AB13</f>
        <v>1.521766798922036E-5</v>
      </c>
      <c r="AC29" s="11">
        <f>AC8*'Parameters, country spec'!AC13</f>
        <v>1.521766798922036E-5</v>
      </c>
      <c r="AD29" s="11">
        <f>AD8*'Parameters, country spec'!AD13</f>
        <v>1.521766798922036E-5</v>
      </c>
      <c r="AE29" s="11">
        <f>AE8*'Parameters, country spec'!AE13</f>
        <v>1.521766798922036E-5</v>
      </c>
    </row>
    <row r="30" spans="1:31" x14ac:dyDescent="0.35">
      <c r="A30" s="3" t="s">
        <v>181</v>
      </c>
      <c r="B30" s="11">
        <f>B9*'Parameters, country spec'!B13</f>
        <v>1.217413439137629E-6</v>
      </c>
      <c r="C30" s="11">
        <f>C9*'Parameters, country spec'!C13</f>
        <v>1.217413439137629E-6</v>
      </c>
      <c r="D30" s="11">
        <f>D9*'Parameters, country spec'!D13</f>
        <v>1.217413439137629E-6</v>
      </c>
      <c r="E30" s="11">
        <f>E9*'Parameters, country spec'!E13</f>
        <v>1.217413439137629E-6</v>
      </c>
      <c r="F30" s="11">
        <f>F9*'Parameters, country spec'!F13</f>
        <v>1.217413439137629E-6</v>
      </c>
      <c r="G30" s="11">
        <f>G9*'Parameters, country spec'!G13</f>
        <v>1.217413439137629E-6</v>
      </c>
      <c r="H30" s="11">
        <f>H9*'Parameters, country spec'!H13</f>
        <v>1.217413439137629E-6</v>
      </c>
      <c r="I30" s="11">
        <f>I9*'Parameters, country spec'!I13</f>
        <v>1.217413439137629E-6</v>
      </c>
      <c r="J30" s="11">
        <f>J9*'Parameters, country spec'!J13</f>
        <v>1.217413439137629E-6</v>
      </c>
      <c r="K30" s="11">
        <f>K9*'Parameters, country spec'!K13</f>
        <v>1.2275374594215178E-6</v>
      </c>
      <c r="L30" s="11">
        <f>L9*'Parameters, country spec'!L13</f>
        <v>1.217413439137629E-6</v>
      </c>
      <c r="M30" s="11">
        <f>M9*'Parameters, country spec'!M13</f>
        <v>1.217413439137629E-6</v>
      </c>
      <c r="N30" s="11">
        <f>N9*'Parameters, country spec'!N13</f>
        <v>1.217413439137629E-6</v>
      </c>
      <c r="O30" s="11">
        <f>O9*'Parameters, country spec'!O13</f>
        <v>1.217413439137629E-6</v>
      </c>
      <c r="P30" s="11">
        <f>P9*'Parameters, country spec'!P13</f>
        <v>1.217413439137629E-6</v>
      </c>
      <c r="Q30" s="11">
        <f>Q9*'Parameters, country spec'!Q13</f>
        <v>1.217413439137629E-6</v>
      </c>
      <c r="R30" s="11">
        <f>R9*'Parameters, country spec'!R13</f>
        <v>1.217413439137629E-6</v>
      </c>
      <c r="S30" s="11">
        <f>S9*'Parameters, country spec'!S13</f>
        <v>1.217413439137629E-6</v>
      </c>
      <c r="T30" s="11">
        <f>T9*'Parameters, country spec'!T13</f>
        <v>1.217413439137629E-6</v>
      </c>
      <c r="U30" s="11">
        <f>U9*'Parameters, country spec'!U13</f>
        <v>1.217413439137629E-6</v>
      </c>
      <c r="V30" s="11">
        <f>V9*'Parameters, country spec'!V13</f>
        <v>1.217413439137629E-6</v>
      </c>
      <c r="W30" s="11">
        <f>W9*'Parameters, country spec'!W13</f>
        <v>1.217413439137629E-6</v>
      </c>
      <c r="X30" s="11">
        <f>X9*'Parameters, country spec'!X13</f>
        <v>1.217413439137629E-6</v>
      </c>
      <c r="Y30" s="11">
        <f>Y9*'Parameters, country spec'!Y13</f>
        <v>1.217413439137629E-6</v>
      </c>
      <c r="Z30" s="11">
        <f>Z9*'Parameters, country spec'!Z13</f>
        <v>1.217413439137629E-6</v>
      </c>
      <c r="AA30" s="11">
        <f>AA9*'Parameters, country spec'!AA13</f>
        <v>1.217413439137629E-6</v>
      </c>
      <c r="AB30" s="11">
        <f>AB9*'Parameters, country spec'!AB13</f>
        <v>1.217413439137629E-6</v>
      </c>
      <c r="AC30" s="11">
        <f>AC9*'Parameters, country spec'!AC13</f>
        <v>1.217413439137629E-6</v>
      </c>
      <c r="AD30" s="11">
        <f>AD9*'Parameters, country spec'!AD13</f>
        <v>1.217413439137629E-6</v>
      </c>
      <c r="AE30" s="11">
        <f>AE9*'Parameters, country spec'!AE13</f>
        <v>1.217413439137629E-6</v>
      </c>
    </row>
    <row r="31" spans="1:31" x14ac:dyDescent="0.35">
      <c r="A31" s="6" t="s">
        <v>182</v>
      </c>
      <c r="B31" s="7">
        <f>SUM(B26:B30)</f>
        <v>0.27711647326394079</v>
      </c>
      <c r="C31" s="7">
        <f t="shared" ref="C31:AE31" si="5">SUM(C26:C30)</f>
        <v>0.27711647326394079</v>
      </c>
      <c r="D31" s="7">
        <f t="shared" si="5"/>
        <v>0.27711647326394079</v>
      </c>
      <c r="E31" s="7">
        <f t="shared" si="5"/>
        <v>0.27711647326394079</v>
      </c>
      <c r="F31" s="7">
        <f t="shared" si="5"/>
        <v>0.27711647326394079</v>
      </c>
      <c r="G31" s="7">
        <f t="shared" si="5"/>
        <v>0.27711647326394079</v>
      </c>
      <c r="H31" s="7">
        <f t="shared" si="5"/>
        <v>0.27711647326394079</v>
      </c>
      <c r="I31" s="7">
        <f t="shared" si="5"/>
        <v>0.27711647326394079</v>
      </c>
      <c r="J31" s="7">
        <f t="shared" si="5"/>
        <v>0.27711647326394079</v>
      </c>
      <c r="K31" s="7">
        <f t="shared" si="5"/>
        <v>0.27713407387320432</v>
      </c>
      <c r="L31" s="7">
        <f t="shared" si="5"/>
        <v>0.27711647326394079</v>
      </c>
      <c r="M31" s="7">
        <f t="shared" si="5"/>
        <v>0.27711647326394079</v>
      </c>
      <c r="N31" s="7">
        <f t="shared" si="5"/>
        <v>0.27711647326394079</v>
      </c>
      <c r="O31" s="7">
        <f t="shared" si="5"/>
        <v>0.27711647326394079</v>
      </c>
      <c r="P31" s="7">
        <f t="shared" si="5"/>
        <v>0.27711647326394079</v>
      </c>
      <c r="Q31" s="7">
        <f t="shared" si="5"/>
        <v>0.27711647326394079</v>
      </c>
      <c r="R31" s="7">
        <f t="shared" si="5"/>
        <v>0.27711647326394079</v>
      </c>
      <c r="S31" s="7">
        <f t="shared" si="5"/>
        <v>0.27711647326394079</v>
      </c>
      <c r="T31" s="7">
        <f t="shared" si="5"/>
        <v>0.27711647326394079</v>
      </c>
      <c r="U31" s="7">
        <f t="shared" si="5"/>
        <v>0.27711647326394079</v>
      </c>
      <c r="V31" s="7">
        <f t="shared" si="5"/>
        <v>0.27711647326394079</v>
      </c>
      <c r="W31" s="7">
        <f t="shared" si="5"/>
        <v>0.27711647326394079</v>
      </c>
      <c r="X31" s="7">
        <f t="shared" si="5"/>
        <v>0.27711647326394079</v>
      </c>
      <c r="Y31" s="7">
        <f t="shared" si="5"/>
        <v>0.27711647326394079</v>
      </c>
      <c r="Z31" s="7">
        <f t="shared" si="5"/>
        <v>0.27711647326394079</v>
      </c>
      <c r="AA31" s="7">
        <f t="shared" si="5"/>
        <v>0.27711647326394079</v>
      </c>
      <c r="AB31" s="7">
        <f t="shared" si="5"/>
        <v>0.27711647326394079</v>
      </c>
      <c r="AC31" s="7">
        <f t="shared" si="5"/>
        <v>0.27711647326394079</v>
      </c>
      <c r="AD31" s="7">
        <f t="shared" si="5"/>
        <v>0.27711647326394079</v>
      </c>
      <c r="AE31" s="7">
        <f t="shared" si="5"/>
        <v>0.27711647326394079</v>
      </c>
    </row>
    <row r="32" spans="1:31" x14ac:dyDescent="0.35">
      <c r="A32" s="119" t="s">
        <v>186</v>
      </c>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row>
    <row r="33" spans="1:31" x14ac:dyDescent="0.35">
      <c r="A33" s="3" t="s">
        <v>177</v>
      </c>
      <c r="B33" s="11">
        <f>B19+B26</f>
        <v>1.3821829999999999</v>
      </c>
      <c r="C33" s="11">
        <f t="shared" ref="C33:AE33" si="6">C19+C26</f>
        <v>1.3821829999999999</v>
      </c>
      <c r="D33" s="11">
        <f t="shared" si="6"/>
        <v>1.3821829999999999</v>
      </c>
      <c r="E33" s="11">
        <f t="shared" si="6"/>
        <v>1.3821829999999999</v>
      </c>
      <c r="F33" s="11">
        <f t="shared" si="6"/>
        <v>1.3821829999999999</v>
      </c>
      <c r="G33" s="11">
        <f t="shared" si="6"/>
        <v>1.3821829999999999</v>
      </c>
      <c r="H33" s="11">
        <f t="shared" si="6"/>
        <v>1.3821829999999999</v>
      </c>
      <c r="I33" s="11">
        <f t="shared" si="6"/>
        <v>1.3821829999999999</v>
      </c>
      <c r="J33" s="11">
        <f t="shared" si="6"/>
        <v>1.3821829999999999</v>
      </c>
      <c r="K33" s="11">
        <f t="shared" si="6"/>
        <v>1.3821829999999999</v>
      </c>
      <c r="L33" s="11">
        <f t="shared" si="6"/>
        <v>1.3821829999999999</v>
      </c>
      <c r="M33" s="11">
        <f t="shared" si="6"/>
        <v>1.3821829999999999</v>
      </c>
      <c r="N33" s="11">
        <f t="shared" si="6"/>
        <v>1.3821829999999999</v>
      </c>
      <c r="O33" s="11">
        <f t="shared" si="6"/>
        <v>1.3821829999999999</v>
      </c>
      <c r="P33" s="11">
        <f t="shared" si="6"/>
        <v>1.3821829999999999</v>
      </c>
      <c r="Q33" s="11">
        <f t="shared" si="6"/>
        <v>1.3821829999999999</v>
      </c>
      <c r="R33" s="11">
        <f t="shared" si="6"/>
        <v>1.3821829999999999</v>
      </c>
      <c r="S33" s="11">
        <f t="shared" si="6"/>
        <v>1.3821829999999999</v>
      </c>
      <c r="T33" s="11">
        <f t="shared" si="6"/>
        <v>1.3821829999999999</v>
      </c>
      <c r="U33" s="11">
        <f t="shared" si="6"/>
        <v>1.3821829999999999</v>
      </c>
      <c r="V33" s="11">
        <f t="shared" si="6"/>
        <v>1.3821829999999999</v>
      </c>
      <c r="W33" s="11">
        <f t="shared" si="6"/>
        <v>1.3821829999999999</v>
      </c>
      <c r="X33" s="11">
        <f t="shared" si="6"/>
        <v>1.3821829999999999</v>
      </c>
      <c r="Y33" s="11">
        <f t="shared" si="6"/>
        <v>1.3821829999999999</v>
      </c>
      <c r="Z33" s="11">
        <f t="shared" si="6"/>
        <v>1.3821829999999999</v>
      </c>
      <c r="AA33" s="11">
        <f t="shared" si="6"/>
        <v>1.3821829999999999</v>
      </c>
      <c r="AB33" s="11">
        <f t="shared" si="6"/>
        <v>1.3821829999999999</v>
      </c>
      <c r="AC33" s="11">
        <f t="shared" si="6"/>
        <v>1.3821829999999999</v>
      </c>
      <c r="AD33" s="11">
        <f t="shared" si="6"/>
        <v>1.3821829999999999</v>
      </c>
      <c r="AE33" s="11">
        <f t="shared" si="6"/>
        <v>1.3821829999999999</v>
      </c>
    </row>
    <row r="34" spans="1:31" x14ac:dyDescent="0.35">
      <c r="A34" s="3" t="s">
        <v>178</v>
      </c>
      <c r="B34" s="11">
        <f t="shared" ref="B34:AE34" si="7">B20+B27</f>
        <v>2.5356016574038725E-2</v>
      </c>
      <c r="C34" s="11">
        <f t="shared" si="7"/>
        <v>2.5356016574038725E-2</v>
      </c>
      <c r="D34" s="11">
        <f t="shared" si="7"/>
        <v>2.5356016574038725E-2</v>
      </c>
      <c r="E34" s="11">
        <f t="shared" si="7"/>
        <v>2.5356016574038725E-2</v>
      </c>
      <c r="F34" s="11">
        <f t="shared" si="7"/>
        <v>2.5356016574038725E-2</v>
      </c>
      <c r="G34" s="11">
        <f t="shared" si="7"/>
        <v>2.5356016574038725E-2</v>
      </c>
      <c r="H34" s="11">
        <f t="shared" si="7"/>
        <v>2.5356016574038725E-2</v>
      </c>
      <c r="I34" s="11">
        <f t="shared" si="7"/>
        <v>2.5356016574038725E-2</v>
      </c>
      <c r="J34" s="11">
        <f t="shared" si="7"/>
        <v>2.5356016574038725E-2</v>
      </c>
      <c r="K34" s="11">
        <f t="shared" si="7"/>
        <v>2.8860769601510343E-2</v>
      </c>
      <c r="L34" s="11">
        <f t="shared" si="7"/>
        <v>2.5356016574038725E-2</v>
      </c>
      <c r="M34" s="11">
        <f t="shared" si="7"/>
        <v>2.5356016574038725E-2</v>
      </c>
      <c r="N34" s="11">
        <f t="shared" si="7"/>
        <v>2.5356016574038725E-2</v>
      </c>
      <c r="O34" s="11">
        <f t="shared" si="7"/>
        <v>2.5356016574038725E-2</v>
      </c>
      <c r="P34" s="11">
        <f t="shared" si="7"/>
        <v>2.5356016574038725E-2</v>
      </c>
      <c r="Q34" s="11">
        <f t="shared" si="7"/>
        <v>2.5356016574038725E-2</v>
      </c>
      <c r="R34" s="11">
        <f t="shared" si="7"/>
        <v>2.5356016574038725E-2</v>
      </c>
      <c r="S34" s="11">
        <f t="shared" si="7"/>
        <v>2.5356016574038725E-2</v>
      </c>
      <c r="T34" s="11">
        <f t="shared" si="7"/>
        <v>2.5356016574038725E-2</v>
      </c>
      <c r="U34" s="11">
        <f t="shared" si="7"/>
        <v>2.5356016574038725E-2</v>
      </c>
      <c r="V34" s="11">
        <f t="shared" si="7"/>
        <v>2.5356016574038725E-2</v>
      </c>
      <c r="W34" s="11">
        <f t="shared" si="7"/>
        <v>2.5356016574038725E-2</v>
      </c>
      <c r="X34" s="11">
        <f t="shared" si="7"/>
        <v>2.5356016574038725E-2</v>
      </c>
      <c r="Y34" s="11">
        <f t="shared" si="7"/>
        <v>2.5356016574038725E-2</v>
      </c>
      <c r="Z34" s="11">
        <f t="shared" si="7"/>
        <v>2.5356016574038725E-2</v>
      </c>
      <c r="AA34" s="11">
        <f t="shared" si="7"/>
        <v>2.5356016574038725E-2</v>
      </c>
      <c r="AB34" s="11">
        <f t="shared" si="7"/>
        <v>2.5356016574038725E-2</v>
      </c>
      <c r="AC34" s="11">
        <f t="shared" si="7"/>
        <v>2.5356016574038725E-2</v>
      </c>
      <c r="AD34" s="11">
        <f t="shared" si="7"/>
        <v>2.5356016574038725E-2</v>
      </c>
      <c r="AE34" s="11">
        <f t="shared" si="7"/>
        <v>2.5356016574038725E-2</v>
      </c>
    </row>
    <row r="35" spans="1:31" x14ac:dyDescent="0.35">
      <c r="A35" s="3" t="s">
        <v>179</v>
      </c>
      <c r="B35" s="11">
        <f t="shared" ref="B35:AE35" si="8">B21+B28</f>
        <v>2.3333757583471216E-3</v>
      </c>
      <c r="C35" s="11">
        <f t="shared" si="8"/>
        <v>2.3333757583471216E-3</v>
      </c>
      <c r="D35" s="11">
        <f t="shared" si="8"/>
        <v>2.3333757583471216E-3</v>
      </c>
      <c r="E35" s="11">
        <f t="shared" si="8"/>
        <v>2.3333757583471216E-3</v>
      </c>
      <c r="F35" s="11">
        <f t="shared" si="8"/>
        <v>2.3333757583471216E-3</v>
      </c>
      <c r="G35" s="11">
        <f t="shared" si="8"/>
        <v>2.3333757583471216E-3</v>
      </c>
      <c r="H35" s="11">
        <f t="shared" si="8"/>
        <v>2.3333757583471216E-3</v>
      </c>
      <c r="I35" s="11">
        <f t="shared" si="8"/>
        <v>2.3333757583471216E-3</v>
      </c>
      <c r="J35" s="11">
        <f t="shared" si="8"/>
        <v>2.3333757583471216E-3</v>
      </c>
      <c r="K35" s="11">
        <f t="shared" si="8"/>
        <v>2.3527801305579083E-3</v>
      </c>
      <c r="L35" s="11">
        <f t="shared" si="8"/>
        <v>2.3333757583471216E-3</v>
      </c>
      <c r="M35" s="11">
        <f t="shared" si="8"/>
        <v>2.3333757583471216E-3</v>
      </c>
      <c r="N35" s="11">
        <f t="shared" si="8"/>
        <v>2.3333757583471216E-3</v>
      </c>
      <c r="O35" s="11">
        <f t="shared" si="8"/>
        <v>2.3333757583471216E-3</v>
      </c>
      <c r="P35" s="11">
        <f t="shared" si="8"/>
        <v>2.3333757583471216E-3</v>
      </c>
      <c r="Q35" s="11">
        <f t="shared" si="8"/>
        <v>2.3333757583471216E-3</v>
      </c>
      <c r="R35" s="11">
        <f t="shared" si="8"/>
        <v>2.3333757583471216E-3</v>
      </c>
      <c r="S35" s="11">
        <f t="shared" si="8"/>
        <v>2.3333757583471216E-3</v>
      </c>
      <c r="T35" s="11">
        <f t="shared" si="8"/>
        <v>2.3333757583471216E-3</v>
      </c>
      <c r="U35" s="11">
        <f t="shared" si="8"/>
        <v>2.3333757583471216E-3</v>
      </c>
      <c r="V35" s="11">
        <f t="shared" si="8"/>
        <v>2.3333757583471216E-3</v>
      </c>
      <c r="W35" s="11">
        <f t="shared" si="8"/>
        <v>2.3333757583471216E-3</v>
      </c>
      <c r="X35" s="11">
        <f t="shared" si="8"/>
        <v>2.3333757583471216E-3</v>
      </c>
      <c r="Y35" s="11">
        <f t="shared" si="8"/>
        <v>2.3333757583471216E-3</v>
      </c>
      <c r="Z35" s="11">
        <f t="shared" si="8"/>
        <v>2.3333757583471216E-3</v>
      </c>
      <c r="AA35" s="11">
        <f t="shared" si="8"/>
        <v>2.3333757583471216E-3</v>
      </c>
      <c r="AB35" s="11">
        <f t="shared" si="8"/>
        <v>2.3333757583471216E-3</v>
      </c>
      <c r="AC35" s="11">
        <f t="shared" si="8"/>
        <v>2.3333757583471216E-3</v>
      </c>
      <c r="AD35" s="11">
        <f t="shared" si="8"/>
        <v>2.3333757583471216E-3</v>
      </c>
      <c r="AE35" s="11">
        <f t="shared" si="8"/>
        <v>2.3333757583471216E-3</v>
      </c>
    </row>
    <row r="36" spans="1:31" x14ac:dyDescent="0.35">
      <c r="A36" s="3" t="s">
        <v>180</v>
      </c>
      <c r="B36" s="11">
        <f t="shared" ref="B36:AE36" si="9">B22+B29</f>
        <v>1.9843839057943346E-4</v>
      </c>
      <c r="C36" s="11">
        <f t="shared" si="9"/>
        <v>1.9843839057943346E-4</v>
      </c>
      <c r="D36" s="11">
        <f t="shared" si="9"/>
        <v>1.9843839057943346E-4</v>
      </c>
      <c r="E36" s="11">
        <f t="shared" si="9"/>
        <v>1.9843839057943346E-4</v>
      </c>
      <c r="F36" s="11">
        <f t="shared" si="9"/>
        <v>1.9843839057943346E-4</v>
      </c>
      <c r="G36" s="11">
        <f t="shared" si="9"/>
        <v>1.9843839057943346E-4</v>
      </c>
      <c r="H36" s="11">
        <f t="shared" si="9"/>
        <v>1.9843839057943346E-4</v>
      </c>
      <c r="I36" s="11">
        <f t="shared" si="9"/>
        <v>1.9843839057943346E-4</v>
      </c>
      <c r="J36" s="11">
        <f t="shared" si="9"/>
        <v>1.9843839057943346E-4</v>
      </c>
      <c r="K36" s="11">
        <f t="shared" si="9"/>
        <v>2.2586689253355924E-4</v>
      </c>
      <c r="L36" s="11">
        <f t="shared" si="9"/>
        <v>1.9843839057943346E-4</v>
      </c>
      <c r="M36" s="11">
        <f t="shared" si="9"/>
        <v>1.9843839057943346E-4</v>
      </c>
      <c r="N36" s="11">
        <f t="shared" si="9"/>
        <v>1.9843839057943346E-4</v>
      </c>
      <c r="O36" s="11">
        <f t="shared" si="9"/>
        <v>1.9843839057943346E-4</v>
      </c>
      <c r="P36" s="11">
        <f t="shared" si="9"/>
        <v>1.9843839057943346E-4</v>
      </c>
      <c r="Q36" s="11">
        <f t="shared" si="9"/>
        <v>1.9843839057943346E-4</v>
      </c>
      <c r="R36" s="11">
        <f t="shared" si="9"/>
        <v>1.9843839057943346E-4</v>
      </c>
      <c r="S36" s="11">
        <f t="shared" si="9"/>
        <v>1.9843839057943346E-4</v>
      </c>
      <c r="T36" s="11">
        <f t="shared" si="9"/>
        <v>1.9843839057943346E-4</v>
      </c>
      <c r="U36" s="11">
        <f t="shared" si="9"/>
        <v>1.9843839057943346E-4</v>
      </c>
      <c r="V36" s="11">
        <f t="shared" si="9"/>
        <v>1.9843839057943346E-4</v>
      </c>
      <c r="W36" s="11">
        <f t="shared" si="9"/>
        <v>1.9843839057943346E-4</v>
      </c>
      <c r="X36" s="11">
        <f t="shared" si="9"/>
        <v>1.9843839057943346E-4</v>
      </c>
      <c r="Y36" s="11">
        <f t="shared" si="9"/>
        <v>1.9843839057943346E-4</v>
      </c>
      <c r="Z36" s="11">
        <f t="shared" si="9"/>
        <v>1.9843839057943346E-4</v>
      </c>
      <c r="AA36" s="11">
        <f t="shared" si="9"/>
        <v>1.9843839057943346E-4</v>
      </c>
      <c r="AB36" s="11">
        <f t="shared" si="9"/>
        <v>1.9843839057943346E-4</v>
      </c>
      <c r="AC36" s="11">
        <f t="shared" si="9"/>
        <v>1.9843839057943346E-4</v>
      </c>
      <c r="AD36" s="11">
        <f t="shared" si="9"/>
        <v>1.9843839057943346E-4</v>
      </c>
      <c r="AE36" s="11">
        <f t="shared" si="9"/>
        <v>1.9843839057943346E-4</v>
      </c>
    </row>
    <row r="37" spans="1:31" x14ac:dyDescent="0.35">
      <c r="A37" s="3" t="s">
        <v>181</v>
      </c>
      <c r="B37" s="11">
        <f t="shared" ref="B37:AE37" si="10">B23+B30</f>
        <v>1.8261201587064434E-5</v>
      </c>
      <c r="C37" s="11">
        <f t="shared" si="10"/>
        <v>1.8261201587064434E-5</v>
      </c>
      <c r="D37" s="11">
        <f t="shared" si="10"/>
        <v>1.8261201587064434E-5</v>
      </c>
      <c r="E37" s="11">
        <f t="shared" si="10"/>
        <v>1.8261201587064434E-5</v>
      </c>
      <c r="F37" s="11">
        <f t="shared" si="10"/>
        <v>1.8261201587064434E-5</v>
      </c>
      <c r="G37" s="11">
        <f t="shared" si="10"/>
        <v>1.8261201587064434E-5</v>
      </c>
      <c r="H37" s="11">
        <f t="shared" si="10"/>
        <v>1.8261201587064434E-5</v>
      </c>
      <c r="I37" s="11">
        <f t="shared" si="10"/>
        <v>1.8261201587064434E-5</v>
      </c>
      <c r="J37" s="11">
        <f t="shared" si="10"/>
        <v>1.8261201587064434E-5</v>
      </c>
      <c r="K37" s="11">
        <f t="shared" si="10"/>
        <v>1.8413061891322767E-5</v>
      </c>
      <c r="L37" s="11">
        <f t="shared" si="10"/>
        <v>1.8261201587064434E-5</v>
      </c>
      <c r="M37" s="11">
        <f t="shared" si="10"/>
        <v>1.8261201587064434E-5</v>
      </c>
      <c r="N37" s="11">
        <f t="shared" si="10"/>
        <v>1.8261201587064434E-5</v>
      </c>
      <c r="O37" s="11">
        <f t="shared" si="10"/>
        <v>1.8261201587064434E-5</v>
      </c>
      <c r="P37" s="11">
        <f t="shared" si="10"/>
        <v>1.8261201587064434E-5</v>
      </c>
      <c r="Q37" s="11">
        <f t="shared" si="10"/>
        <v>1.8261201587064434E-5</v>
      </c>
      <c r="R37" s="11">
        <f t="shared" si="10"/>
        <v>1.8261201587064434E-5</v>
      </c>
      <c r="S37" s="11">
        <f t="shared" si="10"/>
        <v>1.8261201587064434E-5</v>
      </c>
      <c r="T37" s="11">
        <f t="shared" si="10"/>
        <v>1.8261201587064434E-5</v>
      </c>
      <c r="U37" s="11">
        <f t="shared" si="10"/>
        <v>1.8261201587064434E-5</v>
      </c>
      <c r="V37" s="11">
        <f t="shared" si="10"/>
        <v>1.8261201587064434E-5</v>
      </c>
      <c r="W37" s="11">
        <f t="shared" si="10"/>
        <v>1.8261201587064434E-5</v>
      </c>
      <c r="X37" s="11">
        <f t="shared" si="10"/>
        <v>1.8261201587064434E-5</v>
      </c>
      <c r="Y37" s="11">
        <f t="shared" si="10"/>
        <v>1.8261201587064434E-5</v>
      </c>
      <c r="Z37" s="11">
        <f t="shared" si="10"/>
        <v>1.8261201587064434E-5</v>
      </c>
      <c r="AA37" s="11">
        <f t="shared" si="10"/>
        <v>1.8261201587064434E-5</v>
      </c>
      <c r="AB37" s="11">
        <f t="shared" si="10"/>
        <v>1.8261201587064434E-5</v>
      </c>
      <c r="AC37" s="11">
        <f t="shared" si="10"/>
        <v>1.8261201587064434E-5</v>
      </c>
      <c r="AD37" s="11">
        <f t="shared" si="10"/>
        <v>1.8261201587064434E-5</v>
      </c>
      <c r="AE37" s="11">
        <f t="shared" si="10"/>
        <v>1.8261201587064434E-5</v>
      </c>
    </row>
    <row r="38" spans="1:31" x14ac:dyDescent="0.35">
      <c r="A38" s="6" t="s">
        <v>182</v>
      </c>
      <c r="B38" s="7">
        <f>SUM(B33:B37)</f>
        <v>1.4100890919245523</v>
      </c>
      <c r="C38" s="7">
        <f t="shared" ref="C38:AE38" si="11">SUM(C33:C37)</f>
        <v>1.4100890919245523</v>
      </c>
      <c r="D38" s="7">
        <f t="shared" si="11"/>
        <v>1.4100890919245523</v>
      </c>
      <c r="E38" s="7">
        <f t="shared" si="11"/>
        <v>1.4100890919245523</v>
      </c>
      <c r="F38" s="7">
        <f t="shared" si="11"/>
        <v>1.4100890919245523</v>
      </c>
      <c r="G38" s="7">
        <f t="shared" si="11"/>
        <v>1.4100890919245523</v>
      </c>
      <c r="H38" s="7">
        <f t="shared" si="11"/>
        <v>1.4100890919245523</v>
      </c>
      <c r="I38" s="7">
        <f t="shared" si="11"/>
        <v>1.4100890919245523</v>
      </c>
      <c r="J38" s="7">
        <f t="shared" si="11"/>
        <v>1.4100890919245523</v>
      </c>
      <c r="K38" s="7">
        <f t="shared" si="11"/>
        <v>1.4136408296864931</v>
      </c>
      <c r="L38" s="7">
        <f t="shared" si="11"/>
        <v>1.4100890919245523</v>
      </c>
      <c r="M38" s="7">
        <f t="shared" si="11"/>
        <v>1.4100890919245523</v>
      </c>
      <c r="N38" s="7">
        <f t="shared" si="11"/>
        <v>1.4100890919245523</v>
      </c>
      <c r="O38" s="7">
        <f t="shared" si="11"/>
        <v>1.4100890919245523</v>
      </c>
      <c r="P38" s="7">
        <f t="shared" si="11"/>
        <v>1.4100890919245523</v>
      </c>
      <c r="Q38" s="7">
        <f t="shared" si="11"/>
        <v>1.4100890919245523</v>
      </c>
      <c r="R38" s="7">
        <f t="shared" si="11"/>
        <v>1.4100890919245523</v>
      </c>
      <c r="S38" s="7">
        <f t="shared" si="11"/>
        <v>1.4100890919245523</v>
      </c>
      <c r="T38" s="7">
        <f t="shared" si="11"/>
        <v>1.4100890919245523</v>
      </c>
      <c r="U38" s="7">
        <f t="shared" si="11"/>
        <v>1.4100890919245523</v>
      </c>
      <c r="V38" s="7">
        <f t="shared" si="11"/>
        <v>1.4100890919245523</v>
      </c>
      <c r="W38" s="7">
        <f t="shared" si="11"/>
        <v>1.4100890919245523</v>
      </c>
      <c r="X38" s="7">
        <f t="shared" si="11"/>
        <v>1.4100890919245523</v>
      </c>
      <c r="Y38" s="7">
        <f t="shared" si="11"/>
        <v>1.4100890919245523</v>
      </c>
      <c r="Z38" s="7">
        <f t="shared" si="11"/>
        <v>1.4100890919245523</v>
      </c>
      <c r="AA38" s="7">
        <f t="shared" si="11"/>
        <v>1.4100890919245523</v>
      </c>
      <c r="AB38" s="7">
        <f t="shared" si="11"/>
        <v>1.4100890919245523</v>
      </c>
      <c r="AC38" s="7">
        <f t="shared" si="11"/>
        <v>1.4100890919245523</v>
      </c>
      <c r="AD38" s="7">
        <f t="shared" si="11"/>
        <v>1.4100890919245523</v>
      </c>
      <c r="AE38" s="7">
        <f t="shared" si="11"/>
        <v>1.4100890919245523</v>
      </c>
    </row>
    <row r="39" spans="1:31" x14ac:dyDescent="0.35">
      <c r="A39" s="119" t="s">
        <v>187</v>
      </c>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row>
    <row r="40" spans="1:31" x14ac:dyDescent="0.35">
      <c r="A40" s="3" t="s">
        <v>177</v>
      </c>
      <c r="B40" s="11">
        <f>B5/(1-'Parameters, country spec'!B6/100)/(1-'Parameters, country spec'!B7/100)</f>
        <v>1.0606253447032372</v>
      </c>
      <c r="C40" s="11">
        <f>C5/(1-'Parameters, country spec'!C6/100)/(1-'Parameters, country spec'!C7/100)</f>
        <v>1.0606253447032372</v>
      </c>
      <c r="D40" s="11">
        <f>D5/(1-'Parameters, country spec'!D6/100)/(1-'Parameters, country spec'!D7/100)</f>
        <v>1.0606253447032372</v>
      </c>
      <c r="E40" s="11">
        <f>E5/(1-'Parameters, country spec'!E6/100)/(1-'Parameters, country spec'!E7/100)</f>
        <v>1.0606253447032372</v>
      </c>
      <c r="F40" s="11">
        <f>F5/(1-'Parameters, country spec'!F6/100)/(1-'Parameters, country spec'!F7/100)</f>
        <v>1.0606253447032372</v>
      </c>
      <c r="G40" s="11">
        <f>G5/(1-'Parameters, country spec'!G6/100)/(1-'Parameters, country spec'!G7/100)</f>
        <v>1.0606253447032372</v>
      </c>
      <c r="H40" s="11">
        <f>H5/(1-'Parameters, country spec'!H6/100)/(1-'Parameters, country spec'!H7/100)</f>
        <v>1.0606253447032372</v>
      </c>
      <c r="I40" s="11">
        <f>I5/(1-'Parameters, country spec'!I6/100)/(1-'Parameters, country spec'!I7/100)</f>
        <v>1.0606253447032372</v>
      </c>
      <c r="J40" s="11">
        <f>J5/(1-'Parameters, country spec'!J6/100)/(1-'Parameters, country spec'!J7/100)</f>
        <v>1.0606253447032372</v>
      </c>
      <c r="K40" s="11">
        <f>K5/(1-'Parameters, country spec'!K6/100)/(1-'Parameters, country spec'!K7/100)</f>
        <v>1.0694455138899583</v>
      </c>
      <c r="L40" s="11">
        <f>L5/(1-'Parameters, country spec'!L6/100)/(1-'Parameters, country spec'!L7/100)</f>
        <v>1.0606253447032372</v>
      </c>
      <c r="M40" s="11">
        <f>M5/(1-'Parameters, country spec'!M6/100)/(1-'Parameters, country spec'!M7/100)</f>
        <v>1.0606253447032372</v>
      </c>
      <c r="N40" s="11">
        <f>N5/(1-'Parameters, country spec'!N6/100)/(1-'Parameters, country spec'!N7/100)</f>
        <v>1.0606253447032372</v>
      </c>
      <c r="O40" s="11">
        <f>O5/(1-'Parameters, country spec'!O6/100)/(1-'Parameters, country spec'!O7/100)</f>
        <v>1.0606253447032372</v>
      </c>
      <c r="P40" s="11">
        <f>P5/(1-'Parameters, country spec'!P6/100)/(1-'Parameters, country spec'!P7/100)</f>
        <v>1.0606253447032372</v>
      </c>
      <c r="Q40" s="11">
        <f>Q5/(1-'Parameters, country spec'!Q6/100)/(1-'Parameters, country spec'!Q7/100)</f>
        <v>1.0606253447032372</v>
      </c>
      <c r="R40" s="11">
        <f>R5/(1-'Parameters, country spec'!R6/100)/(1-'Parameters, country spec'!R7/100)</f>
        <v>1.0606253447032372</v>
      </c>
      <c r="S40" s="11">
        <f>S5/(1-'Parameters, country spec'!S6/100)/(1-'Parameters, country spec'!S7/100)</f>
        <v>1.0606253447032372</v>
      </c>
      <c r="T40" s="11">
        <f>T5/(1-'Parameters, country spec'!T6/100)/(1-'Parameters, country spec'!T7/100)</f>
        <v>1.0606253447032372</v>
      </c>
      <c r="U40" s="11">
        <f>U5/(1-'Parameters, country spec'!U6/100)/(1-'Parameters, country spec'!U7/100)</f>
        <v>1.0606253447032372</v>
      </c>
      <c r="V40" s="11">
        <f>V5/(1-'Parameters, country spec'!V6/100)/(1-'Parameters, country spec'!V7/100)</f>
        <v>1.0606253447032372</v>
      </c>
      <c r="W40" s="11">
        <f>W5/(1-'Parameters, country spec'!W6/100)/(1-'Parameters, country spec'!W7/100)</f>
        <v>1.0606253447032372</v>
      </c>
      <c r="X40" s="11">
        <f>X5/(1-'Parameters, country spec'!X6/100)/(1-'Parameters, country spec'!X7/100)</f>
        <v>1.0606253447032372</v>
      </c>
      <c r="Y40" s="11">
        <f>Y5/(1-'Parameters, country spec'!Y6/100)/(1-'Parameters, country spec'!Y7/100)</f>
        <v>1.0606253447032372</v>
      </c>
      <c r="Z40" s="11">
        <f>Z5/(1-'Parameters, country spec'!Z6/100)/(1-'Parameters, country spec'!Z7/100)</f>
        <v>1.0606253447032372</v>
      </c>
      <c r="AA40" s="11">
        <f>AA5/(1-'Parameters, country spec'!AA6/100)/(1-'Parameters, country spec'!AA7/100)</f>
        <v>1.0606253447032372</v>
      </c>
      <c r="AB40" s="11">
        <f>AB5/(1-'Parameters, country spec'!AB6/100)/(1-'Parameters, country spec'!AB7/100)</f>
        <v>1.0606253447032372</v>
      </c>
      <c r="AC40" s="11">
        <f>AC5/(1-'Parameters, country spec'!AC6/100)/(1-'Parameters, country spec'!AC7/100)</f>
        <v>1.0606253447032372</v>
      </c>
      <c r="AD40" s="11">
        <f>AD5/(1-'Parameters, country spec'!AD6/100)/(1-'Parameters, country spec'!AD7/100)</f>
        <v>1.0606253447032372</v>
      </c>
      <c r="AE40" s="11">
        <f>AE5/(1-'Parameters, country spec'!AE6/100)/(1-'Parameters, country spec'!AE7/100)</f>
        <v>1.0606253447032372</v>
      </c>
    </row>
    <row r="41" spans="1:31" x14ac:dyDescent="0.35">
      <c r="A41" s="3" t="s">
        <v>178</v>
      </c>
      <c r="B41" s="11">
        <f>B40/'Parameters, country spec'!B14/(1-'Parameters, country spec'!B16/100)</f>
        <v>7.6856909036466465E-3</v>
      </c>
      <c r="C41" s="11">
        <f>C40/'Parameters, country spec'!C14/(1-'Parameters, country spec'!C16/100)</f>
        <v>7.6856909036466465E-3</v>
      </c>
      <c r="D41" s="11">
        <f>D40/'Parameters, country spec'!D14/(1-'Parameters, country spec'!D16/100)</f>
        <v>7.6856909036466465E-3</v>
      </c>
      <c r="E41" s="11">
        <f>E40/'Parameters, country spec'!E14/(1-'Parameters, country spec'!E16/100)</f>
        <v>7.6856909036466465E-3</v>
      </c>
      <c r="F41" s="11">
        <f>F40/'Parameters, country spec'!F14/(1-'Parameters, country spec'!F16/100)</f>
        <v>7.6856909036466465E-3</v>
      </c>
      <c r="G41" s="11">
        <f>G40/'Parameters, country spec'!G14/(1-'Parameters, country spec'!G16/100)</f>
        <v>7.6856909036466465E-3</v>
      </c>
      <c r="H41" s="11">
        <f>H40/'Parameters, country spec'!H14/(1-'Parameters, country spec'!H16/100)</f>
        <v>7.6856909036466465E-3</v>
      </c>
      <c r="I41" s="11">
        <f>I40/'Parameters, country spec'!I14/(1-'Parameters, country spec'!I16/100)</f>
        <v>7.6856909036466465E-3</v>
      </c>
      <c r="J41" s="11">
        <f>J40/'Parameters, country spec'!J14/(1-'Parameters, country spec'!J16/100)</f>
        <v>7.6856909036466465E-3</v>
      </c>
      <c r="K41" s="11">
        <f>K40/'Parameters, country spec'!K14/(1-'Parameters, country spec'!K16/100)</f>
        <v>7.7496051731156404E-3</v>
      </c>
      <c r="L41" s="11">
        <f>L40/'Parameters, country spec'!L14/(1-'Parameters, country spec'!L16/100)</f>
        <v>7.6856909036466465E-3</v>
      </c>
      <c r="M41" s="11">
        <f>M40/'Parameters, country spec'!M14/(1-'Parameters, country spec'!M16/100)</f>
        <v>7.6856909036466465E-3</v>
      </c>
      <c r="N41" s="11">
        <f>N40/'Parameters, country spec'!N14/(1-'Parameters, country spec'!N16/100)</f>
        <v>7.6856909036466465E-3</v>
      </c>
      <c r="O41" s="11">
        <f>O40/'Parameters, country spec'!O14/(1-'Parameters, country spec'!O16/100)</f>
        <v>7.6856909036466465E-3</v>
      </c>
      <c r="P41" s="11">
        <f>P40/'Parameters, country spec'!P14/(1-'Parameters, country spec'!P16/100)</f>
        <v>7.6856909036466465E-3</v>
      </c>
      <c r="Q41" s="11">
        <f>Q40/'Parameters, country spec'!Q14/(1-'Parameters, country spec'!Q16/100)</f>
        <v>7.6856909036466465E-3</v>
      </c>
      <c r="R41" s="11">
        <f>R40/'Parameters, country spec'!R14/(1-'Parameters, country spec'!R16/100)</f>
        <v>7.6856909036466465E-3</v>
      </c>
      <c r="S41" s="11">
        <f>S40/'Parameters, country spec'!S14/(1-'Parameters, country spec'!S16/100)</f>
        <v>7.6856909036466465E-3</v>
      </c>
      <c r="T41" s="11">
        <f>T40/'Parameters, country spec'!T14/(1-'Parameters, country spec'!T16/100)</f>
        <v>7.6856909036466465E-3</v>
      </c>
      <c r="U41" s="11">
        <f>U40/'Parameters, country spec'!U14/(1-'Parameters, country spec'!U16/100)</f>
        <v>7.6856909036466465E-3</v>
      </c>
      <c r="V41" s="11">
        <f>V40/'Parameters, country spec'!V14/(1-'Parameters, country spec'!V16/100)</f>
        <v>7.6856909036466465E-3</v>
      </c>
      <c r="W41" s="11">
        <f>W40/'Parameters, country spec'!W14/(1-'Parameters, country spec'!W16/100)</f>
        <v>7.6856909036466465E-3</v>
      </c>
      <c r="X41" s="11">
        <f>X40/'Parameters, country spec'!X14/(1-'Parameters, country spec'!X16/100)</f>
        <v>7.6856909036466465E-3</v>
      </c>
      <c r="Y41" s="11">
        <f>Y40/'Parameters, country spec'!Y14/(1-'Parameters, country spec'!Y16/100)</f>
        <v>7.6856909036466465E-3</v>
      </c>
      <c r="Z41" s="11">
        <f>Z40/'Parameters, country spec'!Z14/(1-'Parameters, country spec'!Z16/100)</f>
        <v>7.6856909036466465E-3</v>
      </c>
      <c r="AA41" s="11">
        <f>AA40/'Parameters, country spec'!AA14/(1-'Parameters, country spec'!AA16/100)</f>
        <v>7.6856909036466465E-3</v>
      </c>
      <c r="AB41" s="11">
        <f>AB40/'Parameters, country spec'!AB14/(1-'Parameters, country spec'!AB16/100)</f>
        <v>7.6856909036466465E-3</v>
      </c>
      <c r="AC41" s="11">
        <f>AC40/'Parameters, country spec'!AC14/(1-'Parameters, country spec'!AC16/100)</f>
        <v>7.6856909036466465E-3</v>
      </c>
      <c r="AD41" s="11">
        <f>AD40/'Parameters, country spec'!AD14/(1-'Parameters, country spec'!AD16/100)</f>
        <v>7.6856909036466465E-3</v>
      </c>
      <c r="AE41" s="11">
        <f>AE40/'Parameters, country spec'!AE14/(1-'Parameters, country spec'!AE16/100)</f>
        <v>7.6856909036466465E-3</v>
      </c>
    </row>
    <row r="42" spans="1:31" x14ac:dyDescent="0.35">
      <c r="A42" s="3" t="s">
        <v>179</v>
      </c>
      <c r="B42" s="242">
        <f>B41/'Parameters, country spec'!B15</f>
        <v>6.1485527229173168E-4</v>
      </c>
      <c r="C42" s="242">
        <f>C41/'Parameters, country spec'!C15</f>
        <v>6.1485527229173168E-4</v>
      </c>
      <c r="D42" s="242">
        <f>D41/'Parameters, country spec'!D15</f>
        <v>6.1485527229173168E-4</v>
      </c>
      <c r="E42" s="242">
        <f>E41/'Parameters, country spec'!E15</f>
        <v>6.1485527229173168E-4</v>
      </c>
      <c r="F42" s="242">
        <f>F41/'Parameters, country spec'!F15</f>
        <v>6.1485527229173168E-4</v>
      </c>
      <c r="G42" s="242">
        <f>G41/'Parameters, country spec'!G15</f>
        <v>6.1485527229173168E-4</v>
      </c>
      <c r="H42" s="242">
        <f>H41/'Parameters, country spec'!H15</f>
        <v>6.1485527229173168E-4</v>
      </c>
      <c r="I42" s="242">
        <f>I41/'Parameters, country spec'!I15</f>
        <v>6.1485527229173168E-4</v>
      </c>
      <c r="J42" s="242">
        <f>J41/'Parameters, country spec'!J15</f>
        <v>6.1485527229173168E-4</v>
      </c>
      <c r="K42" s="242">
        <f>K41/'Parameters, country spec'!K15</f>
        <v>6.1996841384925124E-4</v>
      </c>
      <c r="L42" s="242">
        <f>L41/'Parameters, country spec'!L15</f>
        <v>6.1485527229173168E-4</v>
      </c>
      <c r="M42" s="242">
        <f>M41/'Parameters, country spec'!M15</f>
        <v>6.1485527229173168E-4</v>
      </c>
      <c r="N42" s="242">
        <f>N41/'Parameters, country spec'!N15</f>
        <v>6.1485527229173168E-4</v>
      </c>
      <c r="O42" s="242">
        <f>O41/'Parameters, country spec'!O15</f>
        <v>6.1485527229173168E-4</v>
      </c>
      <c r="P42" s="242">
        <f>P41/'Parameters, country spec'!P15</f>
        <v>6.1485527229173168E-4</v>
      </c>
      <c r="Q42" s="242">
        <f>Q41/'Parameters, country spec'!Q15</f>
        <v>6.1485527229173168E-4</v>
      </c>
      <c r="R42" s="242">
        <f>R41/'Parameters, country spec'!R15</f>
        <v>6.1485527229173168E-4</v>
      </c>
      <c r="S42" s="242">
        <f>S41/'Parameters, country spec'!S15</f>
        <v>6.1485527229173168E-4</v>
      </c>
      <c r="T42" s="242">
        <f>T41/'Parameters, country spec'!T15</f>
        <v>6.1485527229173168E-4</v>
      </c>
      <c r="U42" s="242">
        <f>U41/'Parameters, country spec'!U15</f>
        <v>6.1485527229173168E-4</v>
      </c>
      <c r="V42" s="242">
        <f>V41/'Parameters, country spec'!V15</f>
        <v>6.1485527229173168E-4</v>
      </c>
      <c r="W42" s="242">
        <f>W41/'Parameters, country spec'!W15</f>
        <v>6.1485527229173168E-4</v>
      </c>
      <c r="X42" s="242">
        <f>X41/'Parameters, country spec'!X15</f>
        <v>6.1485527229173168E-4</v>
      </c>
      <c r="Y42" s="242">
        <f>Y41/'Parameters, country spec'!Y15</f>
        <v>6.1485527229173168E-4</v>
      </c>
      <c r="Z42" s="242">
        <f>Z41/'Parameters, country spec'!Z15</f>
        <v>6.1485527229173168E-4</v>
      </c>
      <c r="AA42" s="242">
        <f>AA41/'Parameters, country spec'!AA15</f>
        <v>6.1485527229173168E-4</v>
      </c>
      <c r="AB42" s="242">
        <f>AB41/'Parameters, country spec'!AB15</f>
        <v>6.1485527229173168E-4</v>
      </c>
      <c r="AC42" s="242">
        <f>AC41/'Parameters, country spec'!AC15</f>
        <v>6.1485527229173168E-4</v>
      </c>
      <c r="AD42" s="242">
        <f>AD41/'Parameters, country spec'!AD15</f>
        <v>6.1485527229173168E-4</v>
      </c>
      <c r="AE42" s="242">
        <f>AE41/'Parameters, country spec'!AE15</f>
        <v>6.1485527229173168E-4</v>
      </c>
    </row>
    <row r="43" spans="1:31" x14ac:dyDescent="0.35">
      <c r="A43" s="3" t="s">
        <v>180</v>
      </c>
      <c r="B43" s="242">
        <f>(B41+B42)/'Parameters, country spec'!B14/(1-'Parameters, country spec'!B16/100)</f>
        <v>6.0148885332886789E-5</v>
      </c>
      <c r="C43" s="242">
        <f>(C41+C42)/'Parameters, country spec'!C14/(1-'Parameters, country spec'!C16/100)</f>
        <v>6.0148885332886789E-5</v>
      </c>
      <c r="D43" s="242">
        <f>(D41+D42)/'Parameters, country spec'!D14/(1-'Parameters, country spec'!D16/100)</f>
        <v>6.0148885332886789E-5</v>
      </c>
      <c r="E43" s="242">
        <f>(E41+E42)/'Parameters, country spec'!E14/(1-'Parameters, country spec'!E16/100)</f>
        <v>6.0148885332886789E-5</v>
      </c>
      <c r="F43" s="242">
        <f>(F41+F42)/'Parameters, country spec'!F14/(1-'Parameters, country spec'!F16/100)</f>
        <v>6.0148885332886789E-5</v>
      </c>
      <c r="G43" s="242">
        <f>(G41+G42)/'Parameters, country spec'!G14/(1-'Parameters, country spec'!G16/100)</f>
        <v>6.0148885332886789E-5</v>
      </c>
      <c r="H43" s="242">
        <f>(H41+H42)/'Parameters, country spec'!H14/(1-'Parameters, country spec'!H16/100)</f>
        <v>6.0148885332886789E-5</v>
      </c>
      <c r="I43" s="242">
        <f>(I41+I42)/'Parameters, country spec'!I14/(1-'Parameters, country spec'!I16/100)</f>
        <v>6.0148885332886789E-5</v>
      </c>
      <c r="J43" s="242">
        <f>(J41+J42)/'Parameters, country spec'!J14/(1-'Parameters, country spec'!J16/100)</f>
        <v>6.0148885332886789E-5</v>
      </c>
      <c r="K43" s="242">
        <f>(K41+K42)/'Parameters, country spec'!K14/(1-'Parameters, country spec'!K16/100)</f>
        <v>6.0649083963513708E-5</v>
      </c>
      <c r="L43" s="242">
        <f>(L41+L42)/'Parameters, country spec'!L14/(1-'Parameters, country spec'!L16/100)</f>
        <v>6.0148885332886789E-5</v>
      </c>
      <c r="M43" s="242">
        <f>(M41+M42)/'Parameters, country spec'!M14/(1-'Parameters, country spec'!M16/100)</f>
        <v>6.0148885332886789E-5</v>
      </c>
      <c r="N43" s="242">
        <f>(N41+N42)/'Parameters, country spec'!N14/(1-'Parameters, country spec'!N16/100)</f>
        <v>6.0148885332886789E-5</v>
      </c>
      <c r="O43" s="242">
        <f>(O41+O42)/'Parameters, country spec'!O14/(1-'Parameters, country spec'!O16/100)</f>
        <v>6.0148885332886789E-5</v>
      </c>
      <c r="P43" s="242">
        <f>(P41+P42)/'Parameters, country spec'!P14/(1-'Parameters, country spec'!P16/100)</f>
        <v>6.0148885332886789E-5</v>
      </c>
      <c r="Q43" s="242">
        <f>(Q41+Q42)/'Parameters, country spec'!Q14/(1-'Parameters, country spec'!Q16/100)</f>
        <v>6.0148885332886789E-5</v>
      </c>
      <c r="R43" s="242">
        <f>(R41+R42)/'Parameters, country spec'!R14/(1-'Parameters, country spec'!R16/100)</f>
        <v>6.0148885332886789E-5</v>
      </c>
      <c r="S43" s="242">
        <f>(S41+S42)/'Parameters, country spec'!S14/(1-'Parameters, country spec'!S16/100)</f>
        <v>6.0148885332886789E-5</v>
      </c>
      <c r="T43" s="242">
        <f>(T41+T42)/'Parameters, country spec'!T14/(1-'Parameters, country spec'!T16/100)</f>
        <v>6.0148885332886789E-5</v>
      </c>
      <c r="U43" s="242">
        <f>(U41+U42)/'Parameters, country spec'!U14/(1-'Parameters, country spec'!U16/100)</f>
        <v>6.0148885332886789E-5</v>
      </c>
      <c r="V43" s="242">
        <f>(V41+V42)/'Parameters, country spec'!V14/(1-'Parameters, country spec'!V16/100)</f>
        <v>6.0148885332886789E-5</v>
      </c>
      <c r="W43" s="242">
        <f>(W41+W42)/'Parameters, country spec'!W14/(1-'Parameters, country spec'!W16/100)</f>
        <v>6.0148885332886789E-5</v>
      </c>
      <c r="X43" s="242">
        <f>(X41+X42)/'Parameters, country spec'!X14/(1-'Parameters, country spec'!X16/100)</f>
        <v>6.0148885332886789E-5</v>
      </c>
      <c r="Y43" s="242">
        <f>(Y41+Y42)/'Parameters, country spec'!Y14/(1-'Parameters, country spec'!Y16/100)</f>
        <v>6.0148885332886789E-5</v>
      </c>
      <c r="Z43" s="242">
        <f>(Z41+Z42)/'Parameters, country spec'!Z14/(1-'Parameters, country spec'!Z16/100)</f>
        <v>6.0148885332886789E-5</v>
      </c>
      <c r="AA43" s="242">
        <f>(AA41+AA42)/'Parameters, country spec'!AA14/(1-'Parameters, country spec'!AA16/100)</f>
        <v>6.0148885332886789E-5</v>
      </c>
      <c r="AB43" s="242">
        <f>(AB41+AB42)/'Parameters, country spec'!AB14/(1-'Parameters, country spec'!AB16/100)</f>
        <v>6.0148885332886789E-5</v>
      </c>
      <c r="AC43" s="242">
        <f>(AC41+AC42)/'Parameters, country spec'!AC14/(1-'Parameters, country spec'!AC16/100)</f>
        <v>6.0148885332886789E-5</v>
      </c>
      <c r="AD43" s="242">
        <f>(AD41+AD42)/'Parameters, country spec'!AD14/(1-'Parameters, country spec'!AD16/100)</f>
        <v>6.0148885332886789E-5</v>
      </c>
      <c r="AE43" s="242">
        <f>(AE41+AE42)/'Parameters, country spec'!AE14/(1-'Parameters, country spec'!AE16/100)</f>
        <v>6.0148885332886789E-5</v>
      </c>
    </row>
    <row r="44" spans="1:31" x14ac:dyDescent="0.35">
      <c r="A44" s="3" t="s">
        <v>181</v>
      </c>
      <c r="B44" s="242">
        <f>B43/'Parameters, country spec'!B15</f>
        <v>4.8119108266309435E-6</v>
      </c>
      <c r="C44" s="242">
        <f>C43/'Parameters, country spec'!C15</f>
        <v>4.8119108266309435E-6</v>
      </c>
      <c r="D44" s="242">
        <f>D43/'Parameters, country spec'!D15</f>
        <v>4.8119108266309435E-6</v>
      </c>
      <c r="E44" s="242">
        <f>E43/'Parameters, country spec'!E15</f>
        <v>4.8119108266309435E-6</v>
      </c>
      <c r="F44" s="242">
        <f>F43/'Parameters, country spec'!F15</f>
        <v>4.8119108266309435E-6</v>
      </c>
      <c r="G44" s="242">
        <f>G43/'Parameters, country spec'!G15</f>
        <v>4.8119108266309435E-6</v>
      </c>
      <c r="H44" s="242">
        <f>H43/'Parameters, country spec'!H15</f>
        <v>4.8119108266309435E-6</v>
      </c>
      <c r="I44" s="242">
        <f>I43/'Parameters, country spec'!I15</f>
        <v>4.8119108266309435E-6</v>
      </c>
      <c r="J44" s="242">
        <f>J43/'Parameters, country spec'!J15</f>
        <v>4.8119108266309435E-6</v>
      </c>
      <c r="K44" s="242">
        <f>K43/'Parameters, country spec'!K15</f>
        <v>4.851926717081097E-6</v>
      </c>
      <c r="L44" s="242">
        <f>L43/'Parameters, country spec'!L15</f>
        <v>4.8119108266309435E-6</v>
      </c>
      <c r="M44" s="242">
        <f>M43/'Parameters, country spec'!M15</f>
        <v>4.8119108266309435E-6</v>
      </c>
      <c r="N44" s="242">
        <f>N43/'Parameters, country spec'!N15</f>
        <v>4.8119108266309435E-6</v>
      </c>
      <c r="O44" s="242">
        <f>O43/'Parameters, country spec'!O15</f>
        <v>4.8119108266309435E-6</v>
      </c>
      <c r="P44" s="242">
        <f>P43/'Parameters, country spec'!P15</f>
        <v>4.8119108266309435E-6</v>
      </c>
      <c r="Q44" s="242">
        <f>Q43/'Parameters, country spec'!Q15</f>
        <v>4.8119108266309435E-6</v>
      </c>
      <c r="R44" s="242">
        <f>R43/'Parameters, country spec'!R15</f>
        <v>4.8119108266309435E-6</v>
      </c>
      <c r="S44" s="242">
        <f>S43/'Parameters, country spec'!S15</f>
        <v>4.8119108266309435E-6</v>
      </c>
      <c r="T44" s="242">
        <f>T43/'Parameters, country spec'!T15</f>
        <v>4.8119108266309435E-6</v>
      </c>
      <c r="U44" s="242">
        <f>U43/'Parameters, country spec'!U15</f>
        <v>4.8119108266309435E-6</v>
      </c>
      <c r="V44" s="242">
        <f>V43/'Parameters, country spec'!V15</f>
        <v>4.8119108266309435E-6</v>
      </c>
      <c r="W44" s="242">
        <f>W43/'Parameters, country spec'!W15</f>
        <v>4.8119108266309435E-6</v>
      </c>
      <c r="X44" s="242">
        <f>X43/'Parameters, country spec'!X15</f>
        <v>4.8119108266309435E-6</v>
      </c>
      <c r="Y44" s="242">
        <f>Y43/'Parameters, country spec'!Y15</f>
        <v>4.8119108266309435E-6</v>
      </c>
      <c r="Z44" s="242">
        <f>Z43/'Parameters, country spec'!Z15</f>
        <v>4.8119108266309435E-6</v>
      </c>
      <c r="AA44" s="242">
        <f>AA43/'Parameters, country spec'!AA15</f>
        <v>4.8119108266309435E-6</v>
      </c>
      <c r="AB44" s="242">
        <f>AB43/'Parameters, country spec'!AB15</f>
        <v>4.8119108266309435E-6</v>
      </c>
      <c r="AC44" s="242">
        <f>AC43/'Parameters, country spec'!AC15</f>
        <v>4.8119108266309435E-6</v>
      </c>
      <c r="AD44" s="242">
        <f>AD43/'Parameters, country spec'!AD15</f>
        <v>4.8119108266309435E-6</v>
      </c>
      <c r="AE44" s="242">
        <f>AE43/'Parameters, country spec'!AE15</f>
        <v>4.8119108266309435E-6</v>
      </c>
    </row>
    <row r="45" spans="1:31" x14ac:dyDescent="0.35">
      <c r="A45" s="6" t="s">
        <v>182</v>
      </c>
      <c r="B45" s="7">
        <f>SUM(B40:B44)</f>
        <v>1.0689908516753353</v>
      </c>
      <c r="C45" s="7">
        <f>SUM(C40:C44)</f>
        <v>1.0689908516753353</v>
      </c>
      <c r="D45" s="7">
        <f>SUM(D40:D44)</f>
        <v>1.0689908516753353</v>
      </c>
      <c r="E45" s="7">
        <f>SUM(E40:E44)</f>
        <v>1.0689908516753353</v>
      </c>
      <c r="F45" s="7">
        <f t="shared" ref="F45:AB45" si="12">SUM(F40:F44)</f>
        <v>1.0689908516753353</v>
      </c>
      <c r="G45" s="7">
        <f t="shared" si="12"/>
        <v>1.0689908516753353</v>
      </c>
      <c r="H45" s="7">
        <f t="shared" si="12"/>
        <v>1.0689908516753353</v>
      </c>
      <c r="I45" s="7">
        <f t="shared" si="12"/>
        <v>1.0689908516753353</v>
      </c>
      <c r="J45" s="7">
        <f t="shared" si="12"/>
        <v>1.0689908516753353</v>
      </c>
      <c r="K45" s="7">
        <f t="shared" si="12"/>
        <v>1.0778805884876037</v>
      </c>
      <c r="L45" s="7">
        <f t="shared" si="12"/>
        <v>1.0689908516753353</v>
      </c>
      <c r="M45" s="7">
        <f t="shared" si="12"/>
        <v>1.0689908516753353</v>
      </c>
      <c r="N45" s="7">
        <f t="shared" si="12"/>
        <v>1.0689908516753353</v>
      </c>
      <c r="O45" s="7">
        <f t="shared" si="12"/>
        <v>1.0689908516753353</v>
      </c>
      <c r="P45" s="7">
        <f t="shared" si="12"/>
        <v>1.0689908516753353</v>
      </c>
      <c r="Q45" s="7">
        <f t="shared" si="12"/>
        <v>1.0689908516753353</v>
      </c>
      <c r="R45" s="7">
        <f t="shared" si="12"/>
        <v>1.0689908516753353</v>
      </c>
      <c r="S45" s="7">
        <f t="shared" si="12"/>
        <v>1.0689908516753353</v>
      </c>
      <c r="T45" s="7">
        <f t="shared" si="12"/>
        <v>1.0689908516753353</v>
      </c>
      <c r="U45" s="7">
        <f t="shared" si="12"/>
        <v>1.0689908516753353</v>
      </c>
      <c r="V45" s="7">
        <f t="shared" si="12"/>
        <v>1.0689908516753353</v>
      </c>
      <c r="W45" s="7">
        <f t="shared" si="12"/>
        <v>1.0689908516753353</v>
      </c>
      <c r="X45" s="7">
        <f t="shared" si="12"/>
        <v>1.0689908516753353</v>
      </c>
      <c r="Y45" s="7">
        <f t="shared" si="12"/>
        <v>1.0689908516753353</v>
      </c>
      <c r="Z45" s="7">
        <f t="shared" si="12"/>
        <v>1.0689908516753353</v>
      </c>
      <c r="AA45" s="7">
        <f>SUM(AA40:AA44)</f>
        <v>1.0689908516753353</v>
      </c>
      <c r="AB45" s="7">
        <f t="shared" si="12"/>
        <v>1.0689908516753353</v>
      </c>
      <c r="AC45" s="7">
        <f t="shared" ref="AC45:AE45" si="13">SUM(AC40:AC44)</f>
        <v>1.0689908516753353</v>
      </c>
      <c r="AD45" s="7">
        <f t="shared" si="13"/>
        <v>1.0689908516753353</v>
      </c>
      <c r="AE45" s="7">
        <f t="shared" si="13"/>
        <v>1.0689908516753353</v>
      </c>
    </row>
    <row r="46" spans="1:31" x14ac:dyDescent="0.35">
      <c r="A46" s="119" t="s">
        <v>188</v>
      </c>
      <c r="B46" s="119" t="s">
        <v>81</v>
      </c>
      <c r="C46" s="119" t="s">
        <v>83</v>
      </c>
      <c r="D46" s="119" t="s">
        <v>85</v>
      </c>
      <c r="E46" s="119" t="s">
        <v>87</v>
      </c>
      <c r="F46" s="119" t="s">
        <v>89</v>
      </c>
      <c r="G46" s="119" t="s">
        <v>170</v>
      </c>
      <c r="H46" s="119" t="s">
        <v>23</v>
      </c>
      <c r="I46" s="119" t="s">
        <v>94</v>
      </c>
      <c r="J46" s="119" t="s">
        <v>96</v>
      </c>
      <c r="K46" s="119" t="s">
        <v>31</v>
      </c>
      <c r="L46" s="119" t="s">
        <v>24</v>
      </c>
      <c r="M46" s="119" t="s">
        <v>22</v>
      </c>
      <c r="N46" s="119" t="s">
        <v>32</v>
      </c>
      <c r="O46" s="119" t="s">
        <v>27</v>
      </c>
      <c r="P46" s="119" t="s">
        <v>30</v>
      </c>
      <c r="Q46" s="119" t="s">
        <v>104</v>
      </c>
      <c r="R46" s="119" t="s">
        <v>106</v>
      </c>
      <c r="S46" s="119" t="s">
        <v>108</v>
      </c>
      <c r="T46" s="119" t="s">
        <v>20</v>
      </c>
      <c r="U46" s="119" t="s">
        <v>19</v>
      </c>
      <c r="V46" s="119" t="s">
        <v>112</v>
      </c>
      <c r="W46" s="119" t="s">
        <v>114</v>
      </c>
      <c r="X46" s="119" t="s">
        <v>174</v>
      </c>
      <c r="Y46" s="119" t="s">
        <v>118</v>
      </c>
      <c r="Z46" s="119" t="s">
        <v>28</v>
      </c>
      <c r="AA46" s="119" t="s">
        <v>25</v>
      </c>
      <c r="AB46" s="119" t="s">
        <v>21</v>
      </c>
      <c r="AC46" s="119" t="s">
        <v>123</v>
      </c>
      <c r="AD46" s="119" t="s">
        <v>125</v>
      </c>
      <c r="AE46" s="119" t="s">
        <v>127</v>
      </c>
    </row>
    <row r="47" spans="1:31" x14ac:dyDescent="0.35">
      <c r="A47" s="3" t="s">
        <v>177</v>
      </c>
      <c r="B47" s="11">
        <f>B40/B38</f>
        <v>0.75216903015372494</v>
      </c>
      <c r="C47" s="11">
        <f t="shared" ref="C47:AE47" si="14">C40/C38</f>
        <v>0.75216903015372494</v>
      </c>
      <c r="D47" s="11">
        <f t="shared" si="14"/>
        <v>0.75216903015372494</v>
      </c>
      <c r="E47" s="11">
        <f t="shared" si="14"/>
        <v>0.75216903015372494</v>
      </c>
      <c r="F47" s="11">
        <f t="shared" si="14"/>
        <v>0.75216903015372494</v>
      </c>
      <c r="G47" s="11">
        <f t="shared" si="14"/>
        <v>0.75216903015372494</v>
      </c>
      <c r="H47" s="11">
        <f t="shared" si="14"/>
        <v>0.75216903015372494</v>
      </c>
      <c r="I47" s="11">
        <f t="shared" si="14"/>
        <v>0.75216903015372494</v>
      </c>
      <c r="J47" s="11">
        <f t="shared" si="14"/>
        <v>0.75216903015372494</v>
      </c>
      <c r="K47" s="11">
        <f t="shared" si="14"/>
        <v>0.75651855225993447</v>
      </c>
      <c r="L47" s="11">
        <f t="shared" si="14"/>
        <v>0.75216903015372494</v>
      </c>
      <c r="M47" s="11">
        <f t="shared" si="14"/>
        <v>0.75216903015372494</v>
      </c>
      <c r="N47" s="11">
        <f t="shared" si="14"/>
        <v>0.75216903015372494</v>
      </c>
      <c r="O47" s="11">
        <f t="shared" si="14"/>
        <v>0.75216903015372494</v>
      </c>
      <c r="P47" s="11">
        <f t="shared" si="14"/>
        <v>0.75216903015372494</v>
      </c>
      <c r="Q47" s="11">
        <f t="shared" si="14"/>
        <v>0.75216903015372494</v>
      </c>
      <c r="R47" s="11">
        <f t="shared" si="14"/>
        <v>0.75216903015372494</v>
      </c>
      <c r="S47" s="11">
        <f t="shared" si="14"/>
        <v>0.75216903015372494</v>
      </c>
      <c r="T47" s="11">
        <f t="shared" si="14"/>
        <v>0.75216903015372494</v>
      </c>
      <c r="U47" s="11">
        <f t="shared" si="14"/>
        <v>0.75216903015372494</v>
      </c>
      <c r="V47" s="11">
        <f t="shared" si="14"/>
        <v>0.75216903015372494</v>
      </c>
      <c r="W47" s="11">
        <f t="shared" si="14"/>
        <v>0.75216903015372494</v>
      </c>
      <c r="X47" s="11">
        <f t="shared" si="14"/>
        <v>0.75216903015372494</v>
      </c>
      <c r="Y47" s="11">
        <f t="shared" si="14"/>
        <v>0.75216903015372494</v>
      </c>
      <c r="Z47" s="11">
        <f t="shared" si="14"/>
        <v>0.75216903015372494</v>
      </c>
      <c r="AA47" s="11">
        <f t="shared" si="14"/>
        <v>0.75216903015372494</v>
      </c>
      <c r="AB47" s="11">
        <f t="shared" si="14"/>
        <v>0.75216903015372494</v>
      </c>
      <c r="AC47" s="11">
        <f t="shared" si="14"/>
        <v>0.75216903015372494</v>
      </c>
      <c r="AD47" s="11">
        <f t="shared" si="14"/>
        <v>0.75216903015372494</v>
      </c>
      <c r="AE47" s="11">
        <f t="shared" si="14"/>
        <v>0.75216903015372494</v>
      </c>
    </row>
    <row r="48" spans="1:31" x14ac:dyDescent="0.35">
      <c r="A48" s="3" t="s">
        <v>178</v>
      </c>
      <c r="B48" s="11">
        <f>B41/B38</f>
        <v>5.4505002185052534E-3</v>
      </c>
      <c r="C48" s="11">
        <f t="shared" ref="C48:AE48" si="15">C41/C38</f>
        <v>5.4505002185052534E-3</v>
      </c>
      <c r="D48" s="11">
        <f t="shared" si="15"/>
        <v>5.4505002185052534E-3</v>
      </c>
      <c r="E48" s="11">
        <f t="shared" si="15"/>
        <v>5.4505002185052534E-3</v>
      </c>
      <c r="F48" s="11">
        <f t="shared" si="15"/>
        <v>5.4505002185052534E-3</v>
      </c>
      <c r="G48" s="11">
        <f t="shared" si="15"/>
        <v>5.4505002185052534E-3</v>
      </c>
      <c r="H48" s="11">
        <f t="shared" si="15"/>
        <v>5.4505002185052534E-3</v>
      </c>
      <c r="I48" s="11">
        <f t="shared" si="15"/>
        <v>5.4505002185052534E-3</v>
      </c>
      <c r="J48" s="11">
        <f t="shared" si="15"/>
        <v>5.4505002185052534E-3</v>
      </c>
      <c r="K48" s="11">
        <f t="shared" si="15"/>
        <v>5.4820184946372062E-3</v>
      </c>
      <c r="L48" s="11">
        <f t="shared" si="15"/>
        <v>5.4505002185052534E-3</v>
      </c>
      <c r="M48" s="11">
        <f t="shared" si="15"/>
        <v>5.4505002185052534E-3</v>
      </c>
      <c r="N48" s="11">
        <f t="shared" si="15"/>
        <v>5.4505002185052534E-3</v>
      </c>
      <c r="O48" s="11">
        <f t="shared" si="15"/>
        <v>5.4505002185052534E-3</v>
      </c>
      <c r="P48" s="11">
        <f t="shared" si="15"/>
        <v>5.4505002185052534E-3</v>
      </c>
      <c r="Q48" s="11">
        <f t="shared" si="15"/>
        <v>5.4505002185052534E-3</v>
      </c>
      <c r="R48" s="11">
        <f t="shared" si="15"/>
        <v>5.4505002185052534E-3</v>
      </c>
      <c r="S48" s="11">
        <f t="shared" si="15"/>
        <v>5.4505002185052534E-3</v>
      </c>
      <c r="T48" s="11">
        <f t="shared" si="15"/>
        <v>5.4505002185052534E-3</v>
      </c>
      <c r="U48" s="11">
        <f t="shared" si="15"/>
        <v>5.4505002185052534E-3</v>
      </c>
      <c r="V48" s="11">
        <f t="shared" si="15"/>
        <v>5.4505002185052534E-3</v>
      </c>
      <c r="W48" s="11">
        <f t="shared" si="15"/>
        <v>5.4505002185052534E-3</v>
      </c>
      <c r="X48" s="11">
        <f t="shared" si="15"/>
        <v>5.4505002185052534E-3</v>
      </c>
      <c r="Y48" s="11">
        <f t="shared" si="15"/>
        <v>5.4505002185052534E-3</v>
      </c>
      <c r="Z48" s="11">
        <f t="shared" si="15"/>
        <v>5.4505002185052534E-3</v>
      </c>
      <c r="AA48" s="11">
        <f t="shared" si="15"/>
        <v>5.4505002185052534E-3</v>
      </c>
      <c r="AB48" s="11">
        <f t="shared" si="15"/>
        <v>5.4505002185052534E-3</v>
      </c>
      <c r="AC48" s="11">
        <f t="shared" si="15"/>
        <v>5.4505002185052534E-3</v>
      </c>
      <c r="AD48" s="11">
        <f t="shared" si="15"/>
        <v>5.4505002185052534E-3</v>
      </c>
      <c r="AE48" s="11">
        <f t="shared" si="15"/>
        <v>5.4505002185052534E-3</v>
      </c>
    </row>
    <row r="49" spans="1:31" x14ac:dyDescent="0.35">
      <c r="A49" s="3" t="s">
        <v>179</v>
      </c>
      <c r="B49" s="11">
        <f>B42/B38</f>
        <v>4.3604001748042022E-4</v>
      </c>
      <c r="C49" s="11">
        <f t="shared" ref="C49:AE49" si="16">C42/C38</f>
        <v>4.3604001748042022E-4</v>
      </c>
      <c r="D49" s="11">
        <f t="shared" si="16"/>
        <v>4.3604001748042022E-4</v>
      </c>
      <c r="E49" s="11">
        <f t="shared" si="16"/>
        <v>4.3604001748042022E-4</v>
      </c>
      <c r="F49" s="11">
        <f t="shared" si="16"/>
        <v>4.3604001748042022E-4</v>
      </c>
      <c r="G49" s="11">
        <f t="shared" si="16"/>
        <v>4.3604001748042022E-4</v>
      </c>
      <c r="H49" s="11">
        <f t="shared" si="16"/>
        <v>4.3604001748042022E-4</v>
      </c>
      <c r="I49" s="11">
        <f t="shared" si="16"/>
        <v>4.3604001748042022E-4</v>
      </c>
      <c r="J49" s="11">
        <f t="shared" si="16"/>
        <v>4.3604001748042022E-4</v>
      </c>
      <c r="K49" s="11">
        <f t="shared" si="16"/>
        <v>4.3856147957097654E-4</v>
      </c>
      <c r="L49" s="11">
        <f t="shared" si="16"/>
        <v>4.3604001748042022E-4</v>
      </c>
      <c r="M49" s="11">
        <f t="shared" si="16"/>
        <v>4.3604001748042022E-4</v>
      </c>
      <c r="N49" s="11">
        <f t="shared" si="16"/>
        <v>4.3604001748042022E-4</v>
      </c>
      <c r="O49" s="11">
        <f t="shared" si="16"/>
        <v>4.3604001748042022E-4</v>
      </c>
      <c r="P49" s="11">
        <f t="shared" si="16"/>
        <v>4.3604001748042022E-4</v>
      </c>
      <c r="Q49" s="11">
        <f t="shared" si="16"/>
        <v>4.3604001748042022E-4</v>
      </c>
      <c r="R49" s="11">
        <f t="shared" si="16"/>
        <v>4.3604001748042022E-4</v>
      </c>
      <c r="S49" s="11">
        <f t="shared" si="16"/>
        <v>4.3604001748042022E-4</v>
      </c>
      <c r="T49" s="11">
        <f t="shared" si="16"/>
        <v>4.3604001748042022E-4</v>
      </c>
      <c r="U49" s="11">
        <f t="shared" si="16"/>
        <v>4.3604001748042022E-4</v>
      </c>
      <c r="V49" s="11">
        <f t="shared" si="16"/>
        <v>4.3604001748042022E-4</v>
      </c>
      <c r="W49" s="11">
        <f t="shared" si="16"/>
        <v>4.3604001748042022E-4</v>
      </c>
      <c r="X49" s="11">
        <f t="shared" si="16"/>
        <v>4.3604001748042022E-4</v>
      </c>
      <c r="Y49" s="11">
        <f t="shared" si="16"/>
        <v>4.3604001748042022E-4</v>
      </c>
      <c r="Z49" s="11">
        <f t="shared" si="16"/>
        <v>4.3604001748042022E-4</v>
      </c>
      <c r="AA49" s="11">
        <f t="shared" si="16"/>
        <v>4.3604001748042022E-4</v>
      </c>
      <c r="AB49" s="11">
        <f t="shared" si="16"/>
        <v>4.3604001748042022E-4</v>
      </c>
      <c r="AC49" s="11">
        <f t="shared" si="16"/>
        <v>4.3604001748042022E-4</v>
      </c>
      <c r="AD49" s="11">
        <f t="shared" si="16"/>
        <v>4.3604001748042022E-4</v>
      </c>
      <c r="AE49" s="11">
        <f t="shared" si="16"/>
        <v>4.3604001748042022E-4</v>
      </c>
    </row>
    <row r="50" spans="1:31" x14ac:dyDescent="0.35">
      <c r="A50" s="3" t="s">
        <v>180</v>
      </c>
      <c r="B50" s="11">
        <f>B43/B38</f>
        <v>4.2656088666562841E-5</v>
      </c>
      <c r="C50" s="11">
        <f t="shared" ref="C50:AE50" si="17">C43/C38</f>
        <v>4.2656088666562841E-5</v>
      </c>
      <c r="D50" s="11">
        <f t="shared" si="17"/>
        <v>4.2656088666562841E-5</v>
      </c>
      <c r="E50" s="11">
        <f t="shared" si="17"/>
        <v>4.2656088666562841E-5</v>
      </c>
      <c r="F50" s="11">
        <f t="shared" si="17"/>
        <v>4.2656088666562841E-5</v>
      </c>
      <c r="G50" s="11">
        <f t="shared" si="17"/>
        <v>4.2656088666562841E-5</v>
      </c>
      <c r="H50" s="11">
        <f t="shared" si="17"/>
        <v>4.2656088666562841E-5</v>
      </c>
      <c r="I50" s="11">
        <f t="shared" si="17"/>
        <v>4.2656088666562841E-5</v>
      </c>
      <c r="J50" s="11">
        <f t="shared" si="17"/>
        <v>4.2656088666562841E-5</v>
      </c>
      <c r="K50" s="11">
        <f t="shared" si="17"/>
        <v>4.2902753436291184E-5</v>
      </c>
      <c r="L50" s="11">
        <f t="shared" si="17"/>
        <v>4.2656088666562841E-5</v>
      </c>
      <c r="M50" s="11">
        <f t="shared" si="17"/>
        <v>4.2656088666562841E-5</v>
      </c>
      <c r="N50" s="11">
        <f t="shared" si="17"/>
        <v>4.2656088666562841E-5</v>
      </c>
      <c r="O50" s="11">
        <f t="shared" si="17"/>
        <v>4.2656088666562841E-5</v>
      </c>
      <c r="P50" s="11">
        <f t="shared" si="17"/>
        <v>4.2656088666562841E-5</v>
      </c>
      <c r="Q50" s="11">
        <f t="shared" si="17"/>
        <v>4.2656088666562841E-5</v>
      </c>
      <c r="R50" s="11">
        <f t="shared" si="17"/>
        <v>4.2656088666562841E-5</v>
      </c>
      <c r="S50" s="11">
        <f t="shared" si="17"/>
        <v>4.2656088666562841E-5</v>
      </c>
      <c r="T50" s="11">
        <f t="shared" si="17"/>
        <v>4.2656088666562841E-5</v>
      </c>
      <c r="U50" s="11">
        <f t="shared" si="17"/>
        <v>4.2656088666562841E-5</v>
      </c>
      <c r="V50" s="11">
        <f t="shared" si="17"/>
        <v>4.2656088666562841E-5</v>
      </c>
      <c r="W50" s="11">
        <f t="shared" si="17"/>
        <v>4.2656088666562841E-5</v>
      </c>
      <c r="X50" s="11">
        <f t="shared" si="17"/>
        <v>4.2656088666562841E-5</v>
      </c>
      <c r="Y50" s="11">
        <f t="shared" si="17"/>
        <v>4.2656088666562841E-5</v>
      </c>
      <c r="Z50" s="11">
        <f t="shared" si="17"/>
        <v>4.2656088666562841E-5</v>
      </c>
      <c r="AA50" s="11">
        <f t="shared" si="17"/>
        <v>4.2656088666562841E-5</v>
      </c>
      <c r="AB50" s="11">
        <f t="shared" si="17"/>
        <v>4.2656088666562841E-5</v>
      </c>
      <c r="AC50" s="11">
        <f t="shared" si="17"/>
        <v>4.2656088666562841E-5</v>
      </c>
      <c r="AD50" s="11">
        <f t="shared" si="17"/>
        <v>4.2656088666562841E-5</v>
      </c>
      <c r="AE50" s="11">
        <f t="shared" si="17"/>
        <v>4.2656088666562841E-5</v>
      </c>
    </row>
    <row r="51" spans="1:31" x14ac:dyDescent="0.35">
      <c r="A51" s="3" t="s">
        <v>181</v>
      </c>
      <c r="B51" s="11">
        <f>B44/B38</f>
        <v>3.4124870933250277E-6</v>
      </c>
      <c r="C51" s="11">
        <f t="shared" ref="C51:AE51" si="18">C44/C38</f>
        <v>3.4124870933250277E-6</v>
      </c>
      <c r="D51" s="11">
        <f t="shared" si="18"/>
        <v>3.4124870933250277E-6</v>
      </c>
      <c r="E51" s="11">
        <f t="shared" si="18"/>
        <v>3.4124870933250277E-6</v>
      </c>
      <c r="F51" s="11">
        <f t="shared" si="18"/>
        <v>3.4124870933250277E-6</v>
      </c>
      <c r="G51" s="11">
        <f t="shared" si="18"/>
        <v>3.4124870933250277E-6</v>
      </c>
      <c r="H51" s="11">
        <f t="shared" si="18"/>
        <v>3.4124870933250277E-6</v>
      </c>
      <c r="I51" s="11">
        <f t="shared" si="18"/>
        <v>3.4124870933250277E-6</v>
      </c>
      <c r="J51" s="11">
        <f t="shared" si="18"/>
        <v>3.4124870933250277E-6</v>
      </c>
      <c r="K51" s="11">
        <f t="shared" si="18"/>
        <v>3.4322202749032946E-6</v>
      </c>
      <c r="L51" s="11">
        <f t="shared" si="18"/>
        <v>3.4124870933250277E-6</v>
      </c>
      <c r="M51" s="11">
        <f t="shared" si="18"/>
        <v>3.4124870933250277E-6</v>
      </c>
      <c r="N51" s="11">
        <f t="shared" si="18"/>
        <v>3.4124870933250277E-6</v>
      </c>
      <c r="O51" s="11">
        <f t="shared" si="18"/>
        <v>3.4124870933250277E-6</v>
      </c>
      <c r="P51" s="11">
        <f t="shared" si="18"/>
        <v>3.4124870933250277E-6</v>
      </c>
      <c r="Q51" s="11">
        <f t="shared" si="18"/>
        <v>3.4124870933250277E-6</v>
      </c>
      <c r="R51" s="11">
        <f t="shared" si="18"/>
        <v>3.4124870933250277E-6</v>
      </c>
      <c r="S51" s="11">
        <f t="shared" si="18"/>
        <v>3.4124870933250277E-6</v>
      </c>
      <c r="T51" s="11">
        <f t="shared" si="18"/>
        <v>3.4124870933250277E-6</v>
      </c>
      <c r="U51" s="11">
        <f t="shared" si="18"/>
        <v>3.4124870933250277E-6</v>
      </c>
      <c r="V51" s="11">
        <f t="shared" si="18"/>
        <v>3.4124870933250277E-6</v>
      </c>
      <c r="W51" s="11">
        <f t="shared" si="18"/>
        <v>3.4124870933250277E-6</v>
      </c>
      <c r="X51" s="11">
        <f t="shared" si="18"/>
        <v>3.4124870933250277E-6</v>
      </c>
      <c r="Y51" s="11">
        <f t="shared" si="18"/>
        <v>3.4124870933250277E-6</v>
      </c>
      <c r="Z51" s="11">
        <f t="shared" si="18"/>
        <v>3.4124870933250277E-6</v>
      </c>
      <c r="AA51" s="11">
        <f t="shared" si="18"/>
        <v>3.4124870933250277E-6</v>
      </c>
      <c r="AB51" s="11">
        <f t="shared" si="18"/>
        <v>3.4124870933250277E-6</v>
      </c>
      <c r="AC51" s="11">
        <f t="shared" si="18"/>
        <v>3.4124870933250277E-6</v>
      </c>
      <c r="AD51" s="11">
        <f t="shared" si="18"/>
        <v>3.4124870933250277E-6</v>
      </c>
      <c r="AE51" s="11">
        <f t="shared" si="18"/>
        <v>3.4124870933250277E-6</v>
      </c>
    </row>
    <row r="52" spans="1:31" x14ac:dyDescent="0.35">
      <c r="A52" s="6" t="s">
        <v>182</v>
      </c>
      <c r="B52" s="7">
        <f>SUM(B47:B51)</f>
        <v>0.75810163896547056</v>
      </c>
      <c r="C52" s="7">
        <f t="shared" ref="C52:AE52" si="19">SUM(C47:C51)</f>
        <v>0.75810163896547056</v>
      </c>
      <c r="D52" s="7">
        <f t="shared" si="19"/>
        <v>0.75810163896547056</v>
      </c>
      <c r="E52" s="7">
        <f t="shared" si="19"/>
        <v>0.75810163896547056</v>
      </c>
      <c r="F52" s="7">
        <f t="shared" si="19"/>
        <v>0.75810163896547056</v>
      </c>
      <c r="G52" s="7">
        <f t="shared" si="19"/>
        <v>0.75810163896547056</v>
      </c>
      <c r="H52" s="7">
        <f t="shared" si="19"/>
        <v>0.75810163896547056</v>
      </c>
      <c r="I52" s="7">
        <f t="shared" si="19"/>
        <v>0.75810163896547056</v>
      </c>
      <c r="J52" s="7">
        <f t="shared" si="19"/>
        <v>0.75810163896547056</v>
      </c>
      <c r="K52" s="7">
        <f t="shared" si="19"/>
        <v>0.76248546720785393</v>
      </c>
      <c r="L52" s="7">
        <f t="shared" si="19"/>
        <v>0.75810163896547056</v>
      </c>
      <c r="M52" s="7">
        <f t="shared" si="19"/>
        <v>0.75810163896547056</v>
      </c>
      <c r="N52" s="7">
        <f t="shared" si="19"/>
        <v>0.75810163896547056</v>
      </c>
      <c r="O52" s="7">
        <f t="shared" si="19"/>
        <v>0.75810163896547056</v>
      </c>
      <c r="P52" s="7">
        <f t="shared" si="19"/>
        <v>0.75810163896547056</v>
      </c>
      <c r="Q52" s="7">
        <f t="shared" si="19"/>
        <v>0.75810163896547056</v>
      </c>
      <c r="R52" s="7">
        <f t="shared" si="19"/>
        <v>0.75810163896547056</v>
      </c>
      <c r="S52" s="7">
        <f t="shared" si="19"/>
        <v>0.75810163896547056</v>
      </c>
      <c r="T52" s="7">
        <f t="shared" si="19"/>
        <v>0.75810163896547056</v>
      </c>
      <c r="U52" s="7">
        <f t="shared" si="19"/>
        <v>0.75810163896547056</v>
      </c>
      <c r="V52" s="7">
        <f t="shared" si="19"/>
        <v>0.75810163896547056</v>
      </c>
      <c r="W52" s="7">
        <f t="shared" si="19"/>
        <v>0.75810163896547056</v>
      </c>
      <c r="X52" s="7">
        <f t="shared" si="19"/>
        <v>0.75810163896547056</v>
      </c>
      <c r="Y52" s="7">
        <f t="shared" si="19"/>
        <v>0.75810163896547056</v>
      </c>
      <c r="Z52" s="7">
        <f t="shared" si="19"/>
        <v>0.75810163896547056</v>
      </c>
      <c r="AA52" s="7">
        <f t="shared" si="19"/>
        <v>0.75810163896547056</v>
      </c>
      <c r="AB52" s="7">
        <f t="shared" si="19"/>
        <v>0.75810163896547056</v>
      </c>
      <c r="AC52" s="7">
        <f t="shared" si="19"/>
        <v>0.75810163896547056</v>
      </c>
      <c r="AD52" s="7">
        <f t="shared" si="19"/>
        <v>0.75810163896547056</v>
      </c>
      <c r="AE52" s="7">
        <f t="shared" si="19"/>
        <v>0.75810163896547056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tint="0.39997558519241921"/>
  </sheetPr>
  <dimension ref="A2:AU109"/>
  <sheetViews>
    <sheetView topLeftCell="A2" zoomScale="80" zoomScaleNormal="80" workbookViewId="0">
      <pane xSplit="1" topLeftCell="B1" activePane="topRight" state="frozen"/>
      <selection pane="topRight" activeCell="A32" sqref="A32"/>
    </sheetView>
  </sheetViews>
  <sheetFormatPr defaultColWidth="8.81640625" defaultRowHeight="14.5" x14ac:dyDescent="0.35"/>
  <cols>
    <col min="1" max="1" width="56.453125" customWidth="1"/>
    <col min="2" max="31" width="10.54296875" customWidth="1"/>
    <col min="33" max="33" width="30.453125" customWidth="1"/>
    <col min="35" max="35" width="41.54296875" customWidth="1"/>
    <col min="36" max="36" width="44.81640625" customWidth="1"/>
  </cols>
  <sheetData>
    <row r="2" spans="1:36" ht="18.5" x14ac:dyDescent="0.45">
      <c r="A2" s="1" t="s">
        <v>189</v>
      </c>
    </row>
    <row r="3" spans="1:36" x14ac:dyDescent="0.35">
      <c r="B3" t="s">
        <v>82</v>
      </c>
      <c r="C3" t="s">
        <v>84</v>
      </c>
      <c r="D3" t="s">
        <v>86</v>
      </c>
      <c r="E3" t="s">
        <v>88</v>
      </c>
      <c r="F3" t="s">
        <v>90</v>
      </c>
      <c r="G3" t="s">
        <v>92</v>
      </c>
      <c r="H3" t="s">
        <v>93</v>
      </c>
      <c r="I3" t="s">
        <v>95</v>
      </c>
      <c r="J3" t="s">
        <v>97</v>
      </c>
      <c r="K3" t="s">
        <v>98</v>
      </c>
      <c r="L3" t="s">
        <v>99</v>
      </c>
      <c r="M3" t="s">
        <v>100</v>
      </c>
      <c r="N3" t="s">
        <v>101</v>
      </c>
      <c r="O3" t="s">
        <v>102</v>
      </c>
      <c r="P3" t="s">
        <v>103</v>
      </c>
      <c r="Q3" t="s">
        <v>105</v>
      </c>
      <c r="R3" t="s">
        <v>107</v>
      </c>
      <c r="S3" t="s">
        <v>109</v>
      </c>
      <c r="T3" t="s">
        <v>110</v>
      </c>
      <c r="U3" t="s">
        <v>111</v>
      </c>
      <c r="V3" t="s">
        <v>113</v>
      </c>
      <c r="W3" t="s">
        <v>115</v>
      </c>
      <c r="X3" t="s">
        <v>117</v>
      </c>
      <c r="Y3" t="s">
        <v>119</v>
      </c>
      <c r="Z3" t="s">
        <v>120</v>
      </c>
      <c r="AA3" s="18" t="s">
        <v>121</v>
      </c>
      <c r="AB3" t="s">
        <v>122</v>
      </c>
      <c r="AC3" t="s">
        <v>190</v>
      </c>
      <c r="AD3" t="s">
        <v>191</v>
      </c>
      <c r="AE3" t="s">
        <v>192</v>
      </c>
    </row>
    <row r="4" spans="1:36" x14ac:dyDescent="0.35">
      <c r="A4" s="170" t="s">
        <v>193</v>
      </c>
      <c r="B4" s="170" t="s">
        <v>81</v>
      </c>
      <c r="C4" s="170" t="s">
        <v>83</v>
      </c>
      <c r="D4" s="170" t="s">
        <v>85</v>
      </c>
      <c r="E4" s="170" t="s">
        <v>87</v>
      </c>
      <c r="F4" s="170" t="s">
        <v>89</v>
      </c>
      <c r="G4" s="170" t="s">
        <v>170</v>
      </c>
      <c r="H4" s="170" t="s">
        <v>23</v>
      </c>
      <c r="I4" s="170" t="s">
        <v>94</v>
      </c>
      <c r="J4" s="170" t="s">
        <v>96</v>
      </c>
      <c r="K4" s="170" t="s">
        <v>31</v>
      </c>
      <c r="L4" s="170" t="s">
        <v>24</v>
      </c>
      <c r="M4" s="170" t="s">
        <v>22</v>
      </c>
      <c r="N4" s="170" t="s">
        <v>32</v>
      </c>
      <c r="O4" s="170" t="s">
        <v>27</v>
      </c>
      <c r="P4" s="170" t="s">
        <v>30</v>
      </c>
      <c r="Q4" s="170" t="s">
        <v>104</v>
      </c>
      <c r="R4" s="170" t="s">
        <v>106</v>
      </c>
      <c r="S4" s="170" t="s">
        <v>108</v>
      </c>
      <c r="T4" s="170" t="s">
        <v>20</v>
      </c>
      <c r="U4" s="170" t="s">
        <v>19</v>
      </c>
      <c r="V4" s="170" t="s">
        <v>112</v>
      </c>
      <c r="W4" s="170" t="s">
        <v>114</v>
      </c>
      <c r="X4" s="170" t="s">
        <v>174</v>
      </c>
      <c r="Y4" s="170" t="s">
        <v>118</v>
      </c>
      <c r="Z4" s="170" t="s">
        <v>28</v>
      </c>
      <c r="AA4" s="170" t="s">
        <v>25</v>
      </c>
      <c r="AB4" s="231" t="s">
        <v>21</v>
      </c>
      <c r="AC4" s="170" t="s">
        <v>123</v>
      </c>
      <c r="AD4" s="170" t="s">
        <v>125</v>
      </c>
      <c r="AE4" s="170" t="s">
        <v>127</v>
      </c>
      <c r="AG4" s="170" t="s">
        <v>194</v>
      </c>
      <c r="AH4" s="170" t="s">
        <v>195</v>
      </c>
      <c r="AI4" s="170" t="s">
        <v>196</v>
      </c>
      <c r="AJ4" s="170" t="s">
        <v>195</v>
      </c>
    </row>
    <row r="5" spans="1:36" x14ac:dyDescent="0.35">
      <c r="A5" s="3" t="s">
        <v>197</v>
      </c>
      <c r="B5" s="14">
        <v>35</v>
      </c>
      <c r="C5" s="14">
        <v>35</v>
      </c>
      <c r="D5" s="14">
        <v>35</v>
      </c>
      <c r="E5" s="14">
        <v>35</v>
      </c>
      <c r="F5" s="14">
        <v>35</v>
      </c>
      <c r="G5" s="14">
        <v>35</v>
      </c>
      <c r="H5" s="14">
        <v>35</v>
      </c>
      <c r="I5" s="14">
        <v>35</v>
      </c>
      <c r="J5" s="14">
        <v>35</v>
      </c>
      <c r="K5" s="252">
        <v>35.6</v>
      </c>
      <c r="L5" s="14">
        <v>35</v>
      </c>
      <c r="M5" s="14">
        <v>35</v>
      </c>
      <c r="N5" s="14">
        <v>35</v>
      </c>
      <c r="O5" s="14">
        <v>35</v>
      </c>
      <c r="P5" s="14">
        <v>35</v>
      </c>
      <c r="Q5" s="14">
        <v>35</v>
      </c>
      <c r="R5" s="14">
        <v>35</v>
      </c>
      <c r="S5" s="14">
        <v>35</v>
      </c>
      <c r="T5" s="14">
        <v>35</v>
      </c>
      <c r="U5" s="14">
        <v>35</v>
      </c>
      <c r="V5" s="14">
        <v>35</v>
      </c>
      <c r="W5" s="14">
        <v>35</v>
      </c>
      <c r="X5" s="14">
        <v>35</v>
      </c>
      <c r="Y5" s="14">
        <v>35</v>
      </c>
      <c r="Z5" s="14">
        <v>35</v>
      </c>
      <c r="AA5" s="252">
        <v>35</v>
      </c>
      <c r="AB5" s="232">
        <v>35</v>
      </c>
      <c r="AC5" s="14">
        <v>35</v>
      </c>
      <c r="AD5" s="14">
        <v>35</v>
      </c>
      <c r="AE5" s="14">
        <v>35</v>
      </c>
      <c r="AG5" s="97" t="s">
        <v>198</v>
      </c>
      <c r="AI5" s="96"/>
      <c r="AJ5" s="96"/>
    </row>
    <row r="6" spans="1:36" x14ac:dyDescent="0.35">
      <c r="A6" s="3" t="s">
        <v>199</v>
      </c>
      <c r="B6" s="14">
        <v>3</v>
      </c>
      <c r="C6" s="14">
        <v>3</v>
      </c>
      <c r="D6" s="14">
        <v>3</v>
      </c>
      <c r="E6" s="14">
        <v>3</v>
      </c>
      <c r="F6" s="14">
        <v>3</v>
      </c>
      <c r="G6" s="14">
        <v>3</v>
      </c>
      <c r="H6" s="14">
        <v>3</v>
      </c>
      <c r="I6" s="14">
        <v>3</v>
      </c>
      <c r="J6" s="14">
        <v>3</v>
      </c>
      <c r="K6" s="252">
        <v>3.8</v>
      </c>
      <c r="L6" s="14">
        <v>3</v>
      </c>
      <c r="M6" s="14">
        <v>3</v>
      </c>
      <c r="N6" s="14">
        <v>3</v>
      </c>
      <c r="O6" s="14">
        <v>3</v>
      </c>
      <c r="P6" s="14">
        <v>3</v>
      </c>
      <c r="Q6" s="14">
        <v>3</v>
      </c>
      <c r="R6" s="14">
        <v>3</v>
      </c>
      <c r="S6" s="14">
        <v>3</v>
      </c>
      <c r="T6" s="14">
        <v>3</v>
      </c>
      <c r="U6" s="14">
        <v>3</v>
      </c>
      <c r="V6" s="14">
        <v>3</v>
      </c>
      <c r="W6" s="14">
        <v>3</v>
      </c>
      <c r="X6" s="14">
        <v>3</v>
      </c>
      <c r="Y6" s="14">
        <v>3</v>
      </c>
      <c r="Z6" s="14">
        <v>3</v>
      </c>
      <c r="AA6" s="252">
        <v>3</v>
      </c>
      <c r="AB6" s="232">
        <v>3</v>
      </c>
      <c r="AC6" s="14">
        <v>3</v>
      </c>
      <c r="AD6" s="14">
        <v>3</v>
      </c>
      <c r="AE6" s="14">
        <v>3</v>
      </c>
      <c r="AG6" s="97" t="s">
        <v>198</v>
      </c>
      <c r="AI6" s="97" t="s">
        <v>200</v>
      </c>
      <c r="AJ6" s="96"/>
    </row>
    <row r="7" spans="1:36" x14ac:dyDescent="0.35">
      <c r="A7" s="3" t="s">
        <v>201</v>
      </c>
      <c r="B7" s="14">
        <v>2.8</v>
      </c>
      <c r="C7" s="14">
        <v>2.8</v>
      </c>
      <c r="D7" s="14">
        <v>2.8</v>
      </c>
      <c r="E7" s="14">
        <v>2.8</v>
      </c>
      <c r="F7" s="14">
        <v>2.8</v>
      </c>
      <c r="G7" s="14">
        <v>2.8</v>
      </c>
      <c r="H7" s="14">
        <v>2.8</v>
      </c>
      <c r="I7" s="14">
        <v>2.8</v>
      </c>
      <c r="J7" s="14">
        <v>2.8</v>
      </c>
      <c r="K7" s="14">
        <v>2.8</v>
      </c>
      <c r="L7" s="14">
        <v>2.8</v>
      </c>
      <c r="M7" s="14">
        <v>2.8</v>
      </c>
      <c r="N7" s="14">
        <v>2.8</v>
      </c>
      <c r="O7" s="14">
        <v>2.8</v>
      </c>
      <c r="P7" s="14">
        <v>2.8</v>
      </c>
      <c r="Q7" s="14">
        <v>2.8</v>
      </c>
      <c r="R7" s="14">
        <v>2.8</v>
      </c>
      <c r="S7" s="14">
        <v>2.8</v>
      </c>
      <c r="T7" s="14">
        <v>2.8</v>
      </c>
      <c r="U7" s="14">
        <v>2.8</v>
      </c>
      <c r="V7" s="14">
        <v>2.8</v>
      </c>
      <c r="W7" s="14">
        <v>2.8</v>
      </c>
      <c r="X7" s="14">
        <v>2.8</v>
      </c>
      <c r="Y7" s="14">
        <v>2.8</v>
      </c>
      <c r="Z7" s="14">
        <v>2.8</v>
      </c>
      <c r="AA7" s="252">
        <v>2.8</v>
      </c>
      <c r="AB7" s="232">
        <v>2.8</v>
      </c>
      <c r="AC7" s="14">
        <v>2.8</v>
      </c>
      <c r="AD7" s="14">
        <v>2.8</v>
      </c>
      <c r="AE7" s="14">
        <v>2.8</v>
      </c>
      <c r="AG7" s="97"/>
      <c r="AI7" s="97" t="s">
        <v>202</v>
      </c>
      <c r="AJ7" s="96"/>
    </row>
    <row r="8" spans="1:36" x14ac:dyDescent="0.35">
      <c r="A8" s="3" t="s">
        <v>203</v>
      </c>
      <c r="B8" s="14">
        <v>0.7</v>
      </c>
      <c r="C8" s="14">
        <v>0.7</v>
      </c>
      <c r="D8" s="14">
        <v>0.7</v>
      </c>
      <c r="E8" s="14">
        <v>0.7</v>
      </c>
      <c r="F8" s="14">
        <v>0.7</v>
      </c>
      <c r="G8" s="14">
        <v>0.7</v>
      </c>
      <c r="H8" s="14">
        <v>0.7</v>
      </c>
      <c r="I8" s="14">
        <v>0.7</v>
      </c>
      <c r="J8" s="14">
        <v>0.7</v>
      </c>
      <c r="K8" s="14">
        <v>0.7</v>
      </c>
      <c r="L8" s="14">
        <v>0.7</v>
      </c>
      <c r="M8" s="14">
        <v>0.7</v>
      </c>
      <c r="N8" s="14">
        <v>0.7</v>
      </c>
      <c r="O8" s="14">
        <v>0.7</v>
      </c>
      <c r="P8" s="14">
        <v>0.7</v>
      </c>
      <c r="Q8" s="14">
        <v>0.7</v>
      </c>
      <c r="R8" s="14">
        <v>0.7</v>
      </c>
      <c r="S8" s="14">
        <v>0.7</v>
      </c>
      <c r="T8" s="14">
        <v>0.7</v>
      </c>
      <c r="U8" s="14">
        <v>0.7</v>
      </c>
      <c r="V8" s="14">
        <v>0.7</v>
      </c>
      <c r="W8" s="14">
        <v>0.7</v>
      </c>
      <c r="X8" s="14">
        <v>0.7</v>
      </c>
      <c r="Y8" s="14">
        <v>0.7</v>
      </c>
      <c r="Z8" s="14">
        <v>0.7</v>
      </c>
      <c r="AA8" s="252">
        <v>0.7</v>
      </c>
      <c r="AB8" s="232">
        <v>0.7</v>
      </c>
      <c r="AC8" s="14">
        <v>0.7</v>
      </c>
      <c r="AD8" s="14">
        <v>0.7</v>
      </c>
      <c r="AE8" s="14">
        <v>0.7</v>
      </c>
      <c r="AG8" s="97"/>
      <c r="AI8" s="97"/>
      <c r="AJ8" s="96"/>
    </row>
    <row r="9" spans="1:36" x14ac:dyDescent="0.35">
      <c r="A9" s="3" t="s">
        <v>204</v>
      </c>
      <c r="B9" s="14">
        <v>0.77</v>
      </c>
      <c r="C9" s="14">
        <v>0.77</v>
      </c>
      <c r="D9" s="14">
        <v>0.77</v>
      </c>
      <c r="E9" s="14">
        <v>0.77</v>
      </c>
      <c r="F9" s="14">
        <v>0.77</v>
      </c>
      <c r="G9" s="14">
        <v>0.77</v>
      </c>
      <c r="H9" s="14">
        <v>0.77</v>
      </c>
      <c r="I9" s="14">
        <v>0.77</v>
      </c>
      <c r="J9" s="14">
        <v>0.77</v>
      </c>
      <c r="K9" s="14">
        <v>0.77</v>
      </c>
      <c r="L9" s="14">
        <v>0.77</v>
      </c>
      <c r="M9" s="14">
        <v>0.77</v>
      </c>
      <c r="N9" s="14">
        <v>0.77</v>
      </c>
      <c r="O9" s="14">
        <v>0.77</v>
      </c>
      <c r="P9" s="14">
        <v>0.77</v>
      </c>
      <c r="Q9" s="14">
        <v>0.77</v>
      </c>
      <c r="R9" s="14">
        <v>0.77</v>
      </c>
      <c r="S9" s="14">
        <v>0.77</v>
      </c>
      <c r="T9" s="14">
        <v>0.77</v>
      </c>
      <c r="U9" s="14">
        <v>0.77</v>
      </c>
      <c r="V9" s="14">
        <v>0.77</v>
      </c>
      <c r="W9" s="14">
        <v>0.77</v>
      </c>
      <c r="X9" s="14">
        <v>0.77</v>
      </c>
      <c r="Y9" s="14">
        <v>0.77</v>
      </c>
      <c r="Z9" s="14">
        <v>0.77</v>
      </c>
      <c r="AA9" s="252">
        <v>0.77</v>
      </c>
      <c r="AB9" s="232">
        <v>0.77</v>
      </c>
      <c r="AC9" s="14">
        <v>0.77</v>
      </c>
      <c r="AD9" s="14">
        <v>0.77</v>
      </c>
      <c r="AE9" s="14">
        <v>0.77</v>
      </c>
      <c r="AG9" s="97"/>
      <c r="AI9" s="97"/>
      <c r="AJ9" s="96"/>
    </row>
    <row r="10" spans="1:36" x14ac:dyDescent="0.35">
      <c r="A10" s="3" t="s">
        <v>205</v>
      </c>
      <c r="B10" s="15">
        <v>1.4379</v>
      </c>
      <c r="C10" s="15">
        <v>1.4379</v>
      </c>
      <c r="D10" s="15">
        <v>1.4379</v>
      </c>
      <c r="E10" s="15">
        <v>1.4379</v>
      </c>
      <c r="F10" s="15">
        <v>1.4379</v>
      </c>
      <c r="G10" s="15">
        <v>1.4379</v>
      </c>
      <c r="H10" s="15">
        <v>1.4379</v>
      </c>
      <c r="I10" s="15">
        <v>1.4379</v>
      </c>
      <c r="J10" s="15">
        <v>1.4379</v>
      </c>
      <c r="K10" s="253">
        <v>1.4379</v>
      </c>
      <c r="L10" s="15">
        <v>1.4379</v>
      </c>
      <c r="M10" s="15">
        <v>1.4379</v>
      </c>
      <c r="N10" s="15">
        <v>1.4379</v>
      </c>
      <c r="O10" s="15">
        <v>1.4379</v>
      </c>
      <c r="P10" s="15">
        <v>1.4379</v>
      </c>
      <c r="Q10" s="15">
        <v>1.4379</v>
      </c>
      <c r="R10" s="15">
        <v>1.4379</v>
      </c>
      <c r="S10" s="15">
        <v>1.4379</v>
      </c>
      <c r="T10" s="15">
        <v>1.4379</v>
      </c>
      <c r="U10" s="15">
        <v>1.4379</v>
      </c>
      <c r="V10" s="15">
        <v>1.4379</v>
      </c>
      <c r="W10" s="15">
        <v>1.4379</v>
      </c>
      <c r="X10" s="15">
        <v>1.4379</v>
      </c>
      <c r="Y10" s="15">
        <v>1.4379</v>
      </c>
      <c r="Z10" s="15">
        <v>1.4379</v>
      </c>
      <c r="AA10" s="253">
        <v>1.4379</v>
      </c>
      <c r="AB10" s="233">
        <v>1.4379</v>
      </c>
      <c r="AC10" s="15">
        <v>1.4379</v>
      </c>
      <c r="AD10" s="15">
        <v>1.4379</v>
      </c>
      <c r="AE10" s="15">
        <v>1.4379</v>
      </c>
      <c r="AG10" s="97" t="s">
        <v>198</v>
      </c>
      <c r="AI10" s="97" t="s">
        <v>206</v>
      </c>
      <c r="AJ10" s="96"/>
    </row>
    <row r="11" spans="1:36" x14ac:dyDescent="0.35">
      <c r="A11" s="3" t="s">
        <v>207</v>
      </c>
      <c r="B11" s="15">
        <v>4.3</v>
      </c>
      <c r="C11" s="15">
        <v>4.3</v>
      </c>
      <c r="D11" s="15">
        <v>4.3</v>
      </c>
      <c r="E11" s="15">
        <v>4.3</v>
      </c>
      <c r="F11" s="15">
        <v>4.3</v>
      </c>
      <c r="G11" s="15">
        <v>4.3</v>
      </c>
      <c r="H11" s="15">
        <v>4.3</v>
      </c>
      <c r="I11" s="15">
        <v>4.3</v>
      </c>
      <c r="J11" s="15">
        <v>4.3</v>
      </c>
      <c r="K11" s="253">
        <v>4.9000000000000004</v>
      </c>
      <c r="L11" s="15">
        <v>4.3</v>
      </c>
      <c r="M11" s="15">
        <v>4.3</v>
      </c>
      <c r="N11" s="15">
        <v>4.3</v>
      </c>
      <c r="O11" s="15">
        <v>4.3</v>
      </c>
      <c r="P11" s="15">
        <v>4.3</v>
      </c>
      <c r="Q11" s="15">
        <v>4.3</v>
      </c>
      <c r="R11" s="15">
        <v>4.3</v>
      </c>
      <c r="S11" s="15">
        <v>4.3</v>
      </c>
      <c r="T11" s="15">
        <v>4.3</v>
      </c>
      <c r="U11" s="15">
        <v>4.3</v>
      </c>
      <c r="V11" s="15">
        <v>4.3</v>
      </c>
      <c r="W11" s="15">
        <v>4.3</v>
      </c>
      <c r="X11" s="15">
        <v>4.3</v>
      </c>
      <c r="Y11" s="15">
        <v>4.3</v>
      </c>
      <c r="Z11" s="15">
        <v>4.3</v>
      </c>
      <c r="AA11" s="253">
        <v>4.3</v>
      </c>
      <c r="AB11" s="233">
        <v>4.3</v>
      </c>
      <c r="AC11" s="15">
        <v>4.3</v>
      </c>
      <c r="AD11" s="15">
        <v>4.3</v>
      </c>
      <c r="AE11" s="15">
        <v>4.3</v>
      </c>
      <c r="AG11" s="97" t="s">
        <v>198</v>
      </c>
      <c r="AI11" s="97" t="s">
        <v>208</v>
      </c>
      <c r="AJ11" s="96"/>
    </row>
    <row r="12" spans="1:36" x14ac:dyDescent="0.35">
      <c r="A12" s="3" t="s">
        <v>209</v>
      </c>
      <c r="B12" s="15">
        <v>5</v>
      </c>
      <c r="C12" s="15">
        <v>5</v>
      </c>
      <c r="D12" s="15">
        <v>5</v>
      </c>
      <c r="E12" s="15">
        <v>5</v>
      </c>
      <c r="F12" s="15">
        <v>5</v>
      </c>
      <c r="G12" s="15">
        <v>5</v>
      </c>
      <c r="H12" s="15">
        <v>5</v>
      </c>
      <c r="I12" s="15">
        <v>5</v>
      </c>
      <c r="J12" s="15">
        <v>5</v>
      </c>
      <c r="K12" s="15">
        <v>5</v>
      </c>
      <c r="L12" s="15">
        <v>5</v>
      </c>
      <c r="M12" s="15">
        <v>5</v>
      </c>
      <c r="N12" s="15">
        <v>5</v>
      </c>
      <c r="O12" s="15">
        <v>5</v>
      </c>
      <c r="P12" s="15">
        <v>5</v>
      </c>
      <c r="Q12" s="15">
        <v>5</v>
      </c>
      <c r="R12" s="15">
        <v>5</v>
      </c>
      <c r="S12" s="15">
        <v>5</v>
      </c>
      <c r="T12" s="15">
        <v>5</v>
      </c>
      <c r="U12" s="15">
        <v>5</v>
      </c>
      <c r="V12" s="15">
        <v>5</v>
      </c>
      <c r="W12" s="15">
        <v>5</v>
      </c>
      <c r="X12" s="15">
        <v>5</v>
      </c>
      <c r="Y12" s="15">
        <v>5</v>
      </c>
      <c r="Z12" s="15">
        <v>5</v>
      </c>
      <c r="AA12" s="253">
        <v>5</v>
      </c>
      <c r="AB12" s="233">
        <v>5</v>
      </c>
      <c r="AC12" s="15">
        <v>5</v>
      </c>
      <c r="AD12" s="15">
        <v>5</v>
      </c>
      <c r="AE12" s="15">
        <v>5</v>
      </c>
      <c r="AG12" s="97"/>
      <c r="AI12" s="97" t="s">
        <v>210</v>
      </c>
      <c r="AJ12" s="96"/>
    </row>
    <row r="13" spans="1:36" x14ac:dyDescent="0.35">
      <c r="A13" s="3" t="s">
        <v>211</v>
      </c>
      <c r="B13" s="15">
        <v>0.27500000000000002</v>
      </c>
      <c r="C13" s="15">
        <v>0.27500000000000002</v>
      </c>
      <c r="D13" s="15">
        <v>0.27500000000000002</v>
      </c>
      <c r="E13" s="15">
        <v>0.27500000000000002</v>
      </c>
      <c r="F13" s="15">
        <v>0.27500000000000002</v>
      </c>
      <c r="G13" s="15">
        <v>0.27500000000000002</v>
      </c>
      <c r="H13" s="15">
        <v>0.27500000000000002</v>
      </c>
      <c r="I13" s="15">
        <v>0.27500000000000002</v>
      </c>
      <c r="J13" s="15">
        <v>0.27500000000000002</v>
      </c>
      <c r="K13" s="15">
        <v>0.27500000000000002</v>
      </c>
      <c r="L13" s="15">
        <v>0.27500000000000002</v>
      </c>
      <c r="M13" s="15">
        <v>0.27500000000000002</v>
      </c>
      <c r="N13" s="15">
        <v>0.27500000000000002</v>
      </c>
      <c r="O13" s="15">
        <v>0.27500000000000002</v>
      </c>
      <c r="P13" s="15">
        <v>0.27500000000000002</v>
      </c>
      <c r="Q13" s="15">
        <v>0.27500000000000002</v>
      </c>
      <c r="R13" s="15">
        <v>0.27500000000000002</v>
      </c>
      <c r="S13" s="15">
        <v>0.27500000000000002</v>
      </c>
      <c r="T13" s="15">
        <v>0.27500000000000002</v>
      </c>
      <c r="U13" s="15">
        <v>0.27500000000000002</v>
      </c>
      <c r="V13" s="15">
        <v>0.27500000000000002</v>
      </c>
      <c r="W13" s="15">
        <v>0.27500000000000002</v>
      </c>
      <c r="X13" s="15">
        <v>0.27500000000000002</v>
      </c>
      <c r="Y13" s="15">
        <v>0.27500000000000002</v>
      </c>
      <c r="Z13" s="15">
        <v>0.27500000000000002</v>
      </c>
      <c r="AA13" s="253">
        <v>0.27500000000000002</v>
      </c>
      <c r="AB13" s="233">
        <v>0.27500000000000002</v>
      </c>
      <c r="AC13" s="15">
        <v>0.27500000000000002</v>
      </c>
      <c r="AD13" s="15">
        <v>0.27500000000000002</v>
      </c>
      <c r="AE13" s="15">
        <v>0.27500000000000002</v>
      </c>
      <c r="AG13" s="97"/>
      <c r="AI13" s="97" t="s">
        <v>212</v>
      </c>
      <c r="AJ13" s="96"/>
    </row>
    <row r="14" spans="1:36" x14ac:dyDescent="0.35">
      <c r="A14" s="3" t="s">
        <v>213</v>
      </c>
      <c r="B14" s="14">
        <v>150</v>
      </c>
      <c r="C14" s="14">
        <v>150</v>
      </c>
      <c r="D14" s="14">
        <v>150</v>
      </c>
      <c r="E14" s="14">
        <v>150</v>
      </c>
      <c r="F14" s="14">
        <v>150</v>
      </c>
      <c r="G14" s="14">
        <v>150</v>
      </c>
      <c r="H14" s="14">
        <v>150</v>
      </c>
      <c r="I14" s="14">
        <v>150</v>
      </c>
      <c r="J14" s="14">
        <v>150</v>
      </c>
      <c r="K14" s="14">
        <v>150</v>
      </c>
      <c r="L14" s="14">
        <v>150</v>
      </c>
      <c r="M14" s="14">
        <v>150</v>
      </c>
      <c r="N14" s="14">
        <v>150</v>
      </c>
      <c r="O14" s="14">
        <v>150</v>
      </c>
      <c r="P14" s="14">
        <v>150</v>
      </c>
      <c r="Q14" s="14">
        <v>150</v>
      </c>
      <c r="R14" s="14">
        <v>150</v>
      </c>
      <c r="S14" s="14">
        <v>150</v>
      </c>
      <c r="T14" s="14">
        <v>150</v>
      </c>
      <c r="U14" s="14">
        <v>150</v>
      </c>
      <c r="V14" s="14">
        <v>150</v>
      </c>
      <c r="W14" s="14">
        <v>150</v>
      </c>
      <c r="X14" s="14">
        <v>150</v>
      </c>
      <c r="Y14" s="14">
        <v>150</v>
      </c>
      <c r="Z14" s="14">
        <v>150</v>
      </c>
      <c r="AA14" s="252">
        <v>150</v>
      </c>
      <c r="AB14" s="232">
        <v>150</v>
      </c>
      <c r="AC14" s="14">
        <v>150</v>
      </c>
      <c r="AD14" s="14">
        <v>150</v>
      </c>
      <c r="AE14" s="14">
        <v>150</v>
      </c>
      <c r="AG14" s="97"/>
      <c r="AI14" s="97" t="s">
        <v>214</v>
      </c>
      <c r="AJ14" s="96"/>
    </row>
    <row r="15" spans="1:36" x14ac:dyDescent="0.35">
      <c r="A15" s="3" t="s">
        <v>215</v>
      </c>
      <c r="B15" s="14">
        <v>12.5</v>
      </c>
      <c r="C15" s="14">
        <v>12.5</v>
      </c>
      <c r="D15" s="14">
        <v>12.5</v>
      </c>
      <c r="E15" s="14">
        <v>12.5</v>
      </c>
      <c r="F15" s="14">
        <v>12.5</v>
      </c>
      <c r="G15" s="14">
        <v>12.5</v>
      </c>
      <c r="H15" s="14">
        <v>12.5</v>
      </c>
      <c r="I15" s="14">
        <v>12.5</v>
      </c>
      <c r="J15" s="14">
        <v>12.5</v>
      </c>
      <c r="K15" s="14">
        <v>12.5</v>
      </c>
      <c r="L15" s="14">
        <v>12.5</v>
      </c>
      <c r="M15" s="14">
        <v>12.5</v>
      </c>
      <c r="N15" s="14">
        <v>12.5</v>
      </c>
      <c r="O15" s="14">
        <v>12.5</v>
      </c>
      <c r="P15" s="14">
        <v>12.5</v>
      </c>
      <c r="Q15" s="14">
        <v>12.5</v>
      </c>
      <c r="R15" s="14">
        <v>12.5</v>
      </c>
      <c r="S15" s="14">
        <v>12.5</v>
      </c>
      <c r="T15" s="14">
        <v>12.5</v>
      </c>
      <c r="U15" s="14">
        <v>12.5</v>
      </c>
      <c r="V15" s="14">
        <v>12.5</v>
      </c>
      <c r="W15" s="14">
        <v>12.5</v>
      </c>
      <c r="X15" s="14">
        <v>12.5</v>
      </c>
      <c r="Y15" s="14">
        <v>12.5</v>
      </c>
      <c r="Z15" s="14">
        <v>12.5</v>
      </c>
      <c r="AA15" s="252">
        <v>12.5</v>
      </c>
      <c r="AB15" s="232">
        <v>12.5</v>
      </c>
      <c r="AC15" s="14">
        <v>12.5</v>
      </c>
      <c r="AD15" s="14">
        <v>12.5</v>
      </c>
      <c r="AE15" s="14">
        <v>12.5</v>
      </c>
      <c r="AG15" s="97"/>
      <c r="AI15" s="97" t="s">
        <v>214</v>
      </c>
      <c r="AJ15" s="96"/>
    </row>
    <row r="16" spans="1:36" x14ac:dyDescent="0.35">
      <c r="A16" s="3" t="s">
        <v>216</v>
      </c>
      <c r="B16" s="14">
        <v>8</v>
      </c>
      <c r="C16" s="14">
        <v>8</v>
      </c>
      <c r="D16" s="14">
        <v>8</v>
      </c>
      <c r="E16" s="14">
        <v>8</v>
      </c>
      <c r="F16" s="14">
        <v>8</v>
      </c>
      <c r="G16" s="14">
        <v>8</v>
      </c>
      <c r="H16" s="14">
        <v>8</v>
      </c>
      <c r="I16" s="14">
        <v>8</v>
      </c>
      <c r="J16" s="14">
        <v>8</v>
      </c>
      <c r="K16" s="14">
        <v>8</v>
      </c>
      <c r="L16" s="14">
        <v>8</v>
      </c>
      <c r="M16" s="14">
        <v>8</v>
      </c>
      <c r="N16" s="14">
        <v>8</v>
      </c>
      <c r="O16" s="14">
        <v>8</v>
      </c>
      <c r="P16" s="14">
        <v>8</v>
      </c>
      <c r="Q16" s="14">
        <v>8</v>
      </c>
      <c r="R16" s="14">
        <v>8</v>
      </c>
      <c r="S16" s="14">
        <v>8</v>
      </c>
      <c r="T16" s="14">
        <v>8</v>
      </c>
      <c r="U16" s="14">
        <v>8</v>
      </c>
      <c r="V16" s="14">
        <v>8</v>
      </c>
      <c r="W16" s="14">
        <v>8</v>
      </c>
      <c r="X16" s="14">
        <v>8</v>
      </c>
      <c r="Y16" s="14">
        <v>8</v>
      </c>
      <c r="Z16" s="14">
        <v>8</v>
      </c>
      <c r="AA16" s="252">
        <v>8</v>
      </c>
      <c r="AB16" s="232">
        <v>8</v>
      </c>
      <c r="AC16" s="14">
        <v>8</v>
      </c>
      <c r="AD16" s="14">
        <v>8</v>
      </c>
      <c r="AE16" s="14">
        <v>8</v>
      </c>
      <c r="AG16" s="97"/>
      <c r="AI16" s="97" t="s">
        <v>214</v>
      </c>
      <c r="AJ16" s="96"/>
    </row>
    <row r="17" spans="1:36" x14ac:dyDescent="0.35">
      <c r="AB17" s="234"/>
      <c r="AG17" s="97"/>
      <c r="AI17" s="97"/>
      <c r="AJ17" s="96"/>
    </row>
    <row r="18" spans="1:36" x14ac:dyDescent="0.35">
      <c r="A18" s="170" t="s">
        <v>217</v>
      </c>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231"/>
      <c r="AC18" s="170"/>
      <c r="AD18" s="170"/>
      <c r="AE18" s="170"/>
      <c r="AG18" s="97"/>
      <c r="AI18" s="97"/>
      <c r="AJ18" s="96"/>
    </row>
    <row r="19" spans="1:36" x14ac:dyDescent="0.35">
      <c r="A19" s="91" t="s">
        <v>218</v>
      </c>
      <c r="B19" s="80">
        <v>0.1388019695150714</v>
      </c>
      <c r="C19" s="80">
        <v>9.1606902667557069E-2</v>
      </c>
      <c r="D19" s="80">
        <v>0</v>
      </c>
      <c r="E19" s="80">
        <v>0.11695100775134643</v>
      </c>
      <c r="F19" s="80">
        <v>0.35769369893493091</v>
      </c>
      <c r="G19" s="80">
        <v>0.15495238626757527</v>
      </c>
      <c r="H19" s="80">
        <v>0.3247662162385499</v>
      </c>
      <c r="I19" s="80">
        <v>4.6530307311594861E-2</v>
      </c>
      <c r="J19" s="80">
        <v>0.36213948950567598</v>
      </c>
      <c r="K19" s="80">
        <v>0.12938618407074468</v>
      </c>
      <c r="L19" s="80">
        <v>0.12840126760243717</v>
      </c>
      <c r="M19" s="80">
        <v>0.12227505038110943</v>
      </c>
      <c r="N19" s="80">
        <v>8.7418005626499207E-2</v>
      </c>
      <c r="O19" s="80">
        <v>0.30763475488022607</v>
      </c>
      <c r="P19" s="80">
        <v>6.9755357742184998E-2</v>
      </c>
      <c r="Q19" s="80">
        <v>1.025159863159307E-2</v>
      </c>
      <c r="R19" s="80">
        <v>4.5682814724964139E-2</v>
      </c>
      <c r="S19" s="80">
        <v>0.16759238515757716</v>
      </c>
      <c r="T19" s="80">
        <v>6.5976692624369268E-2</v>
      </c>
      <c r="U19" s="80">
        <v>0.16996898787594733</v>
      </c>
      <c r="V19" s="80">
        <v>4.6734825942588876E-2</v>
      </c>
      <c r="W19" s="80">
        <v>1.5351195497979538E-3</v>
      </c>
      <c r="X19" s="80">
        <v>3.9590008059926378E-4</v>
      </c>
      <c r="Y19" s="80">
        <v>0.12312551970398992</v>
      </c>
      <c r="Z19" s="80">
        <v>0.21894700375858384</v>
      </c>
      <c r="AA19" s="271">
        <v>0</v>
      </c>
      <c r="AB19" s="80">
        <v>0.24290688316534448</v>
      </c>
      <c r="AC19" s="316">
        <v>0.24290688316534448</v>
      </c>
      <c r="AD19" s="80">
        <v>0.24290688316534448</v>
      </c>
      <c r="AE19" s="80">
        <v>0.24290688316534448</v>
      </c>
      <c r="AG19" s="97" t="s">
        <v>219</v>
      </c>
      <c r="AI19" s="312" t="s">
        <v>220</v>
      </c>
      <c r="AJ19" s="97" t="s">
        <v>221</v>
      </c>
    </row>
    <row r="20" spans="1:36" x14ac:dyDescent="0.35">
      <c r="A20" s="92" t="s">
        <v>222</v>
      </c>
      <c r="B20" s="80">
        <v>0.33511299379537363</v>
      </c>
      <c r="C20" s="80">
        <v>0.13155509047103262</v>
      </c>
      <c r="D20" s="80">
        <v>0.54552951323157861</v>
      </c>
      <c r="E20" s="80">
        <v>0.4445206845179473</v>
      </c>
      <c r="F20" s="80">
        <v>0.19740565028979015</v>
      </c>
      <c r="G20" s="80">
        <v>0.12121400591694578</v>
      </c>
      <c r="H20" s="80">
        <v>1.9544149435115246E-2</v>
      </c>
      <c r="I20" s="80">
        <v>9.558020970872997E-3</v>
      </c>
      <c r="J20" s="80">
        <v>2.7285200595272913E-2</v>
      </c>
      <c r="K20" s="80">
        <v>0.21280975376032865</v>
      </c>
      <c r="L20" s="80">
        <v>0.19116633717197407</v>
      </c>
      <c r="M20" s="80">
        <v>0.36571383818682729</v>
      </c>
      <c r="N20" s="80">
        <v>0.51851224834420662</v>
      </c>
      <c r="O20" s="80">
        <v>8.4790139584359644E-2</v>
      </c>
      <c r="P20" s="80">
        <v>0.45612129266564322</v>
      </c>
      <c r="Q20" s="80">
        <v>4.5589421610149703E-3</v>
      </c>
      <c r="R20" s="80">
        <v>5.9441183997229891E-2</v>
      </c>
      <c r="S20" s="80">
        <v>0.30877372872298287</v>
      </c>
      <c r="T20" s="80">
        <v>0.19814107333385653</v>
      </c>
      <c r="U20" s="80">
        <v>0.23283885034476093</v>
      </c>
      <c r="V20" s="80">
        <v>0.43527572351382965</v>
      </c>
      <c r="W20" s="80">
        <v>0.39951628665125294</v>
      </c>
      <c r="X20" s="80">
        <v>0.50619251501390061</v>
      </c>
      <c r="Y20" s="80">
        <v>0.34829780740480182</v>
      </c>
      <c r="Z20" s="80">
        <v>0.28877148486086363</v>
      </c>
      <c r="AA20" s="271">
        <v>2.9000000000000001E-2</v>
      </c>
      <c r="AB20" s="80">
        <v>1.1405036092928852E-2</v>
      </c>
      <c r="AC20" s="316">
        <v>1.1405036092928852E-2</v>
      </c>
      <c r="AD20" s="80">
        <v>1.1405036092928852E-2</v>
      </c>
      <c r="AE20" s="80">
        <v>1.1405036092928852E-2</v>
      </c>
      <c r="AG20" s="97" t="s">
        <v>223</v>
      </c>
      <c r="AI20" s="97" t="s">
        <v>224</v>
      </c>
      <c r="AJ20" s="20" t="s">
        <v>225</v>
      </c>
    </row>
    <row r="21" spans="1:36" x14ac:dyDescent="0.35">
      <c r="A21" s="92" t="s">
        <v>226</v>
      </c>
      <c r="B21" s="80">
        <v>1.037956303452368E-2</v>
      </c>
      <c r="C21" s="80">
        <v>9.289741735930411E-3</v>
      </c>
      <c r="D21" s="80">
        <v>0</v>
      </c>
      <c r="E21" s="80">
        <v>6.0948374004472276E-2</v>
      </c>
      <c r="F21" s="80">
        <v>1.3836768791199148E-3</v>
      </c>
      <c r="G21" s="80">
        <v>5.0556019414445971E-2</v>
      </c>
      <c r="H21" s="80">
        <v>5.4547926099966608E-3</v>
      </c>
      <c r="I21" s="80">
        <v>6.5141293607569762E-4</v>
      </c>
      <c r="J21" s="80">
        <v>0.16949282524721104</v>
      </c>
      <c r="K21" s="80">
        <v>1.4661663802605954E-2</v>
      </c>
      <c r="L21" s="80">
        <v>2.5558758775563904E-5</v>
      </c>
      <c r="M21" s="80">
        <v>3.3230481611398861E-2</v>
      </c>
      <c r="N21" s="80">
        <v>4.6821690090770259E-2</v>
      </c>
      <c r="O21" s="80">
        <v>1.77320656507646E-2</v>
      </c>
      <c r="P21" s="80">
        <v>1.4486341810785938E-2</v>
      </c>
      <c r="Q21" s="80">
        <v>6.1494854155573368E-2</v>
      </c>
      <c r="R21" s="80">
        <v>4.5477381822612843E-2</v>
      </c>
      <c r="S21" s="80">
        <v>6.9416678407666198E-3</v>
      </c>
      <c r="T21" s="80">
        <v>2.1671841623166059E-3</v>
      </c>
      <c r="U21" s="80">
        <v>5.0904696791723991E-3</v>
      </c>
      <c r="V21" s="80">
        <v>1.3265729698578317E-2</v>
      </c>
      <c r="W21" s="80">
        <v>4.8828546271820782E-2</v>
      </c>
      <c r="X21" s="80">
        <v>3.0043185418315171E-2</v>
      </c>
      <c r="Y21" s="80">
        <v>1.8139255925477018E-2</v>
      </c>
      <c r="Z21" s="80">
        <v>3.4137674118133308E-2</v>
      </c>
      <c r="AA21" s="271">
        <v>4.9000000000000002E-2</v>
      </c>
      <c r="AB21" s="80">
        <v>2.6784717007595302E-2</v>
      </c>
      <c r="AC21" s="316">
        <v>2.6784717007595302E-2</v>
      </c>
      <c r="AD21" s="80">
        <v>2.6784717007595302E-2</v>
      </c>
      <c r="AE21" s="80">
        <v>2.6784717007595302E-2</v>
      </c>
      <c r="AG21" s="97"/>
      <c r="AI21" s="97"/>
      <c r="AJ21" s="271"/>
    </row>
    <row r="22" spans="1:36" x14ac:dyDescent="0.35">
      <c r="A22" s="92" t="s">
        <v>227</v>
      </c>
      <c r="B22" s="80">
        <v>2.539898270383906E-2</v>
      </c>
      <c r="C22" s="80">
        <v>2.0777988939877966E-3</v>
      </c>
      <c r="D22" s="80">
        <v>5.6518820446868744E-3</v>
      </c>
      <c r="E22" s="80">
        <v>6.0703727508641431E-4</v>
      </c>
      <c r="F22" s="80">
        <v>0</v>
      </c>
      <c r="G22" s="80">
        <v>0</v>
      </c>
      <c r="H22" s="80">
        <v>3.9573904033440906E-3</v>
      </c>
      <c r="I22" s="80">
        <v>0</v>
      </c>
      <c r="J22" s="80">
        <v>3.062922099074464E-3</v>
      </c>
      <c r="K22" s="80">
        <v>2.2515954502451301E-3</v>
      </c>
      <c r="L22" s="80">
        <v>2.0974185801992562E-2</v>
      </c>
      <c r="M22" s="80">
        <v>7.3294724625475594E-3</v>
      </c>
      <c r="N22" s="80">
        <v>1.8197973513379373E-2</v>
      </c>
      <c r="O22" s="80">
        <v>0</v>
      </c>
      <c r="P22" s="80">
        <v>1.154218810875446E-3</v>
      </c>
      <c r="Q22" s="80">
        <v>0</v>
      </c>
      <c r="R22" s="80">
        <v>0</v>
      </c>
      <c r="S22" s="80">
        <v>0</v>
      </c>
      <c r="T22" s="80">
        <v>8.1550834411767848E-3</v>
      </c>
      <c r="U22" s="80">
        <v>6.6462863913214348E-2</v>
      </c>
      <c r="V22" s="80">
        <v>2.9971473511945708E-4</v>
      </c>
      <c r="W22" s="80">
        <v>2.3113486819224208E-3</v>
      </c>
      <c r="X22" s="80">
        <v>1.3503018628554982E-4</v>
      </c>
      <c r="Y22" s="80">
        <v>8.4436144786446468E-3</v>
      </c>
      <c r="Z22" s="80">
        <v>9.0108782601985467E-3</v>
      </c>
      <c r="AA22" s="271">
        <v>0</v>
      </c>
      <c r="AB22" s="80">
        <v>1.2703483591450424E-3</v>
      </c>
      <c r="AC22" s="316">
        <v>1.2703483591450424E-3</v>
      </c>
      <c r="AD22" s="80">
        <v>1.2703483591450424E-3</v>
      </c>
      <c r="AE22" s="80">
        <v>1.2703483591450424E-3</v>
      </c>
      <c r="AG22" s="97"/>
      <c r="AI22" s="97"/>
      <c r="AJ22" s="271"/>
    </row>
    <row r="23" spans="1:36" x14ac:dyDescent="0.35">
      <c r="A23" s="93" t="s">
        <v>228</v>
      </c>
      <c r="B23" s="80">
        <v>0.18920711272078269</v>
      </c>
      <c r="C23" s="80">
        <v>0.19898022259279191</v>
      </c>
      <c r="D23" s="80">
        <v>6.0251044055952427E-2</v>
      </c>
      <c r="E23" s="80">
        <v>1.4335515592498327E-2</v>
      </c>
      <c r="F23" s="80">
        <v>0.1474878287151572</v>
      </c>
      <c r="G23" s="80">
        <v>0.40254480100475204</v>
      </c>
      <c r="H23" s="80">
        <v>0.33524969269006805</v>
      </c>
      <c r="I23" s="80">
        <v>0.18877612897819573</v>
      </c>
      <c r="J23" s="80">
        <v>3.7884118812985604E-2</v>
      </c>
      <c r="K23" s="80">
        <v>0.31521053769451607</v>
      </c>
      <c r="L23" s="80">
        <v>0.42888207443270587</v>
      </c>
      <c r="M23" s="80">
        <v>5.256160625309033E-3</v>
      </c>
      <c r="N23" s="80">
        <v>8.1866500320142158E-2</v>
      </c>
      <c r="O23" s="80">
        <v>0.13212925363733041</v>
      </c>
      <c r="P23" s="80">
        <v>6.607302843520492E-2</v>
      </c>
      <c r="Q23" s="80">
        <v>0.46551967402871186</v>
      </c>
      <c r="R23" s="80">
        <v>0.43548695456925512</v>
      </c>
      <c r="S23" s="80">
        <v>0.21985896785484657</v>
      </c>
      <c r="T23" s="80">
        <v>0.22324493125110034</v>
      </c>
      <c r="U23" s="80">
        <v>0.26723420141656068</v>
      </c>
      <c r="V23" s="80">
        <v>9.5453909486912653E-2</v>
      </c>
      <c r="W23" s="80">
        <v>7.3213245865759558E-2</v>
      </c>
      <c r="X23" s="80">
        <v>4.853698847181781E-2</v>
      </c>
      <c r="Y23" s="80">
        <v>0.24890795550816447</v>
      </c>
      <c r="Z23" s="80">
        <v>0.18547053507474909</v>
      </c>
      <c r="AA23" s="271">
        <v>0.59099999999999997</v>
      </c>
      <c r="AB23" s="80">
        <v>0.36306225085662319</v>
      </c>
      <c r="AC23" s="316">
        <v>0.36306225085662319</v>
      </c>
      <c r="AD23" s="80">
        <v>0.36306225085662319</v>
      </c>
      <c r="AE23" s="80">
        <v>0.36306225085662319</v>
      </c>
      <c r="AI23" s="97"/>
      <c r="AJ23" s="271"/>
    </row>
    <row r="24" spans="1:36" x14ac:dyDescent="0.35">
      <c r="A24" s="92" t="s">
        <v>229</v>
      </c>
      <c r="B24" s="80">
        <v>1.8365818050205586E-3</v>
      </c>
      <c r="C24" s="80">
        <v>0</v>
      </c>
      <c r="D24" s="80">
        <v>0</v>
      </c>
      <c r="E24" s="80">
        <v>2.4245622511489488E-3</v>
      </c>
      <c r="F24" s="80">
        <v>6.7657806685813464E-4</v>
      </c>
      <c r="G24" s="80">
        <v>1.3122007250283157E-3</v>
      </c>
      <c r="H24" s="80">
        <v>6.9591530195853583E-4</v>
      </c>
      <c r="I24" s="80">
        <v>4.0248082263826587E-3</v>
      </c>
      <c r="J24" s="80">
        <v>3.724796231733548E-3</v>
      </c>
      <c r="K24" s="80">
        <v>0</v>
      </c>
      <c r="L24" s="80">
        <v>9.3450155108809542E-4</v>
      </c>
      <c r="M24" s="80">
        <v>1.0533673599513421E-3</v>
      </c>
      <c r="N24" s="80">
        <v>1.1994594385271529E-3</v>
      </c>
      <c r="O24" s="80">
        <v>1.3715568697676599E-3</v>
      </c>
      <c r="P24" s="80">
        <v>2.8132125343424525E-3</v>
      </c>
      <c r="Q24" s="80">
        <v>1.5919708830695596E-3</v>
      </c>
      <c r="R24" s="80">
        <v>1.8993498179632567E-2</v>
      </c>
      <c r="S24" s="80">
        <v>0</v>
      </c>
      <c r="T24" s="80">
        <v>0</v>
      </c>
      <c r="U24" s="80">
        <v>4.1789296546899217E-3</v>
      </c>
      <c r="V24" s="80">
        <v>2.8702944951373129E-3</v>
      </c>
      <c r="W24" s="80">
        <v>3.3499690113704197E-3</v>
      </c>
      <c r="X24" s="80">
        <v>1.724021675043458E-3</v>
      </c>
      <c r="Y24" s="80">
        <v>0</v>
      </c>
      <c r="Z24" s="80">
        <v>6.9661330661395359E-3</v>
      </c>
      <c r="AA24" s="271">
        <v>0</v>
      </c>
      <c r="AB24" s="80">
        <v>6.0909129056991628E-3</v>
      </c>
      <c r="AC24" s="316">
        <v>6.0909129056991628E-3</v>
      </c>
      <c r="AD24" s="80">
        <v>6.0909129056991628E-3</v>
      </c>
      <c r="AE24" s="80">
        <v>6.0909129056991628E-3</v>
      </c>
      <c r="AI24" s="96"/>
      <c r="AJ24" s="271"/>
    </row>
    <row r="25" spans="1:36" x14ac:dyDescent="0.35">
      <c r="A25" s="92" t="s">
        <v>230</v>
      </c>
      <c r="B25" s="80">
        <v>1.8041285588900518E-3</v>
      </c>
      <c r="C25" s="80">
        <v>0</v>
      </c>
      <c r="D25" s="80">
        <v>0</v>
      </c>
      <c r="E25" s="80">
        <v>2.3817191194450719E-3</v>
      </c>
      <c r="F25" s="80">
        <v>6.6462262074886422E-4</v>
      </c>
      <c r="G25" s="80">
        <v>1.2890135329516415E-3</v>
      </c>
      <c r="H25" s="80">
        <v>6.8361815808324494E-4</v>
      </c>
      <c r="I25" s="80">
        <v>3.9536880112219551E-3</v>
      </c>
      <c r="J25" s="80">
        <v>3.6589773666995504E-3</v>
      </c>
      <c r="K25" s="80">
        <v>0</v>
      </c>
      <c r="L25" s="80">
        <v>9.1798847805104754E-4</v>
      </c>
      <c r="M25" s="80">
        <v>1.0347538734704405E-3</v>
      </c>
      <c r="N25" s="80">
        <v>1.1782644376318839E-3</v>
      </c>
      <c r="O25" s="80">
        <v>1.3473208286461219E-3</v>
      </c>
      <c r="P25" s="80">
        <v>2.763501773404974E-3</v>
      </c>
      <c r="Q25" s="80">
        <v>1.5638400236253252E-3</v>
      </c>
      <c r="R25" s="80">
        <v>1.8657874314571762E-2</v>
      </c>
      <c r="S25" s="80">
        <v>0</v>
      </c>
      <c r="T25" s="80">
        <v>0</v>
      </c>
      <c r="U25" s="80">
        <v>4.1050860427910675E-3</v>
      </c>
      <c r="V25" s="80">
        <v>2.8195750698575112E-3</v>
      </c>
      <c r="W25" s="80">
        <v>3.2907735164211826E-3</v>
      </c>
      <c r="X25" s="80">
        <v>1.6935574178231526E-3</v>
      </c>
      <c r="Y25" s="80">
        <v>0</v>
      </c>
      <c r="Z25" s="80">
        <v>6.843038286368717E-3</v>
      </c>
      <c r="AA25" s="271">
        <v>0</v>
      </c>
      <c r="AB25" s="80">
        <v>5.9832836689627722E-3</v>
      </c>
      <c r="AC25" s="316">
        <v>5.9832836689627722E-3</v>
      </c>
      <c r="AD25" s="80">
        <v>5.9832836689627722E-3</v>
      </c>
      <c r="AE25" s="80">
        <v>5.9832836689627722E-3</v>
      </c>
      <c r="AI25" s="96"/>
      <c r="AJ25" s="271"/>
    </row>
    <row r="26" spans="1:36" x14ac:dyDescent="0.35">
      <c r="A26" s="92" t="s">
        <v>231</v>
      </c>
      <c r="B26" s="80">
        <v>7.1767098590145267E-2</v>
      </c>
      <c r="C26" s="80">
        <v>0.11887736478257062</v>
      </c>
      <c r="D26" s="80">
        <v>1.9282223002705559E-3</v>
      </c>
      <c r="E26" s="80">
        <v>1.1388487134632584E-2</v>
      </c>
      <c r="F26" s="80">
        <v>5.1835466534919956E-3</v>
      </c>
      <c r="G26" s="80">
        <v>5.5807970406811222E-2</v>
      </c>
      <c r="H26" s="80">
        <v>4.36899603839115E-2</v>
      </c>
      <c r="I26" s="80">
        <v>3.6707467213432814E-2</v>
      </c>
      <c r="J26" s="80">
        <v>0.20053388869195857</v>
      </c>
      <c r="K26" s="80">
        <v>9.7073458625180783E-2</v>
      </c>
      <c r="L26" s="80">
        <v>9.4499576799197224E-2</v>
      </c>
      <c r="M26" s="80">
        <v>1.1495502598072803E-3</v>
      </c>
      <c r="N26" s="80">
        <v>5.1767642112223974E-4</v>
      </c>
      <c r="O26" s="80">
        <v>7.3430139783317777E-2</v>
      </c>
      <c r="P26" s="80">
        <v>4.7386628229038642E-3</v>
      </c>
      <c r="Q26" s="80">
        <v>0.11099895329121745</v>
      </c>
      <c r="R26" s="80">
        <v>3.7283067343651423E-2</v>
      </c>
      <c r="S26" s="80">
        <v>0</v>
      </c>
      <c r="T26" s="80">
        <v>0.12320054874364431</v>
      </c>
      <c r="U26" s="80">
        <v>3.0119810543340508E-2</v>
      </c>
      <c r="V26" s="80">
        <v>6.922058423346597E-2</v>
      </c>
      <c r="W26" s="80">
        <v>8.9876652423850362E-3</v>
      </c>
      <c r="X26" s="80">
        <v>5.1577992078972006E-2</v>
      </c>
      <c r="Y26" s="80">
        <v>3.9614142253085551E-2</v>
      </c>
      <c r="Z26" s="80">
        <v>2.017458178365223E-2</v>
      </c>
      <c r="AA26" s="271">
        <v>6.8000000000000005E-2</v>
      </c>
      <c r="AB26" s="80">
        <v>9.4633897453147445E-2</v>
      </c>
      <c r="AC26" s="316">
        <v>9.4633897453147445E-2</v>
      </c>
      <c r="AD26" s="80">
        <v>9.4633897453147445E-2</v>
      </c>
      <c r="AE26" s="80">
        <v>9.4633897453147445E-2</v>
      </c>
      <c r="AI26" s="96"/>
      <c r="AJ26" s="271"/>
    </row>
    <row r="27" spans="1:36" x14ac:dyDescent="0.35">
      <c r="A27" s="92" t="s">
        <v>232</v>
      </c>
      <c r="B27" s="80">
        <v>0.10081362148549573</v>
      </c>
      <c r="C27" s="80">
        <v>0.14455218048244542</v>
      </c>
      <c r="D27" s="80">
        <v>4.8958214837280058E-2</v>
      </c>
      <c r="E27" s="80">
        <v>0.1766138896591114</v>
      </c>
      <c r="F27" s="80">
        <v>0.18330244218102648</v>
      </c>
      <c r="G27" s="80">
        <v>9.2843535472153071E-2</v>
      </c>
      <c r="H27" s="80">
        <v>0.1076444790964969</v>
      </c>
      <c r="I27" s="80">
        <v>1.9178220823815973E-2</v>
      </c>
      <c r="J27" s="80">
        <v>7.419835422837219E-2</v>
      </c>
      <c r="K27" s="80">
        <v>8.7459166665531385E-2</v>
      </c>
      <c r="L27" s="80">
        <v>9.0801007307611245E-2</v>
      </c>
      <c r="M27" s="80">
        <v>0.20255815802791313</v>
      </c>
      <c r="N27" s="80">
        <v>9.8710786383614704E-2</v>
      </c>
      <c r="O27" s="80">
        <v>0.13973103889626368</v>
      </c>
      <c r="P27" s="80">
        <v>0.11699211590575154</v>
      </c>
      <c r="Q27" s="80">
        <v>7.913829557911492E-2</v>
      </c>
      <c r="R27" s="80">
        <v>0.14137030319659935</v>
      </c>
      <c r="S27" s="80">
        <v>0.20010207877950584</v>
      </c>
      <c r="T27" s="80">
        <v>0.15910748774892908</v>
      </c>
      <c r="U27" s="80">
        <v>0.1050568603152183</v>
      </c>
      <c r="V27" s="80">
        <v>0.18854502859832106</v>
      </c>
      <c r="W27" s="80">
        <v>7.662310655062049E-2</v>
      </c>
      <c r="X27" s="80">
        <v>0.11486739675333682</v>
      </c>
      <c r="Y27" s="80">
        <v>2.0594877928953675E-4</v>
      </c>
      <c r="Z27" s="80">
        <v>0.1724593547162262</v>
      </c>
      <c r="AA27" s="271">
        <f>0.3*0.62</f>
        <v>0.186</v>
      </c>
      <c r="AB27" s="80">
        <v>0.1863493678947572</v>
      </c>
      <c r="AC27" s="316">
        <v>0.1863493678947572</v>
      </c>
      <c r="AD27" s="80">
        <v>0.1863493678947572</v>
      </c>
      <c r="AE27" s="80">
        <v>0.1863493678947572</v>
      </c>
      <c r="AJ27" s="271"/>
    </row>
    <row r="28" spans="1:36" x14ac:dyDescent="0.35">
      <c r="A28" s="92" t="s">
        <v>233</v>
      </c>
      <c r="B28" s="80">
        <v>9.0561398556276068E-2</v>
      </c>
      <c r="C28" s="80">
        <v>0.16248162657729212</v>
      </c>
      <c r="D28" s="80">
        <v>0.12305696748386015</v>
      </c>
      <c r="E28" s="80">
        <v>9.4320640710051112E-2</v>
      </c>
      <c r="F28" s="80">
        <v>3.9284247584971399E-2</v>
      </c>
      <c r="G28" s="80">
        <v>8.2453001528588601E-2</v>
      </c>
      <c r="H28" s="80">
        <v>1.7669178559904096E-2</v>
      </c>
      <c r="I28" s="80">
        <v>0.45814721442178435</v>
      </c>
      <c r="J28" s="80">
        <v>7.2167353833925044E-2</v>
      </c>
      <c r="K28" s="80">
        <v>8.0151207366747315E-2</v>
      </c>
      <c r="L28" s="80">
        <v>1.8113105318221089E-2</v>
      </c>
      <c r="M28" s="80">
        <v>0.12768205188630527</v>
      </c>
      <c r="N28" s="80">
        <v>7.7842176173985381E-2</v>
      </c>
      <c r="O28" s="80">
        <v>0.13800716313225697</v>
      </c>
      <c r="P28" s="80">
        <v>0.12350411469968688</v>
      </c>
      <c r="Q28" s="80">
        <v>0.18367698350882727</v>
      </c>
      <c r="R28" s="80">
        <v>0.11217476738724967</v>
      </c>
      <c r="S28" s="80">
        <v>5.5344876310481586E-2</v>
      </c>
      <c r="T28" s="80">
        <v>1.7335418632101657E-2</v>
      </c>
      <c r="U28" s="80">
        <v>5.1412336687770274E-2</v>
      </c>
      <c r="V28" s="80">
        <v>7.1006092309495256E-2</v>
      </c>
      <c r="W28" s="80">
        <v>0.23650160713218851</v>
      </c>
      <c r="X28" s="80">
        <v>0.15848397991396601</v>
      </c>
      <c r="Y28" s="80">
        <v>0.10799112088671599</v>
      </c>
      <c r="Z28" s="80">
        <v>2.6495909583274708E-2</v>
      </c>
      <c r="AA28" s="271">
        <v>0</v>
      </c>
      <c r="AB28" s="80">
        <v>1.2143080899157416E-2</v>
      </c>
      <c r="AC28" s="316">
        <v>1.2143080899157416E-2</v>
      </c>
      <c r="AD28" s="80">
        <v>1.2143080899157416E-2</v>
      </c>
      <c r="AE28" s="80">
        <v>1.2143080899157416E-2</v>
      </c>
      <c r="AJ28" s="271"/>
    </row>
    <row r="29" spans="1:36" x14ac:dyDescent="0.35">
      <c r="A29" s="92" t="s">
        <v>234</v>
      </c>
      <c r="B29" s="80">
        <v>3.4316549234581904E-2</v>
      </c>
      <c r="C29" s="80">
        <v>0.14057907179639201</v>
      </c>
      <c r="D29" s="80">
        <v>0.21462415604637128</v>
      </c>
      <c r="E29" s="80">
        <v>7.550808198426022E-2</v>
      </c>
      <c r="F29" s="80">
        <v>6.6917708073904958E-2</v>
      </c>
      <c r="G29" s="80">
        <v>3.702706573074812E-2</v>
      </c>
      <c r="H29" s="80">
        <v>0.14064460712257179</v>
      </c>
      <c r="I29" s="80">
        <v>0.23247273110662289</v>
      </c>
      <c r="J29" s="80">
        <v>4.5852073387090915E-2</v>
      </c>
      <c r="K29" s="80">
        <v>6.0996432564100048E-2</v>
      </c>
      <c r="L29" s="80">
        <v>2.5284396777946184E-2</v>
      </c>
      <c r="M29" s="80">
        <v>0.13271711532536037</v>
      </c>
      <c r="N29" s="80">
        <v>6.7735219250121048E-2</v>
      </c>
      <c r="O29" s="80">
        <v>0.1038265667370671</v>
      </c>
      <c r="P29" s="80">
        <v>0.14159815279921578</v>
      </c>
      <c r="Q29" s="80">
        <v>8.1204887737252207E-2</v>
      </c>
      <c r="R29" s="80">
        <v>8.5432154464233287E-2</v>
      </c>
      <c r="S29" s="80">
        <v>4.1386295333839362E-2</v>
      </c>
      <c r="T29" s="80">
        <v>0.20267158006250544</v>
      </c>
      <c r="U29" s="80">
        <v>6.3531603526534211E-2</v>
      </c>
      <c r="V29" s="80">
        <v>7.4508521916693965E-2</v>
      </c>
      <c r="W29" s="80">
        <v>0.14584233152646073</v>
      </c>
      <c r="X29" s="80">
        <v>8.6349432989940189E-2</v>
      </c>
      <c r="Y29" s="80">
        <v>0.10527463505983112</v>
      </c>
      <c r="Z29" s="80">
        <v>3.0723406491810091E-2</v>
      </c>
      <c r="AA29" s="271">
        <f>1-SUM(AA19:AA28)</f>
        <v>7.7000000000000179E-2</v>
      </c>
      <c r="AB29" s="80">
        <v>4.9370221696639315E-2</v>
      </c>
      <c r="AC29" s="316">
        <v>4.9370221696639315E-2</v>
      </c>
      <c r="AD29" s="80">
        <v>4.9370221696639315E-2</v>
      </c>
      <c r="AE29" s="80">
        <v>4.9370221696639315E-2</v>
      </c>
      <c r="AJ29" s="271"/>
    </row>
    <row r="30" spans="1:36" x14ac:dyDescent="0.35">
      <c r="A30" s="3"/>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317"/>
      <c r="AD30" s="14"/>
      <c r="AE30" s="14"/>
    </row>
    <row r="31" spans="1:36" x14ac:dyDescent="0.35">
      <c r="A31" s="92" t="s">
        <v>235</v>
      </c>
      <c r="B31" s="12">
        <f t="shared" ref="B31:AB31" si="0">SUM(B19:B23)</f>
        <v>0.69890062176959056</v>
      </c>
      <c r="C31" s="12">
        <f t="shared" si="0"/>
        <v>0.43350975636129985</v>
      </c>
      <c r="D31" s="12">
        <f t="shared" si="0"/>
        <v>0.61143243933221791</v>
      </c>
      <c r="E31" s="12">
        <f t="shared" si="0"/>
        <v>0.63736261914135073</v>
      </c>
      <c r="F31" s="12">
        <f t="shared" si="0"/>
        <v>0.70397085481899813</v>
      </c>
      <c r="G31" s="12">
        <f t="shared" si="0"/>
        <v>0.72926721260371907</v>
      </c>
      <c r="H31" s="12">
        <f t="shared" si="0"/>
        <v>0.68897224137707391</v>
      </c>
      <c r="I31" s="12">
        <f t="shared" si="0"/>
        <v>0.24551587019673929</v>
      </c>
      <c r="J31" s="12">
        <f t="shared" si="0"/>
        <v>0.59986455626021995</v>
      </c>
      <c r="K31" s="12">
        <f t="shared" si="0"/>
        <v>0.67431973477844043</v>
      </c>
      <c r="L31" s="12">
        <f t="shared" si="0"/>
        <v>0.76944942376788528</v>
      </c>
      <c r="M31" s="12">
        <f t="shared" si="0"/>
        <v>0.53380500326719216</v>
      </c>
      <c r="N31" s="12">
        <f t="shared" si="0"/>
        <v>0.75281641789499776</v>
      </c>
      <c r="O31" s="12">
        <f t="shared" si="0"/>
        <v>0.54228621375268071</v>
      </c>
      <c r="P31" s="12">
        <f t="shared" si="0"/>
        <v>0.60759023946469448</v>
      </c>
      <c r="Q31" s="12">
        <f t="shared" si="0"/>
        <v>0.54182506897689331</v>
      </c>
      <c r="R31" s="12">
        <f t="shared" si="0"/>
        <v>0.586088335114062</v>
      </c>
      <c r="S31" s="12">
        <f t="shared" si="0"/>
        <v>0.7031667495761732</v>
      </c>
      <c r="T31" s="12">
        <f t="shared" si="0"/>
        <v>0.49768496481281949</v>
      </c>
      <c r="U31" s="12">
        <f t="shared" si="0"/>
        <v>0.74159537322965563</v>
      </c>
      <c r="V31" s="12">
        <f t="shared" si="0"/>
        <v>0.59102990337702899</v>
      </c>
      <c r="W31" s="12">
        <f t="shared" si="0"/>
        <v>0.52540454702055361</v>
      </c>
      <c r="X31" s="12">
        <f t="shared" si="0"/>
        <v>0.58530361917091844</v>
      </c>
      <c r="Y31" s="12">
        <f t="shared" si="0"/>
        <v>0.74691415302107789</v>
      </c>
      <c r="Z31" s="12">
        <f t="shared" si="0"/>
        <v>0.73633757607252837</v>
      </c>
      <c r="AA31" s="12">
        <f t="shared" si="0"/>
        <v>0.66899999999999993</v>
      </c>
      <c r="AB31" s="235">
        <f t="shared" si="0"/>
        <v>0.64542923548163689</v>
      </c>
      <c r="AC31" s="12">
        <f t="shared" ref="AC31:AE31" si="1">SUM(AC19:AC23)</f>
        <v>0.64542923548163689</v>
      </c>
      <c r="AD31" s="12">
        <f t="shared" si="1"/>
        <v>0.64542923548163689</v>
      </c>
      <c r="AE31" s="12">
        <f t="shared" si="1"/>
        <v>0.64542923548163689</v>
      </c>
    </row>
    <row r="32" spans="1:36" x14ac:dyDescent="0.35">
      <c r="AA32" s="18"/>
      <c r="AB32" s="234"/>
    </row>
    <row r="33" spans="1:47" x14ac:dyDescent="0.35">
      <c r="A33" s="170" t="s">
        <v>236</v>
      </c>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231"/>
      <c r="AC33" s="170"/>
      <c r="AD33" s="170"/>
      <c r="AE33" s="170"/>
      <c r="AI33" s="170" t="s">
        <v>237</v>
      </c>
      <c r="AJ33" s="170" t="s">
        <v>195</v>
      </c>
    </row>
    <row r="34" spans="1:47" x14ac:dyDescent="0.35">
      <c r="A34" s="94" t="s">
        <v>238</v>
      </c>
      <c r="B34" s="14">
        <v>1.52</v>
      </c>
      <c r="C34" s="14">
        <v>1.52</v>
      </c>
      <c r="D34" s="14">
        <v>1.52</v>
      </c>
      <c r="E34" s="14">
        <v>1.52</v>
      </c>
      <c r="F34" s="14">
        <v>1.52</v>
      </c>
      <c r="G34" s="14">
        <v>1.52</v>
      </c>
      <c r="H34" s="14">
        <v>1.52</v>
      </c>
      <c r="I34" s="14">
        <v>1.52</v>
      </c>
      <c r="J34" s="14">
        <v>1.52</v>
      </c>
      <c r="K34" s="14">
        <v>1.52</v>
      </c>
      <c r="L34" s="14">
        <v>1.52</v>
      </c>
      <c r="M34" s="14">
        <v>1.52</v>
      </c>
      <c r="N34" s="14">
        <v>1.52</v>
      </c>
      <c r="O34" s="14">
        <v>1.52</v>
      </c>
      <c r="P34" s="14">
        <v>1.52</v>
      </c>
      <c r="Q34" s="14">
        <v>1.52</v>
      </c>
      <c r="R34" s="14">
        <v>1.52</v>
      </c>
      <c r="S34" s="14">
        <v>1.52</v>
      </c>
      <c r="T34" s="14">
        <v>1.52</v>
      </c>
      <c r="U34" s="14">
        <v>1.52</v>
      </c>
      <c r="V34" s="14">
        <v>1.52</v>
      </c>
      <c r="W34" s="14">
        <v>1.52</v>
      </c>
      <c r="X34" s="14">
        <v>1.52</v>
      </c>
      <c r="Y34" s="14">
        <v>1.52</v>
      </c>
      <c r="Z34" s="14">
        <v>1.52</v>
      </c>
      <c r="AA34" s="252">
        <v>1.52</v>
      </c>
      <c r="AB34" s="232">
        <v>1.52</v>
      </c>
      <c r="AC34" s="14">
        <v>1.52</v>
      </c>
      <c r="AD34" s="14">
        <v>1.52</v>
      </c>
      <c r="AE34" s="14">
        <v>1.52</v>
      </c>
      <c r="AG34" s="97" t="s">
        <v>219</v>
      </c>
      <c r="AI34" s="97" t="s">
        <v>239</v>
      </c>
      <c r="AJ34" s="97" t="s">
        <v>240</v>
      </c>
    </row>
    <row r="35" spans="1:47" x14ac:dyDescent="0.35">
      <c r="A35" s="3" t="s">
        <v>241</v>
      </c>
      <c r="B35" s="14">
        <v>48</v>
      </c>
      <c r="C35" s="14">
        <v>48</v>
      </c>
      <c r="D35" s="14">
        <v>48</v>
      </c>
      <c r="E35" s="14">
        <v>48</v>
      </c>
      <c r="F35" s="14">
        <v>48</v>
      </c>
      <c r="G35" s="14">
        <v>48</v>
      </c>
      <c r="H35" s="14">
        <v>48</v>
      </c>
      <c r="I35" s="14">
        <v>48</v>
      </c>
      <c r="J35" s="14">
        <v>48</v>
      </c>
      <c r="K35" s="14">
        <v>48</v>
      </c>
      <c r="L35" s="14">
        <v>48</v>
      </c>
      <c r="M35" s="14">
        <v>48</v>
      </c>
      <c r="N35" s="14">
        <v>48</v>
      </c>
      <c r="O35" s="14">
        <v>48</v>
      </c>
      <c r="P35" s="14">
        <v>48</v>
      </c>
      <c r="Q35" s="14">
        <v>48</v>
      </c>
      <c r="R35" s="14">
        <v>48</v>
      </c>
      <c r="S35" s="14">
        <v>48</v>
      </c>
      <c r="T35" s="14">
        <v>48</v>
      </c>
      <c r="U35" s="14">
        <v>48</v>
      </c>
      <c r="V35" s="14">
        <v>48</v>
      </c>
      <c r="W35" s="14">
        <v>48</v>
      </c>
      <c r="X35" s="14">
        <v>48</v>
      </c>
      <c r="Y35" s="14">
        <v>48</v>
      </c>
      <c r="Z35" s="14">
        <v>48</v>
      </c>
      <c r="AA35" s="252">
        <v>48</v>
      </c>
      <c r="AB35" s="232">
        <v>48</v>
      </c>
      <c r="AC35" s="14">
        <v>48</v>
      </c>
      <c r="AD35" s="14">
        <v>48</v>
      </c>
      <c r="AE35" s="14">
        <v>48</v>
      </c>
      <c r="AG35" s="97" t="s">
        <v>223</v>
      </c>
      <c r="AI35" s="97" t="s">
        <v>242</v>
      </c>
      <c r="AJ35" s="97" t="s">
        <v>243</v>
      </c>
    </row>
    <row r="36" spans="1:47" x14ac:dyDescent="0.35">
      <c r="A36" s="3" t="s">
        <v>244</v>
      </c>
      <c r="B36" s="5">
        <f>B34/B8/B9/(1-B6/100)/(1-B7/100)+SUM(Production!B48:B51)*'Parameters, country spec'!B35</f>
        <v>3.2757680503272759</v>
      </c>
      <c r="C36" s="5">
        <f>C34/C8/C9/(1-C6/100)/(1-C7/100)+SUM(Production!C48:C51)*'Parameters, country spec'!C35</f>
        <v>3.2757680503272759</v>
      </c>
      <c r="D36" s="5">
        <f>D34/D8/D9/(1-D6/100)/(1-D7/100)+SUM(Production!D48:D51)*'Parameters, country spec'!D35</f>
        <v>3.2757680503272759</v>
      </c>
      <c r="E36" s="5">
        <f>E34/E8/E9/(1-E6/100)/(1-E7/100)+SUM(Production!E48:E51)*'Parameters, country spec'!E35</f>
        <v>3.2757680503272759</v>
      </c>
      <c r="F36" s="5">
        <f>F34/F8/F9/(1-F6/100)/(1-F7/100)+SUM(Production!F48:F51)*'Parameters, country spec'!F35</f>
        <v>3.2757680503272759</v>
      </c>
      <c r="G36" s="5">
        <f>G34/G8/G9/(1-G6/100)/(1-G7/100)+SUM(Production!G48:G51)*'Parameters, country spec'!G35</f>
        <v>3.2757680503272759</v>
      </c>
      <c r="H36" s="5">
        <f>H34/H8/H9/(1-H6/100)/(1-H7/100)+SUM(Production!H48:H51)*'Parameters, country spec'!H35</f>
        <v>3.2757680503272759</v>
      </c>
      <c r="I36" s="5">
        <f>I34/I8/I9/(1-I6/100)/(1-I7/100)+SUM(Production!I48:I51)*'Parameters, country spec'!I35</f>
        <v>3.2757680503272759</v>
      </c>
      <c r="J36" s="5">
        <f>J34/J8/J9/(1-J6/100)/(1-J7/100)+SUM(Production!J48:J51)*'Parameters, country spec'!J35</f>
        <v>3.2757680503272759</v>
      </c>
      <c r="K36" s="5">
        <f>K34/K8/K9/(1-K6/100)/(1-K7/100)+SUM(Production!K48:K51)*'Parameters, country spec'!K35</f>
        <v>3.3022879492491786</v>
      </c>
      <c r="L36" s="5">
        <f>L34/L8/L9/(1-L6/100)/(1-L7/100)+SUM(Production!L48:L51)*'Parameters, country spec'!L35</f>
        <v>3.2757680503272759</v>
      </c>
      <c r="M36" s="5">
        <f>M34/M8/M9/(1-M6/100)/(1-M7/100)+SUM(Production!M48:M51)*'Parameters, country spec'!M35</f>
        <v>3.2757680503272759</v>
      </c>
      <c r="N36" s="5">
        <f>N34/N8/N9/(1-N6/100)/(1-N7/100)+SUM(Production!N48:N51)*'Parameters, country spec'!N35</f>
        <v>3.2757680503272759</v>
      </c>
      <c r="O36" s="5">
        <f>O34/O8/O9/(1-O6/100)/(1-O7/100)+SUM(Production!O48:O51)*'Parameters, country spec'!O35</f>
        <v>3.2757680503272759</v>
      </c>
      <c r="P36" s="5">
        <f>P34/P8/P9/(1-P6/100)/(1-P7/100)+SUM(Production!P48:P51)*'Parameters, country spec'!P35</f>
        <v>3.2757680503272759</v>
      </c>
      <c r="Q36" s="5">
        <f>Q34/Q8/Q9/(1-Q6/100)/(1-Q7/100)+SUM(Production!Q48:Q51)*'Parameters, country spec'!Q35</f>
        <v>3.2757680503272759</v>
      </c>
      <c r="R36" s="5">
        <f>R34/R8/R9/(1-R6/100)/(1-R7/100)+SUM(Production!R48:R51)*'Parameters, country spec'!R35</f>
        <v>3.2757680503272759</v>
      </c>
      <c r="S36" s="5">
        <f>S34/S8/S9/(1-S6/100)/(1-S7/100)+SUM(Production!S48:S51)*'Parameters, country spec'!S35</f>
        <v>3.2757680503272759</v>
      </c>
      <c r="T36" s="5">
        <f>T34/T8/T9/(1-T6/100)/(1-T7/100)+SUM(Production!T48:T51)*'Parameters, country spec'!T35</f>
        <v>3.2757680503272759</v>
      </c>
      <c r="U36" s="5">
        <f>U34/U8/U9/(1-U6/100)/(1-U7/100)+SUM(Production!U48:U51)*'Parameters, country spec'!U35</f>
        <v>3.2757680503272759</v>
      </c>
      <c r="V36" s="5">
        <f>V34/V8/V9/(1-V6/100)/(1-V7/100)+SUM(Production!V48:V51)*'Parameters, country spec'!V35</f>
        <v>3.2757680503272759</v>
      </c>
      <c r="W36" s="5">
        <f>W34/W8/W9/(1-W6/100)/(1-W7/100)+SUM(Production!W48:W51)*'Parameters, country spec'!W35</f>
        <v>3.2757680503272759</v>
      </c>
      <c r="X36" s="5">
        <f>X34/X8/X9/(1-X6/100)/(1-X7/100)+SUM(Production!X48:X51)*'Parameters, country spec'!X35</f>
        <v>3.2757680503272759</v>
      </c>
      <c r="Y36" s="5">
        <f>Y34/Y8/Y9/(1-Y6/100)/(1-Y7/100)+SUM(Production!Y48:Y51)*'Parameters, country spec'!Y35</f>
        <v>3.2757680503272759</v>
      </c>
      <c r="Z36" s="5">
        <f>Z34/Z8/Z9/(1-Z6/100)/(1-Z7/100)+SUM(Production!Z48:Z51)*'Parameters, country spec'!Z35</f>
        <v>3.2757680503272759</v>
      </c>
      <c r="AA36" s="5">
        <f>AA34/AA8/AA9/(1-AA6/100)/(1-AA7/100)+SUM(Production!AA48:AA51)*'Parameters, country spec'!AA35</f>
        <v>3.2757680503272759</v>
      </c>
      <c r="AB36" s="5">
        <f>AB34/AB8/AB9/(1-AB6/100)/(1-AB7/100)+SUM(Production!AB48:AB51)*'Parameters, country spec'!AB35</f>
        <v>3.2757680503272759</v>
      </c>
      <c r="AC36" s="5">
        <f>AC34/AC8/AC9/(1-AC6/100)/(1-AC7/100)+SUM(Production!AC48:AC51)*'Parameters, country spec'!AC35</f>
        <v>3.2757680503272759</v>
      </c>
      <c r="AD36" s="5">
        <f>AD34/AD8/AD9/(1-AD6/100)/(1-AD7/100)+SUM(Production!AD48:AD51)*'Parameters, country spec'!AD35</f>
        <v>3.2757680503272759</v>
      </c>
      <c r="AE36" s="5">
        <f>AE34/AE8/AE9/(1-AE6/100)/(1-AE7/100)+SUM(Production!AE48:AE51)*'Parameters, country spec'!AE35</f>
        <v>3.2757680503272759</v>
      </c>
      <c r="AI36" s="97"/>
      <c r="AJ36" s="97"/>
    </row>
    <row r="37" spans="1:47" x14ac:dyDescent="0.35">
      <c r="AB37" s="234"/>
      <c r="AI37" s="97"/>
      <c r="AJ37" s="97"/>
    </row>
    <row r="38" spans="1:47" x14ac:dyDescent="0.35">
      <c r="A38" s="170" t="s">
        <v>245</v>
      </c>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231"/>
      <c r="AC38" s="170"/>
      <c r="AD38" s="170"/>
      <c r="AE38" s="170"/>
      <c r="AI38" s="97"/>
      <c r="AJ38" s="97"/>
      <c r="AL38" t="s">
        <v>31</v>
      </c>
      <c r="AM38" t="s">
        <v>24</v>
      </c>
      <c r="AN38" t="s">
        <v>22</v>
      </c>
      <c r="AO38" t="s">
        <v>26</v>
      </c>
      <c r="AP38" t="s">
        <v>27</v>
      </c>
      <c r="AQ38" t="s">
        <v>30</v>
      </c>
      <c r="AR38" t="s">
        <v>20</v>
      </c>
      <c r="AS38" t="s">
        <v>19</v>
      </c>
      <c r="AT38" t="s">
        <v>28</v>
      </c>
      <c r="AU38" t="s">
        <v>25</v>
      </c>
    </row>
    <row r="39" spans="1:47" x14ac:dyDescent="0.35">
      <c r="A39" s="3" t="s">
        <v>246</v>
      </c>
      <c r="B39" s="14">
        <v>0.28999999999999998</v>
      </c>
      <c r="C39" s="14">
        <v>0.28999999999999998</v>
      </c>
      <c r="D39" s="14">
        <v>0.28999999999999998</v>
      </c>
      <c r="E39" s="14">
        <v>0.28999999999999998</v>
      </c>
      <c r="F39" s="14">
        <v>0.28999999999999998</v>
      </c>
      <c r="G39" s="14">
        <v>0.28999999999999998</v>
      </c>
      <c r="H39" s="14">
        <v>0.28999999999999998</v>
      </c>
      <c r="I39" s="14">
        <v>0.28999999999999998</v>
      </c>
      <c r="J39" s="14">
        <v>0.28999999999999998</v>
      </c>
      <c r="K39" s="304">
        <v>0.44843073897000002</v>
      </c>
      <c r="L39" s="304">
        <v>0.66</v>
      </c>
      <c r="M39" s="304">
        <v>0.5</v>
      </c>
      <c r="N39" s="14">
        <v>0.49</v>
      </c>
      <c r="O39" s="304">
        <v>0.56000000000000005</v>
      </c>
      <c r="P39" s="14">
        <v>0.36</v>
      </c>
      <c r="Q39" s="14">
        <v>0.28999999999999998</v>
      </c>
      <c r="R39" s="14">
        <v>0.28999999999999998</v>
      </c>
      <c r="S39" s="14">
        <v>0.28999999999999998</v>
      </c>
      <c r="T39" s="304">
        <v>0.59901214226393995</v>
      </c>
      <c r="U39" s="14">
        <v>0.435</v>
      </c>
      <c r="V39" s="14">
        <v>0.28999999999999998</v>
      </c>
      <c r="W39" s="14">
        <v>0.28999999999999998</v>
      </c>
      <c r="X39" s="14">
        <v>0.28999999999999998</v>
      </c>
      <c r="Y39" s="14">
        <v>0.28999999999999998</v>
      </c>
      <c r="Z39" s="304">
        <v>0.64</v>
      </c>
      <c r="AA39" s="252">
        <v>0.28999999999999998</v>
      </c>
      <c r="AB39" s="232">
        <v>0.28999999999999998</v>
      </c>
      <c r="AC39" s="14">
        <v>0.28999999999999998</v>
      </c>
      <c r="AD39" s="14">
        <v>0.28999999999999998</v>
      </c>
      <c r="AE39" s="14">
        <v>0.28999999999999998</v>
      </c>
      <c r="AI39" s="97" t="s">
        <v>247</v>
      </c>
      <c r="AJ39" s="97"/>
      <c r="AL39" t="s">
        <v>248</v>
      </c>
      <c r="AM39" t="s">
        <v>248</v>
      </c>
      <c r="AN39" t="s">
        <v>248</v>
      </c>
      <c r="AO39" t="s">
        <v>249</v>
      </c>
      <c r="AP39" t="s">
        <v>248</v>
      </c>
      <c r="AQ39" t="s">
        <v>250</v>
      </c>
      <c r="AR39" t="s">
        <v>248</v>
      </c>
      <c r="AS39" t="s">
        <v>251</v>
      </c>
      <c r="AU39" s="97" t="s">
        <v>247</v>
      </c>
    </row>
    <row r="40" spans="1:47" x14ac:dyDescent="0.35">
      <c r="A40" s="3" t="s">
        <v>252</v>
      </c>
      <c r="B40" s="20">
        <f>B39/8.5</f>
        <v>3.411764705882353E-2</v>
      </c>
      <c r="C40" s="20">
        <f t="shared" ref="C40:AB40" si="2">C39/8.5</f>
        <v>3.411764705882353E-2</v>
      </c>
      <c r="D40" s="20">
        <f t="shared" si="2"/>
        <v>3.411764705882353E-2</v>
      </c>
      <c r="E40" s="20">
        <f t="shared" si="2"/>
        <v>3.411764705882353E-2</v>
      </c>
      <c r="F40" s="20">
        <f t="shared" si="2"/>
        <v>3.411764705882353E-2</v>
      </c>
      <c r="G40" s="20">
        <f t="shared" si="2"/>
        <v>3.411764705882353E-2</v>
      </c>
      <c r="H40" s="20">
        <f t="shared" si="2"/>
        <v>3.411764705882353E-2</v>
      </c>
      <c r="I40" s="20">
        <f t="shared" si="2"/>
        <v>3.411764705882353E-2</v>
      </c>
      <c r="J40" s="20">
        <f t="shared" si="2"/>
        <v>3.411764705882353E-2</v>
      </c>
      <c r="K40" s="20">
        <f t="shared" si="2"/>
        <v>5.2756557525882354E-2</v>
      </c>
      <c r="L40" s="20">
        <f t="shared" si="2"/>
        <v>7.7647058823529416E-2</v>
      </c>
      <c r="M40" s="20">
        <f t="shared" si="2"/>
        <v>5.8823529411764705E-2</v>
      </c>
      <c r="N40" s="20">
        <f t="shared" si="2"/>
        <v>5.7647058823529412E-2</v>
      </c>
      <c r="O40" s="20">
        <f t="shared" si="2"/>
        <v>6.5882352941176475E-2</v>
      </c>
      <c r="P40" s="20">
        <f t="shared" si="2"/>
        <v>4.2352941176470586E-2</v>
      </c>
      <c r="Q40" s="20">
        <f t="shared" si="2"/>
        <v>3.411764705882353E-2</v>
      </c>
      <c r="R40" s="20">
        <f t="shared" si="2"/>
        <v>3.411764705882353E-2</v>
      </c>
      <c r="S40" s="20">
        <f t="shared" si="2"/>
        <v>3.411764705882353E-2</v>
      </c>
      <c r="T40" s="20">
        <f t="shared" si="2"/>
        <v>7.0472016736934109E-2</v>
      </c>
      <c r="U40" s="20">
        <f t="shared" si="2"/>
        <v>5.1176470588235295E-2</v>
      </c>
      <c r="V40" s="20">
        <f t="shared" si="2"/>
        <v>3.411764705882353E-2</v>
      </c>
      <c r="W40" s="20">
        <f t="shared" si="2"/>
        <v>3.411764705882353E-2</v>
      </c>
      <c r="X40" s="20">
        <f t="shared" si="2"/>
        <v>3.411764705882353E-2</v>
      </c>
      <c r="Y40" s="20">
        <f t="shared" si="2"/>
        <v>3.411764705882353E-2</v>
      </c>
      <c r="Z40" s="20">
        <f t="shared" si="2"/>
        <v>7.5294117647058831E-2</v>
      </c>
      <c r="AA40" s="20">
        <f t="shared" si="2"/>
        <v>3.411764705882353E-2</v>
      </c>
      <c r="AB40" s="236">
        <f t="shared" si="2"/>
        <v>3.411764705882353E-2</v>
      </c>
      <c r="AC40" s="20">
        <f t="shared" ref="AC40:AE40" si="3">AC39/8.5</f>
        <v>3.411764705882353E-2</v>
      </c>
      <c r="AD40" s="20">
        <f t="shared" si="3"/>
        <v>3.411764705882353E-2</v>
      </c>
      <c r="AE40" s="20">
        <f t="shared" si="3"/>
        <v>3.411764705882353E-2</v>
      </c>
      <c r="AI40" s="97" t="s">
        <v>253</v>
      </c>
      <c r="AJ40" s="97"/>
    </row>
    <row r="41" spans="1:47" x14ac:dyDescent="0.35">
      <c r="A41" s="3" t="s">
        <v>254</v>
      </c>
      <c r="B41" s="14">
        <v>0.6</v>
      </c>
      <c r="C41" s="14">
        <v>0.6</v>
      </c>
      <c r="D41" s="14">
        <v>0.6</v>
      </c>
      <c r="E41" s="14">
        <v>0.6</v>
      </c>
      <c r="F41" s="14">
        <v>0.6</v>
      </c>
      <c r="G41" s="14">
        <v>0.6</v>
      </c>
      <c r="H41" s="14">
        <v>0.6</v>
      </c>
      <c r="I41" s="14">
        <v>0.6</v>
      </c>
      <c r="J41" s="14">
        <v>0.6</v>
      </c>
      <c r="K41" s="304">
        <v>0.44843073897000002</v>
      </c>
      <c r="L41" s="304">
        <v>0.66</v>
      </c>
      <c r="M41" s="304">
        <v>0.5</v>
      </c>
      <c r="N41" s="14">
        <v>0.7</v>
      </c>
      <c r="O41" s="304">
        <v>0.56000000000000005</v>
      </c>
      <c r="P41" s="14">
        <v>0.66</v>
      </c>
      <c r="Q41" s="14">
        <v>0.6</v>
      </c>
      <c r="R41" s="14">
        <v>0.6</v>
      </c>
      <c r="S41" s="14">
        <v>0.6</v>
      </c>
      <c r="T41" s="304">
        <v>0.59901214226393995</v>
      </c>
      <c r="U41" s="14">
        <v>0.72499999999999998</v>
      </c>
      <c r="V41" s="14">
        <v>0.6</v>
      </c>
      <c r="W41" s="14">
        <v>0.6</v>
      </c>
      <c r="X41" s="14">
        <v>0.6</v>
      </c>
      <c r="Y41" s="14">
        <v>0.6</v>
      </c>
      <c r="Z41" s="304">
        <v>0.64</v>
      </c>
      <c r="AA41" s="252">
        <v>0.6</v>
      </c>
      <c r="AB41" s="232">
        <v>0.6</v>
      </c>
      <c r="AC41" s="14">
        <v>0.6</v>
      </c>
      <c r="AD41" s="14">
        <v>0.6</v>
      </c>
      <c r="AE41" s="14">
        <v>0.6</v>
      </c>
      <c r="AI41" s="97" t="s">
        <v>247</v>
      </c>
      <c r="AJ41" s="97" t="s">
        <v>255</v>
      </c>
      <c r="AL41" t="s">
        <v>248</v>
      </c>
      <c r="AM41" t="s">
        <v>248</v>
      </c>
      <c r="AN41" t="s">
        <v>248</v>
      </c>
      <c r="AO41" t="s">
        <v>249</v>
      </c>
      <c r="AP41" t="s">
        <v>248</v>
      </c>
      <c r="AQ41" t="s">
        <v>250</v>
      </c>
      <c r="AR41" t="s">
        <v>248</v>
      </c>
      <c r="AS41" t="s">
        <v>251</v>
      </c>
      <c r="AU41" s="97" t="s">
        <v>247</v>
      </c>
    </row>
    <row r="42" spans="1:47" x14ac:dyDescent="0.35">
      <c r="A42" s="3" t="s">
        <v>256</v>
      </c>
      <c r="B42" s="14">
        <v>0.17</v>
      </c>
      <c r="C42" s="14">
        <v>0.17</v>
      </c>
      <c r="D42" s="14">
        <v>0.17</v>
      </c>
      <c r="E42" s="14">
        <v>0.17</v>
      </c>
      <c r="F42" s="14">
        <v>0.17</v>
      </c>
      <c r="G42" s="14">
        <v>0.17</v>
      </c>
      <c r="H42" s="14">
        <v>0.17</v>
      </c>
      <c r="I42" s="14">
        <v>0.17</v>
      </c>
      <c r="J42" s="14">
        <v>0.17</v>
      </c>
      <c r="K42" s="14">
        <v>0.17</v>
      </c>
      <c r="L42" s="14">
        <v>0.17</v>
      </c>
      <c r="M42" s="14">
        <v>0.17</v>
      </c>
      <c r="N42" s="14">
        <v>0.17</v>
      </c>
      <c r="O42" s="14">
        <v>0.17</v>
      </c>
      <c r="P42" s="14">
        <v>0.17</v>
      </c>
      <c r="Q42" s="14">
        <v>0.17</v>
      </c>
      <c r="R42" s="14">
        <v>0.17</v>
      </c>
      <c r="S42" s="14">
        <v>0.17</v>
      </c>
      <c r="T42" s="14">
        <v>0.17</v>
      </c>
      <c r="U42" s="14">
        <v>0.17</v>
      </c>
      <c r="V42" s="14">
        <v>0.17</v>
      </c>
      <c r="W42" s="14">
        <v>0.17</v>
      </c>
      <c r="X42" s="14">
        <v>0.17</v>
      </c>
      <c r="Y42" s="14">
        <v>0.17</v>
      </c>
      <c r="Z42" s="14">
        <v>0.17</v>
      </c>
      <c r="AA42" s="252">
        <v>0.17</v>
      </c>
      <c r="AB42" s="232">
        <v>0.17</v>
      </c>
      <c r="AC42" s="14">
        <v>0.17</v>
      </c>
      <c r="AD42" s="14">
        <v>0.17</v>
      </c>
      <c r="AE42" s="14">
        <v>0.17</v>
      </c>
      <c r="AI42" s="97" t="s">
        <v>257</v>
      </c>
      <c r="AJ42" s="97"/>
    </row>
    <row r="43" spans="1:47" x14ac:dyDescent="0.35">
      <c r="A43" s="3" t="s">
        <v>258</v>
      </c>
      <c r="B43" s="4">
        <f>Production!B47*B40+SUM(Production!B48:B51)*B41</f>
        <v>2.922180278640972E-2</v>
      </c>
      <c r="C43" s="4">
        <f>Production!C47*C40+SUM(Production!C48:C51)*C41</f>
        <v>2.922180278640972E-2</v>
      </c>
      <c r="D43" s="4">
        <f>Production!D47*D40+SUM(Production!D48:D51)*D41</f>
        <v>2.922180278640972E-2</v>
      </c>
      <c r="E43" s="4">
        <f>Production!E47*E40+SUM(Production!E48:E51)*E41</f>
        <v>2.922180278640972E-2</v>
      </c>
      <c r="F43" s="4">
        <f>Production!F47*F40+SUM(Production!F48:F51)*F41</f>
        <v>2.922180278640972E-2</v>
      </c>
      <c r="G43" s="4">
        <f>Production!G47*G40+SUM(Production!G48:G51)*G41</f>
        <v>2.922180278640972E-2</v>
      </c>
      <c r="H43" s="4">
        <f>Production!H47*H40+SUM(Production!H48:H51)*H41</f>
        <v>2.922180278640972E-2</v>
      </c>
      <c r="I43" s="4">
        <f>Production!I47*I40+SUM(Production!I48:I51)*I41</f>
        <v>2.922180278640972E-2</v>
      </c>
      <c r="J43" s="4">
        <f>Production!J47*J40+SUM(Production!J48:J51)*J41</f>
        <v>2.922180278640972E-2</v>
      </c>
      <c r="K43" s="4">
        <f>Production!K47*K40+SUM(Production!K48:K51)*K41</f>
        <v>4.2587062601165099E-2</v>
      </c>
      <c r="L43" s="4">
        <f>Production!L47*L40+SUM(Production!L48:L51)*L41</f>
        <v>6.231923474533542E-2</v>
      </c>
      <c r="M43" s="4">
        <f>Production!M47*M40+SUM(Production!M48:M51)*M41</f>
        <v>4.7211541473738954E-2</v>
      </c>
      <c r="N43" s="4">
        <f>Production!N47*N40+SUM(Production!N48:N51)*N41</f>
        <v>4.7513158494730742E-2</v>
      </c>
      <c r="O43" s="4">
        <f>Production!O47*O40+SUM(Production!O48:O51)*O41</f>
        <v>5.2876926450587627E-2</v>
      </c>
      <c r="P43" s="4">
        <f>Production!P47*P40+SUM(Production!P48:P51)*P41</f>
        <v>3.5772092504615709E-2</v>
      </c>
      <c r="Q43" s="4">
        <f>Production!Q47*Q40+SUM(Production!Q48:Q51)*Q41</f>
        <v>2.922180278640972E-2</v>
      </c>
      <c r="R43" s="4">
        <f>Production!R47*R40+SUM(Production!R48:R51)*R41</f>
        <v>2.922180278640972E-2</v>
      </c>
      <c r="S43" s="4">
        <f>Production!S47*S40+SUM(Production!S48:S51)*S41</f>
        <v>2.922180278640972E-2</v>
      </c>
      <c r="T43" s="4">
        <f>Production!T47*T40+SUM(Production!T48:T51)*T41</f>
        <v>5.6560573195534439E-2</v>
      </c>
      <c r="U43" s="4">
        <f>Production!U47*U40+SUM(Production!U48:U51)*U41</f>
        <v>4.2794497637559104E-2</v>
      </c>
      <c r="V43" s="4">
        <f>Production!V47*V40+SUM(Production!V48:V51)*V41</f>
        <v>2.922180278640972E-2</v>
      </c>
      <c r="W43" s="4">
        <f>Production!W47*W40+SUM(Production!W48:W51)*W41</f>
        <v>2.922180278640972E-2</v>
      </c>
      <c r="X43" s="4">
        <f>Production!X47*X40+SUM(Production!X48:X51)*X41</f>
        <v>2.922180278640972E-2</v>
      </c>
      <c r="Y43" s="4">
        <f>Production!Y47*Y40+SUM(Production!Y48:Y51)*Y41</f>
        <v>2.922180278640972E-2</v>
      </c>
      <c r="Z43" s="4">
        <f>Production!Z47*Z40+SUM(Production!Z48:Z51)*Z41</f>
        <v>6.0430773086385871E-2</v>
      </c>
      <c r="AA43" s="4">
        <f>Production!AA47*AA40+SUM(Production!AA48:AA51)*AA41</f>
        <v>2.922180278640972E-2</v>
      </c>
      <c r="AB43" s="4">
        <f>Production!AB47*AB40+SUM(Production!AB48:AB51)*AB41</f>
        <v>2.922180278640972E-2</v>
      </c>
      <c r="AC43" s="244">
        <f>Production!AC47*AC40+SUM(Production!AC48:AC51)*AC41</f>
        <v>2.922180278640972E-2</v>
      </c>
      <c r="AD43" s="4">
        <f>Production!AD47*AD40+SUM(Production!AD48:AD51)*AD41</f>
        <v>2.922180278640972E-2</v>
      </c>
      <c r="AE43" s="4">
        <f>Production!AE47*AE40+SUM(Production!AE48:AE51)*AE41</f>
        <v>2.922180278640972E-2</v>
      </c>
      <c r="AI43" s="97"/>
      <c r="AJ43" s="97"/>
    </row>
    <row r="44" spans="1:47" x14ac:dyDescent="0.35">
      <c r="A44" s="3" t="s">
        <v>259</v>
      </c>
      <c r="B44" s="4">
        <f t="shared" ref="B44:AB44" si="4">B50</f>
        <v>1E-3</v>
      </c>
      <c r="C44" s="4">
        <f t="shared" si="4"/>
        <v>1E-3</v>
      </c>
      <c r="D44" s="4">
        <f t="shared" si="4"/>
        <v>1E-3</v>
      </c>
      <c r="E44" s="4">
        <f t="shared" si="4"/>
        <v>1E-3</v>
      </c>
      <c r="F44" s="4">
        <f t="shared" si="4"/>
        <v>1E-3</v>
      </c>
      <c r="G44" s="4">
        <f t="shared" si="4"/>
        <v>1E-3</v>
      </c>
      <c r="H44" s="4">
        <f t="shared" si="4"/>
        <v>1E-3</v>
      </c>
      <c r="I44" s="4">
        <f t="shared" si="4"/>
        <v>1E-3</v>
      </c>
      <c r="J44" s="4">
        <f t="shared" si="4"/>
        <v>1E-3</v>
      </c>
      <c r="K44" s="4">
        <f t="shared" si="4"/>
        <v>1E-3</v>
      </c>
      <c r="L44" s="4">
        <f t="shared" si="4"/>
        <v>1E-3</v>
      </c>
      <c r="M44" s="4">
        <f t="shared" si="4"/>
        <v>1E-3</v>
      </c>
      <c r="N44" s="4">
        <f t="shared" si="4"/>
        <v>1E-3</v>
      </c>
      <c r="O44" s="4">
        <f t="shared" si="4"/>
        <v>1E-3</v>
      </c>
      <c r="P44" s="4">
        <f t="shared" si="4"/>
        <v>1E-3</v>
      </c>
      <c r="Q44" s="4">
        <f t="shared" si="4"/>
        <v>1E-3</v>
      </c>
      <c r="R44" s="4">
        <f t="shared" si="4"/>
        <v>1E-3</v>
      </c>
      <c r="S44" s="4">
        <f t="shared" si="4"/>
        <v>1E-3</v>
      </c>
      <c r="T44" s="4">
        <f t="shared" si="4"/>
        <v>1E-3</v>
      </c>
      <c r="U44" s="4">
        <f t="shared" si="4"/>
        <v>1E-3</v>
      </c>
      <c r="V44" s="4">
        <f t="shared" si="4"/>
        <v>1E-3</v>
      </c>
      <c r="W44" s="4">
        <f t="shared" si="4"/>
        <v>1E-3</v>
      </c>
      <c r="X44" s="4">
        <f t="shared" si="4"/>
        <v>1E-3</v>
      </c>
      <c r="Y44" s="4">
        <f t="shared" si="4"/>
        <v>1E-3</v>
      </c>
      <c r="Z44" s="4">
        <f t="shared" si="4"/>
        <v>1E-3</v>
      </c>
      <c r="AA44" s="4">
        <f t="shared" si="4"/>
        <v>1E-3</v>
      </c>
      <c r="AB44" s="237">
        <f t="shared" si="4"/>
        <v>1E-3</v>
      </c>
      <c r="AC44" s="4">
        <f t="shared" ref="AC44:AE44" si="5">AC50</f>
        <v>1E-3</v>
      </c>
      <c r="AD44" s="4">
        <f t="shared" si="5"/>
        <v>1E-3</v>
      </c>
      <c r="AE44" s="4">
        <f t="shared" si="5"/>
        <v>1E-3</v>
      </c>
      <c r="AI44" s="97"/>
      <c r="AJ44" s="97"/>
    </row>
    <row r="45" spans="1:47" x14ac:dyDescent="0.35">
      <c r="A45" s="3" t="s">
        <v>260</v>
      </c>
      <c r="B45" s="110">
        <f>(B43-B44*28/44)*B42*B51</f>
        <v>4.8595246555078347E-5</v>
      </c>
      <c r="C45" s="110">
        <f t="shared" ref="C45:AB45" si="6">(C43-C44*28/44)*C42*C51</f>
        <v>4.8595246555078347E-5</v>
      </c>
      <c r="D45" s="110">
        <f t="shared" si="6"/>
        <v>4.8595246555078347E-5</v>
      </c>
      <c r="E45" s="110">
        <f t="shared" si="6"/>
        <v>4.8595246555078347E-5</v>
      </c>
      <c r="F45" s="110">
        <f t="shared" si="6"/>
        <v>4.8595246555078347E-5</v>
      </c>
      <c r="G45" s="110">
        <f t="shared" si="6"/>
        <v>4.8595246555078347E-5</v>
      </c>
      <c r="H45" s="110">
        <f t="shared" si="6"/>
        <v>4.8595246555078347E-5</v>
      </c>
      <c r="I45" s="110">
        <f t="shared" si="6"/>
        <v>4.8595246555078347E-5</v>
      </c>
      <c r="J45" s="110">
        <f t="shared" si="6"/>
        <v>4.8595246555078347E-5</v>
      </c>
      <c r="K45" s="110">
        <f t="shared" si="6"/>
        <v>7.1316188240162491E-5</v>
      </c>
      <c r="L45" s="110">
        <f t="shared" si="6"/>
        <v>1.0486088088525204E-4</v>
      </c>
      <c r="M45" s="110">
        <f t="shared" si="6"/>
        <v>7.9177802323538042E-5</v>
      </c>
      <c r="N45" s="110">
        <f t="shared" si="6"/>
        <v>7.9690551259224091E-5</v>
      </c>
      <c r="O45" s="110">
        <f t="shared" si="6"/>
        <v>8.8808956784180781E-5</v>
      </c>
      <c r="P45" s="110">
        <f t="shared" si="6"/>
        <v>5.9730739076028533E-5</v>
      </c>
      <c r="Q45" s="110">
        <f t="shared" si="6"/>
        <v>4.8595246555078347E-5</v>
      </c>
      <c r="R45" s="110">
        <f t="shared" si="6"/>
        <v>4.8595246555078347E-5</v>
      </c>
      <c r="S45" s="110">
        <f t="shared" si="6"/>
        <v>4.8595246555078347E-5</v>
      </c>
      <c r="T45" s="110">
        <f t="shared" si="6"/>
        <v>9.5071156250590373E-5</v>
      </c>
      <c r="U45" s="110">
        <f t="shared" si="6"/>
        <v>7.1668827802032304E-5</v>
      </c>
      <c r="V45" s="110">
        <f t="shared" si="6"/>
        <v>4.8595246555078347E-5</v>
      </c>
      <c r="W45" s="110">
        <f t="shared" si="6"/>
        <v>4.8595246555078347E-5</v>
      </c>
      <c r="X45" s="110">
        <f t="shared" si="6"/>
        <v>4.8595246555078347E-5</v>
      </c>
      <c r="Y45" s="110">
        <f t="shared" si="6"/>
        <v>4.8595246555078347E-5</v>
      </c>
      <c r="Z45" s="110">
        <f t="shared" si="6"/>
        <v>1.0165049606503781E-4</v>
      </c>
      <c r="AA45" s="110">
        <f t="shared" si="6"/>
        <v>4.8595246555078347E-5</v>
      </c>
      <c r="AB45" s="238">
        <f t="shared" si="6"/>
        <v>4.8595246555078347E-5</v>
      </c>
      <c r="AC45" s="110">
        <f t="shared" ref="AC45:AE45" si="7">(AC43-AC44*28/44)*AC42*AC51</f>
        <v>4.8595246555078347E-5</v>
      </c>
      <c r="AD45" s="110">
        <f t="shared" si="7"/>
        <v>4.8595246555078347E-5</v>
      </c>
      <c r="AE45" s="110">
        <f t="shared" si="7"/>
        <v>4.8595246555078347E-5</v>
      </c>
      <c r="AI45" s="97"/>
      <c r="AJ45" s="97"/>
    </row>
    <row r="46" spans="1:47" x14ac:dyDescent="0.35">
      <c r="A46" s="3" t="s">
        <v>261</v>
      </c>
      <c r="B46" s="4">
        <f>B43-B44-B45</f>
        <v>2.8173207539854642E-2</v>
      </c>
      <c r="C46" s="4">
        <f t="shared" ref="C46:AB46" si="8">C43-C44-C45</f>
        <v>2.8173207539854642E-2</v>
      </c>
      <c r="D46" s="4">
        <f t="shared" si="8"/>
        <v>2.8173207539854642E-2</v>
      </c>
      <c r="E46" s="4">
        <f t="shared" si="8"/>
        <v>2.8173207539854642E-2</v>
      </c>
      <c r="F46" s="4">
        <f t="shared" si="8"/>
        <v>2.8173207539854642E-2</v>
      </c>
      <c r="G46" s="4">
        <f t="shared" si="8"/>
        <v>2.8173207539854642E-2</v>
      </c>
      <c r="H46" s="4">
        <f t="shared" si="8"/>
        <v>2.8173207539854642E-2</v>
      </c>
      <c r="I46" s="4">
        <f t="shared" si="8"/>
        <v>2.8173207539854642E-2</v>
      </c>
      <c r="J46" s="4">
        <f t="shared" si="8"/>
        <v>2.8173207539854642E-2</v>
      </c>
      <c r="K46" s="4">
        <f t="shared" si="8"/>
        <v>4.1515746412924937E-2</v>
      </c>
      <c r="L46" s="4">
        <f t="shared" si="8"/>
        <v>6.1214373864450167E-2</v>
      </c>
      <c r="M46" s="4">
        <f t="shared" si="8"/>
        <v>4.6132363671415412E-2</v>
      </c>
      <c r="N46" s="4">
        <f t="shared" si="8"/>
        <v>4.6433467943471515E-2</v>
      </c>
      <c r="O46" s="4">
        <f t="shared" si="8"/>
        <v>5.1788117493803444E-2</v>
      </c>
      <c r="P46" s="4">
        <f t="shared" si="8"/>
        <v>3.4712361765539677E-2</v>
      </c>
      <c r="Q46" s="4">
        <f t="shared" si="8"/>
        <v>2.8173207539854642E-2</v>
      </c>
      <c r="R46" s="4">
        <f t="shared" si="8"/>
        <v>2.8173207539854642E-2</v>
      </c>
      <c r="S46" s="4">
        <f t="shared" si="8"/>
        <v>2.8173207539854642E-2</v>
      </c>
      <c r="T46" s="4">
        <f t="shared" si="8"/>
        <v>5.5465502039283847E-2</v>
      </c>
      <c r="U46" s="4">
        <f t="shared" si="8"/>
        <v>4.172282880975707E-2</v>
      </c>
      <c r="V46" s="4">
        <f t="shared" si="8"/>
        <v>2.8173207539854642E-2</v>
      </c>
      <c r="W46" s="4">
        <f t="shared" si="8"/>
        <v>2.8173207539854642E-2</v>
      </c>
      <c r="X46" s="4">
        <f t="shared" si="8"/>
        <v>2.8173207539854642E-2</v>
      </c>
      <c r="Y46" s="4">
        <f t="shared" si="8"/>
        <v>2.8173207539854642E-2</v>
      </c>
      <c r="Z46" s="4">
        <f t="shared" si="8"/>
        <v>5.9329122590320832E-2</v>
      </c>
      <c r="AA46" s="4">
        <f t="shared" si="8"/>
        <v>2.8173207539854642E-2</v>
      </c>
      <c r="AB46" s="237">
        <f t="shared" si="8"/>
        <v>2.8173207539854642E-2</v>
      </c>
      <c r="AC46" s="4">
        <f>AC43-AC44-AC45</f>
        <v>2.8173207539854642E-2</v>
      </c>
      <c r="AD46" s="4">
        <f t="shared" ref="AD46:AE46" si="9">AD43-AD44-AD45</f>
        <v>2.8173207539854642E-2</v>
      </c>
      <c r="AE46" s="4">
        <f t="shared" si="9"/>
        <v>2.8173207539854642E-2</v>
      </c>
      <c r="AI46" s="97"/>
      <c r="AJ46" s="97"/>
    </row>
    <row r="47" spans="1:47" x14ac:dyDescent="0.35">
      <c r="AB47" s="234"/>
      <c r="AI47" s="97"/>
      <c r="AJ47" s="97"/>
    </row>
    <row r="48" spans="1:47" x14ac:dyDescent="0.35">
      <c r="A48" s="170" t="s">
        <v>262</v>
      </c>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231"/>
      <c r="AC48" s="170"/>
      <c r="AD48" s="170"/>
      <c r="AE48" s="170"/>
      <c r="AI48" s="97"/>
      <c r="AJ48" s="97"/>
    </row>
    <row r="49" spans="1:46" x14ac:dyDescent="0.35">
      <c r="A49" s="3" t="s">
        <v>263</v>
      </c>
      <c r="B49" s="14">
        <v>0.02</v>
      </c>
      <c r="C49" s="14">
        <v>0.02</v>
      </c>
      <c r="D49" s="14">
        <v>0.02</v>
      </c>
      <c r="E49" s="14">
        <v>0.02</v>
      </c>
      <c r="F49" s="14">
        <v>0.02</v>
      </c>
      <c r="G49" s="14">
        <v>0.02</v>
      </c>
      <c r="H49" s="14">
        <v>0.02</v>
      </c>
      <c r="I49" s="14">
        <v>0.02</v>
      </c>
      <c r="J49" s="14">
        <v>0.02</v>
      </c>
      <c r="K49" s="304">
        <v>0.02</v>
      </c>
      <c r="L49" s="304">
        <v>0.03</v>
      </c>
      <c r="M49" s="304">
        <v>0.03</v>
      </c>
      <c r="N49" s="304">
        <v>0.02</v>
      </c>
      <c r="O49" s="310">
        <v>2.1000000000000001E-2</v>
      </c>
      <c r="P49" s="14">
        <v>0.02</v>
      </c>
      <c r="Q49" s="14">
        <v>0.02</v>
      </c>
      <c r="R49" s="14">
        <v>0.02</v>
      </c>
      <c r="S49" s="14">
        <v>0.02</v>
      </c>
      <c r="T49" s="304">
        <v>2.879385581064E-2</v>
      </c>
      <c r="U49" s="304">
        <v>0.03</v>
      </c>
      <c r="V49" s="14">
        <v>0.02</v>
      </c>
      <c r="W49" s="14">
        <v>0.02</v>
      </c>
      <c r="X49" s="14">
        <v>0.02</v>
      </c>
      <c r="Y49" s="14">
        <v>0.02</v>
      </c>
      <c r="Z49" s="311">
        <v>2.7157268533580001E-2</v>
      </c>
      <c r="AA49" s="252">
        <v>0.02</v>
      </c>
      <c r="AB49" s="232">
        <v>0.02</v>
      </c>
      <c r="AC49" s="14">
        <v>0.02</v>
      </c>
      <c r="AD49" s="14">
        <v>0.02</v>
      </c>
      <c r="AE49" s="14">
        <v>0.02</v>
      </c>
      <c r="AI49" s="97" t="s">
        <v>264</v>
      </c>
      <c r="AJ49" s="97" t="s">
        <v>265</v>
      </c>
      <c r="AL49" t="s">
        <v>248</v>
      </c>
      <c r="AM49" t="s">
        <v>248</v>
      </c>
      <c r="AN49" t="s">
        <v>248</v>
      </c>
      <c r="AO49" t="s">
        <v>248</v>
      </c>
      <c r="AP49" t="s">
        <v>266</v>
      </c>
      <c r="AQ49" t="s">
        <v>250</v>
      </c>
      <c r="AR49" t="s">
        <v>248</v>
      </c>
      <c r="AS49" t="s">
        <v>251</v>
      </c>
      <c r="AT49" t="s">
        <v>248</v>
      </c>
    </row>
    <row r="50" spans="1:46" x14ac:dyDescent="0.35">
      <c r="A50" s="3" t="s">
        <v>267</v>
      </c>
      <c r="B50" s="14">
        <v>1E-3</v>
      </c>
      <c r="C50" s="14">
        <v>1E-3</v>
      </c>
      <c r="D50" s="14">
        <v>1E-3</v>
      </c>
      <c r="E50" s="14">
        <v>1E-3</v>
      </c>
      <c r="F50" s="14">
        <v>1E-3</v>
      </c>
      <c r="G50" s="14">
        <v>1E-3</v>
      </c>
      <c r="H50" s="14">
        <v>1E-3</v>
      </c>
      <c r="I50" s="14">
        <v>1E-3</v>
      </c>
      <c r="J50" s="14">
        <v>1E-3</v>
      </c>
      <c r="K50" s="14">
        <v>1E-3</v>
      </c>
      <c r="L50" s="14">
        <v>1E-3</v>
      </c>
      <c r="M50" s="14">
        <v>1E-3</v>
      </c>
      <c r="N50" s="14">
        <v>1E-3</v>
      </c>
      <c r="O50" s="14">
        <v>1E-3</v>
      </c>
      <c r="P50" s="14">
        <v>1E-3</v>
      </c>
      <c r="Q50" s="14">
        <v>1E-3</v>
      </c>
      <c r="R50" s="14">
        <v>1E-3</v>
      </c>
      <c r="S50" s="14">
        <v>1E-3</v>
      </c>
      <c r="T50" s="14">
        <v>1E-3</v>
      </c>
      <c r="U50" s="14">
        <v>1E-3</v>
      </c>
      <c r="V50" s="14">
        <v>1E-3</v>
      </c>
      <c r="W50" s="14">
        <v>1E-3</v>
      </c>
      <c r="X50" s="14">
        <v>1E-3</v>
      </c>
      <c r="Y50" s="14">
        <v>1E-3</v>
      </c>
      <c r="Z50" s="14">
        <v>1E-3</v>
      </c>
      <c r="AA50" s="252">
        <v>1E-3</v>
      </c>
      <c r="AB50" s="232">
        <v>1E-3</v>
      </c>
      <c r="AC50" s="14">
        <v>1E-3</v>
      </c>
      <c r="AD50" s="14">
        <v>1E-3</v>
      </c>
      <c r="AE50" s="14">
        <v>1E-3</v>
      </c>
      <c r="AI50" s="97" t="s">
        <v>268</v>
      </c>
      <c r="AJ50" s="97" t="s">
        <v>269</v>
      </c>
    </row>
    <row r="51" spans="1:46" x14ac:dyDescent="0.35">
      <c r="A51" s="3" t="s">
        <v>270</v>
      </c>
      <c r="B51" s="14">
        <v>0.01</v>
      </c>
      <c r="C51" s="14">
        <v>0.01</v>
      </c>
      <c r="D51" s="14">
        <v>0.01</v>
      </c>
      <c r="E51" s="14">
        <v>0.01</v>
      </c>
      <c r="F51" s="14">
        <v>0.01</v>
      </c>
      <c r="G51" s="14">
        <v>0.01</v>
      </c>
      <c r="H51" s="14">
        <v>0.01</v>
      </c>
      <c r="I51" s="14">
        <v>0.01</v>
      </c>
      <c r="J51" s="14">
        <v>0.01</v>
      </c>
      <c r="K51" s="14">
        <v>0.01</v>
      </c>
      <c r="L51" s="14">
        <v>0.01</v>
      </c>
      <c r="M51" s="14">
        <v>0.01</v>
      </c>
      <c r="N51" s="14">
        <v>0.01</v>
      </c>
      <c r="O51" s="14">
        <v>0.01</v>
      </c>
      <c r="P51" s="14">
        <v>0.01</v>
      </c>
      <c r="Q51" s="14">
        <v>0.01</v>
      </c>
      <c r="R51" s="14">
        <v>0.01</v>
      </c>
      <c r="S51" s="14">
        <v>0.01</v>
      </c>
      <c r="T51" s="14">
        <v>0.01</v>
      </c>
      <c r="U51" s="14">
        <v>0.01</v>
      </c>
      <c r="V51" s="14">
        <v>0.01</v>
      </c>
      <c r="W51" s="14">
        <v>0.01</v>
      </c>
      <c r="X51" s="14">
        <v>0.01</v>
      </c>
      <c r="Y51" s="14">
        <v>0.01</v>
      </c>
      <c r="Z51" s="14">
        <v>0.01</v>
      </c>
      <c r="AA51" s="252">
        <v>0.01</v>
      </c>
      <c r="AB51" s="232">
        <v>0.01</v>
      </c>
      <c r="AC51" s="14">
        <v>0.01</v>
      </c>
      <c r="AD51" s="14">
        <v>0.01</v>
      </c>
      <c r="AE51" s="14">
        <v>0.01</v>
      </c>
      <c r="AI51" s="97" t="s">
        <v>271</v>
      </c>
      <c r="AJ51" s="97" t="s">
        <v>272</v>
      </c>
    </row>
    <row r="52" spans="1:46" x14ac:dyDescent="0.35">
      <c r="AA52" s="252"/>
      <c r="AB52" s="234"/>
      <c r="AI52" s="97"/>
      <c r="AJ52" s="97"/>
    </row>
    <row r="53" spans="1:46" x14ac:dyDescent="0.35">
      <c r="A53" s="170" t="s">
        <v>273</v>
      </c>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272"/>
      <c r="AB53" s="231"/>
      <c r="AC53" s="170"/>
      <c r="AD53" s="170"/>
      <c r="AE53" s="170"/>
      <c r="AI53" s="97"/>
      <c r="AJ53" s="97"/>
    </row>
    <row r="54" spans="1:46" x14ac:dyDescent="0.35">
      <c r="A54" s="3" t="s">
        <v>274</v>
      </c>
      <c r="B54" s="16">
        <v>0.35</v>
      </c>
      <c r="C54" s="16">
        <v>0.35</v>
      </c>
      <c r="D54" s="16">
        <v>0.35</v>
      </c>
      <c r="E54" s="16">
        <v>0.35</v>
      </c>
      <c r="F54" s="16">
        <v>0.35</v>
      </c>
      <c r="G54" s="16">
        <v>0.35</v>
      </c>
      <c r="H54" s="16">
        <v>0.35</v>
      </c>
      <c r="I54" s="16">
        <v>0.35</v>
      </c>
      <c r="J54" s="16">
        <v>0.35</v>
      </c>
      <c r="K54" s="16">
        <v>0.35</v>
      </c>
      <c r="L54" s="16">
        <v>0.35</v>
      </c>
      <c r="M54" s="16">
        <v>0.35</v>
      </c>
      <c r="N54" s="16">
        <v>0.35</v>
      </c>
      <c r="O54" s="16">
        <v>0.35</v>
      </c>
      <c r="P54" s="16">
        <v>0.35</v>
      </c>
      <c r="Q54" s="16">
        <v>0.35</v>
      </c>
      <c r="R54" s="16">
        <v>0.35</v>
      </c>
      <c r="S54" s="16">
        <v>0.35</v>
      </c>
      <c r="T54" s="16">
        <v>0.35</v>
      </c>
      <c r="U54" s="16">
        <v>0.35</v>
      </c>
      <c r="V54" s="16">
        <v>0.35</v>
      </c>
      <c r="W54" s="16">
        <v>0.35</v>
      </c>
      <c r="X54" s="16">
        <v>0.35</v>
      </c>
      <c r="Y54" s="16">
        <v>0.35</v>
      </c>
      <c r="Z54" s="16">
        <v>0.35</v>
      </c>
      <c r="AA54" s="273">
        <v>0.35</v>
      </c>
      <c r="AB54" s="239">
        <v>0.35</v>
      </c>
      <c r="AC54" s="16">
        <v>0.35</v>
      </c>
      <c r="AD54" s="16">
        <v>0.35</v>
      </c>
      <c r="AE54" s="16">
        <v>0.35</v>
      </c>
      <c r="AI54" s="97" t="s">
        <v>275</v>
      </c>
      <c r="AJ54" s="97"/>
    </row>
    <row r="55" spans="1:46" x14ac:dyDescent="0.35">
      <c r="A55" s="3" t="s">
        <v>276</v>
      </c>
      <c r="B55" s="14">
        <v>0.8</v>
      </c>
      <c r="C55" s="14">
        <v>0.8</v>
      </c>
      <c r="D55" s="14">
        <v>0.8</v>
      </c>
      <c r="E55" s="14">
        <v>0.8</v>
      </c>
      <c r="F55" s="14">
        <v>0.8</v>
      </c>
      <c r="G55" s="14">
        <v>0.8</v>
      </c>
      <c r="H55" s="14">
        <v>0.8</v>
      </c>
      <c r="I55" s="14">
        <v>0.8</v>
      </c>
      <c r="J55" s="14">
        <v>0.8</v>
      </c>
      <c r="K55" s="14">
        <v>0.8</v>
      </c>
      <c r="L55" s="14">
        <v>0.8</v>
      </c>
      <c r="M55" s="14">
        <v>0.8</v>
      </c>
      <c r="N55" s="14">
        <v>0.8</v>
      </c>
      <c r="O55" s="14">
        <v>0.8</v>
      </c>
      <c r="P55" s="14">
        <v>0.8</v>
      </c>
      <c r="Q55" s="14">
        <v>0.8</v>
      </c>
      <c r="R55" s="14">
        <v>0.8</v>
      </c>
      <c r="S55" s="14">
        <v>0.8</v>
      </c>
      <c r="T55" s="14">
        <v>0.8</v>
      </c>
      <c r="U55" s="14">
        <v>0.8</v>
      </c>
      <c r="V55" s="14">
        <v>0.8</v>
      </c>
      <c r="W55" s="14">
        <v>0.8</v>
      </c>
      <c r="X55" s="14">
        <v>0.8</v>
      </c>
      <c r="Y55" s="14">
        <v>0.8</v>
      </c>
      <c r="Z55" s="14">
        <v>0.8</v>
      </c>
      <c r="AA55" s="252">
        <v>0.8</v>
      </c>
      <c r="AB55" s="232">
        <v>0.8</v>
      </c>
      <c r="AC55" s="14">
        <v>0.8</v>
      </c>
      <c r="AD55" s="14">
        <v>0.8</v>
      </c>
      <c r="AE55" s="14">
        <v>0.8</v>
      </c>
      <c r="AI55" s="97" t="s">
        <v>275</v>
      </c>
      <c r="AJ55" s="97"/>
    </row>
    <row r="56" spans="1:46" x14ac:dyDescent="0.35">
      <c r="A56" s="3" t="s">
        <v>277</v>
      </c>
      <c r="B56" s="14">
        <v>0.5</v>
      </c>
      <c r="C56" s="14">
        <v>0.5</v>
      </c>
      <c r="D56" s="14">
        <v>0.5</v>
      </c>
      <c r="E56" s="14">
        <v>0.5</v>
      </c>
      <c r="F56" s="14">
        <v>0.5</v>
      </c>
      <c r="G56" s="14">
        <v>0.5</v>
      </c>
      <c r="H56" s="14">
        <v>0.5</v>
      </c>
      <c r="I56" s="14">
        <v>0.5</v>
      </c>
      <c r="J56" s="14">
        <v>0.5</v>
      </c>
      <c r="K56" s="14">
        <v>0.5</v>
      </c>
      <c r="L56" s="14">
        <v>0.5</v>
      </c>
      <c r="M56" s="14">
        <v>0.5</v>
      </c>
      <c r="N56" s="14">
        <v>0.5</v>
      </c>
      <c r="O56" s="14">
        <v>0.5</v>
      </c>
      <c r="P56" s="14">
        <v>0.5</v>
      </c>
      <c r="Q56" s="14">
        <v>0.5</v>
      </c>
      <c r="R56" s="14">
        <v>0.5</v>
      </c>
      <c r="S56" s="14">
        <v>0.5</v>
      </c>
      <c r="T56" s="14">
        <v>0.5</v>
      </c>
      <c r="U56" s="14">
        <v>0.5</v>
      </c>
      <c r="V56" s="14">
        <v>0.5</v>
      </c>
      <c r="W56" s="14">
        <v>0.5</v>
      </c>
      <c r="X56" s="14">
        <v>0.5</v>
      </c>
      <c r="Y56" s="14">
        <v>0.5</v>
      </c>
      <c r="Z56" s="14">
        <v>0.5</v>
      </c>
      <c r="AA56" s="252">
        <v>0.5</v>
      </c>
      <c r="AB56" s="232">
        <v>0.5</v>
      </c>
      <c r="AC56" s="14">
        <v>0.5</v>
      </c>
      <c r="AD56" s="14">
        <v>0.5</v>
      </c>
      <c r="AE56" s="14">
        <v>0.5</v>
      </c>
      <c r="AI56" s="97" t="s">
        <v>278</v>
      </c>
      <c r="AJ56" s="97"/>
    </row>
    <row r="57" spans="1:46" x14ac:dyDescent="0.35">
      <c r="AA57" s="252"/>
      <c r="AB57" s="234"/>
      <c r="AI57" s="97" t="s">
        <v>279</v>
      </c>
      <c r="AJ57" s="97"/>
    </row>
    <row r="58" spans="1:46" x14ac:dyDescent="0.35">
      <c r="A58" s="170" t="s">
        <v>280</v>
      </c>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272"/>
      <c r="AB58" s="231"/>
      <c r="AC58" s="170"/>
      <c r="AD58" s="170"/>
      <c r="AE58" s="170"/>
    </row>
    <row r="59" spans="1:46" x14ac:dyDescent="0.35">
      <c r="A59" s="3" t="s">
        <v>281</v>
      </c>
      <c r="B59" s="15">
        <v>0.4</v>
      </c>
      <c r="C59" s="15">
        <v>0.4</v>
      </c>
      <c r="D59" s="15">
        <v>0.4</v>
      </c>
      <c r="E59" s="15">
        <v>0.4</v>
      </c>
      <c r="F59" s="15">
        <v>0.4</v>
      </c>
      <c r="G59" s="15">
        <v>0.4</v>
      </c>
      <c r="H59" s="15">
        <v>0.4</v>
      </c>
      <c r="I59" s="15">
        <v>0.4</v>
      </c>
      <c r="J59" s="15">
        <v>0.4</v>
      </c>
      <c r="K59" s="15">
        <v>0.4</v>
      </c>
      <c r="L59" s="15">
        <v>0.4</v>
      </c>
      <c r="M59" s="15">
        <v>0.4</v>
      </c>
      <c r="N59" s="15">
        <v>0.4</v>
      </c>
      <c r="O59" s="15">
        <v>0.4</v>
      </c>
      <c r="P59" s="15">
        <v>0.4</v>
      </c>
      <c r="Q59" s="15">
        <v>0.4</v>
      </c>
      <c r="R59" s="15">
        <v>0.4</v>
      </c>
      <c r="S59" s="15">
        <v>0.4</v>
      </c>
      <c r="T59" s="15">
        <v>0.4</v>
      </c>
      <c r="U59" s="15">
        <v>0.4</v>
      </c>
      <c r="V59" s="15">
        <v>0.4</v>
      </c>
      <c r="W59" s="15">
        <v>0.4</v>
      </c>
      <c r="X59" s="15">
        <v>0.4</v>
      </c>
      <c r="Y59" s="15">
        <v>0.4</v>
      </c>
      <c r="Z59" s="15">
        <v>0.4</v>
      </c>
      <c r="AA59" s="253">
        <v>0.4</v>
      </c>
      <c r="AB59" s="233">
        <v>0.4</v>
      </c>
      <c r="AC59" s="15">
        <v>0.1</v>
      </c>
      <c r="AD59" s="15">
        <v>0.1</v>
      </c>
      <c r="AE59" s="15">
        <v>0.1</v>
      </c>
      <c r="AI59" s="113" t="s">
        <v>282</v>
      </c>
    </row>
    <row r="60" spans="1:46" x14ac:dyDescent="0.35">
      <c r="A60" s="3" t="s">
        <v>283</v>
      </c>
      <c r="B60" s="14">
        <v>0.02</v>
      </c>
      <c r="C60" s="14">
        <v>0.02</v>
      </c>
      <c r="D60" s="14">
        <v>0.02</v>
      </c>
      <c r="E60" s="14">
        <v>0.02</v>
      </c>
      <c r="F60" s="14">
        <v>0.02</v>
      </c>
      <c r="G60" s="14">
        <v>0.02</v>
      </c>
      <c r="H60" s="14">
        <v>0.02</v>
      </c>
      <c r="I60" s="14">
        <v>0.02</v>
      </c>
      <c r="J60" s="14">
        <v>0.02</v>
      </c>
      <c r="K60" s="14">
        <v>0.02</v>
      </c>
      <c r="L60" s="14">
        <v>0.02</v>
      </c>
      <c r="M60" s="14">
        <v>0.02</v>
      </c>
      <c r="N60" s="14">
        <v>0.02</v>
      </c>
      <c r="O60" s="14">
        <v>0.02</v>
      </c>
      <c r="P60" s="14">
        <v>0.02</v>
      </c>
      <c r="Q60" s="14">
        <v>0.02</v>
      </c>
      <c r="R60" s="14">
        <v>0.02</v>
      </c>
      <c r="S60" s="14">
        <v>0.02</v>
      </c>
      <c r="T60" s="14">
        <v>0.02</v>
      </c>
      <c r="U60" s="14">
        <v>0.02</v>
      </c>
      <c r="V60" s="14">
        <v>0.02</v>
      </c>
      <c r="W60" s="14">
        <v>0.02</v>
      </c>
      <c r="X60" s="14">
        <v>0.02</v>
      </c>
      <c r="Y60" s="14">
        <v>0.02</v>
      </c>
      <c r="Z60" s="14">
        <v>0.02</v>
      </c>
      <c r="AA60" s="252">
        <v>0.02</v>
      </c>
      <c r="AB60" s="232">
        <v>0.02</v>
      </c>
      <c r="AC60" s="14">
        <v>0.9</v>
      </c>
      <c r="AD60" s="14">
        <v>0.9</v>
      </c>
      <c r="AE60" s="14">
        <v>0.9</v>
      </c>
      <c r="AI60" s="113" t="s">
        <v>284</v>
      </c>
    </row>
    <row r="61" spans="1:46" x14ac:dyDescent="0.35">
      <c r="AA61" s="18"/>
      <c r="AB61" s="234"/>
    </row>
    <row r="62" spans="1:46" x14ac:dyDescent="0.35">
      <c r="A62" s="170" t="s">
        <v>285</v>
      </c>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231"/>
      <c r="AC62" s="170"/>
      <c r="AD62" s="170"/>
      <c r="AE62" s="170"/>
      <c r="AI62" s="97"/>
      <c r="AJ62" s="97"/>
    </row>
    <row r="63" spans="1:46" x14ac:dyDescent="0.35">
      <c r="A63" s="3" t="s">
        <v>286</v>
      </c>
      <c r="B63" s="20">
        <f>B64+EF_el_CH4_AT*CF_GWP_CH4_fossil+EF_el_N2O_AT*CF_GWP_N2O</f>
        <v>0.31332569893811191</v>
      </c>
      <c r="C63" s="20">
        <f>C64+EF_el_CH4_BE*CF_GWP_CH4_fossil+EF_el_N2O_BE*CF_GWP_N2O</f>
        <v>0.24543516020669356</v>
      </c>
      <c r="D63" s="20">
        <f>D64+EF_el_CH4_BG*CF_GWP_CH4_fossil+EF_el_N2O_BG*CF_GWP_N2O</f>
        <v>0.5896088606113411</v>
      </c>
      <c r="E63" s="20">
        <f>E64+EF_el_CH4_HR*CF_GWP_CH4_fossil+EF_el_N2O_HR*CF_GWP_N2O</f>
        <v>0.50642656554290655</v>
      </c>
      <c r="F63" s="20">
        <f>F64+EF_el_CH4_CY*CF_GWP_CH4_fossil+EF_el_N2O_CY*CF_GWP_N2O</f>
        <v>1.0523332235440817</v>
      </c>
      <c r="G63" s="20">
        <f>G64+EF_el_CH4_CZ*CF_GWP_CH4_fossil+EF_el_N2O_CZ*CF_GWP_N2O</f>
        <v>0.70443411948473889</v>
      </c>
      <c r="H63" s="20">
        <f>H64+EF_el_CH4_DK*CF_GWP_CH4_fossil+EF_el_N2O_DK*CF_GWP_N2O</f>
        <v>0.39096643315116797</v>
      </c>
      <c r="I63" s="20">
        <f>I64+EF_el_CH4_EE*CF_GWP_CH4_fossil+EF_el_N2O_EE*CF_GWP_N2O</f>
        <v>0.86817056647841218</v>
      </c>
      <c r="J63" s="20">
        <f>J64+EF_el_CH4_FI*CF_GWP_CH4_fossil+EF_el_N2O_FI*CF_GWP_N2O</f>
        <v>0.32048717450277486</v>
      </c>
      <c r="K63" s="20">
        <f>K64+EF_el_CH4_FR*CF_GWP_CH4_fossil+EF_el_N2O_FR*CF_GWP_N2O</f>
        <v>9.7389846101688715E-2</v>
      </c>
      <c r="L63" s="20">
        <f>L64+EF_el_CH4_DE*CF_GWP_CH4_fossil+EF_el_N2O_DE*CF_GWP_N2O</f>
        <v>0.49559220951342314</v>
      </c>
      <c r="M63" s="20">
        <f>M64+EF_el_CH4_GR*CF_GWP_CH4_fossil+EF_el_N2O_GR*CF_GWP_N2O</f>
        <v>0.68383359838017999</v>
      </c>
      <c r="N63" s="20">
        <f>N64+EF_el_CH4_HU*CF_GWP_CH4_fossil+EF_el_N2O_HU*CF_GWP_N2O</f>
        <v>0.47422491295135871</v>
      </c>
      <c r="O63" s="20">
        <f>O64+EF_el_CH4_IE*CF_GWP_CH4_fossil+EF_el_N2O_IE*CF_GWP_N2O</f>
        <v>0.40838708515026739</v>
      </c>
      <c r="P63" s="20">
        <f>P64+EF_el_CH4_IT*CF_GWP_CH4_fossil+EF_el_N2O_IT*CF_GWP_N2O</f>
        <v>0.43143256987221246</v>
      </c>
      <c r="Q63" s="20">
        <f>Q64+EF_el_CH4_LV*CF_GWP_CH4_fossil+EF_el_N2O_LV*CF_GWP_N2O</f>
        <v>0.69654919560332751</v>
      </c>
      <c r="R63" s="20">
        <f>R64+EF_el_CH4_LT*CF_GWP_CH4_fossil+EF_el_N2O_LT*CF_GWP_N2O</f>
        <v>0.55789041458138788</v>
      </c>
      <c r="S63" s="20">
        <f>S64+EF_el_CH4_MT*CF_GWP_CH4_fossil+EF_el_N2O_MT*CF_GWP_N2O</f>
        <v>0.46102255670997094</v>
      </c>
      <c r="T63" s="20">
        <f>T64+EF_el_CH4_NL*CF_GWP_CH4_fossil+EF_el_N2O_NL*CF_GWP_N2O</f>
        <v>0.53148365626410343</v>
      </c>
      <c r="U63" s="20">
        <f>U64+EF_el_CH4_PL*CF_GWP_CH4_fossil+EF_el_N2O_PL*CF_GWP_N2O</f>
        <v>1.0362621395994065</v>
      </c>
      <c r="V63" s="20">
        <f>V64+EF_el_CH4_PT*CF_GWP_CH4_fossil+EF_el_N2O_PT*CF_GWP_N2O</f>
        <v>0.38577562520284608</v>
      </c>
      <c r="W63" s="20">
        <f>W64+EF_el_CH4_RO*CF_GWP_CH4_fossil+EF_el_N2O_RO*CF_GWP_N2O</f>
        <v>0.43802968995592023</v>
      </c>
      <c r="X63" s="20">
        <f>X64+EF_el_CH4_SK*CF_GWP_CH4_fossil+EF_el_N2O_SK*CF_GWP_N2O</f>
        <v>0.4536909088768093</v>
      </c>
      <c r="Y63" s="20">
        <f>Y64+EF_el_CH4_SI*CF_GWP_CH4_fossil+EF_el_N2O_SI*CF_GWP_N2O</f>
        <v>0.39701303725693493</v>
      </c>
      <c r="Z63" s="20">
        <f>Z64+EF_el_CH4_ES*CF_GWP_CH4_fossil+EF_el_N2O_ES*CF_GWP_N2O</f>
        <v>0.29612656825806077</v>
      </c>
      <c r="AA63" s="20">
        <f>AA64+EF_el_CH4_SE*CF_GWP_CH4_fossil+EF_el_N2O_SE*CF_GWP_N2O</f>
        <v>9.361010590226701E-2</v>
      </c>
      <c r="AB63" s="20">
        <f>AB64+EF_el_CH4_GB*CF_GWP_CH4_fossil+EF_el_N2O_GB*CF_GWP_N2O</f>
        <v>0.41464558412034863</v>
      </c>
      <c r="AC63" s="20">
        <f>AC64+EF_el_CH4_BR*CF_GWP_CH4_fossil+EF_el_N2O_BR*CF_GWP_N2O</f>
        <v>0.30803631846084362</v>
      </c>
      <c r="AD63" s="20">
        <f>AD64+EF_el_CH4_TH*CF_GWP_CH4_fossil+EF_el_N2O_TH*CF_GWP_N2O</f>
        <v>0.78041621763592584</v>
      </c>
      <c r="AE63" s="20">
        <f>AE64+EF_el_CH4_US*CF_GWP_CH4_fossil+EF_el_N2O_US*CF_GWP_N2O</f>
        <v>0.55384183347011062</v>
      </c>
      <c r="AI63" s="97" t="s">
        <v>287</v>
      </c>
      <c r="AJ63" s="97"/>
    </row>
    <row r="64" spans="1:46" x14ac:dyDescent="0.35">
      <c r="A64" s="3" t="s">
        <v>288</v>
      </c>
      <c r="B64" s="254">
        <v>0.28851590603639998</v>
      </c>
      <c r="C64" s="254">
        <v>0.23095950971500001</v>
      </c>
      <c r="D64" s="254">
        <v>0.57204146361359975</v>
      </c>
      <c r="E64" s="254">
        <v>0.47437850799971004</v>
      </c>
      <c r="F64" s="254">
        <v>0.96559460978900002</v>
      </c>
      <c r="G64" s="254">
        <v>0.67816827339879993</v>
      </c>
      <c r="H64" s="254">
        <v>0.37053203522740003</v>
      </c>
      <c r="I64" s="254">
        <v>0.78341746190880002</v>
      </c>
      <c r="J64" s="254">
        <v>0.29721177397776</v>
      </c>
      <c r="K64" s="255">
        <v>8.7112695367499993E-2</v>
      </c>
      <c r="L64" s="254">
        <v>0.46350339663360002</v>
      </c>
      <c r="M64" s="254">
        <v>0.63996298020209996</v>
      </c>
      <c r="N64" s="254">
        <v>0.43715184780049998</v>
      </c>
      <c r="O64" s="254">
        <v>0.3918720101247401</v>
      </c>
      <c r="P64" s="254">
        <v>0.37797633435819999</v>
      </c>
      <c r="Q64" s="254">
        <v>0.62346264318559996</v>
      </c>
      <c r="R64" s="254">
        <v>0.50297991865320002</v>
      </c>
      <c r="S64" s="254">
        <v>0.39950480021229995</v>
      </c>
      <c r="T64" s="254">
        <v>0.49673189321139988</v>
      </c>
      <c r="U64" s="254">
        <v>0.9754510606115</v>
      </c>
      <c r="V64" s="254">
        <v>0.34696180213150002</v>
      </c>
      <c r="W64" s="254">
        <v>0.42277051886020001</v>
      </c>
      <c r="X64" s="254">
        <v>0.42641704742559999</v>
      </c>
      <c r="Y64" s="254">
        <v>0.37938637514250001</v>
      </c>
      <c r="Z64" s="254">
        <v>0.26811508139590001</v>
      </c>
      <c r="AA64" s="254">
        <v>8.8450339728460003E-2</v>
      </c>
      <c r="AB64" s="256">
        <v>0.39396368680829996</v>
      </c>
      <c r="AC64" s="254">
        <v>0.2692782509153</v>
      </c>
      <c r="AD64" s="254">
        <v>0.71262143369440012</v>
      </c>
      <c r="AE64" s="254">
        <v>0.52549509338014988</v>
      </c>
      <c r="AI64" s="97"/>
      <c r="AJ64" s="97"/>
    </row>
    <row r="65" spans="1:36" x14ac:dyDescent="0.35">
      <c r="A65" s="3" t="s">
        <v>289</v>
      </c>
      <c r="B65" s="254">
        <v>7.0014498670040008E-4</v>
      </c>
      <c r="C65" s="257">
        <v>3.8889368292730007E-4</v>
      </c>
      <c r="D65" s="257">
        <v>4.8212535443830002E-4</v>
      </c>
      <c r="E65" s="257">
        <v>9.1652308123410997E-4</v>
      </c>
      <c r="F65" s="257">
        <v>2.4398652342316001E-3</v>
      </c>
      <c r="G65" s="257">
        <v>7.6142130712010005E-4</v>
      </c>
      <c r="H65" s="257">
        <v>5.1107441647039987E-4</v>
      </c>
      <c r="I65" s="257">
        <v>2.4732352650138302E-3</v>
      </c>
      <c r="J65" s="257">
        <v>6.0353989917398998E-4</v>
      </c>
      <c r="K65" s="257">
        <v>2.700762131814E-4</v>
      </c>
      <c r="L65" s="257">
        <v>8.866310670443999E-4</v>
      </c>
      <c r="M65" s="257">
        <v>1.2704162262849E-3</v>
      </c>
      <c r="N65" s="257">
        <v>1.1037499887663997E-3</v>
      </c>
      <c r="O65" s="257">
        <v>4.22314047096554E-4</v>
      </c>
      <c r="P65" s="257">
        <v>1.6431484401077997E-3</v>
      </c>
      <c r="Q65" s="257">
        <v>2.1463325903156899E-3</v>
      </c>
      <c r="R65" s="257">
        <v>1.5295240496133501E-3</v>
      </c>
      <c r="S65" s="257">
        <v>1.9229864442752E-3</v>
      </c>
      <c r="T65" s="257">
        <v>9.8347245312259998E-4</v>
      </c>
      <c r="U65" s="257">
        <v>1.8794008186636402E-3</v>
      </c>
      <c r="V65" s="257">
        <v>1.1803224714444999E-3</v>
      </c>
      <c r="W65" s="257">
        <v>4.1169679781879998E-4</v>
      </c>
      <c r="X65" s="257">
        <v>7.8863288329359999E-4</v>
      </c>
      <c r="Y65" s="257">
        <v>4.6799762697029989E-4</v>
      </c>
      <c r="Z65" s="257">
        <v>8.28784824796E-4</v>
      </c>
      <c r="AA65" s="257">
        <v>9.8278548655939986E-5</v>
      </c>
      <c r="AB65" s="258">
        <v>5.6578726519659992E-4</v>
      </c>
      <c r="AC65" s="254">
        <v>9.8059260756689997E-4</v>
      </c>
      <c r="AD65" s="254">
        <v>2.1116349531918001E-3</v>
      </c>
      <c r="AE65" s="254">
        <v>8.1540695001847997E-4</v>
      </c>
      <c r="AI65" s="97"/>
      <c r="AJ65" s="97"/>
    </row>
    <row r="66" spans="1:36" x14ac:dyDescent="0.35">
      <c r="A66" s="3" t="s">
        <v>290</v>
      </c>
      <c r="B66" s="259">
        <v>1.445227948E-5</v>
      </c>
      <c r="C66" s="259">
        <v>1.0573695019999999E-5</v>
      </c>
      <c r="D66" s="259">
        <v>1.1721836760000001E-5</v>
      </c>
      <c r="E66" s="259">
        <v>1.7346775539999997E-5</v>
      </c>
      <c r="F66" s="259">
        <v>5.1394248259999997E-5</v>
      </c>
      <c r="G66" s="259">
        <v>1.3097037119999999E-5</v>
      </c>
      <c r="H66" s="259">
        <v>1.9063664150000001E-5</v>
      </c>
      <c r="I66" s="259">
        <v>4.04787314E-5</v>
      </c>
      <c r="J66" s="259">
        <v>1.937696531E-5</v>
      </c>
      <c r="K66" s="259">
        <v>8.1643940709999986E-6</v>
      </c>
      <c r="L66" s="259">
        <v>2.0759000300000004E-5</v>
      </c>
      <c r="M66" s="259">
        <v>2.2022764229999999E-5</v>
      </c>
      <c r="N66" s="259">
        <v>1.5316173940000001E-5</v>
      </c>
      <c r="O66" s="259">
        <v>1.439603085E-5</v>
      </c>
      <c r="P66" s="259">
        <v>1.6448395599999999E-5</v>
      </c>
      <c r="Q66" s="259">
        <v>3.3427989840000001E-5</v>
      </c>
      <c r="R66" s="259">
        <v>3.4178312270000003E-5</v>
      </c>
      <c r="S66" s="259">
        <v>1.5431356990000002E-5</v>
      </c>
      <c r="T66" s="259">
        <v>1.9942432050000001E-5</v>
      </c>
      <c r="U66" s="259">
        <v>1.7600493009999999E-5</v>
      </c>
      <c r="V66" s="259">
        <v>1.3334115099999999E-5</v>
      </c>
      <c r="W66" s="259">
        <v>1.095460264E-5</v>
      </c>
      <c r="X66" s="259">
        <v>1.3819053219999999E-5</v>
      </c>
      <c r="Y66" s="259">
        <v>1.3481072639999999E-5</v>
      </c>
      <c r="Z66" s="259">
        <v>1.213809188E-5</v>
      </c>
      <c r="AA66" s="259">
        <v>8.172400819999999E-6</v>
      </c>
      <c r="AB66" s="260">
        <v>1.3997937029999999E-5</v>
      </c>
      <c r="AC66" s="254">
        <v>3.4931896850000001E-5</v>
      </c>
      <c r="AD66" s="254">
        <v>1.783173017E-5</v>
      </c>
      <c r="AE66" s="254">
        <v>1.4826421170000002E-5</v>
      </c>
    </row>
    <row r="67" spans="1:36" x14ac:dyDescent="0.35">
      <c r="A67" s="3"/>
      <c r="B67" s="16"/>
      <c r="AB67" s="234"/>
    </row>
    <row r="68" spans="1:36" x14ac:dyDescent="0.35">
      <c r="A68" s="170" t="s">
        <v>291</v>
      </c>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231"/>
      <c r="AC68" s="170"/>
      <c r="AD68" s="170"/>
      <c r="AE68" s="170"/>
      <c r="AI68" s="97"/>
      <c r="AJ68" s="97"/>
    </row>
    <row r="69" spans="1:36" x14ac:dyDescent="0.35">
      <c r="A69" s="3" t="s">
        <v>292</v>
      </c>
      <c r="B69" s="16">
        <v>0.19</v>
      </c>
      <c r="C69" s="16">
        <v>0.19</v>
      </c>
      <c r="D69" s="16">
        <v>0.19</v>
      </c>
      <c r="E69" s="16">
        <v>0.19</v>
      </c>
      <c r="F69" s="16">
        <v>0.19</v>
      </c>
      <c r="G69" s="16">
        <v>0.19</v>
      </c>
      <c r="H69" s="16">
        <v>0.19</v>
      </c>
      <c r="I69" s="16">
        <v>0.19</v>
      </c>
      <c r="J69" s="16">
        <v>0.19</v>
      </c>
      <c r="K69" s="16">
        <v>0.19</v>
      </c>
      <c r="L69" s="16">
        <v>0.19</v>
      </c>
      <c r="M69" s="16">
        <v>0.19</v>
      </c>
      <c r="N69" s="16">
        <v>0.19</v>
      </c>
      <c r="O69" s="16">
        <v>0.19</v>
      </c>
      <c r="P69" s="16">
        <v>0.19</v>
      </c>
      <c r="Q69" s="16">
        <v>0.19</v>
      </c>
      <c r="R69" s="16">
        <v>0.19</v>
      </c>
      <c r="S69" s="16">
        <v>0.19</v>
      </c>
      <c r="T69" s="16">
        <v>0.19</v>
      </c>
      <c r="U69" s="16">
        <v>0.19</v>
      </c>
      <c r="V69" s="16">
        <v>0.19</v>
      </c>
      <c r="W69" s="16">
        <v>0.19</v>
      </c>
      <c r="X69" s="16">
        <v>0.19</v>
      </c>
      <c r="Y69" s="16">
        <v>0.19</v>
      </c>
      <c r="Z69" s="16">
        <v>0.19</v>
      </c>
      <c r="AA69" s="16">
        <v>0.19</v>
      </c>
      <c r="AB69" s="239">
        <v>0.19</v>
      </c>
      <c r="AC69" s="16">
        <v>0.19</v>
      </c>
      <c r="AD69" s="16">
        <v>0.19</v>
      </c>
      <c r="AE69" s="16">
        <v>0.19</v>
      </c>
      <c r="AI69" s="97" t="s">
        <v>293</v>
      </c>
      <c r="AJ69" s="97"/>
    </row>
    <row r="70" spans="1:36" x14ac:dyDescent="0.35">
      <c r="A70" s="3" t="s">
        <v>294</v>
      </c>
      <c r="B70" s="14">
        <v>0.4</v>
      </c>
      <c r="C70" s="14">
        <v>0.4</v>
      </c>
      <c r="D70" s="14">
        <v>0.4</v>
      </c>
      <c r="E70" s="14">
        <v>0.4</v>
      </c>
      <c r="F70" s="14">
        <v>0.4</v>
      </c>
      <c r="G70" s="14">
        <v>0.4</v>
      </c>
      <c r="H70" s="14">
        <v>0.4</v>
      </c>
      <c r="I70" s="14">
        <v>0.4</v>
      </c>
      <c r="J70" s="14">
        <v>0.4</v>
      </c>
      <c r="K70" s="14">
        <v>0.4</v>
      </c>
      <c r="L70" s="14">
        <v>0.4</v>
      </c>
      <c r="M70" s="14">
        <v>0.4</v>
      </c>
      <c r="N70" s="14">
        <v>0.4</v>
      </c>
      <c r="O70" s="14">
        <v>0.4</v>
      </c>
      <c r="P70" s="14">
        <v>0.4</v>
      </c>
      <c r="Q70" s="14">
        <v>0.4</v>
      </c>
      <c r="R70" s="14">
        <v>0.4</v>
      </c>
      <c r="S70" s="14">
        <v>0.4</v>
      </c>
      <c r="T70" s="14">
        <v>0.4</v>
      </c>
      <c r="U70" s="14">
        <v>0.4</v>
      </c>
      <c r="V70" s="14">
        <v>0.4</v>
      </c>
      <c r="W70" s="14">
        <v>0.4</v>
      </c>
      <c r="X70" s="14">
        <v>0.4</v>
      </c>
      <c r="Y70" s="14">
        <v>0.4</v>
      </c>
      <c r="Z70" s="14">
        <v>0.4</v>
      </c>
      <c r="AA70" s="14">
        <v>0.4</v>
      </c>
      <c r="AB70" s="232">
        <v>0.4</v>
      </c>
      <c r="AC70" s="14">
        <v>0.4</v>
      </c>
      <c r="AD70" s="14">
        <v>0.4</v>
      </c>
      <c r="AE70" s="14">
        <v>0.4</v>
      </c>
      <c r="AI70" s="97" t="s">
        <v>295</v>
      </c>
      <c r="AJ70" s="97"/>
    </row>
    <row r="71" spans="1:36" x14ac:dyDescent="0.35">
      <c r="A71" s="3" t="s">
        <v>296</v>
      </c>
      <c r="B71" s="14">
        <v>0.82</v>
      </c>
      <c r="C71" s="14">
        <v>0.82</v>
      </c>
      <c r="D71" s="14">
        <v>0.82</v>
      </c>
      <c r="E71" s="14">
        <v>0.82</v>
      </c>
      <c r="F71" s="14">
        <v>0.82</v>
      </c>
      <c r="G71" s="14">
        <v>0.82</v>
      </c>
      <c r="H71" s="14">
        <v>0.82</v>
      </c>
      <c r="I71" s="14">
        <v>0.82</v>
      </c>
      <c r="J71" s="14">
        <v>0.82</v>
      </c>
      <c r="K71" s="14">
        <v>0.82</v>
      </c>
      <c r="L71" s="14">
        <v>0.82</v>
      </c>
      <c r="M71" s="14">
        <v>0.82</v>
      </c>
      <c r="N71" s="14">
        <v>0.82</v>
      </c>
      <c r="O71" s="14">
        <v>0.82</v>
      </c>
      <c r="P71" s="14">
        <v>0.82</v>
      </c>
      <c r="Q71" s="14">
        <v>0.82</v>
      </c>
      <c r="R71" s="14">
        <v>0.82</v>
      </c>
      <c r="S71" s="14">
        <v>0.82</v>
      </c>
      <c r="T71" s="14">
        <v>0.82</v>
      </c>
      <c r="U71" s="14">
        <v>0.82</v>
      </c>
      <c r="V71" s="14">
        <v>0.82</v>
      </c>
      <c r="W71" s="14">
        <v>0.82</v>
      </c>
      <c r="X71" s="14">
        <v>0.82</v>
      </c>
      <c r="Y71" s="14">
        <v>0.82</v>
      </c>
      <c r="Z71" s="14">
        <v>0.82</v>
      </c>
      <c r="AA71" s="14">
        <v>0.82</v>
      </c>
      <c r="AB71" s="232">
        <v>0.82</v>
      </c>
      <c r="AC71" s="14">
        <v>0.82</v>
      </c>
      <c r="AD71" s="14">
        <v>0.82</v>
      </c>
      <c r="AE71" s="14">
        <v>0.82</v>
      </c>
      <c r="AI71" s="97" t="s">
        <v>297</v>
      </c>
      <c r="AJ71" s="97"/>
    </row>
    <row r="72" spans="1:36" x14ac:dyDescent="0.35">
      <c r="A72" s="3" t="s">
        <v>298</v>
      </c>
      <c r="B72" s="14">
        <v>0.65</v>
      </c>
      <c r="C72" s="14">
        <v>0.65</v>
      </c>
      <c r="D72" s="14">
        <v>0.65</v>
      </c>
      <c r="E72" s="14">
        <v>0.65</v>
      </c>
      <c r="F72" s="14">
        <v>0.65</v>
      </c>
      <c r="G72" s="14">
        <v>0.65</v>
      </c>
      <c r="H72" s="14">
        <v>0.65</v>
      </c>
      <c r="I72" s="14">
        <v>0.65</v>
      </c>
      <c r="J72" s="14">
        <v>0.65</v>
      </c>
      <c r="K72" s="14">
        <v>0.65</v>
      </c>
      <c r="L72" s="14">
        <v>0.65</v>
      </c>
      <c r="M72" s="14">
        <v>0.65</v>
      </c>
      <c r="N72" s="14">
        <v>0.65</v>
      </c>
      <c r="O72" s="14">
        <v>0.65</v>
      </c>
      <c r="P72" s="14">
        <v>0.65</v>
      </c>
      <c r="Q72" s="14">
        <v>0.65</v>
      </c>
      <c r="R72" s="14">
        <v>0.65</v>
      </c>
      <c r="S72" s="14">
        <v>0.65</v>
      </c>
      <c r="T72" s="14">
        <v>0.65</v>
      </c>
      <c r="U72" s="14">
        <v>0.65</v>
      </c>
      <c r="V72" s="14">
        <v>0.65</v>
      </c>
      <c r="W72" s="14">
        <v>0.65</v>
      </c>
      <c r="X72" s="14">
        <v>0.65</v>
      </c>
      <c r="Y72" s="14">
        <v>0.65</v>
      </c>
      <c r="Z72" s="14">
        <v>0.65</v>
      </c>
      <c r="AA72" s="14">
        <v>0.65</v>
      </c>
      <c r="AB72" s="232">
        <v>0.65</v>
      </c>
      <c r="AC72" s="14">
        <v>0.65</v>
      </c>
      <c r="AD72" s="14">
        <v>0.65</v>
      </c>
      <c r="AE72" s="14">
        <v>0.65</v>
      </c>
      <c r="AI72" s="97" t="s">
        <v>297</v>
      </c>
      <c r="AJ72" s="97"/>
    </row>
    <row r="73" spans="1:36" x14ac:dyDescent="0.35">
      <c r="AB73" s="234"/>
      <c r="AI73" s="97"/>
      <c r="AJ73" s="97"/>
    </row>
    <row r="74" spans="1:36" x14ac:dyDescent="0.35">
      <c r="A74" s="170" t="s">
        <v>299</v>
      </c>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231"/>
      <c r="AC74" s="170"/>
      <c r="AD74" s="170"/>
      <c r="AE74" s="170"/>
      <c r="AI74" s="97"/>
      <c r="AJ74" s="97"/>
    </row>
    <row r="75" spans="1:36" x14ac:dyDescent="0.35">
      <c r="A75" s="3" t="s">
        <v>300</v>
      </c>
      <c r="B75" s="261">
        <v>0.3</v>
      </c>
      <c r="C75" s="261">
        <v>0.3</v>
      </c>
      <c r="D75" s="261">
        <v>0.3</v>
      </c>
      <c r="E75" s="261">
        <v>0.3</v>
      </c>
      <c r="F75" s="261">
        <v>0.3</v>
      </c>
      <c r="G75" s="261">
        <v>0.3</v>
      </c>
      <c r="H75" s="261">
        <v>0.6</v>
      </c>
      <c r="I75" s="261">
        <v>0.3</v>
      </c>
      <c r="J75" s="261">
        <v>0.6</v>
      </c>
      <c r="K75" s="261">
        <v>0.3</v>
      </c>
      <c r="L75" s="261">
        <v>0.3</v>
      </c>
      <c r="M75" s="261">
        <v>0.3</v>
      </c>
      <c r="N75" s="261">
        <v>0.3</v>
      </c>
      <c r="O75" s="261">
        <v>0.3</v>
      </c>
      <c r="P75" s="261">
        <v>0.3</v>
      </c>
      <c r="Q75" s="261">
        <v>0.3</v>
      </c>
      <c r="R75" s="261">
        <v>0.3</v>
      </c>
      <c r="S75" s="261">
        <v>0.3</v>
      </c>
      <c r="T75" s="261">
        <v>0.3</v>
      </c>
      <c r="U75" s="261">
        <v>0.3</v>
      </c>
      <c r="V75" s="261">
        <v>0.3</v>
      </c>
      <c r="W75" s="261">
        <v>0.3</v>
      </c>
      <c r="X75" s="261">
        <v>0.3</v>
      </c>
      <c r="Y75" s="261">
        <v>0.3</v>
      </c>
      <c r="Z75" s="261">
        <v>0.3</v>
      </c>
      <c r="AA75" s="261">
        <v>0.6</v>
      </c>
      <c r="AB75" s="263">
        <v>0.3</v>
      </c>
      <c r="AC75" s="261">
        <v>0.1</v>
      </c>
      <c r="AD75" s="261">
        <v>0.1</v>
      </c>
      <c r="AE75" s="261">
        <v>0.1</v>
      </c>
      <c r="AG75" s="224" t="s">
        <v>301</v>
      </c>
    </row>
    <row r="76" spans="1:36" x14ac:dyDescent="0.35">
      <c r="A76" s="3" t="s">
        <v>302</v>
      </c>
      <c r="B76" s="262">
        <v>0.7</v>
      </c>
      <c r="C76" s="262">
        <v>0.7</v>
      </c>
      <c r="D76" s="262">
        <v>0.7</v>
      </c>
      <c r="E76" s="262">
        <v>0.7</v>
      </c>
      <c r="F76" s="262">
        <v>0.7</v>
      </c>
      <c r="G76" s="262">
        <v>0.7</v>
      </c>
      <c r="H76" s="262">
        <v>0.4</v>
      </c>
      <c r="I76" s="262">
        <v>0.7</v>
      </c>
      <c r="J76" s="262">
        <v>0.4</v>
      </c>
      <c r="K76" s="262">
        <v>0.7</v>
      </c>
      <c r="L76" s="262">
        <v>0.7</v>
      </c>
      <c r="M76" s="262">
        <v>0.7</v>
      </c>
      <c r="N76" s="262">
        <v>0.7</v>
      </c>
      <c r="O76" s="262">
        <v>0.7</v>
      </c>
      <c r="P76" s="262">
        <v>0.7</v>
      </c>
      <c r="Q76" s="262">
        <v>0.7</v>
      </c>
      <c r="R76" s="262">
        <v>0.7</v>
      </c>
      <c r="S76" s="262">
        <v>0.7</v>
      </c>
      <c r="T76" s="262">
        <v>0.7</v>
      </c>
      <c r="U76" s="262">
        <v>0.7</v>
      </c>
      <c r="V76" s="262">
        <v>0.7</v>
      </c>
      <c r="W76" s="262">
        <v>0.7</v>
      </c>
      <c r="X76" s="262">
        <v>0.7</v>
      </c>
      <c r="Y76" s="262">
        <v>0.7</v>
      </c>
      <c r="Z76" s="262">
        <v>0.7</v>
      </c>
      <c r="AA76" s="262">
        <v>0.4</v>
      </c>
      <c r="AB76" s="264">
        <v>0.7</v>
      </c>
      <c r="AC76" s="262">
        <v>0.9</v>
      </c>
      <c r="AD76" s="262">
        <v>0.9</v>
      </c>
      <c r="AE76" s="262">
        <v>0.9</v>
      </c>
    </row>
    <row r="77" spans="1:36" x14ac:dyDescent="0.35">
      <c r="AB77" s="234"/>
    </row>
    <row r="78" spans="1:36" x14ac:dyDescent="0.35">
      <c r="A78" s="170" t="s">
        <v>303</v>
      </c>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231"/>
      <c r="AC78" s="170"/>
      <c r="AD78" s="170"/>
      <c r="AE78" s="170"/>
    </row>
    <row r="79" spans="1:36" x14ac:dyDescent="0.35">
      <c r="A79" s="95" t="s">
        <v>304</v>
      </c>
      <c r="B79" s="265">
        <v>1.6E-2</v>
      </c>
      <c r="C79" s="265">
        <v>1.6E-2</v>
      </c>
      <c r="D79" s="265">
        <v>1.6E-2</v>
      </c>
      <c r="E79" s="265">
        <v>1.6E-2</v>
      </c>
      <c r="F79" s="265">
        <v>1.6E-2</v>
      </c>
      <c r="G79" s="265">
        <v>1.6E-2</v>
      </c>
      <c r="H79" s="265">
        <v>1.6E-2</v>
      </c>
      <c r="I79" s="265">
        <v>1.6E-2</v>
      </c>
      <c r="J79" s="265">
        <v>1.6E-2</v>
      </c>
      <c r="K79" s="265">
        <v>1.6E-2</v>
      </c>
      <c r="L79" s="265">
        <v>1.6E-2</v>
      </c>
      <c r="M79" s="265">
        <v>1.6E-2</v>
      </c>
      <c r="N79" s="265">
        <v>1.6E-2</v>
      </c>
      <c r="O79" s="265">
        <v>1.6E-2</v>
      </c>
      <c r="P79" s="265">
        <v>1.6E-2</v>
      </c>
      <c r="Q79" s="265">
        <v>1.6E-2</v>
      </c>
      <c r="R79" s="265">
        <v>1.6E-2</v>
      </c>
      <c r="S79" s="265">
        <v>1.6E-2</v>
      </c>
      <c r="T79" s="265">
        <v>1.6E-2</v>
      </c>
      <c r="U79" s="265">
        <v>1.6E-2</v>
      </c>
      <c r="V79" s="265">
        <v>1.6E-2</v>
      </c>
      <c r="W79" s="265">
        <v>1.6E-2</v>
      </c>
      <c r="X79" s="265">
        <v>1.6E-2</v>
      </c>
      <c r="Y79" s="265">
        <v>1.6E-2</v>
      </c>
      <c r="Z79" s="265">
        <v>5.0000000000000001E-3</v>
      </c>
      <c r="AA79" s="265">
        <v>1.6E-2</v>
      </c>
      <c r="AB79" s="266">
        <v>1.6E-2</v>
      </c>
      <c r="AC79" s="265">
        <v>1.6E-2</v>
      </c>
      <c r="AD79" s="265">
        <v>1.6E-2</v>
      </c>
      <c r="AE79" s="265">
        <v>1.6E-2</v>
      </c>
      <c r="AG79" s="97" t="s">
        <v>305</v>
      </c>
    </row>
    <row r="80" spans="1:36" x14ac:dyDescent="0.35">
      <c r="A80" s="95" t="s">
        <v>306</v>
      </c>
      <c r="B80" s="265">
        <v>6.0000000000000001E-3</v>
      </c>
      <c r="C80" s="265">
        <v>6.0000000000000001E-3</v>
      </c>
      <c r="D80" s="265">
        <v>6.0000000000000001E-3</v>
      </c>
      <c r="E80" s="265">
        <v>6.0000000000000001E-3</v>
      </c>
      <c r="F80" s="265">
        <v>6.0000000000000001E-3</v>
      </c>
      <c r="G80" s="265">
        <v>6.0000000000000001E-3</v>
      </c>
      <c r="H80" s="265">
        <v>6.0000000000000001E-3</v>
      </c>
      <c r="I80" s="265">
        <v>6.0000000000000001E-3</v>
      </c>
      <c r="J80" s="265">
        <v>6.0000000000000001E-3</v>
      </c>
      <c r="K80" s="265">
        <v>6.0000000000000001E-3</v>
      </c>
      <c r="L80" s="265">
        <v>6.0000000000000001E-3</v>
      </c>
      <c r="M80" s="265">
        <v>6.0000000000000001E-3</v>
      </c>
      <c r="N80" s="265">
        <v>6.0000000000000001E-3</v>
      </c>
      <c r="O80" s="265">
        <v>6.0000000000000001E-3</v>
      </c>
      <c r="P80" s="265">
        <v>6.0000000000000001E-3</v>
      </c>
      <c r="Q80" s="265">
        <v>6.0000000000000001E-3</v>
      </c>
      <c r="R80" s="265">
        <v>6.0000000000000001E-3</v>
      </c>
      <c r="S80" s="265">
        <v>6.0000000000000001E-3</v>
      </c>
      <c r="T80" s="265">
        <v>6.0000000000000001E-3</v>
      </c>
      <c r="U80" s="265">
        <v>6.0000000000000001E-3</v>
      </c>
      <c r="V80" s="265">
        <v>6.0000000000000001E-3</v>
      </c>
      <c r="W80" s="265">
        <v>6.0000000000000001E-3</v>
      </c>
      <c r="X80" s="265">
        <v>6.0000000000000001E-3</v>
      </c>
      <c r="Y80" s="265">
        <v>6.0000000000000001E-3</v>
      </c>
      <c r="Z80" s="265">
        <v>5.0000000000000001E-3</v>
      </c>
      <c r="AA80" s="265">
        <v>6.0000000000000001E-3</v>
      </c>
      <c r="AB80" s="266">
        <v>6.0000000000000001E-3</v>
      </c>
      <c r="AC80" s="265">
        <v>6.0000000000000001E-3</v>
      </c>
      <c r="AD80" s="265">
        <v>6.0000000000000001E-3</v>
      </c>
      <c r="AE80" s="265">
        <v>6.0000000000000001E-3</v>
      </c>
    </row>
    <row r="81" spans="1:35" x14ac:dyDescent="0.35">
      <c r="A81" s="3" t="s">
        <v>307</v>
      </c>
      <c r="B81" s="4">
        <f t="shared" ref="B81:AB81" si="10">B79-B80</f>
        <v>0.01</v>
      </c>
      <c r="C81" s="4">
        <f t="shared" si="10"/>
        <v>0.01</v>
      </c>
      <c r="D81" s="4">
        <f t="shared" si="10"/>
        <v>0.01</v>
      </c>
      <c r="E81" s="4">
        <f t="shared" si="10"/>
        <v>0.01</v>
      </c>
      <c r="F81" s="4">
        <f t="shared" si="10"/>
        <v>0.01</v>
      </c>
      <c r="G81" s="4">
        <f t="shared" si="10"/>
        <v>0.01</v>
      </c>
      <c r="H81" s="4">
        <f t="shared" si="10"/>
        <v>0.01</v>
      </c>
      <c r="I81" s="4">
        <f t="shared" si="10"/>
        <v>0.01</v>
      </c>
      <c r="J81" s="4">
        <f t="shared" si="10"/>
        <v>0.01</v>
      </c>
      <c r="K81" s="4">
        <f t="shared" si="10"/>
        <v>0.01</v>
      </c>
      <c r="L81" s="4">
        <f t="shared" si="10"/>
        <v>0.01</v>
      </c>
      <c r="M81" s="4">
        <f t="shared" si="10"/>
        <v>0.01</v>
      </c>
      <c r="N81" s="4">
        <f t="shared" si="10"/>
        <v>0.01</v>
      </c>
      <c r="O81" s="4">
        <f t="shared" si="10"/>
        <v>0.01</v>
      </c>
      <c r="P81" s="4">
        <f t="shared" si="10"/>
        <v>0.01</v>
      </c>
      <c r="Q81" s="4">
        <f t="shared" si="10"/>
        <v>0.01</v>
      </c>
      <c r="R81" s="4">
        <f t="shared" si="10"/>
        <v>0.01</v>
      </c>
      <c r="S81" s="4">
        <f t="shared" si="10"/>
        <v>0.01</v>
      </c>
      <c r="T81" s="4">
        <f t="shared" si="10"/>
        <v>0.01</v>
      </c>
      <c r="U81" s="4">
        <f t="shared" si="10"/>
        <v>0.01</v>
      </c>
      <c r="V81" s="4">
        <f t="shared" si="10"/>
        <v>0.01</v>
      </c>
      <c r="W81" s="4">
        <f t="shared" si="10"/>
        <v>0.01</v>
      </c>
      <c r="X81" s="4">
        <f t="shared" si="10"/>
        <v>0.01</v>
      </c>
      <c r="Y81" s="4">
        <f t="shared" si="10"/>
        <v>0.01</v>
      </c>
      <c r="Z81" s="4">
        <f t="shared" si="10"/>
        <v>0</v>
      </c>
      <c r="AA81" s="4">
        <f t="shared" si="10"/>
        <v>0.01</v>
      </c>
      <c r="AB81" s="237">
        <f t="shared" si="10"/>
        <v>0.01</v>
      </c>
      <c r="AC81" s="4">
        <f t="shared" ref="AC81:AE81" si="11">AC79-AC80</f>
        <v>0.01</v>
      </c>
      <c r="AD81" s="4">
        <f t="shared" si="11"/>
        <v>0.01</v>
      </c>
      <c r="AE81" s="4">
        <f t="shared" si="11"/>
        <v>0.01</v>
      </c>
    </row>
    <row r="82" spans="1:35" x14ac:dyDescent="0.35">
      <c r="A82" s="95" t="s">
        <v>308</v>
      </c>
      <c r="B82" s="32">
        <v>0.1</v>
      </c>
      <c r="C82" s="32">
        <v>0.1</v>
      </c>
      <c r="D82" s="32">
        <v>0.1</v>
      </c>
      <c r="E82" s="32">
        <v>0.1</v>
      </c>
      <c r="F82" s="32">
        <v>0.1</v>
      </c>
      <c r="G82" s="32">
        <v>0.1</v>
      </c>
      <c r="H82" s="32">
        <v>0.1</v>
      </c>
      <c r="I82" s="32">
        <v>0.1</v>
      </c>
      <c r="J82" s="32">
        <v>0.1</v>
      </c>
      <c r="K82" s="32">
        <v>0.1</v>
      </c>
      <c r="L82" s="32">
        <v>0.1</v>
      </c>
      <c r="M82" s="32">
        <v>0.1</v>
      </c>
      <c r="N82" s="32">
        <v>0.1</v>
      </c>
      <c r="O82" s="32">
        <v>0.1</v>
      </c>
      <c r="P82" s="32">
        <v>0.1</v>
      </c>
      <c r="Q82" s="32">
        <v>0.1</v>
      </c>
      <c r="R82" s="32">
        <v>0.1</v>
      </c>
      <c r="S82" s="32">
        <v>0.1</v>
      </c>
      <c r="T82" s="32">
        <v>0.1</v>
      </c>
      <c r="U82" s="32">
        <v>0.1</v>
      </c>
      <c r="V82" s="32">
        <v>0.1</v>
      </c>
      <c r="W82" s="32">
        <v>0.1</v>
      </c>
      <c r="X82" s="32">
        <v>0.1</v>
      </c>
      <c r="Y82" s="32">
        <v>0.1</v>
      </c>
      <c r="Z82" s="32">
        <v>0.1</v>
      </c>
      <c r="AA82" s="32">
        <v>0.1</v>
      </c>
      <c r="AB82" s="240">
        <v>0.1</v>
      </c>
      <c r="AC82" s="32">
        <v>0.1</v>
      </c>
      <c r="AD82" s="32">
        <v>0.1</v>
      </c>
      <c r="AE82" s="32">
        <v>0.1</v>
      </c>
    </row>
    <row r="83" spans="1:35" x14ac:dyDescent="0.35">
      <c r="A83" s="3"/>
      <c r="AB83" s="234"/>
    </row>
    <row r="84" spans="1:35" x14ac:dyDescent="0.35">
      <c r="A84" s="170" t="s">
        <v>309</v>
      </c>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231"/>
      <c r="AC84" s="170"/>
      <c r="AD84" s="170"/>
      <c r="AE84" s="170"/>
    </row>
    <row r="85" spans="1:35" x14ac:dyDescent="0.35">
      <c r="A85" s="95" t="s">
        <v>309</v>
      </c>
      <c r="B85" s="267">
        <v>0.5</v>
      </c>
      <c r="C85" s="267">
        <v>0.5</v>
      </c>
      <c r="D85" s="267">
        <v>0.5</v>
      </c>
      <c r="E85" s="267">
        <v>0.5</v>
      </c>
      <c r="F85" s="267">
        <v>0.5</v>
      </c>
      <c r="G85" s="267">
        <v>0.5</v>
      </c>
      <c r="H85" s="267">
        <v>0.5</v>
      </c>
      <c r="I85" s="267">
        <v>0.5</v>
      </c>
      <c r="J85" s="267">
        <v>0.5</v>
      </c>
      <c r="K85" s="267">
        <v>0.5</v>
      </c>
      <c r="L85" s="267">
        <v>0.5</v>
      </c>
      <c r="M85" s="267">
        <v>0.5</v>
      </c>
      <c r="N85" s="267">
        <v>0.5</v>
      </c>
      <c r="O85" s="267">
        <v>0.5</v>
      </c>
      <c r="P85" s="267">
        <v>0.5</v>
      </c>
      <c r="Q85" s="267">
        <v>0.5</v>
      </c>
      <c r="R85" s="267">
        <v>0.5</v>
      </c>
      <c r="S85" s="267">
        <v>0.5</v>
      </c>
      <c r="T85" s="267">
        <v>0.5</v>
      </c>
      <c r="U85" s="267">
        <v>0.5</v>
      </c>
      <c r="V85" s="267">
        <v>0.5</v>
      </c>
      <c r="W85" s="267">
        <v>0.5</v>
      </c>
      <c r="X85" s="267">
        <v>0.5</v>
      </c>
      <c r="Y85" s="267">
        <v>0.5</v>
      </c>
      <c r="Z85" s="267">
        <v>0.5</v>
      </c>
      <c r="AA85" s="267">
        <v>0.5</v>
      </c>
      <c r="AB85" s="268">
        <v>0.5</v>
      </c>
      <c r="AC85" s="267">
        <v>0.5</v>
      </c>
      <c r="AD85" s="267">
        <v>0.5</v>
      </c>
      <c r="AE85" s="267">
        <v>0.5</v>
      </c>
      <c r="AI85" t="s">
        <v>310</v>
      </c>
    </row>
    <row r="86" spans="1:35" x14ac:dyDescent="0.35">
      <c r="AB86" s="234"/>
    </row>
    <row r="87" spans="1:35" x14ac:dyDescent="0.35">
      <c r="A87" s="170" t="s">
        <v>311</v>
      </c>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231"/>
      <c r="AC87" s="170"/>
      <c r="AD87" s="170"/>
      <c r="AE87" s="170"/>
    </row>
    <row r="88" spans="1:35" x14ac:dyDescent="0.35">
      <c r="A88" s="95" t="s">
        <v>312</v>
      </c>
      <c r="B88" s="117">
        <v>0.01</v>
      </c>
      <c r="C88" s="117">
        <v>0.01</v>
      </c>
      <c r="D88" s="117">
        <v>0.01</v>
      </c>
      <c r="E88" s="117">
        <v>0.01</v>
      </c>
      <c r="F88" s="117">
        <v>0.01</v>
      </c>
      <c r="G88" s="117">
        <v>0.01</v>
      </c>
      <c r="H88" s="117">
        <v>0.01</v>
      </c>
      <c r="I88" s="117">
        <v>0.01</v>
      </c>
      <c r="J88" s="117">
        <v>0.01</v>
      </c>
      <c r="K88" s="117">
        <v>0.01</v>
      </c>
      <c r="L88" s="117">
        <v>0.01</v>
      </c>
      <c r="M88" s="117">
        <v>0.01</v>
      </c>
      <c r="N88" s="117">
        <v>0.01</v>
      </c>
      <c r="O88" s="117">
        <v>0.01</v>
      </c>
      <c r="P88" s="117">
        <v>0.01</v>
      </c>
      <c r="Q88" s="117">
        <v>0.01</v>
      </c>
      <c r="R88" s="117">
        <v>0.01</v>
      </c>
      <c r="S88" s="117">
        <v>0.01</v>
      </c>
      <c r="T88" s="117">
        <v>0.01</v>
      </c>
      <c r="U88" s="117">
        <v>0.01</v>
      </c>
      <c r="V88" s="117">
        <v>0.01</v>
      </c>
      <c r="W88" s="117">
        <v>0.01</v>
      </c>
      <c r="X88" s="117">
        <v>0.01</v>
      </c>
      <c r="Y88" s="117">
        <v>0.01</v>
      </c>
      <c r="Z88" s="117">
        <v>0.01</v>
      </c>
      <c r="AA88" s="117">
        <v>0.01</v>
      </c>
      <c r="AB88" s="241">
        <v>0.01</v>
      </c>
      <c r="AC88" s="117">
        <v>0.01</v>
      </c>
      <c r="AD88" s="117">
        <v>0.01</v>
      </c>
      <c r="AE88" s="117">
        <v>0.01</v>
      </c>
      <c r="AI88" t="s">
        <v>313</v>
      </c>
    </row>
    <row r="89" spans="1:35" x14ac:dyDescent="0.35">
      <c r="AB89" s="234"/>
    </row>
    <row r="90" spans="1:35" x14ac:dyDescent="0.35">
      <c r="A90" s="170" t="s">
        <v>314</v>
      </c>
      <c r="B90" s="170"/>
      <c r="C90" s="170"/>
      <c r="D90" s="170"/>
      <c r="E90" s="170"/>
      <c r="F90" s="170" t="s">
        <v>315</v>
      </c>
      <c r="G90" s="170"/>
      <c r="H90" s="170"/>
      <c r="I90" s="170"/>
      <c r="J90" s="170"/>
      <c r="K90" s="170"/>
      <c r="L90" s="170"/>
      <c r="M90" s="170"/>
      <c r="N90" s="170"/>
      <c r="O90" s="170"/>
      <c r="P90" s="170"/>
      <c r="Q90" s="170"/>
      <c r="R90" s="170"/>
      <c r="S90" s="170"/>
      <c r="T90" s="170"/>
      <c r="U90" s="170"/>
      <c r="V90" s="170"/>
      <c r="W90" s="170"/>
      <c r="X90" s="170"/>
      <c r="Y90" s="170"/>
      <c r="Z90" s="170"/>
      <c r="AA90" s="170"/>
      <c r="AB90" s="231"/>
      <c r="AC90" s="170"/>
      <c r="AD90" s="170"/>
      <c r="AE90" s="170"/>
    </row>
    <row r="91" spans="1:35" x14ac:dyDescent="0.35">
      <c r="A91" s="95" t="s">
        <v>316</v>
      </c>
      <c r="B91" s="269">
        <v>0.216</v>
      </c>
      <c r="C91" s="269">
        <v>0.122</v>
      </c>
      <c r="D91" s="269">
        <v>0.40799999999999997</v>
      </c>
      <c r="E91" s="269">
        <v>0.45800000000000002</v>
      </c>
      <c r="F91" s="269">
        <v>9.1999999999999998E-2</v>
      </c>
      <c r="G91" s="269">
        <v>0.17599999999999999</v>
      </c>
      <c r="H91" s="269">
        <v>8.2000000000000003E-2</v>
      </c>
      <c r="I91" s="269">
        <v>0.09</v>
      </c>
      <c r="J91" s="269">
        <v>0.11799999999999999</v>
      </c>
      <c r="K91" s="269">
        <v>0.124</v>
      </c>
      <c r="L91" s="269">
        <v>0.14000000000000001</v>
      </c>
      <c r="M91" s="269">
        <v>9.1999999999999998E-2</v>
      </c>
      <c r="N91" s="269">
        <v>0.40200000000000002</v>
      </c>
      <c r="O91" s="269">
        <v>0.26800000000000002</v>
      </c>
      <c r="P91" s="269">
        <v>0.13</v>
      </c>
      <c r="Q91" s="269">
        <v>0.3</v>
      </c>
      <c r="R91" s="269">
        <v>0.30599999999999999</v>
      </c>
      <c r="S91" s="269">
        <v>0.158</v>
      </c>
      <c r="T91" s="269">
        <v>0.16800000000000001</v>
      </c>
      <c r="U91" s="269">
        <v>0.42399999999999999</v>
      </c>
      <c r="V91" s="269">
        <v>8.4000000000000005E-2</v>
      </c>
      <c r="W91" s="269">
        <v>0.56000000000000005</v>
      </c>
      <c r="X91" s="269">
        <v>0.20599999999999999</v>
      </c>
      <c r="Y91" s="269">
        <v>0.60199999999999998</v>
      </c>
      <c r="Z91" s="269">
        <v>0.04</v>
      </c>
      <c r="AA91" s="269">
        <v>8.2000000000000003E-2</v>
      </c>
      <c r="AB91" s="270">
        <v>0.114</v>
      </c>
      <c r="AC91" s="269">
        <v>0.114</v>
      </c>
      <c r="AD91" s="269">
        <v>0.114</v>
      </c>
      <c r="AE91" s="269">
        <v>0.114</v>
      </c>
    </row>
    <row r="92" spans="1:35" x14ac:dyDescent="0.35">
      <c r="AA92" s="18"/>
    </row>
    <row r="93" spans="1:35" x14ac:dyDescent="0.35">
      <c r="A93" s="170" t="s">
        <v>57</v>
      </c>
      <c r="B93" s="170"/>
      <c r="C93" s="170"/>
      <c r="D93" s="170"/>
      <c r="E93" s="170"/>
      <c r="F93" s="170" t="s">
        <v>315</v>
      </c>
      <c r="G93" s="170"/>
      <c r="H93" s="170"/>
      <c r="I93" s="170"/>
      <c r="J93" s="170"/>
      <c r="K93" s="170"/>
      <c r="L93" s="170"/>
      <c r="M93" s="170"/>
      <c r="N93" s="170"/>
      <c r="O93" s="170"/>
      <c r="P93" s="170"/>
      <c r="Q93" s="170"/>
      <c r="R93" s="170"/>
      <c r="S93" s="170"/>
      <c r="T93" s="170"/>
      <c r="U93" s="170"/>
      <c r="V93" s="170"/>
      <c r="W93" s="170"/>
      <c r="X93" s="170"/>
      <c r="Y93" s="170"/>
      <c r="Z93" s="170"/>
      <c r="AA93" s="170"/>
      <c r="AB93" s="231"/>
      <c r="AC93" s="170"/>
      <c r="AD93" s="170"/>
      <c r="AE93" s="170"/>
    </row>
    <row r="94" spans="1:35" x14ac:dyDescent="0.35">
      <c r="A94" s="95" t="s">
        <v>317</v>
      </c>
      <c r="B94" s="14"/>
      <c r="C94" s="14"/>
      <c r="D94" s="14"/>
      <c r="E94" s="14"/>
      <c r="F94" s="14"/>
      <c r="G94" s="14"/>
      <c r="H94" s="14"/>
      <c r="I94" s="14"/>
      <c r="J94" s="14"/>
      <c r="K94" s="14">
        <v>0.1</v>
      </c>
      <c r="L94" s="14">
        <v>0.05</v>
      </c>
      <c r="M94" s="14">
        <v>0.05</v>
      </c>
      <c r="N94" s="14">
        <v>0.05</v>
      </c>
      <c r="O94" s="14">
        <v>0.05</v>
      </c>
      <c r="P94" s="14">
        <v>0.05</v>
      </c>
      <c r="Q94" s="14">
        <v>0.05</v>
      </c>
      <c r="R94" s="14">
        <v>0.05</v>
      </c>
      <c r="S94" s="14">
        <v>0.05</v>
      </c>
      <c r="T94" s="14">
        <v>0.05</v>
      </c>
      <c r="U94" s="14">
        <v>0.05</v>
      </c>
      <c r="V94" s="14">
        <v>0.05</v>
      </c>
      <c r="W94" s="14">
        <v>0.05</v>
      </c>
      <c r="X94" s="14">
        <v>0.05</v>
      </c>
      <c r="Y94" s="14">
        <v>0.05</v>
      </c>
      <c r="Z94" s="14">
        <v>0.05</v>
      </c>
      <c r="AA94" s="14">
        <v>0.05</v>
      </c>
      <c r="AB94" s="14">
        <v>0.05</v>
      </c>
      <c r="AC94" s="14">
        <v>0.05</v>
      </c>
      <c r="AD94" s="14">
        <v>0.05</v>
      </c>
      <c r="AE94" s="14">
        <v>0.05</v>
      </c>
    </row>
    <row r="95" spans="1:35" x14ac:dyDescent="0.35">
      <c r="A95" s="251" t="s">
        <v>318</v>
      </c>
      <c r="B95" s="14"/>
      <c r="C95" s="14"/>
      <c r="D95" s="14"/>
      <c r="E95" s="14"/>
      <c r="F95" s="14"/>
      <c r="G95" s="14"/>
      <c r="H95" s="14"/>
      <c r="I95" s="14"/>
      <c r="J95" s="14"/>
      <c r="K95" s="14">
        <v>0.1</v>
      </c>
      <c r="L95" s="14">
        <v>1</v>
      </c>
      <c r="M95" s="14">
        <v>1</v>
      </c>
      <c r="N95" s="14">
        <v>1</v>
      </c>
      <c r="O95" s="14">
        <v>1</v>
      </c>
      <c r="P95" s="14">
        <v>1</v>
      </c>
      <c r="Q95" s="14">
        <v>1</v>
      </c>
      <c r="R95" s="14">
        <v>1</v>
      </c>
      <c r="S95" s="14">
        <v>1</v>
      </c>
      <c r="T95" s="14">
        <v>1</v>
      </c>
      <c r="U95" s="14">
        <v>1</v>
      </c>
      <c r="V95" s="14">
        <v>1</v>
      </c>
      <c r="W95" s="14">
        <v>1</v>
      </c>
      <c r="X95" s="14">
        <v>1</v>
      </c>
      <c r="Y95" s="14">
        <v>1</v>
      </c>
      <c r="Z95" s="14">
        <v>1</v>
      </c>
      <c r="AA95" s="14">
        <v>1</v>
      </c>
      <c r="AB95" s="14">
        <v>1</v>
      </c>
      <c r="AC95" s="14">
        <v>1</v>
      </c>
      <c r="AD95" s="14">
        <v>1</v>
      </c>
      <c r="AE95" s="14">
        <v>1</v>
      </c>
    </row>
    <row r="96" spans="1:35" x14ac:dyDescent="0.35">
      <c r="A96" s="3" t="s">
        <v>319</v>
      </c>
      <c r="B96" s="14"/>
      <c r="C96" s="14"/>
      <c r="D96" s="14"/>
      <c r="E96" s="14"/>
      <c r="F96" s="14"/>
      <c r="G96" s="14"/>
      <c r="H96" s="14"/>
      <c r="I96" s="14"/>
      <c r="J96" s="14"/>
      <c r="K96" s="14">
        <v>0.63900000000000001</v>
      </c>
      <c r="L96" s="14">
        <v>1</v>
      </c>
      <c r="M96" s="14">
        <v>1</v>
      </c>
      <c r="N96" s="14">
        <v>1</v>
      </c>
      <c r="O96" s="14">
        <v>1</v>
      </c>
      <c r="P96" s="14">
        <v>1</v>
      </c>
      <c r="Q96" s="14">
        <v>1</v>
      </c>
      <c r="R96" s="14">
        <v>1</v>
      </c>
      <c r="S96" s="14">
        <v>1</v>
      </c>
      <c r="T96" s="14">
        <v>1</v>
      </c>
      <c r="U96" s="14">
        <v>1</v>
      </c>
      <c r="V96" s="14">
        <v>1</v>
      </c>
      <c r="W96" s="14">
        <v>1</v>
      </c>
      <c r="X96" s="14">
        <v>1</v>
      </c>
      <c r="Y96" s="14">
        <v>1</v>
      </c>
      <c r="Z96" s="14">
        <v>1</v>
      </c>
      <c r="AA96" s="14">
        <v>1</v>
      </c>
      <c r="AB96" s="14">
        <v>1</v>
      </c>
      <c r="AC96" s="14">
        <v>1</v>
      </c>
      <c r="AD96" s="14">
        <v>1</v>
      </c>
      <c r="AE96" s="14">
        <v>1</v>
      </c>
    </row>
    <row r="97" spans="1:36" x14ac:dyDescent="0.35">
      <c r="A97" s="3" t="s">
        <v>320</v>
      </c>
      <c r="B97" s="14"/>
      <c r="C97" s="14"/>
      <c r="D97" s="14"/>
      <c r="E97" s="14"/>
      <c r="F97" s="14"/>
      <c r="G97" s="14"/>
      <c r="H97" s="14"/>
      <c r="I97" s="14"/>
      <c r="J97" s="14"/>
      <c r="K97" s="14">
        <v>0.64</v>
      </c>
      <c r="L97" s="14">
        <v>1</v>
      </c>
      <c r="M97" s="14">
        <v>1</v>
      </c>
      <c r="N97" s="14">
        <v>1</v>
      </c>
      <c r="O97" s="14">
        <v>1</v>
      </c>
      <c r="P97" s="14">
        <v>1</v>
      </c>
      <c r="Q97" s="14">
        <v>1</v>
      </c>
      <c r="R97" s="14">
        <v>1</v>
      </c>
      <c r="S97" s="14">
        <v>1</v>
      </c>
      <c r="T97" s="14">
        <v>1</v>
      </c>
      <c r="U97" s="14">
        <v>1</v>
      </c>
      <c r="V97" s="14">
        <v>1</v>
      </c>
      <c r="W97" s="14">
        <v>1</v>
      </c>
      <c r="X97" s="14">
        <v>1</v>
      </c>
      <c r="Y97" s="14">
        <v>1</v>
      </c>
      <c r="Z97" s="14">
        <v>1</v>
      </c>
      <c r="AA97" s="14">
        <v>1</v>
      </c>
      <c r="AB97" s="14">
        <v>1</v>
      </c>
      <c r="AC97" s="14">
        <v>1</v>
      </c>
      <c r="AD97" s="14">
        <v>1</v>
      </c>
      <c r="AE97" s="14">
        <v>1</v>
      </c>
    </row>
    <row r="98" spans="1:36" x14ac:dyDescent="0.35">
      <c r="A98" s="3" t="s">
        <v>321</v>
      </c>
      <c r="B98" s="249"/>
      <c r="C98" s="249"/>
      <c r="D98" s="249"/>
      <c r="E98" s="249"/>
      <c r="F98" s="249"/>
      <c r="G98" s="249"/>
      <c r="H98" s="249"/>
      <c r="I98" s="249"/>
      <c r="J98" s="249"/>
      <c r="K98" s="249">
        <v>2.5379999999999998</v>
      </c>
      <c r="L98" s="249">
        <f t="shared" ref="L98:AE98" si="12">L6/100*Weight_mortality+L94*Weight_diseases+L96*Weight_space+Slaughter_duration_class*Weight_slaughter_duration_class</f>
        <v>3.16</v>
      </c>
      <c r="M98" s="249">
        <f t="shared" si="12"/>
        <v>3.16</v>
      </c>
      <c r="N98" s="249">
        <f t="shared" si="12"/>
        <v>3.16</v>
      </c>
      <c r="O98" s="249">
        <f t="shared" si="12"/>
        <v>3.16</v>
      </c>
      <c r="P98" s="249">
        <f t="shared" si="12"/>
        <v>3.16</v>
      </c>
      <c r="Q98" s="249">
        <f t="shared" si="12"/>
        <v>3.16</v>
      </c>
      <c r="R98" s="249">
        <f t="shared" si="12"/>
        <v>3.16</v>
      </c>
      <c r="S98" s="249">
        <f t="shared" si="12"/>
        <v>3.16</v>
      </c>
      <c r="T98" s="249">
        <f t="shared" si="12"/>
        <v>3.16</v>
      </c>
      <c r="U98" s="249">
        <f t="shared" si="12"/>
        <v>3.16</v>
      </c>
      <c r="V98" s="249">
        <f t="shared" si="12"/>
        <v>3.16</v>
      </c>
      <c r="W98" s="249">
        <f t="shared" si="12"/>
        <v>3.16</v>
      </c>
      <c r="X98" s="249">
        <f t="shared" si="12"/>
        <v>3.16</v>
      </c>
      <c r="Y98" s="249">
        <f t="shared" si="12"/>
        <v>3.16</v>
      </c>
      <c r="Z98" s="249">
        <f t="shared" si="12"/>
        <v>3.16</v>
      </c>
      <c r="AA98" s="249">
        <f t="shared" si="12"/>
        <v>3.16</v>
      </c>
      <c r="AB98" s="249">
        <f t="shared" si="12"/>
        <v>3.16</v>
      </c>
      <c r="AC98" s="249">
        <f t="shared" si="12"/>
        <v>3.16</v>
      </c>
      <c r="AD98" s="249">
        <f t="shared" si="12"/>
        <v>3.16</v>
      </c>
      <c r="AE98" s="249">
        <f t="shared" si="12"/>
        <v>3.16</v>
      </c>
    </row>
    <row r="99" spans="1:36" x14ac:dyDescent="0.35">
      <c r="A99" s="3" t="s">
        <v>322</v>
      </c>
      <c r="B99" s="249"/>
      <c r="C99" s="249"/>
      <c r="D99" s="249"/>
      <c r="E99" s="249"/>
      <c r="F99" s="249"/>
      <c r="G99" s="249"/>
      <c r="H99" s="249"/>
      <c r="I99" s="249"/>
      <c r="J99" s="249"/>
      <c r="K99" s="249">
        <v>0.08</v>
      </c>
      <c r="L99" s="249">
        <f t="shared" ref="L99:AE99" si="13">L16/100*Weight_mortality+L95*Weight_diseases+L97*Weight_space+Slaughter_duration_class*Weight_slaughter_duration_class</f>
        <v>5.16</v>
      </c>
      <c r="M99" s="249">
        <f t="shared" si="13"/>
        <v>5.16</v>
      </c>
      <c r="N99" s="249">
        <f t="shared" si="13"/>
        <v>5.16</v>
      </c>
      <c r="O99" s="249">
        <f t="shared" si="13"/>
        <v>5.16</v>
      </c>
      <c r="P99" s="249">
        <f t="shared" si="13"/>
        <v>5.16</v>
      </c>
      <c r="Q99" s="249">
        <f t="shared" si="13"/>
        <v>5.16</v>
      </c>
      <c r="R99" s="249">
        <f t="shared" si="13"/>
        <v>5.16</v>
      </c>
      <c r="S99" s="249">
        <f t="shared" si="13"/>
        <v>5.16</v>
      </c>
      <c r="T99" s="249">
        <f t="shared" si="13"/>
        <v>5.16</v>
      </c>
      <c r="U99" s="249">
        <f t="shared" si="13"/>
        <v>5.16</v>
      </c>
      <c r="V99" s="249">
        <f t="shared" si="13"/>
        <v>5.16</v>
      </c>
      <c r="W99" s="249">
        <f t="shared" si="13"/>
        <v>5.16</v>
      </c>
      <c r="X99" s="249">
        <f t="shared" si="13"/>
        <v>5.16</v>
      </c>
      <c r="Y99" s="249">
        <f t="shared" si="13"/>
        <v>5.16</v>
      </c>
      <c r="Z99" s="249">
        <f t="shared" si="13"/>
        <v>5.16</v>
      </c>
      <c r="AA99" s="249">
        <f t="shared" si="13"/>
        <v>5.16</v>
      </c>
      <c r="AB99" s="249">
        <f t="shared" si="13"/>
        <v>5.16</v>
      </c>
      <c r="AC99" s="249">
        <f t="shared" si="13"/>
        <v>5.16</v>
      </c>
      <c r="AD99" s="249">
        <f t="shared" si="13"/>
        <v>5.16</v>
      </c>
      <c r="AE99" s="249">
        <f t="shared" si="13"/>
        <v>5.16</v>
      </c>
    </row>
    <row r="100" spans="1:36" x14ac:dyDescent="0.35">
      <c r="A100" s="3" t="s">
        <v>323</v>
      </c>
      <c r="B100" s="250"/>
      <c r="C100" s="250"/>
      <c r="D100" s="250"/>
      <c r="E100" s="250"/>
      <c r="F100" s="250"/>
      <c r="G100" s="250"/>
      <c r="H100" s="250"/>
      <c r="I100" s="250"/>
      <c r="J100" s="250"/>
      <c r="K100" s="250">
        <f>Ability_to_perceive_handling*(Weight_no_of_animal*Production!K47*'Parameters, country spec'!K98+Weight_no_of_animal*SUM(Production!K48:K51)*'Parameters, country spec'!K99)*100</f>
        <v>5.8561499973570941</v>
      </c>
      <c r="L100" s="250">
        <f>Ability_to_perceive_handling*(Weight_no_of_animal*Production!L47*'Parameters, country spec'!L98+Weight_no_of_animal*SUM(Production!L48:L51)*'Parameters, country spec'!L99)*100</f>
        <v>7.3409669103032869</v>
      </c>
      <c r="M100" s="250">
        <f>Ability_to_perceive_handling*(Weight_no_of_animal*Production!M47*'Parameters, country spec'!M98+Weight_no_of_animal*SUM(Production!M48:M51)*'Parameters, country spec'!M99)*100</f>
        <v>7.3409669103032869</v>
      </c>
      <c r="N100" s="250">
        <f>Ability_to_perceive_handling*(Weight_no_of_animal*Production!N47*'Parameters, country spec'!N98+Weight_no_of_animal*SUM(Production!N48:N51)*'Parameters, country spec'!N99)*100</f>
        <v>7.3409669103032869</v>
      </c>
      <c r="O100" s="250">
        <f>Ability_to_perceive_handling*(Weight_no_of_animal*Production!O47*'Parameters, country spec'!O98+Weight_no_of_animal*SUM(Production!O48:O51)*'Parameters, country spec'!O99)*100</f>
        <v>7.3409669103032869</v>
      </c>
      <c r="P100" s="250">
        <f>Ability_to_perceive_handling*(Weight_no_of_animal*Production!P47*'Parameters, country spec'!P98+Weight_no_of_animal*SUM(Production!P48:P51)*'Parameters, country spec'!P99)*100</f>
        <v>7.3409669103032869</v>
      </c>
      <c r="Q100" s="250">
        <f>Ability_to_perceive_handling*(Weight_no_of_animal*Production!Q47*'Parameters, country spec'!Q98+Weight_no_of_animal*SUM(Production!Q48:Q51)*'Parameters, country spec'!Q99)*100</f>
        <v>7.3409669103032869</v>
      </c>
      <c r="R100" s="250">
        <f>Ability_to_perceive_handling*(Weight_no_of_animal*Production!R47*'Parameters, country spec'!R98+Weight_no_of_animal*SUM(Production!R48:R51)*'Parameters, country spec'!R99)*100</f>
        <v>7.3409669103032869</v>
      </c>
      <c r="S100" s="250">
        <f>Ability_to_perceive_handling*(Weight_no_of_animal*Production!S47*'Parameters, country spec'!S98+Weight_no_of_animal*SUM(Production!S48:S51)*'Parameters, country spec'!S99)*100</f>
        <v>7.3409669103032869</v>
      </c>
      <c r="T100" s="250">
        <f>Ability_to_perceive_handling*(Weight_no_of_animal*Production!T47*'Parameters, country spec'!T98+Weight_no_of_animal*SUM(Production!T48:T51)*'Parameters, country spec'!T99)*100</f>
        <v>7.3409669103032869</v>
      </c>
      <c r="U100" s="250">
        <f>Ability_to_perceive_handling*(Weight_no_of_animal*Production!U47*'Parameters, country spec'!U98+Weight_no_of_animal*SUM(Production!U48:U51)*'Parameters, country spec'!U99)*100</f>
        <v>7.3409669103032869</v>
      </c>
      <c r="V100" s="250">
        <f>Ability_to_perceive_handling*(Weight_no_of_animal*Production!V47*'Parameters, country spec'!V98+Weight_no_of_animal*SUM(Production!V48:V51)*'Parameters, country spec'!V99)*100</f>
        <v>7.3409669103032869</v>
      </c>
      <c r="W100" s="250">
        <f>Ability_to_perceive_handling*(Weight_no_of_animal*Production!W47*'Parameters, country spec'!W98+Weight_no_of_animal*SUM(Production!W48:W51)*'Parameters, country spec'!W99)*100</f>
        <v>7.3409669103032869</v>
      </c>
      <c r="X100" s="250">
        <f>Ability_to_perceive_handling*(Weight_no_of_animal*Production!X47*'Parameters, country spec'!X98+Weight_no_of_animal*SUM(Production!X48:X51)*'Parameters, country spec'!X99)*100</f>
        <v>7.3409669103032869</v>
      </c>
      <c r="Y100" s="250">
        <f>Ability_to_perceive_handling*(Weight_no_of_animal*Production!Y47*'Parameters, country spec'!Y98+Weight_no_of_animal*SUM(Production!Y48:Y51)*'Parameters, country spec'!Y99)*100</f>
        <v>7.3409669103032869</v>
      </c>
      <c r="Z100" s="250">
        <f>Ability_to_perceive_handling*(Weight_no_of_animal*Production!Z47*'Parameters, country spec'!Z98+Weight_no_of_animal*SUM(Production!Z48:Z51)*'Parameters, country spec'!Z99)*100</f>
        <v>7.3409669103032869</v>
      </c>
      <c r="AA100" s="250">
        <f>Ability_to_perceive_handling*(Weight_no_of_animal*Production!AA47*'Parameters, country spec'!AA98+Weight_no_of_animal*SUM(Production!AA48:AA51)*'Parameters, country spec'!AA99)*100</f>
        <v>7.3409669103032869</v>
      </c>
      <c r="AB100" s="250">
        <f>Ability_to_perceive_handling*(Weight_no_of_animal*Production!AB47*'Parameters, country spec'!AB98+Weight_no_of_animal*SUM(Production!AB48:AB51)*'Parameters, country spec'!AB99)*100</f>
        <v>7.3409669103032869</v>
      </c>
      <c r="AC100" s="250">
        <f>Ability_to_perceive_handling*(Weight_no_of_animal*Production!AC47*'Parameters, country spec'!AC98+Weight_no_of_animal*SUM(Production!AC48:AC51)*'Parameters, country spec'!AC99)*100</f>
        <v>7.3409669103032869</v>
      </c>
      <c r="AD100" s="250">
        <f>Ability_to_perceive_handling*(Weight_no_of_animal*Production!AD47*'Parameters, country spec'!AD98+Weight_no_of_animal*SUM(Production!AD48:AD51)*'Parameters, country spec'!AD99)*100</f>
        <v>7.3409669103032869</v>
      </c>
      <c r="AE100" s="250">
        <f>Ability_to_perceive_handling*(Weight_no_of_animal*Production!AE47*'Parameters, country spec'!AE98+Weight_no_of_animal*SUM(Production!AE48:AE51)*'Parameters, country spec'!AE99)*100</f>
        <v>7.3409669103032869</v>
      </c>
    </row>
    <row r="101" spans="1:36" x14ac:dyDescent="0.35">
      <c r="B101" s="187"/>
      <c r="D101" s="187"/>
      <c r="E101" s="187"/>
      <c r="F101" s="187"/>
      <c r="O101" s="187"/>
      <c r="P101" s="188"/>
      <c r="Q101" s="187"/>
      <c r="R101" s="187"/>
      <c r="S101" s="187"/>
    </row>
    <row r="102" spans="1:36" x14ac:dyDescent="0.35">
      <c r="B102" s="188"/>
      <c r="D102" s="187"/>
      <c r="E102" s="187"/>
      <c r="F102" s="187"/>
      <c r="O102" s="187"/>
      <c r="P102" s="188"/>
      <c r="Q102" s="187"/>
    </row>
    <row r="103" spans="1:36" x14ac:dyDescent="0.35">
      <c r="A103" t="s">
        <v>324</v>
      </c>
    </row>
    <row r="104" spans="1:36" x14ac:dyDescent="0.35">
      <c r="B104" s="187"/>
      <c r="C104" s="187"/>
      <c r="D104" s="187"/>
    </row>
    <row r="105" spans="1:36" x14ac:dyDescent="0.35">
      <c r="A105" t="s">
        <v>325</v>
      </c>
    </row>
    <row r="109" spans="1:36" x14ac:dyDescent="0.35">
      <c r="A109" s="170" t="s">
        <v>193</v>
      </c>
      <c r="B109" s="170" t="s">
        <v>81</v>
      </c>
      <c r="C109" s="170" t="s">
        <v>83</v>
      </c>
      <c r="D109" s="170" t="s">
        <v>85</v>
      </c>
      <c r="E109" s="170" t="s">
        <v>87</v>
      </c>
      <c r="F109" s="170" t="s">
        <v>89</v>
      </c>
      <c r="G109" s="170" t="s">
        <v>170</v>
      </c>
      <c r="H109" s="170" t="s">
        <v>23</v>
      </c>
      <c r="I109" s="170" t="s">
        <v>94</v>
      </c>
      <c r="J109" s="170" t="s">
        <v>96</v>
      </c>
      <c r="K109" s="170" t="s">
        <v>31</v>
      </c>
      <c r="L109" s="170" t="s">
        <v>24</v>
      </c>
      <c r="M109" s="170" t="s">
        <v>22</v>
      </c>
      <c r="N109" s="170" t="s">
        <v>32</v>
      </c>
      <c r="O109" s="170" t="s">
        <v>27</v>
      </c>
      <c r="P109" s="170" t="s">
        <v>30</v>
      </c>
      <c r="Q109" s="170" t="s">
        <v>104</v>
      </c>
      <c r="R109" s="170" t="s">
        <v>106</v>
      </c>
      <c r="S109" s="170" t="s">
        <v>108</v>
      </c>
      <c r="T109" s="170" t="s">
        <v>20</v>
      </c>
      <c r="U109" s="170" t="s">
        <v>19</v>
      </c>
      <c r="V109" s="170" t="s">
        <v>112</v>
      </c>
      <c r="W109" s="170" t="s">
        <v>114</v>
      </c>
      <c r="X109" s="170" t="s">
        <v>174</v>
      </c>
      <c r="Y109" s="170" t="s">
        <v>118</v>
      </c>
      <c r="Z109" s="170" t="s">
        <v>28</v>
      </c>
      <c r="AA109" s="170" t="s">
        <v>25</v>
      </c>
      <c r="AB109" s="231" t="s">
        <v>21</v>
      </c>
      <c r="AC109" s="170" t="s">
        <v>123</v>
      </c>
      <c r="AD109" s="170" t="s">
        <v>125</v>
      </c>
      <c r="AE109" s="170" t="s">
        <v>127</v>
      </c>
      <c r="AG109" s="170" t="s">
        <v>194</v>
      </c>
      <c r="AH109" s="170" t="s">
        <v>195</v>
      </c>
      <c r="AI109" s="170" t="s">
        <v>196</v>
      </c>
      <c r="AJ109" s="170" t="s">
        <v>195</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tint="0.79998168889431442"/>
  </sheetPr>
  <dimension ref="A1:R479"/>
  <sheetViews>
    <sheetView zoomScale="66" zoomScaleNormal="90" workbookViewId="0">
      <selection activeCell="R306" sqref="R306:R316"/>
    </sheetView>
  </sheetViews>
  <sheetFormatPr defaultColWidth="8.81640625" defaultRowHeight="14.5" x14ac:dyDescent="0.35"/>
  <cols>
    <col min="1" max="1" width="8.54296875" customWidth="1"/>
    <col min="2" max="2" width="30.453125" customWidth="1"/>
    <col min="3" max="3" width="19" customWidth="1"/>
    <col min="4" max="4" width="12.81640625" customWidth="1"/>
    <col min="5" max="5" width="10.453125" customWidth="1"/>
    <col min="6" max="11" width="12.54296875" customWidth="1"/>
    <col min="12" max="12" width="14.1796875" customWidth="1"/>
    <col min="13" max="18" width="12.54296875" customWidth="1"/>
  </cols>
  <sheetData>
    <row r="1" spans="1:18" x14ac:dyDescent="0.35">
      <c r="F1" s="12"/>
      <c r="G1" s="12"/>
      <c r="H1" s="12"/>
      <c r="I1" s="12"/>
      <c r="J1" s="12"/>
      <c r="K1" s="12"/>
      <c r="L1" s="12"/>
      <c r="M1" s="12"/>
      <c r="N1" s="12"/>
      <c r="O1" s="12"/>
      <c r="P1" s="12"/>
      <c r="Q1" s="12"/>
    </row>
    <row r="2" spans="1:18" ht="21" x14ac:dyDescent="0.5">
      <c r="A2" s="2" t="s">
        <v>326</v>
      </c>
      <c r="G2" t="s">
        <v>327</v>
      </c>
      <c r="Q2" t="s">
        <v>328</v>
      </c>
    </row>
    <row r="3" spans="1:18" x14ac:dyDescent="0.35">
      <c r="I3" s="9"/>
      <c r="J3" s="9"/>
      <c r="K3" s="9"/>
      <c r="L3" s="9"/>
      <c r="M3" s="9"/>
      <c r="N3" s="9"/>
      <c r="O3" s="9"/>
      <c r="P3" s="9"/>
    </row>
    <row r="4" spans="1:18" ht="29" x14ac:dyDescent="0.35">
      <c r="A4" s="206" t="s">
        <v>329</v>
      </c>
      <c r="B4" s="189"/>
      <c r="C4" s="189"/>
      <c r="D4" s="189"/>
      <c r="E4" s="189"/>
      <c r="F4" s="190" t="s">
        <v>137</v>
      </c>
      <c r="G4" s="190" t="s">
        <v>138</v>
      </c>
      <c r="H4" s="191"/>
      <c r="I4" s="190" t="s">
        <v>139</v>
      </c>
      <c r="J4" s="104"/>
      <c r="K4" s="190" t="s">
        <v>140</v>
      </c>
      <c r="L4" s="104"/>
      <c r="M4" s="104"/>
      <c r="N4" s="104"/>
      <c r="O4" s="105" t="s">
        <v>141</v>
      </c>
      <c r="P4" s="105" t="s">
        <v>142</v>
      </c>
      <c r="Q4" s="192" t="s">
        <v>143</v>
      </c>
      <c r="R4" s="190" t="s">
        <v>330</v>
      </c>
    </row>
    <row r="5" spans="1:18" ht="47.25" customHeight="1" x14ac:dyDescent="0.35">
      <c r="A5" s="98" t="s">
        <v>59</v>
      </c>
      <c r="B5" s="98" t="s">
        <v>329</v>
      </c>
      <c r="C5" s="98" t="s">
        <v>331</v>
      </c>
      <c r="D5" s="98" t="s">
        <v>62</v>
      </c>
      <c r="E5" s="194" t="s">
        <v>63</v>
      </c>
      <c r="F5" s="193"/>
      <c r="G5" s="99" t="s">
        <v>33</v>
      </c>
      <c r="H5" s="99" t="s">
        <v>34</v>
      </c>
      <c r="I5" s="99" t="s">
        <v>332</v>
      </c>
      <c r="J5" s="99" t="s">
        <v>333</v>
      </c>
      <c r="K5" s="99" t="s">
        <v>152</v>
      </c>
      <c r="L5" s="99" t="s">
        <v>153</v>
      </c>
      <c r="M5" s="99" t="s">
        <v>154</v>
      </c>
      <c r="N5" s="99" t="s">
        <v>155</v>
      </c>
      <c r="O5" s="99" t="s">
        <v>156</v>
      </c>
      <c r="P5" s="99" t="s">
        <v>334</v>
      </c>
      <c r="Q5" s="194" t="s">
        <v>335</v>
      </c>
      <c r="R5" s="99"/>
    </row>
    <row r="6" spans="1:18" x14ac:dyDescent="0.35">
      <c r="A6" s="22" t="s">
        <v>336</v>
      </c>
      <c r="B6" s="17" t="s">
        <v>218</v>
      </c>
      <c r="C6" s="17" t="s">
        <v>337</v>
      </c>
      <c r="D6" s="23" t="s">
        <v>81</v>
      </c>
      <c r="E6" s="23" t="s">
        <v>82</v>
      </c>
      <c r="F6" s="120">
        <f>SUM(G6:Q6)</f>
        <v>0.16697655355390587</v>
      </c>
      <c r="G6" s="80">
        <v>6.4330297358443381E-2</v>
      </c>
      <c r="H6" s="14">
        <v>2.7E-2</v>
      </c>
      <c r="I6" s="303">
        <v>0</v>
      </c>
      <c r="J6" s="14"/>
      <c r="K6" s="80">
        <v>4.0808656195462478E-2</v>
      </c>
      <c r="L6" s="14"/>
      <c r="M6" s="14">
        <v>0</v>
      </c>
      <c r="N6" s="80">
        <v>3.4837600000000003E-2</v>
      </c>
      <c r="O6" s="14"/>
      <c r="P6" s="14"/>
      <c r="R6" s="197">
        <f>'Parameters, country spec'!B19</f>
        <v>0.1388019695150714</v>
      </c>
    </row>
    <row r="7" spans="1:18" x14ac:dyDescent="0.35">
      <c r="A7" s="22" t="s">
        <v>338</v>
      </c>
      <c r="B7" s="17" t="s">
        <v>222</v>
      </c>
      <c r="C7" s="17" t="s">
        <v>337</v>
      </c>
      <c r="D7" s="23" t="s">
        <v>81</v>
      </c>
      <c r="E7" s="23" t="s">
        <v>82</v>
      </c>
      <c r="F7" s="120">
        <f>SUM(G7:Q7)</f>
        <v>0.15238359782823441</v>
      </c>
      <c r="G7" s="80">
        <v>6.2649071876813428E-2</v>
      </c>
      <c r="H7" s="14">
        <v>2.7E-2</v>
      </c>
      <c r="I7" s="303">
        <v>0</v>
      </c>
      <c r="J7" s="14"/>
      <c r="K7" s="80">
        <v>2.7896925951420983E-2</v>
      </c>
      <c r="L7" s="14"/>
      <c r="M7" s="14">
        <v>0</v>
      </c>
      <c r="N7" s="80">
        <v>3.4837600000000003E-2</v>
      </c>
      <c r="O7" s="14"/>
      <c r="P7" s="14"/>
      <c r="R7" s="197">
        <f>'Parameters, country spec'!B20</f>
        <v>0.33511299379537363</v>
      </c>
    </row>
    <row r="8" spans="1:18" x14ac:dyDescent="0.35">
      <c r="A8" s="22" t="s">
        <v>339</v>
      </c>
      <c r="B8" s="17" t="s">
        <v>226</v>
      </c>
      <c r="C8" s="17" t="s">
        <v>337</v>
      </c>
      <c r="D8" s="23" t="s">
        <v>81</v>
      </c>
      <c r="E8" s="23" t="s">
        <v>82</v>
      </c>
      <c r="F8" s="120">
        <f t="shared" ref="F8:F16" si="0">SUM(G8:Q8)</f>
        <v>0.1652253697578368</v>
      </c>
      <c r="G8" s="80">
        <v>5.6711069109087971E-2</v>
      </c>
      <c r="H8" s="14">
        <v>2.7E-2</v>
      </c>
      <c r="I8" s="303">
        <v>0</v>
      </c>
      <c r="J8" s="14"/>
      <c r="K8" s="80">
        <v>4.6676700648748841E-2</v>
      </c>
      <c r="L8" s="14"/>
      <c r="M8" s="14">
        <v>0</v>
      </c>
      <c r="N8" s="80">
        <v>3.4837600000000003E-2</v>
      </c>
      <c r="O8" s="14"/>
      <c r="P8" s="14"/>
      <c r="R8" s="197">
        <f>'Parameters, country spec'!B21</f>
        <v>1.037956303452368E-2</v>
      </c>
    </row>
    <row r="9" spans="1:18" x14ac:dyDescent="0.35">
      <c r="A9" s="22" t="s">
        <v>340</v>
      </c>
      <c r="B9" s="17" t="s">
        <v>227</v>
      </c>
      <c r="C9" s="17" t="s">
        <v>337</v>
      </c>
      <c r="D9" s="23" t="s">
        <v>81</v>
      </c>
      <c r="E9" s="23" t="s">
        <v>82</v>
      </c>
      <c r="F9" s="120">
        <f t="shared" si="0"/>
        <v>0.14256180694350662</v>
      </c>
      <c r="G9" s="80">
        <v>4.99522666930306E-2</v>
      </c>
      <c r="H9" s="14">
        <v>2.7E-2</v>
      </c>
      <c r="I9" s="303">
        <v>0</v>
      </c>
      <c r="J9" s="14"/>
      <c r="K9" s="80">
        <v>3.0771940250476016E-2</v>
      </c>
      <c r="L9" s="14"/>
      <c r="M9" s="14">
        <v>0</v>
      </c>
      <c r="N9" s="80">
        <v>3.4837600000000003E-2</v>
      </c>
      <c r="O9" s="14"/>
      <c r="P9" s="14"/>
      <c r="R9" s="197">
        <f>'Parameters, country spec'!B22</f>
        <v>2.539898270383906E-2</v>
      </c>
    </row>
    <row r="10" spans="1:18" x14ac:dyDescent="0.35">
      <c r="A10" s="22" t="s">
        <v>341</v>
      </c>
      <c r="B10" s="17" t="s">
        <v>228</v>
      </c>
      <c r="C10" s="17" t="s">
        <v>337</v>
      </c>
      <c r="D10" s="23" t="s">
        <v>81</v>
      </c>
      <c r="E10" s="23" t="s">
        <v>82</v>
      </c>
      <c r="F10" s="120">
        <f t="shared" si="0"/>
        <v>0.16472897058825095</v>
      </c>
      <c r="G10" s="80">
        <v>7.3741076533864705E-2</v>
      </c>
      <c r="H10" s="14">
        <v>2.7E-2</v>
      </c>
      <c r="I10" s="303">
        <v>0</v>
      </c>
      <c r="J10" s="14"/>
      <c r="K10" s="80">
        <v>2.9150294054386239E-2</v>
      </c>
      <c r="L10" s="14"/>
      <c r="M10" s="14">
        <v>0</v>
      </c>
      <c r="N10" s="80">
        <v>3.4837600000000003E-2</v>
      </c>
      <c r="O10" s="14"/>
      <c r="P10" s="14"/>
      <c r="R10" s="197">
        <f>'Parameters, country spec'!B23</f>
        <v>0.18920711272078269</v>
      </c>
    </row>
    <row r="11" spans="1:18" x14ac:dyDescent="0.35">
      <c r="A11" s="22" t="s">
        <v>342</v>
      </c>
      <c r="B11" s="17" t="s">
        <v>229</v>
      </c>
      <c r="C11" s="17" t="s">
        <v>343</v>
      </c>
      <c r="D11" s="23" t="s">
        <v>81</v>
      </c>
      <c r="E11" s="23" t="s">
        <v>82</v>
      </c>
      <c r="F11" s="120">
        <f t="shared" si="0"/>
        <v>0.11885153790044359</v>
      </c>
      <c r="G11" s="80">
        <v>0</v>
      </c>
      <c r="H11" s="14">
        <v>2.7E-2</v>
      </c>
      <c r="I11" s="303">
        <v>0</v>
      </c>
      <c r="J11" s="14"/>
      <c r="K11" s="80">
        <v>5.7013937900443575E-2</v>
      </c>
      <c r="L11" s="16"/>
      <c r="M11" s="14">
        <v>0</v>
      </c>
      <c r="N11" s="80">
        <v>3.4837600000000003E-2</v>
      </c>
      <c r="O11" s="14"/>
      <c r="P11" s="14"/>
      <c r="R11" s="197">
        <f>'Parameters, country spec'!B24</f>
        <v>1.8365818050205586E-3</v>
      </c>
    </row>
    <row r="12" spans="1:18" x14ac:dyDescent="0.35">
      <c r="A12" s="22" t="s">
        <v>344</v>
      </c>
      <c r="B12" s="17" t="s">
        <v>230</v>
      </c>
      <c r="C12" s="17" t="s">
        <v>343</v>
      </c>
      <c r="D12" s="23" t="s">
        <v>81</v>
      </c>
      <c r="E12" s="23" t="s">
        <v>82</v>
      </c>
      <c r="F12" s="120">
        <f t="shared" si="0"/>
        <v>0.15030675448840647</v>
      </c>
      <c r="G12" s="80">
        <v>3.1688167106286749E-3</v>
      </c>
      <c r="H12" s="14">
        <v>2.7E-2</v>
      </c>
      <c r="I12" s="303">
        <v>0</v>
      </c>
      <c r="J12" s="14"/>
      <c r="K12" s="80">
        <v>8.530033777777779E-2</v>
      </c>
      <c r="L12" s="14"/>
      <c r="M12" s="14">
        <v>0</v>
      </c>
      <c r="N12" s="80">
        <v>3.4837600000000003E-2</v>
      </c>
      <c r="O12" s="14"/>
      <c r="P12" s="14"/>
      <c r="R12" s="197">
        <f>'Parameters, country spec'!B25</f>
        <v>1.8041285588900518E-3</v>
      </c>
    </row>
    <row r="13" spans="1:18" x14ac:dyDescent="0.35">
      <c r="B13" s="18" t="s">
        <v>231</v>
      </c>
      <c r="C13" s="17" t="s">
        <v>345</v>
      </c>
      <c r="D13" s="23" t="str">
        <f>'Off-farm feed'!$D$74</f>
        <v>France, Germany, Poland</v>
      </c>
      <c r="E13" s="23"/>
      <c r="F13" s="120">
        <f>SUM(G13:Q13)</f>
        <v>0.27085685084992916</v>
      </c>
      <c r="G13" s="220">
        <f>'Off-farm feed'!$F$74</f>
        <v>0.11176753125767681</v>
      </c>
      <c r="H13" s="220">
        <f>'Off-farm feed'!$G$74</f>
        <v>1.3034482758620692E-2</v>
      </c>
      <c r="I13" s="220">
        <f>'Off-farm feed'!$H$74</f>
        <v>0</v>
      </c>
      <c r="J13" s="220">
        <f>'Off-farm feed'!$I$74</f>
        <v>0</v>
      </c>
      <c r="K13" s="220">
        <f>'Off-farm feed'!$J$74</f>
        <v>2.4688740026345454E-2</v>
      </c>
      <c r="L13" s="220">
        <f>'Off-farm feed'!$K$74</f>
        <v>0</v>
      </c>
      <c r="M13" s="220">
        <f>'Off-farm feed'!$L$74</f>
        <v>1.931759303794134E-4</v>
      </c>
      <c r="N13" s="220">
        <f>'Off-farm feed'!$M$74</f>
        <v>3.6802128767029069E-2</v>
      </c>
      <c r="O13" s="220">
        <f>'Off-farm feed'!$N$74</f>
        <v>0</v>
      </c>
      <c r="P13" s="220">
        <f>'Off-farm feed'!$O$74</f>
        <v>2.1170792109877701E-2</v>
      </c>
      <c r="Q13" s="220">
        <f>'Off-farm feed'!$P$74</f>
        <v>6.3200000000000006E-2</v>
      </c>
      <c r="R13" s="197">
        <f>'Parameters, country spec'!B26</f>
        <v>7.1767098590145267E-2</v>
      </c>
    </row>
    <row r="14" spans="1:18" x14ac:dyDescent="0.35">
      <c r="B14" s="18" t="s">
        <v>346</v>
      </c>
      <c r="C14" s="17" t="s">
        <v>345</v>
      </c>
      <c r="D14" s="23" t="str">
        <f>'Off-farm feed'!$D$23</f>
        <v>Brazil, Argentina</v>
      </c>
      <c r="E14" s="23"/>
      <c r="F14" s="120">
        <f>SUM(G14:Q14)</f>
        <v>0.7061171705997602</v>
      </c>
      <c r="G14" s="220">
        <f>'Off-farm feed'!$F$23</f>
        <v>7.2632670993098931E-3</v>
      </c>
      <c r="H14" s="220">
        <f>'Off-farm feed'!$G$23</f>
        <v>2.1402439024390246E-2</v>
      </c>
      <c r="I14" s="220">
        <f>'Off-farm feed'!$H$23</f>
        <v>0</v>
      </c>
      <c r="J14" s="220">
        <f>'Off-farm feed'!$I$23</f>
        <v>0</v>
      </c>
      <c r="K14" s="220">
        <f>'Off-farm feed'!$J$23</f>
        <v>4.308361966433235E-2</v>
      </c>
      <c r="L14" s="220">
        <f>'Off-farm feed'!$K$23</f>
        <v>0</v>
      </c>
      <c r="M14" s="220">
        <f>'Off-farm feed'!$L$23</f>
        <v>1.7842060425123844E-4</v>
      </c>
      <c r="N14" s="220">
        <f>'Off-farm feed'!$M$23</f>
        <v>3.0432604948959403E-2</v>
      </c>
      <c r="O14" s="220">
        <f>'Off-farm feed'!$N$23</f>
        <v>0.31761120248475611</v>
      </c>
      <c r="P14" s="220">
        <f>'Off-farm feed'!$O$23</f>
        <v>3.5145616773760872E-2</v>
      </c>
      <c r="Q14" s="220">
        <f>'Off-farm feed'!$P$23</f>
        <v>0.251</v>
      </c>
      <c r="R14" s="197">
        <f>'Parameters, country spec'!B27</f>
        <v>0.10081362148549573</v>
      </c>
    </row>
    <row r="15" spans="1:18" x14ac:dyDescent="0.35">
      <c r="B15" s="17" t="s">
        <v>233</v>
      </c>
      <c r="C15" s="17" t="s">
        <v>347</v>
      </c>
      <c r="D15" s="23" t="s">
        <v>81</v>
      </c>
      <c r="E15" s="23" t="s">
        <v>82</v>
      </c>
      <c r="F15" s="120"/>
      <c r="G15" s="108"/>
      <c r="H15" s="8"/>
      <c r="I15" s="107"/>
      <c r="J15" s="8"/>
      <c r="K15" s="108"/>
      <c r="L15" s="8"/>
      <c r="M15" s="8"/>
      <c r="N15" s="108"/>
      <c r="O15" s="8"/>
      <c r="P15" s="8"/>
      <c r="Q15" s="8"/>
      <c r="R15" s="197">
        <f>'Parameters, country spec'!B28</f>
        <v>9.0561398556276068E-2</v>
      </c>
    </row>
    <row r="16" spans="1:18" x14ac:dyDescent="0.35">
      <c r="A16" s="83"/>
      <c r="B16" s="17" t="s">
        <v>348</v>
      </c>
      <c r="C16" s="84" t="s">
        <v>349</v>
      </c>
      <c r="D16" s="23" t="s">
        <v>81</v>
      </c>
      <c r="E16" s="23" t="s">
        <v>82</v>
      </c>
      <c r="F16" s="120">
        <f t="shared" si="0"/>
        <v>0.14998677790465326</v>
      </c>
      <c r="G16" s="81">
        <f t="shared" ref="G16:N16" si="1">AVERAGE(G6:G14)</f>
        <v>4.7731488515428383E-2</v>
      </c>
      <c r="H16" s="81">
        <f t="shared" si="1"/>
        <v>2.4826324642556769E-2</v>
      </c>
      <c r="I16" s="81">
        <f t="shared" si="1"/>
        <v>0</v>
      </c>
      <c r="J16" s="81"/>
      <c r="K16" s="81">
        <f t="shared" si="1"/>
        <v>4.2821239163265974E-2</v>
      </c>
      <c r="L16" s="81"/>
      <c r="M16" s="81">
        <f t="shared" si="1"/>
        <v>4.1288503847850203E-5</v>
      </c>
      <c r="N16" s="81">
        <f t="shared" si="1"/>
        <v>3.4566437079554278E-2</v>
      </c>
      <c r="O16" s="81"/>
      <c r="P16" s="81"/>
      <c r="Q16" s="81"/>
      <c r="R16" s="197">
        <f>'Parameters, country spec'!B29</f>
        <v>3.4316549234581904E-2</v>
      </c>
    </row>
    <row r="17" spans="1:18" x14ac:dyDescent="0.35">
      <c r="A17" s="195"/>
      <c r="B17" s="25" t="s">
        <v>350</v>
      </c>
      <c r="C17" s="26"/>
      <c r="D17" s="103"/>
      <c r="E17" s="103"/>
      <c r="F17" s="209">
        <f>SUMPRODUCT(F6:F16,$R$6:$R$16)</f>
        <v>0.20700750449410177</v>
      </c>
      <c r="G17" s="209">
        <f>SUMPRODUCT(G6:G16,$R$6:$R$16)</f>
        <v>5.6130563685654111E-2</v>
      </c>
      <c r="H17" s="209">
        <f>SUMPRODUCT(H6:H16,$R$6:$R$16)</f>
        <v>2.2913674155395303E-2</v>
      </c>
      <c r="I17" s="209">
        <f>SUMPRODUCT(I6:I16,$R$6:$R$16)</f>
        <v>0</v>
      </c>
      <c r="J17" s="209"/>
      <c r="K17" s="209">
        <f>SUMPRODUCT(K6:K16,$R$6:$R$16)</f>
        <v>2.963778259734973E-2</v>
      </c>
      <c r="L17" s="209"/>
      <c r="M17" s="209">
        <f>SUMPRODUCT(M6:M16,$R$6:$R$16)</f>
        <v>3.3267782278097157E-5</v>
      </c>
      <c r="N17" s="209">
        <f>SUMPRODUCT(N6:N16,$R$6:$R$16)</f>
        <v>3.1370257871931269E-2</v>
      </c>
      <c r="O17" s="209">
        <f>SUMPRODUCT(O6:O16,$R$6:$R$16)</f>
        <v>3.2019535546851344E-2</v>
      </c>
      <c r="P17" s="209">
        <f>SUMPRODUCT(P6:P16,R6:R16)</f>
        <v>5.0625232308852807E-3</v>
      </c>
      <c r="Q17" s="209">
        <f>SUMPRODUCT(Q6:Q16,$R$6:$R$16)</f>
        <v>2.9839899623756612E-2</v>
      </c>
      <c r="R17" s="198"/>
    </row>
    <row r="18" spans="1:18" x14ac:dyDescent="0.35">
      <c r="A18" s="22" t="s">
        <v>336</v>
      </c>
      <c r="B18" s="17" t="s">
        <v>218</v>
      </c>
      <c r="C18" s="17" t="s">
        <v>337</v>
      </c>
      <c r="D18" s="23" t="s">
        <v>83</v>
      </c>
      <c r="E18" s="23" t="s">
        <v>84</v>
      </c>
      <c r="F18" s="120">
        <f>SUM(G18:Q18)</f>
        <v>0.16697655355390587</v>
      </c>
      <c r="G18" s="80">
        <v>6.4330297358443381E-2</v>
      </c>
      <c r="H18" s="14">
        <v>2.7E-2</v>
      </c>
      <c r="I18" s="303">
        <v>0</v>
      </c>
      <c r="J18" s="14"/>
      <c r="K18" s="80">
        <v>4.0808656195462478E-2</v>
      </c>
      <c r="L18" s="14"/>
      <c r="M18" s="14">
        <v>0</v>
      </c>
      <c r="N18" s="80">
        <v>3.4837600000000003E-2</v>
      </c>
      <c r="O18" s="14"/>
      <c r="P18" s="14"/>
      <c r="R18" s="197">
        <f>'Parameters, country spec'!C19</f>
        <v>9.1606902667557069E-2</v>
      </c>
    </row>
    <row r="19" spans="1:18" x14ac:dyDescent="0.35">
      <c r="A19" s="22" t="s">
        <v>338</v>
      </c>
      <c r="B19" s="17" t="s">
        <v>222</v>
      </c>
      <c r="C19" s="17" t="s">
        <v>337</v>
      </c>
      <c r="D19" s="23" t="s">
        <v>83</v>
      </c>
      <c r="E19" s="23" t="s">
        <v>84</v>
      </c>
      <c r="F19" s="120">
        <f t="shared" ref="F19:F28" si="2">SUM(G19:Q19)</f>
        <v>0.15238359782823441</v>
      </c>
      <c r="G19" s="80">
        <v>6.2649071876813428E-2</v>
      </c>
      <c r="H19" s="14">
        <v>2.7E-2</v>
      </c>
      <c r="I19" s="303">
        <v>0</v>
      </c>
      <c r="J19" s="14"/>
      <c r="K19" s="80">
        <v>2.7896925951420983E-2</v>
      </c>
      <c r="L19" s="14"/>
      <c r="M19" s="14">
        <v>0</v>
      </c>
      <c r="N19" s="80">
        <v>3.4837600000000003E-2</v>
      </c>
      <c r="O19" s="14"/>
      <c r="P19" s="14"/>
      <c r="R19" s="197">
        <f>'Parameters, country spec'!C20</f>
        <v>0.13155509047103262</v>
      </c>
    </row>
    <row r="20" spans="1:18" x14ac:dyDescent="0.35">
      <c r="A20" s="22" t="s">
        <v>339</v>
      </c>
      <c r="B20" s="17" t="s">
        <v>226</v>
      </c>
      <c r="C20" s="17" t="s">
        <v>337</v>
      </c>
      <c r="D20" s="23" t="s">
        <v>83</v>
      </c>
      <c r="E20" s="23" t="s">
        <v>84</v>
      </c>
      <c r="F20" s="120">
        <f t="shared" si="2"/>
        <v>0.1652253697578368</v>
      </c>
      <c r="G20" s="80">
        <v>5.6711069109087971E-2</v>
      </c>
      <c r="H20" s="14">
        <v>2.7E-2</v>
      </c>
      <c r="I20" s="303">
        <v>0</v>
      </c>
      <c r="J20" s="14"/>
      <c r="K20" s="80">
        <v>4.6676700648748841E-2</v>
      </c>
      <c r="L20" s="14"/>
      <c r="M20" s="14">
        <v>0</v>
      </c>
      <c r="N20" s="80">
        <v>3.4837600000000003E-2</v>
      </c>
      <c r="O20" s="14"/>
      <c r="P20" s="14"/>
      <c r="R20" s="197">
        <f>'Parameters, country spec'!C21</f>
        <v>9.289741735930411E-3</v>
      </c>
    </row>
    <row r="21" spans="1:18" x14ac:dyDescent="0.35">
      <c r="A21" s="22" t="s">
        <v>340</v>
      </c>
      <c r="B21" s="17" t="s">
        <v>227</v>
      </c>
      <c r="C21" s="17" t="s">
        <v>337</v>
      </c>
      <c r="D21" s="23" t="s">
        <v>83</v>
      </c>
      <c r="E21" s="23" t="s">
        <v>84</v>
      </c>
      <c r="F21" s="120">
        <f t="shared" si="2"/>
        <v>0.14256180694350662</v>
      </c>
      <c r="G21" s="80">
        <v>4.99522666930306E-2</v>
      </c>
      <c r="H21" s="14">
        <v>2.7E-2</v>
      </c>
      <c r="I21" s="303">
        <v>0</v>
      </c>
      <c r="J21" s="14"/>
      <c r="K21" s="80">
        <v>3.0771940250476016E-2</v>
      </c>
      <c r="L21" s="14"/>
      <c r="M21" s="14">
        <v>0</v>
      </c>
      <c r="N21" s="80">
        <v>3.4837600000000003E-2</v>
      </c>
      <c r="O21" s="14"/>
      <c r="P21" s="14"/>
      <c r="R21" s="197">
        <f>'Parameters, country spec'!C22</f>
        <v>2.0777988939877966E-3</v>
      </c>
    </row>
    <row r="22" spans="1:18" x14ac:dyDescent="0.35">
      <c r="A22" s="22" t="s">
        <v>341</v>
      </c>
      <c r="B22" s="17" t="s">
        <v>228</v>
      </c>
      <c r="C22" s="17" t="s">
        <v>337</v>
      </c>
      <c r="D22" s="23" t="s">
        <v>83</v>
      </c>
      <c r="E22" s="23" t="s">
        <v>84</v>
      </c>
      <c r="F22" s="120">
        <f t="shared" si="2"/>
        <v>0.16472897058825095</v>
      </c>
      <c r="G22" s="80">
        <v>7.3741076533864705E-2</v>
      </c>
      <c r="H22" s="14">
        <v>2.7E-2</v>
      </c>
      <c r="I22" s="303">
        <v>0</v>
      </c>
      <c r="J22" s="14"/>
      <c r="K22" s="80">
        <v>2.9150294054386239E-2</v>
      </c>
      <c r="L22" s="14"/>
      <c r="M22" s="14">
        <v>0</v>
      </c>
      <c r="N22" s="80">
        <v>3.4837600000000003E-2</v>
      </c>
      <c r="O22" s="14"/>
      <c r="P22" s="14"/>
      <c r="R22" s="197">
        <f>'Parameters, country spec'!C23</f>
        <v>0.19898022259279191</v>
      </c>
    </row>
    <row r="23" spans="1:18" x14ac:dyDescent="0.35">
      <c r="A23" s="22" t="s">
        <v>342</v>
      </c>
      <c r="B23" s="17" t="s">
        <v>229</v>
      </c>
      <c r="C23" s="17" t="s">
        <v>343</v>
      </c>
      <c r="D23" s="23" t="s">
        <v>83</v>
      </c>
      <c r="E23" s="23" t="s">
        <v>84</v>
      </c>
      <c r="F23" s="120">
        <f t="shared" si="2"/>
        <v>0.11885153790044359</v>
      </c>
      <c r="G23" s="80">
        <v>0</v>
      </c>
      <c r="H23" s="14">
        <v>2.7E-2</v>
      </c>
      <c r="I23" s="303">
        <v>0</v>
      </c>
      <c r="J23" s="14"/>
      <c r="K23" s="80">
        <v>5.7013937900443575E-2</v>
      </c>
      <c r="L23" s="16"/>
      <c r="M23" s="14">
        <v>0</v>
      </c>
      <c r="N23" s="80">
        <v>3.4837600000000003E-2</v>
      </c>
      <c r="O23" s="14"/>
      <c r="P23" s="14"/>
      <c r="R23" s="197">
        <f>'Parameters, country spec'!C24</f>
        <v>0</v>
      </c>
    </row>
    <row r="24" spans="1:18" x14ac:dyDescent="0.35">
      <c r="A24" s="22" t="s">
        <v>344</v>
      </c>
      <c r="B24" s="17" t="s">
        <v>230</v>
      </c>
      <c r="C24" s="17" t="s">
        <v>343</v>
      </c>
      <c r="D24" s="23" t="s">
        <v>83</v>
      </c>
      <c r="E24" s="23" t="s">
        <v>84</v>
      </c>
      <c r="F24" s="120">
        <f t="shared" si="2"/>
        <v>0.15030675448840647</v>
      </c>
      <c r="G24" s="80">
        <v>3.1688167106286749E-3</v>
      </c>
      <c r="H24" s="14">
        <v>2.7E-2</v>
      </c>
      <c r="I24" s="303">
        <v>0</v>
      </c>
      <c r="J24" s="14"/>
      <c r="K24" s="80">
        <v>8.530033777777779E-2</v>
      </c>
      <c r="L24" s="14"/>
      <c r="M24" s="14">
        <v>0</v>
      </c>
      <c r="N24" s="80">
        <v>3.4837600000000003E-2</v>
      </c>
      <c r="O24" s="14"/>
      <c r="P24" s="14"/>
      <c r="R24" s="197">
        <f>'Parameters, country spec'!C25</f>
        <v>0</v>
      </c>
    </row>
    <row r="25" spans="1:18" x14ac:dyDescent="0.35">
      <c r="B25" s="18" t="s">
        <v>231</v>
      </c>
      <c r="C25" s="17" t="s">
        <v>345</v>
      </c>
      <c r="D25" s="23" t="str">
        <f>'Off-farm feed'!$D$74</f>
        <v>France, Germany, Poland</v>
      </c>
      <c r="E25" s="23"/>
      <c r="F25" s="120">
        <f>SUM(G25:Q25)</f>
        <v>0.27085685084992916</v>
      </c>
      <c r="G25" s="220">
        <f>'Off-farm feed'!$F$74</f>
        <v>0.11176753125767681</v>
      </c>
      <c r="H25" s="220">
        <f>'Off-farm feed'!$G$74</f>
        <v>1.3034482758620692E-2</v>
      </c>
      <c r="I25" s="220">
        <f>'Off-farm feed'!$H$74</f>
        <v>0</v>
      </c>
      <c r="J25" s="220">
        <f>'Off-farm feed'!$I$74</f>
        <v>0</v>
      </c>
      <c r="K25" s="220">
        <f>'Off-farm feed'!$J$74</f>
        <v>2.4688740026345454E-2</v>
      </c>
      <c r="L25" s="220">
        <f>'Off-farm feed'!$K$74</f>
        <v>0</v>
      </c>
      <c r="M25" s="220">
        <f>'Off-farm feed'!$L$74</f>
        <v>1.931759303794134E-4</v>
      </c>
      <c r="N25" s="220">
        <f>'Off-farm feed'!$M$74</f>
        <v>3.6802128767029069E-2</v>
      </c>
      <c r="O25" s="220">
        <f>'Off-farm feed'!$N$74</f>
        <v>0</v>
      </c>
      <c r="P25" s="220">
        <f>'Off-farm feed'!$O$74</f>
        <v>2.1170792109877701E-2</v>
      </c>
      <c r="Q25" s="220">
        <f>'Off-farm feed'!$P$74</f>
        <v>6.3200000000000006E-2</v>
      </c>
      <c r="R25" s="197">
        <f>'Parameters, country spec'!C26</f>
        <v>0.11887736478257062</v>
      </c>
    </row>
    <row r="26" spans="1:18" x14ac:dyDescent="0.35">
      <c r="B26" s="18" t="s">
        <v>346</v>
      </c>
      <c r="C26" s="17" t="s">
        <v>345</v>
      </c>
      <c r="D26" s="23" t="str">
        <f>'Off-farm feed'!$D$23</f>
        <v>Brazil, Argentina</v>
      </c>
      <c r="E26" s="23"/>
      <c r="F26" s="120">
        <f>SUM(G26:Q26)</f>
        <v>0.7061171705997602</v>
      </c>
      <c r="G26" s="220">
        <f>'Off-farm feed'!$F$23</f>
        <v>7.2632670993098931E-3</v>
      </c>
      <c r="H26" s="220">
        <f>'Off-farm feed'!$G$23</f>
        <v>2.1402439024390246E-2</v>
      </c>
      <c r="I26" s="220">
        <f>'Off-farm feed'!$H$23</f>
        <v>0</v>
      </c>
      <c r="J26" s="220">
        <f>'Off-farm feed'!$I$23</f>
        <v>0</v>
      </c>
      <c r="K26" s="220">
        <f>'Off-farm feed'!$J$23</f>
        <v>4.308361966433235E-2</v>
      </c>
      <c r="L26" s="220">
        <f>'Off-farm feed'!$K$23</f>
        <v>0</v>
      </c>
      <c r="M26" s="220">
        <f>'Off-farm feed'!$L$23</f>
        <v>1.7842060425123844E-4</v>
      </c>
      <c r="N26" s="220">
        <f>'Off-farm feed'!$M$23</f>
        <v>3.0432604948959403E-2</v>
      </c>
      <c r="O26" s="220">
        <f>'Off-farm feed'!$N$23</f>
        <v>0.31761120248475611</v>
      </c>
      <c r="P26" s="220">
        <f>'Off-farm feed'!$O$23</f>
        <v>3.5145616773760872E-2</v>
      </c>
      <c r="Q26" s="220">
        <f>'Off-farm feed'!$P$23</f>
        <v>0.251</v>
      </c>
      <c r="R26" s="197">
        <f>'Parameters, country spec'!C27</f>
        <v>0.14455218048244542</v>
      </c>
    </row>
    <row r="27" spans="1:18" x14ac:dyDescent="0.35">
      <c r="B27" s="17" t="s">
        <v>233</v>
      </c>
      <c r="C27" s="17" t="s">
        <v>347</v>
      </c>
      <c r="D27" s="23" t="s">
        <v>83</v>
      </c>
      <c r="E27" s="23" t="s">
        <v>84</v>
      </c>
      <c r="F27" s="120"/>
      <c r="G27" s="108"/>
      <c r="H27" s="8"/>
      <c r="I27" s="107"/>
      <c r="J27" s="8"/>
      <c r="K27" s="108"/>
      <c r="L27" s="8"/>
      <c r="M27" s="8"/>
      <c r="N27" s="108"/>
      <c r="O27" s="8"/>
      <c r="P27" s="8"/>
      <c r="Q27" s="8"/>
      <c r="R27" s="197">
        <f>'Parameters, country spec'!C28</f>
        <v>0.16248162657729212</v>
      </c>
    </row>
    <row r="28" spans="1:18" x14ac:dyDescent="0.35">
      <c r="A28" s="83"/>
      <c r="B28" s="17" t="s">
        <v>348</v>
      </c>
      <c r="C28" s="84" t="s">
        <v>349</v>
      </c>
      <c r="D28" s="23" t="s">
        <v>83</v>
      </c>
      <c r="E28" s="23" t="s">
        <v>84</v>
      </c>
      <c r="F28" s="120">
        <f t="shared" si="2"/>
        <v>0.14998677790465326</v>
      </c>
      <c r="G28" s="81">
        <f t="shared" ref="G28:N28" si="3">AVERAGE(G18:G26)</f>
        <v>4.7731488515428383E-2</v>
      </c>
      <c r="H28" s="81">
        <f t="shared" si="3"/>
        <v>2.4826324642556769E-2</v>
      </c>
      <c r="I28" s="81">
        <f t="shared" si="3"/>
        <v>0</v>
      </c>
      <c r="J28" s="81"/>
      <c r="K28" s="81">
        <f t="shared" si="3"/>
        <v>4.2821239163265974E-2</v>
      </c>
      <c r="L28" s="81"/>
      <c r="M28" s="81">
        <f t="shared" si="3"/>
        <v>4.1288503847850203E-5</v>
      </c>
      <c r="N28" s="81">
        <f t="shared" si="3"/>
        <v>3.4566437079554278E-2</v>
      </c>
      <c r="O28" s="81"/>
      <c r="P28" s="81"/>
      <c r="Q28" s="81"/>
      <c r="R28" s="197">
        <f>'Parameters, country spec'!C29</f>
        <v>0.14057907179639201</v>
      </c>
    </row>
    <row r="29" spans="1:18" x14ac:dyDescent="0.35">
      <c r="A29" s="195"/>
      <c r="B29" s="25" t="s">
        <v>350</v>
      </c>
      <c r="C29" s="26"/>
      <c r="D29" s="103"/>
      <c r="E29" s="103"/>
      <c r="F29" s="27">
        <f>SUMPRODUCT(F18:F28,$R$18:$R$28)</f>
        <v>0.22530649326917263</v>
      </c>
      <c r="G29" s="27">
        <f>SUMPRODUCT(G18:G28,$R$18:$R$28)</f>
        <v>5.0485140412146662E-2</v>
      </c>
      <c r="H29" s="27">
        <f>SUMPRODUCT(H18:H28,$R$18:$R$28)</f>
        <v>1.9838099286388487E-2</v>
      </c>
      <c r="I29" s="27">
        <f>SUMPRODUCT(I18:I28,$R$18:$R$28)</f>
        <v>0</v>
      </c>
      <c r="J29" s="27"/>
      <c r="K29" s="27">
        <f>SUMPRODUCT(K18:K28,$R$18:$R$28)</f>
        <v>2.8888755185044804E-2</v>
      </c>
      <c r="L29" s="27"/>
      <c r="M29" s="27">
        <f>SUMPRODUCT(M18:M28,$R$18:$R$28)</f>
        <v>5.4559632477230525E-5</v>
      </c>
      <c r="N29" s="27">
        <f>SUMPRODUCT(N18:N28,$R$18:$R$28)</f>
        <v>2.8735796617510738E-2</v>
      </c>
      <c r="O29" s="27">
        <f>SUMPRODUCT(O18:O28,$R$18:$R$28)</f>
        <v>4.591139186482298E-2</v>
      </c>
      <c r="P29" s="209">
        <f>SUMPRODUCT(P18:P28,R18:R28)</f>
        <v>7.5971035154294413E-3</v>
      </c>
      <c r="Q29" s="27">
        <f>SUMPRODUCT(Q18:Q28,$R$18:$R$28)</f>
        <v>4.3795646755352267E-2</v>
      </c>
      <c r="R29" s="198"/>
    </row>
    <row r="30" spans="1:18" x14ac:dyDescent="0.35">
      <c r="A30" s="22" t="s">
        <v>336</v>
      </c>
      <c r="B30" s="17" t="s">
        <v>218</v>
      </c>
      <c r="C30" s="17" t="s">
        <v>337</v>
      </c>
      <c r="D30" s="23" t="s">
        <v>85</v>
      </c>
      <c r="E30" s="23" t="s">
        <v>86</v>
      </c>
      <c r="F30" s="120">
        <f>SUM(G30:Q30)</f>
        <v>0.16697655355390587</v>
      </c>
      <c r="G30" s="80">
        <v>6.4330297358443381E-2</v>
      </c>
      <c r="H30" s="14">
        <v>2.7E-2</v>
      </c>
      <c r="I30" s="303">
        <v>0</v>
      </c>
      <c r="J30" s="14"/>
      <c r="K30" s="80">
        <v>4.0808656195462478E-2</v>
      </c>
      <c r="L30" s="14"/>
      <c r="M30" s="14">
        <v>0</v>
      </c>
      <c r="N30" s="80">
        <v>3.4837600000000003E-2</v>
      </c>
      <c r="O30" s="14"/>
      <c r="P30" s="14"/>
      <c r="R30" s="197">
        <f>'Parameters, country spec'!D19</f>
        <v>0</v>
      </c>
    </row>
    <row r="31" spans="1:18" x14ac:dyDescent="0.35">
      <c r="A31" s="22" t="s">
        <v>338</v>
      </c>
      <c r="B31" s="17" t="s">
        <v>222</v>
      </c>
      <c r="C31" s="17" t="s">
        <v>337</v>
      </c>
      <c r="D31" s="23" t="s">
        <v>85</v>
      </c>
      <c r="E31" s="23" t="s">
        <v>86</v>
      </c>
      <c r="F31" s="120">
        <f t="shared" ref="F31:F40" si="4">SUM(G31:Q31)</f>
        <v>0.15238359782823441</v>
      </c>
      <c r="G31" s="80">
        <v>6.2649071876813428E-2</v>
      </c>
      <c r="H31" s="14">
        <v>2.7E-2</v>
      </c>
      <c r="I31" s="303">
        <v>0</v>
      </c>
      <c r="J31" s="14"/>
      <c r="K31" s="80">
        <v>2.7896925951420983E-2</v>
      </c>
      <c r="L31" s="14"/>
      <c r="M31" s="14">
        <v>0</v>
      </c>
      <c r="N31" s="80">
        <v>3.4837600000000003E-2</v>
      </c>
      <c r="O31" s="14"/>
      <c r="P31" s="14"/>
      <c r="R31" s="197">
        <f>'Parameters, country spec'!D20</f>
        <v>0.54552951323157861</v>
      </c>
    </row>
    <row r="32" spans="1:18" x14ac:dyDescent="0.35">
      <c r="A32" s="22" t="s">
        <v>339</v>
      </c>
      <c r="B32" s="17" t="s">
        <v>226</v>
      </c>
      <c r="C32" s="17" t="s">
        <v>337</v>
      </c>
      <c r="D32" s="23" t="s">
        <v>85</v>
      </c>
      <c r="E32" s="23" t="s">
        <v>86</v>
      </c>
      <c r="F32" s="120">
        <f t="shared" si="4"/>
        <v>0.1652253697578368</v>
      </c>
      <c r="G32" s="80">
        <v>5.6711069109087971E-2</v>
      </c>
      <c r="H32" s="14">
        <v>2.7E-2</v>
      </c>
      <c r="I32" s="303">
        <v>0</v>
      </c>
      <c r="J32" s="14"/>
      <c r="K32" s="80">
        <v>4.6676700648748841E-2</v>
      </c>
      <c r="L32" s="14"/>
      <c r="M32" s="14">
        <v>0</v>
      </c>
      <c r="N32" s="80">
        <v>3.4837600000000003E-2</v>
      </c>
      <c r="O32" s="14"/>
      <c r="P32" s="14"/>
      <c r="R32" s="197">
        <f>'Parameters, country spec'!D21</f>
        <v>0</v>
      </c>
    </row>
    <row r="33" spans="1:18" x14ac:dyDescent="0.35">
      <c r="A33" s="22" t="s">
        <v>340</v>
      </c>
      <c r="B33" s="17" t="s">
        <v>227</v>
      </c>
      <c r="C33" s="17" t="s">
        <v>337</v>
      </c>
      <c r="D33" s="23" t="s">
        <v>85</v>
      </c>
      <c r="E33" s="23" t="s">
        <v>86</v>
      </c>
      <c r="F33" s="120">
        <f t="shared" si="4"/>
        <v>0.14256180694350662</v>
      </c>
      <c r="G33" s="80">
        <v>4.99522666930306E-2</v>
      </c>
      <c r="H33" s="14">
        <v>2.7E-2</v>
      </c>
      <c r="I33" s="303">
        <v>0</v>
      </c>
      <c r="J33" s="14"/>
      <c r="K33" s="80">
        <v>3.0771940250476016E-2</v>
      </c>
      <c r="L33" s="14"/>
      <c r="M33" s="14">
        <v>0</v>
      </c>
      <c r="N33" s="80">
        <v>3.4837600000000003E-2</v>
      </c>
      <c r="O33" s="14"/>
      <c r="P33" s="14"/>
      <c r="R33" s="197">
        <f>'Parameters, country spec'!D22</f>
        <v>5.6518820446868744E-3</v>
      </c>
    </row>
    <row r="34" spans="1:18" x14ac:dyDescent="0.35">
      <c r="A34" s="22" t="s">
        <v>341</v>
      </c>
      <c r="B34" s="17" t="s">
        <v>228</v>
      </c>
      <c r="C34" s="17" t="s">
        <v>337</v>
      </c>
      <c r="D34" s="23" t="s">
        <v>85</v>
      </c>
      <c r="E34" s="23" t="s">
        <v>86</v>
      </c>
      <c r="F34" s="120">
        <f t="shared" si="4"/>
        <v>0.16472897058825095</v>
      </c>
      <c r="G34" s="80">
        <v>7.3741076533864705E-2</v>
      </c>
      <c r="H34" s="14">
        <v>2.7E-2</v>
      </c>
      <c r="I34" s="303">
        <v>0</v>
      </c>
      <c r="J34" s="14"/>
      <c r="K34" s="80">
        <v>2.9150294054386239E-2</v>
      </c>
      <c r="L34" s="14"/>
      <c r="M34" s="14">
        <v>0</v>
      </c>
      <c r="N34" s="80">
        <v>3.4837600000000003E-2</v>
      </c>
      <c r="O34" s="14"/>
      <c r="P34" s="14"/>
      <c r="R34" s="197">
        <f>'Parameters, country spec'!D23</f>
        <v>6.0251044055952427E-2</v>
      </c>
    </row>
    <row r="35" spans="1:18" x14ac:dyDescent="0.35">
      <c r="A35" s="22" t="s">
        <v>342</v>
      </c>
      <c r="B35" s="17" t="s">
        <v>229</v>
      </c>
      <c r="C35" s="17" t="s">
        <v>343</v>
      </c>
      <c r="D35" s="23" t="s">
        <v>85</v>
      </c>
      <c r="E35" s="23" t="s">
        <v>86</v>
      </c>
      <c r="F35" s="120">
        <f t="shared" si="4"/>
        <v>0.11885153790044359</v>
      </c>
      <c r="G35" s="80">
        <v>0</v>
      </c>
      <c r="H35" s="14">
        <v>2.7E-2</v>
      </c>
      <c r="I35" s="303">
        <v>0</v>
      </c>
      <c r="J35" s="14"/>
      <c r="K35" s="80">
        <v>5.7013937900443575E-2</v>
      </c>
      <c r="L35" s="16"/>
      <c r="M35" s="14">
        <v>0</v>
      </c>
      <c r="N35" s="80">
        <v>3.4837600000000003E-2</v>
      </c>
      <c r="O35" s="14"/>
      <c r="P35" s="14"/>
      <c r="R35" s="197">
        <f>'Parameters, country spec'!D24</f>
        <v>0</v>
      </c>
    </row>
    <row r="36" spans="1:18" x14ac:dyDescent="0.35">
      <c r="A36" s="22" t="s">
        <v>344</v>
      </c>
      <c r="B36" s="17" t="s">
        <v>230</v>
      </c>
      <c r="C36" s="17" t="s">
        <v>343</v>
      </c>
      <c r="D36" s="23" t="s">
        <v>85</v>
      </c>
      <c r="E36" s="23" t="s">
        <v>86</v>
      </c>
      <c r="F36" s="120">
        <f t="shared" si="4"/>
        <v>0.15030675448840647</v>
      </c>
      <c r="G36" s="80">
        <v>3.1688167106286749E-3</v>
      </c>
      <c r="H36" s="14">
        <v>2.7E-2</v>
      </c>
      <c r="I36" s="303">
        <v>0</v>
      </c>
      <c r="J36" s="14"/>
      <c r="K36" s="80">
        <v>8.530033777777779E-2</v>
      </c>
      <c r="L36" s="14"/>
      <c r="M36" s="14">
        <v>0</v>
      </c>
      <c r="N36" s="80">
        <v>3.4837600000000003E-2</v>
      </c>
      <c r="O36" s="14"/>
      <c r="P36" s="14"/>
      <c r="R36" s="197">
        <f>'Parameters, country spec'!D25</f>
        <v>0</v>
      </c>
    </row>
    <row r="37" spans="1:18" x14ac:dyDescent="0.35">
      <c r="B37" s="18" t="s">
        <v>231</v>
      </c>
      <c r="C37" s="17" t="s">
        <v>345</v>
      </c>
      <c r="D37" s="23" t="str">
        <f>'Off-farm feed'!$D$74</f>
        <v>France, Germany, Poland</v>
      </c>
      <c r="E37" s="23"/>
      <c r="F37" s="120">
        <f>SUM(G37:Q37)</f>
        <v>0.27085685084992916</v>
      </c>
      <c r="G37" s="220">
        <f>'Off-farm feed'!$F$74</f>
        <v>0.11176753125767681</v>
      </c>
      <c r="H37" s="220">
        <f>'Off-farm feed'!$G$74</f>
        <v>1.3034482758620692E-2</v>
      </c>
      <c r="I37" s="220">
        <f>'Off-farm feed'!$H$74</f>
        <v>0</v>
      </c>
      <c r="J37" s="220">
        <f>'Off-farm feed'!$I$74</f>
        <v>0</v>
      </c>
      <c r="K37" s="220">
        <f>'Off-farm feed'!$J$74</f>
        <v>2.4688740026345454E-2</v>
      </c>
      <c r="L37" s="220">
        <f>'Off-farm feed'!$K$74</f>
        <v>0</v>
      </c>
      <c r="M37" s="220">
        <f>'Off-farm feed'!$L$74</f>
        <v>1.931759303794134E-4</v>
      </c>
      <c r="N37" s="220">
        <f>'Off-farm feed'!$M$74</f>
        <v>3.6802128767029069E-2</v>
      </c>
      <c r="O37" s="220">
        <f>'Off-farm feed'!$N$74</f>
        <v>0</v>
      </c>
      <c r="P37" s="220">
        <f>'Off-farm feed'!$O$74</f>
        <v>2.1170792109877701E-2</v>
      </c>
      <c r="Q37" s="220">
        <f>'Off-farm feed'!$P$74</f>
        <v>6.3200000000000006E-2</v>
      </c>
      <c r="R37" s="197">
        <f>'Parameters, country spec'!D26</f>
        <v>1.9282223002705559E-3</v>
      </c>
    </row>
    <row r="38" spans="1:18" x14ac:dyDescent="0.35">
      <c r="B38" s="18" t="s">
        <v>346</v>
      </c>
      <c r="C38" s="17" t="s">
        <v>345</v>
      </c>
      <c r="D38" s="23" t="str">
        <f>'Off-farm feed'!$D$23</f>
        <v>Brazil, Argentina</v>
      </c>
      <c r="E38" s="23"/>
      <c r="F38" s="120">
        <f>SUM(G38:Q38)</f>
        <v>0.7061171705997602</v>
      </c>
      <c r="G38" s="220">
        <f>'Off-farm feed'!$F$23</f>
        <v>7.2632670993098931E-3</v>
      </c>
      <c r="H38" s="220">
        <f>'Off-farm feed'!$G$23</f>
        <v>2.1402439024390246E-2</v>
      </c>
      <c r="I38" s="220">
        <f>'Off-farm feed'!$H$23</f>
        <v>0</v>
      </c>
      <c r="J38" s="220">
        <f>'Off-farm feed'!$I$23</f>
        <v>0</v>
      </c>
      <c r="K38" s="220">
        <f>'Off-farm feed'!$J$23</f>
        <v>4.308361966433235E-2</v>
      </c>
      <c r="L38" s="220">
        <f>'Off-farm feed'!$K$23</f>
        <v>0</v>
      </c>
      <c r="M38" s="220">
        <f>'Off-farm feed'!$L$23</f>
        <v>1.7842060425123844E-4</v>
      </c>
      <c r="N38" s="220">
        <f>'Off-farm feed'!$M$23</f>
        <v>3.0432604948959403E-2</v>
      </c>
      <c r="O38" s="220">
        <f>'Off-farm feed'!$N$23</f>
        <v>0.31761120248475611</v>
      </c>
      <c r="P38" s="220">
        <f>'Off-farm feed'!$O$23</f>
        <v>3.5145616773760872E-2</v>
      </c>
      <c r="Q38" s="220">
        <f>'Off-farm feed'!$P$23</f>
        <v>0.251</v>
      </c>
      <c r="R38" s="197">
        <f>'Parameters, country spec'!D27</f>
        <v>4.8958214837280058E-2</v>
      </c>
    </row>
    <row r="39" spans="1:18" x14ac:dyDescent="0.35">
      <c r="B39" s="17" t="s">
        <v>233</v>
      </c>
      <c r="C39" s="17" t="s">
        <v>347</v>
      </c>
      <c r="D39" s="23" t="s">
        <v>85</v>
      </c>
      <c r="E39" s="23" t="s">
        <v>86</v>
      </c>
      <c r="F39" s="120"/>
      <c r="G39" s="108"/>
      <c r="H39" s="8"/>
      <c r="I39" s="107"/>
      <c r="J39" s="8"/>
      <c r="K39" s="108"/>
      <c r="L39" s="8"/>
      <c r="M39" s="8"/>
      <c r="N39" s="108"/>
      <c r="O39" s="8"/>
      <c r="P39" s="8"/>
      <c r="Q39" s="8"/>
      <c r="R39" s="197">
        <f>'Parameters, country spec'!D28</f>
        <v>0.12305696748386015</v>
      </c>
    </row>
    <row r="40" spans="1:18" x14ac:dyDescent="0.35">
      <c r="A40" s="83"/>
      <c r="B40" s="17" t="s">
        <v>348</v>
      </c>
      <c r="C40" s="84" t="s">
        <v>349</v>
      </c>
      <c r="D40" s="23" t="s">
        <v>85</v>
      </c>
      <c r="E40" s="23" t="s">
        <v>86</v>
      </c>
      <c r="F40" s="120">
        <f t="shared" si="4"/>
        <v>0.14998677790465326</v>
      </c>
      <c r="G40" s="81">
        <f t="shared" ref="G40:N40" si="5">AVERAGE(G30:G38)</f>
        <v>4.7731488515428383E-2</v>
      </c>
      <c r="H40" s="81">
        <f t="shared" si="5"/>
        <v>2.4826324642556769E-2</v>
      </c>
      <c r="I40" s="81">
        <f t="shared" si="5"/>
        <v>0</v>
      </c>
      <c r="J40" s="81"/>
      <c r="K40" s="81">
        <f t="shared" si="5"/>
        <v>4.2821239163265974E-2</v>
      </c>
      <c r="L40" s="81"/>
      <c r="M40" s="81">
        <f t="shared" si="5"/>
        <v>4.1288503847850203E-5</v>
      </c>
      <c r="N40" s="81">
        <f t="shared" si="5"/>
        <v>3.4566437079554278E-2</v>
      </c>
      <c r="O40" s="81"/>
      <c r="P40" s="81"/>
      <c r="Q40" s="81"/>
      <c r="R40" s="197">
        <f>'Parameters, country spec'!D29</f>
        <v>0.21462415604637128</v>
      </c>
    </row>
    <row r="41" spans="1:18" x14ac:dyDescent="0.35">
      <c r="A41" s="195"/>
      <c r="B41" s="25" t="s">
        <v>350</v>
      </c>
      <c r="C41" s="26"/>
      <c r="D41" s="103"/>
      <c r="E41" s="103"/>
      <c r="F41" s="27">
        <f>SUMPRODUCT(F30:F40,$R$30:$R$40)</f>
        <v>0.16114387891324589</v>
      </c>
      <c r="G41" s="27">
        <f>SUMPRODUCT(G30:G40,$R$30:$R$40)</f>
        <v>4.9717658532303886E-2</v>
      </c>
      <c r="H41" s="27">
        <f>SUMPRODUCT(H30:H40,$R$30:$R$40)</f>
        <v>2.2909963424237411E-2</v>
      </c>
      <c r="I41" s="27">
        <f>SUMPRODUCT(I30:I40,$R$30:$R$40)</f>
        <v>0</v>
      </c>
      <c r="J41" s="27"/>
      <c r="K41" s="27">
        <f>SUMPRODUCT(K30:K40,$R$30:$R$40)</f>
        <v>2.8496226265686927E-2</v>
      </c>
      <c r="L41" s="27"/>
      <c r="M41" s="27">
        <f>SUMPRODUCT(M30:M40,$R$30:$R$40)</f>
        <v>1.7969150703924756E-5</v>
      </c>
      <c r="N41" s="27">
        <f>SUMPRODUCT(N30:N40,$R$30:$R$40)</f>
        <v>3.0280519830744645E-2</v>
      </c>
      <c r="O41" s="27">
        <f>SUMPRODUCT(O30:O40,$R$30:$R$40)</f>
        <v>1.5549677485975548E-2</v>
      </c>
      <c r="P41" s="209">
        <f>SUMPRODUCT(P30:P40,R30:R40)</f>
        <v>1.7614886500591565E-3</v>
      </c>
      <c r="Q41" s="27">
        <f>SUMPRODUCT(Q30:Q40,$R$30:$R$40)</f>
        <v>1.2410375573534393E-2</v>
      </c>
      <c r="R41" s="198"/>
    </row>
    <row r="42" spans="1:18" x14ac:dyDescent="0.35">
      <c r="A42" s="22" t="s">
        <v>336</v>
      </c>
      <c r="B42" s="17" t="s">
        <v>218</v>
      </c>
      <c r="C42" s="17" t="s">
        <v>337</v>
      </c>
      <c r="D42" s="23" t="s">
        <v>87</v>
      </c>
      <c r="E42" s="23" t="s">
        <v>88</v>
      </c>
      <c r="F42" s="120">
        <f>SUM(G42:Q42)</f>
        <v>0.16697655355390587</v>
      </c>
      <c r="G42" s="80">
        <v>6.4330297358443381E-2</v>
      </c>
      <c r="H42" s="14">
        <v>2.7E-2</v>
      </c>
      <c r="I42" s="303">
        <v>0</v>
      </c>
      <c r="J42" s="14"/>
      <c r="K42" s="80">
        <v>4.0808656195462478E-2</v>
      </c>
      <c r="L42" s="14"/>
      <c r="M42" s="14">
        <v>0</v>
      </c>
      <c r="N42" s="80">
        <v>3.4837600000000003E-2</v>
      </c>
      <c r="O42" s="14"/>
      <c r="P42" s="14"/>
      <c r="R42" s="197">
        <f>'Parameters, country spec'!E19</f>
        <v>0.11695100775134643</v>
      </c>
    </row>
    <row r="43" spans="1:18" x14ac:dyDescent="0.35">
      <c r="A43" s="22" t="s">
        <v>338</v>
      </c>
      <c r="B43" s="17" t="s">
        <v>222</v>
      </c>
      <c r="C43" s="17" t="s">
        <v>337</v>
      </c>
      <c r="D43" s="23" t="s">
        <v>87</v>
      </c>
      <c r="E43" s="23" t="s">
        <v>88</v>
      </c>
      <c r="F43" s="120">
        <f t="shared" ref="F43:F52" si="6">SUM(G43:Q43)</f>
        <v>0.15238359782823441</v>
      </c>
      <c r="G43" s="80">
        <v>6.2649071876813428E-2</v>
      </c>
      <c r="H43" s="14">
        <v>2.7E-2</v>
      </c>
      <c r="I43" s="303">
        <v>0</v>
      </c>
      <c r="J43" s="14"/>
      <c r="K43" s="80">
        <v>2.7896925951420983E-2</v>
      </c>
      <c r="L43" s="14"/>
      <c r="M43" s="14">
        <v>0</v>
      </c>
      <c r="N43" s="80">
        <v>3.4837600000000003E-2</v>
      </c>
      <c r="O43" s="14"/>
      <c r="P43" s="14"/>
      <c r="R43" s="197">
        <f>'Parameters, country spec'!E20</f>
        <v>0.4445206845179473</v>
      </c>
    </row>
    <row r="44" spans="1:18" x14ac:dyDescent="0.35">
      <c r="A44" s="22" t="s">
        <v>339</v>
      </c>
      <c r="B44" s="17" t="s">
        <v>226</v>
      </c>
      <c r="C44" s="17" t="s">
        <v>337</v>
      </c>
      <c r="D44" s="23" t="s">
        <v>87</v>
      </c>
      <c r="E44" s="23" t="s">
        <v>88</v>
      </c>
      <c r="F44" s="120">
        <f t="shared" si="6"/>
        <v>0.1652253697578368</v>
      </c>
      <c r="G44" s="80">
        <v>5.6711069109087971E-2</v>
      </c>
      <c r="H44" s="14">
        <v>2.7E-2</v>
      </c>
      <c r="I44" s="303">
        <v>0</v>
      </c>
      <c r="J44" s="14"/>
      <c r="K44" s="80">
        <v>4.6676700648748841E-2</v>
      </c>
      <c r="L44" s="14"/>
      <c r="M44" s="14">
        <v>0</v>
      </c>
      <c r="N44" s="80">
        <v>3.4837600000000003E-2</v>
      </c>
      <c r="O44" s="14"/>
      <c r="P44" s="14"/>
      <c r="R44" s="197">
        <f>'Parameters, country spec'!E21</f>
        <v>6.0948374004472276E-2</v>
      </c>
    </row>
    <row r="45" spans="1:18" x14ac:dyDescent="0.35">
      <c r="A45" s="22" t="s">
        <v>340</v>
      </c>
      <c r="B45" s="17" t="s">
        <v>227</v>
      </c>
      <c r="C45" s="17" t="s">
        <v>337</v>
      </c>
      <c r="D45" s="23" t="s">
        <v>87</v>
      </c>
      <c r="E45" s="23" t="s">
        <v>88</v>
      </c>
      <c r="F45" s="120">
        <f t="shared" si="6"/>
        <v>0.14256180694350662</v>
      </c>
      <c r="G45" s="80">
        <v>4.99522666930306E-2</v>
      </c>
      <c r="H45" s="14">
        <v>2.7E-2</v>
      </c>
      <c r="I45" s="303">
        <v>0</v>
      </c>
      <c r="J45" s="14"/>
      <c r="K45" s="80">
        <v>3.0771940250476016E-2</v>
      </c>
      <c r="L45" s="14"/>
      <c r="M45" s="14">
        <v>0</v>
      </c>
      <c r="N45" s="80">
        <v>3.4837600000000003E-2</v>
      </c>
      <c r="O45" s="14"/>
      <c r="P45" s="14"/>
      <c r="R45" s="197">
        <f>'Parameters, country spec'!E22</f>
        <v>6.0703727508641431E-4</v>
      </c>
    </row>
    <row r="46" spans="1:18" x14ac:dyDescent="0.35">
      <c r="A46" s="22" t="s">
        <v>341</v>
      </c>
      <c r="B46" s="17" t="s">
        <v>228</v>
      </c>
      <c r="C46" s="17" t="s">
        <v>337</v>
      </c>
      <c r="D46" s="23" t="s">
        <v>87</v>
      </c>
      <c r="E46" s="23" t="s">
        <v>88</v>
      </c>
      <c r="F46" s="120">
        <f t="shared" si="6"/>
        <v>0.16472897058825095</v>
      </c>
      <c r="G46" s="80">
        <v>7.3741076533864705E-2</v>
      </c>
      <c r="H46" s="14">
        <v>2.7E-2</v>
      </c>
      <c r="I46" s="303">
        <v>0</v>
      </c>
      <c r="J46" s="14"/>
      <c r="K46" s="80">
        <v>2.9150294054386239E-2</v>
      </c>
      <c r="L46" s="14"/>
      <c r="M46" s="14">
        <v>0</v>
      </c>
      <c r="N46" s="80">
        <v>3.4837600000000003E-2</v>
      </c>
      <c r="O46" s="14"/>
      <c r="P46" s="14"/>
      <c r="R46" s="197">
        <f>'Parameters, country spec'!E23</f>
        <v>1.4335515592498327E-2</v>
      </c>
    </row>
    <row r="47" spans="1:18" x14ac:dyDescent="0.35">
      <c r="A47" s="22" t="s">
        <v>342</v>
      </c>
      <c r="B47" s="17" t="s">
        <v>229</v>
      </c>
      <c r="C47" s="17" t="s">
        <v>343</v>
      </c>
      <c r="D47" s="23" t="s">
        <v>87</v>
      </c>
      <c r="E47" s="23" t="s">
        <v>88</v>
      </c>
      <c r="F47" s="120">
        <f t="shared" si="6"/>
        <v>0.11885153790044359</v>
      </c>
      <c r="G47" s="80">
        <v>0</v>
      </c>
      <c r="H47" s="14">
        <v>2.7E-2</v>
      </c>
      <c r="I47" s="303">
        <v>0</v>
      </c>
      <c r="J47" s="14"/>
      <c r="K47" s="80">
        <v>5.7013937900443575E-2</v>
      </c>
      <c r="L47" s="16"/>
      <c r="M47" s="14">
        <v>0</v>
      </c>
      <c r="N47" s="80">
        <v>3.4837600000000003E-2</v>
      </c>
      <c r="O47" s="14"/>
      <c r="P47" s="14"/>
      <c r="R47" s="197">
        <f>'Parameters, country spec'!E24</f>
        <v>2.4245622511489488E-3</v>
      </c>
    </row>
    <row r="48" spans="1:18" x14ac:dyDescent="0.35">
      <c r="A48" s="22" t="s">
        <v>344</v>
      </c>
      <c r="B48" s="17" t="s">
        <v>230</v>
      </c>
      <c r="C48" s="17" t="s">
        <v>343</v>
      </c>
      <c r="D48" s="23" t="s">
        <v>87</v>
      </c>
      <c r="E48" s="23" t="s">
        <v>88</v>
      </c>
      <c r="F48" s="120">
        <f t="shared" si="6"/>
        <v>0.15030675448840647</v>
      </c>
      <c r="G48" s="80">
        <v>3.1688167106286749E-3</v>
      </c>
      <c r="H48" s="14">
        <v>2.7E-2</v>
      </c>
      <c r="I48" s="303">
        <v>0</v>
      </c>
      <c r="J48" s="14"/>
      <c r="K48" s="80">
        <v>8.530033777777779E-2</v>
      </c>
      <c r="L48" s="14"/>
      <c r="M48" s="14">
        <v>0</v>
      </c>
      <c r="N48" s="80">
        <v>3.4837600000000003E-2</v>
      </c>
      <c r="O48" s="14"/>
      <c r="P48" s="14"/>
      <c r="R48" s="197">
        <f>'Parameters, country spec'!E25</f>
        <v>2.3817191194450719E-3</v>
      </c>
    </row>
    <row r="49" spans="1:18" x14ac:dyDescent="0.35">
      <c r="B49" s="18" t="s">
        <v>231</v>
      </c>
      <c r="C49" s="17" t="s">
        <v>345</v>
      </c>
      <c r="D49" s="23" t="str">
        <f>'Off-farm feed'!$D$74</f>
        <v>France, Germany, Poland</v>
      </c>
      <c r="E49" s="23"/>
      <c r="F49" s="120">
        <f>SUM(G49:Q49)</f>
        <v>0.27085685084992916</v>
      </c>
      <c r="G49" s="220">
        <f>'Off-farm feed'!$F$74</f>
        <v>0.11176753125767681</v>
      </c>
      <c r="H49" s="220">
        <f>'Off-farm feed'!$G$74</f>
        <v>1.3034482758620692E-2</v>
      </c>
      <c r="I49" s="220">
        <f>'Off-farm feed'!$H$74</f>
        <v>0</v>
      </c>
      <c r="J49" s="220">
        <f>'Off-farm feed'!$I$74</f>
        <v>0</v>
      </c>
      <c r="K49" s="220">
        <f>'Off-farm feed'!$J$74</f>
        <v>2.4688740026345454E-2</v>
      </c>
      <c r="L49" s="220">
        <f>'Off-farm feed'!$K$74</f>
        <v>0</v>
      </c>
      <c r="M49" s="220">
        <f>'Off-farm feed'!$L$74</f>
        <v>1.931759303794134E-4</v>
      </c>
      <c r="N49" s="220">
        <f>'Off-farm feed'!$M$74</f>
        <v>3.6802128767029069E-2</v>
      </c>
      <c r="O49" s="220">
        <f>'Off-farm feed'!$N$74</f>
        <v>0</v>
      </c>
      <c r="P49" s="220">
        <f>'Off-farm feed'!$O$74</f>
        <v>2.1170792109877701E-2</v>
      </c>
      <c r="Q49" s="220">
        <f>'Off-farm feed'!$P$74</f>
        <v>6.3200000000000006E-2</v>
      </c>
      <c r="R49" s="197">
        <f>'Parameters, country spec'!E26</f>
        <v>1.1388487134632584E-2</v>
      </c>
    </row>
    <row r="50" spans="1:18" x14ac:dyDescent="0.35">
      <c r="B50" s="18" t="s">
        <v>346</v>
      </c>
      <c r="C50" s="17" t="s">
        <v>345</v>
      </c>
      <c r="D50" s="23" t="str">
        <f>'Off-farm feed'!$D$23</f>
        <v>Brazil, Argentina</v>
      </c>
      <c r="E50" s="23"/>
      <c r="F50" s="120">
        <f>SUM(G50:Q50)</f>
        <v>0.7061171705997602</v>
      </c>
      <c r="G50" s="220">
        <f>'Off-farm feed'!$F$23</f>
        <v>7.2632670993098931E-3</v>
      </c>
      <c r="H50" s="220">
        <f>'Off-farm feed'!$G$23</f>
        <v>2.1402439024390246E-2</v>
      </c>
      <c r="I50" s="220">
        <f>'Off-farm feed'!$H$23</f>
        <v>0</v>
      </c>
      <c r="J50" s="220">
        <f>'Off-farm feed'!$I$23</f>
        <v>0</v>
      </c>
      <c r="K50" s="220">
        <f>'Off-farm feed'!$J$23</f>
        <v>4.308361966433235E-2</v>
      </c>
      <c r="L50" s="220">
        <f>'Off-farm feed'!$K$23</f>
        <v>0</v>
      </c>
      <c r="M50" s="220">
        <f>'Off-farm feed'!$L$23</f>
        <v>1.7842060425123844E-4</v>
      </c>
      <c r="N50" s="220">
        <f>'Off-farm feed'!$M$23</f>
        <v>3.0432604948959403E-2</v>
      </c>
      <c r="O50" s="220">
        <f>'Off-farm feed'!$N$23</f>
        <v>0.31761120248475611</v>
      </c>
      <c r="P50" s="220">
        <f>'Off-farm feed'!$O$23</f>
        <v>3.5145616773760872E-2</v>
      </c>
      <c r="Q50" s="220">
        <f>'Off-farm feed'!$P$23</f>
        <v>0.251</v>
      </c>
      <c r="R50" s="197">
        <f>'Parameters, country spec'!E27</f>
        <v>0.1766138896591114</v>
      </c>
    </row>
    <row r="51" spans="1:18" x14ac:dyDescent="0.35">
      <c r="B51" s="17" t="s">
        <v>233</v>
      </c>
      <c r="C51" s="17" t="s">
        <v>347</v>
      </c>
      <c r="D51" s="23" t="s">
        <v>87</v>
      </c>
      <c r="E51" s="23" t="s">
        <v>88</v>
      </c>
      <c r="F51" s="120"/>
      <c r="G51" s="108"/>
      <c r="H51" s="8"/>
      <c r="I51" s="107"/>
      <c r="J51" s="8"/>
      <c r="K51" s="108"/>
      <c r="L51" s="8"/>
      <c r="M51" s="8"/>
      <c r="N51" s="108"/>
      <c r="O51" s="8"/>
      <c r="P51" s="8"/>
      <c r="Q51" s="8"/>
      <c r="R51" s="197">
        <f>'Parameters, country spec'!E28</f>
        <v>9.4320640710051112E-2</v>
      </c>
    </row>
    <row r="52" spans="1:18" x14ac:dyDescent="0.35">
      <c r="A52" s="83"/>
      <c r="B52" s="17" t="s">
        <v>348</v>
      </c>
      <c r="C52" s="84" t="s">
        <v>349</v>
      </c>
      <c r="D52" s="23" t="s">
        <v>87</v>
      </c>
      <c r="E52" s="23" t="s">
        <v>88</v>
      </c>
      <c r="F52" s="120">
        <f t="shared" si="6"/>
        <v>0.14998677790465326</v>
      </c>
      <c r="G52" s="81">
        <f t="shared" ref="G52:N52" si="7">AVERAGE(G42:G50)</f>
        <v>4.7731488515428383E-2</v>
      </c>
      <c r="H52" s="81">
        <f t="shared" si="7"/>
        <v>2.4826324642556769E-2</v>
      </c>
      <c r="I52" s="81">
        <f t="shared" si="7"/>
        <v>0</v>
      </c>
      <c r="J52" s="81"/>
      <c r="K52" s="81">
        <f t="shared" si="7"/>
        <v>4.2821239163265974E-2</v>
      </c>
      <c r="L52" s="81"/>
      <c r="M52" s="81">
        <f t="shared" si="7"/>
        <v>4.1288503847850203E-5</v>
      </c>
      <c r="N52" s="81">
        <f t="shared" si="7"/>
        <v>3.4566437079554278E-2</v>
      </c>
      <c r="O52" s="81"/>
      <c r="P52" s="81"/>
      <c r="Q52" s="81"/>
      <c r="R52" s="197">
        <f>'Parameters, country spec'!E29</f>
        <v>7.550808198426022E-2</v>
      </c>
    </row>
    <row r="53" spans="1:18" x14ac:dyDescent="0.35">
      <c r="A53" s="195"/>
      <c r="B53" s="25" t="s">
        <v>350</v>
      </c>
      <c r="C53" s="26"/>
      <c r="D53" s="103"/>
      <c r="E53" s="103"/>
      <c r="F53" s="27">
        <f>SUMPRODUCT(F42:F52,$R$42:$R$52)</f>
        <v>0.23955008527489288</v>
      </c>
      <c r="G53" s="27">
        <f>SUMPRODUCT(G42:G52,$R$42:$R$52)</f>
        <v>4.6083505435918978E-2</v>
      </c>
      <c r="H53" s="27">
        <f>SUMPRODUCT(H42:H52,$R$42:$R$52)</f>
        <v>2.3141559513793201E-2</v>
      </c>
      <c r="I53" s="27">
        <f>SUMPRODUCT(I42:I52,$R$42:$R$52)</f>
        <v>0</v>
      </c>
      <c r="J53" s="27"/>
      <c r="K53" s="27">
        <f>SUMPRODUCT(K42:K52,$R$42:$R$52)</f>
        <v>3.1919885277128343E-2</v>
      </c>
      <c r="L53" s="27"/>
      <c r="M53" s="27">
        <f>SUMPRODUCT(M42:M52,$R$42:$R$52)</f>
        <v>3.6829154243537751E-5</v>
      </c>
      <c r="N53" s="27">
        <f>SUMPRODUCT(N42:N52,$R$42:$R$52)</f>
        <v>3.077560995586693E-2</v>
      </c>
      <c r="O53" s="27">
        <f>SUMPRODUCT(O42:O52,$R$42:$R$52)</f>
        <v>5.6094549870140405E-2</v>
      </c>
      <c r="P53" s="209">
        <f>SUMPRODUCT(P42:P52,R42:R52)</f>
        <v>6.4483073764557402E-3</v>
      </c>
      <c r="Q53" s="27">
        <f>SUMPRODUCT(Q42:Q52,$R$42:$R$52)</f>
        <v>4.5049838691345739E-2</v>
      </c>
      <c r="R53" s="198"/>
    </row>
    <row r="54" spans="1:18" x14ac:dyDescent="0.35">
      <c r="A54" s="22" t="s">
        <v>336</v>
      </c>
      <c r="B54" s="17" t="s">
        <v>218</v>
      </c>
      <c r="C54" s="17" t="s">
        <v>337</v>
      </c>
      <c r="D54" s="23" t="s">
        <v>89</v>
      </c>
      <c r="E54" s="23" t="s">
        <v>90</v>
      </c>
      <c r="F54" s="120">
        <f>SUM(G54:Q54)</f>
        <v>0.16697655355390587</v>
      </c>
      <c r="G54" s="80">
        <v>6.4330297358443381E-2</v>
      </c>
      <c r="H54" s="14">
        <v>2.7E-2</v>
      </c>
      <c r="I54" s="303">
        <v>0</v>
      </c>
      <c r="J54" s="14"/>
      <c r="K54" s="80">
        <v>4.0808656195462478E-2</v>
      </c>
      <c r="L54" s="14"/>
      <c r="M54" s="14">
        <v>0</v>
      </c>
      <c r="N54" s="80">
        <v>3.4837600000000003E-2</v>
      </c>
      <c r="O54" s="14"/>
      <c r="P54" s="14"/>
      <c r="R54" s="197">
        <f>'Parameters, country spec'!F19</f>
        <v>0.35769369893493091</v>
      </c>
    </row>
    <row r="55" spans="1:18" x14ac:dyDescent="0.35">
      <c r="A55" s="22" t="s">
        <v>338</v>
      </c>
      <c r="B55" s="17" t="s">
        <v>222</v>
      </c>
      <c r="C55" s="17" t="s">
        <v>337</v>
      </c>
      <c r="D55" s="23" t="s">
        <v>89</v>
      </c>
      <c r="E55" s="23" t="s">
        <v>90</v>
      </c>
      <c r="F55" s="120">
        <f t="shared" ref="F55:F64" si="8">SUM(G55:Q55)</f>
        <v>0.15238359782823441</v>
      </c>
      <c r="G55" s="80">
        <v>6.2649071876813428E-2</v>
      </c>
      <c r="H55" s="14">
        <v>2.7E-2</v>
      </c>
      <c r="I55" s="303">
        <v>0</v>
      </c>
      <c r="J55" s="14"/>
      <c r="K55" s="80">
        <v>2.7896925951420983E-2</v>
      </c>
      <c r="L55" s="14"/>
      <c r="M55" s="14">
        <v>0</v>
      </c>
      <c r="N55" s="80">
        <v>3.4837600000000003E-2</v>
      </c>
      <c r="O55" s="14"/>
      <c r="P55" s="14"/>
      <c r="R55" s="197">
        <f>'Parameters, country spec'!F20</f>
        <v>0.19740565028979015</v>
      </c>
    </row>
    <row r="56" spans="1:18" x14ac:dyDescent="0.35">
      <c r="A56" s="22" t="s">
        <v>339</v>
      </c>
      <c r="B56" s="17" t="s">
        <v>226</v>
      </c>
      <c r="C56" s="17" t="s">
        <v>337</v>
      </c>
      <c r="D56" s="23" t="s">
        <v>89</v>
      </c>
      <c r="E56" s="23" t="s">
        <v>90</v>
      </c>
      <c r="F56" s="120">
        <f t="shared" si="8"/>
        <v>0.1652253697578368</v>
      </c>
      <c r="G56" s="80">
        <v>5.6711069109087971E-2</v>
      </c>
      <c r="H56" s="14">
        <v>2.7E-2</v>
      </c>
      <c r="I56" s="303">
        <v>0</v>
      </c>
      <c r="J56" s="14"/>
      <c r="K56" s="80">
        <v>4.6676700648748841E-2</v>
      </c>
      <c r="L56" s="14"/>
      <c r="M56" s="14">
        <v>0</v>
      </c>
      <c r="N56" s="80">
        <v>3.4837600000000003E-2</v>
      </c>
      <c r="O56" s="14"/>
      <c r="P56" s="14"/>
      <c r="R56" s="197">
        <f>'Parameters, country spec'!F21</f>
        <v>1.3836768791199148E-3</v>
      </c>
    </row>
    <row r="57" spans="1:18" x14ac:dyDescent="0.35">
      <c r="A57" s="22" t="s">
        <v>340</v>
      </c>
      <c r="B57" s="17" t="s">
        <v>227</v>
      </c>
      <c r="C57" s="17" t="s">
        <v>337</v>
      </c>
      <c r="D57" s="23" t="s">
        <v>89</v>
      </c>
      <c r="E57" s="23" t="s">
        <v>90</v>
      </c>
      <c r="F57" s="120">
        <f t="shared" si="8"/>
        <v>0.14256180694350662</v>
      </c>
      <c r="G57" s="80">
        <v>4.99522666930306E-2</v>
      </c>
      <c r="H57" s="14">
        <v>2.7E-2</v>
      </c>
      <c r="I57" s="303">
        <v>0</v>
      </c>
      <c r="J57" s="14"/>
      <c r="K57" s="80">
        <v>3.0771940250476016E-2</v>
      </c>
      <c r="L57" s="14"/>
      <c r="M57" s="14">
        <v>0</v>
      </c>
      <c r="N57" s="80">
        <v>3.4837600000000003E-2</v>
      </c>
      <c r="O57" s="14"/>
      <c r="P57" s="14"/>
      <c r="R57" s="197">
        <f>'Parameters, country spec'!F22</f>
        <v>0</v>
      </c>
    </row>
    <row r="58" spans="1:18" x14ac:dyDescent="0.35">
      <c r="A58" s="22" t="s">
        <v>341</v>
      </c>
      <c r="B58" s="17" t="s">
        <v>228</v>
      </c>
      <c r="C58" s="17" t="s">
        <v>337</v>
      </c>
      <c r="D58" s="23" t="s">
        <v>89</v>
      </c>
      <c r="E58" s="23" t="s">
        <v>90</v>
      </c>
      <c r="F58" s="120">
        <f t="shared" si="8"/>
        <v>0.16472897058825095</v>
      </c>
      <c r="G58" s="80">
        <v>7.3741076533864705E-2</v>
      </c>
      <c r="H58" s="14">
        <v>2.7E-2</v>
      </c>
      <c r="I58" s="303">
        <v>0</v>
      </c>
      <c r="J58" s="14"/>
      <c r="K58" s="80">
        <v>2.9150294054386239E-2</v>
      </c>
      <c r="L58" s="14"/>
      <c r="M58" s="14">
        <v>0</v>
      </c>
      <c r="N58" s="80">
        <v>3.4837600000000003E-2</v>
      </c>
      <c r="O58" s="14"/>
      <c r="P58" s="14"/>
      <c r="R58" s="197">
        <f>'Parameters, country spec'!F23</f>
        <v>0.1474878287151572</v>
      </c>
    </row>
    <row r="59" spans="1:18" x14ac:dyDescent="0.35">
      <c r="A59" s="22" t="s">
        <v>342</v>
      </c>
      <c r="B59" s="17" t="s">
        <v>229</v>
      </c>
      <c r="C59" s="17" t="s">
        <v>343</v>
      </c>
      <c r="D59" s="23" t="s">
        <v>89</v>
      </c>
      <c r="E59" s="23" t="s">
        <v>90</v>
      </c>
      <c r="F59" s="120">
        <f t="shared" si="8"/>
        <v>0.11885153790044359</v>
      </c>
      <c r="G59" s="80">
        <v>0</v>
      </c>
      <c r="H59" s="14">
        <v>2.7E-2</v>
      </c>
      <c r="I59" s="303">
        <v>0</v>
      </c>
      <c r="J59" s="14"/>
      <c r="K59" s="80">
        <v>5.7013937900443575E-2</v>
      </c>
      <c r="L59" s="16"/>
      <c r="M59" s="14">
        <v>0</v>
      </c>
      <c r="N59" s="80">
        <v>3.4837600000000003E-2</v>
      </c>
      <c r="O59" s="14"/>
      <c r="P59" s="14"/>
      <c r="R59" s="197">
        <f>'Parameters, country spec'!F24</f>
        <v>6.7657806685813464E-4</v>
      </c>
    </row>
    <row r="60" spans="1:18" x14ac:dyDescent="0.35">
      <c r="A60" s="22" t="s">
        <v>344</v>
      </c>
      <c r="B60" s="17" t="s">
        <v>230</v>
      </c>
      <c r="C60" s="17" t="s">
        <v>343</v>
      </c>
      <c r="D60" s="23" t="s">
        <v>89</v>
      </c>
      <c r="E60" s="23" t="s">
        <v>90</v>
      </c>
      <c r="F60" s="120">
        <f t="shared" si="8"/>
        <v>0.15030675448840647</v>
      </c>
      <c r="G60" s="80">
        <v>3.1688167106286749E-3</v>
      </c>
      <c r="H60" s="14">
        <v>2.7E-2</v>
      </c>
      <c r="I60" s="303">
        <v>0</v>
      </c>
      <c r="J60" s="14"/>
      <c r="K60" s="80">
        <v>8.530033777777779E-2</v>
      </c>
      <c r="L60" s="14"/>
      <c r="M60" s="14">
        <v>0</v>
      </c>
      <c r="N60" s="80">
        <v>3.4837600000000003E-2</v>
      </c>
      <c r="O60" s="14"/>
      <c r="P60" s="14"/>
      <c r="R60" s="197">
        <f>'Parameters, country spec'!F25</f>
        <v>6.6462262074886422E-4</v>
      </c>
    </row>
    <row r="61" spans="1:18" x14ac:dyDescent="0.35">
      <c r="B61" s="18" t="s">
        <v>231</v>
      </c>
      <c r="C61" s="17" t="s">
        <v>345</v>
      </c>
      <c r="D61" s="23" t="str">
        <f>'Off-farm feed'!$D$74</f>
        <v>France, Germany, Poland</v>
      </c>
      <c r="E61" s="23"/>
      <c r="F61" s="120">
        <f>SUM(G61:Q61)</f>
        <v>0.27085685084992916</v>
      </c>
      <c r="G61" s="220">
        <f>'Off-farm feed'!$F$74</f>
        <v>0.11176753125767681</v>
      </c>
      <c r="H61" s="220">
        <f>'Off-farm feed'!$G$74</f>
        <v>1.3034482758620692E-2</v>
      </c>
      <c r="I61" s="220">
        <f>'Off-farm feed'!$H$74</f>
        <v>0</v>
      </c>
      <c r="J61" s="220">
        <f>'Off-farm feed'!$I$74</f>
        <v>0</v>
      </c>
      <c r="K61" s="220">
        <f>'Off-farm feed'!$J$74</f>
        <v>2.4688740026345454E-2</v>
      </c>
      <c r="L61" s="220">
        <f>'Off-farm feed'!$K$74</f>
        <v>0</v>
      </c>
      <c r="M61" s="220">
        <f>'Off-farm feed'!$L$74</f>
        <v>1.931759303794134E-4</v>
      </c>
      <c r="N61" s="220">
        <f>'Off-farm feed'!$M$74</f>
        <v>3.6802128767029069E-2</v>
      </c>
      <c r="O61" s="220">
        <f>'Off-farm feed'!$N$74</f>
        <v>0</v>
      </c>
      <c r="P61" s="220">
        <f>'Off-farm feed'!$O$74</f>
        <v>2.1170792109877701E-2</v>
      </c>
      <c r="Q61" s="220">
        <f>'Off-farm feed'!$P$74</f>
        <v>6.3200000000000006E-2</v>
      </c>
      <c r="R61" s="197">
        <f>'Parameters, country spec'!F26</f>
        <v>5.1835466534919956E-3</v>
      </c>
    </row>
    <row r="62" spans="1:18" x14ac:dyDescent="0.35">
      <c r="B62" s="18" t="s">
        <v>346</v>
      </c>
      <c r="C62" s="17" t="s">
        <v>345</v>
      </c>
      <c r="D62" s="23" t="str">
        <f>'Off-farm feed'!$D$23</f>
        <v>Brazil, Argentina</v>
      </c>
      <c r="E62" s="23"/>
      <c r="F62" s="120">
        <f>SUM(G62:Q62)</f>
        <v>0.7061171705997602</v>
      </c>
      <c r="G62" s="220">
        <f>'Off-farm feed'!$F$23</f>
        <v>7.2632670993098931E-3</v>
      </c>
      <c r="H62" s="220">
        <f>'Off-farm feed'!$G$23</f>
        <v>2.1402439024390246E-2</v>
      </c>
      <c r="I62" s="220">
        <f>'Off-farm feed'!$H$23</f>
        <v>0</v>
      </c>
      <c r="J62" s="220">
        <f>'Off-farm feed'!$I$23</f>
        <v>0</v>
      </c>
      <c r="K62" s="220">
        <f>'Off-farm feed'!$J$23</f>
        <v>4.308361966433235E-2</v>
      </c>
      <c r="L62" s="220">
        <f>'Off-farm feed'!$K$23</f>
        <v>0</v>
      </c>
      <c r="M62" s="220">
        <f>'Off-farm feed'!$L$23</f>
        <v>1.7842060425123844E-4</v>
      </c>
      <c r="N62" s="220">
        <f>'Off-farm feed'!$M$23</f>
        <v>3.0432604948959403E-2</v>
      </c>
      <c r="O62" s="220">
        <f>'Off-farm feed'!$N$23</f>
        <v>0.31761120248475611</v>
      </c>
      <c r="P62" s="220">
        <f>'Off-farm feed'!$O$23</f>
        <v>3.5145616773760872E-2</v>
      </c>
      <c r="Q62" s="220">
        <f>'Off-farm feed'!$P$23</f>
        <v>0.251</v>
      </c>
      <c r="R62" s="197">
        <f>'Parameters, country spec'!F27</f>
        <v>0.18330244218102648</v>
      </c>
    </row>
    <row r="63" spans="1:18" x14ac:dyDescent="0.35">
      <c r="B63" s="17" t="s">
        <v>233</v>
      </c>
      <c r="C63" s="17" t="s">
        <v>347</v>
      </c>
      <c r="D63" s="23" t="s">
        <v>89</v>
      </c>
      <c r="E63" s="23" t="s">
        <v>90</v>
      </c>
      <c r="F63" s="120"/>
      <c r="G63" s="108"/>
      <c r="H63" s="8"/>
      <c r="I63" s="107"/>
      <c r="J63" s="8"/>
      <c r="K63" s="108"/>
      <c r="L63" s="8"/>
      <c r="M63" s="8"/>
      <c r="N63" s="108"/>
      <c r="O63" s="8"/>
      <c r="P63" s="8"/>
      <c r="Q63" s="8"/>
      <c r="R63" s="197">
        <f>'Parameters, country spec'!F28</f>
        <v>3.9284247584971399E-2</v>
      </c>
    </row>
    <row r="64" spans="1:18" x14ac:dyDescent="0.35">
      <c r="A64" s="83"/>
      <c r="B64" s="17" t="s">
        <v>348</v>
      </c>
      <c r="C64" s="84" t="s">
        <v>349</v>
      </c>
      <c r="D64" s="23" t="s">
        <v>89</v>
      </c>
      <c r="E64" s="23" t="s">
        <v>90</v>
      </c>
      <c r="F64" s="120">
        <f t="shared" si="8"/>
        <v>0.14998677790465326</v>
      </c>
      <c r="G64" s="81">
        <f t="shared" ref="G64:N64" si="9">AVERAGE(G54:G62)</f>
        <v>4.7731488515428383E-2</v>
      </c>
      <c r="H64" s="81">
        <f t="shared" si="9"/>
        <v>2.4826324642556769E-2</v>
      </c>
      <c r="I64" s="81">
        <f t="shared" si="9"/>
        <v>0</v>
      </c>
      <c r="J64" s="81"/>
      <c r="K64" s="81">
        <f t="shared" si="9"/>
        <v>4.2821239163265974E-2</v>
      </c>
      <c r="L64" s="81"/>
      <c r="M64" s="81">
        <f t="shared" si="9"/>
        <v>4.1288503847850203E-5</v>
      </c>
      <c r="N64" s="81">
        <f t="shared" si="9"/>
        <v>3.4566437079554278E-2</v>
      </c>
      <c r="O64" s="81"/>
      <c r="P64" s="81"/>
      <c r="Q64" s="81"/>
      <c r="R64" s="197">
        <f>'Parameters, country spec'!F29</f>
        <v>6.6917708073904958E-2</v>
      </c>
    </row>
    <row r="65" spans="1:18" x14ac:dyDescent="0.35">
      <c r="A65" s="195"/>
      <c r="B65" s="25" t="s">
        <v>350</v>
      </c>
      <c r="C65" s="26"/>
      <c r="D65" s="103"/>
      <c r="E65" s="103"/>
      <c r="F65" s="27">
        <f>SUMPRODUCT(F54:F64,$R$54:$R$64)</f>
        <v>0.25538606301270611</v>
      </c>
      <c r="G65" s="27">
        <f>SUMPRODUCT(G54:G64,$R$54:$R$64)</f>
        <v>5.1439118541645804E-2</v>
      </c>
      <c r="H65" s="27">
        <f>SUMPRODUCT(H54:H64,$R$54:$R$64)</f>
        <v>2.4695430434941636E-2</v>
      </c>
      <c r="I65" s="27">
        <f>SUMPRODUCT(I54:I64,$R$54:$R$64)</f>
        <v>0</v>
      </c>
      <c r="J65" s="27"/>
      <c r="K65" s="27">
        <f>SUMPRODUCT(K54:K64,$R$54:$R$64)</f>
        <v>3.5453983073452988E-2</v>
      </c>
      <c r="L65" s="27"/>
      <c r="M65" s="27">
        <f>SUMPRODUCT(M54:M64,$R$54:$R$64)</f>
        <v>3.6469200989418596E-5</v>
      </c>
      <c r="N65" s="27">
        <f>SUMPRODUCT(N54:N64,$R$54:$R$64)</f>
        <v>3.2653622371047887E-2</v>
      </c>
      <c r="O65" s="27">
        <f>SUMPRODUCT(O54:O64,$R$54:$R$64)</f>
        <v>5.8218909079508302E-2</v>
      </c>
      <c r="P65" s="209">
        <f>SUMPRODUCT(P54:P64,R54:R64)</f>
        <v>6.5520171751817487E-3</v>
      </c>
      <c r="Q65" s="27">
        <f>SUMPRODUCT(Q54:Q64,$R$54:$R$64)</f>
        <v>4.633651313593834E-2</v>
      </c>
      <c r="R65" s="198"/>
    </row>
    <row r="66" spans="1:18" x14ac:dyDescent="0.35">
      <c r="A66" s="22" t="s">
        <v>336</v>
      </c>
      <c r="B66" s="17" t="s">
        <v>218</v>
      </c>
      <c r="C66" s="17" t="s">
        <v>337</v>
      </c>
      <c r="D66" s="23" t="s">
        <v>170</v>
      </c>
      <c r="E66" s="23" t="s">
        <v>92</v>
      </c>
      <c r="F66" s="120">
        <f>SUM(G66:Q66)</f>
        <v>0.16697655355390587</v>
      </c>
      <c r="G66" s="80">
        <v>6.4330297358443381E-2</v>
      </c>
      <c r="H66" s="14">
        <v>2.7E-2</v>
      </c>
      <c r="I66" s="303">
        <v>0</v>
      </c>
      <c r="J66" s="14"/>
      <c r="K66" s="80">
        <v>4.0808656195462478E-2</v>
      </c>
      <c r="L66" s="14"/>
      <c r="M66" s="14">
        <v>0</v>
      </c>
      <c r="N66" s="80">
        <v>3.4837600000000003E-2</v>
      </c>
      <c r="O66" s="14"/>
      <c r="P66" s="14"/>
      <c r="R66" s="197">
        <f>'Parameters, country spec'!G19</f>
        <v>0.15495238626757527</v>
      </c>
    </row>
    <row r="67" spans="1:18" x14ac:dyDescent="0.35">
      <c r="A67" s="22" t="s">
        <v>338</v>
      </c>
      <c r="B67" s="17" t="s">
        <v>222</v>
      </c>
      <c r="C67" s="17" t="s">
        <v>337</v>
      </c>
      <c r="D67" s="23" t="s">
        <v>170</v>
      </c>
      <c r="E67" s="23" t="s">
        <v>92</v>
      </c>
      <c r="F67" s="120">
        <f t="shared" ref="F67:F76" si="10">SUM(G67:Q67)</f>
        <v>0.15238359782823441</v>
      </c>
      <c r="G67" s="80">
        <v>6.2649071876813428E-2</v>
      </c>
      <c r="H67" s="14">
        <v>2.7E-2</v>
      </c>
      <c r="I67" s="303">
        <v>0</v>
      </c>
      <c r="J67" s="14"/>
      <c r="K67" s="80">
        <v>2.7896925951420983E-2</v>
      </c>
      <c r="L67" s="14"/>
      <c r="M67" s="14">
        <v>0</v>
      </c>
      <c r="N67" s="80">
        <v>3.4837600000000003E-2</v>
      </c>
      <c r="O67" s="14"/>
      <c r="P67" s="14"/>
      <c r="R67" s="197">
        <f>'Parameters, country spec'!G20</f>
        <v>0.12121400591694578</v>
      </c>
    </row>
    <row r="68" spans="1:18" x14ac:dyDescent="0.35">
      <c r="A68" s="22" t="s">
        <v>339</v>
      </c>
      <c r="B68" s="17" t="s">
        <v>226</v>
      </c>
      <c r="C68" s="17" t="s">
        <v>337</v>
      </c>
      <c r="D68" s="23" t="s">
        <v>170</v>
      </c>
      <c r="E68" s="23" t="s">
        <v>92</v>
      </c>
      <c r="F68" s="120">
        <f t="shared" si="10"/>
        <v>0.1652253697578368</v>
      </c>
      <c r="G68" s="80">
        <v>5.6711069109087971E-2</v>
      </c>
      <c r="H68" s="14">
        <v>2.7E-2</v>
      </c>
      <c r="I68" s="303">
        <v>0</v>
      </c>
      <c r="J68" s="14"/>
      <c r="K68" s="80">
        <v>4.6676700648748841E-2</v>
      </c>
      <c r="L68" s="14"/>
      <c r="M68" s="14">
        <v>0</v>
      </c>
      <c r="N68" s="80">
        <v>3.4837600000000003E-2</v>
      </c>
      <c r="O68" s="14"/>
      <c r="P68" s="14"/>
      <c r="R68" s="197">
        <f>'Parameters, country spec'!G21</f>
        <v>5.0556019414445971E-2</v>
      </c>
    </row>
    <row r="69" spans="1:18" x14ac:dyDescent="0.35">
      <c r="A69" s="22" t="s">
        <v>340</v>
      </c>
      <c r="B69" s="17" t="s">
        <v>227</v>
      </c>
      <c r="C69" s="17" t="s">
        <v>337</v>
      </c>
      <c r="D69" s="23" t="s">
        <v>170</v>
      </c>
      <c r="E69" s="23" t="s">
        <v>92</v>
      </c>
      <c r="F69" s="120">
        <f t="shared" si="10"/>
        <v>0.14256180694350662</v>
      </c>
      <c r="G69" s="80">
        <v>4.99522666930306E-2</v>
      </c>
      <c r="H69" s="14">
        <v>2.7E-2</v>
      </c>
      <c r="I69" s="303">
        <v>0</v>
      </c>
      <c r="J69" s="14"/>
      <c r="K69" s="80">
        <v>3.0771940250476016E-2</v>
      </c>
      <c r="L69" s="14"/>
      <c r="M69" s="14">
        <v>0</v>
      </c>
      <c r="N69" s="80">
        <v>3.4837600000000003E-2</v>
      </c>
      <c r="O69" s="14"/>
      <c r="P69" s="14"/>
      <c r="R69" s="197">
        <f>'Parameters, country spec'!G22</f>
        <v>0</v>
      </c>
    </row>
    <row r="70" spans="1:18" x14ac:dyDescent="0.35">
      <c r="A70" s="22" t="s">
        <v>341</v>
      </c>
      <c r="B70" s="17" t="s">
        <v>228</v>
      </c>
      <c r="C70" s="17" t="s">
        <v>337</v>
      </c>
      <c r="D70" s="23" t="s">
        <v>170</v>
      </c>
      <c r="E70" s="23" t="s">
        <v>92</v>
      </c>
      <c r="F70" s="120">
        <f t="shared" si="10"/>
        <v>0.16472897058825095</v>
      </c>
      <c r="G70" s="80">
        <v>7.3741076533864705E-2</v>
      </c>
      <c r="H70" s="14">
        <v>2.7E-2</v>
      </c>
      <c r="I70" s="303">
        <v>0</v>
      </c>
      <c r="J70" s="14"/>
      <c r="K70" s="80">
        <v>2.9150294054386239E-2</v>
      </c>
      <c r="L70" s="14"/>
      <c r="M70" s="14">
        <v>0</v>
      </c>
      <c r="N70" s="80">
        <v>3.4837600000000003E-2</v>
      </c>
      <c r="O70" s="14"/>
      <c r="P70" s="14"/>
      <c r="R70" s="197">
        <f>'Parameters, country spec'!G23</f>
        <v>0.40254480100475204</v>
      </c>
    </row>
    <row r="71" spans="1:18" x14ac:dyDescent="0.35">
      <c r="A71" s="22" t="s">
        <v>342</v>
      </c>
      <c r="B71" s="17" t="s">
        <v>229</v>
      </c>
      <c r="C71" s="17" t="s">
        <v>343</v>
      </c>
      <c r="D71" s="23" t="s">
        <v>170</v>
      </c>
      <c r="E71" s="23" t="s">
        <v>92</v>
      </c>
      <c r="F71" s="120">
        <f t="shared" si="10"/>
        <v>0.11885153790044359</v>
      </c>
      <c r="G71" s="80">
        <v>0</v>
      </c>
      <c r="H71" s="14">
        <v>2.7E-2</v>
      </c>
      <c r="I71" s="303">
        <v>0</v>
      </c>
      <c r="J71" s="14"/>
      <c r="K71" s="80">
        <v>5.7013937900443575E-2</v>
      </c>
      <c r="L71" s="16"/>
      <c r="M71" s="14">
        <v>0</v>
      </c>
      <c r="N71" s="80">
        <v>3.4837600000000003E-2</v>
      </c>
      <c r="O71" s="14"/>
      <c r="P71" s="14"/>
      <c r="R71" s="197">
        <f>'Parameters, country spec'!G24</f>
        <v>1.3122007250283157E-3</v>
      </c>
    </row>
    <row r="72" spans="1:18" x14ac:dyDescent="0.35">
      <c r="A72" s="22" t="s">
        <v>344</v>
      </c>
      <c r="B72" s="17" t="s">
        <v>230</v>
      </c>
      <c r="C72" s="17" t="s">
        <v>343</v>
      </c>
      <c r="D72" s="23" t="s">
        <v>170</v>
      </c>
      <c r="E72" s="23" t="s">
        <v>92</v>
      </c>
      <c r="F72" s="120">
        <f t="shared" si="10"/>
        <v>0.15030675448840647</v>
      </c>
      <c r="G72" s="80">
        <v>3.1688167106286749E-3</v>
      </c>
      <c r="H72" s="14">
        <v>2.7E-2</v>
      </c>
      <c r="I72" s="303">
        <v>0</v>
      </c>
      <c r="J72" s="14"/>
      <c r="K72" s="80">
        <v>8.530033777777779E-2</v>
      </c>
      <c r="L72" s="14"/>
      <c r="M72" s="14">
        <v>0</v>
      </c>
      <c r="N72" s="80">
        <v>3.4837600000000003E-2</v>
      </c>
      <c r="O72" s="14"/>
      <c r="P72" s="14"/>
      <c r="R72" s="197">
        <f>'Parameters, country spec'!G25</f>
        <v>1.2890135329516415E-3</v>
      </c>
    </row>
    <row r="73" spans="1:18" x14ac:dyDescent="0.35">
      <c r="B73" s="18" t="s">
        <v>231</v>
      </c>
      <c r="C73" s="17" t="s">
        <v>345</v>
      </c>
      <c r="D73" s="23" t="str">
        <f>'Off-farm feed'!$D$74</f>
        <v>France, Germany, Poland</v>
      </c>
      <c r="E73" s="23"/>
      <c r="F73" s="120">
        <f>SUM(G73:Q73)</f>
        <v>0.27085685084992916</v>
      </c>
      <c r="G73" s="220">
        <f>'Off-farm feed'!$F$74</f>
        <v>0.11176753125767681</v>
      </c>
      <c r="H73" s="220">
        <f>'Off-farm feed'!$G$74</f>
        <v>1.3034482758620692E-2</v>
      </c>
      <c r="I73" s="220">
        <f>'Off-farm feed'!$H$74</f>
        <v>0</v>
      </c>
      <c r="J73" s="220">
        <f>'Off-farm feed'!$I$74</f>
        <v>0</v>
      </c>
      <c r="K73" s="220">
        <f>'Off-farm feed'!$J$74</f>
        <v>2.4688740026345454E-2</v>
      </c>
      <c r="L73" s="220">
        <f>'Off-farm feed'!$K$74</f>
        <v>0</v>
      </c>
      <c r="M73" s="220">
        <f>'Off-farm feed'!$L$74</f>
        <v>1.931759303794134E-4</v>
      </c>
      <c r="N73" s="220">
        <f>'Off-farm feed'!$M$74</f>
        <v>3.6802128767029069E-2</v>
      </c>
      <c r="O73" s="220">
        <f>'Off-farm feed'!$N$74</f>
        <v>0</v>
      </c>
      <c r="P73" s="220">
        <f>'Off-farm feed'!$O$74</f>
        <v>2.1170792109877701E-2</v>
      </c>
      <c r="Q73" s="220">
        <f>'Off-farm feed'!$P$74</f>
        <v>6.3200000000000006E-2</v>
      </c>
      <c r="R73" s="197">
        <f>'Parameters, country spec'!G26</f>
        <v>5.5807970406811222E-2</v>
      </c>
    </row>
    <row r="74" spans="1:18" x14ac:dyDescent="0.35">
      <c r="B74" s="18" t="s">
        <v>346</v>
      </c>
      <c r="C74" s="17" t="s">
        <v>345</v>
      </c>
      <c r="D74" s="23" t="str">
        <f>'Off-farm feed'!$D$23</f>
        <v>Brazil, Argentina</v>
      </c>
      <c r="E74" s="23"/>
      <c r="F74" s="120">
        <f>SUM(G74:Q74)</f>
        <v>0.7061171705997602</v>
      </c>
      <c r="G74" s="220">
        <f>'Off-farm feed'!$F$23</f>
        <v>7.2632670993098931E-3</v>
      </c>
      <c r="H74" s="220">
        <f>'Off-farm feed'!$G$23</f>
        <v>2.1402439024390246E-2</v>
      </c>
      <c r="I74" s="220">
        <f>'Off-farm feed'!$H$23</f>
        <v>0</v>
      </c>
      <c r="J74" s="220">
        <f>'Off-farm feed'!$I$23</f>
        <v>0</v>
      </c>
      <c r="K74" s="220">
        <f>'Off-farm feed'!$J$23</f>
        <v>4.308361966433235E-2</v>
      </c>
      <c r="L74" s="220">
        <f>'Off-farm feed'!$K$23</f>
        <v>0</v>
      </c>
      <c r="M74" s="220">
        <f>'Off-farm feed'!$L$23</f>
        <v>1.7842060425123844E-4</v>
      </c>
      <c r="N74" s="220">
        <f>'Off-farm feed'!$M$23</f>
        <v>3.0432604948959403E-2</v>
      </c>
      <c r="O74" s="220">
        <f>'Off-farm feed'!$N$23</f>
        <v>0.31761120248475611</v>
      </c>
      <c r="P74" s="220">
        <f>'Off-farm feed'!$O$23</f>
        <v>3.5145616773760872E-2</v>
      </c>
      <c r="Q74" s="220">
        <f>'Off-farm feed'!$P$23</f>
        <v>0.251</v>
      </c>
      <c r="R74" s="197">
        <f>'Parameters, country spec'!G27</f>
        <v>9.2843535472153071E-2</v>
      </c>
    </row>
    <row r="75" spans="1:18" x14ac:dyDescent="0.35">
      <c r="B75" s="17" t="s">
        <v>233</v>
      </c>
      <c r="C75" s="17" t="s">
        <v>347</v>
      </c>
      <c r="D75" s="23" t="s">
        <v>170</v>
      </c>
      <c r="E75" s="23" t="s">
        <v>92</v>
      </c>
      <c r="F75" s="120"/>
      <c r="G75" s="108"/>
      <c r="H75" s="8"/>
      <c r="I75" s="107"/>
      <c r="J75" s="8"/>
      <c r="K75" s="108"/>
      <c r="L75" s="8"/>
      <c r="M75" s="8"/>
      <c r="N75" s="108"/>
      <c r="O75" s="8"/>
      <c r="P75" s="8"/>
      <c r="Q75" s="8"/>
      <c r="R75" s="197">
        <f>'Parameters, country spec'!G28</f>
        <v>8.2453001528588601E-2</v>
      </c>
    </row>
    <row r="76" spans="1:18" x14ac:dyDescent="0.35">
      <c r="A76" s="83"/>
      <c r="B76" s="17" t="s">
        <v>348</v>
      </c>
      <c r="C76" s="84" t="s">
        <v>349</v>
      </c>
      <c r="D76" s="23" t="s">
        <v>170</v>
      </c>
      <c r="E76" s="23" t="s">
        <v>92</v>
      </c>
      <c r="F76" s="120">
        <f t="shared" si="10"/>
        <v>0.14998677790465326</v>
      </c>
      <c r="G76" s="81">
        <f t="shared" ref="G76:N76" si="11">AVERAGE(G66:G74)</f>
        <v>4.7731488515428383E-2</v>
      </c>
      <c r="H76" s="81">
        <f t="shared" si="11"/>
        <v>2.4826324642556769E-2</v>
      </c>
      <c r="I76" s="81">
        <f t="shared" si="11"/>
        <v>0</v>
      </c>
      <c r="J76" s="81"/>
      <c r="K76" s="81">
        <f t="shared" si="11"/>
        <v>4.2821239163265974E-2</v>
      </c>
      <c r="L76" s="81"/>
      <c r="M76" s="81">
        <f t="shared" si="11"/>
        <v>4.1288503847850203E-5</v>
      </c>
      <c r="N76" s="81">
        <f t="shared" si="11"/>
        <v>3.4566437079554278E-2</v>
      </c>
      <c r="O76" s="81"/>
      <c r="P76" s="81"/>
      <c r="Q76" s="81"/>
      <c r="R76" s="197">
        <f>'Parameters, country spec'!G29</f>
        <v>3.702706573074812E-2</v>
      </c>
    </row>
    <row r="77" spans="1:18" x14ac:dyDescent="0.35">
      <c r="A77" s="195"/>
      <c r="B77" s="25" t="s">
        <v>350</v>
      </c>
      <c r="C77" s="26"/>
      <c r="D77" s="103"/>
      <c r="E77" s="103"/>
      <c r="F77" s="27">
        <f>SUMPRODUCT(F66:F76,$R$66:$R$76)</f>
        <v>0.20558602993095385</v>
      </c>
      <c r="G77" s="27">
        <f>SUMPRODUCT(G66:G76,$R$66:$R$76)</f>
        <v>5.879655902801445E-2</v>
      </c>
      <c r="H77" s="27">
        <f>SUMPRODUCT(H66:H76,$R$66:$R$76)</f>
        <v>2.3394199614471478E-2</v>
      </c>
      <c r="I77" s="27">
        <f>SUMPRODUCT(I66:I76,$R$66:$R$76)</f>
        <v>0</v>
      </c>
      <c r="J77" s="27"/>
      <c r="K77" s="27">
        <f>SUMPRODUCT(K66:K76,$R$66:$R$76)</f>
        <v>3.094716020968032E-2</v>
      </c>
      <c r="L77" s="27"/>
      <c r="M77" s="27">
        <f>SUMPRODUCT(M66:M76,$R$66:$R$76)</f>
        <v>2.8874748451583965E-5</v>
      </c>
      <c r="N77" s="27">
        <f>SUMPRODUCT(N66:N76,$R$66:$R$76)</f>
        <v>3.1655755995686305E-2</v>
      </c>
      <c r="O77" s="27">
        <f>SUMPRODUCT(O66:O76,$R$66:$R$76)</f>
        <v>2.9488146944246646E-2</v>
      </c>
      <c r="P77" s="209">
        <f>SUMPRODUCT(P66:P76,R66:R76)</f>
        <v>4.4445422571821724E-3</v>
      </c>
      <c r="Q77" s="27">
        <f>SUMPRODUCT(Q66:Q76,$R$66:$R$76)</f>
        <v>2.6830791133220889E-2</v>
      </c>
      <c r="R77" s="198"/>
    </row>
    <row r="78" spans="1:18" x14ac:dyDescent="0.35">
      <c r="A78" s="22" t="s">
        <v>336</v>
      </c>
      <c r="B78" s="17" t="s">
        <v>218</v>
      </c>
      <c r="C78" s="17" t="s">
        <v>337</v>
      </c>
      <c r="D78" s="23" t="s">
        <v>29</v>
      </c>
      <c r="E78" s="23" t="s">
        <v>93</v>
      </c>
      <c r="F78" s="120">
        <f>SUM(G78:Q78)</f>
        <v>0.16400000000000001</v>
      </c>
      <c r="G78" s="303">
        <v>6.4000000000000001E-2</v>
      </c>
      <c r="H78" s="303">
        <v>2.7E-2</v>
      </c>
      <c r="I78" s="303">
        <v>0</v>
      </c>
      <c r="J78" s="303"/>
      <c r="K78" s="303">
        <v>3.3000000000000002E-2</v>
      </c>
      <c r="L78" s="303"/>
      <c r="M78" s="303">
        <v>0</v>
      </c>
      <c r="N78" s="303">
        <v>0.04</v>
      </c>
      <c r="O78" s="14"/>
      <c r="P78" s="14"/>
      <c r="R78" s="197">
        <f>'Parameters, country spec'!H19</f>
        <v>0.3247662162385499</v>
      </c>
    </row>
    <row r="79" spans="1:18" x14ac:dyDescent="0.35">
      <c r="A79" s="22" t="s">
        <v>338</v>
      </c>
      <c r="B79" s="17" t="s">
        <v>222</v>
      </c>
      <c r="C79" s="17" t="s">
        <v>337</v>
      </c>
      <c r="D79" s="23" t="s">
        <v>29</v>
      </c>
      <c r="E79" s="23" t="s">
        <v>93</v>
      </c>
      <c r="F79" s="120">
        <f t="shared" ref="F79:F88" si="12">SUM(G79:Q79)</f>
        <v>0.161</v>
      </c>
      <c r="G79" s="303">
        <v>6.3E-2</v>
      </c>
      <c r="H79" s="303">
        <v>2.7E-2</v>
      </c>
      <c r="I79" s="303">
        <v>0</v>
      </c>
      <c r="J79" s="303"/>
      <c r="K79" s="303">
        <v>2.7E-2</v>
      </c>
      <c r="L79" s="303"/>
      <c r="M79" s="303">
        <v>4.0000000000000001E-3</v>
      </c>
      <c r="N79" s="303">
        <v>0.04</v>
      </c>
      <c r="O79" s="14"/>
      <c r="P79" s="14"/>
      <c r="R79" s="197">
        <f>'Parameters, country spec'!H20</f>
        <v>1.9544149435115246E-2</v>
      </c>
    </row>
    <row r="80" spans="1:18" x14ac:dyDescent="0.35">
      <c r="A80" s="22" t="s">
        <v>339</v>
      </c>
      <c r="B80" s="17" t="s">
        <v>226</v>
      </c>
      <c r="C80" s="17" t="s">
        <v>337</v>
      </c>
      <c r="D80" s="23" t="s">
        <v>29</v>
      </c>
      <c r="E80" s="23" t="s">
        <v>93</v>
      </c>
      <c r="F80" s="120">
        <f t="shared" si="12"/>
        <v>0.16200000000000001</v>
      </c>
      <c r="G80" s="303">
        <v>5.7000000000000002E-2</v>
      </c>
      <c r="H80" s="303">
        <v>2.7E-2</v>
      </c>
      <c r="I80" s="303">
        <v>0</v>
      </c>
      <c r="J80" s="303"/>
      <c r="K80" s="303">
        <v>3.7999999999999999E-2</v>
      </c>
      <c r="L80" s="303"/>
      <c r="M80" s="303">
        <v>0</v>
      </c>
      <c r="N80" s="303">
        <v>0.04</v>
      </c>
      <c r="O80" s="14"/>
      <c r="P80" s="14"/>
      <c r="R80" s="197">
        <f>'Parameters, country spec'!H21</f>
        <v>5.4547926099966608E-3</v>
      </c>
    </row>
    <row r="81" spans="1:18" x14ac:dyDescent="0.35">
      <c r="A81" s="22" t="s">
        <v>340</v>
      </c>
      <c r="B81" s="17" t="s">
        <v>227</v>
      </c>
      <c r="C81" s="17" t="s">
        <v>337</v>
      </c>
      <c r="D81" s="23" t="s">
        <v>29</v>
      </c>
      <c r="E81" s="23" t="s">
        <v>93</v>
      </c>
      <c r="F81" s="120">
        <f t="shared" si="12"/>
        <v>0.14799999999999999</v>
      </c>
      <c r="G81" s="303">
        <v>0.05</v>
      </c>
      <c r="H81" s="303">
        <v>2.7E-2</v>
      </c>
      <c r="I81" s="303">
        <v>0</v>
      </c>
      <c r="J81" s="303"/>
      <c r="K81" s="303">
        <v>3.1E-2</v>
      </c>
      <c r="L81" s="303"/>
      <c r="M81" s="303">
        <v>0</v>
      </c>
      <c r="N81" s="303">
        <v>0.04</v>
      </c>
      <c r="O81" s="14"/>
      <c r="P81" s="14"/>
      <c r="R81" s="197">
        <f>'Parameters, country spec'!H22</f>
        <v>3.9573904033440906E-3</v>
      </c>
    </row>
    <row r="82" spans="1:18" x14ac:dyDescent="0.35">
      <c r="A82" s="22" t="s">
        <v>341</v>
      </c>
      <c r="B82" s="17" t="s">
        <v>228</v>
      </c>
      <c r="C82" s="17" t="s">
        <v>337</v>
      </c>
      <c r="D82" s="23" t="s">
        <v>29</v>
      </c>
      <c r="E82" s="23" t="s">
        <v>93</v>
      </c>
      <c r="F82" s="120">
        <f t="shared" si="12"/>
        <v>0.16600000000000001</v>
      </c>
      <c r="G82" s="303">
        <v>7.3999999999999996E-2</v>
      </c>
      <c r="H82" s="303">
        <v>2.7E-2</v>
      </c>
      <c r="I82" s="303">
        <v>0</v>
      </c>
      <c r="J82" s="303"/>
      <c r="K82" s="303">
        <v>2.5000000000000001E-2</v>
      </c>
      <c r="L82" s="303"/>
      <c r="M82" s="303">
        <v>0</v>
      </c>
      <c r="N82" s="303">
        <v>0.04</v>
      </c>
      <c r="O82" s="14"/>
      <c r="P82" s="14"/>
      <c r="R82" s="197">
        <f>'Parameters, country spec'!H23</f>
        <v>0.33524969269006805</v>
      </c>
    </row>
    <row r="83" spans="1:18" x14ac:dyDescent="0.35">
      <c r="A83" s="22" t="s">
        <v>342</v>
      </c>
      <c r="B83" s="17" t="s">
        <v>229</v>
      </c>
      <c r="C83" s="17" t="s">
        <v>343</v>
      </c>
      <c r="D83" s="23" t="s">
        <v>29</v>
      </c>
      <c r="E83" s="23" t="s">
        <v>93</v>
      </c>
      <c r="F83" s="120">
        <f t="shared" si="12"/>
        <v>0.11199999999999999</v>
      </c>
      <c r="G83" s="303">
        <v>0</v>
      </c>
      <c r="H83" s="303">
        <v>2.7E-2</v>
      </c>
      <c r="I83" s="303">
        <v>0</v>
      </c>
      <c r="J83" s="303"/>
      <c r="K83" s="303">
        <v>4.4999999999999998E-2</v>
      </c>
      <c r="L83" s="303"/>
      <c r="M83" s="303">
        <v>0</v>
      </c>
      <c r="N83" s="303">
        <v>0.04</v>
      </c>
      <c r="O83" s="14"/>
      <c r="P83" s="14"/>
      <c r="R83" s="197">
        <f>'Parameters, country spec'!H24</f>
        <v>6.9591530195853583E-4</v>
      </c>
    </row>
    <row r="84" spans="1:18" x14ac:dyDescent="0.35">
      <c r="A84" s="22" t="s">
        <v>344</v>
      </c>
      <c r="B84" s="17" t="s">
        <v>230</v>
      </c>
      <c r="C84" s="17" t="s">
        <v>343</v>
      </c>
      <c r="D84" s="23" t="s">
        <v>29</v>
      </c>
      <c r="E84" s="23" t="s">
        <v>93</v>
      </c>
      <c r="F84" s="120">
        <f t="shared" si="12"/>
        <v>0.126</v>
      </c>
      <c r="G84" s="303">
        <v>3.0000000000000001E-3</v>
      </c>
      <c r="H84" s="303">
        <v>2.7E-2</v>
      </c>
      <c r="I84" s="303">
        <v>0</v>
      </c>
      <c r="J84" s="303"/>
      <c r="K84" s="303">
        <v>4.7E-2</v>
      </c>
      <c r="L84" s="303"/>
      <c r="M84" s="303">
        <v>8.9999999999999993E-3</v>
      </c>
      <c r="N84" s="303">
        <v>0.04</v>
      </c>
      <c r="O84" s="14"/>
      <c r="P84" s="14"/>
      <c r="R84" s="197">
        <f>'Parameters, country spec'!H25</f>
        <v>6.8361815808324494E-4</v>
      </c>
    </row>
    <row r="85" spans="1:18" x14ac:dyDescent="0.35">
      <c r="B85" s="18" t="s">
        <v>231</v>
      </c>
      <c r="C85" s="17" t="s">
        <v>345</v>
      </c>
      <c r="D85" s="23" t="str">
        <f>'Off-farm feed'!$D$74</f>
        <v>France, Germany, Poland</v>
      </c>
      <c r="E85" s="23"/>
      <c r="F85" s="120">
        <f>SUM(G85:Q85)</f>
        <v>0.27085685084992916</v>
      </c>
      <c r="G85" s="220">
        <f>'Off-farm feed'!$F$74</f>
        <v>0.11176753125767681</v>
      </c>
      <c r="H85" s="220">
        <f>'Off-farm feed'!$G$74</f>
        <v>1.3034482758620692E-2</v>
      </c>
      <c r="I85" s="220">
        <f>'Off-farm feed'!$H$74</f>
        <v>0</v>
      </c>
      <c r="J85" s="220">
        <f>'Off-farm feed'!$I$74</f>
        <v>0</v>
      </c>
      <c r="K85" s="220">
        <f>'Off-farm feed'!$J$74</f>
        <v>2.4688740026345454E-2</v>
      </c>
      <c r="L85" s="220">
        <f>'Off-farm feed'!$K$74</f>
        <v>0</v>
      </c>
      <c r="M85" s="220">
        <f>'Off-farm feed'!$L$74</f>
        <v>1.931759303794134E-4</v>
      </c>
      <c r="N85" s="220">
        <f>'Off-farm feed'!$M$74</f>
        <v>3.6802128767029069E-2</v>
      </c>
      <c r="O85" s="220">
        <f>'Off-farm feed'!$N$74</f>
        <v>0</v>
      </c>
      <c r="P85" s="220">
        <f>'Off-farm feed'!$O$74</f>
        <v>2.1170792109877701E-2</v>
      </c>
      <c r="Q85" s="220">
        <f>'Off-farm feed'!$P$74</f>
        <v>6.3200000000000006E-2</v>
      </c>
      <c r="R85" s="197">
        <f>'Parameters, country spec'!H26</f>
        <v>4.36899603839115E-2</v>
      </c>
    </row>
    <row r="86" spans="1:18" x14ac:dyDescent="0.35">
      <c r="B86" s="18" t="s">
        <v>346</v>
      </c>
      <c r="C86" s="17" t="s">
        <v>345</v>
      </c>
      <c r="D86" s="23" t="str">
        <f>'Off-farm feed'!$D$23</f>
        <v>Brazil, Argentina</v>
      </c>
      <c r="E86" s="23"/>
      <c r="F86" s="120">
        <f>SUM(G86:Q86)</f>
        <v>0.7061171705997602</v>
      </c>
      <c r="G86" s="220">
        <f>'Off-farm feed'!$F$23</f>
        <v>7.2632670993098931E-3</v>
      </c>
      <c r="H86" s="220">
        <f>'Off-farm feed'!$G$23</f>
        <v>2.1402439024390246E-2</v>
      </c>
      <c r="I86" s="220">
        <f>'Off-farm feed'!$H$23</f>
        <v>0</v>
      </c>
      <c r="J86" s="220">
        <f>'Off-farm feed'!$I$23</f>
        <v>0</v>
      </c>
      <c r="K86" s="220">
        <f>'Off-farm feed'!$J$23</f>
        <v>4.308361966433235E-2</v>
      </c>
      <c r="L86" s="220">
        <f>'Off-farm feed'!$K$23</f>
        <v>0</v>
      </c>
      <c r="M86" s="220">
        <f>'Off-farm feed'!$L$23</f>
        <v>1.7842060425123844E-4</v>
      </c>
      <c r="N86" s="220">
        <f>'Off-farm feed'!$M$23</f>
        <v>3.0432604948959403E-2</v>
      </c>
      <c r="O86" s="220">
        <f>'Off-farm feed'!$N$23</f>
        <v>0.31761120248475611</v>
      </c>
      <c r="P86" s="220">
        <f>'Off-farm feed'!$O$23</f>
        <v>3.5145616773760872E-2</v>
      </c>
      <c r="Q86" s="220">
        <f>'Off-farm feed'!$P$23</f>
        <v>0.251</v>
      </c>
      <c r="R86" s="197">
        <f>'Parameters, country spec'!H27</f>
        <v>0.1076444790964969</v>
      </c>
    </row>
    <row r="87" spans="1:18" x14ac:dyDescent="0.35">
      <c r="B87" s="17" t="s">
        <v>233</v>
      </c>
      <c r="C87" s="17" t="s">
        <v>347</v>
      </c>
      <c r="D87" s="23" t="s">
        <v>29</v>
      </c>
      <c r="E87" s="23" t="s">
        <v>93</v>
      </c>
      <c r="F87" s="120"/>
      <c r="G87" s="108"/>
      <c r="H87" s="8"/>
      <c r="I87" s="107"/>
      <c r="J87" s="8"/>
      <c r="K87" s="108"/>
      <c r="L87" s="8"/>
      <c r="M87" s="8"/>
      <c r="N87" s="108"/>
      <c r="O87" s="8"/>
      <c r="P87" s="8"/>
      <c r="Q87" s="8"/>
      <c r="R87" s="197">
        <f>'Parameters, country spec'!H28</f>
        <v>1.7669178559904096E-2</v>
      </c>
    </row>
    <row r="88" spans="1:18" x14ac:dyDescent="0.35">
      <c r="A88" s="83"/>
      <c r="B88" s="17" t="s">
        <v>348</v>
      </c>
      <c r="C88" s="84" t="s">
        <v>349</v>
      </c>
      <c r="D88" s="23" t="s">
        <v>29</v>
      </c>
      <c r="E88" s="23" t="s">
        <v>93</v>
      </c>
      <c r="F88" s="120">
        <f t="shared" si="12"/>
        <v>0.14243307734379471</v>
      </c>
      <c r="G88" s="81">
        <f t="shared" ref="G88:N88" si="13">SUMPRODUCT(G78:G86,$R$306:$R$314)</f>
        <v>5.7305159805993655E-2</v>
      </c>
      <c r="H88" s="81">
        <f t="shared" si="13"/>
        <v>2.2930198486122794E-2</v>
      </c>
      <c r="I88" s="81">
        <f t="shared" si="13"/>
        <v>0</v>
      </c>
      <c r="J88" s="81">
        <f t="shared" si="13"/>
        <v>0</v>
      </c>
      <c r="K88" s="81">
        <f t="shared" si="13"/>
        <v>2.7112387579357307E-2</v>
      </c>
      <c r="L88" s="81">
        <f t="shared" si="13"/>
        <v>0</v>
      </c>
      <c r="M88" s="81">
        <f t="shared" si="13"/>
        <v>1.6232219565653048E-4</v>
      </c>
      <c r="N88" s="81">
        <f t="shared" si="13"/>
        <v>3.4923009276664425E-2</v>
      </c>
      <c r="O88" s="81"/>
      <c r="P88" s="81"/>
      <c r="Q88" s="81"/>
      <c r="R88" s="197">
        <f>'Parameters, country spec'!H29</f>
        <v>0.14064460712257179</v>
      </c>
    </row>
    <row r="89" spans="1:18" x14ac:dyDescent="0.35">
      <c r="A89" s="195"/>
      <c r="B89" s="25" t="s">
        <v>350</v>
      </c>
      <c r="C89" s="26"/>
      <c r="D89" s="103"/>
      <c r="E89" s="103"/>
      <c r="F89" s="27">
        <f t="shared" ref="F89:O89" si="14">SUMPRODUCT(F78:F88,$R$78:$R$88)</f>
        <v>0.22156894939090402</v>
      </c>
      <c r="G89" s="27">
        <f t="shared" si="14"/>
        <v>6.1060271369465347E-2</v>
      </c>
      <c r="H89" s="27">
        <f t="shared" si="14"/>
        <v>2.4737837113449394E-2</v>
      </c>
      <c r="I89" s="27">
        <f t="shared" si="14"/>
        <v>0</v>
      </c>
      <c r="J89" s="27">
        <f t="shared" si="14"/>
        <v>0</v>
      </c>
      <c r="K89" s="27">
        <f t="shared" si="14"/>
        <v>2.954920192086552E-2</v>
      </c>
      <c r="L89" s="27">
        <f t="shared" si="14"/>
        <v>0</v>
      </c>
      <c r="M89" s="27">
        <f t="shared" si="14"/>
        <v>1.3480474434870475E-4</v>
      </c>
      <c r="N89" s="27">
        <f t="shared" si="14"/>
        <v>3.7409589367894347E-2</v>
      </c>
      <c r="O89" s="27">
        <f t="shared" si="14"/>
        <v>3.4189092446683569E-2</v>
      </c>
      <c r="P89" s="209">
        <f>SUMPRODUCT(P78:P88,R78:R88)</f>
        <v>4.7081826787131759E-3</v>
      </c>
      <c r="Q89" s="27">
        <f>SUMPRODUCT(Q78:Q88,$R$78:$R$88)</f>
        <v>2.9779969749483926E-2</v>
      </c>
      <c r="R89" s="198"/>
    </row>
    <row r="90" spans="1:18" x14ac:dyDescent="0.35">
      <c r="A90" s="22" t="s">
        <v>336</v>
      </c>
      <c r="B90" s="17" t="s">
        <v>218</v>
      </c>
      <c r="C90" s="17" t="s">
        <v>337</v>
      </c>
      <c r="D90" s="23" t="s">
        <v>171</v>
      </c>
      <c r="E90" s="23" t="s">
        <v>95</v>
      </c>
      <c r="F90" s="120">
        <f>SUM(G90:Q90)</f>
        <v>0.16697655355390587</v>
      </c>
      <c r="G90" s="80">
        <v>6.4330297358443381E-2</v>
      </c>
      <c r="H90" s="14">
        <v>2.7E-2</v>
      </c>
      <c r="I90" s="303">
        <v>0</v>
      </c>
      <c r="J90" s="14"/>
      <c r="K90" s="80">
        <v>4.0808656195462478E-2</v>
      </c>
      <c r="L90" s="14"/>
      <c r="M90" s="14">
        <v>0</v>
      </c>
      <c r="N90" s="80">
        <v>3.4837600000000003E-2</v>
      </c>
      <c r="O90" s="14"/>
      <c r="P90" s="14"/>
      <c r="R90" s="197">
        <f>'Parameters, country spec'!I19</f>
        <v>4.6530307311594861E-2</v>
      </c>
    </row>
    <row r="91" spans="1:18" x14ac:dyDescent="0.35">
      <c r="A91" s="22" t="s">
        <v>338</v>
      </c>
      <c r="B91" s="17" t="s">
        <v>222</v>
      </c>
      <c r="C91" s="17" t="s">
        <v>337</v>
      </c>
      <c r="D91" s="23" t="s">
        <v>171</v>
      </c>
      <c r="E91" s="23" t="s">
        <v>95</v>
      </c>
      <c r="F91" s="120">
        <f t="shared" ref="F91:F100" si="15">SUM(G91:Q91)</f>
        <v>0.15238359782823441</v>
      </c>
      <c r="G91" s="80">
        <v>6.2649071876813428E-2</v>
      </c>
      <c r="H91" s="14">
        <v>2.7E-2</v>
      </c>
      <c r="I91" s="303">
        <v>0</v>
      </c>
      <c r="J91" s="14"/>
      <c r="K91" s="80">
        <v>2.7896925951420983E-2</v>
      </c>
      <c r="L91" s="14"/>
      <c r="M91" s="14">
        <v>0</v>
      </c>
      <c r="N91" s="80">
        <v>3.4837600000000003E-2</v>
      </c>
      <c r="O91" s="14"/>
      <c r="P91" s="14"/>
      <c r="R91" s="197">
        <f>'Parameters, country spec'!I20</f>
        <v>9.558020970872997E-3</v>
      </c>
    </row>
    <row r="92" spans="1:18" x14ac:dyDescent="0.35">
      <c r="A92" s="22" t="s">
        <v>339</v>
      </c>
      <c r="B92" s="17" t="s">
        <v>226</v>
      </c>
      <c r="C92" s="17" t="s">
        <v>337</v>
      </c>
      <c r="D92" s="23" t="s">
        <v>171</v>
      </c>
      <c r="E92" s="23" t="s">
        <v>95</v>
      </c>
      <c r="F92" s="120">
        <f t="shared" si="15"/>
        <v>0.1652253697578368</v>
      </c>
      <c r="G92" s="80">
        <v>5.6711069109087971E-2</v>
      </c>
      <c r="H92" s="14">
        <v>2.7E-2</v>
      </c>
      <c r="I92" s="303">
        <v>0</v>
      </c>
      <c r="J92" s="14"/>
      <c r="K92" s="80">
        <v>4.6676700648748841E-2</v>
      </c>
      <c r="L92" s="14"/>
      <c r="M92" s="14">
        <v>0</v>
      </c>
      <c r="N92" s="80">
        <v>3.4837600000000003E-2</v>
      </c>
      <c r="O92" s="14"/>
      <c r="P92" s="14"/>
      <c r="R92" s="197">
        <f>'Parameters, country spec'!I21</f>
        <v>6.5141293607569762E-4</v>
      </c>
    </row>
    <row r="93" spans="1:18" x14ac:dyDescent="0.35">
      <c r="A93" s="22" t="s">
        <v>340</v>
      </c>
      <c r="B93" s="17" t="s">
        <v>227</v>
      </c>
      <c r="C93" s="17" t="s">
        <v>337</v>
      </c>
      <c r="D93" s="23" t="s">
        <v>171</v>
      </c>
      <c r="E93" s="23" t="s">
        <v>95</v>
      </c>
      <c r="F93" s="120">
        <f t="shared" si="15"/>
        <v>0.14256180694350662</v>
      </c>
      <c r="G93" s="80">
        <v>4.99522666930306E-2</v>
      </c>
      <c r="H93" s="14">
        <v>2.7E-2</v>
      </c>
      <c r="I93" s="303">
        <v>0</v>
      </c>
      <c r="J93" s="14"/>
      <c r="K93" s="80">
        <v>3.0771940250476016E-2</v>
      </c>
      <c r="L93" s="14"/>
      <c r="M93" s="14">
        <v>0</v>
      </c>
      <c r="N93" s="80">
        <v>3.4837600000000003E-2</v>
      </c>
      <c r="O93" s="14"/>
      <c r="P93" s="14"/>
      <c r="R93" s="197">
        <f>'Parameters, country spec'!I22</f>
        <v>0</v>
      </c>
    </row>
    <row r="94" spans="1:18" x14ac:dyDescent="0.35">
      <c r="A94" s="22" t="s">
        <v>341</v>
      </c>
      <c r="B94" s="17" t="s">
        <v>228</v>
      </c>
      <c r="C94" s="17" t="s">
        <v>337</v>
      </c>
      <c r="D94" s="23" t="s">
        <v>171</v>
      </c>
      <c r="E94" s="23" t="s">
        <v>95</v>
      </c>
      <c r="F94" s="120">
        <f t="shared" si="15"/>
        <v>0.16472897058825095</v>
      </c>
      <c r="G94" s="80">
        <v>7.3741076533864705E-2</v>
      </c>
      <c r="H94" s="14">
        <v>2.7E-2</v>
      </c>
      <c r="I94" s="303">
        <v>0</v>
      </c>
      <c r="J94" s="14"/>
      <c r="K94" s="80">
        <v>2.9150294054386239E-2</v>
      </c>
      <c r="L94" s="14"/>
      <c r="M94" s="14">
        <v>0</v>
      </c>
      <c r="N94" s="80">
        <v>3.4837600000000003E-2</v>
      </c>
      <c r="O94" s="14"/>
      <c r="P94" s="14"/>
      <c r="R94" s="197">
        <f>'Parameters, country spec'!I23</f>
        <v>0.18877612897819573</v>
      </c>
    </row>
    <row r="95" spans="1:18" x14ac:dyDescent="0.35">
      <c r="A95" s="22" t="s">
        <v>342</v>
      </c>
      <c r="B95" s="17" t="s">
        <v>229</v>
      </c>
      <c r="C95" s="17" t="s">
        <v>343</v>
      </c>
      <c r="D95" s="23" t="s">
        <v>171</v>
      </c>
      <c r="E95" s="23" t="s">
        <v>95</v>
      </c>
      <c r="F95" s="120">
        <f t="shared" si="15"/>
        <v>0.11885153790044359</v>
      </c>
      <c r="G95" s="80">
        <v>0</v>
      </c>
      <c r="H95" s="14">
        <v>2.7E-2</v>
      </c>
      <c r="I95" s="303">
        <v>0</v>
      </c>
      <c r="J95" s="14"/>
      <c r="K95" s="80">
        <v>5.7013937900443575E-2</v>
      </c>
      <c r="L95" s="16"/>
      <c r="M95" s="14">
        <v>0</v>
      </c>
      <c r="N95" s="80">
        <v>3.4837600000000003E-2</v>
      </c>
      <c r="O95" s="14"/>
      <c r="P95" s="14"/>
      <c r="R95" s="197">
        <f>'Parameters, country spec'!I24</f>
        <v>4.0248082263826587E-3</v>
      </c>
    </row>
    <row r="96" spans="1:18" x14ac:dyDescent="0.35">
      <c r="A96" s="22" t="s">
        <v>344</v>
      </c>
      <c r="B96" s="17" t="s">
        <v>230</v>
      </c>
      <c r="C96" s="17" t="s">
        <v>343</v>
      </c>
      <c r="D96" s="23" t="s">
        <v>171</v>
      </c>
      <c r="E96" s="23" t="s">
        <v>95</v>
      </c>
      <c r="F96" s="120">
        <f t="shared" si="15"/>
        <v>0.15030675448840647</v>
      </c>
      <c r="G96" s="80">
        <v>3.1688167106286749E-3</v>
      </c>
      <c r="H96" s="14">
        <v>2.7E-2</v>
      </c>
      <c r="I96" s="303">
        <v>0</v>
      </c>
      <c r="J96" s="14"/>
      <c r="K96" s="80">
        <v>8.530033777777779E-2</v>
      </c>
      <c r="L96" s="14"/>
      <c r="M96" s="14">
        <v>0</v>
      </c>
      <c r="N96" s="80">
        <v>3.4837600000000003E-2</v>
      </c>
      <c r="O96" s="14"/>
      <c r="P96" s="14"/>
      <c r="R96" s="197">
        <f>'Parameters, country spec'!I25</f>
        <v>3.9536880112219551E-3</v>
      </c>
    </row>
    <row r="97" spans="1:18" x14ac:dyDescent="0.35">
      <c r="B97" s="18" t="s">
        <v>231</v>
      </c>
      <c r="C97" s="17" t="s">
        <v>345</v>
      </c>
      <c r="D97" s="23" t="str">
        <f>'Off-farm feed'!$D$74</f>
        <v>France, Germany, Poland</v>
      </c>
      <c r="E97" s="23"/>
      <c r="F97" s="120">
        <f>SUM(G97:Q97)</f>
        <v>0.27085685084992916</v>
      </c>
      <c r="G97" s="220">
        <f>'Off-farm feed'!$F$74</f>
        <v>0.11176753125767681</v>
      </c>
      <c r="H97" s="220">
        <f>'Off-farm feed'!$G$74</f>
        <v>1.3034482758620692E-2</v>
      </c>
      <c r="I97" s="220">
        <f>'Off-farm feed'!$H$74</f>
        <v>0</v>
      </c>
      <c r="J97" s="220">
        <f>'Off-farm feed'!$I$74</f>
        <v>0</v>
      </c>
      <c r="K97" s="220">
        <f>'Off-farm feed'!$J$74</f>
        <v>2.4688740026345454E-2</v>
      </c>
      <c r="L97" s="220">
        <f>'Off-farm feed'!$K$74</f>
        <v>0</v>
      </c>
      <c r="M97" s="220">
        <f>'Off-farm feed'!$L$74</f>
        <v>1.931759303794134E-4</v>
      </c>
      <c r="N97" s="220">
        <f>'Off-farm feed'!$M$74</f>
        <v>3.6802128767029069E-2</v>
      </c>
      <c r="O97" s="220">
        <f>'Off-farm feed'!$N$74</f>
        <v>0</v>
      </c>
      <c r="P97" s="220">
        <f>'Off-farm feed'!$O$74</f>
        <v>2.1170792109877701E-2</v>
      </c>
      <c r="Q97" s="220">
        <f>'Off-farm feed'!$P$74</f>
        <v>6.3200000000000006E-2</v>
      </c>
      <c r="R97" s="197">
        <f>'Parameters, country spec'!I26</f>
        <v>3.6707467213432814E-2</v>
      </c>
    </row>
    <row r="98" spans="1:18" x14ac:dyDescent="0.35">
      <c r="B98" s="18" t="s">
        <v>346</v>
      </c>
      <c r="C98" s="17" t="s">
        <v>345</v>
      </c>
      <c r="D98" s="23" t="str">
        <f>'Off-farm feed'!$D$23</f>
        <v>Brazil, Argentina</v>
      </c>
      <c r="E98" s="23"/>
      <c r="F98" s="120">
        <f>SUM(G98:Q98)</f>
        <v>0.7061171705997602</v>
      </c>
      <c r="G98" s="220">
        <f>'Off-farm feed'!$F$23</f>
        <v>7.2632670993098931E-3</v>
      </c>
      <c r="H98" s="220">
        <f>'Off-farm feed'!$G$23</f>
        <v>2.1402439024390246E-2</v>
      </c>
      <c r="I98" s="220">
        <f>'Off-farm feed'!$H$23</f>
        <v>0</v>
      </c>
      <c r="J98" s="220">
        <f>'Off-farm feed'!$I$23</f>
        <v>0</v>
      </c>
      <c r="K98" s="220">
        <f>'Off-farm feed'!$J$23</f>
        <v>4.308361966433235E-2</v>
      </c>
      <c r="L98" s="220">
        <f>'Off-farm feed'!$K$23</f>
        <v>0</v>
      </c>
      <c r="M98" s="220">
        <f>'Off-farm feed'!$L$23</f>
        <v>1.7842060425123844E-4</v>
      </c>
      <c r="N98" s="220">
        <f>'Off-farm feed'!$M$23</f>
        <v>3.0432604948959403E-2</v>
      </c>
      <c r="O98" s="220">
        <f>'Off-farm feed'!$N$23</f>
        <v>0.31761120248475611</v>
      </c>
      <c r="P98" s="220">
        <f>'Off-farm feed'!$O$23</f>
        <v>3.5145616773760872E-2</v>
      </c>
      <c r="Q98" s="220">
        <f>'Off-farm feed'!$P$23</f>
        <v>0.251</v>
      </c>
      <c r="R98" s="197">
        <f>'Parameters, country spec'!I27</f>
        <v>1.9178220823815973E-2</v>
      </c>
    </row>
    <row r="99" spans="1:18" x14ac:dyDescent="0.35">
      <c r="B99" s="17" t="s">
        <v>233</v>
      </c>
      <c r="C99" s="17" t="s">
        <v>347</v>
      </c>
      <c r="D99" s="23" t="s">
        <v>171</v>
      </c>
      <c r="E99" s="23" t="s">
        <v>95</v>
      </c>
      <c r="F99" s="120"/>
      <c r="G99" s="108"/>
      <c r="H99" s="8"/>
      <c r="I99" s="107"/>
      <c r="J99" s="8"/>
      <c r="K99" s="108"/>
      <c r="L99" s="8"/>
      <c r="M99" s="8"/>
      <c r="N99" s="108"/>
      <c r="O99" s="8"/>
      <c r="P99" s="8"/>
      <c r="Q99" s="8"/>
      <c r="R99" s="197">
        <f>'Parameters, country spec'!I28</f>
        <v>0.45814721442178435</v>
      </c>
    </row>
    <row r="100" spans="1:18" x14ac:dyDescent="0.35">
      <c r="A100" s="83"/>
      <c r="B100" s="17" t="s">
        <v>348</v>
      </c>
      <c r="C100" s="84" t="s">
        <v>349</v>
      </c>
      <c r="D100" s="23" t="s">
        <v>171</v>
      </c>
      <c r="E100" s="23" t="s">
        <v>95</v>
      </c>
      <c r="F100" s="120">
        <f t="shared" si="15"/>
        <v>0.14998677790465326</v>
      </c>
      <c r="G100" s="81">
        <f t="shared" ref="G100:N100" si="16">AVERAGE(G90:G98)</f>
        <v>4.7731488515428383E-2</v>
      </c>
      <c r="H100" s="81">
        <f t="shared" si="16"/>
        <v>2.4826324642556769E-2</v>
      </c>
      <c r="I100" s="81">
        <f t="shared" si="16"/>
        <v>0</v>
      </c>
      <c r="J100" s="81"/>
      <c r="K100" s="81">
        <f t="shared" si="16"/>
        <v>4.2821239163265974E-2</v>
      </c>
      <c r="L100" s="81"/>
      <c r="M100" s="81">
        <f t="shared" si="16"/>
        <v>4.1288503847850203E-5</v>
      </c>
      <c r="N100" s="81">
        <f t="shared" si="16"/>
        <v>3.4566437079554278E-2</v>
      </c>
      <c r="O100" s="81"/>
      <c r="P100" s="81"/>
      <c r="Q100" s="81"/>
      <c r="R100" s="197">
        <f>'Parameters, country spec'!I29</f>
        <v>0.23247273110662289</v>
      </c>
    </row>
    <row r="101" spans="1:18" x14ac:dyDescent="0.35">
      <c r="A101" s="195"/>
      <c r="B101" s="25" t="s">
        <v>350</v>
      </c>
      <c r="C101" s="26"/>
      <c r="D101" s="103"/>
      <c r="E101" s="103"/>
      <c r="F101" s="27">
        <f>SUMPRODUCT(F90:F100,$R$90:$R$100)</f>
        <v>9.9855479863216204E-2</v>
      </c>
      <c r="G101" s="27">
        <f>SUMPRODUCT(G90:G100,$R$90:$R$100)</f>
        <v>3.2900404484228186E-2</v>
      </c>
      <c r="H101" s="27">
        <f>SUMPRODUCT(H90:H100,$R$90:$R$100)</f>
        <v>1.3504714937006248E-2</v>
      </c>
      <c r="I101" s="27">
        <f>SUMPRODUCT(I90:I100,$R$90:$R$100)</f>
        <v>0</v>
      </c>
      <c r="J101" s="27"/>
      <c r="K101" s="27">
        <f>SUMPRODUCT(K90:K100,$R$90:$R$100)</f>
        <v>1.9952783987423325E-2</v>
      </c>
      <c r="L101" s="27"/>
      <c r="M101" s="27">
        <f>SUMPRODUCT(M90:M100,$R$90:$R$100)</f>
        <v>2.0111240131491674E-5</v>
      </c>
      <c r="N101" s="27">
        <f>SUMPRODUCT(N90:N100,$R$90:$R$100)</f>
        <v>1.880144552565767E-2</v>
      </c>
      <c r="O101" s="27">
        <f>SUMPRODUCT(O90:O100,$R$90:$R$100)</f>
        <v>6.0912177773703811E-3</v>
      </c>
      <c r="P101" s="209">
        <f>SUMPRODUCT(P90:P100,R90:R100)</f>
        <v>1.4511565567321345E-3</v>
      </c>
      <c r="Q101" s="27">
        <f>SUMPRODUCT(Q90:Q100,$R$90:$R$100)</f>
        <v>7.1336453546667631E-3</v>
      </c>
      <c r="R101" s="198"/>
    </row>
    <row r="102" spans="1:18" x14ac:dyDescent="0.35">
      <c r="A102" s="22" t="s">
        <v>336</v>
      </c>
      <c r="B102" s="17" t="s">
        <v>218</v>
      </c>
      <c r="C102" s="17" t="s">
        <v>337</v>
      </c>
      <c r="D102" s="23" t="s">
        <v>96</v>
      </c>
      <c r="E102" s="23" t="s">
        <v>97</v>
      </c>
      <c r="F102" s="120">
        <f>SUM(G102:Q102)</f>
        <v>0.16697655355390587</v>
      </c>
      <c r="G102" s="80">
        <v>6.4330297358443381E-2</v>
      </c>
      <c r="H102" s="14">
        <v>2.7E-2</v>
      </c>
      <c r="I102" s="303">
        <v>0</v>
      </c>
      <c r="J102" s="14"/>
      <c r="K102" s="80">
        <v>4.0808656195462478E-2</v>
      </c>
      <c r="L102" s="14"/>
      <c r="M102" s="14">
        <v>0</v>
      </c>
      <c r="N102" s="80">
        <v>3.4837600000000003E-2</v>
      </c>
      <c r="O102" s="14"/>
      <c r="P102" s="14"/>
      <c r="R102" s="197">
        <f>'Parameters, country spec'!J19</f>
        <v>0.36213948950567598</v>
      </c>
    </row>
    <row r="103" spans="1:18" x14ac:dyDescent="0.35">
      <c r="A103" s="22" t="s">
        <v>338</v>
      </c>
      <c r="B103" s="17" t="s">
        <v>222</v>
      </c>
      <c r="C103" s="17" t="s">
        <v>337</v>
      </c>
      <c r="D103" s="23" t="s">
        <v>96</v>
      </c>
      <c r="E103" s="23" t="s">
        <v>97</v>
      </c>
      <c r="F103" s="120">
        <f t="shared" ref="F103:F112" si="17">SUM(G103:Q103)</f>
        <v>0.15238359782823441</v>
      </c>
      <c r="G103" s="80">
        <v>6.2649071876813428E-2</v>
      </c>
      <c r="H103" s="14">
        <v>2.7E-2</v>
      </c>
      <c r="I103" s="303">
        <v>0</v>
      </c>
      <c r="J103" s="14"/>
      <c r="K103" s="80">
        <v>2.7896925951420983E-2</v>
      </c>
      <c r="L103" s="14"/>
      <c r="M103" s="14">
        <v>0</v>
      </c>
      <c r="N103" s="80">
        <v>3.4837600000000003E-2</v>
      </c>
      <c r="O103" s="14"/>
      <c r="P103" s="14"/>
      <c r="R103" s="197">
        <f>'Parameters, country spec'!J20</f>
        <v>2.7285200595272913E-2</v>
      </c>
    </row>
    <row r="104" spans="1:18" x14ac:dyDescent="0.35">
      <c r="A104" s="22" t="s">
        <v>339</v>
      </c>
      <c r="B104" s="17" t="s">
        <v>226</v>
      </c>
      <c r="C104" s="17" t="s">
        <v>337</v>
      </c>
      <c r="D104" s="23" t="s">
        <v>96</v>
      </c>
      <c r="E104" s="23" t="s">
        <v>97</v>
      </c>
      <c r="F104" s="120">
        <f t="shared" si="17"/>
        <v>0.1652253697578368</v>
      </c>
      <c r="G104" s="80">
        <v>5.6711069109087971E-2</v>
      </c>
      <c r="H104" s="14">
        <v>2.7E-2</v>
      </c>
      <c r="I104" s="303">
        <v>0</v>
      </c>
      <c r="J104" s="14"/>
      <c r="K104" s="80">
        <v>4.6676700648748841E-2</v>
      </c>
      <c r="L104" s="14"/>
      <c r="M104" s="14">
        <v>0</v>
      </c>
      <c r="N104" s="80">
        <v>3.4837600000000003E-2</v>
      </c>
      <c r="O104" s="14"/>
      <c r="P104" s="14"/>
      <c r="R104" s="197">
        <f>'Parameters, country spec'!J21</f>
        <v>0.16949282524721104</v>
      </c>
    </row>
    <row r="105" spans="1:18" x14ac:dyDescent="0.35">
      <c r="A105" s="22" t="s">
        <v>340</v>
      </c>
      <c r="B105" s="17" t="s">
        <v>227</v>
      </c>
      <c r="C105" s="17" t="s">
        <v>337</v>
      </c>
      <c r="D105" s="23" t="s">
        <v>96</v>
      </c>
      <c r="E105" s="23" t="s">
        <v>97</v>
      </c>
      <c r="F105" s="120">
        <f t="shared" si="17"/>
        <v>0.14256180694350662</v>
      </c>
      <c r="G105" s="80">
        <v>4.99522666930306E-2</v>
      </c>
      <c r="H105" s="14">
        <v>2.7E-2</v>
      </c>
      <c r="I105" s="303">
        <v>0</v>
      </c>
      <c r="J105" s="14"/>
      <c r="K105" s="80">
        <v>3.0771940250476016E-2</v>
      </c>
      <c r="L105" s="14"/>
      <c r="M105" s="14">
        <v>0</v>
      </c>
      <c r="N105" s="80">
        <v>3.4837600000000003E-2</v>
      </c>
      <c r="O105" s="14"/>
      <c r="P105" s="14"/>
      <c r="R105" s="197">
        <f>'Parameters, country spec'!J22</f>
        <v>3.062922099074464E-3</v>
      </c>
    </row>
    <row r="106" spans="1:18" x14ac:dyDescent="0.35">
      <c r="A106" s="22" t="s">
        <v>341</v>
      </c>
      <c r="B106" s="17" t="s">
        <v>228</v>
      </c>
      <c r="C106" s="17" t="s">
        <v>337</v>
      </c>
      <c r="D106" s="23" t="s">
        <v>96</v>
      </c>
      <c r="E106" s="23" t="s">
        <v>97</v>
      </c>
      <c r="F106" s="120">
        <f t="shared" si="17"/>
        <v>0.16472897058825095</v>
      </c>
      <c r="G106" s="80">
        <v>7.3741076533864705E-2</v>
      </c>
      <c r="H106" s="14">
        <v>2.7E-2</v>
      </c>
      <c r="I106" s="303">
        <v>0</v>
      </c>
      <c r="J106" s="14"/>
      <c r="K106" s="80">
        <v>2.9150294054386239E-2</v>
      </c>
      <c r="L106" s="14"/>
      <c r="M106" s="14">
        <v>0</v>
      </c>
      <c r="N106" s="80">
        <v>3.4837600000000003E-2</v>
      </c>
      <c r="O106" s="14"/>
      <c r="P106" s="14"/>
      <c r="R106" s="197">
        <f>'Parameters, country spec'!J23</f>
        <v>3.7884118812985604E-2</v>
      </c>
    </row>
    <row r="107" spans="1:18" x14ac:dyDescent="0.35">
      <c r="A107" s="22" t="s">
        <v>342</v>
      </c>
      <c r="B107" s="17" t="s">
        <v>229</v>
      </c>
      <c r="C107" s="17" t="s">
        <v>343</v>
      </c>
      <c r="D107" s="23" t="s">
        <v>96</v>
      </c>
      <c r="E107" s="23" t="s">
        <v>97</v>
      </c>
      <c r="F107" s="120">
        <f t="shared" si="17"/>
        <v>0.11885153790044359</v>
      </c>
      <c r="G107" s="80">
        <v>0</v>
      </c>
      <c r="H107" s="14">
        <v>2.7E-2</v>
      </c>
      <c r="I107" s="303">
        <v>0</v>
      </c>
      <c r="J107" s="14"/>
      <c r="K107" s="80">
        <v>5.7013937900443575E-2</v>
      </c>
      <c r="L107" s="16"/>
      <c r="M107" s="14">
        <v>0</v>
      </c>
      <c r="N107" s="80">
        <v>3.4837600000000003E-2</v>
      </c>
      <c r="O107" s="14"/>
      <c r="P107" s="14"/>
      <c r="R107" s="197">
        <f>'Parameters, country spec'!J24</f>
        <v>3.724796231733548E-3</v>
      </c>
    </row>
    <row r="108" spans="1:18" x14ac:dyDescent="0.35">
      <c r="A108" s="22" t="s">
        <v>344</v>
      </c>
      <c r="B108" s="17" t="s">
        <v>230</v>
      </c>
      <c r="C108" s="17" t="s">
        <v>343</v>
      </c>
      <c r="D108" s="23" t="s">
        <v>96</v>
      </c>
      <c r="E108" s="23" t="s">
        <v>97</v>
      </c>
      <c r="F108" s="120">
        <f t="shared" si="17"/>
        <v>0.15030675448840647</v>
      </c>
      <c r="G108" s="80">
        <v>3.1688167106286749E-3</v>
      </c>
      <c r="H108" s="14">
        <v>2.7E-2</v>
      </c>
      <c r="I108" s="303">
        <v>0</v>
      </c>
      <c r="J108" s="14"/>
      <c r="K108" s="80">
        <v>8.530033777777779E-2</v>
      </c>
      <c r="L108" s="14"/>
      <c r="M108" s="14">
        <v>0</v>
      </c>
      <c r="N108" s="80">
        <v>3.4837600000000003E-2</v>
      </c>
      <c r="O108" s="14"/>
      <c r="P108" s="14"/>
      <c r="R108" s="197">
        <f>'Parameters, country spec'!J25</f>
        <v>3.6589773666995504E-3</v>
      </c>
    </row>
    <row r="109" spans="1:18" x14ac:dyDescent="0.35">
      <c r="B109" s="18" t="s">
        <v>231</v>
      </c>
      <c r="C109" s="17" t="s">
        <v>345</v>
      </c>
      <c r="D109" s="23" t="str">
        <f>'Off-farm feed'!$D$74</f>
        <v>France, Germany, Poland</v>
      </c>
      <c r="E109" s="23"/>
      <c r="F109" s="120">
        <f>SUM(G109:Q109)</f>
        <v>0.27085685084992916</v>
      </c>
      <c r="G109" s="220">
        <f>'Off-farm feed'!$F$74</f>
        <v>0.11176753125767681</v>
      </c>
      <c r="H109" s="220">
        <f>'Off-farm feed'!$G$74</f>
        <v>1.3034482758620692E-2</v>
      </c>
      <c r="I109" s="220">
        <f>'Off-farm feed'!$H$74</f>
        <v>0</v>
      </c>
      <c r="J109" s="220">
        <f>'Off-farm feed'!$I$74</f>
        <v>0</v>
      </c>
      <c r="K109" s="220">
        <f>'Off-farm feed'!$J$74</f>
        <v>2.4688740026345454E-2</v>
      </c>
      <c r="L109" s="220">
        <f>'Off-farm feed'!$K$74</f>
        <v>0</v>
      </c>
      <c r="M109" s="220">
        <f>'Off-farm feed'!$L$74</f>
        <v>1.931759303794134E-4</v>
      </c>
      <c r="N109" s="220">
        <f>'Off-farm feed'!$M$74</f>
        <v>3.6802128767029069E-2</v>
      </c>
      <c r="O109" s="220">
        <f>'Off-farm feed'!$N$74</f>
        <v>0</v>
      </c>
      <c r="P109" s="220">
        <f>'Off-farm feed'!$O$74</f>
        <v>2.1170792109877701E-2</v>
      </c>
      <c r="Q109" s="220">
        <f>'Off-farm feed'!$P$74</f>
        <v>6.3200000000000006E-2</v>
      </c>
      <c r="R109" s="197">
        <f>'Parameters, country spec'!J26</f>
        <v>0.20053388869195857</v>
      </c>
    </row>
    <row r="110" spans="1:18" x14ac:dyDescent="0.35">
      <c r="B110" s="18" t="s">
        <v>346</v>
      </c>
      <c r="C110" s="17" t="s">
        <v>345</v>
      </c>
      <c r="D110" s="23" t="str">
        <f>'Off-farm feed'!$D$23</f>
        <v>Brazil, Argentina</v>
      </c>
      <c r="E110" s="23"/>
      <c r="F110" s="120">
        <f>SUM(G110:Q110)</f>
        <v>0.7061171705997602</v>
      </c>
      <c r="G110" s="220">
        <f>'Off-farm feed'!$F$23</f>
        <v>7.2632670993098931E-3</v>
      </c>
      <c r="H110" s="220">
        <f>'Off-farm feed'!$G$23</f>
        <v>2.1402439024390246E-2</v>
      </c>
      <c r="I110" s="220">
        <f>'Off-farm feed'!$H$23</f>
        <v>0</v>
      </c>
      <c r="J110" s="220">
        <f>'Off-farm feed'!$I$23</f>
        <v>0</v>
      </c>
      <c r="K110" s="220">
        <f>'Off-farm feed'!$J$23</f>
        <v>4.308361966433235E-2</v>
      </c>
      <c r="L110" s="220">
        <f>'Off-farm feed'!$K$23</f>
        <v>0</v>
      </c>
      <c r="M110" s="220">
        <f>'Off-farm feed'!$L$23</f>
        <v>1.7842060425123844E-4</v>
      </c>
      <c r="N110" s="220">
        <f>'Off-farm feed'!$M$23</f>
        <v>3.0432604948959403E-2</v>
      </c>
      <c r="O110" s="220">
        <f>'Off-farm feed'!$N$23</f>
        <v>0.31761120248475611</v>
      </c>
      <c r="P110" s="220">
        <f>'Off-farm feed'!$O$23</f>
        <v>3.5145616773760872E-2</v>
      </c>
      <c r="Q110" s="220">
        <f>'Off-farm feed'!$P$23</f>
        <v>0.251</v>
      </c>
      <c r="R110" s="197">
        <f>'Parameters, country spec'!J27</f>
        <v>7.419835422837219E-2</v>
      </c>
    </row>
    <row r="111" spans="1:18" x14ac:dyDescent="0.35">
      <c r="B111" s="17" t="s">
        <v>233</v>
      </c>
      <c r="C111" s="17" t="s">
        <v>347</v>
      </c>
      <c r="D111" s="23" t="s">
        <v>96</v>
      </c>
      <c r="E111" s="23" t="s">
        <v>97</v>
      </c>
      <c r="F111" s="120"/>
      <c r="G111" s="108"/>
      <c r="H111" s="8"/>
      <c r="I111" s="107"/>
      <c r="J111" s="8"/>
      <c r="K111" s="108"/>
      <c r="L111" s="8"/>
      <c r="M111" s="8"/>
      <c r="N111" s="108"/>
      <c r="O111" s="8"/>
      <c r="P111" s="8"/>
      <c r="Q111" s="8"/>
      <c r="R111" s="197">
        <f>'Parameters, country spec'!J28</f>
        <v>7.2167353833925044E-2</v>
      </c>
    </row>
    <row r="112" spans="1:18" x14ac:dyDescent="0.35">
      <c r="A112" s="83"/>
      <c r="B112" s="17" t="s">
        <v>348</v>
      </c>
      <c r="C112" s="84" t="s">
        <v>349</v>
      </c>
      <c r="D112" s="23" t="s">
        <v>96</v>
      </c>
      <c r="E112" s="23" t="s">
        <v>97</v>
      </c>
      <c r="F112" s="120">
        <f t="shared" si="17"/>
        <v>0.14998677790465326</v>
      </c>
      <c r="G112" s="81">
        <f t="shared" ref="G112:N112" si="18">AVERAGE(G102:G110)</f>
        <v>4.7731488515428383E-2</v>
      </c>
      <c r="H112" s="81">
        <f t="shared" si="18"/>
        <v>2.4826324642556769E-2</v>
      </c>
      <c r="I112" s="81">
        <f t="shared" si="18"/>
        <v>0</v>
      </c>
      <c r="J112" s="81"/>
      <c r="K112" s="81">
        <f t="shared" si="18"/>
        <v>4.2821239163265974E-2</v>
      </c>
      <c r="L112" s="81"/>
      <c r="M112" s="81">
        <f t="shared" si="18"/>
        <v>4.1288503847850203E-5</v>
      </c>
      <c r="N112" s="81">
        <f t="shared" si="18"/>
        <v>3.4566437079554278E-2</v>
      </c>
      <c r="O112" s="81"/>
      <c r="P112" s="81"/>
      <c r="Q112" s="81"/>
      <c r="R112" s="197">
        <f>'Parameters, country spec'!J29</f>
        <v>4.5852073387090915E-2</v>
      </c>
    </row>
    <row r="113" spans="1:18" x14ac:dyDescent="0.35">
      <c r="A113" s="195"/>
      <c r="B113" s="25" t="s">
        <v>350</v>
      </c>
      <c r="C113" s="26"/>
      <c r="D113" s="103"/>
      <c r="E113" s="103"/>
      <c r="F113" s="27">
        <f>SUMPRODUCT(F102:F112,$R$102:$R$112)</f>
        <v>0.2138869842745606</v>
      </c>
      <c r="G113" s="27">
        <f>SUMPRODUCT(G102:G112,$R$102:$R$112)</f>
        <v>6.2716950951449787E-2</v>
      </c>
      <c r="H113" s="27">
        <f>SUMPRODUCT(H102:H112,$R$102:$R$112)</f>
        <v>2.1735924632383229E-2</v>
      </c>
      <c r="I113" s="27">
        <f>SUMPRODUCT(I102:I112,$R$102:$R$112)</f>
        <v>0</v>
      </c>
      <c r="J113" s="27"/>
      <c r="K113" s="27">
        <f>SUMPRODUCT(K102:K112,$R$102:$R$112)</f>
        <v>3.5285132892673876E-2</v>
      </c>
      <c r="L113" s="27"/>
      <c r="M113" s="27">
        <f>SUMPRODUCT(M102:M112,$R$102:$R$112)</f>
        <v>5.3869999225019237E-5</v>
      </c>
      <c r="N113" s="27">
        <f>SUMPRODUCT(N102:N112,$R$102:$R$112)</f>
        <v>3.2378140421875333E-2</v>
      </c>
      <c r="O113" s="27">
        <f>SUMPRODUCT(O102:O112,$R$102:$R$112)</f>
        <v>2.3566228508863179E-2</v>
      </c>
      <c r="P113" s="209">
        <f>SUMPRODUCT(P102:P112,R102:R112)</f>
        <v>6.8532081914369387E-3</v>
      </c>
      <c r="Q113" s="27">
        <f>SUMPRODUCT(Q102:Q112,$R$102:$R$112)</f>
        <v>3.1297528676653204E-2</v>
      </c>
      <c r="R113" s="198"/>
    </row>
    <row r="114" spans="1:18" x14ac:dyDescent="0.35">
      <c r="A114" s="22" t="s">
        <v>336</v>
      </c>
      <c r="B114" s="17" t="s">
        <v>218</v>
      </c>
      <c r="C114" s="17" t="s">
        <v>337</v>
      </c>
      <c r="D114" s="23" t="s">
        <v>31</v>
      </c>
      <c r="E114" s="23" t="s">
        <v>98</v>
      </c>
      <c r="F114" s="120">
        <f>SUM(G114:Q114)</f>
        <v>0.17100000000000001</v>
      </c>
      <c r="G114" s="80">
        <v>7.9000000000000001E-2</v>
      </c>
      <c r="H114" s="14">
        <v>2.7E-2</v>
      </c>
      <c r="I114" s="16">
        <v>0</v>
      </c>
      <c r="J114" s="14"/>
      <c r="K114" s="80">
        <v>0.03</v>
      </c>
      <c r="L114" s="14"/>
      <c r="M114" s="14">
        <v>0</v>
      </c>
      <c r="N114" s="80">
        <v>3.5000000000000003E-2</v>
      </c>
      <c r="O114" s="14"/>
      <c r="P114" s="14"/>
      <c r="R114" s="197">
        <f>'Parameters, country spec'!K19</f>
        <v>0.12938618407074468</v>
      </c>
    </row>
    <row r="115" spans="1:18" x14ac:dyDescent="0.35">
      <c r="A115" s="22" t="s">
        <v>338</v>
      </c>
      <c r="B115" s="17" t="s">
        <v>222</v>
      </c>
      <c r="C115" s="17" t="s">
        <v>337</v>
      </c>
      <c r="D115" s="23" t="s">
        <v>31</v>
      </c>
      <c r="E115" s="23" t="s">
        <v>98</v>
      </c>
      <c r="F115" s="120">
        <f t="shared" ref="F115:F124" si="19">SUM(G115:Q115)</f>
        <v>0.16600000000000001</v>
      </c>
      <c r="G115" s="80">
        <v>7.6999999999999999E-2</v>
      </c>
      <c r="H115" s="14">
        <v>2.7E-2</v>
      </c>
      <c r="I115" s="16">
        <v>0</v>
      </c>
      <c r="J115" s="14"/>
      <c r="K115" s="80">
        <v>0.02</v>
      </c>
      <c r="L115" s="14"/>
      <c r="M115" s="14">
        <v>7.0000000000000001E-3</v>
      </c>
      <c r="N115" s="80">
        <v>3.5000000000000003E-2</v>
      </c>
      <c r="O115" s="14"/>
      <c r="P115" s="14"/>
      <c r="R115" s="197">
        <f>'Parameters, country spec'!K20</f>
        <v>0.21280975376032865</v>
      </c>
    </row>
    <row r="116" spans="1:18" x14ac:dyDescent="0.35">
      <c r="A116" s="22" t="s">
        <v>339</v>
      </c>
      <c r="B116" s="17" t="s">
        <v>226</v>
      </c>
      <c r="C116" s="17" t="s">
        <v>337</v>
      </c>
      <c r="D116" s="23" t="s">
        <v>31</v>
      </c>
      <c r="E116" s="23" t="s">
        <v>98</v>
      </c>
      <c r="F116" s="120">
        <f t="shared" si="19"/>
        <v>0.17700000000000002</v>
      </c>
      <c r="G116" s="80">
        <v>7.0000000000000007E-2</v>
      </c>
      <c r="H116" s="14">
        <v>2.7E-2</v>
      </c>
      <c r="I116" s="16">
        <v>0</v>
      </c>
      <c r="J116" s="14"/>
      <c r="K116" s="80">
        <v>4.1000000000000002E-2</v>
      </c>
      <c r="L116" s="14"/>
      <c r="M116" s="14">
        <v>4.0000000000000001E-3</v>
      </c>
      <c r="N116" s="80">
        <v>3.5000000000000003E-2</v>
      </c>
      <c r="O116" s="14"/>
      <c r="P116" s="14"/>
      <c r="R116" s="197">
        <f>'Parameters, country spec'!K21</f>
        <v>1.4661663802605954E-2</v>
      </c>
    </row>
    <row r="117" spans="1:18" x14ac:dyDescent="0.35">
      <c r="A117" s="22" t="s">
        <v>340</v>
      </c>
      <c r="B117" s="17" t="s">
        <v>227</v>
      </c>
      <c r="C117" s="17" t="s">
        <v>337</v>
      </c>
      <c r="D117" s="23" t="s">
        <v>31</v>
      </c>
      <c r="E117" s="23" t="s">
        <v>98</v>
      </c>
      <c r="F117" s="120">
        <f t="shared" si="19"/>
        <v>0.16500000000000001</v>
      </c>
      <c r="G117" s="80">
        <v>6.2E-2</v>
      </c>
      <c r="H117" s="14">
        <v>2.7E-2</v>
      </c>
      <c r="I117" s="14">
        <v>0</v>
      </c>
      <c r="J117" s="14"/>
      <c r="K117" s="80">
        <v>4.1000000000000002E-2</v>
      </c>
      <c r="L117" s="14"/>
      <c r="M117" s="14">
        <v>0</v>
      </c>
      <c r="N117" s="80">
        <v>3.5000000000000003E-2</v>
      </c>
      <c r="O117" s="14"/>
      <c r="P117" s="14"/>
      <c r="R117" s="197">
        <f>'Parameters, country spec'!K22</f>
        <v>2.2515954502451301E-3</v>
      </c>
    </row>
    <row r="118" spans="1:18" x14ac:dyDescent="0.35">
      <c r="A118" s="22" t="s">
        <v>341</v>
      </c>
      <c r="B118" s="17" t="s">
        <v>228</v>
      </c>
      <c r="C118" s="17" t="s">
        <v>337</v>
      </c>
      <c r="D118" s="23" t="s">
        <v>31</v>
      </c>
      <c r="E118" s="23" t="s">
        <v>98</v>
      </c>
      <c r="F118" s="120">
        <f t="shared" si="19"/>
        <v>0.18</v>
      </c>
      <c r="G118" s="80">
        <v>9.0999999999999998E-2</v>
      </c>
      <c r="H118" s="14">
        <v>2.7E-2</v>
      </c>
      <c r="I118" s="14">
        <v>0</v>
      </c>
      <c r="J118" s="14"/>
      <c r="K118" s="80">
        <v>2.7E-2</v>
      </c>
      <c r="L118" s="14"/>
      <c r="M118" s="14">
        <v>0</v>
      </c>
      <c r="N118" s="80">
        <v>3.5000000000000003E-2</v>
      </c>
      <c r="O118" s="14"/>
      <c r="P118" s="14"/>
      <c r="R118" s="197">
        <f>'Parameters, country spec'!K23</f>
        <v>0.31521053769451607</v>
      </c>
    </row>
    <row r="119" spans="1:18" x14ac:dyDescent="0.35">
      <c r="A119" s="22" t="s">
        <v>342</v>
      </c>
      <c r="B119" s="17" t="s">
        <v>229</v>
      </c>
      <c r="C119" s="17" t="s">
        <v>343</v>
      </c>
      <c r="D119" s="23" t="s">
        <v>31</v>
      </c>
      <c r="E119" s="23" t="s">
        <v>98</v>
      </c>
      <c r="F119" s="120">
        <f t="shared" si="19"/>
        <v>0.115</v>
      </c>
      <c r="G119" s="80">
        <v>0</v>
      </c>
      <c r="H119" s="14">
        <v>2.7E-2</v>
      </c>
      <c r="I119" s="16">
        <v>0</v>
      </c>
      <c r="J119" s="14"/>
      <c r="K119" s="80">
        <v>5.0999999999999997E-2</v>
      </c>
      <c r="L119" s="16"/>
      <c r="M119" s="14">
        <v>2E-3</v>
      </c>
      <c r="N119" s="80">
        <v>3.5000000000000003E-2</v>
      </c>
      <c r="O119" s="14"/>
      <c r="P119" s="14"/>
      <c r="R119" s="197">
        <f>'Parameters, country spec'!K24</f>
        <v>0</v>
      </c>
    </row>
    <row r="120" spans="1:18" x14ac:dyDescent="0.35">
      <c r="A120" s="22" t="s">
        <v>344</v>
      </c>
      <c r="B120" s="17" t="s">
        <v>230</v>
      </c>
      <c r="C120" s="17" t="s">
        <v>343</v>
      </c>
      <c r="D120" s="23" t="s">
        <v>31</v>
      </c>
      <c r="E120" s="23" t="s">
        <v>98</v>
      </c>
      <c r="F120" s="120">
        <f t="shared" si="19"/>
        <v>0.13800000000000001</v>
      </c>
      <c r="G120" s="80">
        <v>4.0000000000000001E-3</v>
      </c>
      <c r="H120" s="14">
        <v>2.7E-2</v>
      </c>
      <c r="I120" s="16">
        <v>0</v>
      </c>
      <c r="J120" s="14"/>
      <c r="K120" s="80">
        <v>6.9000000000000006E-2</v>
      </c>
      <c r="L120" s="14"/>
      <c r="M120" s="14">
        <v>3.0000000000000001E-3</v>
      </c>
      <c r="N120" s="80">
        <v>3.5000000000000003E-2</v>
      </c>
      <c r="O120" s="14"/>
      <c r="P120" s="14"/>
      <c r="R120" s="197">
        <f>'Parameters, country spec'!K25</f>
        <v>0</v>
      </c>
    </row>
    <row r="121" spans="1:18" x14ac:dyDescent="0.35">
      <c r="B121" s="18" t="s">
        <v>231</v>
      </c>
      <c r="C121" s="17" t="s">
        <v>345</v>
      </c>
      <c r="D121" s="23" t="str">
        <f>'Off-farm feed'!$D$74</f>
        <v>France, Germany, Poland</v>
      </c>
      <c r="E121" s="23"/>
      <c r="F121" s="120">
        <f>SUM(G121:Q121)</f>
        <v>0.27085685084992916</v>
      </c>
      <c r="G121" s="220">
        <f>'Off-farm feed'!$F$74</f>
        <v>0.11176753125767681</v>
      </c>
      <c r="H121" s="220">
        <f>'Off-farm feed'!$G$74</f>
        <v>1.3034482758620692E-2</v>
      </c>
      <c r="I121" s="220">
        <f>'Off-farm feed'!$H$74</f>
        <v>0</v>
      </c>
      <c r="J121" s="220">
        <f>'Off-farm feed'!$I$74</f>
        <v>0</v>
      </c>
      <c r="K121" s="220">
        <f>'Off-farm feed'!$J$74</f>
        <v>2.4688740026345454E-2</v>
      </c>
      <c r="L121" s="220">
        <f>'Off-farm feed'!$K$74</f>
        <v>0</v>
      </c>
      <c r="M121" s="220">
        <f>'Off-farm feed'!$L$74</f>
        <v>1.931759303794134E-4</v>
      </c>
      <c r="N121" s="220">
        <f>'Off-farm feed'!$M$74</f>
        <v>3.6802128767029069E-2</v>
      </c>
      <c r="O121" s="220">
        <f>'Off-farm feed'!$N$74</f>
        <v>0</v>
      </c>
      <c r="P121" s="220">
        <f>'Off-farm feed'!$O$74</f>
        <v>2.1170792109877701E-2</v>
      </c>
      <c r="Q121" s="220">
        <f>'Off-farm feed'!$P$74</f>
        <v>6.3200000000000006E-2</v>
      </c>
      <c r="R121" s="197">
        <f>'Parameters, country spec'!K26</f>
        <v>9.7073458625180783E-2</v>
      </c>
    </row>
    <row r="122" spans="1:18" x14ac:dyDescent="0.35">
      <c r="B122" s="18" t="s">
        <v>346</v>
      </c>
      <c r="C122" s="17" t="s">
        <v>345</v>
      </c>
      <c r="D122" s="23" t="str">
        <f>'Off-farm feed'!$D$23</f>
        <v>Brazil, Argentina</v>
      </c>
      <c r="E122" s="23"/>
      <c r="F122" s="120">
        <f>SUM(G122:Q122)</f>
        <v>0.7061171705997602</v>
      </c>
      <c r="G122" s="220">
        <f>'Off-farm feed'!$F$23</f>
        <v>7.2632670993098931E-3</v>
      </c>
      <c r="H122" s="220">
        <f>'Off-farm feed'!$G$23</f>
        <v>2.1402439024390246E-2</v>
      </c>
      <c r="I122" s="220">
        <f>'Off-farm feed'!$H$23</f>
        <v>0</v>
      </c>
      <c r="J122" s="220">
        <f>'Off-farm feed'!$I$23</f>
        <v>0</v>
      </c>
      <c r="K122" s="220">
        <f>'Off-farm feed'!$J$23</f>
        <v>4.308361966433235E-2</v>
      </c>
      <c r="L122" s="220">
        <f>'Off-farm feed'!$K$23</f>
        <v>0</v>
      </c>
      <c r="M122" s="220">
        <f>'Off-farm feed'!$L$23</f>
        <v>1.7842060425123844E-4</v>
      </c>
      <c r="N122" s="220">
        <f>'Off-farm feed'!$M$23</f>
        <v>3.0432604948959403E-2</v>
      </c>
      <c r="O122" s="220">
        <f>'Off-farm feed'!$N$23</f>
        <v>0.31761120248475611</v>
      </c>
      <c r="P122" s="220">
        <f>'Off-farm feed'!$O$23</f>
        <v>3.5145616773760872E-2</v>
      </c>
      <c r="Q122" s="220">
        <f>'Off-farm feed'!$P$23</f>
        <v>0.251</v>
      </c>
      <c r="R122" s="197">
        <f>'Parameters, country spec'!K27</f>
        <v>8.7459166665531385E-2</v>
      </c>
    </row>
    <row r="123" spans="1:18" x14ac:dyDescent="0.35">
      <c r="B123" s="17" t="s">
        <v>233</v>
      </c>
      <c r="C123" s="17" t="s">
        <v>347</v>
      </c>
      <c r="D123" s="23" t="s">
        <v>31</v>
      </c>
      <c r="E123" s="23" t="s">
        <v>98</v>
      </c>
      <c r="F123" s="120"/>
      <c r="G123" s="108"/>
      <c r="H123" s="8"/>
      <c r="I123" s="107"/>
      <c r="J123" s="8"/>
      <c r="K123" s="108"/>
      <c r="L123" s="8"/>
      <c r="M123" s="8"/>
      <c r="N123" s="108"/>
      <c r="O123" s="8"/>
      <c r="P123" s="8"/>
      <c r="Q123" s="8"/>
      <c r="R123" s="197">
        <f>'Parameters, country spec'!K28</f>
        <v>8.0151207366747315E-2</v>
      </c>
    </row>
    <row r="124" spans="1:18" x14ac:dyDescent="0.35">
      <c r="A124" s="83"/>
      <c r="B124" s="17" t="s">
        <v>348</v>
      </c>
      <c r="C124" s="84" t="s">
        <v>349</v>
      </c>
      <c r="D124" s="23" t="s">
        <v>31</v>
      </c>
      <c r="E124" s="23" t="s">
        <v>98</v>
      </c>
      <c r="F124" s="120">
        <f t="shared" si="19"/>
        <v>0.15564960112014387</v>
      </c>
      <c r="G124" s="81">
        <f t="shared" ref="G124:N124" si="20">AVERAGE(G114:G122)</f>
        <v>5.5781199817442971E-2</v>
      </c>
      <c r="H124" s="81">
        <f t="shared" si="20"/>
        <v>2.4826324642556769E-2</v>
      </c>
      <c r="I124" s="81">
        <f t="shared" si="20"/>
        <v>0</v>
      </c>
      <c r="J124" s="81"/>
      <c r="K124" s="81">
        <f t="shared" si="20"/>
        <v>3.853026218785309E-2</v>
      </c>
      <c r="L124" s="81"/>
      <c r="M124" s="81">
        <f t="shared" si="20"/>
        <v>1.8190662816256278E-3</v>
      </c>
      <c r="N124" s="81">
        <f t="shared" si="20"/>
        <v>3.4692748190665389E-2</v>
      </c>
      <c r="O124" s="81"/>
      <c r="P124" s="81"/>
      <c r="Q124" s="81"/>
      <c r="R124" s="197">
        <f>'Parameters, country spec'!K29</f>
        <v>6.0996432564100048E-2</v>
      </c>
    </row>
    <row r="125" spans="1:18" x14ac:dyDescent="0.35">
      <c r="A125" s="195"/>
      <c r="B125" s="25" t="s">
        <v>350</v>
      </c>
      <c r="C125" s="26"/>
      <c r="D125" s="103"/>
      <c r="E125" s="103"/>
      <c r="F125" s="27">
        <f>SUMPRODUCT(F114:F124,$R$114:$R$124)</f>
        <v>0.21469948213923568</v>
      </c>
      <c r="G125" s="27">
        <f>SUMPRODUCT(G114:G124,$R$114:$R$124)</f>
        <v>7.1345288197397466E-2</v>
      </c>
      <c r="H125" s="27">
        <f>SUMPRODUCT(H114:H124,$R$114:$R$124)</f>
        <v>2.2858091880344683E-2</v>
      </c>
      <c r="I125" s="27">
        <f>SUMPRODUCT(I114:I124,$R$114:$R$124)</f>
        <v>0</v>
      </c>
      <c r="J125" s="27"/>
      <c r="K125" s="27">
        <f>SUMPRODUCT(K114:K124,$R$114:$R$124)</f>
        <v>2.5856796139898715E-2</v>
      </c>
      <c r="L125" s="27"/>
      <c r="M125" s="27">
        <f>SUMPRODUCT(M114:M124,$R$114:$R$124)</f>
        <v>1.6936282583583707E-3</v>
      </c>
      <c r="N125" s="27">
        <f>SUMPRODUCT(N114:N124,$R$114:$R$124)</f>
        <v>3.1951444785202732E-2</v>
      </c>
      <c r="O125" s="27">
        <f>SUMPRODUCT(O114:O124,$R$114:$R$124)</f>
        <v>2.7778011092954122E-2</v>
      </c>
      <c r="P125" s="209">
        <f>SUMPRODUCT(P114:P124,R114:R124)</f>
        <v>5.1289283669197641E-3</v>
      </c>
      <c r="Q125" s="27">
        <f>SUMPRODUCT(Q114:Q124,$R$114:$R$124)</f>
        <v>2.8087293418159801E-2</v>
      </c>
      <c r="R125" s="198"/>
    </row>
    <row r="126" spans="1:18" x14ac:dyDescent="0.35">
      <c r="A126" s="22" t="s">
        <v>336</v>
      </c>
      <c r="B126" s="17" t="s">
        <v>218</v>
      </c>
      <c r="C126" s="17" t="s">
        <v>337</v>
      </c>
      <c r="D126" s="23" t="s">
        <v>24</v>
      </c>
      <c r="E126" s="23" t="s">
        <v>99</v>
      </c>
      <c r="F126" s="120">
        <f>SUM(G126:Q126)</f>
        <v>0.17700000000000002</v>
      </c>
      <c r="G126" s="80">
        <v>7.9000000000000001E-2</v>
      </c>
      <c r="H126" s="14">
        <v>2.7E-2</v>
      </c>
      <c r="I126" s="16">
        <v>0</v>
      </c>
      <c r="J126" s="14"/>
      <c r="K126" s="80">
        <v>2.9000000000000001E-2</v>
      </c>
      <c r="L126" s="14"/>
      <c r="M126" s="14">
        <v>0</v>
      </c>
      <c r="N126" s="80">
        <v>4.2000000000000003E-2</v>
      </c>
      <c r="O126" s="14"/>
      <c r="P126" s="14"/>
      <c r="R126" s="197">
        <f>'Parameters, country spec'!L19</f>
        <v>0.12840126760243717</v>
      </c>
    </row>
    <row r="127" spans="1:18" x14ac:dyDescent="0.35">
      <c r="A127" s="22" t="s">
        <v>338</v>
      </c>
      <c r="B127" s="17" t="s">
        <v>222</v>
      </c>
      <c r="C127" s="17" t="s">
        <v>337</v>
      </c>
      <c r="D127" s="23" t="s">
        <v>24</v>
      </c>
      <c r="E127" s="23" t="s">
        <v>99</v>
      </c>
      <c r="F127" s="120">
        <f t="shared" ref="F127:F136" si="21">SUM(G127:Q127)</f>
        <v>0.16700000000000001</v>
      </c>
      <c r="G127" s="80">
        <v>7.6999999999999999E-2</v>
      </c>
      <c r="H127" s="14">
        <v>2.7E-2</v>
      </c>
      <c r="I127" s="16">
        <v>0</v>
      </c>
      <c r="J127" s="14"/>
      <c r="K127" s="80">
        <v>1.9E-2</v>
      </c>
      <c r="L127" s="14"/>
      <c r="M127" s="14">
        <v>2E-3</v>
      </c>
      <c r="N127" s="80">
        <v>4.2000000000000003E-2</v>
      </c>
      <c r="O127" s="14"/>
      <c r="P127" s="14"/>
      <c r="R127" s="197">
        <f>'Parameters, country spec'!L20</f>
        <v>0.19116633717197407</v>
      </c>
    </row>
    <row r="128" spans="1:18" x14ac:dyDescent="0.35">
      <c r="A128" s="22" t="s">
        <v>339</v>
      </c>
      <c r="B128" s="17" t="s">
        <v>226</v>
      </c>
      <c r="C128" s="17" t="s">
        <v>337</v>
      </c>
      <c r="D128" s="23" t="s">
        <v>24</v>
      </c>
      <c r="E128" s="23" t="s">
        <v>99</v>
      </c>
      <c r="F128" s="120">
        <f t="shared" si="21"/>
        <v>0.18100000000000002</v>
      </c>
      <c r="G128" s="80">
        <v>7.0000000000000007E-2</v>
      </c>
      <c r="H128" s="14">
        <v>2.7E-2</v>
      </c>
      <c r="I128" s="16">
        <v>0</v>
      </c>
      <c r="J128" s="14"/>
      <c r="K128" s="80">
        <v>4.2000000000000003E-2</v>
      </c>
      <c r="L128" s="14"/>
      <c r="M128" s="14">
        <v>0</v>
      </c>
      <c r="N128" s="80">
        <v>4.2000000000000003E-2</v>
      </c>
      <c r="O128" s="14"/>
      <c r="P128" s="14"/>
      <c r="R128" s="197">
        <f>'Parameters, country spec'!L21</f>
        <v>2.5558758775563904E-5</v>
      </c>
    </row>
    <row r="129" spans="1:18" x14ac:dyDescent="0.35">
      <c r="A129" s="22" t="s">
        <v>340</v>
      </c>
      <c r="B129" s="17" t="s">
        <v>227</v>
      </c>
      <c r="C129" s="17" t="s">
        <v>337</v>
      </c>
      <c r="D129" s="23" t="s">
        <v>24</v>
      </c>
      <c r="E129" s="23" t="s">
        <v>99</v>
      </c>
      <c r="F129" s="120">
        <f t="shared" si="21"/>
        <v>0.16700000000000001</v>
      </c>
      <c r="G129" s="80">
        <v>6.2E-2</v>
      </c>
      <c r="H129" s="14">
        <v>2.7E-2</v>
      </c>
      <c r="I129" s="14">
        <v>0</v>
      </c>
      <c r="J129" s="14"/>
      <c r="K129" s="80">
        <v>3.5999999999999997E-2</v>
      </c>
      <c r="L129" s="14"/>
      <c r="M129" s="14">
        <v>0</v>
      </c>
      <c r="N129" s="80">
        <v>4.2000000000000003E-2</v>
      </c>
      <c r="O129" s="14"/>
      <c r="P129" s="14"/>
      <c r="R129" s="197">
        <f>'Parameters, country spec'!L22</f>
        <v>2.0974185801992562E-2</v>
      </c>
    </row>
    <row r="130" spans="1:18" x14ac:dyDescent="0.35">
      <c r="A130" s="22" t="s">
        <v>341</v>
      </c>
      <c r="B130" s="17" t="s">
        <v>228</v>
      </c>
      <c r="C130" s="17" t="s">
        <v>337</v>
      </c>
      <c r="D130" s="23" t="s">
        <v>24</v>
      </c>
      <c r="E130" s="23" t="s">
        <v>99</v>
      </c>
      <c r="F130" s="120">
        <f t="shared" si="21"/>
        <v>0.186</v>
      </c>
      <c r="G130" s="80">
        <v>9.0999999999999998E-2</v>
      </c>
      <c r="H130" s="14">
        <v>2.7E-2</v>
      </c>
      <c r="I130" s="14">
        <v>0</v>
      </c>
      <c r="J130" s="14"/>
      <c r="K130" s="80">
        <v>2.5999999999999999E-2</v>
      </c>
      <c r="L130" s="14"/>
      <c r="M130" s="14">
        <v>0</v>
      </c>
      <c r="N130" s="80">
        <v>4.2000000000000003E-2</v>
      </c>
      <c r="O130" s="14"/>
      <c r="P130" s="14"/>
      <c r="R130" s="197">
        <f>'Parameters, country spec'!L23</f>
        <v>0.42888207443270587</v>
      </c>
    </row>
    <row r="131" spans="1:18" x14ac:dyDescent="0.35">
      <c r="A131" s="22" t="s">
        <v>342</v>
      </c>
      <c r="B131" s="17" t="s">
        <v>229</v>
      </c>
      <c r="C131" s="17" t="s">
        <v>343</v>
      </c>
      <c r="D131" s="23" t="s">
        <v>24</v>
      </c>
      <c r="E131" s="23" t="s">
        <v>99</v>
      </c>
      <c r="F131" s="120">
        <f t="shared" si="21"/>
        <v>0.122</v>
      </c>
      <c r="G131" s="80">
        <v>0</v>
      </c>
      <c r="H131" s="14">
        <v>2.7E-2</v>
      </c>
      <c r="I131" s="16">
        <v>0</v>
      </c>
      <c r="J131" s="14"/>
      <c r="K131" s="80">
        <v>5.2999999999999999E-2</v>
      </c>
      <c r="L131" s="16"/>
      <c r="M131" s="14">
        <v>0</v>
      </c>
      <c r="N131" s="80">
        <v>4.2000000000000003E-2</v>
      </c>
      <c r="O131" s="14"/>
      <c r="P131" s="14"/>
      <c r="R131" s="197">
        <f>'Parameters, country spec'!L24</f>
        <v>9.3450155108809542E-4</v>
      </c>
    </row>
    <row r="132" spans="1:18" x14ac:dyDescent="0.35">
      <c r="A132" s="22" t="s">
        <v>344</v>
      </c>
      <c r="B132" s="17" t="s">
        <v>230</v>
      </c>
      <c r="C132" s="17" t="s">
        <v>343</v>
      </c>
      <c r="D132" s="23" t="s">
        <v>24</v>
      </c>
      <c r="E132" s="23" t="s">
        <v>99</v>
      </c>
      <c r="F132" s="120">
        <f t="shared" si="21"/>
        <v>0.125</v>
      </c>
      <c r="G132" s="80">
        <v>4.0000000000000001E-3</v>
      </c>
      <c r="H132" s="14">
        <v>2.7E-2</v>
      </c>
      <c r="I132" s="16">
        <v>0</v>
      </c>
      <c r="J132" s="14"/>
      <c r="K132" s="80">
        <v>4.5999999999999999E-2</v>
      </c>
      <c r="L132" s="14"/>
      <c r="M132" s="14">
        <v>6.0000000000000001E-3</v>
      </c>
      <c r="N132" s="80">
        <v>4.2000000000000003E-2</v>
      </c>
      <c r="O132" s="14"/>
      <c r="P132" s="14"/>
      <c r="R132" s="197">
        <f>'Parameters, country spec'!L25</f>
        <v>9.1798847805104754E-4</v>
      </c>
    </row>
    <row r="133" spans="1:18" x14ac:dyDescent="0.35">
      <c r="B133" s="18" t="s">
        <v>231</v>
      </c>
      <c r="C133" s="17" t="s">
        <v>345</v>
      </c>
      <c r="D133" s="23" t="str">
        <f>'Off-farm feed'!$D$74</f>
        <v>France, Germany, Poland</v>
      </c>
      <c r="E133" s="23"/>
      <c r="F133" s="120">
        <f>SUM(G133:Q133)</f>
        <v>0.27085685084992916</v>
      </c>
      <c r="G133" s="220">
        <f>'Off-farm feed'!$F$74</f>
        <v>0.11176753125767681</v>
      </c>
      <c r="H133" s="220">
        <f>'Off-farm feed'!$G$74</f>
        <v>1.3034482758620692E-2</v>
      </c>
      <c r="I133" s="220">
        <f>'Off-farm feed'!$H$74</f>
        <v>0</v>
      </c>
      <c r="J133" s="220">
        <f>'Off-farm feed'!$I$74</f>
        <v>0</v>
      </c>
      <c r="K133" s="220">
        <f>'Off-farm feed'!$J$74</f>
        <v>2.4688740026345454E-2</v>
      </c>
      <c r="L133" s="220">
        <f>'Off-farm feed'!$K$74</f>
        <v>0</v>
      </c>
      <c r="M133" s="220">
        <f>'Off-farm feed'!$L$74</f>
        <v>1.931759303794134E-4</v>
      </c>
      <c r="N133" s="220">
        <f>'Off-farm feed'!$M$74</f>
        <v>3.6802128767029069E-2</v>
      </c>
      <c r="O133" s="220">
        <f>'Off-farm feed'!$N$74</f>
        <v>0</v>
      </c>
      <c r="P133" s="220">
        <f>'Off-farm feed'!$O$74</f>
        <v>2.1170792109877701E-2</v>
      </c>
      <c r="Q133" s="220">
        <f>'Off-farm feed'!$P$74</f>
        <v>6.3200000000000006E-2</v>
      </c>
      <c r="R133" s="197">
        <f>'Parameters, country spec'!L26</f>
        <v>9.4499576799197224E-2</v>
      </c>
    </row>
    <row r="134" spans="1:18" x14ac:dyDescent="0.35">
      <c r="B134" s="18" t="s">
        <v>346</v>
      </c>
      <c r="C134" s="17" t="s">
        <v>345</v>
      </c>
      <c r="D134" s="23" t="str">
        <f>'Off-farm feed'!$D$23</f>
        <v>Brazil, Argentina</v>
      </c>
      <c r="E134" s="23"/>
      <c r="F134" s="120">
        <f>SUM(G134:Q134)</f>
        <v>0.7061171705997602</v>
      </c>
      <c r="G134" s="220">
        <f>'Off-farm feed'!$F$23</f>
        <v>7.2632670993098931E-3</v>
      </c>
      <c r="H134" s="220">
        <f>'Off-farm feed'!$G$23</f>
        <v>2.1402439024390246E-2</v>
      </c>
      <c r="I134" s="220">
        <f>'Off-farm feed'!$H$23</f>
        <v>0</v>
      </c>
      <c r="J134" s="220">
        <f>'Off-farm feed'!$I$23</f>
        <v>0</v>
      </c>
      <c r="K134" s="220">
        <f>'Off-farm feed'!$J$23</f>
        <v>4.308361966433235E-2</v>
      </c>
      <c r="L134" s="220">
        <f>'Off-farm feed'!$K$23</f>
        <v>0</v>
      </c>
      <c r="M134" s="220">
        <f>'Off-farm feed'!$L$23</f>
        <v>1.7842060425123844E-4</v>
      </c>
      <c r="N134" s="220">
        <f>'Off-farm feed'!$M$23</f>
        <v>3.0432604948959403E-2</v>
      </c>
      <c r="O134" s="220">
        <f>'Off-farm feed'!$N$23</f>
        <v>0.31761120248475611</v>
      </c>
      <c r="P134" s="220">
        <f>'Off-farm feed'!$O$23</f>
        <v>3.5145616773760872E-2</v>
      </c>
      <c r="Q134" s="220">
        <f>'Off-farm feed'!$P$23</f>
        <v>0.251</v>
      </c>
      <c r="R134" s="197">
        <f>'Parameters, country spec'!L27</f>
        <v>9.0801007307611245E-2</v>
      </c>
    </row>
    <row r="135" spans="1:18" x14ac:dyDescent="0.35">
      <c r="B135" s="17" t="s">
        <v>233</v>
      </c>
      <c r="C135" s="17" t="s">
        <v>347</v>
      </c>
      <c r="D135" s="23" t="s">
        <v>24</v>
      </c>
      <c r="E135" s="23" t="s">
        <v>99</v>
      </c>
      <c r="F135" s="120"/>
      <c r="G135" s="108"/>
      <c r="H135" s="8"/>
      <c r="I135" s="107"/>
      <c r="J135" s="8"/>
      <c r="K135" s="108"/>
      <c r="L135" s="8"/>
      <c r="M135" s="8"/>
      <c r="N135" s="108"/>
      <c r="O135" s="8"/>
      <c r="P135" s="8"/>
      <c r="Q135" s="8"/>
      <c r="R135" s="197">
        <f>'Parameters, country spec'!L28</f>
        <v>1.8113105318221089E-2</v>
      </c>
    </row>
    <row r="136" spans="1:18" x14ac:dyDescent="0.35">
      <c r="A136" s="83"/>
      <c r="B136" s="17" t="s">
        <v>348</v>
      </c>
      <c r="C136" s="84" t="s">
        <v>349</v>
      </c>
      <c r="D136" s="23" t="s">
        <v>24</v>
      </c>
      <c r="E136" s="23" t="s">
        <v>99</v>
      </c>
      <c r="F136" s="120">
        <f t="shared" si="21"/>
        <v>0.15709404556458828</v>
      </c>
      <c r="G136" s="81">
        <f t="shared" ref="G136:N136" si="22">AVERAGE(G126:G134)</f>
        <v>5.5781199817442971E-2</v>
      </c>
      <c r="H136" s="81">
        <f t="shared" si="22"/>
        <v>2.4826324642556769E-2</v>
      </c>
      <c r="I136" s="81">
        <f t="shared" si="22"/>
        <v>0</v>
      </c>
      <c r="J136" s="81"/>
      <c r="K136" s="81">
        <f t="shared" si="22"/>
        <v>3.5419151076741977E-2</v>
      </c>
      <c r="L136" s="81"/>
      <c r="M136" s="81">
        <f t="shared" si="22"/>
        <v>9.3017739273673899E-4</v>
      </c>
      <c r="N136" s="81">
        <f t="shared" si="22"/>
        <v>4.0137192635109828E-2</v>
      </c>
      <c r="O136" s="81"/>
      <c r="P136" s="81"/>
      <c r="Q136" s="81"/>
      <c r="R136" s="197">
        <f>'Parameters, country spec'!L29</f>
        <v>2.5284396777946184E-2</v>
      </c>
    </row>
    <row r="137" spans="1:18" x14ac:dyDescent="0.35">
      <c r="A137" s="195"/>
      <c r="B137" s="25" t="s">
        <v>350</v>
      </c>
      <c r="C137" s="26"/>
      <c r="D137" s="103"/>
      <c r="E137" s="103"/>
      <c r="F137" s="27">
        <f>SUMPRODUCT(F126:F136,$R$126:$R$136)</f>
        <v>0.23184397775674262</v>
      </c>
      <c r="G137" s="27">
        <f>SUMPRODUCT(G126:G136,$R$126:$R$136)</f>
        <v>7.782952782459801E-2</v>
      </c>
      <c r="H137" s="27">
        <f>SUMPRODUCT(H126:H136,$R$126:$R$136)</f>
        <v>2.4627986442060615E-2</v>
      </c>
      <c r="I137" s="27">
        <f>SUMPRODUCT(I126:I136,$R$126:$R$136)</f>
        <v>0</v>
      </c>
      <c r="J137" s="27"/>
      <c r="K137" s="27">
        <f>SUMPRODUCT(K126:K136,$R$126:$R$136)</f>
        <v>2.6495294728463653E-2</v>
      </c>
      <c r="L137" s="27"/>
      <c r="M137" s="27">
        <f>SUMPRODUCT(M126:M136,$R$126:$R$136)</f>
        <v>4.4581539374317642E-4</v>
      </c>
      <c r="N137" s="27">
        <f>SUMPRODUCT(N126:N136,$R$126:$R$136)</f>
        <v>3.9650621861767918E-2</v>
      </c>
      <c r="O137" s="27">
        <f>SUMPRODUCT(O126:O136,$R$126:$R$136)</f>
        <v>2.8839417117797535E-2</v>
      </c>
      <c r="P137" s="209">
        <f>SUMPRODUCT(P126:P136,R126:R136)</f>
        <v>5.1918883003919921E-3</v>
      </c>
      <c r="Q137" s="27">
        <f>SUMPRODUCT(Q126:Q136,$R$126:$R$136)</f>
        <v>2.8763426087919687E-2</v>
      </c>
      <c r="R137" s="198"/>
    </row>
    <row r="138" spans="1:18" x14ac:dyDescent="0.35">
      <c r="A138" s="22" t="s">
        <v>336</v>
      </c>
      <c r="B138" s="17" t="s">
        <v>218</v>
      </c>
      <c r="C138" s="17" t="s">
        <v>337</v>
      </c>
      <c r="D138" s="23" t="s">
        <v>22</v>
      </c>
      <c r="E138" s="23" t="s">
        <v>100</v>
      </c>
      <c r="F138" s="120">
        <f>SUM(G138:Q138)</f>
        <v>0.21899999999999997</v>
      </c>
      <c r="G138" s="80">
        <v>7.9000000000000001E-2</v>
      </c>
      <c r="H138" s="14">
        <v>2.7E-2</v>
      </c>
      <c r="I138" s="16">
        <v>0</v>
      </c>
      <c r="J138" s="14"/>
      <c r="K138" s="80">
        <v>6.6000000000000003E-2</v>
      </c>
      <c r="L138" s="14"/>
      <c r="M138" s="14">
        <v>1E-3</v>
      </c>
      <c r="N138" s="80">
        <v>4.5999999999999999E-2</v>
      </c>
      <c r="O138" s="14"/>
      <c r="P138" s="14"/>
      <c r="R138" s="197">
        <f>'Parameters, country spec'!M19</f>
        <v>0.12227505038110943</v>
      </c>
    </row>
    <row r="139" spans="1:18" x14ac:dyDescent="0.35">
      <c r="A139" s="22" t="s">
        <v>338</v>
      </c>
      <c r="B139" s="17" t="s">
        <v>222</v>
      </c>
      <c r="C139" s="17" t="s">
        <v>337</v>
      </c>
      <c r="D139" s="23" t="s">
        <v>22</v>
      </c>
      <c r="E139" s="23" t="s">
        <v>100</v>
      </c>
      <c r="F139" s="120">
        <f t="shared" ref="F139:F148" si="23">SUM(G139:Q139)</f>
        <v>0.182</v>
      </c>
      <c r="G139" s="80">
        <v>7.6999999999999999E-2</v>
      </c>
      <c r="H139" s="14">
        <v>2.7E-2</v>
      </c>
      <c r="I139" s="16">
        <v>0</v>
      </c>
      <c r="J139" s="14"/>
      <c r="K139" s="80">
        <v>1.7000000000000001E-2</v>
      </c>
      <c r="L139" s="14"/>
      <c r="M139" s="14">
        <v>1.4999999999999999E-2</v>
      </c>
      <c r="N139" s="80">
        <v>4.5999999999999999E-2</v>
      </c>
      <c r="O139" s="14"/>
      <c r="P139" s="14"/>
      <c r="R139" s="197">
        <f>'Parameters, country spec'!M20</f>
        <v>0.36571383818682729</v>
      </c>
    </row>
    <row r="140" spans="1:18" x14ac:dyDescent="0.35">
      <c r="A140" s="22" t="s">
        <v>339</v>
      </c>
      <c r="B140" s="17" t="s">
        <v>226</v>
      </c>
      <c r="C140" s="17" t="s">
        <v>337</v>
      </c>
      <c r="D140" s="23" t="s">
        <v>22</v>
      </c>
      <c r="E140" s="23" t="s">
        <v>100</v>
      </c>
      <c r="F140" s="120">
        <f t="shared" si="23"/>
        <v>0.29500000000000004</v>
      </c>
      <c r="G140" s="80">
        <v>7.0000000000000007E-2</v>
      </c>
      <c r="H140" s="14">
        <v>2.7E-2</v>
      </c>
      <c r="I140" s="16">
        <v>0</v>
      </c>
      <c r="J140" s="14"/>
      <c r="K140" s="80">
        <v>0.13900000000000001</v>
      </c>
      <c r="L140" s="14"/>
      <c r="M140" s="14">
        <v>1.2999999999999999E-2</v>
      </c>
      <c r="N140" s="80">
        <v>4.5999999999999999E-2</v>
      </c>
      <c r="O140" s="14"/>
      <c r="P140" s="14"/>
      <c r="R140" s="197">
        <f>'Parameters, country spec'!M21</f>
        <v>3.3230481611398861E-2</v>
      </c>
    </row>
    <row r="141" spans="1:18" x14ac:dyDescent="0.35">
      <c r="A141" s="22" t="s">
        <v>340</v>
      </c>
      <c r="B141" s="17" t="s">
        <v>227</v>
      </c>
      <c r="C141" s="17" t="s">
        <v>337</v>
      </c>
      <c r="D141" s="23" t="s">
        <v>22</v>
      </c>
      <c r="E141" s="23" t="s">
        <v>100</v>
      </c>
      <c r="F141" s="120">
        <f t="shared" si="23"/>
        <v>0.22499999999999998</v>
      </c>
      <c r="G141" s="80">
        <v>6.2E-2</v>
      </c>
      <c r="H141" s="14">
        <v>2.7E-2</v>
      </c>
      <c r="I141" s="14">
        <v>0</v>
      </c>
      <c r="J141" s="14"/>
      <c r="K141" s="80">
        <v>0.09</v>
      </c>
      <c r="L141" s="14"/>
      <c r="M141" s="14">
        <v>0</v>
      </c>
      <c r="N141" s="80">
        <v>4.5999999999999999E-2</v>
      </c>
      <c r="O141" s="14"/>
      <c r="P141" s="14"/>
      <c r="R141" s="197">
        <f>'Parameters, country spec'!M22</f>
        <v>7.3294724625475594E-3</v>
      </c>
    </row>
    <row r="142" spans="1:18" x14ac:dyDescent="0.35">
      <c r="A142" s="22" t="s">
        <v>341</v>
      </c>
      <c r="B142" s="17" t="s">
        <v>228</v>
      </c>
      <c r="C142" s="17" t="s">
        <v>337</v>
      </c>
      <c r="D142" s="23" t="s">
        <v>22</v>
      </c>
      <c r="E142" s="23" t="s">
        <v>100</v>
      </c>
      <c r="F142" s="120">
        <f t="shared" si="23"/>
        <v>0.23199999999999998</v>
      </c>
      <c r="G142" s="80">
        <v>9.0999999999999998E-2</v>
      </c>
      <c r="H142" s="14">
        <v>2.7E-2</v>
      </c>
      <c r="I142" s="14">
        <v>0</v>
      </c>
      <c r="J142" s="14"/>
      <c r="K142" s="80">
        <v>6.6000000000000003E-2</v>
      </c>
      <c r="L142" s="14"/>
      <c r="M142" s="14">
        <v>2E-3</v>
      </c>
      <c r="N142" s="80">
        <v>4.5999999999999999E-2</v>
      </c>
      <c r="O142" s="14"/>
      <c r="P142" s="14"/>
      <c r="R142" s="197">
        <f>'Parameters, country spec'!M23</f>
        <v>5.256160625309033E-3</v>
      </c>
    </row>
    <row r="143" spans="1:18" x14ac:dyDescent="0.35">
      <c r="A143" s="22" t="s">
        <v>342</v>
      </c>
      <c r="B143" s="17" t="s">
        <v>229</v>
      </c>
      <c r="C143" s="17" t="s">
        <v>343</v>
      </c>
      <c r="D143" s="23" t="s">
        <v>22</v>
      </c>
      <c r="E143" s="23" t="s">
        <v>100</v>
      </c>
      <c r="F143" s="120">
        <f t="shared" si="23"/>
        <v>0.18</v>
      </c>
      <c r="G143" s="80">
        <v>0</v>
      </c>
      <c r="H143" s="14">
        <v>2.7E-2</v>
      </c>
      <c r="I143" s="16">
        <v>0</v>
      </c>
      <c r="J143" s="14"/>
      <c r="K143" s="80">
        <v>0.104</v>
      </c>
      <c r="L143" s="16"/>
      <c r="M143" s="14">
        <v>3.0000000000000001E-3</v>
      </c>
      <c r="N143" s="80">
        <v>4.5999999999999999E-2</v>
      </c>
      <c r="O143" s="14"/>
      <c r="P143" s="14"/>
      <c r="R143" s="197">
        <f>'Parameters, country spec'!M24</f>
        <v>1.0533673599513421E-3</v>
      </c>
    </row>
    <row r="144" spans="1:18" x14ac:dyDescent="0.35">
      <c r="A144" s="22" t="s">
        <v>344</v>
      </c>
      <c r="B144" s="17" t="s">
        <v>230</v>
      </c>
      <c r="C144" s="17" t="s">
        <v>343</v>
      </c>
      <c r="D144" s="23" t="s">
        <v>22</v>
      </c>
      <c r="E144" s="23" t="s">
        <v>100</v>
      </c>
      <c r="F144" s="120">
        <f t="shared" si="23"/>
        <v>0.16499999999999998</v>
      </c>
      <c r="G144" s="80">
        <v>4.0000000000000001E-3</v>
      </c>
      <c r="H144" s="14">
        <v>2.7E-2</v>
      </c>
      <c r="I144" s="16">
        <v>0</v>
      </c>
      <c r="J144" s="14"/>
      <c r="K144" s="80">
        <v>6.5000000000000002E-2</v>
      </c>
      <c r="L144" s="14"/>
      <c r="M144" s="14">
        <v>2.3E-2</v>
      </c>
      <c r="N144" s="80">
        <v>4.5999999999999999E-2</v>
      </c>
      <c r="O144" s="14"/>
      <c r="P144" s="14"/>
      <c r="R144" s="197">
        <f>'Parameters, country spec'!M25</f>
        <v>1.0347538734704405E-3</v>
      </c>
    </row>
    <row r="145" spans="1:18" x14ac:dyDescent="0.35">
      <c r="B145" s="18" t="s">
        <v>231</v>
      </c>
      <c r="C145" s="17" t="s">
        <v>345</v>
      </c>
      <c r="D145" s="23" t="str">
        <f>'Off-farm feed'!$D$74</f>
        <v>France, Germany, Poland</v>
      </c>
      <c r="E145" s="23"/>
      <c r="F145" s="120">
        <f>SUM(G145:Q145)</f>
        <v>0.27085685084992916</v>
      </c>
      <c r="G145" s="220">
        <f>'Off-farm feed'!$F$74</f>
        <v>0.11176753125767681</v>
      </c>
      <c r="H145" s="220">
        <f>'Off-farm feed'!$G$74</f>
        <v>1.3034482758620692E-2</v>
      </c>
      <c r="I145" s="220">
        <f>'Off-farm feed'!$H$74</f>
        <v>0</v>
      </c>
      <c r="J145" s="220">
        <f>'Off-farm feed'!$I$74</f>
        <v>0</v>
      </c>
      <c r="K145" s="220">
        <f>'Off-farm feed'!$J$74</f>
        <v>2.4688740026345454E-2</v>
      </c>
      <c r="L145" s="220">
        <f>'Off-farm feed'!$K$74</f>
        <v>0</v>
      </c>
      <c r="M145" s="220">
        <f>'Off-farm feed'!$L$74</f>
        <v>1.931759303794134E-4</v>
      </c>
      <c r="N145" s="220">
        <f>'Off-farm feed'!$M$74</f>
        <v>3.6802128767029069E-2</v>
      </c>
      <c r="O145" s="220">
        <f>'Off-farm feed'!$N$74</f>
        <v>0</v>
      </c>
      <c r="P145" s="220">
        <f>'Off-farm feed'!$O$74</f>
        <v>2.1170792109877701E-2</v>
      </c>
      <c r="Q145" s="220">
        <f>'Off-farm feed'!$P$74</f>
        <v>6.3200000000000006E-2</v>
      </c>
      <c r="R145" s="197">
        <f>'Parameters, country spec'!M26</f>
        <v>1.1495502598072803E-3</v>
      </c>
    </row>
    <row r="146" spans="1:18" x14ac:dyDescent="0.35">
      <c r="B146" s="18" t="s">
        <v>346</v>
      </c>
      <c r="C146" s="17" t="s">
        <v>345</v>
      </c>
      <c r="D146" s="23" t="str">
        <f>'Off-farm feed'!$D$23</f>
        <v>Brazil, Argentina</v>
      </c>
      <c r="E146" s="23"/>
      <c r="F146" s="120">
        <f>SUM(G146:Q146)</f>
        <v>0.7061171705997602</v>
      </c>
      <c r="G146" s="220">
        <f>'Off-farm feed'!$F$23</f>
        <v>7.2632670993098931E-3</v>
      </c>
      <c r="H146" s="220">
        <f>'Off-farm feed'!$G$23</f>
        <v>2.1402439024390246E-2</v>
      </c>
      <c r="I146" s="220">
        <f>'Off-farm feed'!$H$23</f>
        <v>0</v>
      </c>
      <c r="J146" s="220">
        <f>'Off-farm feed'!$I$23</f>
        <v>0</v>
      </c>
      <c r="K146" s="220">
        <f>'Off-farm feed'!$J$23</f>
        <v>4.308361966433235E-2</v>
      </c>
      <c r="L146" s="220">
        <f>'Off-farm feed'!$K$23</f>
        <v>0</v>
      </c>
      <c r="M146" s="220">
        <f>'Off-farm feed'!$L$23</f>
        <v>1.7842060425123844E-4</v>
      </c>
      <c r="N146" s="220">
        <f>'Off-farm feed'!$M$23</f>
        <v>3.0432604948959403E-2</v>
      </c>
      <c r="O146" s="220">
        <f>'Off-farm feed'!$N$23</f>
        <v>0.31761120248475611</v>
      </c>
      <c r="P146" s="220">
        <f>'Off-farm feed'!$O$23</f>
        <v>3.5145616773760872E-2</v>
      </c>
      <c r="Q146" s="220">
        <f>'Off-farm feed'!$P$23</f>
        <v>0.251</v>
      </c>
      <c r="R146" s="197">
        <f>'Parameters, country spec'!M27</f>
        <v>0.20255815802791313</v>
      </c>
    </row>
    <row r="147" spans="1:18" x14ac:dyDescent="0.35">
      <c r="B147" s="17" t="s">
        <v>233</v>
      </c>
      <c r="C147" s="17" t="s">
        <v>347</v>
      </c>
      <c r="D147" s="23" t="s">
        <v>22</v>
      </c>
      <c r="E147" s="23" t="s">
        <v>100</v>
      </c>
      <c r="F147" s="120"/>
      <c r="G147" s="108"/>
      <c r="H147" s="8"/>
      <c r="I147" s="107"/>
      <c r="J147" s="8"/>
      <c r="K147" s="108"/>
      <c r="L147" s="8"/>
      <c r="M147" s="8"/>
      <c r="N147" s="108"/>
      <c r="O147" s="8"/>
      <c r="P147" s="8"/>
      <c r="Q147" s="8"/>
      <c r="R147" s="197">
        <f>'Parameters, country spec'!M28</f>
        <v>0.12768205188630527</v>
      </c>
    </row>
    <row r="148" spans="1:18" x14ac:dyDescent="0.35">
      <c r="A148" s="83"/>
      <c r="B148" s="17" t="s">
        <v>348</v>
      </c>
      <c r="C148" s="84" t="s">
        <v>349</v>
      </c>
      <c r="D148" s="23" t="s">
        <v>22</v>
      </c>
      <c r="E148" s="23" t="s">
        <v>100</v>
      </c>
      <c r="F148" s="120">
        <f t="shared" si="23"/>
        <v>0.19853849000903276</v>
      </c>
      <c r="G148" s="81">
        <f t="shared" ref="G148:N148" si="24">AVERAGE(G138:G146)</f>
        <v>5.5781199817442971E-2</v>
      </c>
      <c r="H148" s="81">
        <f t="shared" si="24"/>
        <v>2.4826324642556769E-2</v>
      </c>
      <c r="I148" s="81">
        <f t="shared" si="24"/>
        <v>0</v>
      </c>
      <c r="J148" s="81"/>
      <c r="K148" s="81">
        <f t="shared" si="24"/>
        <v>6.8308039965630882E-2</v>
      </c>
      <c r="L148" s="81"/>
      <c r="M148" s="81">
        <f t="shared" si="24"/>
        <v>6.3746218371811842E-3</v>
      </c>
      <c r="N148" s="81">
        <f t="shared" si="24"/>
        <v>4.3248303746220934E-2</v>
      </c>
      <c r="O148" s="81"/>
      <c r="P148" s="81"/>
      <c r="Q148" s="81"/>
      <c r="R148" s="197">
        <f>'Parameters, country spec'!M29</f>
        <v>0.13271711532536037</v>
      </c>
    </row>
    <row r="149" spans="1:18" x14ac:dyDescent="0.35">
      <c r="A149" s="195"/>
      <c r="B149" s="25" t="s">
        <v>350</v>
      </c>
      <c r="C149" s="26"/>
      <c r="D149" s="103"/>
      <c r="E149" s="103"/>
      <c r="F149" s="27">
        <f>SUMPRODUCT(F138:F148,$R$138:$R$148)</f>
        <v>0.27606066040877292</v>
      </c>
      <c r="G149" s="27">
        <f>SUMPRODUCT(G138:G148,$R$138:$R$148)</f>
        <v>5.0085541487021004E-2</v>
      </c>
      <c r="H149" s="27">
        <f>SUMPRODUCT(H138:H148,$R$138:$R$148)</f>
        <v>2.2114214971334461E-2</v>
      </c>
      <c r="I149" s="27">
        <f>SUMPRODUCT(I138:I148,$R$138:$R$148)</f>
        <v>0</v>
      </c>
      <c r="J149" s="27"/>
      <c r="K149" s="27">
        <f>SUMPRODUCT(K138:K148,$R$138:$R$148)</f>
        <v>3.7910659454085824E-2</v>
      </c>
      <c r="L149" s="27"/>
      <c r="M149" s="27">
        <f>SUMPRODUCT(M138:M148,$R$138:$R$148)</f>
        <v>6.9598346824650461E-3</v>
      </c>
      <c r="N149" s="27">
        <f>SUMPRODUCT(N138:N148,$R$138:$R$148)</f>
        <v>3.6597552142079631E-2</v>
      </c>
      <c r="O149" s="27">
        <f>SUMPRODUCT(O138:O148,$R$138:$R$148)</f>
        <v>6.4334740144342747E-2</v>
      </c>
      <c r="P149" s="209">
        <f>SUMPRODUCT(P138:P148,R138:R148)</f>
        <v>7.1433682860181655E-3</v>
      </c>
      <c r="Q149" s="27">
        <f>SUMPRODUCT(Q138:Q148,$R$138:$R$148)</f>
        <v>5.091474924142602E-2</v>
      </c>
      <c r="R149" s="198"/>
    </row>
    <row r="150" spans="1:18" x14ac:dyDescent="0.35">
      <c r="A150" s="22" t="s">
        <v>336</v>
      </c>
      <c r="B150" s="17" t="s">
        <v>218</v>
      </c>
      <c r="C150" s="17" t="s">
        <v>337</v>
      </c>
      <c r="D150" s="23" t="s">
        <v>26</v>
      </c>
      <c r="E150" s="23" t="s">
        <v>101</v>
      </c>
      <c r="F150" s="120">
        <f>SUM(G150:Q150)</f>
        <v>0.18200000000000002</v>
      </c>
      <c r="G150" s="80">
        <v>7.9000000000000001E-2</v>
      </c>
      <c r="H150" s="14">
        <v>2.7E-2</v>
      </c>
      <c r="I150" s="16">
        <v>0</v>
      </c>
      <c r="J150" s="14"/>
      <c r="K150" s="80">
        <v>3.4000000000000002E-2</v>
      </c>
      <c r="L150" s="14"/>
      <c r="M150" s="14">
        <v>0</v>
      </c>
      <c r="N150" s="80">
        <v>4.2000000000000003E-2</v>
      </c>
      <c r="O150" s="14"/>
      <c r="P150" s="14"/>
      <c r="R150" s="197">
        <f>'Parameters, country spec'!N19</f>
        <v>8.7418005626499207E-2</v>
      </c>
    </row>
    <row r="151" spans="1:18" x14ac:dyDescent="0.35">
      <c r="A151" s="22" t="s">
        <v>338</v>
      </c>
      <c r="B151" s="17" t="s">
        <v>222</v>
      </c>
      <c r="C151" s="17" t="s">
        <v>337</v>
      </c>
      <c r="D151" s="23" t="s">
        <v>26</v>
      </c>
      <c r="E151" s="23" t="s">
        <v>101</v>
      </c>
      <c r="F151" s="120">
        <f t="shared" ref="F151:F160" si="25">SUM(G151:Q151)</f>
        <v>0.17</v>
      </c>
      <c r="G151" s="80">
        <v>7.6999999999999999E-2</v>
      </c>
      <c r="H151" s="14">
        <v>2.7E-2</v>
      </c>
      <c r="I151" s="16">
        <v>0</v>
      </c>
      <c r="J151" s="14"/>
      <c r="K151" s="80">
        <v>2.4E-2</v>
      </c>
      <c r="L151" s="14"/>
      <c r="M151" s="14">
        <v>0</v>
      </c>
      <c r="N151" s="80">
        <v>4.2000000000000003E-2</v>
      </c>
      <c r="O151" s="14"/>
      <c r="P151" s="14"/>
      <c r="R151" s="197">
        <f>'Parameters, country spec'!N20</f>
        <v>0.51851224834420662</v>
      </c>
    </row>
    <row r="152" spans="1:18" x14ac:dyDescent="0.35">
      <c r="A152" s="22" t="s">
        <v>339</v>
      </c>
      <c r="B152" s="17" t="s">
        <v>226</v>
      </c>
      <c r="C152" s="17" t="s">
        <v>337</v>
      </c>
      <c r="D152" s="23" t="s">
        <v>26</v>
      </c>
      <c r="E152" s="23" t="s">
        <v>101</v>
      </c>
      <c r="F152" s="120">
        <f t="shared" si="25"/>
        <v>0.20300000000000001</v>
      </c>
      <c r="G152" s="80">
        <v>7.0000000000000007E-2</v>
      </c>
      <c r="H152" s="14">
        <v>2.7E-2</v>
      </c>
      <c r="I152" s="16">
        <v>0</v>
      </c>
      <c r="J152" s="14"/>
      <c r="K152" s="80">
        <v>6.3E-2</v>
      </c>
      <c r="L152" s="14"/>
      <c r="M152" s="14">
        <v>1E-3</v>
      </c>
      <c r="N152" s="80">
        <v>4.2000000000000003E-2</v>
      </c>
      <c r="O152" s="14"/>
      <c r="P152" s="14"/>
      <c r="R152" s="197">
        <f>'Parameters, country spec'!N21</f>
        <v>4.6821690090770259E-2</v>
      </c>
    </row>
    <row r="153" spans="1:18" x14ac:dyDescent="0.35">
      <c r="A153" s="22" t="s">
        <v>340</v>
      </c>
      <c r="B153" s="17" t="s">
        <v>227</v>
      </c>
      <c r="C153" s="17" t="s">
        <v>337</v>
      </c>
      <c r="D153" s="23" t="s">
        <v>26</v>
      </c>
      <c r="E153" s="23" t="s">
        <v>101</v>
      </c>
      <c r="F153" s="120">
        <f t="shared" si="25"/>
        <v>0.186</v>
      </c>
      <c r="G153" s="80">
        <v>6.2E-2</v>
      </c>
      <c r="H153" s="14">
        <v>2.7E-2</v>
      </c>
      <c r="I153" s="14">
        <v>0</v>
      </c>
      <c r="J153" s="14"/>
      <c r="K153" s="80">
        <v>5.5E-2</v>
      </c>
      <c r="L153" s="14"/>
      <c r="M153" s="14">
        <v>0</v>
      </c>
      <c r="N153" s="80">
        <v>4.2000000000000003E-2</v>
      </c>
      <c r="O153" s="14"/>
      <c r="P153" s="14"/>
      <c r="R153" s="197">
        <f>'Parameters, country spec'!N22</f>
        <v>1.8197973513379373E-2</v>
      </c>
    </row>
    <row r="154" spans="1:18" x14ac:dyDescent="0.35">
      <c r="A154" s="22" t="s">
        <v>341</v>
      </c>
      <c r="B154" s="17" t="s">
        <v>228</v>
      </c>
      <c r="C154" s="17" t="s">
        <v>337</v>
      </c>
      <c r="D154" s="23" t="s">
        <v>26</v>
      </c>
      <c r="E154" s="23" t="s">
        <v>101</v>
      </c>
      <c r="F154" s="120">
        <f t="shared" si="25"/>
        <v>0.19500000000000001</v>
      </c>
      <c r="G154" s="80">
        <v>9.0999999999999998E-2</v>
      </c>
      <c r="H154" s="14">
        <v>2.7E-2</v>
      </c>
      <c r="I154" s="14">
        <v>0</v>
      </c>
      <c r="J154" s="14"/>
      <c r="K154" s="80">
        <v>3.5000000000000003E-2</v>
      </c>
      <c r="L154" s="14"/>
      <c r="M154" s="14">
        <v>0</v>
      </c>
      <c r="N154" s="80">
        <v>4.2000000000000003E-2</v>
      </c>
      <c r="O154" s="14"/>
      <c r="P154" s="14"/>
      <c r="R154" s="197">
        <f>'Parameters, country spec'!N23</f>
        <v>8.1866500320142158E-2</v>
      </c>
    </row>
    <row r="155" spans="1:18" x14ac:dyDescent="0.35">
      <c r="A155" s="22" t="s">
        <v>342</v>
      </c>
      <c r="B155" s="17" t="s">
        <v>229</v>
      </c>
      <c r="C155" s="17" t="s">
        <v>343</v>
      </c>
      <c r="D155" s="23" t="s">
        <v>26</v>
      </c>
      <c r="E155" s="23" t="s">
        <v>101</v>
      </c>
      <c r="F155" s="120">
        <f t="shared" si="25"/>
        <v>0.14599999999999999</v>
      </c>
      <c r="G155" s="80">
        <v>0</v>
      </c>
      <c r="H155" s="14">
        <v>2.7E-2</v>
      </c>
      <c r="I155" s="16">
        <v>0</v>
      </c>
      <c r="J155" s="14"/>
      <c r="K155" s="80">
        <v>7.0999999999999994E-2</v>
      </c>
      <c r="L155" s="16"/>
      <c r="M155" s="14">
        <v>6.0000000000000001E-3</v>
      </c>
      <c r="N155" s="80">
        <v>4.2000000000000003E-2</v>
      </c>
      <c r="O155" s="14"/>
      <c r="P155" s="14"/>
      <c r="R155" s="197">
        <f>'Parameters, country spec'!N24</f>
        <v>1.1994594385271529E-3</v>
      </c>
    </row>
    <row r="156" spans="1:18" x14ac:dyDescent="0.35">
      <c r="A156" s="22" t="s">
        <v>344</v>
      </c>
      <c r="B156" s="17" t="s">
        <v>230</v>
      </c>
      <c r="C156" s="17" t="s">
        <v>343</v>
      </c>
      <c r="D156" s="23" t="s">
        <v>26</v>
      </c>
      <c r="E156" s="23" t="s">
        <v>101</v>
      </c>
      <c r="F156" s="120">
        <f t="shared" si="25"/>
        <v>0.17</v>
      </c>
      <c r="G156" s="80">
        <v>4.0000000000000001E-3</v>
      </c>
      <c r="H156" s="14">
        <v>2.7E-2</v>
      </c>
      <c r="I156" s="16">
        <v>0</v>
      </c>
      <c r="J156" s="14"/>
      <c r="K156" s="80">
        <v>8.8999999999999996E-2</v>
      </c>
      <c r="L156" s="14"/>
      <c r="M156" s="14">
        <v>8.0000000000000002E-3</v>
      </c>
      <c r="N156" s="80">
        <v>4.2000000000000003E-2</v>
      </c>
      <c r="O156" s="14"/>
      <c r="P156" s="14"/>
      <c r="R156" s="197">
        <f>'Parameters, country spec'!N25</f>
        <v>1.1782644376318839E-3</v>
      </c>
    </row>
    <row r="157" spans="1:18" x14ac:dyDescent="0.35">
      <c r="B157" s="18" t="s">
        <v>231</v>
      </c>
      <c r="C157" s="17" t="s">
        <v>345</v>
      </c>
      <c r="D157" s="23" t="str">
        <f>'Off-farm feed'!$D$74</f>
        <v>France, Germany, Poland</v>
      </c>
      <c r="E157" s="23"/>
      <c r="F157" s="120">
        <f>SUM(G157:Q157)</f>
        <v>0.27085685084992916</v>
      </c>
      <c r="G157" s="220">
        <f>'Off-farm feed'!$F$74</f>
        <v>0.11176753125767681</v>
      </c>
      <c r="H157" s="220">
        <f>'Off-farm feed'!$G$74</f>
        <v>1.3034482758620692E-2</v>
      </c>
      <c r="I157" s="220">
        <f>'Off-farm feed'!$H$74</f>
        <v>0</v>
      </c>
      <c r="J157" s="220">
        <f>'Off-farm feed'!$I$74</f>
        <v>0</v>
      </c>
      <c r="K157" s="220">
        <f>'Off-farm feed'!$J$74</f>
        <v>2.4688740026345454E-2</v>
      </c>
      <c r="L157" s="220">
        <f>'Off-farm feed'!$K$74</f>
        <v>0</v>
      </c>
      <c r="M157" s="220">
        <f>'Off-farm feed'!$L$74</f>
        <v>1.931759303794134E-4</v>
      </c>
      <c r="N157" s="220">
        <f>'Off-farm feed'!$M$74</f>
        <v>3.6802128767029069E-2</v>
      </c>
      <c r="O157" s="220">
        <f>'Off-farm feed'!$N$74</f>
        <v>0</v>
      </c>
      <c r="P157" s="220">
        <f>'Off-farm feed'!$O$74</f>
        <v>2.1170792109877701E-2</v>
      </c>
      <c r="Q157" s="220">
        <f>'Off-farm feed'!$P$74</f>
        <v>6.3200000000000006E-2</v>
      </c>
      <c r="R157" s="197">
        <f>'Parameters, country spec'!N26</f>
        <v>5.1767642112223974E-4</v>
      </c>
    </row>
    <row r="158" spans="1:18" x14ac:dyDescent="0.35">
      <c r="B158" s="18" t="s">
        <v>346</v>
      </c>
      <c r="C158" s="17" t="s">
        <v>345</v>
      </c>
      <c r="D158" s="23" t="str">
        <f>'Off-farm feed'!$D$23</f>
        <v>Brazil, Argentina</v>
      </c>
      <c r="E158" s="23"/>
      <c r="F158" s="120">
        <f>SUM(G158:Q158)</f>
        <v>0.7061171705997602</v>
      </c>
      <c r="G158" s="220">
        <f>'Off-farm feed'!$F$23</f>
        <v>7.2632670993098931E-3</v>
      </c>
      <c r="H158" s="220">
        <f>'Off-farm feed'!$G$23</f>
        <v>2.1402439024390246E-2</v>
      </c>
      <c r="I158" s="220">
        <f>'Off-farm feed'!$H$23</f>
        <v>0</v>
      </c>
      <c r="J158" s="220">
        <f>'Off-farm feed'!$I$23</f>
        <v>0</v>
      </c>
      <c r="K158" s="220">
        <f>'Off-farm feed'!$J$23</f>
        <v>4.308361966433235E-2</v>
      </c>
      <c r="L158" s="220">
        <f>'Off-farm feed'!$K$23</f>
        <v>0</v>
      </c>
      <c r="M158" s="220">
        <f>'Off-farm feed'!$L$23</f>
        <v>1.7842060425123844E-4</v>
      </c>
      <c r="N158" s="220">
        <f>'Off-farm feed'!$M$23</f>
        <v>3.0432604948959403E-2</v>
      </c>
      <c r="O158" s="220">
        <f>'Off-farm feed'!$N$23</f>
        <v>0.31761120248475611</v>
      </c>
      <c r="P158" s="220">
        <f>'Off-farm feed'!$O$23</f>
        <v>3.5145616773760872E-2</v>
      </c>
      <c r="Q158" s="220">
        <f>'Off-farm feed'!$P$23</f>
        <v>0.251</v>
      </c>
      <c r="R158" s="197">
        <f>'Parameters, country spec'!N27</f>
        <v>9.8710786383614704E-2</v>
      </c>
    </row>
    <row r="159" spans="1:18" x14ac:dyDescent="0.35">
      <c r="B159" s="17" t="s">
        <v>233</v>
      </c>
      <c r="C159" s="17" t="s">
        <v>347</v>
      </c>
      <c r="D159" s="23" t="s">
        <v>26</v>
      </c>
      <c r="E159" s="23" t="s">
        <v>101</v>
      </c>
      <c r="F159" s="120"/>
      <c r="G159" s="108"/>
      <c r="H159" s="8"/>
      <c r="I159" s="107"/>
      <c r="J159" s="8"/>
      <c r="K159" s="108"/>
      <c r="L159" s="8"/>
      <c r="M159" s="8"/>
      <c r="N159" s="108"/>
      <c r="O159" s="8"/>
      <c r="P159" s="8"/>
      <c r="Q159" s="8"/>
      <c r="R159" s="197">
        <f>'Parameters, country spec'!N28</f>
        <v>7.7842176173985381E-2</v>
      </c>
    </row>
    <row r="160" spans="1:18" x14ac:dyDescent="0.35">
      <c r="A160" s="83"/>
      <c r="B160" s="17" t="s">
        <v>348</v>
      </c>
      <c r="C160" s="84" t="s">
        <v>349</v>
      </c>
      <c r="D160" s="23" t="s">
        <v>26</v>
      </c>
      <c r="E160" s="23" t="s">
        <v>101</v>
      </c>
      <c r="F160" s="120">
        <f t="shared" si="25"/>
        <v>0.17120515667569941</v>
      </c>
      <c r="G160" s="81">
        <f t="shared" ref="G160:N160" si="26">AVERAGE(G150:G158)</f>
        <v>5.5781199817442971E-2</v>
      </c>
      <c r="H160" s="81">
        <f t="shared" si="26"/>
        <v>2.4826324642556769E-2</v>
      </c>
      <c r="I160" s="81">
        <f t="shared" si="26"/>
        <v>0</v>
      </c>
      <c r="J160" s="81"/>
      <c r="K160" s="81">
        <f t="shared" si="26"/>
        <v>4.8752484410075313E-2</v>
      </c>
      <c r="L160" s="81"/>
      <c r="M160" s="81">
        <f t="shared" si="26"/>
        <v>1.7079551705145167E-3</v>
      </c>
      <c r="N160" s="81">
        <f t="shared" si="26"/>
        <v>4.0137192635109828E-2</v>
      </c>
      <c r="O160" s="81"/>
      <c r="P160" s="81"/>
      <c r="Q160" s="81"/>
      <c r="R160" s="197">
        <f>'Parameters, country spec'!N29</f>
        <v>6.7735219250121048E-2</v>
      </c>
    </row>
    <row r="161" spans="1:18" x14ac:dyDescent="0.35">
      <c r="A161" s="195"/>
      <c r="B161" s="25" t="s">
        <v>350</v>
      </c>
      <c r="C161" s="26"/>
      <c r="D161" s="103"/>
      <c r="E161" s="103"/>
      <c r="F161" s="27">
        <f>SUMPRODUCT(F150:F160,$R$150:$R$160)</f>
        <v>0.21472439521754261</v>
      </c>
      <c r="G161" s="27">
        <f>SUMPRODUCT(G150:G160,$R$150:$R$160)</f>
        <v>6.3244996840399831E-2</v>
      </c>
      <c r="H161" s="27">
        <f>SUMPRODUCT(H150:H160,$R$150:$R$160)</f>
        <v>2.4191257601670083E-2</v>
      </c>
      <c r="I161" s="27">
        <f>SUMPRODUCT(I150:I160,$R$150:$R$160)</f>
        <v>0</v>
      </c>
      <c r="J161" s="27"/>
      <c r="K161" s="27">
        <f>SUMPRODUCT(K150:K160,$R$150:$R$160)</f>
        <v>2.9990374813208192E-2</v>
      </c>
      <c r="L161" s="27"/>
      <c r="M161" s="27">
        <f>SUMPRODUCT(M150:M160,$R$150:$R$160)</f>
        <v>1.9684532094413215E-4</v>
      </c>
      <c r="N161" s="27">
        <f>SUMPRODUCT(N150:N160,$R$150:$R$160)</f>
        <v>3.7459933458135544E-2</v>
      </c>
      <c r="O161" s="27">
        <f>SUMPRODUCT(O150:O160,$R$150:$R$160)</f>
        <v>3.1351651561515759E-2</v>
      </c>
      <c r="P161" s="209">
        <f>SUMPRODUCT(P150:P160,R150:R160)</f>
        <v>3.4802110895668596E-3</v>
      </c>
      <c r="Q161" s="27">
        <f>SUMPRODUCT(Q150:Q160,$R$150:$R$160)</f>
        <v>2.4809124532102218E-2</v>
      </c>
      <c r="R161" s="198"/>
    </row>
    <row r="162" spans="1:18" x14ac:dyDescent="0.35">
      <c r="A162" s="22" t="s">
        <v>336</v>
      </c>
      <c r="B162" s="17" t="s">
        <v>218</v>
      </c>
      <c r="C162" s="17" t="s">
        <v>337</v>
      </c>
      <c r="D162" s="23" t="s">
        <v>27</v>
      </c>
      <c r="E162" s="23" t="s">
        <v>102</v>
      </c>
      <c r="F162" s="120">
        <f>SUM(G162:Q162)</f>
        <v>0.17200000000000001</v>
      </c>
      <c r="G162" s="80">
        <v>7.9000000000000001E-2</v>
      </c>
      <c r="H162" s="14">
        <v>2.7E-2</v>
      </c>
      <c r="I162" s="16">
        <v>0</v>
      </c>
      <c r="J162" s="14"/>
      <c r="K162" s="80">
        <v>2.5000000000000001E-2</v>
      </c>
      <c r="L162" s="14"/>
      <c r="M162" s="14">
        <v>0</v>
      </c>
      <c r="N162" s="80">
        <v>4.1000000000000002E-2</v>
      </c>
      <c r="O162" s="14"/>
      <c r="P162" s="14"/>
      <c r="R162" s="197">
        <f>'Parameters, country spec'!O19</f>
        <v>0.30763475488022607</v>
      </c>
    </row>
    <row r="163" spans="1:18" x14ac:dyDescent="0.35">
      <c r="A163" s="22" t="s">
        <v>338</v>
      </c>
      <c r="B163" s="17" t="s">
        <v>222</v>
      </c>
      <c r="C163" s="17" t="s">
        <v>337</v>
      </c>
      <c r="D163" s="23" t="s">
        <v>27</v>
      </c>
      <c r="E163" s="23" t="s">
        <v>102</v>
      </c>
      <c r="F163" s="120">
        <f t="shared" ref="F163:F172" si="27">SUM(G163:Q163)</f>
        <v>0</v>
      </c>
      <c r="G163" s="80"/>
      <c r="H163" s="14"/>
      <c r="I163" s="16"/>
      <c r="J163" s="14"/>
      <c r="K163" s="80"/>
      <c r="L163" s="14"/>
      <c r="M163" s="14"/>
      <c r="N163" s="80"/>
      <c r="O163" s="14"/>
      <c r="P163" s="14"/>
      <c r="R163" s="197">
        <f>'Parameters, country spec'!O20</f>
        <v>8.4790139584359644E-2</v>
      </c>
    </row>
    <row r="164" spans="1:18" x14ac:dyDescent="0.35">
      <c r="A164" s="22" t="s">
        <v>339</v>
      </c>
      <c r="B164" s="17" t="s">
        <v>226</v>
      </c>
      <c r="C164" s="17" t="s">
        <v>337</v>
      </c>
      <c r="D164" s="23" t="s">
        <v>27</v>
      </c>
      <c r="E164" s="23" t="s">
        <v>102</v>
      </c>
      <c r="F164" s="120">
        <f t="shared" si="27"/>
        <v>0.16200000000000001</v>
      </c>
      <c r="G164" s="80">
        <v>7.0000000000000007E-2</v>
      </c>
      <c r="H164" s="14">
        <v>2.7E-2</v>
      </c>
      <c r="I164" s="16">
        <v>0</v>
      </c>
      <c r="J164" s="14"/>
      <c r="K164" s="80">
        <v>2.4E-2</v>
      </c>
      <c r="L164" s="14"/>
      <c r="M164" s="14">
        <v>0</v>
      </c>
      <c r="N164" s="80">
        <v>4.1000000000000002E-2</v>
      </c>
      <c r="O164" s="14"/>
      <c r="P164" s="14"/>
      <c r="R164" s="197">
        <f>'Parameters, country spec'!O21</f>
        <v>1.77320656507646E-2</v>
      </c>
    </row>
    <row r="165" spans="1:18" x14ac:dyDescent="0.35">
      <c r="A165" s="22" t="s">
        <v>340</v>
      </c>
      <c r="B165" s="17" t="s">
        <v>227</v>
      </c>
      <c r="C165" s="17" t="s">
        <v>337</v>
      </c>
      <c r="D165" s="23" t="s">
        <v>27</v>
      </c>
      <c r="E165" s="23" t="s">
        <v>102</v>
      </c>
      <c r="F165" s="120">
        <f t="shared" si="27"/>
        <v>0.185</v>
      </c>
      <c r="G165" s="80">
        <v>6.2E-2</v>
      </c>
      <c r="H165" s="14">
        <v>2.7E-2</v>
      </c>
      <c r="I165" s="14">
        <v>0</v>
      </c>
      <c r="J165" s="14"/>
      <c r="K165" s="80">
        <v>5.5E-2</v>
      </c>
      <c r="L165" s="14"/>
      <c r="M165" s="14">
        <v>0</v>
      </c>
      <c r="N165" s="80">
        <v>4.1000000000000002E-2</v>
      </c>
      <c r="O165" s="14"/>
      <c r="P165" s="14"/>
      <c r="R165" s="197">
        <f>'Parameters, country spec'!O22</f>
        <v>0</v>
      </c>
    </row>
    <row r="166" spans="1:18" x14ac:dyDescent="0.35">
      <c r="A166" s="22" t="s">
        <v>341</v>
      </c>
      <c r="B166" s="17" t="s">
        <v>228</v>
      </c>
      <c r="C166" s="17" t="s">
        <v>337</v>
      </c>
      <c r="D166" s="23" t="s">
        <v>27</v>
      </c>
      <c r="E166" s="23" t="s">
        <v>102</v>
      </c>
      <c r="F166" s="120">
        <f t="shared" si="27"/>
        <v>0.18</v>
      </c>
      <c r="G166" s="80">
        <v>9.0999999999999998E-2</v>
      </c>
      <c r="H166" s="14">
        <v>2.7E-2</v>
      </c>
      <c r="I166" s="14">
        <v>0</v>
      </c>
      <c r="J166" s="14"/>
      <c r="K166" s="80">
        <v>2.1000000000000001E-2</v>
      </c>
      <c r="L166" s="14"/>
      <c r="M166" s="14">
        <v>0</v>
      </c>
      <c r="N166" s="80">
        <v>4.1000000000000002E-2</v>
      </c>
      <c r="O166" s="14"/>
      <c r="P166" s="14"/>
      <c r="R166" s="197">
        <f>'Parameters, country spec'!O23</f>
        <v>0.13212925363733041</v>
      </c>
    </row>
    <row r="167" spans="1:18" x14ac:dyDescent="0.35">
      <c r="A167" s="22" t="s">
        <v>342</v>
      </c>
      <c r="B167" s="17" t="s">
        <v>229</v>
      </c>
      <c r="C167" s="17" t="s">
        <v>343</v>
      </c>
      <c r="D167" s="23" t="s">
        <v>27</v>
      </c>
      <c r="E167" s="23" t="s">
        <v>102</v>
      </c>
      <c r="F167" s="120">
        <f t="shared" si="27"/>
        <v>0.11399999999999999</v>
      </c>
      <c r="G167" s="80">
        <v>0</v>
      </c>
      <c r="H167" s="14">
        <v>2.7E-2</v>
      </c>
      <c r="I167" s="16">
        <v>0</v>
      </c>
      <c r="J167" s="14"/>
      <c r="K167" s="80">
        <v>4.4999999999999998E-2</v>
      </c>
      <c r="L167" s="16"/>
      <c r="M167" s="14">
        <v>1E-3</v>
      </c>
      <c r="N167" s="80">
        <v>4.1000000000000002E-2</v>
      </c>
      <c r="O167" s="14"/>
      <c r="P167" s="14"/>
      <c r="R167" s="197">
        <f>'Parameters, country spec'!O24</f>
        <v>1.3715568697676599E-3</v>
      </c>
    </row>
    <row r="168" spans="1:18" x14ac:dyDescent="0.35">
      <c r="A168" s="22" t="s">
        <v>344</v>
      </c>
      <c r="B168" s="17" t="s">
        <v>230</v>
      </c>
      <c r="C168" s="17" t="s">
        <v>343</v>
      </c>
      <c r="D168" s="23" t="s">
        <v>27</v>
      </c>
      <c r="E168" s="23" t="s">
        <v>102</v>
      </c>
      <c r="F168" s="120">
        <f t="shared" si="27"/>
        <v>0.10700000000000001</v>
      </c>
      <c r="G168" s="80">
        <v>4.0000000000000001E-3</v>
      </c>
      <c r="H168" s="14">
        <v>2.7E-2</v>
      </c>
      <c r="I168" s="16">
        <v>0</v>
      </c>
      <c r="J168" s="14"/>
      <c r="K168" s="80">
        <v>3.5000000000000003E-2</v>
      </c>
      <c r="L168" s="14"/>
      <c r="M168" s="14">
        <v>0</v>
      </c>
      <c r="N168" s="80">
        <v>4.1000000000000002E-2</v>
      </c>
      <c r="O168" s="14"/>
      <c r="P168" s="14"/>
      <c r="R168" s="197">
        <f>'Parameters, country spec'!O25</f>
        <v>1.3473208286461219E-3</v>
      </c>
    </row>
    <row r="169" spans="1:18" x14ac:dyDescent="0.35">
      <c r="B169" s="18" t="s">
        <v>231</v>
      </c>
      <c r="C169" s="17" t="s">
        <v>345</v>
      </c>
      <c r="D169" s="23" t="str">
        <f>'Off-farm feed'!$D$74</f>
        <v>France, Germany, Poland</v>
      </c>
      <c r="E169" s="23"/>
      <c r="F169" s="120">
        <f>SUM(G169:Q169)</f>
        <v>0.27085685084992916</v>
      </c>
      <c r="G169" s="220">
        <f>'Off-farm feed'!$F$74</f>
        <v>0.11176753125767681</v>
      </c>
      <c r="H169" s="220">
        <f>'Off-farm feed'!$G$74</f>
        <v>1.3034482758620692E-2</v>
      </c>
      <c r="I169" s="220">
        <f>'Off-farm feed'!$H$74</f>
        <v>0</v>
      </c>
      <c r="J169" s="220">
        <f>'Off-farm feed'!$I$74</f>
        <v>0</v>
      </c>
      <c r="K169" s="220">
        <f>'Off-farm feed'!$J$74</f>
        <v>2.4688740026345454E-2</v>
      </c>
      <c r="L169" s="220">
        <f>'Off-farm feed'!$K$74</f>
        <v>0</v>
      </c>
      <c r="M169" s="220">
        <f>'Off-farm feed'!$L$74</f>
        <v>1.931759303794134E-4</v>
      </c>
      <c r="N169" s="220">
        <f>'Off-farm feed'!$M$74</f>
        <v>3.6802128767029069E-2</v>
      </c>
      <c r="O169" s="220">
        <f>'Off-farm feed'!$N$74</f>
        <v>0</v>
      </c>
      <c r="P169" s="220">
        <f>'Off-farm feed'!$O$74</f>
        <v>2.1170792109877701E-2</v>
      </c>
      <c r="Q169" s="220">
        <f>'Off-farm feed'!$P$74</f>
        <v>6.3200000000000006E-2</v>
      </c>
      <c r="R169" s="197">
        <f>'Parameters, country spec'!O26</f>
        <v>7.3430139783317777E-2</v>
      </c>
    </row>
    <row r="170" spans="1:18" x14ac:dyDescent="0.35">
      <c r="B170" s="18" t="s">
        <v>346</v>
      </c>
      <c r="C170" s="17" t="s">
        <v>345</v>
      </c>
      <c r="D170" s="23" t="str">
        <f>'Off-farm feed'!$D$23</f>
        <v>Brazil, Argentina</v>
      </c>
      <c r="E170" s="23"/>
      <c r="F170" s="120">
        <f>SUM(G170:Q170)</f>
        <v>0.7061171705997602</v>
      </c>
      <c r="G170" s="220">
        <f>'Off-farm feed'!$F$23</f>
        <v>7.2632670993098931E-3</v>
      </c>
      <c r="H170" s="220">
        <f>'Off-farm feed'!$G$23</f>
        <v>2.1402439024390246E-2</v>
      </c>
      <c r="I170" s="220">
        <f>'Off-farm feed'!$H$23</f>
        <v>0</v>
      </c>
      <c r="J170" s="220">
        <f>'Off-farm feed'!$I$23</f>
        <v>0</v>
      </c>
      <c r="K170" s="220">
        <f>'Off-farm feed'!$J$23</f>
        <v>4.308361966433235E-2</v>
      </c>
      <c r="L170" s="220">
        <f>'Off-farm feed'!$K$23</f>
        <v>0</v>
      </c>
      <c r="M170" s="220">
        <f>'Off-farm feed'!$L$23</f>
        <v>1.7842060425123844E-4</v>
      </c>
      <c r="N170" s="220">
        <f>'Off-farm feed'!$M$23</f>
        <v>3.0432604948959403E-2</v>
      </c>
      <c r="O170" s="220">
        <f>'Off-farm feed'!$N$23</f>
        <v>0.31761120248475611</v>
      </c>
      <c r="P170" s="220">
        <f>'Off-farm feed'!$O$23</f>
        <v>3.5145616773760872E-2</v>
      </c>
      <c r="Q170" s="220">
        <f>'Off-farm feed'!$P$23</f>
        <v>0.251</v>
      </c>
      <c r="R170" s="197">
        <f>'Parameters, country spec'!O27</f>
        <v>0.13973103889626368</v>
      </c>
    </row>
    <row r="171" spans="1:18" x14ac:dyDescent="0.35">
      <c r="B171" s="17" t="s">
        <v>233</v>
      </c>
      <c r="C171" s="17" t="s">
        <v>347</v>
      </c>
      <c r="D171" s="23" t="s">
        <v>27</v>
      </c>
      <c r="E171" s="23" t="s">
        <v>102</v>
      </c>
      <c r="F171" s="120"/>
      <c r="G171" s="108"/>
      <c r="H171" s="8"/>
      <c r="I171" s="107"/>
      <c r="J171" s="8"/>
      <c r="K171" s="108"/>
      <c r="L171" s="8"/>
      <c r="M171" s="8"/>
      <c r="N171" s="108"/>
      <c r="O171" s="8"/>
      <c r="P171" s="8"/>
      <c r="Q171" s="8"/>
      <c r="R171" s="197">
        <f>'Parameters, country spec'!O28</f>
        <v>0.13800716313225697</v>
      </c>
    </row>
    <row r="172" spans="1:18" x14ac:dyDescent="0.35">
      <c r="A172" s="83"/>
      <c r="B172" s="17" t="s">
        <v>348</v>
      </c>
      <c r="C172" s="84" t="s">
        <v>349</v>
      </c>
      <c r="D172" s="23" t="s">
        <v>27</v>
      </c>
      <c r="E172" s="23" t="s">
        <v>102</v>
      </c>
      <c r="F172" s="120">
        <f t="shared" si="27"/>
        <v>0.15110580126016182</v>
      </c>
      <c r="G172" s="81">
        <f t="shared" ref="G172:N172" si="28">AVERAGE(G162:G170)</f>
        <v>5.3128849794623345E-2</v>
      </c>
      <c r="H172" s="81">
        <f t="shared" si="28"/>
        <v>2.4554615222876365E-2</v>
      </c>
      <c r="I172" s="81">
        <f t="shared" si="28"/>
        <v>0</v>
      </c>
      <c r="J172" s="81"/>
      <c r="K172" s="81">
        <f t="shared" si="28"/>
        <v>3.409654496133472E-2</v>
      </c>
      <c r="L172" s="81"/>
      <c r="M172" s="81">
        <f t="shared" si="28"/>
        <v>1.7144956682883149E-4</v>
      </c>
      <c r="N172" s="81">
        <f t="shared" si="28"/>
        <v>3.915434171449856E-2</v>
      </c>
      <c r="O172" s="81"/>
      <c r="P172" s="81"/>
      <c r="Q172" s="81"/>
      <c r="R172" s="197">
        <f>'Parameters, country spec'!O29</f>
        <v>0.1038265667370671</v>
      </c>
    </row>
    <row r="173" spans="1:18" x14ac:dyDescent="0.35">
      <c r="A173" s="195"/>
      <c r="B173" s="25" t="s">
        <v>350</v>
      </c>
      <c r="C173" s="26"/>
      <c r="D173" s="103"/>
      <c r="E173" s="103"/>
      <c r="F173" s="27">
        <f>SUMPRODUCT(F162:F172,$R$162:$R$172)</f>
        <v>0.21411389774983139</v>
      </c>
      <c r="G173" s="27">
        <f>SUMPRODUCT(G162:G172,$R$162:$R$172)</f>
        <v>5.2311736965323277E-2</v>
      </c>
      <c r="H173" s="27">
        <f>SUMPRODUCT(H162:H172,$R$162:$R$172)</f>
        <v>1.8922934027303565E-2</v>
      </c>
      <c r="I173" s="27">
        <f>SUMPRODUCT(I162:I172,$R$162:$R$172)</f>
        <v>0</v>
      </c>
      <c r="J173" s="27"/>
      <c r="K173" s="27">
        <f>SUMPRODUCT(K162:K172,$R$162:$R$172)</f>
        <v>2.2373172829398724E-2</v>
      </c>
      <c r="L173" s="27"/>
      <c r="M173" s="27">
        <f>SUMPRODUCT(M162:M172,$R$162:$R$172)</f>
        <v>5.8288408725220032E-5</v>
      </c>
      <c r="N173" s="27">
        <f>SUMPRODUCT(N162:N172,$R$162:$R$172)</f>
        <v>2.9888838865126721E-2</v>
      </c>
      <c r="O173" s="27">
        <f>SUMPRODUCT(O162:O172,$R$162:$R$172)</f>
        <v>4.438014328828653E-2</v>
      </c>
      <c r="P173" s="209">
        <f>SUMPRODUCT(P162:P172,R162:R172)</f>
        <v>6.4655077683994384E-3</v>
      </c>
      <c r="Q173" s="27">
        <f>SUMPRODUCT(Q162:Q172,$R$162:$R$172)</f>
        <v>3.9713275597267866E-2</v>
      </c>
      <c r="R173" s="198"/>
    </row>
    <row r="174" spans="1:18" x14ac:dyDescent="0.35">
      <c r="A174" s="22" t="s">
        <v>336</v>
      </c>
      <c r="B174" s="17" t="s">
        <v>218</v>
      </c>
      <c r="C174" s="17" t="s">
        <v>337</v>
      </c>
      <c r="D174" s="23" t="s">
        <v>30</v>
      </c>
      <c r="E174" s="23" t="s">
        <v>103</v>
      </c>
      <c r="F174" s="120">
        <f>SUM(G174:Q174)</f>
        <v>0.192</v>
      </c>
      <c r="G174" s="80">
        <v>7.9000000000000001E-2</v>
      </c>
      <c r="H174" s="14">
        <v>2.7E-2</v>
      </c>
      <c r="I174" s="16">
        <v>0</v>
      </c>
      <c r="J174" s="14"/>
      <c r="K174" s="80">
        <v>4.4999999999999998E-2</v>
      </c>
      <c r="L174" s="14"/>
      <c r="M174" s="14">
        <v>0</v>
      </c>
      <c r="N174" s="80">
        <v>4.1000000000000002E-2</v>
      </c>
      <c r="O174" s="14"/>
      <c r="P174" s="14"/>
      <c r="R174" s="197">
        <f>'Parameters, country spec'!P19</f>
        <v>6.9755357742184998E-2</v>
      </c>
    </row>
    <row r="175" spans="1:18" x14ac:dyDescent="0.35">
      <c r="A175" s="22" t="s">
        <v>338</v>
      </c>
      <c r="B175" s="17" t="s">
        <v>222</v>
      </c>
      <c r="C175" s="17" t="s">
        <v>337</v>
      </c>
      <c r="D175" s="23" t="s">
        <v>30</v>
      </c>
      <c r="E175" s="23" t="s">
        <v>103</v>
      </c>
      <c r="F175" s="120">
        <f t="shared" ref="F175:F184" si="29">SUM(G175:Q175)</f>
        <v>0.17100000000000001</v>
      </c>
      <c r="G175" s="80">
        <v>7.6999999999999999E-2</v>
      </c>
      <c r="H175" s="14">
        <v>2.7E-2</v>
      </c>
      <c r="I175" s="16">
        <v>0</v>
      </c>
      <c r="J175" s="14"/>
      <c r="K175" s="80">
        <v>1.7999999999999999E-2</v>
      </c>
      <c r="L175" s="14"/>
      <c r="M175" s="14">
        <v>8.0000000000000002E-3</v>
      </c>
      <c r="N175" s="80">
        <v>4.1000000000000002E-2</v>
      </c>
      <c r="O175" s="14"/>
      <c r="P175" s="14"/>
      <c r="R175" s="197">
        <f>'Parameters, country spec'!P20</f>
        <v>0.45612129266564322</v>
      </c>
    </row>
    <row r="176" spans="1:18" x14ac:dyDescent="0.35">
      <c r="A176" s="22" t="s">
        <v>339</v>
      </c>
      <c r="B176" s="17" t="s">
        <v>226</v>
      </c>
      <c r="C176" s="17" t="s">
        <v>337</v>
      </c>
      <c r="D176" s="23" t="s">
        <v>30</v>
      </c>
      <c r="E176" s="23" t="s">
        <v>103</v>
      </c>
      <c r="F176" s="120">
        <f t="shared" si="29"/>
        <v>0.22500000000000001</v>
      </c>
      <c r="G176" s="80">
        <v>7.0000000000000007E-2</v>
      </c>
      <c r="H176" s="14">
        <v>2.7E-2</v>
      </c>
      <c r="I176" s="16">
        <v>0</v>
      </c>
      <c r="J176" s="14"/>
      <c r="K176" s="80">
        <v>7.9000000000000001E-2</v>
      </c>
      <c r="L176" s="14"/>
      <c r="M176" s="14">
        <v>8.0000000000000002E-3</v>
      </c>
      <c r="N176" s="80">
        <v>4.1000000000000002E-2</v>
      </c>
      <c r="O176" s="14"/>
      <c r="P176" s="14"/>
      <c r="R176" s="197">
        <f>'Parameters, country spec'!P21</f>
        <v>1.4486341810785938E-2</v>
      </c>
    </row>
    <row r="177" spans="1:18" x14ac:dyDescent="0.35">
      <c r="A177" s="22" t="s">
        <v>340</v>
      </c>
      <c r="B177" s="17" t="s">
        <v>227</v>
      </c>
      <c r="C177" s="17" t="s">
        <v>337</v>
      </c>
      <c r="D177" s="23" t="s">
        <v>30</v>
      </c>
      <c r="E177" s="23" t="s">
        <v>103</v>
      </c>
      <c r="F177" s="120">
        <f t="shared" si="29"/>
        <v>0.187</v>
      </c>
      <c r="G177" s="80">
        <v>6.2E-2</v>
      </c>
      <c r="H177" s="14">
        <v>2.7E-2</v>
      </c>
      <c r="I177" s="14">
        <v>0</v>
      </c>
      <c r="J177" s="14"/>
      <c r="K177" s="80">
        <v>5.7000000000000002E-2</v>
      </c>
      <c r="L177" s="14"/>
      <c r="M177" s="14">
        <v>0</v>
      </c>
      <c r="N177" s="80">
        <v>4.1000000000000002E-2</v>
      </c>
      <c r="O177" s="14"/>
      <c r="P177" s="14"/>
      <c r="R177" s="197">
        <f>'Parameters, country spec'!P22</f>
        <v>1.154218810875446E-3</v>
      </c>
    </row>
    <row r="178" spans="1:18" x14ac:dyDescent="0.35">
      <c r="A178" s="22" t="s">
        <v>341</v>
      </c>
      <c r="B178" s="17" t="s">
        <v>228</v>
      </c>
      <c r="C178" s="17" t="s">
        <v>337</v>
      </c>
      <c r="D178" s="23" t="s">
        <v>30</v>
      </c>
      <c r="E178" s="23" t="s">
        <v>103</v>
      </c>
      <c r="F178" s="120">
        <f t="shared" si="29"/>
        <v>0.20899999999999999</v>
      </c>
      <c r="G178" s="80">
        <v>9.0999999999999998E-2</v>
      </c>
      <c r="H178" s="14">
        <v>2.7E-2</v>
      </c>
      <c r="I178" s="14">
        <v>0</v>
      </c>
      <c r="J178" s="14"/>
      <c r="K178" s="80">
        <v>4.8000000000000001E-2</v>
      </c>
      <c r="L178" s="14"/>
      <c r="M178" s="14">
        <v>2E-3</v>
      </c>
      <c r="N178" s="80">
        <v>4.1000000000000002E-2</v>
      </c>
      <c r="O178" s="14"/>
      <c r="P178" s="14"/>
      <c r="R178" s="197">
        <f>'Parameters, country spec'!P23</f>
        <v>6.607302843520492E-2</v>
      </c>
    </row>
    <row r="179" spans="1:18" x14ac:dyDescent="0.35">
      <c r="A179" s="22" t="s">
        <v>342</v>
      </c>
      <c r="B179" s="17" t="s">
        <v>229</v>
      </c>
      <c r="C179" s="17" t="s">
        <v>343</v>
      </c>
      <c r="D179" s="23" t="s">
        <v>30</v>
      </c>
      <c r="E179" s="23" t="s">
        <v>103</v>
      </c>
      <c r="F179" s="120">
        <f t="shared" si="29"/>
        <v>0.127</v>
      </c>
      <c r="G179" s="80">
        <v>0</v>
      </c>
      <c r="H179" s="14">
        <v>2.7E-2</v>
      </c>
      <c r="I179" s="16">
        <v>0</v>
      </c>
      <c r="J179" s="14"/>
      <c r="K179" s="80">
        <v>5.8000000000000003E-2</v>
      </c>
      <c r="L179" s="16"/>
      <c r="M179" s="14">
        <v>1E-3</v>
      </c>
      <c r="N179" s="80">
        <v>4.1000000000000002E-2</v>
      </c>
      <c r="O179" s="14"/>
      <c r="P179" s="14"/>
      <c r="R179" s="197">
        <f>'Parameters, country spec'!P24</f>
        <v>2.8132125343424525E-3</v>
      </c>
    </row>
    <row r="180" spans="1:18" x14ac:dyDescent="0.35">
      <c r="A180" s="22" t="s">
        <v>344</v>
      </c>
      <c r="B180" s="17" t="s">
        <v>230</v>
      </c>
      <c r="C180" s="17" t="s">
        <v>343</v>
      </c>
      <c r="D180" s="23" t="s">
        <v>30</v>
      </c>
      <c r="E180" s="23" t="s">
        <v>103</v>
      </c>
      <c r="F180" s="120">
        <f t="shared" si="29"/>
        <v>0.159</v>
      </c>
      <c r="G180" s="80">
        <v>4.0000000000000001E-3</v>
      </c>
      <c r="H180" s="14">
        <v>2.7E-2</v>
      </c>
      <c r="I180" s="16">
        <v>0</v>
      </c>
      <c r="J180" s="14"/>
      <c r="K180" s="80">
        <v>8.6999999999999994E-2</v>
      </c>
      <c r="L180" s="14"/>
      <c r="M180" s="14">
        <v>0</v>
      </c>
      <c r="N180" s="80">
        <v>4.1000000000000002E-2</v>
      </c>
      <c r="O180" s="14"/>
      <c r="P180" s="14"/>
      <c r="R180" s="197">
        <f>'Parameters, country spec'!P25</f>
        <v>2.763501773404974E-3</v>
      </c>
    </row>
    <row r="181" spans="1:18" x14ac:dyDescent="0.35">
      <c r="B181" s="18" t="s">
        <v>231</v>
      </c>
      <c r="C181" s="17" t="s">
        <v>345</v>
      </c>
      <c r="D181" s="23" t="str">
        <f>'Off-farm feed'!$D$74</f>
        <v>France, Germany, Poland</v>
      </c>
      <c r="E181" s="23"/>
      <c r="F181" s="120">
        <f>SUM(G181:Q181)</f>
        <v>0.27085685084992916</v>
      </c>
      <c r="G181" s="220">
        <f>'Off-farm feed'!$F$74</f>
        <v>0.11176753125767681</v>
      </c>
      <c r="H181" s="220">
        <f>'Off-farm feed'!$G$74</f>
        <v>1.3034482758620692E-2</v>
      </c>
      <c r="I181" s="220">
        <f>'Off-farm feed'!$H$74</f>
        <v>0</v>
      </c>
      <c r="J181" s="220">
        <f>'Off-farm feed'!$I$74</f>
        <v>0</v>
      </c>
      <c r="K181" s="220">
        <f>'Off-farm feed'!$J$74</f>
        <v>2.4688740026345454E-2</v>
      </c>
      <c r="L181" s="220">
        <f>'Off-farm feed'!$K$74</f>
        <v>0</v>
      </c>
      <c r="M181" s="220">
        <f>'Off-farm feed'!$L$74</f>
        <v>1.931759303794134E-4</v>
      </c>
      <c r="N181" s="220">
        <f>'Off-farm feed'!$M$74</f>
        <v>3.6802128767029069E-2</v>
      </c>
      <c r="O181" s="220">
        <f>'Off-farm feed'!$N$74</f>
        <v>0</v>
      </c>
      <c r="P181" s="220">
        <f>'Off-farm feed'!$O$74</f>
        <v>2.1170792109877701E-2</v>
      </c>
      <c r="Q181" s="220">
        <f>'Off-farm feed'!$P$74</f>
        <v>6.3200000000000006E-2</v>
      </c>
      <c r="R181" s="197">
        <f>'Parameters, country spec'!P26</f>
        <v>4.7386628229038642E-3</v>
      </c>
    </row>
    <row r="182" spans="1:18" x14ac:dyDescent="0.35">
      <c r="B182" s="18" t="s">
        <v>346</v>
      </c>
      <c r="C182" s="17" t="s">
        <v>345</v>
      </c>
      <c r="D182" s="23" t="str">
        <f>'Off-farm feed'!$D$23</f>
        <v>Brazil, Argentina</v>
      </c>
      <c r="E182" s="23"/>
      <c r="F182" s="120">
        <f>SUM(G182:Q182)</f>
        <v>0.7061171705997602</v>
      </c>
      <c r="G182" s="220">
        <f>'Off-farm feed'!$F$23</f>
        <v>7.2632670993098931E-3</v>
      </c>
      <c r="H182" s="220">
        <f>'Off-farm feed'!$G$23</f>
        <v>2.1402439024390246E-2</v>
      </c>
      <c r="I182" s="220">
        <f>'Off-farm feed'!$H$23</f>
        <v>0</v>
      </c>
      <c r="J182" s="220">
        <f>'Off-farm feed'!$I$23</f>
        <v>0</v>
      </c>
      <c r="K182" s="220">
        <f>'Off-farm feed'!$J$23</f>
        <v>4.308361966433235E-2</v>
      </c>
      <c r="L182" s="220">
        <f>'Off-farm feed'!$K$23</f>
        <v>0</v>
      </c>
      <c r="M182" s="220">
        <f>'Off-farm feed'!$L$23</f>
        <v>1.7842060425123844E-4</v>
      </c>
      <c r="N182" s="220">
        <f>'Off-farm feed'!$M$23</f>
        <v>3.0432604948959403E-2</v>
      </c>
      <c r="O182" s="220">
        <f>'Off-farm feed'!$N$23</f>
        <v>0.31761120248475611</v>
      </c>
      <c r="P182" s="220">
        <f>'Off-farm feed'!$O$23</f>
        <v>3.5145616773760872E-2</v>
      </c>
      <c r="Q182" s="220">
        <f>'Off-farm feed'!$P$23</f>
        <v>0.251</v>
      </c>
      <c r="R182" s="197">
        <f>'Parameters, country spec'!P27</f>
        <v>0.11699211590575154</v>
      </c>
    </row>
    <row r="183" spans="1:18" x14ac:dyDescent="0.35">
      <c r="B183" s="17" t="s">
        <v>233</v>
      </c>
      <c r="C183" s="17" t="s">
        <v>347</v>
      </c>
      <c r="D183" s="23" t="s">
        <v>30</v>
      </c>
      <c r="E183" s="23" t="s">
        <v>103</v>
      </c>
      <c r="F183" s="120"/>
      <c r="G183" s="108"/>
      <c r="H183" s="8"/>
      <c r="I183" s="107"/>
      <c r="J183" s="8"/>
      <c r="K183" s="108"/>
      <c r="L183" s="8"/>
      <c r="M183" s="8"/>
      <c r="N183" s="108"/>
      <c r="O183" s="8"/>
      <c r="P183" s="8"/>
      <c r="Q183" s="8"/>
      <c r="R183" s="197">
        <f>'Parameters, country spec'!P28</f>
        <v>0.12350411469968688</v>
      </c>
    </row>
    <row r="184" spans="1:18" x14ac:dyDescent="0.35">
      <c r="A184" s="83"/>
      <c r="B184" s="17" t="s">
        <v>348</v>
      </c>
      <c r="C184" s="84" t="s">
        <v>349</v>
      </c>
      <c r="D184" s="23" t="s">
        <v>30</v>
      </c>
      <c r="E184" s="23" t="s">
        <v>103</v>
      </c>
      <c r="F184" s="120">
        <f t="shared" si="29"/>
        <v>0.17320515667569941</v>
      </c>
      <c r="G184" s="81">
        <f t="shared" ref="G184:N184" si="30">AVERAGE(G174:G182)</f>
        <v>5.5781199817442971E-2</v>
      </c>
      <c r="H184" s="81">
        <f t="shared" si="30"/>
        <v>2.4826324642556769E-2</v>
      </c>
      <c r="I184" s="81">
        <f t="shared" si="30"/>
        <v>0</v>
      </c>
      <c r="J184" s="81"/>
      <c r="K184" s="81">
        <f t="shared" si="30"/>
        <v>5.1085817743408646E-2</v>
      </c>
      <c r="L184" s="81"/>
      <c r="M184" s="81">
        <f t="shared" si="30"/>
        <v>2.1523996149589615E-3</v>
      </c>
      <c r="N184" s="81">
        <f t="shared" si="30"/>
        <v>3.9359414857332048E-2</v>
      </c>
      <c r="O184" s="81"/>
      <c r="P184" s="81"/>
      <c r="Q184" s="81"/>
      <c r="R184" s="197">
        <f>'Parameters, country spec'!P29</f>
        <v>0.14159815279921578</v>
      </c>
    </row>
    <row r="185" spans="1:18" x14ac:dyDescent="0.35">
      <c r="A185" s="195"/>
      <c r="B185" s="25" t="s">
        <v>350</v>
      </c>
      <c r="C185" s="26"/>
      <c r="D185" s="103"/>
      <c r="E185" s="103"/>
      <c r="F185" s="27">
        <f>SUMPRODUCT(F174:F184,$R$174:$R$184)</f>
        <v>0.21789014467005341</v>
      </c>
      <c r="G185" s="27">
        <f>SUMPRODUCT(G174:G184,$R$174:$R$184)</f>
        <v>5.7019206371202974E-2</v>
      </c>
      <c r="H185" s="27">
        <f>SUMPRODUCT(H174:H184,$R$174:$R$184)</f>
        <v>2.2636552107906924E-2</v>
      </c>
      <c r="I185" s="27">
        <f>SUMPRODUCT(I174:I184,$R$174:$R$184)</f>
        <v>0</v>
      </c>
      <c r="J185" s="27"/>
      <c r="K185" s="27">
        <f>SUMPRODUCT(K174:K184,$R$174:$R$184)</f>
        <v>2.8525575054439957E-2</v>
      </c>
      <c r="L185" s="27"/>
      <c r="M185" s="27">
        <f>SUMPRODUCT(M174:M184,$R$174:$R$184)</f>
        <v>4.2263853543922222E-3</v>
      </c>
      <c r="N185" s="27">
        <f>SUMPRODUCT(N174:N184,$R$174:$R$184)</f>
        <v>3.4447833268620991E-2</v>
      </c>
      <c r="O185" s="27">
        <f>SUMPRODUCT(O174:O184,$R$174:$R$184)</f>
        <v>3.7158006614061705E-2</v>
      </c>
      <c r="P185" s="209">
        <f>SUMPRODUCT(P174:P184,R174:R184)</f>
        <v>4.2120813166774615E-3</v>
      </c>
      <c r="Q185" s="27">
        <f>SUMPRODUCT(Q174:Q184,$R$174:$R$184)</f>
        <v>2.9664504582751158E-2</v>
      </c>
      <c r="R185" s="198"/>
    </row>
    <row r="186" spans="1:18" x14ac:dyDescent="0.35">
      <c r="A186" s="22" t="s">
        <v>336</v>
      </c>
      <c r="B186" s="17" t="s">
        <v>218</v>
      </c>
      <c r="C186" s="17" t="s">
        <v>337</v>
      </c>
      <c r="D186" s="23" t="s">
        <v>104</v>
      </c>
      <c r="E186" s="23" t="s">
        <v>105</v>
      </c>
      <c r="F186" s="120">
        <f>SUM(G186:Q186)</f>
        <v>0.16697655355390587</v>
      </c>
      <c r="G186" s="80">
        <v>6.4330297358443381E-2</v>
      </c>
      <c r="H186" s="14">
        <v>2.7E-2</v>
      </c>
      <c r="I186" s="303">
        <v>0</v>
      </c>
      <c r="J186" s="14"/>
      <c r="K186" s="80">
        <v>4.0808656195462478E-2</v>
      </c>
      <c r="L186" s="14"/>
      <c r="M186" s="14">
        <v>0</v>
      </c>
      <c r="N186" s="80">
        <v>3.4837600000000003E-2</v>
      </c>
      <c r="O186" s="14"/>
      <c r="P186" s="14"/>
      <c r="R186" s="197">
        <f>'Parameters, country spec'!Q19</f>
        <v>1.025159863159307E-2</v>
      </c>
    </row>
    <row r="187" spans="1:18" x14ac:dyDescent="0.35">
      <c r="A187" s="22" t="s">
        <v>338</v>
      </c>
      <c r="B187" s="17" t="s">
        <v>222</v>
      </c>
      <c r="C187" s="17" t="s">
        <v>337</v>
      </c>
      <c r="D187" s="23" t="s">
        <v>104</v>
      </c>
      <c r="E187" s="23" t="s">
        <v>105</v>
      </c>
      <c r="F187" s="120">
        <f t="shared" ref="F187:F196" si="31">SUM(G187:Q187)</f>
        <v>0.15238359782823441</v>
      </c>
      <c r="G187" s="80">
        <v>6.2649071876813428E-2</v>
      </c>
      <c r="H187" s="14">
        <v>2.7E-2</v>
      </c>
      <c r="I187" s="303">
        <v>0</v>
      </c>
      <c r="J187" s="14"/>
      <c r="K187" s="80">
        <v>2.7896925951420983E-2</v>
      </c>
      <c r="L187" s="14"/>
      <c r="M187" s="14">
        <v>0</v>
      </c>
      <c r="N187" s="80">
        <v>3.4837600000000003E-2</v>
      </c>
      <c r="O187" s="14"/>
      <c r="P187" s="14"/>
      <c r="R187" s="197">
        <f>'Parameters, country spec'!Q20</f>
        <v>4.5589421610149703E-3</v>
      </c>
    </row>
    <row r="188" spans="1:18" x14ac:dyDescent="0.35">
      <c r="A188" s="22" t="s">
        <v>339</v>
      </c>
      <c r="B188" s="17" t="s">
        <v>226</v>
      </c>
      <c r="C188" s="17" t="s">
        <v>337</v>
      </c>
      <c r="D188" s="23" t="s">
        <v>104</v>
      </c>
      <c r="E188" s="23" t="s">
        <v>105</v>
      </c>
      <c r="F188" s="120">
        <f t="shared" si="31"/>
        <v>0.1652253697578368</v>
      </c>
      <c r="G188" s="80">
        <v>5.6711069109087971E-2</v>
      </c>
      <c r="H188" s="14">
        <v>2.7E-2</v>
      </c>
      <c r="I188" s="303">
        <v>0</v>
      </c>
      <c r="J188" s="14"/>
      <c r="K188" s="80">
        <v>4.6676700648748841E-2</v>
      </c>
      <c r="L188" s="14"/>
      <c r="M188" s="14">
        <v>0</v>
      </c>
      <c r="N188" s="80">
        <v>3.4837600000000003E-2</v>
      </c>
      <c r="O188" s="14"/>
      <c r="P188" s="14"/>
      <c r="R188" s="197">
        <f>'Parameters, country spec'!Q21</f>
        <v>6.1494854155573368E-2</v>
      </c>
    </row>
    <row r="189" spans="1:18" x14ac:dyDescent="0.35">
      <c r="A189" s="22" t="s">
        <v>340</v>
      </c>
      <c r="B189" s="17" t="s">
        <v>227</v>
      </c>
      <c r="C189" s="17" t="s">
        <v>337</v>
      </c>
      <c r="D189" s="23" t="s">
        <v>104</v>
      </c>
      <c r="E189" s="23" t="s">
        <v>105</v>
      </c>
      <c r="F189" s="120">
        <f t="shared" si="31"/>
        <v>0.14256180694350662</v>
      </c>
      <c r="G189" s="80">
        <v>4.99522666930306E-2</v>
      </c>
      <c r="H189" s="14">
        <v>2.7E-2</v>
      </c>
      <c r="I189" s="303">
        <v>0</v>
      </c>
      <c r="J189" s="14"/>
      <c r="K189" s="80">
        <v>3.0771940250476016E-2</v>
      </c>
      <c r="L189" s="14"/>
      <c r="M189" s="14">
        <v>0</v>
      </c>
      <c r="N189" s="80">
        <v>3.4837600000000003E-2</v>
      </c>
      <c r="O189" s="14"/>
      <c r="P189" s="14"/>
      <c r="R189" s="197">
        <f>'Parameters, country spec'!Q22</f>
        <v>0</v>
      </c>
    </row>
    <row r="190" spans="1:18" x14ac:dyDescent="0.35">
      <c r="A190" s="22" t="s">
        <v>341</v>
      </c>
      <c r="B190" s="17" t="s">
        <v>228</v>
      </c>
      <c r="C190" s="17" t="s">
        <v>337</v>
      </c>
      <c r="D190" s="23" t="s">
        <v>104</v>
      </c>
      <c r="E190" s="23" t="s">
        <v>105</v>
      </c>
      <c r="F190" s="120">
        <f t="shared" si="31"/>
        <v>0.16472897058825095</v>
      </c>
      <c r="G190" s="80">
        <v>7.3741076533864705E-2</v>
      </c>
      <c r="H190" s="14">
        <v>2.7E-2</v>
      </c>
      <c r="I190" s="303">
        <v>0</v>
      </c>
      <c r="J190" s="14"/>
      <c r="K190" s="80">
        <v>2.9150294054386239E-2</v>
      </c>
      <c r="L190" s="14"/>
      <c r="M190" s="14">
        <v>0</v>
      </c>
      <c r="N190" s="80">
        <v>3.4837600000000003E-2</v>
      </c>
      <c r="O190" s="14"/>
      <c r="P190" s="14"/>
      <c r="R190" s="197">
        <f>'Parameters, country spec'!Q23</f>
        <v>0.46551967402871186</v>
      </c>
    </row>
    <row r="191" spans="1:18" x14ac:dyDescent="0.35">
      <c r="A191" s="22" t="s">
        <v>342</v>
      </c>
      <c r="B191" s="17" t="s">
        <v>229</v>
      </c>
      <c r="C191" s="17" t="s">
        <v>343</v>
      </c>
      <c r="D191" s="23" t="s">
        <v>104</v>
      </c>
      <c r="E191" s="23" t="s">
        <v>105</v>
      </c>
      <c r="F191" s="120">
        <f t="shared" si="31"/>
        <v>0.11885153790044359</v>
      </c>
      <c r="G191" s="80">
        <v>0</v>
      </c>
      <c r="H191" s="14">
        <v>2.7E-2</v>
      </c>
      <c r="I191" s="303">
        <v>0</v>
      </c>
      <c r="J191" s="14"/>
      <c r="K191" s="80">
        <v>5.7013937900443575E-2</v>
      </c>
      <c r="L191" s="16"/>
      <c r="M191" s="14">
        <v>0</v>
      </c>
      <c r="N191" s="80">
        <v>3.4837600000000003E-2</v>
      </c>
      <c r="O191" s="14"/>
      <c r="P191" s="14"/>
      <c r="R191" s="197">
        <f>'Parameters, country spec'!Q24</f>
        <v>1.5919708830695596E-3</v>
      </c>
    </row>
    <row r="192" spans="1:18" x14ac:dyDescent="0.35">
      <c r="A192" s="22" t="s">
        <v>344</v>
      </c>
      <c r="B192" s="17" t="s">
        <v>230</v>
      </c>
      <c r="C192" s="17" t="s">
        <v>343</v>
      </c>
      <c r="D192" s="23" t="s">
        <v>104</v>
      </c>
      <c r="E192" s="23" t="s">
        <v>105</v>
      </c>
      <c r="F192" s="120">
        <f t="shared" si="31"/>
        <v>0.15030675448840647</v>
      </c>
      <c r="G192" s="80">
        <v>3.1688167106286749E-3</v>
      </c>
      <c r="H192" s="14">
        <v>2.7E-2</v>
      </c>
      <c r="I192" s="303">
        <v>0</v>
      </c>
      <c r="J192" s="14"/>
      <c r="K192" s="80">
        <v>8.530033777777779E-2</v>
      </c>
      <c r="L192" s="14"/>
      <c r="M192" s="14">
        <v>0</v>
      </c>
      <c r="N192" s="80">
        <v>3.4837600000000003E-2</v>
      </c>
      <c r="O192" s="14"/>
      <c r="P192" s="14"/>
      <c r="R192" s="197">
        <f>'Parameters, country spec'!Q25</f>
        <v>1.5638400236253252E-3</v>
      </c>
    </row>
    <row r="193" spans="1:18" x14ac:dyDescent="0.35">
      <c r="B193" s="18" t="s">
        <v>231</v>
      </c>
      <c r="C193" s="17" t="s">
        <v>345</v>
      </c>
      <c r="D193" s="23" t="str">
        <f>'Off-farm feed'!$D$74</f>
        <v>France, Germany, Poland</v>
      </c>
      <c r="E193" s="23"/>
      <c r="F193" s="120">
        <f>SUM(G193:Q193)</f>
        <v>0.27085685084992916</v>
      </c>
      <c r="G193" s="220">
        <f>'Off-farm feed'!$F$74</f>
        <v>0.11176753125767681</v>
      </c>
      <c r="H193" s="220">
        <f>'Off-farm feed'!$G$74</f>
        <v>1.3034482758620692E-2</v>
      </c>
      <c r="I193" s="220">
        <f>'Off-farm feed'!$H$74</f>
        <v>0</v>
      </c>
      <c r="J193" s="220">
        <f>'Off-farm feed'!$I$74</f>
        <v>0</v>
      </c>
      <c r="K193" s="220">
        <f>'Off-farm feed'!$J$74</f>
        <v>2.4688740026345454E-2</v>
      </c>
      <c r="L193" s="220">
        <f>'Off-farm feed'!$K$74</f>
        <v>0</v>
      </c>
      <c r="M193" s="220">
        <f>'Off-farm feed'!$L$74</f>
        <v>1.931759303794134E-4</v>
      </c>
      <c r="N193" s="220">
        <f>'Off-farm feed'!$M$74</f>
        <v>3.6802128767029069E-2</v>
      </c>
      <c r="O193" s="220">
        <f>'Off-farm feed'!$N$74</f>
        <v>0</v>
      </c>
      <c r="P193" s="220">
        <f>'Off-farm feed'!$O$74</f>
        <v>2.1170792109877701E-2</v>
      </c>
      <c r="Q193" s="220">
        <f>'Off-farm feed'!$P$74</f>
        <v>6.3200000000000006E-2</v>
      </c>
      <c r="R193" s="197">
        <f>'Parameters, country spec'!Q26</f>
        <v>0.11099895329121745</v>
      </c>
    </row>
    <row r="194" spans="1:18" x14ac:dyDescent="0.35">
      <c r="B194" s="18" t="s">
        <v>346</v>
      </c>
      <c r="C194" s="17" t="s">
        <v>345</v>
      </c>
      <c r="D194" s="23" t="str">
        <f>'Off-farm feed'!$D$23</f>
        <v>Brazil, Argentina</v>
      </c>
      <c r="E194" s="23"/>
      <c r="F194" s="120">
        <f>SUM(G194:Q194)</f>
        <v>0.7061171705997602</v>
      </c>
      <c r="G194" s="220">
        <f>'Off-farm feed'!$F$23</f>
        <v>7.2632670993098931E-3</v>
      </c>
      <c r="H194" s="220">
        <f>'Off-farm feed'!$G$23</f>
        <v>2.1402439024390246E-2</v>
      </c>
      <c r="I194" s="220">
        <f>'Off-farm feed'!$H$23</f>
        <v>0</v>
      </c>
      <c r="J194" s="220">
        <f>'Off-farm feed'!$I$23</f>
        <v>0</v>
      </c>
      <c r="K194" s="220">
        <f>'Off-farm feed'!$J$23</f>
        <v>4.308361966433235E-2</v>
      </c>
      <c r="L194" s="220">
        <f>'Off-farm feed'!$K$23</f>
        <v>0</v>
      </c>
      <c r="M194" s="220">
        <f>'Off-farm feed'!$L$23</f>
        <v>1.7842060425123844E-4</v>
      </c>
      <c r="N194" s="220">
        <f>'Off-farm feed'!$M$23</f>
        <v>3.0432604948959403E-2</v>
      </c>
      <c r="O194" s="220">
        <f>'Off-farm feed'!$N$23</f>
        <v>0.31761120248475611</v>
      </c>
      <c r="P194" s="220">
        <f>'Off-farm feed'!$O$23</f>
        <v>3.5145616773760872E-2</v>
      </c>
      <c r="Q194" s="220">
        <f>'Off-farm feed'!$P$23</f>
        <v>0.251</v>
      </c>
      <c r="R194" s="197">
        <f>'Parameters, country spec'!Q27</f>
        <v>7.913829557911492E-2</v>
      </c>
    </row>
    <row r="195" spans="1:18" x14ac:dyDescent="0.35">
      <c r="B195" s="17" t="s">
        <v>233</v>
      </c>
      <c r="C195" s="17" t="s">
        <v>347</v>
      </c>
      <c r="D195" s="23" t="s">
        <v>104</v>
      </c>
      <c r="E195" s="23" t="s">
        <v>105</v>
      </c>
      <c r="F195" s="120"/>
      <c r="G195" s="108"/>
      <c r="H195" s="8"/>
      <c r="I195" s="107"/>
      <c r="J195" s="8"/>
      <c r="K195" s="108"/>
      <c r="L195" s="8"/>
      <c r="M195" s="8"/>
      <c r="N195" s="108"/>
      <c r="O195" s="8"/>
      <c r="P195" s="8"/>
      <c r="Q195" s="8"/>
      <c r="R195" s="197">
        <f>'Parameters, country spec'!Q28</f>
        <v>0.18367698350882727</v>
      </c>
    </row>
    <row r="196" spans="1:18" x14ac:dyDescent="0.35">
      <c r="A196" s="83"/>
      <c r="B196" s="17" t="s">
        <v>348</v>
      </c>
      <c r="C196" s="84" t="s">
        <v>349</v>
      </c>
      <c r="D196" s="23" t="s">
        <v>104</v>
      </c>
      <c r="E196" s="23" t="s">
        <v>105</v>
      </c>
      <c r="F196" s="120">
        <f t="shared" si="31"/>
        <v>0.14998677790465326</v>
      </c>
      <c r="G196" s="81">
        <f t="shared" ref="G196:N196" si="32">AVERAGE(G186:G194)</f>
        <v>4.7731488515428383E-2</v>
      </c>
      <c r="H196" s="81">
        <f t="shared" si="32"/>
        <v>2.4826324642556769E-2</v>
      </c>
      <c r="I196" s="81">
        <f t="shared" si="32"/>
        <v>0</v>
      </c>
      <c r="J196" s="81"/>
      <c r="K196" s="81">
        <f t="shared" si="32"/>
        <v>4.2821239163265974E-2</v>
      </c>
      <c r="L196" s="81"/>
      <c r="M196" s="81">
        <f t="shared" si="32"/>
        <v>4.1288503847850203E-5</v>
      </c>
      <c r="N196" s="81">
        <f t="shared" si="32"/>
        <v>3.4566437079554278E-2</v>
      </c>
      <c r="O196" s="81"/>
      <c r="P196" s="81"/>
      <c r="Q196" s="81"/>
      <c r="R196" s="197">
        <f>'Parameters, country spec'!Q29</f>
        <v>8.1204887737252207E-2</v>
      </c>
    </row>
    <row r="197" spans="1:18" x14ac:dyDescent="0.35">
      <c r="A197" s="195"/>
      <c r="B197" s="25" t="s">
        <v>350</v>
      </c>
      <c r="C197" s="26"/>
      <c r="D197" s="103"/>
      <c r="E197" s="103"/>
      <c r="F197" s="27">
        <f>SUMPRODUCT(F186:F196,$R$186:$R$196)</f>
        <v>0.18780123098865928</v>
      </c>
      <c r="G197" s="27">
        <f>SUMPRODUCT(G186:G196,$R$186:$R$196)</f>
        <v>5.5622329966886173E-2</v>
      </c>
      <c r="H197" s="27">
        <f>SUMPRODUCT(H186:H196,$R$186:$R$196)</f>
        <v>1.9871069150909776E-2</v>
      </c>
      <c r="I197" s="27">
        <f>SUMPRODUCT(I186:I196,$R$186:$R$196)</f>
        <v>0</v>
      </c>
      <c r="J197" s="27"/>
      <c r="K197" s="27">
        <f>SUMPRODUCT(K186:K196,$R$186:$R$196)</f>
        <v>2.6837389779743107E-2</v>
      </c>
      <c r="L197" s="27"/>
      <c r="M197" s="27">
        <f>SUMPRODUCT(M186:M196,$R$186:$R$196)</f>
        <v>3.8915056909614563E-5</v>
      </c>
      <c r="N197" s="27">
        <f>SUMPRODUCT(N186:N196,$R$186:$R$196)</f>
        <v>2.8286171801276502E-2</v>
      </c>
      <c r="O197" s="27">
        <f>SUMPRODUCT(O186:O196,$R$186:$R$196)</f>
        <v>2.5135209221476749E-2</v>
      </c>
      <c r="P197" s="209">
        <f>SUMPRODUCT(P186:P196,R186:R196)</f>
        <v>5.1312999730945778E-3</v>
      </c>
      <c r="Q197" s="27">
        <f>SUMPRODUCT(Q186:Q196,$R$186:$R$196)</f>
        <v>2.687884603836279E-2</v>
      </c>
      <c r="R197" s="198"/>
    </row>
    <row r="198" spans="1:18" x14ac:dyDescent="0.35">
      <c r="A198" s="22" t="s">
        <v>336</v>
      </c>
      <c r="B198" s="17" t="s">
        <v>218</v>
      </c>
      <c r="C198" s="17" t="s">
        <v>337</v>
      </c>
      <c r="D198" s="23" t="s">
        <v>106</v>
      </c>
      <c r="E198" s="23" t="s">
        <v>107</v>
      </c>
      <c r="F198" s="120">
        <f>SUM(G198:Q198)</f>
        <v>0.16697655355390587</v>
      </c>
      <c r="G198" s="80">
        <v>6.4330297358443381E-2</v>
      </c>
      <c r="H198" s="14">
        <v>2.7E-2</v>
      </c>
      <c r="I198" s="303">
        <v>0</v>
      </c>
      <c r="J198" s="14"/>
      <c r="K198" s="80">
        <v>4.0808656195462478E-2</v>
      </c>
      <c r="L198" s="14"/>
      <c r="M198" s="14">
        <v>0</v>
      </c>
      <c r="N198" s="80">
        <v>3.4837600000000003E-2</v>
      </c>
      <c r="O198" s="14"/>
      <c r="P198" s="14"/>
      <c r="R198" s="197">
        <f>'Parameters, country spec'!R19</f>
        <v>4.5682814724964139E-2</v>
      </c>
    </row>
    <row r="199" spans="1:18" x14ac:dyDescent="0.35">
      <c r="A199" s="22" t="s">
        <v>338</v>
      </c>
      <c r="B199" s="17" t="s">
        <v>222</v>
      </c>
      <c r="C199" s="17" t="s">
        <v>337</v>
      </c>
      <c r="D199" s="23" t="s">
        <v>106</v>
      </c>
      <c r="E199" s="23" t="s">
        <v>107</v>
      </c>
      <c r="F199" s="120">
        <f t="shared" ref="F199:F208" si="33">SUM(G199:Q199)</f>
        <v>0.15238359782823441</v>
      </c>
      <c r="G199" s="80">
        <v>6.2649071876813428E-2</v>
      </c>
      <c r="H199" s="14">
        <v>2.7E-2</v>
      </c>
      <c r="I199" s="303">
        <v>0</v>
      </c>
      <c r="J199" s="14"/>
      <c r="K199" s="80">
        <v>2.7896925951420983E-2</v>
      </c>
      <c r="L199" s="14"/>
      <c r="M199" s="14">
        <v>0</v>
      </c>
      <c r="N199" s="80">
        <v>3.4837600000000003E-2</v>
      </c>
      <c r="O199" s="14"/>
      <c r="P199" s="14"/>
      <c r="R199" s="197">
        <f>'Parameters, country spec'!R20</f>
        <v>5.9441183997229891E-2</v>
      </c>
    </row>
    <row r="200" spans="1:18" x14ac:dyDescent="0.35">
      <c r="A200" s="22" t="s">
        <v>339</v>
      </c>
      <c r="B200" s="17" t="s">
        <v>226</v>
      </c>
      <c r="C200" s="17" t="s">
        <v>337</v>
      </c>
      <c r="D200" s="23" t="s">
        <v>106</v>
      </c>
      <c r="E200" s="23" t="s">
        <v>107</v>
      </c>
      <c r="F200" s="120">
        <f t="shared" si="33"/>
        <v>0.1652253697578368</v>
      </c>
      <c r="G200" s="80">
        <v>5.6711069109087971E-2</v>
      </c>
      <c r="H200" s="14">
        <v>2.7E-2</v>
      </c>
      <c r="I200" s="303">
        <v>0</v>
      </c>
      <c r="J200" s="14"/>
      <c r="K200" s="80">
        <v>4.6676700648748841E-2</v>
      </c>
      <c r="L200" s="14"/>
      <c r="M200" s="14">
        <v>0</v>
      </c>
      <c r="N200" s="80">
        <v>3.4837600000000003E-2</v>
      </c>
      <c r="O200" s="14"/>
      <c r="P200" s="14"/>
      <c r="R200" s="197">
        <f>'Parameters, country spec'!R21</f>
        <v>4.5477381822612843E-2</v>
      </c>
    </row>
    <row r="201" spans="1:18" x14ac:dyDescent="0.35">
      <c r="A201" s="22" t="s">
        <v>340</v>
      </c>
      <c r="B201" s="17" t="s">
        <v>227</v>
      </c>
      <c r="C201" s="17" t="s">
        <v>337</v>
      </c>
      <c r="D201" s="23" t="s">
        <v>106</v>
      </c>
      <c r="E201" s="23" t="s">
        <v>107</v>
      </c>
      <c r="F201" s="120">
        <f t="shared" si="33"/>
        <v>0.14256180694350662</v>
      </c>
      <c r="G201" s="80">
        <v>4.99522666930306E-2</v>
      </c>
      <c r="H201" s="14">
        <v>2.7E-2</v>
      </c>
      <c r="I201" s="303">
        <v>0</v>
      </c>
      <c r="J201" s="14"/>
      <c r="K201" s="80">
        <v>3.0771940250476016E-2</v>
      </c>
      <c r="L201" s="14"/>
      <c r="M201" s="14">
        <v>0</v>
      </c>
      <c r="N201" s="80">
        <v>3.4837600000000003E-2</v>
      </c>
      <c r="O201" s="14"/>
      <c r="P201" s="14"/>
      <c r="R201" s="197">
        <f>'Parameters, country spec'!R22</f>
        <v>0</v>
      </c>
    </row>
    <row r="202" spans="1:18" x14ac:dyDescent="0.35">
      <c r="A202" s="22" t="s">
        <v>341</v>
      </c>
      <c r="B202" s="17" t="s">
        <v>228</v>
      </c>
      <c r="C202" s="17" t="s">
        <v>337</v>
      </c>
      <c r="D202" s="23" t="s">
        <v>106</v>
      </c>
      <c r="E202" s="23" t="s">
        <v>107</v>
      </c>
      <c r="F202" s="120">
        <f t="shared" si="33"/>
        <v>0.16472897058825095</v>
      </c>
      <c r="G202" s="80">
        <v>7.3741076533864705E-2</v>
      </c>
      <c r="H202" s="14">
        <v>2.7E-2</v>
      </c>
      <c r="I202" s="303">
        <v>0</v>
      </c>
      <c r="J202" s="14"/>
      <c r="K202" s="80">
        <v>2.9150294054386239E-2</v>
      </c>
      <c r="L202" s="14"/>
      <c r="M202" s="14">
        <v>0</v>
      </c>
      <c r="N202" s="80">
        <v>3.4837600000000003E-2</v>
      </c>
      <c r="O202" s="14"/>
      <c r="P202" s="14"/>
      <c r="R202" s="197">
        <f>'Parameters, country spec'!R23</f>
        <v>0.43548695456925512</v>
      </c>
    </row>
    <row r="203" spans="1:18" x14ac:dyDescent="0.35">
      <c r="A203" s="22" t="s">
        <v>342</v>
      </c>
      <c r="B203" s="17" t="s">
        <v>229</v>
      </c>
      <c r="C203" s="17" t="s">
        <v>343</v>
      </c>
      <c r="D203" s="23" t="s">
        <v>106</v>
      </c>
      <c r="E203" s="23" t="s">
        <v>107</v>
      </c>
      <c r="F203" s="120">
        <f t="shared" si="33"/>
        <v>0.11885153790044359</v>
      </c>
      <c r="G203" s="80">
        <v>0</v>
      </c>
      <c r="H203" s="14">
        <v>2.7E-2</v>
      </c>
      <c r="I203" s="303">
        <v>0</v>
      </c>
      <c r="J203" s="14"/>
      <c r="K203" s="80">
        <v>5.7013937900443575E-2</v>
      </c>
      <c r="L203" s="16"/>
      <c r="M203" s="14">
        <v>0</v>
      </c>
      <c r="N203" s="80">
        <v>3.4837600000000003E-2</v>
      </c>
      <c r="O203" s="14"/>
      <c r="P203" s="14"/>
      <c r="R203" s="197">
        <f>'Parameters, country spec'!R24</f>
        <v>1.8993498179632567E-2</v>
      </c>
    </row>
    <row r="204" spans="1:18" x14ac:dyDescent="0.35">
      <c r="A204" s="22" t="s">
        <v>344</v>
      </c>
      <c r="B204" s="17" t="s">
        <v>230</v>
      </c>
      <c r="C204" s="17" t="s">
        <v>343</v>
      </c>
      <c r="D204" s="23" t="s">
        <v>106</v>
      </c>
      <c r="E204" s="23" t="s">
        <v>107</v>
      </c>
      <c r="F204" s="120">
        <f t="shared" si="33"/>
        <v>0.15030675448840647</v>
      </c>
      <c r="G204" s="80">
        <v>3.1688167106286749E-3</v>
      </c>
      <c r="H204" s="14">
        <v>2.7E-2</v>
      </c>
      <c r="I204" s="303">
        <v>0</v>
      </c>
      <c r="J204" s="14"/>
      <c r="K204" s="80">
        <v>8.530033777777779E-2</v>
      </c>
      <c r="L204" s="14"/>
      <c r="M204" s="14">
        <v>0</v>
      </c>
      <c r="N204" s="80">
        <v>3.4837600000000003E-2</v>
      </c>
      <c r="O204" s="14"/>
      <c r="P204" s="14"/>
      <c r="R204" s="197">
        <f>'Parameters, country spec'!R25</f>
        <v>1.8657874314571762E-2</v>
      </c>
    </row>
    <row r="205" spans="1:18" x14ac:dyDescent="0.35">
      <c r="B205" s="18" t="s">
        <v>231</v>
      </c>
      <c r="C205" s="17" t="s">
        <v>345</v>
      </c>
      <c r="D205" s="23" t="str">
        <f>'Off-farm feed'!$D$74</f>
        <v>France, Germany, Poland</v>
      </c>
      <c r="E205" s="23"/>
      <c r="F205" s="120">
        <f>SUM(G205:Q205)</f>
        <v>0.27085685084992916</v>
      </c>
      <c r="G205" s="220">
        <f>'Off-farm feed'!$F$74</f>
        <v>0.11176753125767681</v>
      </c>
      <c r="H205" s="220">
        <f>'Off-farm feed'!$G$74</f>
        <v>1.3034482758620692E-2</v>
      </c>
      <c r="I205" s="220">
        <f>'Off-farm feed'!$H$74</f>
        <v>0</v>
      </c>
      <c r="J205" s="220">
        <f>'Off-farm feed'!$I$74</f>
        <v>0</v>
      </c>
      <c r="K205" s="220">
        <f>'Off-farm feed'!$J$74</f>
        <v>2.4688740026345454E-2</v>
      </c>
      <c r="L205" s="220">
        <f>'Off-farm feed'!$K$74</f>
        <v>0</v>
      </c>
      <c r="M205" s="220">
        <f>'Off-farm feed'!$L$74</f>
        <v>1.931759303794134E-4</v>
      </c>
      <c r="N205" s="220">
        <f>'Off-farm feed'!$M$74</f>
        <v>3.6802128767029069E-2</v>
      </c>
      <c r="O205" s="220">
        <f>'Off-farm feed'!$N$74</f>
        <v>0</v>
      </c>
      <c r="P205" s="220">
        <f>'Off-farm feed'!$O$74</f>
        <v>2.1170792109877701E-2</v>
      </c>
      <c r="Q205" s="220">
        <f>'Off-farm feed'!$P$74</f>
        <v>6.3200000000000006E-2</v>
      </c>
      <c r="R205" s="197">
        <f>'Parameters, country spec'!R26</f>
        <v>3.7283067343651423E-2</v>
      </c>
    </row>
    <row r="206" spans="1:18" x14ac:dyDescent="0.35">
      <c r="B206" s="18" t="s">
        <v>346</v>
      </c>
      <c r="C206" s="17" t="s">
        <v>345</v>
      </c>
      <c r="D206" s="23" t="str">
        <f>'Off-farm feed'!$D$23</f>
        <v>Brazil, Argentina</v>
      </c>
      <c r="E206" s="23"/>
      <c r="F206" s="120">
        <f>SUM(G206:Q206)</f>
        <v>0.7061171705997602</v>
      </c>
      <c r="G206" s="220">
        <f>'Off-farm feed'!$F$23</f>
        <v>7.2632670993098931E-3</v>
      </c>
      <c r="H206" s="220">
        <f>'Off-farm feed'!$G$23</f>
        <v>2.1402439024390246E-2</v>
      </c>
      <c r="I206" s="220">
        <f>'Off-farm feed'!$H$23</f>
        <v>0</v>
      </c>
      <c r="J206" s="220">
        <f>'Off-farm feed'!$I$23</f>
        <v>0</v>
      </c>
      <c r="K206" s="220">
        <f>'Off-farm feed'!$J$23</f>
        <v>4.308361966433235E-2</v>
      </c>
      <c r="L206" s="220">
        <f>'Off-farm feed'!$K$23</f>
        <v>0</v>
      </c>
      <c r="M206" s="220">
        <f>'Off-farm feed'!$L$23</f>
        <v>1.7842060425123844E-4</v>
      </c>
      <c r="N206" s="220">
        <f>'Off-farm feed'!$M$23</f>
        <v>3.0432604948959403E-2</v>
      </c>
      <c r="O206" s="220">
        <f>'Off-farm feed'!$N$23</f>
        <v>0.31761120248475611</v>
      </c>
      <c r="P206" s="220">
        <f>'Off-farm feed'!$O$23</f>
        <v>3.5145616773760872E-2</v>
      </c>
      <c r="Q206" s="220">
        <f>'Off-farm feed'!$P$23</f>
        <v>0.251</v>
      </c>
      <c r="R206" s="197">
        <f>'Parameters, country spec'!R27</f>
        <v>0.14137030319659935</v>
      </c>
    </row>
    <row r="207" spans="1:18" x14ac:dyDescent="0.35">
      <c r="B207" s="17" t="s">
        <v>233</v>
      </c>
      <c r="C207" s="17" t="s">
        <v>347</v>
      </c>
      <c r="D207" s="23" t="s">
        <v>106</v>
      </c>
      <c r="E207" s="23" t="s">
        <v>107</v>
      </c>
      <c r="F207" s="120"/>
      <c r="G207" s="108"/>
      <c r="H207" s="8"/>
      <c r="I207" s="107"/>
      <c r="J207" s="8"/>
      <c r="K207" s="108"/>
      <c r="L207" s="8"/>
      <c r="M207" s="8"/>
      <c r="N207" s="108"/>
      <c r="O207" s="8"/>
      <c r="P207" s="8"/>
      <c r="Q207" s="8"/>
      <c r="R207" s="197">
        <f>'Parameters, country spec'!R28</f>
        <v>0.11217476738724967</v>
      </c>
    </row>
    <row r="208" spans="1:18" x14ac:dyDescent="0.35">
      <c r="A208" s="83"/>
      <c r="B208" s="17" t="s">
        <v>348</v>
      </c>
      <c r="C208" s="84" t="s">
        <v>349</v>
      </c>
      <c r="D208" s="23" t="s">
        <v>106</v>
      </c>
      <c r="E208" s="23" t="s">
        <v>107</v>
      </c>
      <c r="F208" s="120">
        <f t="shared" si="33"/>
        <v>0.14998677790465326</v>
      </c>
      <c r="G208" s="81">
        <f t="shared" ref="G208:N208" si="34">AVERAGE(G198:G206)</f>
        <v>4.7731488515428383E-2</v>
      </c>
      <c r="H208" s="81">
        <f t="shared" si="34"/>
        <v>2.4826324642556769E-2</v>
      </c>
      <c r="I208" s="81">
        <f t="shared" si="34"/>
        <v>0</v>
      </c>
      <c r="J208" s="81"/>
      <c r="K208" s="81">
        <f t="shared" si="34"/>
        <v>4.2821239163265974E-2</v>
      </c>
      <c r="L208" s="81"/>
      <c r="M208" s="81">
        <f t="shared" si="34"/>
        <v>4.1288503847850203E-5</v>
      </c>
      <c r="N208" s="81">
        <f t="shared" si="34"/>
        <v>3.4566437079554278E-2</v>
      </c>
      <c r="O208" s="81"/>
      <c r="P208" s="81"/>
      <c r="Q208" s="81"/>
      <c r="R208" s="197">
        <f>'Parameters, country spec'!R29</f>
        <v>8.5432154464233287E-2</v>
      </c>
    </row>
    <row r="209" spans="1:18" x14ac:dyDescent="0.35">
      <c r="A209" s="195"/>
      <c r="B209" s="25" t="s">
        <v>350</v>
      </c>
      <c r="C209" s="26"/>
      <c r="D209" s="103"/>
      <c r="E209" s="103"/>
      <c r="F209" s="27">
        <f>SUMPRODUCT(F198:F208,$R$198:$R$208)</f>
        <v>0.22373503268506714</v>
      </c>
      <c r="G209" s="27">
        <f>SUMPRODUCT(G198:G208,$R$198:$R$208)</f>
        <v>5.0685845804258285E-2</v>
      </c>
      <c r="H209" s="27">
        <f>SUMPRODUCT(H198:H208,$R$198:$R$208)</f>
        <v>2.2473573299569397E-2</v>
      </c>
      <c r="I209" s="27">
        <f>SUMPRODUCT(I198:I208,$R$198:$R$208)</f>
        <v>0</v>
      </c>
      <c r="J209" s="27"/>
      <c r="K209" s="27">
        <f>SUMPRODUCT(K198:K208,$R$198:$R$208)</f>
        <v>3.1683731666059305E-2</v>
      </c>
      <c r="L209" s="27"/>
      <c r="M209" s="27">
        <f>SUMPRODUCT(M198:M208,$R$198:$R$208)</f>
        <v>3.5952931979352861E-5</v>
      </c>
      <c r="N209" s="27">
        <f>SUMPRODUCT(N198:N208,$R$198:$R$208)</f>
        <v>3.035704246354002E-2</v>
      </c>
      <c r="O209" s="27">
        <f>SUMPRODUCT(O198:O208,$R$198:$R$208)</f>
        <v>4.490079199390648E-2</v>
      </c>
      <c r="P209" s="209">
        <f>SUMPRODUCT(P198:P208,R198:R208)</f>
        <v>5.7578585672890762E-3</v>
      </c>
      <c r="Q209" s="27">
        <f>SUMPRODUCT(Q198:Q208,$R$198:$R$208)</f>
        <v>3.784023595846521E-2</v>
      </c>
      <c r="R209" s="198"/>
    </row>
    <row r="210" spans="1:18" x14ac:dyDescent="0.35">
      <c r="A210" s="22" t="s">
        <v>336</v>
      </c>
      <c r="B210" s="17" t="s">
        <v>218</v>
      </c>
      <c r="C210" s="17" t="s">
        <v>337</v>
      </c>
      <c r="D210" s="23" t="s">
        <v>108</v>
      </c>
      <c r="E210" s="23" t="s">
        <v>109</v>
      </c>
      <c r="F210" s="120">
        <f>SUM(G210:Q210)</f>
        <v>0.16697655355390587</v>
      </c>
      <c r="G210" s="80">
        <v>6.4330297358443381E-2</v>
      </c>
      <c r="H210" s="14">
        <v>2.7E-2</v>
      </c>
      <c r="I210" s="303">
        <v>0</v>
      </c>
      <c r="J210" s="14"/>
      <c r="K210" s="80">
        <v>4.0808656195462478E-2</v>
      </c>
      <c r="L210" s="14"/>
      <c r="M210" s="14">
        <v>0</v>
      </c>
      <c r="N210" s="80">
        <v>3.4837600000000003E-2</v>
      </c>
      <c r="O210" s="14"/>
      <c r="P210" s="14"/>
      <c r="R210" s="197">
        <f>'Parameters, country spec'!S19</f>
        <v>0.16759238515757716</v>
      </c>
    </row>
    <row r="211" spans="1:18" x14ac:dyDescent="0.35">
      <c r="A211" s="22" t="s">
        <v>338</v>
      </c>
      <c r="B211" s="17" t="s">
        <v>222</v>
      </c>
      <c r="C211" s="17" t="s">
        <v>337</v>
      </c>
      <c r="D211" s="23" t="s">
        <v>108</v>
      </c>
      <c r="E211" s="23" t="s">
        <v>109</v>
      </c>
      <c r="F211" s="120">
        <f t="shared" ref="F211:F220" si="35">SUM(G211:Q211)</f>
        <v>0.15238359782823441</v>
      </c>
      <c r="G211" s="80">
        <v>6.2649071876813428E-2</v>
      </c>
      <c r="H211" s="14">
        <v>2.7E-2</v>
      </c>
      <c r="I211" s="303">
        <v>0</v>
      </c>
      <c r="J211" s="14"/>
      <c r="K211" s="80">
        <v>2.7896925951420983E-2</v>
      </c>
      <c r="L211" s="14"/>
      <c r="M211" s="14">
        <v>0</v>
      </c>
      <c r="N211" s="80">
        <v>3.4837600000000003E-2</v>
      </c>
      <c r="O211" s="14"/>
      <c r="P211" s="14"/>
      <c r="R211" s="197">
        <f>'Parameters, country spec'!S20</f>
        <v>0.30877372872298287</v>
      </c>
    </row>
    <row r="212" spans="1:18" x14ac:dyDescent="0.35">
      <c r="A212" s="22" t="s">
        <v>339</v>
      </c>
      <c r="B212" s="17" t="s">
        <v>226</v>
      </c>
      <c r="C212" s="17" t="s">
        <v>337</v>
      </c>
      <c r="D212" s="23" t="s">
        <v>108</v>
      </c>
      <c r="E212" s="23" t="s">
        <v>109</v>
      </c>
      <c r="F212" s="120">
        <f t="shared" si="35"/>
        <v>0.1652253697578368</v>
      </c>
      <c r="G212" s="80">
        <v>5.6711069109087971E-2</v>
      </c>
      <c r="H212" s="14">
        <v>2.7E-2</v>
      </c>
      <c r="I212" s="303">
        <v>0</v>
      </c>
      <c r="J212" s="14"/>
      <c r="K212" s="80">
        <v>4.6676700648748841E-2</v>
      </c>
      <c r="L212" s="14"/>
      <c r="M212" s="14">
        <v>0</v>
      </c>
      <c r="N212" s="80">
        <v>3.4837600000000003E-2</v>
      </c>
      <c r="O212" s="14"/>
      <c r="P212" s="14"/>
      <c r="R212" s="197">
        <f>'Parameters, country spec'!S21</f>
        <v>6.9416678407666198E-3</v>
      </c>
    </row>
    <row r="213" spans="1:18" x14ac:dyDescent="0.35">
      <c r="A213" s="22" t="s">
        <v>340</v>
      </c>
      <c r="B213" s="17" t="s">
        <v>227</v>
      </c>
      <c r="C213" s="17" t="s">
        <v>337</v>
      </c>
      <c r="D213" s="23" t="s">
        <v>108</v>
      </c>
      <c r="E213" s="23" t="s">
        <v>109</v>
      </c>
      <c r="F213" s="120">
        <f t="shared" si="35"/>
        <v>0.14256180694350662</v>
      </c>
      <c r="G213" s="80">
        <v>4.99522666930306E-2</v>
      </c>
      <c r="H213" s="14">
        <v>2.7E-2</v>
      </c>
      <c r="I213" s="303">
        <v>0</v>
      </c>
      <c r="J213" s="14"/>
      <c r="K213" s="80">
        <v>3.0771940250476016E-2</v>
      </c>
      <c r="L213" s="14"/>
      <c r="M213" s="14">
        <v>0</v>
      </c>
      <c r="N213" s="80">
        <v>3.4837600000000003E-2</v>
      </c>
      <c r="O213" s="14"/>
      <c r="P213" s="14"/>
      <c r="R213" s="197">
        <f>'Parameters, country spec'!S22</f>
        <v>0</v>
      </c>
    </row>
    <row r="214" spans="1:18" x14ac:dyDescent="0.35">
      <c r="A214" s="22" t="s">
        <v>341</v>
      </c>
      <c r="B214" s="17" t="s">
        <v>228</v>
      </c>
      <c r="C214" s="17" t="s">
        <v>337</v>
      </c>
      <c r="D214" s="23" t="s">
        <v>108</v>
      </c>
      <c r="E214" s="23" t="s">
        <v>109</v>
      </c>
      <c r="F214" s="120">
        <f t="shared" si="35"/>
        <v>0.16472897058825095</v>
      </c>
      <c r="G214" s="80">
        <v>7.3741076533864705E-2</v>
      </c>
      <c r="H214" s="14">
        <v>2.7E-2</v>
      </c>
      <c r="I214" s="303">
        <v>0</v>
      </c>
      <c r="J214" s="14"/>
      <c r="K214" s="80">
        <v>2.9150294054386239E-2</v>
      </c>
      <c r="L214" s="14"/>
      <c r="M214" s="14">
        <v>0</v>
      </c>
      <c r="N214" s="80">
        <v>3.4837600000000003E-2</v>
      </c>
      <c r="O214" s="14"/>
      <c r="P214" s="14"/>
      <c r="R214" s="197">
        <f>'Parameters, country spec'!S23</f>
        <v>0.21985896785484657</v>
      </c>
    </row>
    <row r="215" spans="1:18" x14ac:dyDescent="0.35">
      <c r="A215" s="22" t="s">
        <v>342</v>
      </c>
      <c r="B215" s="17" t="s">
        <v>229</v>
      </c>
      <c r="C215" s="17" t="s">
        <v>343</v>
      </c>
      <c r="D215" s="23" t="s">
        <v>108</v>
      </c>
      <c r="E215" s="23" t="s">
        <v>109</v>
      </c>
      <c r="F215" s="120">
        <f t="shared" si="35"/>
        <v>0.11885153790044359</v>
      </c>
      <c r="G215" s="80">
        <v>0</v>
      </c>
      <c r="H215" s="14">
        <v>2.7E-2</v>
      </c>
      <c r="I215" s="303">
        <v>0</v>
      </c>
      <c r="J215" s="14"/>
      <c r="K215" s="80">
        <v>5.7013937900443575E-2</v>
      </c>
      <c r="L215" s="16"/>
      <c r="M215" s="14">
        <v>0</v>
      </c>
      <c r="N215" s="80">
        <v>3.4837600000000003E-2</v>
      </c>
      <c r="O215" s="14"/>
      <c r="P215" s="14"/>
      <c r="R215" s="197">
        <f>'Parameters, country spec'!S24</f>
        <v>0</v>
      </c>
    </row>
    <row r="216" spans="1:18" x14ac:dyDescent="0.35">
      <c r="A216" s="22" t="s">
        <v>344</v>
      </c>
      <c r="B216" s="17" t="s">
        <v>230</v>
      </c>
      <c r="C216" s="17" t="s">
        <v>343</v>
      </c>
      <c r="D216" s="23" t="s">
        <v>108</v>
      </c>
      <c r="E216" s="23" t="s">
        <v>109</v>
      </c>
      <c r="F216" s="120">
        <f t="shared" si="35"/>
        <v>0.15030675448840647</v>
      </c>
      <c r="G216" s="80">
        <v>3.1688167106286749E-3</v>
      </c>
      <c r="H216" s="14">
        <v>2.7E-2</v>
      </c>
      <c r="I216" s="303">
        <v>0</v>
      </c>
      <c r="J216" s="14"/>
      <c r="K216" s="80">
        <v>8.530033777777779E-2</v>
      </c>
      <c r="L216" s="14"/>
      <c r="M216" s="14">
        <v>0</v>
      </c>
      <c r="N216" s="80">
        <v>3.4837600000000003E-2</v>
      </c>
      <c r="O216" s="14"/>
      <c r="P216" s="14"/>
      <c r="R216" s="197">
        <f>'Parameters, country spec'!S25</f>
        <v>0</v>
      </c>
    </row>
    <row r="217" spans="1:18" x14ac:dyDescent="0.35">
      <c r="B217" s="18" t="s">
        <v>231</v>
      </c>
      <c r="C217" s="17" t="s">
        <v>345</v>
      </c>
      <c r="D217" s="23" t="str">
        <f>'Off-farm feed'!$D$74</f>
        <v>France, Germany, Poland</v>
      </c>
      <c r="E217" s="23"/>
      <c r="F217" s="120">
        <f>SUM(G217:Q217)</f>
        <v>0.27085685084992916</v>
      </c>
      <c r="G217" s="220">
        <f>'Off-farm feed'!$F$74</f>
        <v>0.11176753125767681</v>
      </c>
      <c r="H217" s="220">
        <f>'Off-farm feed'!$G$74</f>
        <v>1.3034482758620692E-2</v>
      </c>
      <c r="I217" s="220">
        <f>'Off-farm feed'!$H$74</f>
        <v>0</v>
      </c>
      <c r="J217" s="220">
        <f>'Off-farm feed'!$I$74</f>
        <v>0</v>
      </c>
      <c r="K217" s="220">
        <f>'Off-farm feed'!$J$74</f>
        <v>2.4688740026345454E-2</v>
      </c>
      <c r="L217" s="220">
        <f>'Off-farm feed'!$K$74</f>
        <v>0</v>
      </c>
      <c r="M217" s="220">
        <f>'Off-farm feed'!$L$74</f>
        <v>1.931759303794134E-4</v>
      </c>
      <c r="N217" s="220">
        <f>'Off-farm feed'!$M$74</f>
        <v>3.6802128767029069E-2</v>
      </c>
      <c r="O217" s="220">
        <f>'Off-farm feed'!$N$74</f>
        <v>0</v>
      </c>
      <c r="P217" s="220">
        <f>'Off-farm feed'!$O$74</f>
        <v>2.1170792109877701E-2</v>
      </c>
      <c r="Q217" s="220">
        <f>'Off-farm feed'!$P$74</f>
        <v>6.3200000000000006E-2</v>
      </c>
      <c r="R217" s="197">
        <f>'Parameters, country spec'!S26</f>
        <v>0</v>
      </c>
    </row>
    <row r="218" spans="1:18" x14ac:dyDescent="0.35">
      <c r="B218" s="18" t="s">
        <v>346</v>
      </c>
      <c r="C218" s="17" t="s">
        <v>345</v>
      </c>
      <c r="D218" s="23" t="str">
        <f>'Off-farm feed'!$D$23</f>
        <v>Brazil, Argentina</v>
      </c>
      <c r="E218" s="23"/>
      <c r="F218" s="120">
        <f>SUM(G218:Q218)</f>
        <v>0.7061171705997602</v>
      </c>
      <c r="G218" s="220">
        <f>'Off-farm feed'!$F$23</f>
        <v>7.2632670993098931E-3</v>
      </c>
      <c r="H218" s="220">
        <f>'Off-farm feed'!$G$23</f>
        <v>2.1402439024390246E-2</v>
      </c>
      <c r="I218" s="220">
        <f>'Off-farm feed'!$H$23</f>
        <v>0</v>
      </c>
      <c r="J218" s="220">
        <f>'Off-farm feed'!$I$23</f>
        <v>0</v>
      </c>
      <c r="K218" s="220">
        <f>'Off-farm feed'!$J$23</f>
        <v>4.308361966433235E-2</v>
      </c>
      <c r="L218" s="220">
        <f>'Off-farm feed'!$K$23</f>
        <v>0</v>
      </c>
      <c r="M218" s="220">
        <f>'Off-farm feed'!$L$23</f>
        <v>1.7842060425123844E-4</v>
      </c>
      <c r="N218" s="220">
        <f>'Off-farm feed'!$M$23</f>
        <v>3.0432604948959403E-2</v>
      </c>
      <c r="O218" s="220">
        <f>'Off-farm feed'!$N$23</f>
        <v>0.31761120248475611</v>
      </c>
      <c r="P218" s="220">
        <f>'Off-farm feed'!$O$23</f>
        <v>3.5145616773760872E-2</v>
      </c>
      <c r="Q218" s="220">
        <f>'Off-farm feed'!$P$23</f>
        <v>0.251</v>
      </c>
      <c r="R218" s="197">
        <f>'Parameters, country spec'!S27</f>
        <v>0.20010207877950584</v>
      </c>
    </row>
    <row r="219" spans="1:18" x14ac:dyDescent="0.35">
      <c r="B219" s="17" t="s">
        <v>233</v>
      </c>
      <c r="C219" s="17" t="s">
        <v>347</v>
      </c>
      <c r="D219" s="23" t="s">
        <v>108</v>
      </c>
      <c r="E219" s="23" t="s">
        <v>109</v>
      </c>
      <c r="F219" s="120"/>
      <c r="G219" s="108"/>
      <c r="H219" s="8"/>
      <c r="I219" s="107"/>
      <c r="J219" s="8"/>
      <c r="K219" s="108"/>
      <c r="L219" s="8"/>
      <c r="M219" s="8"/>
      <c r="N219" s="108"/>
      <c r="O219" s="8"/>
      <c r="P219" s="8"/>
      <c r="Q219" s="8"/>
      <c r="R219" s="197">
        <f>'Parameters, country spec'!S28</f>
        <v>5.5344876310481586E-2</v>
      </c>
    </row>
    <row r="220" spans="1:18" x14ac:dyDescent="0.35">
      <c r="A220" s="83"/>
      <c r="B220" s="17" t="s">
        <v>348</v>
      </c>
      <c r="C220" s="84" t="s">
        <v>349</v>
      </c>
      <c r="D220" s="23" t="s">
        <v>108</v>
      </c>
      <c r="E220" s="23" t="s">
        <v>109</v>
      </c>
      <c r="F220" s="120">
        <f t="shared" si="35"/>
        <v>0.14998677790465326</v>
      </c>
      <c r="G220" s="81">
        <f t="shared" ref="G220:N220" si="36">AVERAGE(G210:G218)</f>
        <v>4.7731488515428383E-2</v>
      </c>
      <c r="H220" s="81">
        <f t="shared" si="36"/>
        <v>2.4826324642556769E-2</v>
      </c>
      <c r="I220" s="81">
        <f t="shared" si="36"/>
        <v>0</v>
      </c>
      <c r="J220" s="81"/>
      <c r="K220" s="81">
        <f t="shared" si="36"/>
        <v>4.2821239163265974E-2</v>
      </c>
      <c r="L220" s="81"/>
      <c r="M220" s="81">
        <f t="shared" si="36"/>
        <v>4.1288503847850203E-5</v>
      </c>
      <c r="N220" s="81">
        <f t="shared" si="36"/>
        <v>3.4566437079554278E-2</v>
      </c>
      <c r="O220" s="81"/>
      <c r="P220" s="81"/>
      <c r="Q220" s="81"/>
      <c r="R220" s="197">
        <f>'Parameters, country spec'!S29</f>
        <v>4.1386295333839362E-2</v>
      </c>
    </row>
    <row r="221" spans="1:18" x14ac:dyDescent="0.35">
      <c r="A221" s="195"/>
      <c r="B221" s="25" t="s">
        <v>350</v>
      </c>
      <c r="C221" s="26"/>
      <c r="D221" s="103"/>
      <c r="E221" s="103"/>
      <c r="F221" s="27">
        <f>SUMPRODUCT(F210:F220,$R$210:$R$220)</f>
        <v>0.25990304244363727</v>
      </c>
      <c r="G221" s="27">
        <f>SUMPRODUCT(G210:G220,$R$210:$R$220)</f>
        <v>5.0160786202252325E-2</v>
      </c>
      <c r="H221" s="27">
        <f>SUMPRODUCT(H210:H220,$R$210:$R$220)</f>
        <v>2.4295644381999413E-2</v>
      </c>
      <c r="I221" s="27">
        <f>SUMPRODUCT(I210:I220,$R$210:$R$220)</f>
        <v>0</v>
      </c>
      <c r="J221" s="27"/>
      <c r="K221" s="27">
        <f>SUMPRODUCT(K210:K220,$R$210:$R$220)</f>
        <v>3.257935989482183E-2</v>
      </c>
      <c r="L221" s="27"/>
      <c r="M221" s="27">
        <f>SUMPRODUCT(M210:M220,$R$210:$R$220)</f>
        <v>3.7411112021907841E-5</v>
      </c>
      <c r="N221" s="27">
        <f>SUMPRODUCT(N210:N220,$R$210:$R$220)</f>
        <v>3.2016846241610157E-2</v>
      </c>
      <c r="O221" s="27">
        <f>SUMPRODUCT(O210:O220,$R$210:$R$220)</f>
        <v>6.3554661860858244E-2</v>
      </c>
      <c r="P221" s="209">
        <f>SUMPRODUCT(P210:P220,R210:R220)</f>
        <v>7.0327109764174202E-3</v>
      </c>
      <c r="Q221" s="27">
        <f>SUMPRODUCT(Q210:Q220,$R$210:$R$220)</f>
        <v>5.0225621773655964E-2</v>
      </c>
      <c r="R221" s="198"/>
    </row>
    <row r="222" spans="1:18" x14ac:dyDescent="0.35">
      <c r="A222" s="22" t="s">
        <v>336</v>
      </c>
      <c r="B222" s="17" t="s">
        <v>218</v>
      </c>
      <c r="C222" s="17" t="s">
        <v>337</v>
      </c>
      <c r="D222" s="23" t="s">
        <v>20</v>
      </c>
      <c r="E222" s="23" t="s">
        <v>110</v>
      </c>
      <c r="F222" s="120">
        <f>SUM(G222:Q222)</f>
        <v>0.17699999999999999</v>
      </c>
      <c r="G222" s="80">
        <v>7.9000000000000001E-2</v>
      </c>
      <c r="H222" s="14">
        <v>2.7E-2</v>
      </c>
      <c r="I222" s="16">
        <v>0</v>
      </c>
      <c r="J222" s="14"/>
      <c r="K222" s="80">
        <v>2.7E-2</v>
      </c>
      <c r="L222" s="14"/>
      <c r="M222" s="14">
        <v>1E-3</v>
      </c>
      <c r="N222" s="80">
        <v>4.2999999999999997E-2</v>
      </c>
      <c r="O222" s="14"/>
      <c r="P222" s="14"/>
      <c r="R222" s="197">
        <f>'Parameters, country spec'!T19</f>
        <v>6.5976692624369268E-2</v>
      </c>
    </row>
    <row r="223" spans="1:18" x14ac:dyDescent="0.35">
      <c r="A223" s="22" t="s">
        <v>338</v>
      </c>
      <c r="B223" s="17" t="s">
        <v>222</v>
      </c>
      <c r="C223" s="17" t="s">
        <v>337</v>
      </c>
      <c r="D223" s="23" t="s">
        <v>20</v>
      </c>
      <c r="E223" s="23" t="s">
        <v>110</v>
      </c>
      <c r="F223" s="120">
        <f t="shared" ref="F223:F232" si="37">SUM(G223:Q223)</f>
        <v>0.17199999999999999</v>
      </c>
      <c r="G223" s="80">
        <v>7.6999999999999999E-2</v>
      </c>
      <c r="H223" s="14">
        <v>2.7E-2</v>
      </c>
      <c r="I223" s="16">
        <v>0</v>
      </c>
      <c r="J223" s="14"/>
      <c r="K223" s="80">
        <v>0.02</v>
      </c>
      <c r="L223" s="14"/>
      <c r="M223" s="14">
        <v>5.0000000000000001E-3</v>
      </c>
      <c r="N223" s="80">
        <v>4.2999999999999997E-2</v>
      </c>
      <c r="O223" s="14"/>
      <c r="P223" s="14"/>
      <c r="R223" s="197">
        <f>'Parameters, country spec'!T20</f>
        <v>0.19814107333385653</v>
      </c>
    </row>
    <row r="224" spans="1:18" x14ac:dyDescent="0.35">
      <c r="A224" s="22" t="s">
        <v>339</v>
      </c>
      <c r="B224" s="17" t="s">
        <v>226</v>
      </c>
      <c r="C224" s="17" t="s">
        <v>337</v>
      </c>
      <c r="D224" s="23" t="s">
        <v>20</v>
      </c>
      <c r="E224" s="23" t="s">
        <v>110</v>
      </c>
      <c r="F224" s="120">
        <f t="shared" si="37"/>
        <v>0.17899999999999999</v>
      </c>
      <c r="G224" s="80">
        <v>7.0000000000000007E-2</v>
      </c>
      <c r="H224" s="14">
        <v>2.7E-2</v>
      </c>
      <c r="I224" s="16">
        <v>0</v>
      </c>
      <c r="J224" s="14"/>
      <c r="K224" s="80">
        <v>3.5999999999999997E-2</v>
      </c>
      <c r="L224" s="14"/>
      <c r="M224" s="14">
        <v>3.0000000000000001E-3</v>
      </c>
      <c r="N224" s="80">
        <v>4.2999999999999997E-2</v>
      </c>
      <c r="O224" s="14"/>
      <c r="P224" s="14"/>
      <c r="R224" s="197">
        <f>'Parameters, country spec'!T21</f>
        <v>2.1671841623166059E-3</v>
      </c>
    </row>
    <row r="225" spans="1:18" x14ac:dyDescent="0.35">
      <c r="A225" s="22" t="s">
        <v>340</v>
      </c>
      <c r="B225" s="17" t="s">
        <v>227</v>
      </c>
      <c r="C225" s="17" t="s">
        <v>337</v>
      </c>
      <c r="D225" s="23" t="s">
        <v>20</v>
      </c>
      <c r="E225" s="23" t="s">
        <v>110</v>
      </c>
      <c r="F225" s="120">
        <f t="shared" si="37"/>
        <v>0.184</v>
      </c>
      <c r="G225" s="80">
        <v>6.2E-2</v>
      </c>
      <c r="H225" s="14">
        <v>2.7E-2</v>
      </c>
      <c r="I225" s="14">
        <v>0</v>
      </c>
      <c r="J225" s="14"/>
      <c r="K225" s="80">
        <v>5.1999999999999998E-2</v>
      </c>
      <c r="L225" s="14"/>
      <c r="M225" s="14">
        <v>0</v>
      </c>
      <c r="N225" s="80">
        <v>4.2999999999999997E-2</v>
      </c>
      <c r="O225" s="14"/>
      <c r="P225" s="14"/>
      <c r="R225" s="197">
        <f>'Parameters, country spec'!T22</f>
        <v>8.1550834411767848E-3</v>
      </c>
    </row>
    <row r="226" spans="1:18" x14ac:dyDescent="0.35">
      <c r="A226" s="22" t="s">
        <v>341</v>
      </c>
      <c r="B226" s="17" t="s">
        <v>228</v>
      </c>
      <c r="C226" s="17" t="s">
        <v>337</v>
      </c>
      <c r="D226" s="23" t="s">
        <v>20</v>
      </c>
      <c r="E226" s="23" t="s">
        <v>110</v>
      </c>
      <c r="F226" s="120">
        <f t="shared" si="37"/>
        <v>0.184</v>
      </c>
      <c r="G226" s="80">
        <v>9.0999999999999998E-2</v>
      </c>
      <c r="H226" s="14">
        <v>2.7E-2</v>
      </c>
      <c r="I226" s="14">
        <v>0</v>
      </c>
      <c r="J226" s="14"/>
      <c r="K226" s="80">
        <v>2.1999999999999999E-2</v>
      </c>
      <c r="L226" s="14"/>
      <c r="M226" s="14">
        <v>1E-3</v>
      </c>
      <c r="N226" s="80">
        <v>4.2999999999999997E-2</v>
      </c>
      <c r="O226" s="14"/>
      <c r="P226" s="14"/>
      <c r="R226" s="197">
        <f>'Parameters, country spec'!T23</f>
        <v>0.22324493125110034</v>
      </c>
    </row>
    <row r="227" spans="1:18" x14ac:dyDescent="0.35">
      <c r="A227" s="22" t="s">
        <v>342</v>
      </c>
      <c r="B227" s="17" t="s">
        <v>229</v>
      </c>
      <c r="C227" s="17" t="s">
        <v>343</v>
      </c>
      <c r="D227" s="23" t="s">
        <v>20</v>
      </c>
      <c r="E227" s="23" t="s">
        <v>110</v>
      </c>
      <c r="F227" s="120">
        <f t="shared" si="37"/>
        <v>0.105</v>
      </c>
      <c r="G227" s="80">
        <v>0</v>
      </c>
      <c r="H227" s="14">
        <v>2.7E-2</v>
      </c>
      <c r="I227" s="16">
        <v>0</v>
      </c>
      <c r="J227" s="14"/>
      <c r="K227" s="80">
        <v>3.4000000000000002E-2</v>
      </c>
      <c r="L227" s="16"/>
      <c r="M227" s="14">
        <v>1E-3</v>
      </c>
      <c r="N227" s="80">
        <v>4.2999999999999997E-2</v>
      </c>
      <c r="O227" s="14"/>
      <c r="P227" s="14"/>
      <c r="R227" s="197">
        <f>'Parameters, country spec'!T24</f>
        <v>0</v>
      </c>
    </row>
    <row r="228" spans="1:18" x14ac:dyDescent="0.35">
      <c r="A228" s="22" t="s">
        <v>344</v>
      </c>
      <c r="B228" s="17" t="s">
        <v>230</v>
      </c>
      <c r="C228" s="17" t="s">
        <v>343</v>
      </c>
      <c r="D228" s="23" t="s">
        <v>20</v>
      </c>
      <c r="E228" s="23" t="s">
        <v>110</v>
      </c>
      <c r="F228" s="120">
        <f t="shared" si="37"/>
        <v>0.109</v>
      </c>
      <c r="G228" s="80">
        <v>4.0000000000000001E-3</v>
      </c>
      <c r="H228" s="14">
        <v>2.7E-2</v>
      </c>
      <c r="I228" s="16">
        <v>0</v>
      </c>
      <c r="J228" s="14"/>
      <c r="K228" s="80">
        <v>3.4000000000000002E-2</v>
      </c>
      <c r="L228" s="14"/>
      <c r="M228" s="14">
        <v>1E-3</v>
      </c>
      <c r="N228" s="80">
        <v>4.2999999999999997E-2</v>
      </c>
      <c r="O228" s="14"/>
      <c r="P228" s="14"/>
      <c r="R228" s="197">
        <f>'Parameters, country spec'!T25</f>
        <v>0</v>
      </c>
    </row>
    <row r="229" spans="1:18" x14ac:dyDescent="0.35">
      <c r="B229" s="18" t="s">
        <v>231</v>
      </c>
      <c r="C229" s="17" t="s">
        <v>345</v>
      </c>
      <c r="D229" s="23" t="str">
        <f>'Off-farm feed'!$D$74</f>
        <v>France, Germany, Poland</v>
      </c>
      <c r="E229" s="23"/>
      <c r="F229" s="120">
        <f>SUM(G229:Q229)</f>
        <v>0.27085685084992916</v>
      </c>
      <c r="G229" s="220">
        <f>'Off-farm feed'!$F$74</f>
        <v>0.11176753125767681</v>
      </c>
      <c r="H229" s="220">
        <f>'Off-farm feed'!$G$74</f>
        <v>1.3034482758620692E-2</v>
      </c>
      <c r="I229" s="220">
        <f>'Off-farm feed'!$H$74</f>
        <v>0</v>
      </c>
      <c r="J229" s="220">
        <f>'Off-farm feed'!$I$74</f>
        <v>0</v>
      </c>
      <c r="K229" s="220">
        <f>'Off-farm feed'!$J$74</f>
        <v>2.4688740026345454E-2</v>
      </c>
      <c r="L229" s="220">
        <f>'Off-farm feed'!$K$74</f>
        <v>0</v>
      </c>
      <c r="M229" s="220">
        <f>'Off-farm feed'!$L$74</f>
        <v>1.931759303794134E-4</v>
      </c>
      <c r="N229" s="220">
        <f>'Off-farm feed'!$M$74</f>
        <v>3.6802128767029069E-2</v>
      </c>
      <c r="O229" s="220">
        <f>'Off-farm feed'!$N$74</f>
        <v>0</v>
      </c>
      <c r="P229" s="220">
        <f>'Off-farm feed'!$O$74</f>
        <v>2.1170792109877701E-2</v>
      </c>
      <c r="Q229" s="220">
        <f>'Off-farm feed'!$P$74</f>
        <v>6.3200000000000006E-2</v>
      </c>
      <c r="R229" s="197">
        <f>'Parameters, country spec'!T26</f>
        <v>0.12320054874364431</v>
      </c>
    </row>
    <row r="230" spans="1:18" x14ac:dyDescent="0.35">
      <c r="B230" s="18" t="s">
        <v>346</v>
      </c>
      <c r="C230" s="17" t="s">
        <v>345</v>
      </c>
      <c r="D230" s="23" t="str">
        <f>'Off-farm feed'!$D$23</f>
        <v>Brazil, Argentina</v>
      </c>
      <c r="E230" s="23"/>
      <c r="F230" s="120">
        <f>SUM(G230:Q230)</f>
        <v>0.7061171705997602</v>
      </c>
      <c r="G230" s="220">
        <f>'Off-farm feed'!$F$23</f>
        <v>7.2632670993098931E-3</v>
      </c>
      <c r="H230" s="220">
        <f>'Off-farm feed'!$G$23</f>
        <v>2.1402439024390246E-2</v>
      </c>
      <c r="I230" s="220">
        <f>'Off-farm feed'!$H$23</f>
        <v>0</v>
      </c>
      <c r="J230" s="220">
        <f>'Off-farm feed'!$I$23</f>
        <v>0</v>
      </c>
      <c r="K230" s="220">
        <f>'Off-farm feed'!$J$23</f>
        <v>4.308361966433235E-2</v>
      </c>
      <c r="L230" s="220">
        <f>'Off-farm feed'!$K$23</f>
        <v>0</v>
      </c>
      <c r="M230" s="220">
        <f>'Off-farm feed'!$L$23</f>
        <v>1.7842060425123844E-4</v>
      </c>
      <c r="N230" s="220">
        <f>'Off-farm feed'!$M$23</f>
        <v>3.0432604948959403E-2</v>
      </c>
      <c r="O230" s="220">
        <f>'Off-farm feed'!$N$23</f>
        <v>0.31761120248475611</v>
      </c>
      <c r="P230" s="220">
        <f>'Off-farm feed'!$O$23</f>
        <v>3.5145616773760872E-2</v>
      </c>
      <c r="Q230" s="220">
        <f>'Off-farm feed'!$P$23</f>
        <v>0.251</v>
      </c>
      <c r="R230" s="197">
        <f>'Parameters, country spec'!T27</f>
        <v>0.15910748774892908</v>
      </c>
    </row>
    <row r="231" spans="1:18" x14ac:dyDescent="0.35">
      <c r="B231" s="17" t="s">
        <v>233</v>
      </c>
      <c r="C231" s="17" t="s">
        <v>347</v>
      </c>
      <c r="D231" s="23" t="s">
        <v>20</v>
      </c>
      <c r="E231" s="23" t="s">
        <v>110</v>
      </c>
      <c r="F231" s="120"/>
      <c r="G231" s="108"/>
      <c r="H231" s="8"/>
      <c r="I231" s="107"/>
      <c r="J231" s="8"/>
      <c r="K231" s="108"/>
      <c r="L231" s="8"/>
      <c r="M231" s="8"/>
      <c r="N231" s="108"/>
      <c r="O231" s="8"/>
      <c r="P231" s="8"/>
      <c r="Q231" s="8"/>
      <c r="R231" s="197">
        <f>'Parameters, country spec'!T28</f>
        <v>1.7335418632101657E-2</v>
      </c>
    </row>
    <row r="232" spans="1:18" x14ac:dyDescent="0.35">
      <c r="A232" s="83"/>
      <c r="B232" s="17" t="s">
        <v>348</v>
      </c>
      <c r="C232" s="84" t="s">
        <v>349</v>
      </c>
      <c r="D232" s="23" t="s">
        <v>20</v>
      </c>
      <c r="E232" s="23" t="s">
        <v>110</v>
      </c>
      <c r="F232" s="120">
        <f t="shared" si="37"/>
        <v>0.1554273788979216</v>
      </c>
      <c r="G232" s="81">
        <f t="shared" ref="G232:N232" si="38">AVERAGE(G222:G230)</f>
        <v>5.5781199817442971E-2</v>
      </c>
      <c r="H232" s="81">
        <f t="shared" si="38"/>
        <v>2.4826324642556769E-2</v>
      </c>
      <c r="I232" s="81">
        <f t="shared" si="38"/>
        <v>0</v>
      </c>
      <c r="J232" s="81"/>
      <c r="K232" s="81">
        <f t="shared" si="38"/>
        <v>3.2530262187853085E-2</v>
      </c>
      <c r="L232" s="81"/>
      <c r="M232" s="81">
        <f t="shared" si="38"/>
        <v>1.3746218371811839E-3</v>
      </c>
      <c r="N232" s="81">
        <f t="shared" si="38"/>
        <v>4.0914970412887594E-2</v>
      </c>
      <c r="O232" s="81"/>
      <c r="P232" s="81"/>
      <c r="Q232" s="81"/>
      <c r="R232" s="197">
        <f>'Parameters, country spec'!T29</f>
        <v>0.20267158006250544</v>
      </c>
    </row>
    <row r="233" spans="1:18" x14ac:dyDescent="0.35">
      <c r="A233" s="195"/>
      <c r="B233" s="25" t="s">
        <v>350</v>
      </c>
      <c r="C233" s="26"/>
      <c r="D233" s="103"/>
      <c r="E233" s="103"/>
      <c r="F233" s="27">
        <f>SUMPRODUCT(F222:F232,$R$222:$R$232)</f>
        <v>0.26594262206878233</v>
      </c>
      <c r="G233" s="27">
        <f>SUMPRODUCT(G222:G232,$R$222:$R$232)</f>
        <v>6.7672353441069727E-2</v>
      </c>
      <c r="H233" s="27">
        <f>SUMPRODUCT(H222:H232,$R$222:$R$232)</f>
        <v>2.3480228225719834E-2</v>
      </c>
      <c r="I233" s="27">
        <f>SUMPRODUCT(I222:I232,$R$222:$R$232)</f>
        <v>0</v>
      </c>
      <c r="J233" s="27"/>
      <c r="K233" s="27">
        <f>SUMPRODUCT(K222:K232,$R$222:$R$232)</f>
        <v>2.7647216068260871E-2</v>
      </c>
      <c r="L233" s="27"/>
      <c r="M233" s="27">
        <f t="shared" ref="M233" si="39">SUMPRODUCT(M222:M232,$R$222:$R$232)</f>
        <v>1.6172127574935048E-3</v>
      </c>
      <c r="N233" s="27">
        <f>SUMPRODUCT(N222:N232,$R$222:$R$232)</f>
        <v>3.9068852966858622E-2</v>
      </c>
      <c r="O233" s="27">
        <f>SUMPRODUCT(O222:O232,$R$222:$R$232)</f>
        <v>5.0534320508265965E-2</v>
      </c>
      <c r="P233" s="209">
        <f>SUMPRODUCT(P222:P232,R222:R232)</f>
        <v>8.2001839955342624E-3</v>
      </c>
      <c r="Q233" s="27">
        <f>SUMPRODUCT(Q222:Q232,$R$222:$R$232)</f>
        <v>4.7722254105579523E-2</v>
      </c>
      <c r="R233" s="198"/>
    </row>
    <row r="234" spans="1:18" x14ac:dyDescent="0.35">
      <c r="A234" s="22" t="s">
        <v>336</v>
      </c>
      <c r="B234" s="17" t="s">
        <v>218</v>
      </c>
      <c r="C234" s="17" t="s">
        <v>337</v>
      </c>
      <c r="D234" s="23" t="s">
        <v>19</v>
      </c>
      <c r="E234" s="23" t="s">
        <v>111</v>
      </c>
      <c r="F234" s="120">
        <f>SUM(G234:Q234)</f>
        <v>0.20799999999999999</v>
      </c>
      <c r="G234" s="80">
        <v>7.9000000000000001E-2</v>
      </c>
      <c r="H234" s="14">
        <v>2.7E-2</v>
      </c>
      <c r="I234" s="16">
        <v>0</v>
      </c>
      <c r="J234" s="14"/>
      <c r="K234" s="80">
        <v>4.9000000000000002E-2</v>
      </c>
      <c r="L234" s="14"/>
      <c r="M234" s="14">
        <v>0</v>
      </c>
      <c r="N234" s="80">
        <v>5.2999999999999999E-2</v>
      </c>
      <c r="O234" s="14"/>
      <c r="P234" s="14"/>
      <c r="R234" s="197">
        <f>'Parameters, country spec'!U19</f>
        <v>0.16996898787594733</v>
      </c>
    </row>
    <row r="235" spans="1:18" x14ac:dyDescent="0.35">
      <c r="A235" s="22" t="s">
        <v>338</v>
      </c>
      <c r="B235" s="17" t="s">
        <v>222</v>
      </c>
      <c r="C235" s="17" t="s">
        <v>337</v>
      </c>
      <c r="D235" s="23" t="s">
        <v>19</v>
      </c>
      <c r="E235" s="23" t="s">
        <v>111</v>
      </c>
      <c r="F235" s="120">
        <f t="shared" ref="F235:F244" si="40">SUM(G235:Q235)</f>
        <v>0.186</v>
      </c>
      <c r="G235" s="80">
        <v>7.6999999999999999E-2</v>
      </c>
      <c r="H235" s="14">
        <v>2.7E-2</v>
      </c>
      <c r="I235" s="16">
        <v>0</v>
      </c>
      <c r="J235" s="14"/>
      <c r="K235" s="80">
        <v>2.8000000000000001E-2</v>
      </c>
      <c r="L235" s="14"/>
      <c r="M235" s="14">
        <v>1E-3</v>
      </c>
      <c r="N235" s="80">
        <v>5.2999999999999999E-2</v>
      </c>
      <c r="O235" s="14"/>
      <c r="P235" s="14"/>
      <c r="R235" s="197">
        <f>'Parameters, country spec'!U20</f>
        <v>0.23283885034476093</v>
      </c>
    </row>
    <row r="236" spans="1:18" x14ac:dyDescent="0.35">
      <c r="A236" s="22" t="s">
        <v>339</v>
      </c>
      <c r="B236" s="17" t="s">
        <v>226</v>
      </c>
      <c r="C236" s="17" t="s">
        <v>337</v>
      </c>
      <c r="D236" s="23" t="s">
        <v>19</v>
      </c>
      <c r="E236" s="23" t="s">
        <v>111</v>
      </c>
      <c r="F236" s="120">
        <f t="shared" si="40"/>
        <v>0.215</v>
      </c>
      <c r="G236" s="80">
        <v>7.0000000000000007E-2</v>
      </c>
      <c r="H236" s="14">
        <v>2.7E-2</v>
      </c>
      <c r="I236" s="16">
        <v>0</v>
      </c>
      <c r="J236" s="14"/>
      <c r="K236" s="80">
        <v>6.5000000000000002E-2</v>
      </c>
      <c r="L236" s="14"/>
      <c r="M236" s="14">
        <v>0</v>
      </c>
      <c r="N236" s="80">
        <v>5.2999999999999999E-2</v>
      </c>
      <c r="O236" s="14"/>
      <c r="P236" s="14"/>
      <c r="R236" s="197">
        <f>'Parameters, country spec'!U21</f>
        <v>5.0904696791723991E-3</v>
      </c>
    </row>
    <row r="237" spans="1:18" x14ac:dyDescent="0.35">
      <c r="A237" s="22" t="s">
        <v>340</v>
      </c>
      <c r="B237" s="17" t="s">
        <v>227</v>
      </c>
      <c r="C237" s="17" t="s">
        <v>337</v>
      </c>
      <c r="D237" s="23" t="s">
        <v>19</v>
      </c>
      <c r="E237" s="23" t="s">
        <v>111</v>
      </c>
      <c r="F237" s="120">
        <f t="shared" si="40"/>
        <v>0.20399999999999999</v>
      </c>
      <c r="G237" s="80">
        <v>6.2E-2</v>
      </c>
      <c r="H237" s="14">
        <v>2.7E-2</v>
      </c>
      <c r="I237" s="14">
        <v>0</v>
      </c>
      <c r="J237" s="14"/>
      <c r="K237" s="80">
        <v>6.2E-2</v>
      </c>
      <c r="L237" s="14"/>
      <c r="M237" s="14">
        <v>0</v>
      </c>
      <c r="N237" s="80">
        <v>5.2999999999999999E-2</v>
      </c>
      <c r="O237" s="14"/>
      <c r="P237" s="14"/>
      <c r="R237" s="197">
        <f>'Parameters, country spec'!U22</f>
        <v>6.6462863913214348E-2</v>
      </c>
    </row>
    <row r="238" spans="1:18" x14ac:dyDescent="0.35">
      <c r="A238" s="22" t="s">
        <v>341</v>
      </c>
      <c r="B238" s="17" t="s">
        <v>228</v>
      </c>
      <c r="C238" s="17" t="s">
        <v>337</v>
      </c>
      <c r="D238" s="23" t="s">
        <v>19</v>
      </c>
      <c r="E238" s="23" t="s">
        <v>111</v>
      </c>
      <c r="F238" s="120">
        <f t="shared" si="40"/>
        <v>0.21199999999999999</v>
      </c>
      <c r="G238" s="80">
        <v>9.0999999999999998E-2</v>
      </c>
      <c r="H238" s="14">
        <v>2.7E-2</v>
      </c>
      <c r="I238" s="14">
        <v>0</v>
      </c>
      <c r="J238" s="14"/>
      <c r="K238" s="80">
        <v>4.1000000000000002E-2</v>
      </c>
      <c r="L238" s="14"/>
      <c r="M238" s="14">
        <v>0</v>
      </c>
      <c r="N238" s="80">
        <v>5.2999999999999999E-2</v>
      </c>
      <c r="O238" s="14"/>
      <c r="P238" s="14"/>
      <c r="R238" s="197">
        <f>'Parameters, country spec'!U23</f>
        <v>0.26723420141656068</v>
      </c>
    </row>
    <row r="239" spans="1:18" x14ac:dyDescent="0.35">
      <c r="A239" s="22" t="s">
        <v>342</v>
      </c>
      <c r="B239" s="17" t="s">
        <v>229</v>
      </c>
      <c r="C239" s="17" t="s">
        <v>343</v>
      </c>
      <c r="D239" s="23" t="s">
        <v>19</v>
      </c>
      <c r="E239" s="23" t="s">
        <v>111</v>
      </c>
      <c r="F239" s="120">
        <f t="shared" si="40"/>
        <v>0.16200000000000001</v>
      </c>
      <c r="G239" s="80">
        <v>0</v>
      </c>
      <c r="H239" s="14">
        <v>2.7E-2</v>
      </c>
      <c r="I239" s="16">
        <v>0</v>
      </c>
      <c r="J239" s="14"/>
      <c r="K239" s="80">
        <v>8.2000000000000003E-2</v>
      </c>
      <c r="L239" s="16"/>
      <c r="M239" s="14">
        <v>0</v>
      </c>
      <c r="N239" s="80">
        <v>5.2999999999999999E-2</v>
      </c>
      <c r="O239" s="14"/>
      <c r="P239" s="14"/>
      <c r="R239" s="197">
        <f>'Parameters, country spec'!U24</f>
        <v>4.1789296546899217E-3</v>
      </c>
    </row>
    <row r="240" spans="1:18" x14ac:dyDescent="0.35">
      <c r="A240" s="22" t="s">
        <v>344</v>
      </c>
      <c r="B240" s="17" t="s">
        <v>230</v>
      </c>
      <c r="C240" s="17" t="s">
        <v>343</v>
      </c>
      <c r="D240" s="23" t="s">
        <v>19</v>
      </c>
      <c r="E240" s="23" t="s">
        <v>111</v>
      </c>
      <c r="F240" s="120">
        <f t="shared" si="40"/>
        <v>0.15</v>
      </c>
      <c r="G240" s="80">
        <v>4.0000000000000001E-3</v>
      </c>
      <c r="H240" s="14">
        <v>2.7E-2</v>
      </c>
      <c r="I240" s="16">
        <v>0</v>
      </c>
      <c r="J240" s="14"/>
      <c r="K240" s="80">
        <v>6.6000000000000003E-2</v>
      </c>
      <c r="L240" s="14"/>
      <c r="M240" s="14">
        <v>0</v>
      </c>
      <c r="N240" s="80">
        <v>5.2999999999999999E-2</v>
      </c>
      <c r="O240" s="14"/>
      <c r="P240" s="14"/>
      <c r="R240" s="197">
        <f>'Parameters, country spec'!U25</f>
        <v>4.1050860427910675E-3</v>
      </c>
    </row>
    <row r="241" spans="1:18" x14ac:dyDescent="0.35">
      <c r="B241" s="18" t="s">
        <v>231</v>
      </c>
      <c r="C241" s="17" t="s">
        <v>345</v>
      </c>
      <c r="D241" s="23" t="str">
        <f>'Off-farm feed'!$D$74</f>
        <v>France, Germany, Poland</v>
      </c>
      <c r="E241" s="23"/>
      <c r="F241" s="120">
        <f>SUM(G241:Q241)</f>
        <v>0.27085685084992916</v>
      </c>
      <c r="G241" s="220">
        <f>'Off-farm feed'!$F$74</f>
        <v>0.11176753125767681</v>
      </c>
      <c r="H241" s="220">
        <f>'Off-farm feed'!$G$74</f>
        <v>1.3034482758620692E-2</v>
      </c>
      <c r="I241" s="220">
        <f>'Off-farm feed'!$H$74</f>
        <v>0</v>
      </c>
      <c r="J241" s="220">
        <f>'Off-farm feed'!$I$74</f>
        <v>0</v>
      </c>
      <c r="K241" s="220">
        <f>'Off-farm feed'!$J$74</f>
        <v>2.4688740026345454E-2</v>
      </c>
      <c r="L241" s="220">
        <f>'Off-farm feed'!$K$74</f>
        <v>0</v>
      </c>
      <c r="M241" s="220">
        <f>'Off-farm feed'!$L$74</f>
        <v>1.931759303794134E-4</v>
      </c>
      <c r="N241" s="220">
        <f>'Off-farm feed'!$M$74</f>
        <v>3.6802128767029069E-2</v>
      </c>
      <c r="O241" s="220">
        <f>'Off-farm feed'!$N$74</f>
        <v>0</v>
      </c>
      <c r="P241" s="220">
        <f>'Off-farm feed'!$O$74</f>
        <v>2.1170792109877701E-2</v>
      </c>
      <c r="Q241" s="220">
        <f>'Off-farm feed'!$P$74</f>
        <v>6.3200000000000006E-2</v>
      </c>
      <c r="R241" s="197">
        <f>'Parameters, country spec'!U26</f>
        <v>3.0119810543340508E-2</v>
      </c>
    </row>
    <row r="242" spans="1:18" x14ac:dyDescent="0.35">
      <c r="B242" s="18" t="s">
        <v>346</v>
      </c>
      <c r="C242" s="17" t="s">
        <v>345</v>
      </c>
      <c r="D242" s="23" t="str">
        <f>'Off-farm feed'!$D$23</f>
        <v>Brazil, Argentina</v>
      </c>
      <c r="E242" s="23"/>
      <c r="F242" s="120">
        <f>SUM(G242:Q242)</f>
        <v>0.7061171705997602</v>
      </c>
      <c r="G242" s="220">
        <f>'Off-farm feed'!$F$23</f>
        <v>7.2632670993098931E-3</v>
      </c>
      <c r="H242" s="220">
        <f>'Off-farm feed'!$G$23</f>
        <v>2.1402439024390246E-2</v>
      </c>
      <c r="I242" s="220">
        <f>'Off-farm feed'!$H$23</f>
        <v>0</v>
      </c>
      <c r="J242" s="220">
        <f>'Off-farm feed'!$I$23</f>
        <v>0</v>
      </c>
      <c r="K242" s="220">
        <f>'Off-farm feed'!$J$23</f>
        <v>4.308361966433235E-2</v>
      </c>
      <c r="L242" s="220">
        <f>'Off-farm feed'!$K$23</f>
        <v>0</v>
      </c>
      <c r="M242" s="220">
        <f>'Off-farm feed'!$L$23</f>
        <v>1.7842060425123844E-4</v>
      </c>
      <c r="N242" s="220">
        <f>'Off-farm feed'!$M$23</f>
        <v>3.0432604948959403E-2</v>
      </c>
      <c r="O242" s="220">
        <f>'Off-farm feed'!$N$23</f>
        <v>0.31761120248475611</v>
      </c>
      <c r="P242" s="220">
        <f>'Off-farm feed'!$O$23</f>
        <v>3.5145616773760872E-2</v>
      </c>
      <c r="Q242" s="220">
        <f>'Off-farm feed'!$P$23</f>
        <v>0.251</v>
      </c>
      <c r="R242" s="197">
        <f>'Parameters, country spec'!U27</f>
        <v>0.1050568603152183</v>
      </c>
    </row>
    <row r="243" spans="1:18" x14ac:dyDescent="0.35">
      <c r="B243" s="17" t="s">
        <v>233</v>
      </c>
      <c r="C243" s="17" t="s">
        <v>347</v>
      </c>
      <c r="D243" s="23" t="s">
        <v>19</v>
      </c>
      <c r="E243" s="23" t="s">
        <v>111</v>
      </c>
      <c r="F243" s="120"/>
      <c r="G243" s="108"/>
      <c r="H243" s="8"/>
      <c r="I243" s="107"/>
      <c r="J243" s="8"/>
      <c r="K243" s="108"/>
      <c r="L243" s="8"/>
      <c r="M243" s="8"/>
      <c r="N243" s="108"/>
      <c r="O243" s="8"/>
      <c r="P243" s="8"/>
      <c r="Q243" s="8"/>
      <c r="R243" s="197">
        <f>'Parameters, country spec'!U28</f>
        <v>5.1412336687770274E-2</v>
      </c>
    </row>
    <row r="244" spans="1:18" x14ac:dyDescent="0.35">
      <c r="A244" s="83"/>
      <c r="B244" s="17" t="s">
        <v>348</v>
      </c>
      <c r="C244" s="84" t="s">
        <v>349</v>
      </c>
      <c r="D244" s="23" t="s">
        <v>19</v>
      </c>
      <c r="E244" s="23" t="s">
        <v>111</v>
      </c>
      <c r="F244" s="120">
        <f t="shared" si="40"/>
        <v>0.18064960112014386</v>
      </c>
      <c r="G244" s="81">
        <f t="shared" ref="G244:N244" si="41">AVERAGE(G234:G242)</f>
        <v>5.5781199817442971E-2</v>
      </c>
      <c r="H244" s="81">
        <f t="shared" si="41"/>
        <v>2.4826324642556769E-2</v>
      </c>
      <c r="I244" s="81">
        <f t="shared" si="41"/>
        <v>0</v>
      </c>
      <c r="J244" s="81"/>
      <c r="K244" s="81">
        <f t="shared" si="41"/>
        <v>5.1196928854519756E-2</v>
      </c>
      <c r="L244" s="81"/>
      <c r="M244" s="81">
        <f t="shared" si="41"/>
        <v>1.5239961495896133E-4</v>
      </c>
      <c r="N244" s="81">
        <f t="shared" si="41"/>
        <v>4.869274819066538E-2</v>
      </c>
      <c r="O244" s="81"/>
      <c r="P244" s="81"/>
      <c r="Q244" s="81"/>
      <c r="R244" s="197">
        <f>'Parameters, country spec'!U29</f>
        <v>6.3531603526534211E-2</v>
      </c>
    </row>
    <row r="245" spans="1:18" x14ac:dyDescent="0.35">
      <c r="A245" s="195"/>
      <c r="B245" s="25" t="s">
        <v>350</v>
      </c>
      <c r="C245" s="26"/>
      <c r="D245" s="103"/>
      <c r="E245" s="103"/>
      <c r="F245" s="27">
        <f>SUMPRODUCT(F234:F244,$R$234:$R$244)</f>
        <v>0.24507841989786305</v>
      </c>
      <c r="G245" s="27">
        <f>SUMPRODUCT(G234:G244,$R$234:$R$244)</f>
        <v>6.7841246606484579E-2</v>
      </c>
      <c r="H245" s="27">
        <f>SUMPRODUCT(H234:H244,$R$234:$R$244)</f>
        <v>2.4465068913455068E-2</v>
      </c>
      <c r="I245" s="27">
        <f>SUMPRODUCT(I234:I244,$R$234:$R$244)</f>
        <v>0</v>
      </c>
      <c r="J245" s="27"/>
      <c r="K245" s="27">
        <f>SUMPRODUCT(K234:K244,$R$234:$R$244)</f>
        <v>3.9392229446786595E-2</v>
      </c>
      <c r="L245" s="27"/>
      <c r="M245" s="27">
        <f>SUMPRODUCT(M234:M244,$R$234:$R$244)</f>
        <v>2.6708377318267082E-4</v>
      </c>
      <c r="N245" s="27">
        <f>SUMPRODUCT(N234:N244,$R$234:$R$244)</f>
        <v>4.7142763059010544E-2</v>
      </c>
      <c r="O245" s="27">
        <f>SUMPRODUCT(O234:O244,$R$234:$R$244)</f>
        <v>3.3367235733989538E-2</v>
      </c>
      <c r="P245" s="209">
        <f>SUMPRODUCT(P234:P244,R234:R244)</f>
        <v>4.3299483994951541E-3</v>
      </c>
      <c r="Q245" s="27">
        <f>SUMPRODUCT(Q234:Q244,$R$234:$R$244)</f>
        <v>2.8272843965458913E-2</v>
      </c>
      <c r="R245" s="198"/>
    </row>
    <row r="246" spans="1:18" x14ac:dyDescent="0.35">
      <c r="A246" s="22" t="s">
        <v>336</v>
      </c>
      <c r="B246" s="17" t="s">
        <v>218</v>
      </c>
      <c r="C246" s="17" t="s">
        <v>337</v>
      </c>
      <c r="D246" s="23" t="s">
        <v>112</v>
      </c>
      <c r="E246" s="23" t="s">
        <v>113</v>
      </c>
      <c r="F246" s="120">
        <f>SUM(G246:Q246)</f>
        <v>0.16697655355390587</v>
      </c>
      <c r="G246" s="80">
        <v>6.4330297358443381E-2</v>
      </c>
      <c r="H246" s="14">
        <v>2.7E-2</v>
      </c>
      <c r="I246" s="303">
        <v>0</v>
      </c>
      <c r="J246" s="14"/>
      <c r="K246" s="80">
        <v>4.0808656195462478E-2</v>
      </c>
      <c r="L246" s="14"/>
      <c r="M246" s="14">
        <v>0</v>
      </c>
      <c r="N246" s="80">
        <v>3.4837600000000003E-2</v>
      </c>
      <c r="O246" s="14"/>
      <c r="P246" s="14"/>
      <c r="R246" s="197">
        <f>'Parameters, country spec'!V19</f>
        <v>4.6734825942588876E-2</v>
      </c>
    </row>
    <row r="247" spans="1:18" x14ac:dyDescent="0.35">
      <c r="A247" s="22" t="s">
        <v>338</v>
      </c>
      <c r="B247" s="17" t="s">
        <v>222</v>
      </c>
      <c r="C247" s="17" t="s">
        <v>337</v>
      </c>
      <c r="D247" s="23" t="s">
        <v>112</v>
      </c>
      <c r="E247" s="23" t="s">
        <v>113</v>
      </c>
      <c r="F247" s="120">
        <f t="shared" ref="F247:F256" si="42">SUM(G247:Q247)</f>
        <v>0.15238359782823441</v>
      </c>
      <c r="G247" s="80">
        <v>6.2649071876813428E-2</v>
      </c>
      <c r="H247" s="14">
        <v>2.7E-2</v>
      </c>
      <c r="I247" s="303">
        <v>0</v>
      </c>
      <c r="J247" s="14"/>
      <c r="K247" s="80">
        <v>2.7896925951420983E-2</v>
      </c>
      <c r="L247" s="14"/>
      <c r="M247" s="14">
        <v>0</v>
      </c>
      <c r="N247" s="80">
        <v>3.4837600000000003E-2</v>
      </c>
      <c r="O247" s="14"/>
      <c r="P247" s="14"/>
      <c r="R247" s="197">
        <f>'Parameters, country spec'!V20</f>
        <v>0.43527572351382965</v>
      </c>
    </row>
    <row r="248" spans="1:18" x14ac:dyDescent="0.35">
      <c r="A248" s="22" t="s">
        <v>339</v>
      </c>
      <c r="B248" s="17" t="s">
        <v>226</v>
      </c>
      <c r="C248" s="17" t="s">
        <v>337</v>
      </c>
      <c r="D248" s="23" t="s">
        <v>112</v>
      </c>
      <c r="E248" s="23" t="s">
        <v>113</v>
      </c>
      <c r="F248" s="120">
        <f t="shared" si="42"/>
        <v>0.1652253697578368</v>
      </c>
      <c r="G248" s="80">
        <v>5.6711069109087971E-2</v>
      </c>
      <c r="H248" s="14">
        <v>2.7E-2</v>
      </c>
      <c r="I248" s="303">
        <v>0</v>
      </c>
      <c r="J248" s="14"/>
      <c r="K248" s="80">
        <v>4.6676700648748841E-2</v>
      </c>
      <c r="L248" s="14"/>
      <c r="M248" s="14">
        <v>0</v>
      </c>
      <c r="N248" s="80">
        <v>3.4837600000000003E-2</v>
      </c>
      <c r="O248" s="14"/>
      <c r="P248" s="14"/>
      <c r="R248" s="197">
        <f>'Parameters, country spec'!V21</f>
        <v>1.3265729698578317E-2</v>
      </c>
    </row>
    <row r="249" spans="1:18" x14ac:dyDescent="0.35">
      <c r="A249" s="22" t="s">
        <v>340</v>
      </c>
      <c r="B249" s="17" t="s">
        <v>227</v>
      </c>
      <c r="C249" s="17" t="s">
        <v>337</v>
      </c>
      <c r="D249" s="23" t="s">
        <v>112</v>
      </c>
      <c r="E249" s="23" t="s">
        <v>113</v>
      </c>
      <c r="F249" s="120">
        <f t="shared" si="42"/>
        <v>0.14256180694350662</v>
      </c>
      <c r="G249" s="80">
        <v>4.99522666930306E-2</v>
      </c>
      <c r="H249" s="14">
        <v>2.7E-2</v>
      </c>
      <c r="I249" s="303">
        <v>0</v>
      </c>
      <c r="J249" s="14"/>
      <c r="K249" s="80">
        <v>3.0771940250476016E-2</v>
      </c>
      <c r="L249" s="14"/>
      <c r="M249" s="14">
        <v>0</v>
      </c>
      <c r="N249" s="80">
        <v>3.4837600000000003E-2</v>
      </c>
      <c r="O249" s="14"/>
      <c r="P249" s="14"/>
      <c r="R249" s="197">
        <f>'Parameters, country spec'!V22</f>
        <v>2.9971473511945708E-4</v>
      </c>
    </row>
    <row r="250" spans="1:18" x14ac:dyDescent="0.35">
      <c r="A250" s="22" t="s">
        <v>341</v>
      </c>
      <c r="B250" s="17" t="s">
        <v>228</v>
      </c>
      <c r="C250" s="17" t="s">
        <v>337</v>
      </c>
      <c r="D250" s="23" t="s">
        <v>112</v>
      </c>
      <c r="E250" s="23" t="s">
        <v>113</v>
      </c>
      <c r="F250" s="120">
        <f t="shared" si="42"/>
        <v>0.16472897058825095</v>
      </c>
      <c r="G250" s="80">
        <v>7.3741076533864705E-2</v>
      </c>
      <c r="H250" s="14">
        <v>2.7E-2</v>
      </c>
      <c r="I250" s="303">
        <v>0</v>
      </c>
      <c r="J250" s="14"/>
      <c r="K250" s="80">
        <v>2.9150294054386239E-2</v>
      </c>
      <c r="L250" s="14"/>
      <c r="M250" s="14">
        <v>0</v>
      </c>
      <c r="N250" s="80">
        <v>3.4837600000000003E-2</v>
      </c>
      <c r="O250" s="14"/>
      <c r="P250" s="14"/>
      <c r="R250" s="197">
        <f>'Parameters, country spec'!V23</f>
        <v>9.5453909486912653E-2</v>
      </c>
    </row>
    <row r="251" spans="1:18" x14ac:dyDescent="0.35">
      <c r="A251" s="22" t="s">
        <v>342</v>
      </c>
      <c r="B251" s="17" t="s">
        <v>229</v>
      </c>
      <c r="C251" s="17" t="s">
        <v>343</v>
      </c>
      <c r="D251" s="23" t="s">
        <v>112</v>
      </c>
      <c r="E251" s="23" t="s">
        <v>113</v>
      </c>
      <c r="F251" s="120">
        <f t="shared" si="42"/>
        <v>0.11885153790044359</v>
      </c>
      <c r="G251" s="80">
        <v>0</v>
      </c>
      <c r="H251" s="14">
        <v>2.7E-2</v>
      </c>
      <c r="I251" s="303">
        <v>0</v>
      </c>
      <c r="J251" s="14"/>
      <c r="K251" s="80">
        <v>5.7013937900443575E-2</v>
      </c>
      <c r="L251" s="16"/>
      <c r="M251" s="14">
        <v>0</v>
      </c>
      <c r="N251" s="80">
        <v>3.4837600000000003E-2</v>
      </c>
      <c r="O251" s="14"/>
      <c r="P251" s="14"/>
      <c r="R251" s="197">
        <f>'Parameters, country spec'!V24</f>
        <v>2.8702944951373129E-3</v>
      </c>
    </row>
    <row r="252" spans="1:18" x14ac:dyDescent="0.35">
      <c r="A252" s="22" t="s">
        <v>344</v>
      </c>
      <c r="B252" s="17" t="s">
        <v>230</v>
      </c>
      <c r="C252" s="17" t="s">
        <v>343</v>
      </c>
      <c r="D252" s="23" t="s">
        <v>112</v>
      </c>
      <c r="E252" s="23" t="s">
        <v>113</v>
      </c>
      <c r="F252" s="120">
        <f t="shared" si="42"/>
        <v>0.15030675448840647</v>
      </c>
      <c r="G252" s="80">
        <v>3.1688167106286749E-3</v>
      </c>
      <c r="H252" s="14">
        <v>2.7E-2</v>
      </c>
      <c r="I252" s="303">
        <v>0</v>
      </c>
      <c r="J252" s="14"/>
      <c r="K252" s="80">
        <v>8.530033777777779E-2</v>
      </c>
      <c r="L252" s="14"/>
      <c r="M252" s="14">
        <v>0</v>
      </c>
      <c r="N252" s="80">
        <v>3.4837600000000003E-2</v>
      </c>
      <c r="O252" s="14"/>
      <c r="P252" s="14"/>
      <c r="R252" s="197">
        <f>'Parameters, country spec'!V25</f>
        <v>2.8195750698575112E-3</v>
      </c>
    </row>
    <row r="253" spans="1:18" x14ac:dyDescent="0.35">
      <c r="B253" s="18" t="s">
        <v>231</v>
      </c>
      <c r="C253" s="17" t="s">
        <v>345</v>
      </c>
      <c r="D253" s="23" t="str">
        <f>'Off-farm feed'!$D$74</f>
        <v>France, Germany, Poland</v>
      </c>
      <c r="E253" s="23"/>
      <c r="F253" s="120">
        <f>SUM(G253:Q253)</f>
        <v>0.27085685084992916</v>
      </c>
      <c r="G253" s="220">
        <f>'Off-farm feed'!$F$74</f>
        <v>0.11176753125767681</v>
      </c>
      <c r="H253" s="220">
        <f>'Off-farm feed'!$G$74</f>
        <v>1.3034482758620692E-2</v>
      </c>
      <c r="I253" s="220">
        <f>'Off-farm feed'!$H$74</f>
        <v>0</v>
      </c>
      <c r="J253" s="220">
        <f>'Off-farm feed'!$I$74</f>
        <v>0</v>
      </c>
      <c r="K253" s="220">
        <f>'Off-farm feed'!$J$74</f>
        <v>2.4688740026345454E-2</v>
      </c>
      <c r="L253" s="220">
        <f>'Off-farm feed'!$K$74</f>
        <v>0</v>
      </c>
      <c r="M253" s="220">
        <f>'Off-farm feed'!$L$74</f>
        <v>1.931759303794134E-4</v>
      </c>
      <c r="N253" s="220">
        <f>'Off-farm feed'!$M$74</f>
        <v>3.6802128767029069E-2</v>
      </c>
      <c r="O253" s="220">
        <f>'Off-farm feed'!$N$74</f>
        <v>0</v>
      </c>
      <c r="P253" s="220">
        <f>'Off-farm feed'!$O$74</f>
        <v>2.1170792109877701E-2</v>
      </c>
      <c r="Q253" s="220">
        <f>'Off-farm feed'!$P$74</f>
        <v>6.3200000000000006E-2</v>
      </c>
      <c r="R253" s="197">
        <f>'Parameters, country spec'!V26</f>
        <v>6.922058423346597E-2</v>
      </c>
    </row>
    <row r="254" spans="1:18" x14ac:dyDescent="0.35">
      <c r="B254" s="18" t="s">
        <v>346</v>
      </c>
      <c r="C254" s="17" t="s">
        <v>345</v>
      </c>
      <c r="D254" s="23" t="str">
        <f>'Off-farm feed'!$D$23</f>
        <v>Brazil, Argentina</v>
      </c>
      <c r="E254" s="23"/>
      <c r="F254" s="120">
        <f>SUM(G254:Q254)</f>
        <v>0.7061171705997602</v>
      </c>
      <c r="G254" s="220">
        <f>'Off-farm feed'!$F$23</f>
        <v>7.2632670993098931E-3</v>
      </c>
      <c r="H254" s="220">
        <f>'Off-farm feed'!$G$23</f>
        <v>2.1402439024390246E-2</v>
      </c>
      <c r="I254" s="220">
        <f>'Off-farm feed'!$H$23</f>
        <v>0</v>
      </c>
      <c r="J254" s="220">
        <f>'Off-farm feed'!$I$23</f>
        <v>0</v>
      </c>
      <c r="K254" s="220">
        <f>'Off-farm feed'!$J$23</f>
        <v>4.308361966433235E-2</v>
      </c>
      <c r="L254" s="220">
        <f>'Off-farm feed'!$K$23</f>
        <v>0</v>
      </c>
      <c r="M254" s="220">
        <f>'Off-farm feed'!$L$23</f>
        <v>1.7842060425123844E-4</v>
      </c>
      <c r="N254" s="220">
        <f>'Off-farm feed'!$M$23</f>
        <v>3.0432604948959403E-2</v>
      </c>
      <c r="O254" s="220">
        <f>'Off-farm feed'!$N$23</f>
        <v>0.31761120248475611</v>
      </c>
      <c r="P254" s="220">
        <f>'Off-farm feed'!$O$23</f>
        <v>3.5145616773760872E-2</v>
      </c>
      <c r="Q254" s="220">
        <f>'Off-farm feed'!$P$23</f>
        <v>0.251</v>
      </c>
      <c r="R254" s="197">
        <f>'Parameters, country spec'!V27</f>
        <v>0.18854502859832106</v>
      </c>
    </row>
    <row r="255" spans="1:18" x14ac:dyDescent="0.35">
      <c r="B255" s="17" t="s">
        <v>233</v>
      </c>
      <c r="C255" s="17" t="s">
        <v>347</v>
      </c>
      <c r="D255" s="23" t="s">
        <v>112</v>
      </c>
      <c r="E255" s="23" t="s">
        <v>113</v>
      </c>
      <c r="F255" s="120"/>
      <c r="G255" s="108"/>
      <c r="H255" s="8"/>
      <c r="I255" s="107"/>
      <c r="J255" s="8"/>
      <c r="K255" s="108"/>
      <c r="L255" s="8"/>
      <c r="M255" s="8"/>
      <c r="N255" s="108"/>
      <c r="O255" s="8"/>
      <c r="P255" s="8"/>
      <c r="Q255" s="8"/>
      <c r="R255" s="197">
        <f>'Parameters, country spec'!V28</f>
        <v>7.1006092309495256E-2</v>
      </c>
    </row>
    <row r="256" spans="1:18" x14ac:dyDescent="0.35">
      <c r="A256" s="83"/>
      <c r="B256" s="17" t="s">
        <v>348</v>
      </c>
      <c r="C256" s="84" t="s">
        <v>349</v>
      </c>
      <c r="D256" s="23" t="s">
        <v>112</v>
      </c>
      <c r="E256" s="23" t="s">
        <v>113</v>
      </c>
      <c r="F256" s="120">
        <f t="shared" si="42"/>
        <v>0.14998677790465326</v>
      </c>
      <c r="G256" s="81">
        <f t="shared" ref="G256:N256" si="43">AVERAGE(G246:G254)</f>
        <v>4.7731488515428383E-2</v>
      </c>
      <c r="H256" s="81">
        <f t="shared" si="43"/>
        <v>2.4826324642556769E-2</v>
      </c>
      <c r="I256" s="81">
        <f t="shared" si="43"/>
        <v>0</v>
      </c>
      <c r="J256" s="81"/>
      <c r="K256" s="81">
        <f t="shared" si="43"/>
        <v>4.2821239163265974E-2</v>
      </c>
      <c r="L256" s="81"/>
      <c r="M256" s="81">
        <f t="shared" si="43"/>
        <v>4.1288503847850203E-5</v>
      </c>
      <c r="N256" s="81">
        <f t="shared" si="43"/>
        <v>3.4566437079554278E-2</v>
      </c>
      <c r="O256" s="81"/>
      <c r="P256" s="81"/>
      <c r="Q256" s="81"/>
      <c r="R256" s="197">
        <f>'Parameters, country spec'!V29</f>
        <v>7.4508521916693965E-2</v>
      </c>
    </row>
    <row r="257" spans="1:18" x14ac:dyDescent="0.35">
      <c r="A257" s="195"/>
      <c r="B257" s="25" t="s">
        <v>350</v>
      </c>
      <c r="C257" s="26"/>
      <c r="D257" s="103"/>
      <c r="E257" s="103"/>
      <c r="F257" s="27">
        <f>SUMPRODUCT(F246:F256,$R$246:$R$256)</f>
        <v>0.25591507298577515</v>
      </c>
      <c r="G257" s="27">
        <f>SUMPRODUCT(G246:G256,$R$246:$R$256)</f>
        <v>5.0753648617273453E-2</v>
      </c>
      <c r="H257" s="27">
        <f>SUMPRODUCT(H246:H256,$R$246:$R$256)</f>
        <v>2.2898784612835787E-2</v>
      </c>
      <c r="I257" s="27">
        <f>SUMPRODUCT(I246:I256,$R$246:$R$256)</f>
        <v>0</v>
      </c>
      <c r="J257" s="27"/>
      <c r="K257" s="27">
        <f>SUMPRODUCT(K246:K256,$R$246:$R$256)</f>
        <v>3.0887848944684809E-2</v>
      </c>
      <c r="L257" s="27"/>
      <c r="M257" s="27">
        <f>SUMPRODUCT(M246:M256,$R$246:$R$256)</f>
        <v>5.008841408564087E-5</v>
      </c>
      <c r="N257" s="27">
        <f>SUMPRODUCT(N246:N256,$R$246:$R$256)</f>
        <v>3.1649160121281002E-2</v>
      </c>
      <c r="O257" s="27">
        <f>SUMPRODUCT(O246:O256,$R$246:$R$256)</f>
        <v>5.9884013255635485E-2</v>
      </c>
      <c r="P257" s="209">
        <f>SUMPRODUCT(P246:P256,R246:R256)</f>
        <v>8.0919859182453629E-3</v>
      </c>
      <c r="Q257" s="27">
        <f>SUMPRODUCT(Q246:Q256,$R$246:$R$256)</f>
        <v>5.1699543101733636E-2</v>
      </c>
      <c r="R257" s="198"/>
    </row>
    <row r="258" spans="1:18" x14ac:dyDescent="0.35">
      <c r="A258" s="22" t="s">
        <v>336</v>
      </c>
      <c r="B258" s="17" t="s">
        <v>218</v>
      </c>
      <c r="C258" s="17" t="s">
        <v>337</v>
      </c>
      <c r="D258" s="23" t="s">
        <v>114</v>
      </c>
      <c r="E258" s="23" t="s">
        <v>115</v>
      </c>
      <c r="F258" s="120">
        <f>SUM(G258:Q258)</f>
        <v>0.16697655355390587</v>
      </c>
      <c r="G258" s="80">
        <v>6.4330297358443381E-2</v>
      </c>
      <c r="H258" s="14">
        <v>2.7E-2</v>
      </c>
      <c r="I258" s="303">
        <v>0</v>
      </c>
      <c r="J258" s="14"/>
      <c r="K258" s="80">
        <v>4.0808656195462478E-2</v>
      </c>
      <c r="L258" s="14"/>
      <c r="M258" s="14">
        <v>0</v>
      </c>
      <c r="N258" s="80">
        <v>3.4837600000000003E-2</v>
      </c>
      <c r="O258" s="14"/>
      <c r="P258" s="14"/>
      <c r="R258" s="197">
        <f>'Parameters, country spec'!W19</f>
        <v>1.5351195497979538E-3</v>
      </c>
    </row>
    <row r="259" spans="1:18" x14ac:dyDescent="0.35">
      <c r="A259" s="22" t="s">
        <v>338</v>
      </c>
      <c r="B259" s="17" t="s">
        <v>222</v>
      </c>
      <c r="C259" s="17" t="s">
        <v>337</v>
      </c>
      <c r="D259" s="23" t="s">
        <v>114</v>
      </c>
      <c r="E259" s="23" t="s">
        <v>115</v>
      </c>
      <c r="F259" s="120">
        <f t="shared" ref="F259:F268" si="44">SUM(G259:Q259)</f>
        <v>0.15238359782823441</v>
      </c>
      <c r="G259" s="80">
        <v>6.2649071876813428E-2</v>
      </c>
      <c r="H259" s="14">
        <v>2.7E-2</v>
      </c>
      <c r="I259" s="303">
        <v>0</v>
      </c>
      <c r="J259" s="14"/>
      <c r="K259" s="80">
        <v>2.7896925951420983E-2</v>
      </c>
      <c r="L259" s="14"/>
      <c r="M259" s="14">
        <v>0</v>
      </c>
      <c r="N259" s="80">
        <v>3.4837600000000003E-2</v>
      </c>
      <c r="O259" s="14"/>
      <c r="P259" s="14"/>
      <c r="R259" s="197">
        <f>'Parameters, country spec'!W20</f>
        <v>0.39951628665125294</v>
      </c>
    </row>
    <row r="260" spans="1:18" x14ac:dyDescent="0.35">
      <c r="A260" s="22" t="s">
        <v>339</v>
      </c>
      <c r="B260" s="17" t="s">
        <v>226</v>
      </c>
      <c r="C260" s="17" t="s">
        <v>337</v>
      </c>
      <c r="D260" s="23" t="s">
        <v>114</v>
      </c>
      <c r="E260" s="23" t="s">
        <v>115</v>
      </c>
      <c r="F260" s="120">
        <f t="shared" si="44"/>
        <v>0.1652253697578368</v>
      </c>
      <c r="G260" s="80">
        <v>5.6711069109087971E-2</v>
      </c>
      <c r="H260" s="14">
        <v>2.7E-2</v>
      </c>
      <c r="I260" s="303">
        <v>0</v>
      </c>
      <c r="J260" s="14"/>
      <c r="K260" s="80">
        <v>4.6676700648748841E-2</v>
      </c>
      <c r="L260" s="14"/>
      <c r="M260" s="14">
        <v>0</v>
      </c>
      <c r="N260" s="80">
        <v>3.4837600000000003E-2</v>
      </c>
      <c r="O260" s="14"/>
      <c r="P260" s="14"/>
      <c r="R260" s="197">
        <f>'Parameters, country spec'!W21</f>
        <v>4.8828546271820782E-2</v>
      </c>
    </row>
    <row r="261" spans="1:18" x14ac:dyDescent="0.35">
      <c r="A261" s="22" t="s">
        <v>340</v>
      </c>
      <c r="B261" s="17" t="s">
        <v>227</v>
      </c>
      <c r="C261" s="17" t="s">
        <v>337</v>
      </c>
      <c r="D261" s="23" t="s">
        <v>114</v>
      </c>
      <c r="E261" s="23" t="s">
        <v>115</v>
      </c>
      <c r="F261" s="120">
        <f t="shared" si="44"/>
        <v>0.14256180694350662</v>
      </c>
      <c r="G261" s="80">
        <v>4.99522666930306E-2</v>
      </c>
      <c r="H261" s="14">
        <v>2.7E-2</v>
      </c>
      <c r="I261" s="303">
        <v>0</v>
      </c>
      <c r="J261" s="14"/>
      <c r="K261" s="80">
        <v>3.0771940250476016E-2</v>
      </c>
      <c r="L261" s="14"/>
      <c r="M261" s="14">
        <v>0</v>
      </c>
      <c r="N261" s="80">
        <v>3.4837600000000003E-2</v>
      </c>
      <c r="O261" s="14"/>
      <c r="P261" s="14"/>
      <c r="R261" s="197">
        <f>'Parameters, country spec'!W22</f>
        <v>2.3113486819224208E-3</v>
      </c>
    </row>
    <row r="262" spans="1:18" x14ac:dyDescent="0.35">
      <c r="A262" s="22" t="s">
        <v>341</v>
      </c>
      <c r="B262" s="17" t="s">
        <v>228</v>
      </c>
      <c r="C262" s="17" t="s">
        <v>337</v>
      </c>
      <c r="D262" s="23" t="s">
        <v>114</v>
      </c>
      <c r="E262" s="23" t="s">
        <v>115</v>
      </c>
      <c r="F262" s="120">
        <f t="shared" si="44"/>
        <v>0.16472897058825095</v>
      </c>
      <c r="G262" s="80">
        <v>7.3741076533864705E-2</v>
      </c>
      <c r="H262" s="14">
        <v>2.7E-2</v>
      </c>
      <c r="I262" s="303">
        <v>0</v>
      </c>
      <c r="J262" s="14"/>
      <c r="K262" s="80">
        <v>2.9150294054386239E-2</v>
      </c>
      <c r="L262" s="14"/>
      <c r="M262" s="14">
        <v>0</v>
      </c>
      <c r="N262" s="80">
        <v>3.4837600000000003E-2</v>
      </c>
      <c r="O262" s="14"/>
      <c r="P262" s="14"/>
      <c r="R262" s="197">
        <f>'Parameters, country spec'!W23</f>
        <v>7.3213245865759558E-2</v>
      </c>
    </row>
    <row r="263" spans="1:18" x14ac:dyDescent="0.35">
      <c r="A263" s="22" t="s">
        <v>342</v>
      </c>
      <c r="B263" s="17" t="s">
        <v>229</v>
      </c>
      <c r="C263" s="17" t="s">
        <v>343</v>
      </c>
      <c r="D263" s="23" t="s">
        <v>114</v>
      </c>
      <c r="E263" s="23" t="s">
        <v>115</v>
      </c>
      <c r="F263" s="120">
        <f t="shared" si="44"/>
        <v>0.11885153790044359</v>
      </c>
      <c r="G263" s="80">
        <v>0</v>
      </c>
      <c r="H263" s="14">
        <v>2.7E-2</v>
      </c>
      <c r="I263" s="303">
        <v>0</v>
      </c>
      <c r="J263" s="14"/>
      <c r="K263" s="80">
        <v>5.7013937900443575E-2</v>
      </c>
      <c r="L263" s="16"/>
      <c r="M263" s="14">
        <v>0</v>
      </c>
      <c r="N263" s="80">
        <v>3.4837600000000003E-2</v>
      </c>
      <c r="O263" s="14"/>
      <c r="P263" s="14"/>
      <c r="R263" s="197">
        <f>'Parameters, country spec'!W24</f>
        <v>3.3499690113704197E-3</v>
      </c>
    </row>
    <row r="264" spans="1:18" x14ac:dyDescent="0.35">
      <c r="A264" s="22" t="s">
        <v>344</v>
      </c>
      <c r="B264" s="17" t="s">
        <v>230</v>
      </c>
      <c r="C264" s="17" t="s">
        <v>343</v>
      </c>
      <c r="D264" s="23" t="s">
        <v>114</v>
      </c>
      <c r="E264" s="23" t="s">
        <v>115</v>
      </c>
      <c r="F264" s="120">
        <f t="shared" si="44"/>
        <v>0.15030675448840647</v>
      </c>
      <c r="G264" s="80">
        <v>3.1688167106286749E-3</v>
      </c>
      <c r="H264" s="14">
        <v>2.7E-2</v>
      </c>
      <c r="I264" s="303">
        <v>0</v>
      </c>
      <c r="J264" s="14"/>
      <c r="K264" s="80">
        <v>8.530033777777779E-2</v>
      </c>
      <c r="L264" s="14"/>
      <c r="M264" s="14">
        <v>0</v>
      </c>
      <c r="N264" s="80">
        <v>3.4837600000000003E-2</v>
      </c>
      <c r="O264" s="14"/>
      <c r="P264" s="14"/>
      <c r="R264" s="197">
        <f>'Parameters, country spec'!W25</f>
        <v>3.2907735164211826E-3</v>
      </c>
    </row>
    <row r="265" spans="1:18" x14ac:dyDescent="0.35">
      <c r="B265" s="18" t="s">
        <v>231</v>
      </c>
      <c r="C265" s="17" t="s">
        <v>345</v>
      </c>
      <c r="D265" s="23" t="str">
        <f>'Off-farm feed'!$D$74</f>
        <v>France, Germany, Poland</v>
      </c>
      <c r="E265" s="23"/>
      <c r="F265" s="120">
        <f>SUM(G265:Q265)</f>
        <v>0.27085685084992916</v>
      </c>
      <c r="G265" s="220">
        <f>'Off-farm feed'!$F$74</f>
        <v>0.11176753125767681</v>
      </c>
      <c r="H265" s="220">
        <f>'Off-farm feed'!$G$74</f>
        <v>1.3034482758620692E-2</v>
      </c>
      <c r="I265" s="220">
        <f>'Off-farm feed'!$H$74</f>
        <v>0</v>
      </c>
      <c r="J265" s="220">
        <f>'Off-farm feed'!$I$74</f>
        <v>0</v>
      </c>
      <c r="K265" s="220">
        <f>'Off-farm feed'!$J$74</f>
        <v>2.4688740026345454E-2</v>
      </c>
      <c r="L265" s="220">
        <f>'Off-farm feed'!$K$74</f>
        <v>0</v>
      </c>
      <c r="M265" s="220">
        <f>'Off-farm feed'!$L$74</f>
        <v>1.931759303794134E-4</v>
      </c>
      <c r="N265" s="220">
        <f>'Off-farm feed'!$M$74</f>
        <v>3.6802128767029069E-2</v>
      </c>
      <c r="O265" s="220">
        <f>'Off-farm feed'!$N$74</f>
        <v>0</v>
      </c>
      <c r="P265" s="220">
        <f>'Off-farm feed'!$O$74</f>
        <v>2.1170792109877701E-2</v>
      </c>
      <c r="Q265" s="220">
        <f>'Off-farm feed'!$P$74</f>
        <v>6.3200000000000006E-2</v>
      </c>
      <c r="R265" s="197">
        <f>'Parameters, country spec'!W26</f>
        <v>8.9876652423850362E-3</v>
      </c>
    </row>
    <row r="266" spans="1:18" x14ac:dyDescent="0.35">
      <c r="B266" s="18" t="s">
        <v>346</v>
      </c>
      <c r="C266" s="17" t="s">
        <v>345</v>
      </c>
      <c r="D266" s="23" t="str">
        <f>'Off-farm feed'!$D$23</f>
        <v>Brazil, Argentina</v>
      </c>
      <c r="E266" s="23"/>
      <c r="F266" s="120">
        <f>SUM(G266:Q266)</f>
        <v>0.7061171705997602</v>
      </c>
      <c r="G266" s="220">
        <f>'Off-farm feed'!$F$23</f>
        <v>7.2632670993098931E-3</v>
      </c>
      <c r="H266" s="220">
        <f>'Off-farm feed'!$G$23</f>
        <v>2.1402439024390246E-2</v>
      </c>
      <c r="I266" s="220">
        <f>'Off-farm feed'!$H$23</f>
        <v>0</v>
      </c>
      <c r="J266" s="220">
        <f>'Off-farm feed'!$I$23</f>
        <v>0</v>
      </c>
      <c r="K266" s="220">
        <f>'Off-farm feed'!$J$23</f>
        <v>4.308361966433235E-2</v>
      </c>
      <c r="L266" s="220">
        <f>'Off-farm feed'!$K$23</f>
        <v>0</v>
      </c>
      <c r="M266" s="220">
        <f>'Off-farm feed'!$L$23</f>
        <v>1.7842060425123844E-4</v>
      </c>
      <c r="N266" s="220">
        <f>'Off-farm feed'!$M$23</f>
        <v>3.0432604948959403E-2</v>
      </c>
      <c r="O266" s="220">
        <f>'Off-farm feed'!$N$23</f>
        <v>0.31761120248475611</v>
      </c>
      <c r="P266" s="220">
        <f>'Off-farm feed'!$O$23</f>
        <v>3.5145616773760872E-2</v>
      </c>
      <c r="Q266" s="220">
        <f>'Off-farm feed'!$P$23</f>
        <v>0.251</v>
      </c>
      <c r="R266" s="197">
        <f>'Parameters, country spec'!W27</f>
        <v>7.662310655062049E-2</v>
      </c>
    </row>
    <row r="267" spans="1:18" x14ac:dyDescent="0.35">
      <c r="B267" s="17" t="s">
        <v>233</v>
      </c>
      <c r="C267" s="17" t="s">
        <v>347</v>
      </c>
      <c r="D267" s="23" t="s">
        <v>114</v>
      </c>
      <c r="E267" s="23" t="s">
        <v>115</v>
      </c>
      <c r="F267" s="120"/>
      <c r="G267" s="108"/>
      <c r="H267" s="8"/>
      <c r="I267" s="107"/>
      <c r="J267" s="8"/>
      <c r="K267" s="108"/>
      <c r="L267" s="8"/>
      <c r="M267" s="8"/>
      <c r="N267" s="108"/>
      <c r="O267" s="8"/>
      <c r="P267" s="8"/>
      <c r="Q267" s="8"/>
      <c r="R267" s="197">
        <f>'Parameters, country spec'!W28</f>
        <v>0.23650160713218851</v>
      </c>
    </row>
    <row r="268" spans="1:18" x14ac:dyDescent="0.35">
      <c r="A268" s="83"/>
      <c r="B268" s="17" t="s">
        <v>348</v>
      </c>
      <c r="C268" s="84" t="s">
        <v>349</v>
      </c>
      <c r="D268" s="23" t="s">
        <v>114</v>
      </c>
      <c r="E268" s="23" t="s">
        <v>115</v>
      </c>
      <c r="F268" s="120">
        <f t="shared" si="44"/>
        <v>0.14998677790465326</v>
      </c>
      <c r="G268" s="81">
        <f t="shared" ref="G268:N268" si="45">AVERAGE(G258:G266)</f>
        <v>4.7731488515428383E-2</v>
      </c>
      <c r="H268" s="81">
        <f t="shared" si="45"/>
        <v>2.4826324642556769E-2</v>
      </c>
      <c r="I268" s="81">
        <f t="shared" si="45"/>
        <v>0</v>
      </c>
      <c r="J268" s="81"/>
      <c r="K268" s="81">
        <f t="shared" si="45"/>
        <v>4.2821239163265974E-2</v>
      </c>
      <c r="L268" s="81"/>
      <c r="M268" s="81">
        <f t="shared" si="45"/>
        <v>4.1288503847850203E-5</v>
      </c>
      <c r="N268" s="81">
        <f t="shared" si="45"/>
        <v>3.4566437079554278E-2</v>
      </c>
      <c r="O268" s="81"/>
      <c r="P268" s="81"/>
      <c r="Q268" s="81"/>
      <c r="R268" s="197">
        <f>'Parameters, country spec'!W29</f>
        <v>0.14584233152646073</v>
      </c>
    </row>
    <row r="269" spans="1:18" x14ac:dyDescent="0.35">
      <c r="A269" s="195"/>
      <c r="B269" s="25" t="s">
        <v>350</v>
      </c>
      <c r="C269" s="26"/>
      <c r="D269" s="103"/>
      <c r="E269" s="103"/>
      <c r="F269" s="27">
        <f>SUMPRODUCT(F258:F268,$R$258:$R$268)</f>
        <v>0.16090008315239412</v>
      </c>
      <c r="G269" s="27">
        <f>SUMPRODUCT(G258:G268,$R$258:$R$268)</f>
        <v>4.1944241665264469E-2</v>
      </c>
      <c r="H269" s="27">
        <f>SUMPRODUCT(H258:H268,$R$258:$R$268)</f>
        <v>1.9743022820359762E-2</v>
      </c>
      <c r="I269" s="27">
        <f>SUMPRODUCT(I258:I268,$R$258:$R$268)</f>
        <v>0</v>
      </c>
      <c r="J269" s="27"/>
      <c r="K269" s="27">
        <f>SUMPRODUCT(K258:K268,$R$258:$R$268)</f>
        <v>2.5932333484513868E-2</v>
      </c>
      <c r="L269" s="27"/>
      <c r="M269" s="27">
        <f>SUMPRODUCT(M258:M268,$R$258:$R$268)</f>
        <v>2.1428953231914896E-5</v>
      </c>
      <c r="N269" s="27">
        <f>SUMPRODUCT(N258:N268,$R$258:$R$268)</f>
        <v>2.6239036700596598E-2</v>
      </c>
      <c r="O269" s="27">
        <f>SUMPRODUCT(O258:O268,$R$258:$R$268)</f>
        <v>2.4336357009660168E-2</v>
      </c>
      <c r="P269" s="209">
        <f>SUMPRODUCT(P258:P268,R258:R268)</f>
        <v>2.8832423312428615E-3</v>
      </c>
      <c r="Q269" s="27">
        <f>SUMPRODUCT(Q258:Q268,$R$258:$R$268)</f>
        <v>1.9800420187524478E-2</v>
      </c>
      <c r="R269" s="198"/>
    </row>
    <row r="270" spans="1:18" x14ac:dyDescent="0.35">
      <c r="A270" s="22" t="s">
        <v>336</v>
      </c>
      <c r="B270" s="17" t="s">
        <v>218</v>
      </c>
      <c r="C270" s="17" t="s">
        <v>337</v>
      </c>
      <c r="D270" s="23" t="s">
        <v>174</v>
      </c>
      <c r="E270" s="23" t="s">
        <v>117</v>
      </c>
      <c r="F270" s="120">
        <f>SUM(G270:Q270)</f>
        <v>0.16697655355390587</v>
      </c>
      <c r="G270" s="80">
        <v>6.4330297358443381E-2</v>
      </c>
      <c r="H270" s="14">
        <v>2.7E-2</v>
      </c>
      <c r="I270" s="303">
        <v>0</v>
      </c>
      <c r="J270" s="14"/>
      <c r="K270" s="80">
        <v>4.0808656195462478E-2</v>
      </c>
      <c r="L270" s="14"/>
      <c r="M270" s="14">
        <v>0</v>
      </c>
      <c r="N270" s="80">
        <v>3.4837600000000003E-2</v>
      </c>
      <c r="O270" s="14"/>
      <c r="P270" s="14"/>
      <c r="R270" s="197">
        <f>'Parameters, country spec'!X19</f>
        <v>3.9590008059926378E-4</v>
      </c>
    </row>
    <row r="271" spans="1:18" x14ac:dyDescent="0.35">
      <c r="A271" s="22" t="s">
        <v>338</v>
      </c>
      <c r="B271" s="17" t="s">
        <v>222</v>
      </c>
      <c r="C271" s="17" t="s">
        <v>337</v>
      </c>
      <c r="D271" s="23" t="s">
        <v>174</v>
      </c>
      <c r="E271" s="23" t="s">
        <v>117</v>
      </c>
      <c r="F271" s="120">
        <f t="shared" ref="F271:F280" si="46">SUM(G271:Q271)</f>
        <v>0.15238359782823441</v>
      </c>
      <c r="G271" s="80">
        <v>6.2649071876813428E-2</v>
      </c>
      <c r="H271" s="14">
        <v>2.7E-2</v>
      </c>
      <c r="I271" s="303">
        <v>0</v>
      </c>
      <c r="J271" s="14"/>
      <c r="K271" s="80">
        <v>2.7896925951420983E-2</v>
      </c>
      <c r="L271" s="14"/>
      <c r="M271" s="14">
        <v>0</v>
      </c>
      <c r="N271" s="80">
        <v>3.4837600000000003E-2</v>
      </c>
      <c r="O271" s="14"/>
      <c r="P271" s="14"/>
      <c r="R271" s="197">
        <f>'Parameters, country spec'!X20</f>
        <v>0.50619251501390061</v>
      </c>
    </row>
    <row r="272" spans="1:18" x14ac:dyDescent="0.35">
      <c r="A272" s="22" t="s">
        <v>339</v>
      </c>
      <c r="B272" s="17" t="s">
        <v>226</v>
      </c>
      <c r="C272" s="17" t="s">
        <v>337</v>
      </c>
      <c r="D272" s="23" t="s">
        <v>174</v>
      </c>
      <c r="E272" s="23" t="s">
        <v>117</v>
      </c>
      <c r="F272" s="120">
        <f t="shared" si="46"/>
        <v>0.1652253697578368</v>
      </c>
      <c r="G272" s="80">
        <v>5.6711069109087971E-2</v>
      </c>
      <c r="H272" s="14">
        <v>2.7E-2</v>
      </c>
      <c r="I272" s="303">
        <v>0</v>
      </c>
      <c r="J272" s="14"/>
      <c r="K272" s="80">
        <v>4.6676700648748841E-2</v>
      </c>
      <c r="L272" s="14"/>
      <c r="M272" s="14">
        <v>0</v>
      </c>
      <c r="N272" s="80">
        <v>3.4837600000000003E-2</v>
      </c>
      <c r="O272" s="14"/>
      <c r="P272" s="14"/>
      <c r="R272" s="197">
        <f>'Parameters, country spec'!X21</f>
        <v>3.0043185418315171E-2</v>
      </c>
    </row>
    <row r="273" spans="1:18" x14ac:dyDescent="0.35">
      <c r="A273" s="22" t="s">
        <v>340</v>
      </c>
      <c r="B273" s="17" t="s">
        <v>227</v>
      </c>
      <c r="C273" s="17" t="s">
        <v>337</v>
      </c>
      <c r="D273" s="23" t="s">
        <v>174</v>
      </c>
      <c r="E273" s="23" t="s">
        <v>117</v>
      </c>
      <c r="F273" s="120">
        <f t="shared" si="46"/>
        <v>0.14256180694350662</v>
      </c>
      <c r="G273" s="80">
        <v>4.99522666930306E-2</v>
      </c>
      <c r="H273" s="14">
        <v>2.7E-2</v>
      </c>
      <c r="I273" s="303">
        <v>0</v>
      </c>
      <c r="J273" s="14"/>
      <c r="K273" s="80">
        <v>3.0771940250476016E-2</v>
      </c>
      <c r="L273" s="14"/>
      <c r="M273" s="14">
        <v>0</v>
      </c>
      <c r="N273" s="80">
        <v>3.4837600000000003E-2</v>
      </c>
      <c r="O273" s="14"/>
      <c r="P273" s="14"/>
      <c r="R273" s="197">
        <f>'Parameters, country spec'!X22</f>
        <v>1.3503018628554982E-4</v>
      </c>
    </row>
    <row r="274" spans="1:18" x14ac:dyDescent="0.35">
      <c r="A274" s="22" t="s">
        <v>341</v>
      </c>
      <c r="B274" s="17" t="s">
        <v>228</v>
      </c>
      <c r="C274" s="17" t="s">
        <v>337</v>
      </c>
      <c r="D274" s="23" t="s">
        <v>174</v>
      </c>
      <c r="E274" s="23" t="s">
        <v>117</v>
      </c>
      <c r="F274" s="120">
        <f t="shared" si="46"/>
        <v>0.16472897058825095</v>
      </c>
      <c r="G274" s="80">
        <v>7.3741076533864705E-2</v>
      </c>
      <c r="H274" s="14">
        <v>2.7E-2</v>
      </c>
      <c r="I274" s="303">
        <v>0</v>
      </c>
      <c r="J274" s="14"/>
      <c r="K274" s="80">
        <v>2.9150294054386239E-2</v>
      </c>
      <c r="L274" s="14"/>
      <c r="M274" s="14">
        <v>0</v>
      </c>
      <c r="N274" s="80">
        <v>3.4837600000000003E-2</v>
      </c>
      <c r="O274" s="14"/>
      <c r="P274" s="14"/>
      <c r="R274" s="197">
        <f>'Parameters, country spec'!X23</f>
        <v>4.853698847181781E-2</v>
      </c>
    </row>
    <row r="275" spans="1:18" x14ac:dyDescent="0.35">
      <c r="A275" s="22" t="s">
        <v>342</v>
      </c>
      <c r="B275" s="17" t="s">
        <v>229</v>
      </c>
      <c r="C275" s="17" t="s">
        <v>343</v>
      </c>
      <c r="D275" s="23" t="s">
        <v>174</v>
      </c>
      <c r="E275" s="23" t="s">
        <v>117</v>
      </c>
      <c r="F275" s="120">
        <f t="shared" si="46"/>
        <v>0.11885153790044359</v>
      </c>
      <c r="G275" s="80">
        <v>0</v>
      </c>
      <c r="H275" s="14">
        <v>2.7E-2</v>
      </c>
      <c r="I275" s="303">
        <v>0</v>
      </c>
      <c r="J275" s="14"/>
      <c r="K275" s="80">
        <v>5.7013937900443575E-2</v>
      </c>
      <c r="L275" s="16"/>
      <c r="M275" s="14">
        <v>0</v>
      </c>
      <c r="N275" s="80">
        <v>3.4837600000000003E-2</v>
      </c>
      <c r="O275" s="14"/>
      <c r="P275" s="14"/>
      <c r="R275" s="197">
        <f>'Parameters, country spec'!X24</f>
        <v>1.724021675043458E-3</v>
      </c>
    </row>
    <row r="276" spans="1:18" x14ac:dyDescent="0.35">
      <c r="A276" s="22" t="s">
        <v>344</v>
      </c>
      <c r="B276" s="17" t="s">
        <v>230</v>
      </c>
      <c r="C276" s="17" t="s">
        <v>343</v>
      </c>
      <c r="D276" s="23" t="s">
        <v>174</v>
      </c>
      <c r="E276" s="23" t="s">
        <v>117</v>
      </c>
      <c r="F276" s="120">
        <f t="shared" si="46"/>
        <v>0.15030675448840647</v>
      </c>
      <c r="G276" s="80">
        <v>3.1688167106286749E-3</v>
      </c>
      <c r="H276" s="14">
        <v>2.7E-2</v>
      </c>
      <c r="I276" s="303">
        <v>0</v>
      </c>
      <c r="J276" s="14"/>
      <c r="K276" s="80">
        <v>8.530033777777779E-2</v>
      </c>
      <c r="L276" s="14"/>
      <c r="M276" s="14">
        <v>0</v>
      </c>
      <c r="N276" s="80">
        <v>3.4837600000000003E-2</v>
      </c>
      <c r="O276" s="14"/>
      <c r="P276" s="14"/>
      <c r="R276" s="197">
        <f>'Parameters, country spec'!X25</f>
        <v>1.6935574178231526E-3</v>
      </c>
    </row>
    <row r="277" spans="1:18" x14ac:dyDescent="0.35">
      <c r="B277" s="18" t="s">
        <v>231</v>
      </c>
      <c r="C277" s="17" t="s">
        <v>345</v>
      </c>
      <c r="D277" s="23" t="str">
        <f>'Off-farm feed'!$D$74</f>
        <v>France, Germany, Poland</v>
      </c>
      <c r="E277" s="23"/>
      <c r="F277" s="120">
        <f>SUM(G277:Q277)</f>
        <v>0.27085685084992916</v>
      </c>
      <c r="G277" s="220">
        <f>'Off-farm feed'!$F$74</f>
        <v>0.11176753125767681</v>
      </c>
      <c r="H277" s="220">
        <f>'Off-farm feed'!$G$74</f>
        <v>1.3034482758620692E-2</v>
      </c>
      <c r="I277" s="220">
        <f>'Off-farm feed'!$H$74</f>
        <v>0</v>
      </c>
      <c r="J277" s="220">
        <f>'Off-farm feed'!$I$74</f>
        <v>0</v>
      </c>
      <c r="K277" s="220">
        <f>'Off-farm feed'!$J$74</f>
        <v>2.4688740026345454E-2</v>
      </c>
      <c r="L277" s="220">
        <f>'Off-farm feed'!$K$74</f>
        <v>0</v>
      </c>
      <c r="M277" s="220">
        <f>'Off-farm feed'!$L$74</f>
        <v>1.931759303794134E-4</v>
      </c>
      <c r="N277" s="220">
        <f>'Off-farm feed'!$M$74</f>
        <v>3.6802128767029069E-2</v>
      </c>
      <c r="O277" s="220">
        <f>'Off-farm feed'!$N$74</f>
        <v>0</v>
      </c>
      <c r="P277" s="220">
        <f>'Off-farm feed'!$O$74</f>
        <v>2.1170792109877701E-2</v>
      </c>
      <c r="Q277" s="220">
        <f>'Off-farm feed'!$P$74</f>
        <v>6.3200000000000006E-2</v>
      </c>
      <c r="R277" s="197">
        <f>'Parameters, country spec'!X26</f>
        <v>5.1577992078972006E-2</v>
      </c>
    </row>
    <row r="278" spans="1:18" x14ac:dyDescent="0.35">
      <c r="B278" s="18" t="s">
        <v>346</v>
      </c>
      <c r="C278" s="17" t="s">
        <v>345</v>
      </c>
      <c r="D278" s="23" t="str">
        <f>'Off-farm feed'!$D$23</f>
        <v>Brazil, Argentina</v>
      </c>
      <c r="E278" s="23"/>
      <c r="F278" s="120">
        <f>SUM(G278:Q278)</f>
        <v>0.7061171705997602</v>
      </c>
      <c r="G278" s="220">
        <f>'Off-farm feed'!$F$23</f>
        <v>7.2632670993098931E-3</v>
      </c>
      <c r="H278" s="220">
        <f>'Off-farm feed'!$G$23</f>
        <v>2.1402439024390246E-2</v>
      </c>
      <c r="I278" s="220">
        <f>'Off-farm feed'!$H$23</f>
        <v>0</v>
      </c>
      <c r="J278" s="220">
        <f>'Off-farm feed'!$I$23</f>
        <v>0</v>
      </c>
      <c r="K278" s="220">
        <f>'Off-farm feed'!$J$23</f>
        <v>4.308361966433235E-2</v>
      </c>
      <c r="L278" s="220">
        <f>'Off-farm feed'!$K$23</f>
        <v>0</v>
      </c>
      <c r="M278" s="220">
        <f>'Off-farm feed'!$L$23</f>
        <v>1.7842060425123844E-4</v>
      </c>
      <c r="N278" s="220">
        <f>'Off-farm feed'!$M$23</f>
        <v>3.0432604948959403E-2</v>
      </c>
      <c r="O278" s="220">
        <f>'Off-farm feed'!$N$23</f>
        <v>0.31761120248475611</v>
      </c>
      <c r="P278" s="220">
        <f>'Off-farm feed'!$O$23</f>
        <v>3.5145616773760872E-2</v>
      </c>
      <c r="Q278" s="220">
        <f>'Off-farm feed'!$P$23</f>
        <v>0.251</v>
      </c>
      <c r="R278" s="197">
        <f>'Parameters, country spec'!X27</f>
        <v>0.11486739675333682</v>
      </c>
    </row>
    <row r="279" spans="1:18" x14ac:dyDescent="0.35">
      <c r="B279" s="17" t="s">
        <v>233</v>
      </c>
      <c r="C279" s="17" t="s">
        <v>347</v>
      </c>
      <c r="D279" s="23" t="s">
        <v>174</v>
      </c>
      <c r="E279" s="23" t="s">
        <v>117</v>
      </c>
      <c r="F279" s="120"/>
      <c r="G279" s="108"/>
      <c r="H279" s="8"/>
      <c r="I279" s="107"/>
      <c r="J279" s="8"/>
      <c r="K279" s="108"/>
      <c r="L279" s="8"/>
      <c r="M279" s="8"/>
      <c r="N279" s="108"/>
      <c r="O279" s="8"/>
      <c r="P279" s="8"/>
      <c r="Q279" s="8"/>
      <c r="R279" s="197">
        <f>'Parameters, country spec'!X28</f>
        <v>0.15848397991396601</v>
      </c>
    </row>
    <row r="280" spans="1:18" x14ac:dyDescent="0.35">
      <c r="A280" s="83"/>
      <c r="B280" s="17" t="s">
        <v>348</v>
      </c>
      <c r="C280" s="84" t="s">
        <v>349</v>
      </c>
      <c r="D280" s="23" t="s">
        <v>174</v>
      </c>
      <c r="E280" s="23" t="s">
        <v>117</v>
      </c>
      <c r="F280" s="120">
        <f t="shared" si="46"/>
        <v>0.14998677790465326</v>
      </c>
      <c r="G280" s="81">
        <f t="shared" ref="G280:N280" si="47">AVERAGE(G270:G278)</f>
        <v>4.7731488515428383E-2</v>
      </c>
      <c r="H280" s="81">
        <f t="shared" si="47"/>
        <v>2.4826324642556769E-2</v>
      </c>
      <c r="I280" s="81">
        <f t="shared" si="47"/>
        <v>0</v>
      </c>
      <c r="J280" s="81"/>
      <c r="K280" s="81">
        <f t="shared" si="47"/>
        <v>4.2821239163265974E-2</v>
      </c>
      <c r="L280" s="81"/>
      <c r="M280" s="81">
        <f t="shared" si="47"/>
        <v>4.1288503847850203E-5</v>
      </c>
      <c r="N280" s="81">
        <f t="shared" si="47"/>
        <v>3.4566437079554278E-2</v>
      </c>
      <c r="O280" s="81"/>
      <c r="P280" s="81"/>
      <c r="Q280" s="81"/>
      <c r="R280" s="197">
        <f>'Parameters, country spec'!X29</f>
        <v>8.6349432989940189E-2</v>
      </c>
    </row>
    <row r="281" spans="1:18" x14ac:dyDescent="0.35">
      <c r="A281" s="195"/>
      <c r="B281" s="25" t="s">
        <v>350</v>
      </c>
      <c r="C281" s="26"/>
      <c r="D281" s="103"/>
      <c r="E281" s="103"/>
      <c r="F281" s="27">
        <f>SUMPRODUCT(F270:F280,$R$270:$R$280)</f>
        <v>0.19867096004757992</v>
      </c>
      <c r="G281" s="27">
        <f>SUMPRODUCT(G270:G280,$R$270:$R$280)</f>
        <v>4.7753666604171477E-2</v>
      </c>
      <c r="H281" s="27">
        <f>SUMPRODUCT(H270:H280,$R$270:$R$280)</f>
        <v>2.1169946312612525E-2</v>
      </c>
      <c r="I281" s="27">
        <f>SUMPRODUCT(I270:I280,$R$270:$R$280)</f>
        <v>0</v>
      </c>
      <c r="J281" s="27"/>
      <c r="K281" s="27">
        <f>SUMPRODUCT(K270:K280,$R$270:$R$280)</f>
        <v>2.7121353535633393E-2</v>
      </c>
      <c r="L281" s="27"/>
      <c r="M281" s="27">
        <f>SUMPRODUCT(M270:M280,$R$270:$R$280)</f>
        <v>3.4023575840719362E-5</v>
      </c>
      <c r="N281" s="27">
        <f>SUMPRODUCT(N270:N280,$R$270:$R$280)</f>
        <v>2.8888319871881209E-2</v>
      </c>
      <c r="O281" s="27">
        <f>SUMPRODUCT(O270:O280,$R$270:$R$280)</f>
        <v>3.6483172009120879E-2</v>
      </c>
      <c r="P281" s="209">
        <f>SUMPRODUCT(P270:P280,R270:R280)</f>
        <v>5.1290324538411551E-3</v>
      </c>
      <c r="Q281" s="27">
        <f>SUMPRODUCT(Q270:Q280,$R$270:$R$280)</f>
        <v>3.2091445684478574E-2</v>
      </c>
      <c r="R281" s="198"/>
    </row>
    <row r="282" spans="1:18" x14ac:dyDescent="0.35">
      <c r="A282" s="22" t="s">
        <v>336</v>
      </c>
      <c r="B282" s="17" t="s">
        <v>218</v>
      </c>
      <c r="C282" s="17" t="s">
        <v>337</v>
      </c>
      <c r="D282" s="23" t="s">
        <v>118</v>
      </c>
      <c r="E282" s="23" t="s">
        <v>119</v>
      </c>
      <c r="F282" s="120">
        <f>SUM(G282:Q282)</f>
        <v>0.16697655355390587</v>
      </c>
      <c r="G282" s="80">
        <v>6.4330297358443381E-2</v>
      </c>
      <c r="H282" s="14">
        <v>2.7E-2</v>
      </c>
      <c r="I282" s="303">
        <v>0</v>
      </c>
      <c r="J282" s="14"/>
      <c r="K282" s="80">
        <v>4.0808656195462478E-2</v>
      </c>
      <c r="L282" s="14"/>
      <c r="M282" s="14">
        <v>0</v>
      </c>
      <c r="N282" s="80">
        <v>3.4837600000000003E-2</v>
      </c>
      <c r="O282" s="14"/>
      <c r="P282" s="14"/>
      <c r="R282" s="197">
        <f>'Parameters, country spec'!Y19</f>
        <v>0.12312551970398992</v>
      </c>
    </row>
    <row r="283" spans="1:18" x14ac:dyDescent="0.35">
      <c r="A283" s="22" t="s">
        <v>338</v>
      </c>
      <c r="B283" s="17" t="s">
        <v>222</v>
      </c>
      <c r="C283" s="17" t="s">
        <v>337</v>
      </c>
      <c r="D283" s="23" t="s">
        <v>118</v>
      </c>
      <c r="E283" s="23" t="s">
        <v>119</v>
      </c>
      <c r="F283" s="120">
        <f t="shared" ref="F283:F292" si="48">SUM(G283:Q283)</f>
        <v>0.15238359782823441</v>
      </c>
      <c r="G283" s="80">
        <v>6.2649071876813428E-2</v>
      </c>
      <c r="H283" s="14">
        <v>2.7E-2</v>
      </c>
      <c r="I283" s="303">
        <v>0</v>
      </c>
      <c r="J283" s="14"/>
      <c r="K283" s="80">
        <v>2.7896925951420983E-2</v>
      </c>
      <c r="L283" s="14"/>
      <c r="M283" s="14">
        <v>0</v>
      </c>
      <c r="N283" s="80">
        <v>3.4837600000000003E-2</v>
      </c>
      <c r="O283" s="14"/>
      <c r="P283" s="14"/>
      <c r="R283" s="197">
        <f>'Parameters, country spec'!Y20</f>
        <v>0.34829780740480182</v>
      </c>
    </row>
    <row r="284" spans="1:18" x14ac:dyDescent="0.35">
      <c r="A284" s="22" t="s">
        <v>339</v>
      </c>
      <c r="B284" s="17" t="s">
        <v>226</v>
      </c>
      <c r="C284" s="17" t="s">
        <v>337</v>
      </c>
      <c r="D284" s="23" t="s">
        <v>118</v>
      </c>
      <c r="E284" s="23" t="s">
        <v>119</v>
      </c>
      <c r="F284" s="120">
        <f t="shared" si="48"/>
        <v>0.1652253697578368</v>
      </c>
      <c r="G284" s="80">
        <v>5.6711069109087971E-2</v>
      </c>
      <c r="H284" s="14">
        <v>2.7E-2</v>
      </c>
      <c r="I284" s="303">
        <v>0</v>
      </c>
      <c r="J284" s="14"/>
      <c r="K284" s="80">
        <v>4.6676700648748841E-2</v>
      </c>
      <c r="L284" s="14"/>
      <c r="M284" s="14">
        <v>0</v>
      </c>
      <c r="N284" s="80">
        <v>3.4837600000000003E-2</v>
      </c>
      <c r="O284" s="14"/>
      <c r="P284" s="14"/>
      <c r="R284" s="197">
        <f>'Parameters, country spec'!Y21</f>
        <v>1.8139255925477018E-2</v>
      </c>
    </row>
    <row r="285" spans="1:18" x14ac:dyDescent="0.35">
      <c r="A285" s="22" t="s">
        <v>340</v>
      </c>
      <c r="B285" s="17" t="s">
        <v>227</v>
      </c>
      <c r="C285" s="17" t="s">
        <v>337</v>
      </c>
      <c r="D285" s="23" t="s">
        <v>118</v>
      </c>
      <c r="E285" s="23" t="s">
        <v>119</v>
      </c>
      <c r="F285" s="120">
        <f t="shared" si="48"/>
        <v>0.14256180694350662</v>
      </c>
      <c r="G285" s="80">
        <v>4.99522666930306E-2</v>
      </c>
      <c r="H285" s="14">
        <v>2.7E-2</v>
      </c>
      <c r="I285" s="303">
        <v>0</v>
      </c>
      <c r="J285" s="14"/>
      <c r="K285" s="80">
        <v>3.0771940250476016E-2</v>
      </c>
      <c r="L285" s="14"/>
      <c r="M285" s="14">
        <v>0</v>
      </c>
      <c r="N285" s="80">
        <v>3.4837600000000003E-2</v>
      </c>
      <c r="O285" s="14"/>
      <c r="P285" s="14"/>
      <c r="R285" s="197">
        <f>'Parameters, country spec'!Y22</f>
        <v>8.4436144786446468E-3</v>
      </c>
    </row>
    <row r="286" spans="1:18" x14ac:dyDescent="0.35">
      <c r="A286" s="22" t="s">
        <v>341</v>
      </c>
      <c r="B286" s="17" t="s">
        <v>228</v>
      </c>
      <c r="C286" s="17" t="s">
        <v>337</v>
      </c>
      <c r="D286" s="23" t="s">
        <v>118</v>
      </c>
      <c r="E286" s="23" t="s">
        <v>119</v>
      </c>
      <c r="F286" s="120">
        <f t="shared" si="48"/>
        <v>0.16472897058825095</v>
      </c>
      <c r="G286" s="80">
        <v>7.3741076533864705E-2</v>
      </c>
      <c r="H286" s="14">
        <v>2.7E-2</v>
      </c>
      <c r="I286" s="303">
        <v>0</v>
      </c>
      <c r="J286" s="14"/>
      <c r="K286" s="80">
        <v>2.9150294054386239E-2</v>
      </c>
      <c r="L286" s="14"/>
      <c r="M286" s="14">
        <v>0</v>
      </c>
      <c r="N286" s="80">
        <v>3.4837600000000003E-2</v>
      </c>
      <c r="O286" s="14"/>
      <c r="P286" s="14"/>
      <c r="R286" s="197">
        <f>'Parameters, country spec'!Y23</f>
        <v>0.24890795550816447</v>
      </c>
    </row>
    <row r="287" spans="1:18" x14ac:dyDescent="0.35">
      <c r="A287" s="22" t="s">
        <v>342</v>
      </c>
      <c r="B287" s="17" t="s">
        <v>229</v>
      </c>
      <c r="C287" s="17" t="s">
        <v>343</v>
      </c>
      <c r="D287" s="23" t="s">
        <v>118</v>
      </c>
      <c r="E287" s="23" t="s">
        <v>119</v>
      </c>
      <c r="F287" s="120">
        <f t="shared" si="48"/>
        <v>0.11885153790044359</v>
      </c>
      <c r="G287" s="80">
        <v>0</v>
      </c>
      <c r="H287" s="14">
        <v>2.7E-2</v>
      </c>
      <c r="I287" s="303">
        <v>0</v>
      </c>
      <c r="J287" s="14"/>
      <c r="K287" s="80">
        <v>5.7013937900443575E-2</v>
      </c>
      <c r="L287" s="16"/>
      <c r="M287" s="14">
        <v>0</v>
      </c>
      <c r="N287" s="80">
        <v>3.4837600000000003E-2</v>
      </c>
      <c r="O287" s="14"/>
      <c r="P287" s="14"/>
      <c r="R287" s="197">
        <f>'Parameters, country spec'!Y24</f>
        <v>0</v>
      </c>
    </row>
    <row r="288" spans="1:18" x14ac:dyDescent="0.35">
      <c r="A288" s="22" t="s">
        <v>344</v>
      </c>
      <c r="B288" s="17" t="s">
        <v>230</v>
      </c>
      <c r="C288" s="17" t="s">
        <v>343</v>
      </c>
      <c r="D288" s="23" t="s">
        <v>118</v>
      </c>
      <c r="E288" s="23" t="s">
        <v>119</v>
      </c>
      <c r="F288" s="120">
        <f t="shared" si="48"/>
        <v>0.15030675448840647</v>
      </c>
      <c r="G288" s="80">
        <v>3.1688167106286749E-3</v>
      </c>
      <c r="H288" s="14">
        <v>2.7E-2</v>
      </c>
      <c r="I288" s="303">
        <v>0</v>
      </c>
      <c r="J288" s="14"/>
      <c r="K288" s="80">
        <v>8.530033777777779E-2</v>
      </c>
      <c r="L288" s="14"/>
      <c r="M288" s="14">
        <v>0</v>
      </c>
      <c r="N288" s="80">
        <v>3.4837600000000003E-2</v>
      </c>
      <c r="O288" s="14"/>
      <c r="P288" s="14"/>
      <c r="R288" s="197">
        <f>'Parameters, country spec'!Y25</f>
        <v>0</v>
      </c>
    </row>
    <row r="289" spans="1:18" x14ac:dyDescent="0.35">
      <c r="B289" s="18" t="s">
        <v>231</v>
      </c>
      <c r="C289" s="17" t="s">
        <v>345</v>
      </c>
      <c r="D289" s="23" t="str">
        <f>'Off-farm feed'!$D$74</f>
        <v>France, Germany, Poland</v>
      </c>
      <c r="E289" s="23"/>
      <c r="F289" s="120">
        <f>SUM(G289:Q289)</f>
        <v>0.27085685084992916</v>
      </c>
      <c r="G289" s="220">
        <f>'Off-farm feed'!$F$74</f>
        <v>0.11176753125767681</v>
      </c>
      <c r="H289" s="220">
        <f>'Off-farm feed'!$G$74</f>
        <v>1.3034482758620692E-2</v>
      </c>
      <c r="I289" s="220">
        <f>'Off-farm feed'!$H$74</f>
        <v>0</v>
      </c>
      <c r="J289" s="220">
        <f>'Off-farm feed'!$I$74</f>
        <v>0</v>
      </c>
      <c r="K289" s="220">
        <f>'Off-farm feed'!$J$74</f>
        <v>2.4688740026345454E-2</v>
      </c>
      <c r="L289" s="220">
        <f>'Off-farm feed'!$K$74</f>
        <v>0</v>
      </c>
      <c r="M289" s="220">
        <f>'Off-farm feed'!$L$74</f>
        <v>1.931759303794134E-4</v>
      </c>
      <c r="N289" s="220">
        <f>'Off-farm feed'!$M$74</f>
        <v>3.6802128767029069E-2</v>
      </c>
      <c r="O289" s="220">
        <f>'Off-farm feed'!$N$74</f>
        <v>0</v>
      </c>
      <c r="P289" s="220">
        <f>'Off-farm feed'!$O$74</f>
        <v>2.1170792109877701E-2</v>
      </c>
      <c r="Q289" s="220">
        <f>'Off-farm feed'!$P$74</f>
        <v>6.3200000000000006E-2</v>
      </c>
      <c r="R289" s="197">
        <f>'Parameters, country spec'!Y26</f>
        <v>3.9614142253085551E-2</v>
      </c>
    </row>
    <row r="290" spans="1:18" x14ac:dyDescent="0.35">
      <c r="B290" s="18" t="s">
        <v>346</v>
      </c>
      <c r="C290" s="17" t="s">
        <v>345</v>
      </c>
      <c r="D290" s="23" t="str">
        <f>'Off-farm feed'!$D$23</f>
        <v>Brazil, Argentina</v>
      </c>
      <c r="E290" s="23"/>
      <c r="F290" s="120">
        <f>SUM(G290:Q290)</f>
        <v>0.7061171705997602</v>
      </c>
      <c r="G290" s="220">
        <f>'Off-farm feed'!$F$23</f>
        <v>7.2632670993098931E-3</v>
      </c>
      <c r="H290" s="220">
        <f>'Off-farm feed'!$G$23</f>
        <v>2.1402439024390246E-2</v>
      </c>
      <c r="I290" s="220">
        <f>'Off-farm feed'!$H$23</f>
        <v>0</v>
      </c>
      <c r="J290" s="220">
        <f>'Off-farm feed'!$I$23</f>
        <v>0</v>
      </c>
      <c r="K290" s="220">
        <f>'Off-farm feed'!$J$23</f>
        <v>4.308361966433235E-2</v>
      </c>
      <c r="L290" s="220">
        <f>'Off-farm feed'!$K$23</f>
        <v>0</v>
      </c>
      <c r="M290" s="220">
        <f>'Off-farm feed'!$L$23</f>
        <v>1.7842060425123844E-4</v>
      </c>
      <c r="N290" s="220">
        <f>'Off-farm feed'!$M$23</f>
        <v>3.0432604948959403E-2</v>
      </c>
      <c r="O290" s="220">
        <f>'Off-farm feed'!$N$23</f>
        <v>0.31761120248475611</v>
      </c>
      <c r="P290" s="220">
        <f>'Off-farm feed'!$O$23</f>
        <v>3.5145616773760872E-2</v>
      </c>
      <c r="Q290" s="220">
        <f>'Off-farm feed'!$P$23</f>
        <v>0.251</v>
      </c>
      <c r="R290" s="197">
        <f>'Parameters, country spec'!Y27</f>
        <v>2.0594877928953675E-4</v>
      </c>
    </row>
    <row r="291" spans="1:18" x14ac:dyDescent="0.35">
      <c r="B291" s="17" t="s">
        <v>233</v>
      </c>
      <c r="C291" s="17" t="s">
        <v>347</v>
      </c>
      <c r="D291" s="23" t="s">
        <v>118</v>
      </c>
      <c r="E291" s="23" t="s">
        <v>119</v>
      </c>
      <c r="F291" s="120"/>
      <c r="G291" s="108"/>
      <c r="H291" s="8"/>
      <c r="I291" s="107"/>
      <c r="J291" s="8"/>
      <c r="K291" s="108"/>
      <c r="L291" s="8"/>
      <c r="M291" s="8"/>
      <c r="N291" s="108"/>
      <c r="O291" s="8"/>
      <c r="P291" s="8"/>
      <c r="Q291" s="8"/>
      <c r="R291" s="197">
        <f>'Parameters, country spec'!Y28</f>
        <v>0.10799112088671599</v>
      </c>
    </row>
    <row r="292" spans="1:18" x14ac:dyDescent="0.35">
      <c r="A292" s="83"/>
      <c r="B292" s="17" t="s">
        <v>348</v>
      </c>
      <c r="C292" s="84" t="s">
        <v>349</v>
      </c>
      <c r="D292" s="23" t="s">
        <v>118</v>
      </c>
      <c r="E292" s="23" t="s">
        <v>119</v>
      </c>
      <c r="F292" s="120">
        <f t="shared" si="48"/>
        <v>0.14998677790465326</v>
      </c>
      <c r="G292" s="81">
        <f t="shared" ref="G292:N292" si="49">AVERAGE(G282:G290)</f>
        <v>4.7731488515428383E-2</v>
      </c>
      <c r="H292" s="81">
        <f t="shared" si="49"/>
        <v>2.4826324642556769E-2</v>
      </c>
      <c r="I292" s="81">
        <f t="shared" si="49"/>
        <v>0</v>
      </c>
      <c r="J292" s="81"/>
      <c r="K292" s="81">
        <f t="shared" si="49"/>
        <v>4.2821239163265974E-2</v>
      </c>
      <c r="L292" s="81"/>
      <c r="M292" s="81">
        <f t="shared" si="49"/>
        <v>4.1288503847850203E-5</v>
      </c>
      <c r="N292" s="81">
        <f t="shared" si="49"/>
        <v>3.4566437079554278E-2</v>
      </c>
      <c r="O292" s="81"/>
      <c r="P292" s="81"/>
      <c r="Q292" s="81"/>
      <c r="R292" s="197">
        <f>'Parameters, country spec'!Y29</f>
        <v>0.10527463505983112</v>
      </c>
    </row>
    <row r="293" spans="1:18" x14ac:dyDescent="0.35">
      <c r="A293" s="195"/>
      <c r="B293" s="25" t="s">
        <v>350</v>
      </c>
      <c r="C293" s="26"/>
      <c r="D293" s="103"/>
      <c r="E293" s="103"/>
      <c r="F293" s="27">
        <f>SUMPRODUCT(F282:F292,$R$282:$R$292)</f>
        <v>0.14550209052627452</v>
      </c>
      <c r="G293" s="27">
        <f>SUMPRODUCT(G282:G292,$R$282:$R$292)</f>
        <v>5.9000436319128199E-2</v>
      </c>
      <c r="H293" s="27">
        <f>SUMPRODUCT(H282:H292,$R$282:$R$292)</f>
        <v>2.3301022058577443E-2</v>
      </c>
      <c r="I293" s="27">
        <f>SUMPRODUCT(I282:I292,$R$282:$R$292)</f>
        <v>0</v>
      </c>
      <c r="J293" s="27"/>
      <c r="K293" s="27">
        <f>SUMPRODUCT(K282:K292,$R$282:$R$292)</f>
        <v>2.8598158863353245E-2</v>
      </c>
      <c r="L293" s="27"/>
      <c r="M293" s="27">
        <f>SUMPRODUCT(M282:M292,$R$282:$R$292)</f>
        <v>1.2035876466316741E-5</v>
      </c>
      <c r="N293" s="27">
        <f>SUMPRODUCT(N282:N292,$R$282:$R$292)</f>
        <v>3.1123817868189099E-2</v>
      </c>
      <c r="O293" s="27">
        <f>SUMPRODUCT(O282:O292,$R$282:$R$292)</f>
        <v>6.5411639440417406E-5</v>
      </c>
      <c r="P293" s="209">
        <f>SUMPRODUCT(P282:P292,R282:R292)</f>
        <v>8.459009671231304E-4</v>
      </c>
      <c r="Q293" s="27">
        <f>SUMPRODUCT(Q282:Q292,$R$282:$R$292)</f>
        <v>2.5553069339966806E-3</v>
      </c>
      <c r="R293" s="198"/>
    </row>
    <row r="294" spans="1:18" x14ac:dyDescent="0.35">
      <c r="A294" s="22" t="s">
        <v>336</v>
      </c>
      <c r="B294" s="17" t="s">
        <v>218</v>
      </c>
      <c r="C294" s="17" t="s">
        <v>337</v>
      </c>
      <c r="D294" s="23" t="s">
        <v>28</v>
      </c>
      <c r="E294" s="23" t="s">
        <v>120</v>
      </c>
      <c r="F294" s="120">
        <f>SUM(G294:Q294)</f>
        <v>0.20600000000000002</v>
      </c>
      <c r="G294" s="80">
        <v>7.9000000000000001E-2</v>
      </c>
      <c r="H294" s="14">
        <v>2.7E-2</v>
      </c>
      <c r="I294" s="16">
        <v>0</v>
      </c>
      <c r="J294" s="14"/>
      <c r="K294" s="80">
        <v>5.6000000000000001E-2</v>
      </c>
      <c r="L294" s="14"/>
      <c r="M294" s="14">
        <v>6.0000000000000001E-3</v>
      </c>
      <c r="N294" s="80">
        <v>3.7999999999999999E-2</v>
      </c>
      <c r="O294" s="14"/>
      <c r="P294" s="14"/>
      <c r="R294" s="197">
        <f>'Parameters, country spec'!Z19</f>
        <v>0.21894700375858384</v>
      </c>
    </row>
    <row r="295" spans="1:18" x14ac:dyDescent="0.35">
      <c r="A295" s="22" t="s">
        <v>338</v>
      </c>
      <c r="B295" s="17" t="s">
        <v>222</v>
      </c>
      <c r="C295" s="17" t="s">
        <v>337</v>
      </c>
      <c r="D295" s="23" t="s">
        <v>28</v>
      </c>
      <c r="E295" s="23" t="s">
        <v>120</v>
      </c>
      <c r="F295" s="120">
        <f t="shared" ref="F295:F304" si="50">SUM(G295:Q295)</f>
        <v>0.17499999999999999</v>
      </c>
      <c r="G295" s="80">
        <v>7.6999999999999999E-2</v>
      </c>
      <c r="H295" s="14">
        <v>2.7E-2</v>
      </c>
      <c r="I295" s="16">
        <v>0</v>
      </c>
      <c r="J295" s="14"/>
      <c r="K295" s="80">
        <v>1.4999999999999999E-2</v>
      </c>
      <c r="L295" s="14"/>
      <c r="M295" s="14">
        <v>1.7999999999999999E-2</v>
      </c>
      <c r="N295" s="80">
        <v>3.7999999999999999E-2</v>
      </c>
      <c r="O295" s="14"/>
      <c r="P295" s="14"/>
      <c r="R295" s="197">
        <f>'Parameters, country spec'!Z20</f>
        <v>0.28877148486086363</v>
      </c>
    </row>
    <row r="296" spans="1:18" x14ac:dyDescent="0.35">
      <c r="A296" s="22" t="s">
        <v>339</v>
      </c>
      <c r="B296" s="17" t="s">
        <v>226</v>
      </c>
      <c r="C296" s="17" t="s">
        <v>337</v>
      </c>
      <c r="D296" s="23" t="s">
        <v>28</v>
      </c>
      <c r="E296" s="23" t="s">
        <v>120</v>
      </c>
      <c r="F296" s="120">
        <f t="shared" si="50"/>
        <v>0.30299999999999999</v>
      </c>
      <c r="G296" s="80">
        <v>7.0000000000000007E-2</v>
      </c>
      <c r="H296" s="14">
        <v>2.7E-2</v>
      </c>
      <c r="I296" s="16">
        <v>0</v>
      </c>
      <c r="J296" s="14"/>
      <c r="K296" s="80">
        <v>8.2000000000000003E-2</v>
      </c>
      <c r="L296" s="14"/>
      <c r="M296" s="14">
        <v>8.5999999999999993E-2</v>
      </c>
      <c r="N296" s="80">
        <v>3.7999999999999999E-2</v>
      </c>
      <c r="O296" s="14"/>
      <c r="P296" s="14"/>
      <c r="R296" s="197">
        <f>'Parameters, country spec'!Z21</f>
        <v>3.4137674118133308E-2</v>
      </c>
    </row>
    <row r="297" spans="1:18" x14ac:dyDescent="0.35">
      <c r="A297" s="22" t="s">
        <v>340</v>
      </c>
      <c r="B297" s="17" t="s">
        <v>227</v>
      </c>
      <c r="C297" s="17" t="s">
        <v>337</v>
      </c>
      <c r="D297" s="23" t="s">
        <v>28</v>
      </c>
      <c r="E297" s="23" t="s">
        <v>120</v>
      </c>
      <c r="F297" s="120">
        <f t="shared" si="50"/>
        <v>0.20499999999999999</v>
      </c>
      <c r="G297" s="80">
        <v>6.2E-2</v>
      </c>
      <c r="H297" s="14">
        <v>2.7E-2</v>
      </c>
      <c r="I297" s="14">
        <v>0</v>
      </c>
      <c r="J297" s="14"/>
      <c r="K297" s="80">
        <v>7.8E-2</v>
      </c>
      <c r="L297" s="14"/>
      <c r="M297" s="14">
        <v>0</v>
      </c>
      <c r="N297" s="80">
        <v>3.7999999999999999E-2</v>
      </c>
      <c r="O297" s="14"/>
      <c r="P297" s="14"/>
      <c r="R297" s="197">
        <f>'Parameters, country spec'!Z22</f>
        <v>9.0108782601985467E-3</v>
      </c>
    </row>
    <row r="298" spans="1:18" x14ac:dyDescent="0.35">
      <c r="A298" s="22" t="s">
        <v>341</v>
      </c>
      <c r="B298" s="17" t="s">
        <v>228</v>
      </c>
      <c r="C298" s="17" t="s">
        <v>337</v>
      </c>
      <c r="D298" s="23" t="s">
        <v>28</v>
      </c>
      <c r="E298" s="23" t="s">
        <v>120</v>
      </c>
      <c r="F298" s="120">
        <f t="shared" si="50"/>
        <v>0.21199999999999999</v>
      </c>
      <c r="G298" s="80">
        <v>9.0999999999999998E-2</v>
      </c>
      <c r="H298" s="14">
        <v>2.7E-2</v>
      </c>
      <c r="I298" s="14">
        <v>0</v>
      </c>
      <c r="J298" s="14"/>
      <c r="K298" s="80">
        <v>5.2999999999999999E-2</v>
      </c>
      <c r="L298" s="14"/>
      <c r="M298" s="14">
        <v>3.0000000000000001E-3</v>
      </c>
      <c r="N298" s="80">
        <v>3.7999999999999999E-2</v>
      </c>
      <c r="O298" s="14"/>
      <c r="P298" s="14"/>
      <c r="R298" s="197">
        <f>'Parameters, country spec'!Z23</f>
        <v>0.18547053507474909</v>
      </c>
    </row>
    <row r="299" spans="1:18" x14ac:dyDescent="0.35">
      <c r="A299" s="22" t="s">
        <v>342</v>
      </c>
      <c r="B299" s="17" t="s">
        <v>229</v>
      </c>
      <c r="C299" s="17" t="s">
        <v>343</v>
      </c>
      <c r="D299" s="23" t="s">
        <v>28</v>
      </c>
      <c r="E299" s="23" t="s">
        <v>120</v>
      </c>
      <c r="F299" s="120">
        <f t="shared" si="50"/>
        <v>0.17900000000000002</v>
      </c>
      <c r="G299" s="80">
        <v>0</v>
      </c>
      <c r="H299" s="14">
        <v>2.7E-2</v>
      </c>
      <c r="I299" s="16">
        <v>0</v>
      </c>
      <c r="J299" s="14"/>
      <c r="K299" s="80">
        <v>0.113</v>
      </c>
      <c r="L299" s="16"/>
      <c r="M299" s="14">
        <v>1E-3</v>
      </c>
      <c r="N299" s="80">
        <v>3.7999999999999999E-2</v>
      </c>
      <c r="O299" s="14"/>
      <c r="P299" s="14"/>
      <c r="R299" s="197">
        <f>'Parameters, country spec'!Z24</f>
        <v>6.9661330661395359E-3</v>
      </c>
    </row>
    <row r="300" spans="1:18" x14ac:dyDescent="0.35">
      <c r="A300" s="22" t="s">
        <v>344</v>
      </c>
      <c r="B300" s="17" t="s">
        <v>230</v>
      </c>
      <c r="C300" s="17" t="s">
        <v>343</v>
      </c>
      <c r="D300" s="23" t="s">
        <v>28</v>
      </c>
      <c r="E300" s="23" t="s">
        <v>120</v>
      </c>
      <c r="F300" s="120">
        <f t="shared" si="50"/>
        <v>0.216</v>
      </c>
      <c r="G300" s="80">
        <v>4.0000000000000001E-3</v>
      </c>
      <c r="H300" s="14">
        <v>2.7E-2</v>
      </c>
      <c r="I300" s="16">
        <v>0</v>
      </c>
      <c r="J300" s="14"/>
      <c r="K300" s="80">
        <v>0.13100000000000001</v>
      </c>
      <c r="L300" s="14"/>
      <c r="M300" s="14">
        <v>1.6E-2</v>
      </c>
      <c r="N300" s="80">
        <v>3.7999999999999999E-2</v>
      </c>
      <c r="O300" s="14"/>
      <c r="P300" s="14"/>
      <c r="R300" s="197">
        <f>'Parameters, country spec'!Z25</f>
        <v>6.843038286368717E-3</v>
      </c>
    </row>
    <row r="301" spans="1:18" x14ac:dyDescent="0.35">
      <c r="B301" s="18" t="s">
        <v>231</v>
      </c>
      <c r="C301" s="17" t="s">
        <v>345</v>
      </c>
      <c r="D301" s="23" t="str">
        <f>'Off-farm feed'!$D$74</f>
        <v>France, Germany, Poland</v>
      </c>
      <c r="E301" s="23"/>
      <c r="F301" s="120">
        <f>SUM(G301:Q301)</f>
        <v>0.27085685084992916</v>
      </c>
      <c r="G301" s="220">
        <f>'Off-farm feed'!$F$74</f>
        <v>0.11176753125767681</v>
      </c>
      <c r="H301" s="220">
        <f>'Off-farm feed'!$G$74</f>
        <v>1.3034482758620692E-2</v>
      </c>
      <c r="I301" s="220">
        <f>'Off-farm feed'!$H$74</f>
        <v>0</v>
      </c>
      <c r="J301" s="220">
        <f>'Off-farm feed'!$I$74</f>
        <v>0</v>
      </c>
      <c r="K301" s="220">
        <f>'Off-farm feed'!$J$74</f>
        <v>2.4688740026345454E-2</v>
      </c>
      <c r="L301" s="220">
        <f>'Off-farm feed'!$K$74</f>
        <v>0</v>
      </c>
      <c r="M301" s="220">
        <f>'Off-farm feed'!$L$74</f>
        <v>1.931759303794134E-4</v>
      </c>
      <c r="N301" s="220">
        <f>'Off-farm feed'!$M$74</f>
        <v>3.6802128767029069E-2</v>
      </c>
      <c r="O301" s="220">
        <f>'Off-farm feed'!$N$74</f>
        <v>0</v>
      </c>
      <c r="P301" s="220">
        <f>'Off-farm feed'!$O$74</f>
        <v>2.1170792109877701E-2</v>
      </c>
      <c r="Q301" s="220">
        <f>'Off-farm feed'!$P$74</f>
        <v>6.3200000000000006E-2</v>
      </c>
      <c r="R301" s="197">
        <f>'Parameters, country spec'!Z26</f>
        <v>2.017458178365223E-2</v>
      </c>
    </row>
    <row r="302" spans="1:18" x14ac:dyDescent="0.35">
      <c r="B302" s="18" t="s">
        <v>346</v>
      </c>
      <c r="C302" s="17" t="s">
        <v>345</v>
      </c>
      <c r="D302" s="23" t="str">
        <f>'Off-farm feed'!$D$23</f>
        <v>Brazil, Argentina</v>
      </c>
      <c r="E302" s="23"/>
      <c r="F302" s="120">
        <f>SUM(G302:Q302)</f>
        <v>0.7061171705997602</v>
      </c>
      <c r="G302" s="220">
        <f>'Off-farm feed'!$F$23</f>
        <v>7.2632670993098931E-3</v>
      </c>
      <c r="H302" s="220">
        <f>'Off-farm feed'!$G$23</f>
        <v>2.1402439024390246E-2</v>
      </c>
      <c r="I302" s="220">
        <f>'Off-farm feed'!$H$23</f>
        <v>0</v>
      </c>
      <c r="J302" s="220">
        <f>'Off-farm feed'!$I$23</f>
        <v>0</v>
      </c>
      <c r="K302" s="220">
        <f>'Off-farm feed'!$J$23</f>
        <v>4.308361966433235E-2</v>
      </c>
      <c r="L302" s="220">
        <f>'Off-farm feed'!$K$23</f>
        <v>0</v>
      </c>
      <c r="M302" s="220">
        <f>'Off-farm feed'!$L$23</f>
        <v>1.7842060425123844E-4</v>
      </c>
      <c r="N302" s="220">
        <f>'Off-farm feed'!$M$23</f>
        <v>3.0432604948959403E-2</v>
      </c>
      <c r="O302" s="220">
        <f>'Off-farm feed'!$N$23</f>
        <v>0.31761120248475611</v>
      </c>
      <c r="P302" s="220">
        <f>'Off-farm feed'!$O$23</f>
        <v>3.5145616773760872E-2</v>
      </c>
      <c r="Q302" s="220">
        <f>'Off-farm feed'!$P$23</f>
        <v>0.251</v>
      </c>
      <c r="R302" s="197">
        <f>'Parameters, country spec'!Z27</f>
        <v>0.1724593547162262</v>
      </c>
    </row>
    <row r="303" spans="1:18" x14ac:dyDescent="0.35">
      <c r="B303" s="17" t="s">
        <v>233</v>
      </c>
      <c r="C303" s="17" t="s">
        <v>347</v>
      </c>
      <c r="D303" s="23" t="s">
        <v>28</v>
      </c>
      <c r="E303" s="23" t="s">
        <v>120</v>
      </c>
      <c r="F303" s="120"/>
      <c r="G303" s="108"/>
      <c r="H303" s="8"/>
      <c r="I303" s="107"/>
      <c r="J303" s="8"/>
      <c r="K303" s="108"/>
      <c r="L303" s="8"/>
      <c r="M303" s="8"/>
      <c r="N303" s="108"/>
      <c r="O303" s="8"/>
      <c r="P303" s="8"/>
      <c r="Q303" s="8"/>
      <c r="R303" s="197">
        <f>'Parameters, country spec'!Z28</f>
        <v>2.6495909583274708E-2</v>
      </c>
    </row>
    <row r="304" spans="1:18" x14ac:dyDescent="0.35">
      <c r="A304" s="83"/>
      <c r="B304" s="17" t="s">
        <v>348</v>
      </c>
      <c r="C304" s="84" t="s">
        <v>349</v>
      </c>
      <c r="D304" s="23" t="s">
        <v>28</v>
      </c>
      <c r="E304" s="23" t="s">
        <v>120</v>
      </c>
      <c r="F304" s="120">
        <f t="shared" si="50"/>
        <v>0.19831626778681055</v>
      </c>
      <c r="G304" s="81">
        <f t="shared" ref="G304:N304" si="51">AVERAGE(G294:G302)</f>
        <v>5.5781199817442971E-2</v>
      </c>
      <c r="H304" s="81">
        <f t="shared" si="51"/>
        <v>2.4826324642556769E-2</v>
      </c>
      <c r="I304" s="81">
        <f t="shared" si="51"/>
        <v>0</v>
      </c>
      <c r="J304" s="81"/>
      <c r="K304" s="81">
        <f t="shared" si="51"/>
        <v>6.6196928854519763E-2</v>
      </c>
      <c r="L304" s="81"/>
      <c r="M304" s="81">
        <f t="shared" si="51"/>
        <v>1.4485732948292295E-2</v>
      </c>
      <c r="N304" s="81">
        <f t="shared" si="51"/>
        <v>3.7026081523998715E-2</v>
      </c>
      <c r="O304" s="81"/>
      <c r="P304" s="81"/>
      <c r="Q304" s="81"/>
      <c r="R304" s="197">
        <f>'Parameters, country spec'!Z29</f>
        <v>3.0723406491810091E-2</v>
      </c>
    </row>
    <row r="305" spans="1:18" x14ac:dyDescent="0.35">
      <c r="A305" s="195"/>
      <c r="B305" s="25" t="s">
        <v>350</v>
      </c>
      <c r="C305" s="26"/>
      <c r="D305" s="103"/>
      <c r="E305" s="103"/>
      <c r="F305" s="27">
        <f>SUMPRODUCT(F294:F304,$R$294:$R$304)</f>
        <v>0.28320771204456519</v>
      </c>
      <c r="G305" s="27">
        <f>SUMPRODUCT(G294:G304,$R$294:$R$304)</f>
        <v>6.4606990150349569E-2</v>
      </c>
      <c r="H305" s="27">
        <f>SUMPRODUCT(H294:H304,$R$294:$R$304)</f>
        <v>2.497072750608802E-2</v>
      </c>
      <c r="I305" s="27">
        <f>SUMPRODUCT(I294:I304,$R$294:$R$304)</f>
        <v>0</v>
      </c>
      <c r="J305" s="27"/>
      <c r="K305" s="27">
        <f>SUMPRODUCT(K294:K304,$R$294:$R$304)</f>
        <v>4.1570345080979586E-2</v>
      </c>
      <c r="L305" s="27"/>
      <c r="M305" s="27">
        <f>SUMPRODUCT(M294:M304,$R$294:$R$304)</f>
        <v>1.0599993682664311E-2</v>
      </c>
      <c r="N305" s="27">
        <f>SUMPRODUCT(N294:N304,$R$294:$R$304)</f>
        <v>3.5633998724066404E-2</v>
      </c>
      <c r="O305" s="27">
        <f>SUMPRODUCT(O294:O304,$R$294:$R$304)</f>
        <v>5.4775023031165694E-2</v>
      </c>
      <c r="P305" s="209">
        <f>SUMPRODUCT(P294:P304,R294:R304)</f>
        <v>6.4883022667520029E-3</v>
      </c>
      <c r="Q305" s="27">
        <f>SUMPRODUCT(Q294:Q304,$R$294:$R$304)</f>
        <v>4.4562331602499602E-2</v>
      </c>
      <c r="R305" s="198"/>
    </row>
    <row r="306" spans="1:18" x14ac:dyDescent="0.35">
      <c r="A306" s="22" t="s">
        <v>336</v>
      </c>
      <c r="B306" s="17" t="s">
        <v>218</v>
      </c>
      <c r="C306" s="17" t="s">
        <v>337</v>
      </c>
      <c r="D306" s="23" t="s">
        <v>25</v>
      </c>
      <c r="E306" s="23" t="s">
        <v>121</v>
      </c>
      <c r="F306" s="120">
        <f>SUM(G306:Q306)</f>
        <v>0.16700000000000001</v>
      </c>
      <c r="G306" s="80">
        <v>6.4000000000000001E-2</v>
      </c>
      <c r="H306" s="14">
        <v>2.7E-2</v>
      </c>
      <c r="I306" s="16">
        <v>0</v>
      </c>
      <c r="J306" s="14"/>
      <c r="K306" s="80">
        <v>4.1000000000000002E-2</v>
      </c>
      <c r="L306" s="14"/>
      <c r="M306" s="14">
        <v>0</v>
      </c>
      <c r="N306" s="80">
        <v>3.5000000000000003E-2</v>
      </c>
      <c r="O306" s="14"/>
      <c r="P306" s="14"/>
      <c r="R306" s="197">
        <f>'Parameters, country spec'!AA19</f>
        <v>0</v>
      </c>
    </row>
    <row r="307" spans="1:18" x14ac:dyDescent="0.35">
      <c r="A307" s="22" t="s">
        <v>338</v>
      </c>
      <c r="B307" s="17" t="s">
        <v>222</v>
      </c>
      <c r="C307" s="17" t="s">
        <v>337</v>
      </c>
      <c r="D307" s="23" t="s">
        <v>25</v>
      </c>
      <c r="E307" s="23" t="s">
        <v>121</v>
      </c>
      <c r="F307" s="120">
        <f t="shared" ref="F307:F312" si="52">SUM(G307:Q307)</f>
        <v>0.157</v>
      </c>
      <c r="G307" s="80">
        <v>6.3E-2</v>
      </c>
      <c r="H307" s="14">
        <v>2.7E-2</v>
      </c>
      <c r="I307" s="16">
        <v>0</v>
      </c>
      <c r="J307" s="14"/>
      <c r="K307" s="80">
        <v>2.8000000000000001E-2</v>
      </c>
      <c r="L307" s="14"/>
      <c r="M307" s="14">
        <v>4.0000000000000001E-3</v>
      </c>
      <c r="N307" s="80">
        <v>3.5000000000000003E-2</v>
      </c>
      <c r="O307" s="14"/>
      <c r="P307" s="14"/>
      <c r="R307" s="197">
        <f>'Parameters, country spec'!AA20</f>
        <v>2.9000000000000001E-2</v>
      </c>
    </row>
    <row r="308" spans="1:18" x14ac:dyDescent="0.35">
      <c r="A308" s="22" t="s">
        <v>339</v>
      </c>
      <c r="B308" s="17" t="s">
        <v>226</v>
      </c>
      <c r="C308" s="17" t="s">
        <v>337</v>
      </c>
      <c r="D308" s="23" t="s">
        <v>25</v>
      </c>
      <c r="E308" s="23" t="s">
        <v>121</v>
      </c>
      <c r="F308" s="120">
        <f t="shared" si="52"/>
        <v>0.16600000000000001</v>
      </c>
      <c r="G308" s="80">
        <v>5.7000000000000002E-2</v>
      </c>
      <c r="H308" s="14">
        <v>2.7E-2</v>
      </c>
      <c r="I308" s="16">
        <v>0</v>
      </c>
      <c r="J308" s="14"/>
      <c r="K308" s="80">
        <v>4.7E-2</v>
      </c>
      <c r="L308" s="14"/>
      <c r="M308" s="14">
        <v>0</v>
      </c>
      <c r="N308" s="80">
        <v>3.5000000000000003E-2</v>
      </c>
      <c r="O308" s="14"/>
      <c r="P308" s="14"/>
      <c r="R308" s="197">
        <f>'Parameters, country spec'!AA21</f>
        <v>4.9000000000000002E-2</v>
      </c>
    </row>
    <row r="309" spans="1:18" x14ac:dyDescent="0.35">
      <c r="A309" s="22" t="s">
        <v>340</v>
      </c>
      <c r="B309" s="17" t="s">
        <v>227</v>
      </c>
      <c r="C309" s="17" t="s">
        <v>337</v>
      </c>
      <c r="D309" s="23" t="s">
        <v>25</v>
      </c>
      <c r="E309" s="23" t="s">
        <v>121</v>
      </c>
      <c r="F309" s="120">
        <f t="shared" si="52"/>
        <v>0.14300000000000002</v>
      </c>
      <c r="G309" s="80">
        <v>0.05</v>
      </c>
      <c r="H309" s="14">
        <v>2.7E-2</v>
      </c>
      <c r="I309" s="14">
        <v>0</v>
      </c>
      <c r="J309" s="14"/>
      <c r="K309" s="80">
        <v>3.1E-2</v>
      </c>
      <c r="L309" s="14"/>
      <c r="M309" s="14">
        <v>0</v>
      </c>
      <c r="N309" s="80">
        <v>3.5000000000000003E-2</v>
      </c>
      <c r="O309" s="14"/>
      <c r="P309" s="14"/>
      <c r="R309" s="197">
        <f>'Parameters, country spec'!AA22</f>
        <v>0</v>
      </c>
    </row>
    <row r="310" spans="1:18" x14ac:dyDescent="0.35">
      <c r="A310" s="22" t="s">
        <v>341</v>
      </c>
      <c r="B310" s="17" t="s">
        <v>228</v>
      </c>
      <c r="C310" s="17" t="s">
        <v>337</v>
      </c>
      <c r="D310" s="23" t="s">
        <v>25</v>
      </c>
      <c r="E310" s="23" t="s">
        <v>121</v>
      </c>
      <c r="F310" s="120">
        <f>SUM(G310:Q310)</f>
        <v>0.16500000000000001</v>
      </c>
      <c r="G310" s="80">
        <v>7.3999999999999996E-2</v>
      </c>
      <c r="H310" s="14">
        <v>2.7E-2</v>
      </c>
      <c r="I310" s="14">
        <v>0</v>
      </c>
      <c r="J310" s="14"/>
      <c r="K310" s="80">
        <v>2.9000000000000001E-2</v>
      </c>
      <c r="L310" s="14"/>
      <c r="M310" s="14">
        <v>0</v>
      </c>
      <c r="N310" s="80">
        <v>3.5000000000000003E-2</v>
      </c>
      <c r="O310" s="14"/>
      <c r="P310" s="14"/>
      <c r="R310" s="197">
        <f>'Parameters, country spec'!AA23</f>
        <v>0.59099999999999997</v>
      </c>
    </row>
    <row r="311" spans="1:18" x14ac:dyDescent="0.35">
      <c r="A311" s="22" t="s">
        <v>342</v>
      </c>
      <c r="B311" s="17" t="s">
        <v>229</v>
      </c>
      <c r="C311" s="17" t="s">
        <v>343</v>
      </c>
      <c r="D311" s="23" t="s">
        <v>25</v>
      </c>
      <c r="E311" s="23" t="s">
        <v>121</v>
      </c>
      <c r="F311" s="120">
        <f t="shared" si="52"/>
        <v>0.11900000000000001</v>
      </c>
      <c r="G311" s="80">
        <v>0</v>
      </c>
      <c r="H311" s="14">
        <v>2.7E-2</v>
      </c>
      <c r="I311" s="16">
        <v>0</v>
      </c>
      <c r="J311" s="14"/>
      <c r="K311" s="80">
        <v>5.7000000000000002E-2</v>
      </c>
      <c r="L311" s="16"/>
      <c r="M311" s="14">
        <v>0</v>
      </c>
      <c r="N311" s="80">
        <v>3.5000000000000003E-2</v>
      </c>
      <c r="O311" s="14"/>
      <c r="P311" s="14"/>
      <c r="R311" s="197">
        <f>'Parameters, country spec'!AA24</f>
        <v>0</v>
      </c>
    </row>
    <row r="312" spans="1:18" x14ac:dyDescent="0.35">
      <c r="A312" s="22" t="s">
        <v>344</v>
      </c>
      <c r="B312" s="17" t="s">
        <v>230</v>
      </c>
      <c r="C312" s="17" t="s">
        <v>343</v>
      </c>
      <c r="D312" s="23" t="s">
        <v>25</v>
      </c>
      <c r="E312" s="23" t="s">
        <v>121</v>
      </c>
      <c r="F312" s="120">
        <f t="shared" si="52"/>
        <v>0.15000000000000002</v>
      </c>
      <c r="G312" s="80">
        <v>3.0000000000000001E-3</v>
      </c>
      <c r="H312" s="14">
        <v>2.7E-2</v>
      </c>
      <c r="I312" s="16">
        <v>0</v>
      </c>
      <c r="J312" s="14"/>
      <c r="K312" s="80">
        <v>8.5000000000000006E-2</v>
      </c>
      <c r="L312" s="14"/>
      <c r="M312" s="14">
        <v>0</v>
      </c>
      <c r="N312" s="80">
        <v>3.5000000000000003E-2</v>
      </c>
      <c r="O312" s="14"/>
      <c r="P312" s="14"/>
      <c r="R312" s="197">
        <f>'Parameters, country spec'!AA25</f>
        <v>0</v>
      </c>
    </row>
    <row r="313" spans="1:18" x14ac:dyDescent="0.35">
      <c r="B313" s="18" t="s">
        <v>231</v>
      </c>
      <c r="C313" s="17" t="s">
        <v>345</v>
      </c>
      <c r="D313" s="23" t="str">
        <f>'Off-farm feed'!$D$74</f>
        <v>France, Germany, Poland</v>
      </c>
      <c r="E313" s="23"/>
      <c r="F313" s="120">
        <f>SUM(G313:Q313)</f>
        <v>0.27085685084992916</v>
      </c>
      <c r="G313" s="220">
        <f>'Off-farm feed'!$F$74</f>
        <v>0.11176753125767681</v>
      </c>
      <c r="H313" s="220">
        <f>'Off-farm feed'!$G$74</f>
        <v>1.3034482758620692E-2</v>
      </c>
      <c r="I313" s="220">
        <f>'Off-farm feed'!$H$74</f>
        <v>0</v>
      </c>
      <c r="J313" s="220">
        <f>'Off-farm feed'!$I$74</f>
        <v>0</v>
      </c>
      <c r="K313" s="220">
        <f>'Off-farm feed'!$J$74</f>
        <v>2.4688740026345454E-2</v>
      </c>
      <c r="L313" s="220">
        <f>'Off-farm feed'!$K$74</f>
        <v>0</v>
      </c>
      <c r="M313" s="220">
        <f>'Off-farm feed'!$L$74</f>
        <v>1.931759303794134E-4</v>
      </c>
      <c r="N313" s="220">
        <f>'Off-farm feed'!$M$74</f>
        <v>3.6802128767029069E-2</v>
      </c>
      <c r="O313" s="220">
        <f>'Off-farm feed'!$N$74</f>
        <v>0</v>
      </c>
      <c r="P313" s="220">
        <f>'Off-farm feed'!$O$74</f>
        <v>2.1170792109877701E-2</v>
      </c>
      <c r="Q313" s="220">
        <f>'Off-farm feed'!$P$74</f>
        <v>6.3200000000000006E-2</v>
      </c>
      <c r="R313" s="197">
        <f>'Parameters, country spec'!AA26</f>
        <v>6.8000000000000005E-2</v>
      </c>
    </row>
    <row r="314" spans="1:18" x14ac:dyDescent="0.35">
      <c r="B314" s="18" t="s">
        <v>346</v>
      </c>
      <c r="C314" s="17" t="s">
        <v>345</v>
      </c>
      <c r="D314" s="23" t="str">
        <f>'Off-farm feed'!$D$23</f>
        <v>Brazil, Argentina</v>
      </c>
      <c r="E314" s="23"/>
      <c r="F314" s="120">
        <f>SUM(G314:Q314)</f>
        <v>0.7061171705997602</v>
      </c>
      <c r="G314" s="220">
        <f>'Off-farm feed'!$F$23</f>
        <v>7.2632670993098931E-3</v>
      </c>
      <c r="H314" s="220">
        <f>'Off-farm feed'!$G$23</f>
        <v>2.1402439024390246E-2</v>
      </c>
      <c r="I314" s="220">
        <f>'Off-farm feed'!$H$23</f>
        <v>0</v>
      </c>
      <c r="J314" s="220">
        <f>'Off-farm feed'!$I$23</f>
        <v>0</v>
      </c>
      <c r="K314" s="220">
        <f>'Off-farm feed'!$J$23</f>
        <v>4.308361966433235E-2</v>
      </c>
      <c r="L314" s="220">
        <f>'Off-farm feed'!$K$23</f>
        <v>0</v>
      </c>
      <c r="M314" s="220">
        <f>'Off-farm feed'!$L$23</f>
        <v>1.7842060425123844E-4</v>
      </c>
      <c r="N314" s="220">
        <f>'Off-farm feed'!$M$23</f>
        <v>3.0432604948959403E-2</v>
      </c>
      <c r="O314" s="220">
        <f>'Off-farm feed'!$N$23</f>
        <v>0.31761120248475611</v>
      </c>
      <c r="P314" s="220">
        <f>'Off-farm feed'!$O$23</f>
        <v>3.5145616773760872E-2</v>
      </c>
      <c r="Q314" s="220">
        <f>'Off-farm feed'!$P$23</f>
        <v>0.251</v>
      </c>
      <c r="R314" s="197">
        <f>'Parameters, country spec'!AA27</f>
        <v>0.186</v>
      </c>
    </row>
    <row r="315" spans="1:18" x14ac:dyDescent="0.35">
      <c r="B315" s="17" t="s">
        <v>233</v>
      </c>
      <c r="C315" s="17" t="s">
        <v>347</v>
      </c>
      <c r="D315" s="23" t="s">
        <v>25</v>
      </c>
      <c r="E315" s="23" t="s">
        <v>121</v>
      </c>
      <c r="F315" s="120"/>
      <c r="G315" s="108"/>
      <c r="H315" s="8"/>
      <c r="I315" s="107"/>
      <c r="J315" s="8"/>
      <c r="K315" s="108"/>
      <c r="L315" s="8"/>
      <c r="M315" s="8"/>
      <c r="N315" s="108"/>
      <c r="O315" s="8"/>
      <c r="P315" s="8"/>
      <c r="Q315" s="8"/>
      <c r="R315" s="197">
        <f>'Parameters, country spec'!AA28</f>
        <v>0</v>
      </c>
    </row>
    <row r="316" spans="1:18" x14ac:dyDescent="0.35">
      <c r="A316" s="83"/>
      <c r="B316" s="17" t="s">
        <v>348</v>
      </c>
      <c r="C316" s="84" t="s">
        <v>349</v>
      </c>
      <c r="D316" s="23" t="s">
        <v>25</v>
      </c>
      <c r="E316" s="23" t="s">
        <v>121</v>
      </c>
      <c r="F316" s="120">
        <f>SUM(G316:Q316)</f>
        <v>0.15064960112014386</v>
      </c>
      <c r="G316" s="81">
        <f>AVERAGE(G306:G314)</f>
        <v>4.7781199817442971E-2</v>
      </c>
      <c r="H316" s="81">
        <f>AVERAGE(H306:H314)</f>
        <v>2.4826324642556769E-2</v>
      </c>
      <c r="I316" s="81">
        <f t="shared" ref="I316:N316" si="53">AVERAGE(I306:I314)</f>
        <v>0</v>
      </c>
      <c r="J316" s="81"/>
      <c r="K316" s="81">
        <f t="shared" si="53"/>
        <v>4.2863595521186425E-2</v>
      </c>
      <c r="L316" s="81"/>
      <c r="M316" s="81">
        <f t="shared" si="53"/>
        <v>4.8573294829229474E-4</v>
      </c>
      <c r="N316" s="81">
        <f t="shared" si="53"/>
        <v>3.4692748190665389E-2</v>
      </c>
      <c r="O316" s="81"/>
      <c r="P316" s="81"/>
      <c r="Q316" s="81"/>
      <c r="R316" s="197">
        <f>'Parameters, country spec'!AA29</f>
        <v>7.7000000000000179E-2</v>
      </c>
    </row>
    <row r="317" spans="1:18" x14ac:dyDescent="0.35">
      <c r="A317" s="195"/>
      <c r="B317" s="25" t="s">
        <v>350</v>
      </c>
      <c r="C317" s="26"/>
      <c r="D317" s="103"/>
      <c r="E317" s="103"/>
      <c r="F317" s="27">
        <f>SUMPRODUCT(F306:F316,$R$306:$R$316)</f>
        <v>0.27155807887560168</v>
      </c>
      <c r="G317" s="27">
        <f>SUMPRODUCT(G306:G316,$R$306:$R$316)</f>
        <v>6.0984312191936771E-2</v>
      </c>
      <c r="H317" s="27">
        <f>SUMPRODUCT(H306:H316,$R$306:$R$316)</f>
        <v>2.4841825483599669E-2</v>
      </c>
      <c r="I317" s="27">
        <f>SUMPRODUCT(I306:I316,$R$306:$R$316)</f>
        <v>0</v>
      </c>
      <c r="J317" s="27"/>
      <c r="K317" s="27">
        <f>SUMPRODUCT(K306:K316,$R$306:$R$316)</f>
        <v>3.3246884434488672E-2</v>
      </c>
      <c r="L317" s="27"/>
      <c r="M317" s="27">
        <f>SUMPRODUCT(M306:M316,$R$306:$R$316)</f>
        <v>1.9972363267503726E-4</v>
      </c>
      <c r="N317" s="27">
        <f>SUMPRODUCT(N306:N316,$R$306:$R$316)</f>
        <v>3.4249350887345667E-2</v>
      </c>
      <c r="O317" s="27">
        <f>SUMPRODUCT(O306:O316,$R$306:$R$316)</f>
        <v>5.9075683662164633E-2</v>
      </c>
      <c r="P317" s="209">
        <f>SUMPRODUCT(P306:P316,R306:R316)</f>
        <v>7.976698583391206E-3</v>
      </c>
      <c r="Q317" s="27">
        <f>SUMPRODUCT(Q306:Q316,$R$306:$R$316)</f>
        <v>5.0983599999999997E-2</v>
      </c>
      <c r="R317" s="198"/>
    </row>
    <row r="318" spans="1:18" x14ac:dyDescent="0.35">
      <c r="A318" s="22" t="s">
        <v>336</v>
      </c>
      <c r="B318" s="17" t="s">
        <v>218</v>
      </c>
      <c r="C318" s="17" t="s">
        <v>337</v>
      </c>
      <c r="D318" s="23" t="s">
        <v>21</v>
      </c>
      <c r="E318" s="23" t="s">
        <v>122</v>
      </c>
      <c r="F318" s="120">
        <f>SUM(G318:Q318)</f>
        <v>0.16697655355390587</v>
      </c>
      <c r="G318" s="80">
        <v>6.4330297358443381E-2</v>
      </c>
      <c r="H318" s="14">
        <v>2.7E-2</v>
      </c>
      <c r="I318" s="16">
        <v>0</v>
      </c>
      <c r="J318" s="14"/>
      <c r="K318" s="80">
        <v>4.0808656195462478E-2</v>
      </c>
      <c r="L318" s="14"/>
      <c r="M318" s="14">
        <v>0</v>
      </c>
      <c r="N318" s="80">
        <v>3.4837600000000003E-2</v>
      </c>
      <c r="O318" s="14"/>
      <c r="P318" s="14"/>
      <c r="R318" s="197">
        <f>'Parameters, country spec'!AB19</f>
        <v>0.24290688316534448</v>
      </c>
    </row>
    <row r="319" spans="1:18" x14ac:dyDescent="0.35">
      <c r="A319" s="22" t="s">
        <v>338</v>
      </c>
      <c r="B319" s="17" t="s">
        <v>222</v>
      </c>
      <c r="C319" s="17" t="s">
        <v>337</v>
      </c>
      <c r="D319" s="23" t="s">
        <v>21</v>
      </c>
      <c r="E319" s="23" t="s">
        <v>122</v>
      </c>
      <c r="F319" s="120">
        <f t="shared" ref="F319:F324" si="54">SUM(G319:Q319)</f>
        <v>0.15238359782823441</v>
      </c>
      <c r="G319" s="80">
        <v>6.2649071876813428E-2</v>
      </c>
      <c r="H319" s="14">
        <v>2.7E-2</v>
      </c>
      <c r="I319" s="16">
        <v>0</v>
      </c>
      <c r="J319" s="14"/>
      <c r="K319" s="80">
        <v>2.7896925951420983E-2</v>
      </c>
      <c r="L319" s="14"/>
      <c r="M319" s="14">
        <v>0</v>
      </c>
      <c r="N319" s="80">
        <v>3.4837600000000003E-2</v>
      </c>
      <c r="O319" s="14"/>
      <c r="P319" s="14"/>
      <c r="R319" s="197">
        <f>'Parameters, country spec'!AB20</f>
        <v>1.1405036092928852E-2</v>
      </c>
    </row>
    <row r="320" spans="1:18" x14ac:dyDescent="0.35">
      <c r="A320" s="22" t="s">
        <v>339</v>
      </c>
      <c r="B320" s="17" t="s">
        <v>226</v>
      </c>
      <c r="C320" s="17" t="s">
        <v>337</v>
      </c>
      <c r="D320" s="23" t="s">
        <v>21</v>
      </c>
      <c r="E320" s="23" t="s">
        <v>122</v>
      </c>
      <c r="F320" s="120">
        <f t="shared" si="54"/>
        <v>0.1652253697578368</v>
      </c>
      <c r="G320" s="80">
        <v>5.6711069109087971E-2</v>
      </c>
      <c r="H320" s="14">
        <v>2.7E-2</v>
      </c>
      <c r="I320" s="16">
        <v>0</v>
      </c>
      <c r="J320" s="14"/>
      <c r="K320" s="80">
        <v>4.6676700648748841E-2</v>
      </c>
      <c r="L320" s="14"/>
      <c r="M320" s="14">
        <v>0</v>
      </c>
      <c r="N320" s="80">
        <v>3.4837600000000003E-2</v>
      </c>
      <c r="O320" s="14"/>
      <c r="P320" s="14"/>
      <c r="R320" s="197">
        <f>'Parameters, country spec'!AB21</f>
        <v>2.6784717007595302E-2</v>
      </c>
    </row>
    <row r="321" spans="1:18" x14ac:dyDescent="0.35">
      <c r="A321" s="22" t="s">
        <v>340</v>
      </c>
      <c r="B321" s="17" t="s">
        <v>227</v>
      </c>
      <c r="C321" s="17" t="s">
        <v>337</v>
      </c>
      <c r="D321" s="23" t="s">
        <v>21</v>
      </c>
      <c r="E321" s="23" t="s">
        <v>122</v>
      </c>
      <c r="F321" s="120">
        <f t="shared" si="54"/>
        <v>0.14256180694350662</v>
      </c>
      <c r="G321" s="80">
        <v>4.99522666930306E-2</v>
      </c>
      <c r="H321" s="14">
        <v>2.7E-2</v>
      </c>
      <c r="I321" s="14">
        <v>0</v>
      </c>
      <c r="J321" s="14"/>
      <c r="K321" s="80">
        <v>3.0771940250476016E-2</v>
      </c>
      <c r="L321" s="14"/>
      <c r="M321" s="14">
        <v>0</v>
      </c>
      <c r="N321" s="80">
        <v>3.4837600000000003E-2</v>
      </c>
      <c r="O321" s="14"/>
      <c r="P321" s="14"/>
      <c r="R321" s="197">
        <f>'Parameters, country spec'!AB22</f>
        <v>1.2703483591450424E-3</v>
      </c>
    </row>
    <row r="322" spans="1:18" x14ac:dyDescent="0.35">
      <c r="A322" s="22" t="s">
        <v>341</v>
      </c>
      <c r="B322" s="17" t="s">
        <v>228</v>
      </c>
      <c r="C322" s="17" t="s">
        <v>337</v>
      </c>
      <c r="D322" s="23" t="s">
        <v>21</v>
      </c>
      <c r="E322" s="23" t="s">
        <v>122</v>
      </c>
      <c r="F322" s="120">
        <f t="shared" si="54"/>
        <v>0.16472897058825095</v>
      </c>
      <c r="G322" s="80">
        <v>7.3741076533864705E-2</v>
      </c>
      <c r="H322" s="14">
        <v>2.7E-2</v>
      </c>
      <c r="I322" s="14">
        <v>0</v>
      </c>
      <c r="J322" s="14"/>
      <c r="K322" s="80">
        <v>2.9150294054386239E-2</v>
      </c>
      <c r="L322" s="14"/>
      <c r="M322" s="14">
        <v>0</v>
      </c>
      <c r="N322" s="80">
        <v>3.4837600000000003E-2</v>
      </c>
      <c r="O322" s="14"/>
      <c r="P322" s="14"/>
      <c r="R322" s="197">
        <f>'Parameters, country spec'!AB23</f>
        <v>0.36306225085662319</v>
      </c>
    </row>
    <row r="323" spans="1:18" x14ac:dyDescent="0.35">
      <c r="A323" s="22" t="s">
        <v>342</v>
      </c>
      <c r="B323" s="17" t="s">
        <v>229</v>
      </c>
      <c r="C323" s="17" t="s">
        <v>343</v>
      </c>
      <c r="D323" s="23" t="s">
        <v>21</v>
      </c>
      <c r="E323" s="23" t="s">
        <v>122</v>
      </c>
      <c r="F323" s="120">
        <f t="shared" si="54"/>
        <v>0.11885153790044359</v>
      </c>
      <c r="G323" s="80">
        <v>0</v>
      </c>
      <c r="H323" s="14">
        <v>2.7E-2</v>
      </c>
      <c r="I323" s="16">
        <v>0</v>
      </c>
      <c r="J323" s="14"/>
      <c r="K323" s="80">
        <v>5.7013937900443575E-2</v>
      </c>
      <c r="L323" s="16"/>
      <c r="M323" s="14">
        <v>0</v>
      </c>
      <c r="N323" s="80">
        <v>3.4837600000000003E-2</v>
      </c>
      <c r="O323" s="14"/>
      <c r="P323" s="14"/>
      <c r="R323" s="197">
        <f>'Parameters, country spec'!AB24</f>
        <v>6.0909129056991628E-3</v>
      </c>
    </row>
    <row r="324" spans="1:18" x14ac:dyDescent="0.35">
      <c r="A324" s="22" t="s">
        <v>344</v>
      </c>
      <c r="B324" s="17" t="s">
        <v>230</v>
      </c>
      <c r="C324" s="17" t="s">
        <v>343</v>
      </c>
      <c r="D324" s="23" t="s">
        <v>21</v>
      </c>
      <c r="E324" s="23" t="s">
        <v>122</v>
      </c>
      <c r="F324" s="120">
        <f t="shared" si="54"/>
        <v>0.15030675448840647</v>
      </c>
      <c r="G324" s="80">
        <v>3.1688167106286749E-3</v>
      </c>
      <c r="H324" s="14">
        <v>2.7E-2</v>
      </c>
      <c r="I324" s="16">
        <v>0</v>
      </c>
      <c r="J324" s="14"/>
      <c r="K324" s="80">
        <v>8.530033777777779E-2</v>
      </c>
      <c r="L324" s="14"/>
      <c r="M324" s="14">
        <v>0</v>
      </c>
      <c r="N324" s="80">
        <v>3.4837600000000003E-2</v>
      </c>
      <c r="O324" s="14"/>
      <c r="P324" s="14"/>
      <c r="R324" s="197">
        <f>'Parameters, country spec'!AB25</f>
        <v>5.9832836689627722E-3</v>
      </c>
    </row>
    <row r="325" spans="1:18" x14ac:dyDescent="0.35">
      <c r="B325" s="18" t="s">
        <v>231</v>
      </c>
      <c r="C325" s="17" t="s">
        <v>345</v>
      </c>
      <c r="D325" s="23" t="str">
        <f>'Off-farm feed'!$D$74</f>
        <v>France, Germany, Poland</v>
      </c>
      <c r="E325" s="23"/>
      <c r="F325" s="120">
        <f>SUM(G325:Q325)</f>
        <v>0.27085685084992916</v>
      </c>
      <c r="G325" s="220">
        <f>'Off-farm feed'!$F$74</f>
        <v>0.11176753125767681</v>
      </c>
      <c r="H325" s="220">
        <f>'Off-farm feed'!$G$74</f>
        <v>1.3034482758620692E-2</v>
      </c>
      <c r="I325" s="220">
        <f>'Off-farm feed'!$H$74</f>
        <v>0</v>
      </c>
      <c r="J325" s="220">
        <f>'Off-farm feed'!$I$74</f>
        <v>0</v>
      </c>
      <c r="K325" s="220">
        <f>'Off-farm feed'!$J$74</f>
        <v>2.4688740026345454E-2</v>
      </c>
      <c r="L325" s="220">
        <f>'Off-farm feed'!$K$74</f>
        <v>0</v>
      </c>
      <c r="M325" s="220">
        <f>'Off-farm feed'!$L$74</f>
        <v>1.931759303794134E-4</v>
      </c>
      <c r="N325" s="220">
        <f>'Off-farm feed'!$M$74</f>
        <v>3.6802128767029069E-2</v>
      </c>
      <c r="O325" s="220">
        <f>'Off-farm feed'!$N$74</f>
        <v>0</v>
      </c>
      <c r="P325" s="220">
        <f>'Off-farm feed'!$O$74</f>
        <v>2.1170792109877701E-2</v>
      </c>
      <c r="Q325" s="220">
        <f>'Off-farm feed'!$P$74</f>
        <v>6.3200000000000006E-2</v>
      </c>
      <c r="R325" s="197">
        <f>'Parameters, country spec'!AB26</f>
        <v>9.4633897453147445E-2</v>
      </c>
    </row>
    <row r="326" spans="1:18" x14ac:dyDescent="0.35">
      <c r="B326" s="18" t="s">
        <v>346</v>
      </c>
      <c r="C326" s="17" t="s">
        <v>345</v>
      </c>
      <c r="D326" s="23" t="str">
        <f>'Off-farm feed'!$D$23</f>
        <v>Brazil, Argentina</v>
      </c>
      <c r="E326" s="23"/>
      <c r="F326" s="120">
        <f>SUM(G326:Q326)</f>
        <v>0.7061171705997602</v>
      </c>
      <c r="G326" s="220">
        <f>'Off-farm feed'!$F$23</f>
        <v>7.2632670993098931E-3</v>
      </c>
      <c r="H326" s="220">
        <f>'Off-farm feed'!$G$23</f>
        <v>2.1402439024390246E-2</v>
      </c>
      <c r="I326" s="220">
        <f>'Off-farm feed'!$H$23</f>
        <v>0</v>
      </c>
      <c r="J326" s="220">
        <f>'Off-farm feed'!$I$23</f>
        <v>0</v>
      </c>
      <c r="K326" s="220">
        <f>'Off-farm feed'!$J$23</f>
        <v>4.308361966433235E-2</v>
      </c>
      <c r="L326" s="220">
        <f>'Off-farm feed'!$K$23</f>
        <v>0</v>
      </c>
      <c r="M326" s="220">
        <f>'Off-farm feed'!$L$23</f>
        <v>1.7842060425123844E-4</v>
      </c>
      <c r="N326" s="220">
        <f>'Off-farm feed'!$M$23</f>
        <v>3.0432604948959403E-2</v>
      </c>
      <c r="O326" s="220">
        <f>'Off-farm feed'!$N$23</f>
        <v>0.31761120248475611</v>
      </c>
      <c r="P326" s="220">
        <f>'Off-farm feed'!$O$23</f>
        <v>3.5145616773760872E-2</v>
      </c>
      <c r="Q326" s="220">
        <f>'Off-farm feed'!$P$23</f>
        <v>0.251</v>
      </c>
      <c r="R326" s="197">
        <f>'Parameters, country spec'!AB27</f>
        <v>0.1863493678947572</v>
      </c>
    </row>
    <row r="327" spans="1:18" x14ac:dyDescent="0.35">
      <c r="B327" s="17" t="s">
        <v>233</v>
      </c>
      <c r="C327" s="17" t="s">
        <v>347</v>
      </c>
      <c r="D327" s="23" t="s">
        <v>21</v>
      </c>
      <c r="E327" s="23" t="s">
        <v>122</v>
      </c>
      <c r="F327" s="120"/>
      <c r="G327" s="108"/>
      <c r="H327" s="8"/>
      <c r="I327" s="107"/>
      <c r="J327" s="8"/>
      <c r="K327" s="108"/>
      <c r="L327" s="8"/>
      <c r="M327" s="8"/>
      <c r="N327" s="108"/>
      <c r="O327" s="8"/>
      <c r="P327" s="8"/>
      <c r="Q327" s="8"/>
      <c r="R327" s="197">
        <f>'Parameters, country spec'!AB28</f>
        <v>1.2143080899157416E-2</v>
      </c>
    </row>
    <row r="328" spans="1:18" x14ac:dyDescent="0.35">
      <c r="A328" s="83"/>
      <c r="B328" s="17" t="s">
        <v>348</v>
      </c>
      <c r="C328" s="84" t="s">
        <v>349</v>
      </c>
      <c r="D328" s="23" t="s">
        <v>21</v>
      </c>
      <c r="E328" s="23" t="s">
        <v>122</v>
      </c>
      <c r="F328" s="120">
        <f>SUM(G328:Q328)</f>
        <v>0.14998677790465326</v>
      </c>
      <c r="G328" s="81">
        <f t="shared" ref="G328:N328" si="55">AVERAGE(G318:G326)</f>
        <v>4.7731488515428383E-2</v>
      </c>
      <c r="H328" s="81">
        <f t="shared" si="55"/>
        <v>2.4826324642556769E-2</v>
      </c>
      <c r="I328" s="81">
        <f t="shared" si="55"/>
        <v>0</v>
      </c>
      <c r="J328" s="81"/>
      <c r="K328" s="81">
        <f t="shared" si="55"/>
        <v>4.2821239163265974E-2</v>
      </c>
      <c r="L328" s="81"/>
      <c r="M328" s="81">
        <f t="shared" si="55"/>
        <v>4.1288503847850203E-5</v>
      </c>
      <c r="N328" s="81">
        <f t="shared" si="55"/>
        <v>3.4566437079554278E-2</v>
      </c>
      <c r="O328" s="81"/>
      <c r="P328" s="81"/>
      <c r="Q328" s="81"/>
      <c r="R328" s="197">
        <f>'Parameters, country spec'!AB29</f>
        <v>4.9370221696639315E-2</v>
      </c>
    </row>
    <row r="329" spans="1:18" x14ac:dyDescent="0.35">
      <c r="A329" s="195"/>
      <c r="B329" s="25" t="s">
        <v>350</v>
      </c>
      <c r="C329" s="26"/>
      <c r="D329" s="103"/>
      <c r="E329" s="103"/>
      <c r="F329" s="27">
        <f>SUMPRODUCT(F318:F328,$R$318:$R$328)</f>
        <v>0.27295603403166013</v>
      </c>
      <c r="G329" s="27">
        <f>SUMPRODUCT(G318:G328,$R$318:$R$328)</f>
        <v>5.900181131830199E-2</v>
      </c>
      <c r="H329" s="27">
        <f>SUMPRODUCT(H318:H328,$R$318:$R$328)</f>
        <v>2.4200108705371169E-2</v>
      </c>
      <c r="I329" s="27">
        <f>SUMPRODUCT(I318:I328,$R$318:$R$328)</f>
        <v>0</v>
      </c>
      <c r="J329" s="27"/>
      <c r="K329" s="27">
        <f>SUMPRODUCT(K318:K328,$R$318:$R$328)</f>
        <v>3.5440287705939065E-2</v>
      </c>
      <c r="L329" s="27"/>
      <c r="M329" s="27">
        <f>SUMPRODUCT(M318:M328,$R$318:$R$328)</f>
        <v>5.3567980596051587E-5</v>
      </c>
      <c r="N329" s="27">
        <f>SUMPRODUCT(N318:N328,$R$318:$R$328)</f>
        <v>3.3766219801911052E-2</v>
      </c>
      <c r="O329" s="27">
        <f>SUMPRODUCT(O318:O328,$R$318:$R$328)</f>
        <v>5.9186646819328038E-2</v>
      </c>
      <c r="P329" s="209">
        <f>SUMPRODUCT(P318:P328,R318:R328)</f>
        <v>8.5528380395897829E-3</v>
      </c>
      <c r="Q329" s="27">
        <f>SUMPRODUCT(Q318:Q328,$R$318:$R$328)</f>
        <v>5.2754553660622976E-2</v>
      </c>
      <c r="R329" s="198"/>
    </row>
    <row r="330" spans="1:18" x14ac:dyDescent="0.35">
      <c r="A330" s="22" t="s">
        <v>336</v>
      </c>
      <c r="B330" s="17" t="s">
        <v>218</v>
      </c>
      <c r="C330" s="17" t="s">
        <v>337</v>
      </c>
      <c r="D330" s="23" t="s">
        <v>123</v>
      </c>
      <c r="E330" s="23" t="s">
        <v>124</v>
      </c>
      <c r="F330" s="120">
        <f>SUM(G330:Q330)</f>
        <v>0.16697655355390587</v>
      </c>
      <c r="G330" s="80">
        <v>6.4330297358443381E-2</v>
      </c>
      <c r="H330" s="14">
        <v>2.7E-2</v>
      </c>
      <c r="I330" s="303">
        <v>0</v>
      </c>
      <c r="J330" s="14"/>
      <c r="K330" s="80">
        <v>4.0808656195462478E-2</v>
      </c>
      <c r="L330" s="14"/>
      <c r="M330" s="14">
        <v>0</v>
      </c>
      <c r="N330" s="80">
        <v>3.4837600000000003E-2</v>
      </c>
      <c r="O330" s="14"/>
      <c r="P330" s="14"/>
      <c r="R330" s="197">
        <f>'Parameters, country spec'!AC19</f>
        <v>0.24290688316534448</v>
      </c>
    </row>
    <row r="331" spans="1:18" x14ac:dyDescent="0.35">
      <c r="A331" s="22" t="s">
        <v>338</v>
      </c>
      <c r="B331" s="17" t="s">
        <v>222</v>
      </c>
      <c r="C331" s="17" t="s">
        <v>337</v>
      </c>
      <c r="D331" s="23" t="s">
        <v>123</v>
      </c>
      <c r="E331" s="23" t="s">
        <v>124</v>
      </c>
      <c r="F331" s="120">
        <f t="shared" ref="F331:F336" si="56">SUM(G331:Q331)</f>
        <v>0.15238359782823441</v>
      </c>
      <c r="G331" s="80">
        <v>6.2649071876813428E-2</v>
      </c>
      <c r="H331" s="14">
        <v>2.7E-2</v>
      </c>
      <c r="I331" s="303">
        <v>0</v>
      </c>
      <c r="J331" s="14"/>
      <c r="K331" s="80">
        <v>2.7896925951420983E-2</v>
      </c>
      <c r="L331" s="14"/>
      <c r="M331" s="14">
        <v>0</v>
      </c>
      <c r="N331" s="80">
        <v>3.4837600000000003E-2</v>
      </c>
      <c r="O331" s="14"/>
      <c r="P331" s="14"/>
      <c r="R331" s="197">
        <f>'Parameters, country spec'!AC20</f>
        <v>1.1405036092928852E-2</v>
      </c>
    </row>
    <row r="332" spans="1:18" x14ac:dyDescent="0.35">
      <c r="A332" s="22" t="s">
        <v>339</v>
      </c>
      <c r="B332" s="17" t="s">
        <v>226</v>
      </c>
      <c r="C332" s="17" t="s">
        <v>337</v>
      </c>
      <c r="D332" s="23" t="s">
        <v>123</v>
      </c>
      <c r="E332" s="23" t="s">
        <v>124</v>
      </c>
      <c r="F332" s="120">
        <f t="shared" si="56"/>
        <v>0.1652253697578368</v>
      </c>
      <c r="G332" s="80">
        <v>5.6711069109087971E-2</v>
      </c>
      <c r="H332" s="14">
        <v>2.7E-2</v>
      </c>
      <c r="I332" s="303">
        <v>0</v>
      </c>
      <c r="J332" s="14"/>
      <c r="K332" s="80">
        <v>4.6676700648748841E-2</v>
      </c>
      <c r="L332" s="14"/>
      <c r="M332" s="14">
        <v>0</v>
      </c>
      <c r="N332" s="80">
        <v>3.4837600000000003E-2</v>
      </c>
      <c r="O332" s="14"/>
      <c r="P332" s="14"/>
      <c r="R332" s="197">
        <f>'Parameters, country spec'!AC21</f>
        <v>2.6784717007595302E-2</v>
      </c>
    </row>
    <row r="333" spans="1:18" x14ac:dyDescent="0.35">
      <c r="A333" s="22" t="s">
        <v>340</v>
      </c>
      <c r="B333" s="17" t="s">
        <v>227</v>
      </c>
      <c r="C333" s="17" t="s">
        <v>337</v>
      </c>
      <c r="D333" s="23" t="s">
        <v>123</v>
      </c>
      <c r="E333" s="23" t="s">
        <v>124</v>
      </c>
      <c r="F333" s="120">
        <f t="shared" si="56"/>
        <v>0.14256180694350662</v>
      </c>
      <c r="G333" s="80">
        <v>4.99522666930306E-2</v>
      </c>
      <c r="H333" s="14">
        <v>2.7E-2</v>
      </c>
      <c r="I333" s="303">
        <v>0</v>
      </c>
      <c r="J333" s="14"/>
      <c r="K333" s="80">
        <v>3.0771940250476016E-2</v>
      </c>
      <c r="L333" s="14"/>
      <c r="M333" s="14">
        <v>0</v>
      </c>
      <c r="N333" s="80">
        <v>3.4837600000000003E-2</v>
      </c>
      <c r="O333" s="14"/>
      <c r="P333" s="14"/>
      <c r="R333" s="197">
        <f>'Parameters, country spec'!AC22</f>
        <v>1.2703483591450424E-3</v>
      </c>
    </row>
    <row r="334" spans="1:18" x14ac:dyDescent="0.35">
      <c r="A334" s="22" t="s">
        <v>341</v>
      </c>
      <c r="B334" s="17" t="s">
        <v>228</v>
      </c>
      <c r="C334" s="17" t="s">
        <v>337</v>
      </c>
      <c r="D334" s="23" t="s">
        <v>123</v>
      </c>
      <c r="E334" s="23" t="s">
        <v>124</v>
      </c>
      <c r="F334" s="120">
        <f t="shared" si="56"/>
        <v>0.16472897058825095</v>
      </c>
      <c r="G334" s="80">
        <v>7.3741076533864705E-2</v>
      </c>
      <c r="H334" s="14">
        <v>2.7E-2</v>
      </c>
      <c r="I334" s="303">
        <v>0</v>
      </c>
      <c r="J334" s="14"/>
      <c r="K334" s="80">
        <v>2.9150294054386239E-2</v>
      </c>
      <c r="L334" s="14"/>
      <c r="M334" s="14">
        <v>0</v>
      </c>
      <c r="N334" s="80">
        <v>3.4837600000000003E-2</v>
      </c>
      <c r="O334" s="14"/>
      <c r="P334" s="14"/>
      <c r="R334" s="197">
        <f>'Parameters, country spec'!AC23</f>
        <v>0.36306225085662319</v>
      </c>
    </row>
    <row r="335" spans="1:18" x14ac:dyDescent="0.35">
      <c r="A335" s="22" t="s">
        <v>342</v>
      </c>
      <c r="B335" s="17" t="s">
        <v>229</v>
      </c>
      <c r="C335" s="17" t="s">
        <v>343</v>
      </c>
      <c r="D335" s="23" t="s">
        <v>123</v>
      </c>
      <c r="E335" s="23" t="s">
        <v>124</v>
      </c>
      <c r="F335" s="120">
        <f t="shared" si="56"/>
        <v>0.11885153790044359</v>
      </c>
      <c r="G335" s="80">
        <v>0</v>
      </c>
      <c r="H335" s="14">
        <v>2.7E-2</v>
      </c>
      <c r="I335" s="303">
        <v>0</v>
      </c>
      <c r="J335" s="14"/>
      <c r="K335" s="80">
        <v>5.7013937900443575E-2</v>
      </c>
      <c r="L335" s="16"/>
      <c r="M335" s="14">
        <v>0</v>
      </c>
      <c r="N335" s="80">
        <v>3.4837600000000003E-2</v>
      </c>
      <c r="O335" s="14"/>
      <c r="P335" s="14"/>
      <c r="R335" s="197">
        <f>'Parameters, country spec'!AC24</f>
        <v>6.0909129056991628E-3</v>
      </c>
    </row>
    <row r="336" spans="1:18" x14ac:dyDescent="0.35">
      <c r="A336" s="22" t="s">
        <v>344</v>
      </c>
      <c r="B336" s="17" t="s">
        <v>230</v>
      </c>
      <c r="C336" s="17" t="s">
        <v>343</v>
      </c>
      <c r="D336" s="23" t="s">
        <v>123</v>
      </c>
      <c r="E336" s="23" t="s">
        <v>124</v>
      </c>
      <c r="F336" s="120">
        <f t="shared" si="56"/>
        <v>0.15030675448840647</v>
      </c>
      <c r="G336" s="80">
        <v>3.1688167106286749E-3</v>
      </c>
      <c r="H336" s="14">
        <v>2.7E-2</v>
      </c>
      <c r="I336" s="303">
        <v>0</v>
      </c>
      <c r="J336" s="14"/>
      <c r="K336" s="80">
        <v>8.530033777777779E-2</v>
      </c>
      <c r="L336" s="14"/>
      <c r="M336" s="14">
        <v>0</v>
      </c>
      <c r="N336" s="80">
        <v>3.4837600000000003E-2</v>
      </c>
      <c r="O336" s="14"/>
      <c r="P336" s="14"/>
      <c r="R336" s="197">
        <f>'Parameters, country spec'!AC25</f>
        <v>5.9832836689627722E-3</v>
      </c>
    </row>
    <row r="337" spans="1:18" x14ac:dyDescent="0.35">
      <c r="B337" s="18" t="s">
        <v>231</v>
      </c>
      <c r="C337" s="17" t="s">
        <v>345</v>
      </c>
      <c r="D337" s="23" t="str">
        <f>'Off-farm feed'!$D$74</f>
        <v>France, Germany, Poland</v>
      </c>
      <c r="E337" s="23"/>
      <c r="F337" s="120">
        <f>SUM(G337:Q337)</f>
        <v>0.27085685084992916</v>
      </c>
      <c r="G337" s="220">
        <f>'Off-farm feed'!$F$74</f>
        <v>0.11176753125767681</v>
      </c>
      <c r="H337" s="220">
        <f>'Off-farm feed'!$G$74</f>
        <v>1.3034482758620692E-2</v>
      </c>
      <c r="I337" s="220">
        <f>'Off-farm feed'!$H$74</f>
        <v>0</v>
      </c>
      <c r="J337" s="220">
        <f>'Off-farm feed'!$I$74</f>
        <v>0</v>
      </c>
      <c r="K337" s="220">
        <f>'Off-farm feed'!$J$74</f>
        <v>2.4688740026345454E-2</v>
      </c>
      <c r="L337" s="220">
        <f>'Off-farm feed'!$K$74</f>
        <v>0</v>
      </c>
      <c r="M337" s="220">
        <f>'Off-farm feed'!$L$74</f>
        <v>1.931759303794134E-4</v>
      </c>
      <c r="N337" s="220">
        <f>'Off-farm feed'!$M$74</f>
        <v>3.6802128767029069E-2</v>
      </c>
      <c r="O337" s="220">
        <f>'Off-farm feed'!$N$74</f>
        <v>0</v>
      </c>
      <c r="P337" s="220">
        <f>'Off-farm feed'!$O$74</f>
        <v>2.1170792109877701E-2</v>
      </c>
      <c r="Q337" s="220">
        <f>'Off-farm feed'!$P$74</f>
        <v>6.3200000000000006E-2</v>
      </c>
      <c r="R337" s="197">
        <f>'Parameters, country spec'!AC26</f>
        <v>9.4633897453147445E-2</v>
      </c>
    </row>
    <row r="338" spans="1:18" x14ac:dyDescent="0.35">
      <c r="B338" s="18" t="s">
        <v>346</v>
      </c>
      <c r="C338" s="17" t="s">
        <v>345</v>
      </c>
      <c r="D338" s="23" t="str">
        <f>'Off-farm feed'!$D$23</f>
        <v>Brazil, Argentina</v>
      </c>
      <c r="E338" s="23"/>
      <c r="F338" s="120">
        <f>SUM(G338:Q338)</f>
        <v>0.7061171705997602</v>
      </c>
      <c r="G338" s="220">
        <f>'Off-farm feed'!$F$23</f>
        <v>7.2632670993098931E-3</v>
      </c>
      <c r="H338" s="220">
        <f>'Off-farm feed'!$G$23</f>
        <v>2.1402439024390246E-2</v>
      </c>
      <c r="I338" s="220">
        <f>'Off-farm feed'!$H$23</f>
        <v>0</v>
      </c>
      <c r="J338" s="220">
        <f>'Off-farm feed'!$I$23</f>
        <v>0</v>
      </c>
      <c r="K338" s="220">
        <f>'Off-farm feed'!$J$23</f>
        <v>4.308361966433235E-2</v>
      </c>
      <c r="L338" s="220">
        <f>'Off-farm feed'!$K$23</f>
        <v>0</v>
      </c>
      <c r="M338" s="220">
        <f>'Off-farm feed'!$L$23</f>
        <v>1.7842060425123844E-4</v>
      </c>
      <c r="N338" s="220">
        <f>'Off-farm feed'!$M$23</f>
        <v>3.0432604948959403E-2</v>
      </c>
      <c r="O338" s="220">
        <f>'Off-farm feed'!$N$23</f>
        <v>0.31761120248475611</v>
      </c>
      <c r="P338" s="220">
        <f>'Off-farm feed'!$O$23</f>
        <v>3.5145616773760872E-2</v>
      </c>
      <c r="Q338" s="220">
        <f>'Off-farm feed'!$P$23</f>
        <v>0.251</v>
      </c>
      <c r="R338" s="197">
        <f>'Parameters, country spec'!AC27</f>
        <v>0.1863493678947572</v>
      </c>
    </row>
    <row r="339" spans="1:18" x14ac:dyDescent="0.35">
      <c r="B339" s="17" t="s">
        <v>233</v>
      </c>
      <c r="C339" s="17" t="s">
        <v>347</v>
      </c>
      <c r="D339" s="23" t="s">
        <v>123</v>
      </c>
      <c r="E339" s="23" t="s">
        <v>124</v>
      </c>
      <c r="F339" s="120"/>
      <c r="G339" s="108"/>
      <c r="H339" s="8"/>
      <c r="I339" s="107"/>
      <c r="J339" s="8"/>
      <c r="K339" s="108"/>
      <c r="L339" s="8"/>
      <c r="M339" s="8"/>
      <c r="N339" s="108"/>
      <c r="O339" s="8"/>
      <c r="P339" s="8"/>
      <c r="Q339" s="8"/>
      <c r="R339" s="197">
        <f>'Parameters, country spec'!AC28</f>
        <v>1.2143080899157416E-2</v>
      </c>
    </row>
    <row r="340" spans="1:18" x14ac:dyDescent="0.35">
      <c r="A340" s="83"/>
      <c r="B340" s="17" t="s">
        <v>348</v>
      </c>
      <c r="C340" s="84" t="s">
        <v>349</v>
      </c>
      <c r="D340" s="23" t="s">
        <v>123</v>
      </c>
      <c r="E340" s="23" t="s">
        <v>124</v>
      </c>
      <c r="F340" s="120">
        <f t="shared" ref="F340" si="57">SUM(G340:Q340)</f>
        <v>0.14998677790465326</v>
      </c>
      <c r="G340" s="81">
        <f t="shared" ref="G340:I340" si="58">AVERAGE(G330:G338)</f>
        <v>4.7731488515428383E-2</v>
      </c>
      <c r="H340" s="81">
        <f t="shared" si="58"/>
        <v>2.4826324642556769E-2</v>
      </c>
      <c r="I340" s="81">
        <f t="shared" si="58"/>
        <v>0</v>
      </c>
      <c r="J340" s="81"/>
      <c r="K340" s="81">
        <f t="shared" ref="K340" si="59">AVERAGE(K330:K338)</f>
        <v>4.2821239163265974E-2</v>
      </c>
      <c r="L340" s="81"/>
      <c r="M340" s="81">
        <f t="shared" ref="M340:N340" si="60">AVERAGE(M330:M338)</f>
        <v>4.1288503847850203E-5</v>
      </c>
      <c r="N340" s="81">
        <f t="shared" si="60"/>
        <v>3.4566437079554278E-2</v>
      </c>
      <c r="O340" s="81"/>
      <c r="P340" s="81"/>
      <c r="Q340" s="81"/>
      <c r="R340" s="197">
        <f>'Parameters, country spec'!AC29</f>
        <v>4.9370221696639315E-2</v>
      </c>
    </row>
    <row r="341" spans="1:18" x14ac:dyDescent="0.35">
      <c r="A341" s="195"/>
      <c r="B341" s="25" t="s">
        <v>350</v>
      </c>
      <c r="C341" s="26"/>
      <c r="D341" s="103"/>
      <c r="E341" s="103"/>
      <c r="F341" s="27">
        <f>SUMPRODUCT(F330:F340,$R$318:$R$328)</f>
        <v>0.27295603403166013</v>
      </c>
      <c r="G341" s="27">
        <f>SUMPRODUCT(G330:G340,$R$330:$R$340)</f>
        <v>5.900181131830199E-2</v>
      </c>
      <c r="H341" s="27">
        <f>SUMPRODUCT(H330:H340,$R$330:$R$340)</f>
        <v>2.4200108705371169E-2</v>
      </c>
      <c r="I341" s="27">
        <f>SUMPRODUCT(I330:I340,$R$330:$R$340)</f>
        <v>0</v>
      </c>
      <c r="J341" s="27"/>
      <c r="K341" s="27">
        <f>SUMPRODUCT(K330:K340,$R$330:$R$340)</f>
        <v>3.5440287705939065E-2</v>
      </c>
      <c r="L341" s="27"/>
      <c r="M341" s="27">
        <f>SUMPRODUCT(M330:M340,$R$330:$R$340)</f>
        <v>5.3567980596051587E-5</v>
      </c>
      <c r="N341" s="27">
        <f>SUMPRODUCT(N330:N340,$R$330:$R$340)</f>
        <v>3.3766219801911052E-2</v>
      </c>
      <c r="O341" s="27">
        <f>SUMPRODUCT(O330:O340,$R$330:$R$340)</f>
        <v>5.9186646819328038E-2</v>
      </c>
      <c r="P341" s="209">
        <f>SUMPRODUCT(P330:P340,R330:R340)</f>
        <v>8.5528380395897829E-3</v>
      </c>
      <c r="Q341" s="27">
        <f>SUMPRODUCT(Q330:Q340,$R$330:$R$340)</f>
        <v>5.2754553660622976E-2</v>
      </c>
      <c r="R341" s="198"/>
    </row>
    <row r="342" spans="1:18" x14ac:dyDescent="0.35">
      <c r="A342" s="22" t="s">
        <v>336</v>
      </c>
      <c r="B342" s="17" t="s">
        <v>218</v>
      </c>
      <c r="C342" s="17" t="s">
        <v>337</v>
      </c>
      <c r="D342" s="23" t="s">
        <v>125</v>
      </c>
      <c r="E342" s="23" t="s">
        <v>126</v>
      </c>
      <c r="F342" s="120">
        <f>SUM(G342:Q342)</f>
        <v>0.16697655355390587</v>
      </c>
      <c r="G342" s="80">
        <v>6.4330297358443381E-2</v>
      </c>
      <c r="H342" s="14">
        <v>2.7E-2</v>
      </c>
      <c r="I342" s="303">
        <v>0</v>
      </c>
      <c r="J342" s="14"/>
      <c r="K342" s="80">
        <v>4.0808656195462478E-2</v>
      </c>
      <c r="L342" s="14"/>
      <c r="M342" s="14">
        <v>0</v>
      </c>
      <c r="N342" s="80">
        <v>3.4837600000000003E-2</v>
      </c>
      <c r="O342" s="14"/>
      <c r="P342" s="14"/>
      <c r="R342" s="197">
        <f>'Parameters, country spec'!AD19</f>
        <v>0.24290688316534448</v>
      </c>
    </row>
    <row r="343" spans="1:18" x14ac:dyDescent="0.35">
      <c r="A343" s="22" t="s">
        <v>338</v>
      </c>
      <c r="B343" s="17" t="s">
        <v>222</v>
      </c>
      <c r="C343" s="17" t="s">
        <v>337</v>
      </c>
      <c r="D343" s="23" t="s">
        <v>125</v>
      </c>
      <c r="E343" s="23" t="s">
        <v>126</v>
      </c>
      <c r="F343" s="120">
        <f t="shared" ref="F343:F348" si="61">SUM(G343:Q343)</f>
        <v>0.15238359782823441</v>
      </c>
      <c r="G343" s="80">
        <v>6.2649071876813428E-2</v>
      </c>
      <c r="H343" s="14">
        <v>2.7E-2</v>
      </c>
      <c r="I343" s="303">
        <v>0</v>
      </c>
      <c r="J343" s="14"/>
      <c r="K343" s="80">
        <v>2.7896925951420983E-2</v>
      </c>
      <c r="L343" s="14"/>
      <c r="M343" s="14">
        <v>0</v>
      </c>
      <c r="N343" s="80">
        <v>3.4837600000000003E-2</v>
      </c>
      <c r="O343" s="14"/>
      <c r="P343" s="14"/>
      <c r="R343" s="197">
        <f>'Parameters, country spec'!AD20</f>
        <v>1.1405036092928852E-2</v>
      </c>
    </row>
    <row r="344" spans="1:18" x14ac:dyDescent="0.35">
      <c r="A344" s="22" t="s">
        <v>339</v>
      </c>
      <c r="B344" s="17" t="s">
        <v>226</v>
      </c>
      <c r="C344" s="17" t="s">
        <v>337</v>
      </c>
      <c r="D344" s="23" t="s">
        <v>125</v>
      </c>
      <c r="E344" s="23" t="s">
        <v>126</v>
      </c>
      <c r="F344" s="120">
        <f t="shared" si="61"/>
        <v>0.1652253697578368</v>
      </c>
      <c r="G344" s="80">
        <v>5.6711069109087971E-2</v>
      </c>
      <c r="H344" s="14">
        <v>2.7E-2</v>
      </c>
      <c r="I344" s="303">
        <v>0</v>
      </c>
      <c r="J344" s="14"/>
      <c r="K344" s="80">
        <v>4.6676700648748841E-2</v>
      </c>
      <c r="L344" s="14"/>
      <c r="M344" s="14">
        <v>0</v>
      </c>
      <c r="N344" s="80">
        <v>3.4837600000000003E-2</v>
      </c>
      <c r="O344" s="14"/>
      <c r="P344" s="14"/>
      <c r="R344" s="197">
        <f>'Parameters, country spec'!AD21</f>
        <v>2.6784717007595302E-2</v>
      </c>
    </row>
    <row r="345" spans="1:18" x14ac:dyDescent="0.35">
      <c r="A345" s="22" t="s">
        <v>340</v>
      </c>
      <c r="B345" s="17" t="s">
        <v>227</v>
      </c>
      <c r="C345" s="17" t="s">
        <v>337</v>
      </c>
      <c r="D345" s="23" t="s">
        <v>125</v>
      </c>
      <c r="E345" s="23" t="s">
        <v>126</v>
      </c>
      <c r="F345" s="120">
        <f t="shared" si="61"/>
        <v>0.14256180694350662</v>
      </c>
      <c r="G345" s="80">
        <v>4.99522666930306E-2</v>
      </c>
      <c r="H345" s="14">
        <v>2.7E-2</v>
      </c>
      <c r="I345" s="303">
        <v>0</v>
      </c>
      <c r="J345" s="14"/>
      <c r="K345" s="80">
        <v>3.0771940250476016E-2</v>
      </c>
      <c r="L345" s="14"/>
      <c r="M345" s="14">
        <v>0</v>
      </c>
      <c r="N345" s="80">
        <v>3.4837600000000003E-2</v>
      </c>
      <c r="O345" s="14"/>
      <c r="P345" s="14"/>
      <c r="R345" s="197">
        <f>'Parameters, country spec'!AD22</f>
        <v>1.2703483591450424E-3</v>
      </c>
    </row>
    <row r="346" spans="1:18" x14ac:dyDescent="0.35">
      <c r="A346" s="22" t="s">
        <v>341</v>
      </c>
      <c r="B346" s="17" t="s">
        <v>228</v>
      </c>
      <c r="C346" s="17" t="s">
        <v>337</v>
      </c>
      <c r="D346" s="23" t="s">
        <v>125</v>
      </c>
      <c r="E346" s="23" t="s">
        <v>126</v>
      </c>
      <c r="F346" s="120">
        <f t="shared" si="61"/>
        <v>0.16472897058825095</v>
      </c>
      <c r="G346" s="80">
        <v>7.3741076533864705E-2</v>
      </c>
      <c r="H346" s="14">
        <v>2.7E-2</v>
      </c>
      <c r="I346" s="303">
        <v>0</v>
      </c>
      <c r="J346" s="14"/>
      <c r="K346" s="80">
        <v>2.9150294054386239E-2</v>
      </c>
      <c r="L346" s="14"/>
      <c r="M346" s="14">
        <v>0</v>
      </c>
      <c r="N346" s="80">
        <v>3.4837600000000003E-2</v>
      </c>
      <c r="O346" s="14"/>
      <c r="P346" s="14"/>
      <c r="R346" s="197">
        <f>'Parameters, country spec'!AD23</f>
        <v>0.36306225085662319</v>
      </c>
    </row>
    <row r="347" spans="1:18" x14ac:dyDescent="0.35">
      <c r="A347" s="22" t="s">
        <v>342</v>
      </c>
      <c r="B347" s="17" t="s">
        <v>229</v>
      </c>
      <c r="C347" s="17" t="s">
        <v>343</v>
      </c>
      <c r="D347" s="23" t="s">
        <v>125</v>
      </c>
      <c r="E347" s="23" t="s">
        <v>126</v>
      </c>
      <c r="F347" s="120">
        <f t="shared" si="61"/>
        <v>0.11885153790044359</v>
      </c>
      <c r="G347" s="80">
        <v>0</v>
      </c>
      <c r="H347" s="14">
        <v>2.7E-2</v>
      </c>
      <c r="I347" s="303">
        <v>0</v>
      </c>
      <c r="J347" s="14"/>
      <c r="K347" s="80">
        <v>5.7013937900443575E-2</v>
      </c>
      <c r="L347" s="16"/>
      <c r="M347" s="14">
        <v>0</v>
      </c>
      <c r="N347" s="80">
        <v>3.4837600000000003E-2</v>
      </c>
      <c r="O347" s="14"/>
      <c r="P347" s="14"/>
      <c r="R347" s="197">
        <f>'Parameters, country spec'!AD24</f>
        <v>6.0909129056991628E-3</v>
      </c>
    </row>
    <row r="348" spans="1:18" x14ac:dyDescent="0.35">
      <c r="A348" s="22" t="s">
        <v>344</v>
      </c>
      <c r="B348" s="17" t="s">
        <v>230</v>
      </c>
      <c r="C348" s="17" t="s">
        <v>343</v>
      </c>
      <c r="D348" s="23" t="s">
        <v>125</v>
      </c>
      <c r="E348" s="23" t="s">
        <v>126</v>
      </c>
      <c r="F348" s="120">
        <f t="shared" si="61"/>
        <v>0.15030675448840647</v>
      </c>
      <c r="G348" s="80">
        <v>3.1688167106286749E-3</v>
      </c>
      <c r="H348" s="14">
        <v>2.7E-2</v>
      </c>
      <c r="I348" s="303">
        <v>0</v>
      </c>
      <c r="J348" s="14"/>
      <c r="K348" s="80">
        <v>8.530033777777779E-2</v>
      </c>
      <c r="L348" s="14"/>
      <c r="M348" s="14">
        <v>0</v>
      </c>
      <c r="N348" s="80">
        <v>3.4837600000000003E-2</v>
      </c>
      <c r="O348" s="14"/>
      <c r="P348" s="14"/>
      <c r="R348" s="197">
        <f>'Parameters, country spec'!AD25</f>
        <v>5.9832836689627722E-3</v>
      </c>
    </row>
    <row r="349" spans="1:18" x14ac:dyDescent="0.35">
      <c r="B349" s="18" t="s">
        <v>231</v>
      </c>
      <c r="C349" s="17" t="s">
        <v>345</v>
      </c>
      <c r="D349" s="23" t="str">
        <f>'Off-farm feed'!$D$74</f>
        <v>France, Germany, Poland</v>
      </c>
      <c r="E349" s="23"/>
      <c r="F349" s="120">
        <f>SUM(G349:Q349)</f>
        <v>0.27085685084992916</v>
      </c>
      <c r="G349" s="220">
        <f>'Off-farm feed'!$F$74</f>
        <v>0.11176753125767681</v>
      </c>
      <c r="H349" s="220">
        <f>'Off-farm feed'!$G$74</f>
        <v>1.3034482758620692E-2</v>
      </c>
      <c r="I349" s="220">
        <f>'Off-farm feed'!$H$74</f>
        <v>0</v>
      </c>
      <c r="J349" s="220">
        <f>'Off-farm feed'!$I$74</f>
        <v>0</v>
      </c>
      <c r="K349" s="220">
        <f>'Off-farm feed'!$J$74</f>
        <v>2.4688740026345454E-2</v>
      </c>
      <c r="L349" s="220">
        <f>'Off-farm feed'!$K$74</f>
        <v>0</v>
      </c>
      <c r="M349" s="220">
        <f>'Off-farm feed'!$L$74</f>
        <v>1.931759303794134E-4</v>
      </c>
      <c r="N349" s="220">
        <f>'Off-farm feed'!$M$74</f>
        <v>3.6802128767029069E-2</v>
      </c>
      <c r="O349" s="220">
        <f>'Off-farm feed'!$N$74</f>
        <v>0</v>
      </c>
      <c r="P349" s="220">
        <f>'Off-farm feed'!$O$74</f>
        <v>2.1170792109877701E-2</v>
      </c>
      <c r="Q349" s="220">
        <f>'Off-farm feed'!$P$74</f>
        <v>6.3200000000000006E-2</v>
      </c>
      <c r="R349" s="197">
        <f>'Parameters, country spec'!AD26</f>
        <v>9.4633897453147445E-2</v>
      </c>
    </row>
    <row r="350" spans="1:18" x14ac:dyDescent="0.35">
      <c r="B350" s="18" t="s">
        <v>346</v>
      </c>
      <c r="C350" s="17" t="s">
        <v>345</v>
      </c>
      <c r="D350" s="23" t="str">
        <f>'Off-farm feed'!$D$23</f>
        <v>Brazil, Argentina</v>
      </c>
      <c r="E350" s="23"/>
      <c r="F350" s="120">
        <f>SUM(G350:Q350)</f>
        <v>0.7061171705997602</v>
      </c>
      <c r="G350" s="220">
        <f>'Off-farm feed'!$F$23</f>
        <v>7.2632670993098931E-3</v>
      </c>
      <c r="H350" s="220">
        <f>'Off-farm feed'!$G$23</f>
        <v>2.1402439024390246E-2</v>
      </c>
      <c r="I350" s="220">
        <f>'Off-farm feed'!$H$23</f>
        <v>0</v>
      </c>
      <c r="J350" s="220">
        <f>'Off-farm feed'!$I$23</f>
        <v>0</v>
      </c>
      <c r="K350" s="220">
        <f>'Off-farm feed'!$J$23</f>
        <v>4.308361966433235E-2</v>
      </c>
      <c r="L350" s="220">
        <f>'Off-farm feed'!$K$23</f>
        <v>0</v>
      </c>
      <c r="M350" s="220">
        <f>'Off-farm feed'!$L$23</f>
        <v>1.7842060425123844E-4</v>
      </c>
      <c r="N350" s="220">
        <f>'Off-farm feed'!$M$23</f>
        <v>3.0432604948959403E-2</v>
      </c>
      <c r="O350" s="220">
        <f>'Off-farm feed'!$N$23</f>
        <v>0.31761120248475611</v>
      </c>
      <c r="P350" s="220">
        <f>'Off-farm feed'!$O$23</f>
        <v>3.5145616773760872E-2</v>
      </c>
      <c r="Q350" s="220">
        <f>'Off-farm feed'!$P$23</f>
        <v>0.251</v>
      </c>
      <c r="R350" s="197">
        <f>'Parameters, country spec'!AD27</f>
        <v>0.1863493678947572</v>
      </c>
    </row>
    <row r="351" spans="1:18" x14ac:dyDescent="0.35">
      <c r="B351" s="17" t="s">
        <v>233</v>
      </c>
      <c r="C351" s="17" t="s">
        <v>347</v>
      </c>
      <c r="D351" s="23" t="s">
        <v>125</v>
      </c>
      <c r="E351" s="23" t="s">
        <v>126</v>
      </c>
      <c r="F351" s="120"/>
      <c r="G351" s="108"/>
      <c r="H351" s="8"/>
      <c r="I351" s="107"/>
      <c r="J351" s="8"/>
      <c r="K351" s="108"/>
      <c r="L351" s="8"/>
      <c r="M351" s="8"/>
      <c r="N351" s="108"/>
      <c r="O351" s="8"/>
      <c r="P351" s="8"/>
      <c r="Q351" s="8"/>
      <c r="R351" s="197">
        <f>'Parameters, country spec'!AD28</f>
        <v>1.2143080899157416E-2</v>
      </c>
    </row>
    <row r="352" spans="1:18" x14ac:dyDescent="0.35">
      <c r="A352" s="83"/>
      <c r="B352" s="17" t="s">
        <v>348</v>
      </c>
      <c r="C352" s="84" t="s">
        <v>349</v>
      </c>
      <c r="D352" s="23" t="s">
        <v>125</v>
      </c>
      <c r="E352" s="23" t="s">
        <v>126</v>
      </c>
      <c r="F352" s="120">
        <f t="shared" ref="F352" si="62">SUM(G352:Q352)</f>
        <v>0.14998677790465326</v>
      </c>
      <c r="G352" s="81">
        <f t="shared" ref="G352:I352" si="63">AVERAGE(G342:G350)</f>
        <v>4.7731488515428383E-2</v>
      </c>
      <c r="H352" s="81">
        <f t="shared" si="63"/>
        <v>2.4826324642556769E-2</v>
      </c>
      <c r="I352" s="81">
        <f t="shared" si="63"/>
        <v>0</v>
      </c>
      <c r="J352" s="81"/>
      <c r="K352" s="81">
        <f t="shared" ref="K352" si="64">AVERAGE(K342:K350)</f>
        <v>4.2821239163265974E-2</v>
      </c>
      <c r="L352" s="81"/>
      <c r="M352" s="81">
        <f t="shared" ref="M352:N352" si="65">AVERAGE(M342:M350)</f>
        <v>4.1288503847850203E-5</v>
      </c>
      <c r="N352" s="81">
        <f t="shared" si="65"/>
        <v>3.4566437079554278E-2</v>
      </c>
      <c r="O352" s="81"/>
      <c r="P352" s="81"/>
      <c r="Q352" s="81"/>
      <c r="R352" s="197">
        <f>'Parameters, country spec'!AD29</f>
        <v>4.9370221696639315E-2</v>
      </c>
    </row>
    <row r="353" spans="1:18" x14ac:dyDescent="0.35">
      <c r="A353" s="195"/>
      <c r="B353" s="25" t="s">
        <v>350</v>
      </c>
      <c r="C353" s="26"/>
      <c r="D353" s="103"/>
      <c r="E353" s="103"/>
      <c r="F353" s="27">
        <f>SUMPRODUCT(F342:F352,$R$318:$R$328)</f>
        <v>0.27295603403166013</v>
      </c>
      <c r="G353" s="27">
        <f>SUMPRODUCT(G342:G352,$R$342:$R$352)</f>
        <v>5.900181131830199E-2</v>
      </c>
      <c r="H353" s="27">
        <f>SUMPRODUCT(H342:H352,$R$342:$R$352)</f>
        <v>2.4200108705371169E-2</v>
      </c>
      <c r="I353" s="27">
        <f>SUMPRODUCT(I342:I352,$R$342:$R$352)</f>
        <v>0</v>
      </c>
      <c r="J353" s="27"/>
      <c r="K353" s="27">
        <f>SUMPRODUCT(K342:K352,$R$342:$R$352)</f>
        <v>3.5440287705939065E-2</v>
      </c>
      <c r="L353" s="27"/>
      <c r="M353" s="27">
        <f>SUMPRODUCT(M342:M352,$R$342:$R$352)</f>
        <v>5.3567980596051587E-5</v>
      </c>
      <c r="N353" s="27">
        <f>SUMPRODUCT(N342:N352,$R$342:$R$352)</f>
        <v>3.3766219801911052E-2</v>
      </c>
      <c r="O353" s="27">
        <f>SUMPRODUCT(O342:O352,$R$342:$R$352)</f>
        <v>5.9186646819328038E-2</v>
      </c>
      <c r="P353" s="209">
        <f>SUMPRODUCT(P342:P352,R342:R352)</f>
        <v>8.5528380395897829E-3</v>
      </c>
      <c r="Q353" s="27">
        <f>SUMPRODUCT(Q342:Q352,$R$342:$R$352)</f>
        <v>5.2754553660622976E-2</v>
      </c>
      <c r="R353" s="198"/>
    </row>
    <row r="354" spans="1:18" x14ac:dyDescent="0.35">
      <c r="A354" s="22" t="s">
        <v>336</v>
      </c>
      <c r="B354" s="17" t="s">
        <v>218</v>
      </c>
      <c r="C354" s="17" t="s">
        <v>337</v>
      </c>
      <c r="D354" s="23" t="s">
        <v>127</v>
      </c>
      <c r="E354" s="23" t="s">
        <v>128</v>
      </c>
      <c r="F354" s="120">
        <f>SUM(G354:Q354)</f>
        <v>0.16697655355390587</v>
      </c>
      <c r="G354" s="80">
        <v>6.4330297358443381E-2</v>
      </c>
      <c r="H354" s="14">
        <v>2.7E-2</v>
      </c>
      <c r="I354" s="303">
        <v>0</v>
      </c>
      <c r="J354" s="14"/>
      <c r="K354" s="80">
        <v>4.0808656195462478E-2</v>
      </c>
      <c r="L354" s="14"/>
      <c r="M354" s="14">
        <v>0</v>
      </c>
      <c r="N354" s="80">
        <v>3.4837600000000003E-2</v>
      </c>
      <c r="O354" s="14"/>
      <c r="P354" s="14"/>
      <c r="R354" s="197">
        <f>'Parameters, country spec'!AE19</f>
        <v>0.24290688316534448</v>
      </c>
    </row>
    <row r="355" spans="1:18" x14ac:dyDescent="0.35">
      <c r="A355" s="22" t="s">
        <v>338</v>
      </c>
      <c r="B355" s="17" t="s">
        <v>222</v>
      </c>
      <c r="C355" s="17" t="s">
        <v>337</v>
      </c>
      <c r="D355" s="23" t="s">
        <v>127</v>
      </c>
      <c r="E355" s="23" t="s">
        <v>128</v>
      </c>
      <c r="F355" s="120">
        <f t="shared" ref="F355:F360" si="66">SUM(G355:Q355)</f>
        <v>0.15238359782823441</v>
      </c>
      <c r="G355" s="80">
        <v>6.2649071876813428E-2</v>
      </c>
      <c r="H355" s="14">
        <v>2.7E-2</v>
      </c>
      <c r="I355" s="303">
        <v>0</v>
      </c>
      <c r="J355" s="14"/>
      <c r="K355" s="80">
        <v>2.7896925951420983E-2</v>
      </c>
      <c r="L355" s="14"/>
      <c r="M355" s="14">
        <v>0</v>
      </c>
      <c r="N355" s="80">
        <v>3.4837600000000003E-2</v>
      </c>
      <c r="O355" s="14"/>
      <c r="P355" s="14"/>
      <c r="R355" s="197">
        <f>'Parameters, country spec'!AE20</f>
        <v>1.1405036092928852E-2</v>
      </c>
    </row>
    <row r="356" spans="1:18" x14ac:dyDescent="0.35">
      <c r="A356" s="22" t="s">
        <v>339</v>
      </c>
      <c r="B356" s="17" t="s">
        <v>226</v>
      </c>
      <c r="C356" s="17" t="s">
        <v>337</v>
      </c>
      <c r="D356" s="23" t="s">
        <v>127</v>
      </c>
      <c r="E356" s="23" t="s">
        <v>128</v>
      </c>
      <c r="F356" s="120">
        <f t="shared" si="66"/>
        <v>0.1652253697578368</v>
      </c>
      <c r="G356" s="80">
        <v>5.6711069109087971E-2</v>
      </c>
      <c r="H356" s="14">
        <v>2.7E-2</v>
      </c>
      <c r="I356" s="303">
        <v>0</v>
      </c>
      <c r="J356" s="14"/>
      <c r="K356" s="80">
        <v>4.6676700648748841E-2</v>
      </c>
      <c r="L356" s="14"/>
      <c r="M356" s="14">
        <v>0</v>
      </c>
      <c r="N356" s="80">
        <v>3.4837600000000003E-2</v>
      </c>
      <c r="O356" s="14"/>
      <c r="P356" s="14"/>
      <c r="R356" s="197">
        <f>'Parameters, country spec'!AE21</f>
        <v>2.6784717007595302E-2</v>
      </c>
    </row>
    <row r="357" spans="1:18" x14ac:dyDescent="0.35">
      <c r="A357" s="22" t="s">
        <v>340</v>
      </c>
      <c r="B357" s="17" t="s">
        <v>227</v>
      </c>
      <c r="C357" s="17" t="s">
        <v>337</v>
      </c>
      <c r="D357" s="23" t="s">
        <v>127</v>
      </c>
      <c r="E357" s="23" t="s">
        <v>128</v>
      </c>
      <c r="F357" s="120">
        <f t="shared" si="66"/>
        <v>0.14256180694350662</v>
      </c>
      <c r="G357" s="80">
        <v>4.99522666930306E-2</v>
      </c>
      <c r="H357" s="14">
        <v>2.7E-2</v>
      </c>
      <c r="I357" s="303">
        <v>0</v>
      </c>
      <c r="J357" s="14"/>
      <c r="K357" s="80">
        <v>3.0771940250476016E-2</v>
      </c>
      <c r="L357" s="14"/>
      <c r="M357" s="14">
        <v>0</v>
      </c>
      <c r="N357" s="80">
        <v>3.4837600000000003E-2</v>
      </c>
      <c r="O357" s="14"/>
      <c r="P357" s="14"/>
      <c r="R357" s="197">
        <f>'Parameters, country spec'!AE22</f>
        <v>1.2703483591450424E-3</v>
      </c>
    </row>
    <row r="358" spans="1:18" x14ac:dyDescent="0.35">
      <c r="A358" s="22" t="s">
        <v>341</v>
      </c>
      <c r="B358" s="17" t="s">
        <v>228</v>
      </c>
      <c r="C358" s="17" t="s">
        <v>337</v>
      </c>
      <c r="D358" s="23" t="s">
        <v>127</v>
      </c>
      <c r="E358" s="23" t="s">
        <v>128</v>
      </c>
      <c r="F358" s="120">
        <f t="shared" si="66"/>
        <v>0.16472897058825095</v>
      </c>
      <c r="G358" s="80">
        <v>7.3741076533864705E-2</v>
      </c>
      <c r="H358" s="14">
        <v>2.7E-2</v>
      </c>
      <c r="I358" s="303">
        <v>0</v>
      </c>
      <c r="J358" s="14"/>
      <c r="K358" s="80">
        <v>2.9150294054386239E-2</v>
      </c>
      <c r="L358" s="14"/>
      <c r="M358" s="14">
        <v>0</v>
      </c>
      <c r="N358" s="80">
        <v>3.4837600000000003E-2</v>
      </c>
      <c r="O358" s="14"/>
      <c r="P358" s="14"/>
      <c r="R358" s="197">
        <f>'Parameters, country spec'!AE23</f>
        <v>0.36306225085662319</v>
      </c>
    </row>
    <row r="359" spans="1:18" x14ac:dyDescent="0.35">
      <c r="A359" s="22" t="s">
        <v>342</v>
      </c>
      <c r="B359" s="17" t="s">
        <v>229</v>
      </c>
      <c r="C359" s="17" t="s">
        <v>343</v>
      </c>
      <c r="D359" s="23" t="s">
        <v>127</v>
      </c>
      <c r="E359" s="23" t="s">
        <v>128</v>
      </c>
      <c r="F359" s="120">
        <f t="shared" si="66"/>
        <v>0.11885153790044359</v>
      </c>
      <c r="G359" s="80">
        <v>0</v>
      </c>
      <c r="H359" s="14">
        <v>2.7E-2</v>
      </c>
      <c r="I359" s="303">
        <v>0</v>
      </c>
      <c r="J359" s="14"/>
      <c r="K359" s="80">
        <v>5.7013937900443575E-2</v>
      </c>
      <c r="L359" s="16"/>
      <c r="M359" s="14">
        <v>0</v>
      </c>
      <c r="N359" s="80">
        <v>3.4837600000000003E-2</v>
      </c>
      <c r="O359" s="14"/>
      <c r="P359" s="14"/>
      <c r="R359" s="197">
        <f>'Parameters, country spec'!AE24</f>
        <v>6.0909129056991628E-3</v>
      </c>
    </row>
    <row r="360" spans="1:18" x14ac:dyDescent="0.35">
      <c r="A360" s="22" t="s">
        <v>344</v>
      </c>
      <c r="B360" s="17" t="s">
        <v>230</v>
      </c>
      <c r="C360" s="17" t="s">
        <v>343</v>
      </c>
      <c r="D360" s="23" t="s">
        <v>127</v>
      </c>
      <c r="E360" s="23" t="s">
        <v>128</v>
      </c>
      <c r="F360" s="120">
        <f t="shared" si="66"/>
        <v>0.15030675448840647</v>
      </c>
      <c r="G360" s="80">
        <v>3.1688167106286749E-3</v>
      </c>
      <c r="H360" s="14">
        <v>2.7E-2</v>
      </c>
      <c r="I360" s="303">
        <v>0</v>
      </c>
      <c r="J360" s="14"/>
      <c r="K360" s="80">
        <v>8.530033777777779E-2</v>
      </c>
      <c r="L360" s="14"/>
      <c r="M360" s="14">
        <v>0</v>
      </c>
      <c r="N360" s="80">
        <v>3.4837600000000003E-2</v>
      </c>
      <c r="O360" s="14"/>
      <c r="P360" s="14"/>
      <c r="R360" s="197">
        <f>'Parameters, country spec'!AE25</f>
        <v>5.9832836689627722E-3</v>
      </c>
    </row>
    <row r="361" spans="1:18" x14ac:dyDescent="0.35">
      <c r="B361" s="18" t="s">
        <v>231</v>
      </c>
      <c r="C361" s="17" t="s">
        <v>345</v>
      </c>
      <c r="D361" s="23" t="str">
        <f>'Off-farm feed'!$D$74</f>
        <v>France, Germany, Poland</v>
      </c>
      <c r="E361" s="23"/>
      <c r="F361" s="120">
        <f>SUM(G361:Q361)</f>
        <v>0.27085685084992916</v>
      </c>
      <c r="G361" s="220">
        <f>'Off-farm feed'!$F$74</f>
        <v>0.11176753125767681</v>
      </c>
      <c r="H361" s="220">
        <f>'Off-farm feed'!$G$74</f>
        <v>1.3034482758620692E-2</v>
      </c>
      <c r="I361" s="220">
        <f>'Off-farm feed'!$H$74</f>
        <v>0</v>
      </c>
      <c r="J361" s="220">
        <f>'Off-farm feed'!$I$74</f>
        <v>0</v>
      </c>
      <c r="K361" s="220">
        <f>'Off-farm feed'!$J$74</f>
        <v>2.4688740026345454E-2</v>
      </c>
      <c r="L361" s="220">
        <f>'Off-farm feed'!$K$74</f>
        <v>0</v>
      </c>
      <c r="M361" s="220">
        <f>'Off-farm feed'!$L$74</f>
        <v>1.931759303794134E-4</v>
      </c>
      <c r="N361" s="220">
        <f>'Off-farm feed'!$M$74</f>
        <v>3.6802128767029069E-2</v>
      </c>
      <c r="O361" s="220">
        <f>'Off-farm feed'!$N$74</f>
        <v>0</v>
      </c>
      <c r="P361" s="220">
        <f>'Off-farm feed'!$O$74</f>
        <v>2.1170792109877701E-2</v>
      </c>
      <c r="Q361" s="220">
        <f>'Off-farm feed'!$P$74</f>
        <v>6.3200000000000006E-2</v>
      </c>
      <c r="R361" s="197">
        <f>'Parameters, country spec'!AE26</f>
        <v>9.4633897453147445E-2</v>
      </c>
    </row>
    <row r="362" spans="1:18" x14ac:dyDescent="0.35">
      <c r="B362" s="18" t="s">
        <v>346</v>
      </c>
      <c r="C362" s="17" t="s">
        <v>345</v>
      </c>
      <c r="D362" s="23" t="str">
        <f>'Off-farm feed'!$D$23</f>
        <v>Brazil, Argentina</v>
      </c>
      <c r="E362" s="23"/>
      <c r="F362" s="120">
        <f>SUM(G362:Q362)</f>
        <v>0.7061171705997602</v>
      </c>
      <c r="G362" s="220">
        <f>'Off-farm feed'!$F$23</f>
        <v>7.2632670993098931E-3</v>
      </c>
      <c r="H362" s="220">
        <f>'Off-farm feed'!$G$23</f>
        <v>2.1402439024390246E-2</v>
      </c>
      <c r="I362" s="220">
        <f>'Off-farm feed'!$H$23</f>
        <v>0</v>
      </c>
      <c r="J362" s="220">
        <f>'Off-farm feed'!$I$23</f>
        <v>0</v>
      </c>
      <c r="K362" s="220">
        <f>'Off-farm feed'!$J$23</f>
        <v>4.308361966433235E-2</v>
      </c>
      <c r="L362" s="220">
        <f>'Off-farm feed'!$K$23</f>
        <v>0</v>
      </c>
      <c r="M362" s="220">
        <f>'Off-farm feed'!$L$23</f>
        <v>1.7842060425123844E-4</v>
      </c>
      <c r="N362" s="220">
        <f>'Off-farm feed'!$M$23</f>
        <v>3.0432604948959403E-2</v>
      </c>
      <c r="O362" s="220">
        <f>'Off-farm feed'!$N$23</f>
        <v>0.31761120248475611</v>
      </c>
      <c r="P362" s="220">
        <f>'Off-farm feed'!$O$23</f>
        <v>3.5145616773760872E-2</v>
      </c>
      <c r="Q362" s="220">
        <f>'Off-farm feed'!$P$23</f>
        <v>0.251</v>
      </c>
      <c r="R362" s="197">
        <f>'Parameters, country spec'!AE27</f>
        <v>0.1863493678947572</v>
      </c>
    </row>
    <row r="363" spans="1:18" x14ac:dyDescent="0.35">
      <c r="B363" s="17" t="s">
        <v>233</v>
      </c>
      <c r="C363" s="17" t="s">
        <v>347</v>
      </c>
      <c r="D363" s="23" t="s">
        <v>127</v>
      </c>
      <c r="E363" s="23" t="s">
        <v>128</v>
      </c>
      <c r="F363" s="120"/>
      <c r="G363" s="108"/>
      <c r="H363" s="8"/>
      <c r="I363" s="107"/>
      <c r="J363" s="8"/>
      <c r="K363" s="108"/>
      <c r="L363" s="8"/>
      <c r="M363" s="8"/>
      <c r="N363" s="108"/>
      <c r="O363" s="8"/>
      <c r="P363" s="8"/>
      <c r="Q363" s="8"/>
      <c r="R363" s="197">
        <f>'Parameters, country spec'!AE28</f>
        <v>1.2143080899157416E-2</v>
      </c>
    </row>
    <row r="364" spans="1:18" x14ac:dyDescent="0.35">
      <c r="A364" s="83"/>
      <c r="B364" s="17" t="s">
        <v>348</v>
      </c>
      <c r="C364" s="84" t="s">
        <v>349</v>
      </c>
      <c r="D364" s="23" t="s">
        <v>127</v>
      </c>
      <c r="E364" s="23" t="s">
        <v>128</v>
      </c>
      <c r="F364" s="120">
        <f t="shared" ref="F364" si="67">SUM(G364:Q364)</f>
        <v>0.14998677790465326</v>
      </c>
      <c r="G364" s="81">
        <f t="shared" ref="G364:I364" si="68">AVERAGE(G354:G362)</f>
        <v>4.7731488515428383E-2</v>
      </c>
      <c r="H364" s="81">
        <f t="shared" si="68"/>
        <v>2.4826324642556769E-2</v>
      </c>
      <c r="I364" s="81">
        <f t="shared" si="68"/>
        <v>0</v>
      </c>
      <c r="J364" s="81"/>
      <c r="K364" s="81">
        <f t="shared" ref="K364" si="69">AVERAGE(K354:K362)</f>
        <v>4.2821239163265974E-2</v>
      </c>
      <c r="L364" s="81"/>
      <c r="M364" s="81">
        <f t="shared" ref="M364:N364" si="70">AVERAGE(M354:M362)</f>
        <v>4.1288503847850203E-5</v>
      </c>
      <c r="N364" s="81">
        <f t="shared" si="70"/>
        <v>3.4566437079554278E-2</v>
      </c>
      <c r="O364" s="81"/>
      <c r="P364" s="81"/>
      <c r="Q364" s="81"/>
      <c r="R364" s="197">
        <f>'Parameters, country spec'!AE29</f>
        <v>4.9370221696639315E-2</v>
      </c>
    </row>
    <row r="365" spans="1:18" x14ac:dyDescent="0.35">
      <c r="A365" s="195"/>
      <c r="B365" s="25" t="s">
        <v>350</v>
      </c>
      <c r="C365" s="26"/>
      <c r="D365" s="103"/>
      <c r="E365" s="103"/>
      <c r="F365" s="27">
        <f>SUMPRODUCT(F354:F364,$R$354:$R$364)</f>
        <v>0.27295603403166013</v>
      </c>
      <c r="G365" s="27">
        <f>SUMPRODUCT(G354:G364,$R$354:$R$364)</f>
        <v>5.900181131830199E-2</v>
      </c>
      <c r="H365" s="27">
        <f>SUMPRODUCT(H354:H364,$R$354:$R$364)</f>
        <v>2.4200108705371169E-2</v>
      </c>
      <c r="I365" s="27">
        <f>SUMPRODUCT(I354:I364,$R$354:$R$364)</f>
        <v>0</v>
      </c>
      <c r="J365" s="27"/>
      <c r="K365" s="27">
        <f>SUMPRODUCT(K354:K364,$R$354:$R$364)</f>
        <v>3.5440287705939065E-2</v>
      </c>
      <c r="L365" s="27"/>
      <c r="M365" s="27">
        <f>SUMPRODUCT(M354:M364,$R$354:$R$364)</f>
        <v>5.3567980596051587E-5</v>
      </c>
      <c r="N365" s="27">
        <f>SUMPRODUCT(N354:N364,$R$354:$R$364)</f>
        <v>3.3766219801911052E-2</v>
      </c>
      <c r="O365" s="27">
        <f>SUMPRODUCT(O354:O364,$R$354:$R$364)</f>
        <v>5.9186646819328038E-2</v>
      </c>
      <c r="P365" s="209">
        <f>SUMPRODUCT(P354:P364,R354:R364)</f>
        <v>8.5528380395897829E-3</v>
      </c>
      <c r="Q365" s="27">
        <f>SUMPRODUCT(Q354:Q364,$R$354:$R$364)</f>
        <v>5.2754553660622976E-2</v>
      </c>
      <c r="R365" s="198"/>
    </row>
    <row r="366" spans="1:18" x14ac:dyDescent="0.35">
      <c r="F366" s="17"/>
    </row>
    <row r="367" spans="1:18" x14ac:dyDescent="0.35">
      <c r="F367" s="17"/>
    </row>
    <row r="368" spans="1:18" x14ac:dyDescent="0.35">
      <c r="F368" s="17"/>
    </row>
    <row r="369" spans="6:6" x14ac:dyDescent="0.35">
      <c r="F369" s="17"/>
    </row>
    <row r="370" spans="6:6" x14ac:dyDescent="0.35">
      <c r="F370" s="17"/>
    </row>
    <row r="371" spans="6:6" x14ac:dyDescent="0.35">
      <c r="F371" s="17"/>
    </row>
    <row r="372" spans="6:6" x14ac:dyDescent="0.35">
      <c r="F372" s="17"/>
    </row>
    <row r="373" spans="6:6" x14ac:dyDescent="0.35">
      <c r="F373" s="17"/>
    </row>
    <row r="374" spans="6:6" x14ac:dyDescent="0.35">
      <c r="F374" s="17"/>
    </row>
    <row r="375" spans="6:6" x14ac:dyDescent="0.35">
      <c r="F375" s="17"/>
    </row>
    <row r="376" spans="6:6" x14ac:dyDescent="0.35">
      <c r="F376" s="17"/>
    </row>
    <row r="377" spans="6:6" x14ac:dyDescent="0.35">
      <c r="F377" s="17"/>
    </row>
    <row r="378" spans="6:6" x14ac:dyDescent="0.35">
      <c r="F378" s="17"/>
    </row>
    <row r="379" spans="6:6" x14ac:dyDescent="0.35">
      <c r="F379" s="17"/>
    </row>
    <row r="380" spans="6:6" x14ac:dyDescent="0.35">
      <c r="F380" s="17"/>
    </row>
    <row r="381" spans="6:6" x14ac:dyDescent="0.35">
      <c r="F381" s="17"/>
    </row>
    <row r="382" spans="6:6" x14ac:dyDescent="0.35">
      <c r="F382" s="17"/>
    </row>
    <row r="383" spans="6:6" x14ac:dyDescent="0.35">
      <c r="F383" s="17"/>
    </row>
    <row r="384" spans="6:6" x14ac:dyDescent="0.35">
      <c r="F384" s="17"/>
    </row>
    <row r="385" spans="6:6" x14ac:dyDescent="0.35">
      <c r="F385" s="17"/>
    </row>
    <row r="386" spans="6:6" x14ac:dyDescent="0.35">
      <c r="F386" s="17"/>
    </row>
    <row r="387" spans="6:6" x14ac:dyDescent="0.35">
      <c r="F387" s="17"/>
    </row>
    <row r="388" spans="6:6" x14ac:dyDescent="0.35">
      <c r="F388" s="17"/>
    </row>
    <row r="389" spans="6:6" x14ac:dyDescent="0.35">
      <c r="F389" s="17"/>
    </row>
    <row r="390" spans="6:6" x14ac:dyDescent="0.35">
      <c r="F390" s="17"/>
    </row>
    <row r="391" spans="6:6" x14ac:dyDescent="0.35">
      <c r="F391" s="17"/>
    </row>
    <row r="392" spans="6:6" x14ac:dyDescent="0.35">
      <c r="F392" s="17"/>
    </row>
    <row r="393" spans="6:6" x14ac:dyDescent="0.35">
      <c r="F393" s="17"/>
    </row>
    <row r="394" spans="6:6" x14ac:dyDescent="0.35">
      <c r="F394" s="17"/>
    </row>
    <row r="395" spans="6:6" x14ac:dyDescent="0.35">
      <c r="F395" s="17"/>
    </row>
    <row r="396" spans="6:6" x14ac:dyDescent="0.35">
      <c r="F396" s="17"/>
    </row>
    <row r="397" spans="6:6" x14ac:dyDescent="0.35">
      <c r="F397" s="17"/>
    </row>
    <row r="398" spans="6:6" x14ac:dyDescent="0.35">
      <c r="F398" s="17"/>
    </row>
    <row r="399" spans="6:6" x14ac:dyDescent="0.35">
      <c r="F399" s="17"/>
    </row>
    <row r="400" spans="6:6" x14ac:dyDescent="0.35">
      <c r="F400" s="17"/>
    </row>
    <row r="401" spans="6:6" x14ac:dyDescent="0.35">
      <c r="F401" s="17"/>
    </row>
    <row r="402" spans="6:6" x14ac:dyDescent="0.35">
      <c r="F402" s="17"/>
    </row>
    <row r="403" spans="6:6" x14ac:dyDescent="0.35">
      <c r="F403" s="17"/>
    </row>
    <row r="404" spans="6:6" x14ac:dyDescent="0.35">
      <c r="F404" s="17"/>
    </row>
    <row r="405" spans="6:6" x14ac:dyDescent="0.35">
      <c r="F405" s="17"/>
    </row>
    <row r="406" spans="6:6" x14ac:dyDescent="0.35">
      <c r="F406" s="17"/>
    </row>
    <row r="407" spans="6:6" x14ac:dyDescent="0.35">
      <c r="F407" s="17"/>
    </row>
    <row r="408" spans="6:6" x14ac:dyDescent="0.35">
      <c r="F408" s="17"/>
    </row>
    <row r="409" spans="6:6" x14ac:dyDescent="0.35">
      <c r="F409" s="17"/>
    </row>
    <row r="410" spans="6:6" x14ac:dyDescent="0.35">
      <c r="F410" s="17"/>
    </row>
    <row r="411" spans="6:6" x14ac:dyDescent="0.35">
      <c r="F411" s="17"/>
    </row>
    <row r="412" spans="6:6" x14ac:dyDescent="0.35">
      <c r="F412" s="17"/>
    </row>
    <row r="413" spans="6:6" x14ac:dyDescent="0.35">
      <c r="F413" s="17"/>
    </row>
    <row r="414" spans="6:6" x14ac:dyDescent="0.35">
      <c r="F414" s="17"/>
    </row>
    <row r="415" spans="6:6" x14ac:dyDescent="0.35">
      <c r="F415" s="17"/>
    </row>
    <row r="416" spans="6:6" x14ac:dyDescent="0.35">
      <c r="F416" s="17"/>
    </row>
    <row r="417" spans="6:6" x14ac:dyDescent="0.35">
      <c r="F417" s="17"/>
    </row>
    <row r="418" spans="6:6" x14ac:dyDescent="0.35">
      <c r="F418" s="17"/>
    </row>
    <row r="419" spans="6:6" x14ac:dyDescent="0.35">
      <c r="F419" s="17"/>
    </row>
    <row r="420" spans="6:6" x14ac:dyDescent="0.35">
      <c r="F420" s="17"/>
    </row>
    <row r="421" spans="6:6" x14ac:dyDescent="0.35">
      <c r="F421" s="17"/>
    </row>
    <row r="422" spans="6:6" x14ac:dyDescent="0.35">
      <c r="F422" s="17"/>
    </row>
    <row r="423" spans="6:6" x14ac:dyDescent="0.35">
      <c r="F423" s="17"/>
    </row>
    <row r="424" spans="6:6" x14ac:dyDescent="0.35">
      <c r="F424" s="17"/>
    </row>
    <row r="425" spans="6:6" x14ac:dyDescent="0.35">
      <c r="F425" s="17"/>
    </row>
    <row r="426" spans="6:6" x14ac:dyDescent="0.35">
      <c r="F426" s="17"/>
    </row>
    <row r="427" spans="6:6" x14ac:dyDescent="0.35">
      <c r="F427" s="17"/>
    </row>
    <row r="428" spans="6:6" x14ac:dyDescent="0.35">
      <c r="F428" s="17"/>
    </row>
    <row r="429" spans="6:6" x14ac:dyDescent="0.35">
      <c r="F429" s="17"/>
    </row>
    <row r="430" spans="6:6" x14ac:dyDescent="0.35">
      <c r="F430" s="17"/>
    </row>
    <row r="431" spans="6:6" x14ac:dyDescent="0.35">
      <c r="F431" s="17"/>
    </row>
    <row r="432" spans="6:6" x14ac:dyDescent="0.35">
      <c r="F432" s="17"/>
    </row>
    <row r="433" spans="6:6" x14ac:dyDescent="0.35">
      <c r="F433" s="17"/>
    </row>
    <row r="434" spans="6:6" x14ac:dyDescent="0.35">
      <c r="F434" s="17"/>
    </row>
    <row r="435" spans="6:6" x14ac:dyDescent="0.35">
      <c r="F435" s="17"/>
    </row>
    <row r="436" spans="6:6" x14ac:dyDescent="0.35">
      <c r="F436" s="17"/>
    </row>
    <row r="437" spans="6:6" x14ac:dyDescent="0.35">
      <c r="F437" s="17"/>
    </row>
    <row r="438" spans="6:6" x14ac:dyDescent="0.35">
      <c r="F438" s="17"/>
    </row>
    <row r="439" spans="6:6" x14ac:dyDescent="0.35">
      <c r="F439" s="17"/>
    </row>
    <row r="440" spans="6:6" x14ac:dyDescent="0.35">
      <c r="F440" s="17"/>
    </row>
    <row r="441" spans="6:6" x14ac:dyDescent="0.35">
      <c r="F441" s="17"/>
    </row>
    <row r="442" spans="6:6" x14ac:dyDescent="0.35">
      <c r="F442" s="17"/>
    </row>
    <row r="443" spans="6:6" x14ac:dyDescent="0.35">
      <c r="F443" s="17"/>
    </row>
    <row r="444" spans="6:6" x14ac:dyDescent="0.35">
      <c r="F444" s="17"/>
    </row>
    <row r="445" spans="6:6" x14ac:dyDescent="0.35">
      <c r="F445" s="17"/>
    </row>
    <row r="446" spans="6:6" x14ac:dyDescent="0.35">
      <c r="F446" s="17"/>
    </row>
    <row r="447" spans="6:6" x14ac:dyDescent="0.35">
      <c r="F447" s="17"/>
    </row>
    <row r="448" spans="6:6" x14ac:dyDescent="0.35">
      <c r="F448" s="17"/>
    </row>
    <row r="449" spans="6:6" x14ac:dyDescent="0.35">
      <c r="F449" s="17"/>
    </row>
    <row r="450" spans="6:6" x14ac:dyDescent="0.35">
      <c r="F450" s="17"/>
    </row>
    <row r="451" spans="6:6" x14ac:dyDescent="0.35">
      <c r="F451" s="17"/>
    </row>
    <row r="452" spans="6:6" x14ac:dyDescent="0.35">
      <c r="F452" s="17"/>
    </row>
    <row r="453" spans="6:6" x14ac:dyDescent="0.35">
      <c r="F453" s="17"/>
    </row>
    <row r="454" spans="6:6" x14ac:dyDescent="0.35">
      <c r="F454" s="17"/>
    </row>
    <row r="455" spans="6:6" x14ac:dyDescent="0.35">
      <c r="F455" s="17"/>
    </row>
    <row r="456" spans="6:6" x14ac:dyDescent="0.35">
      <c r="F456" s="17"/>
    </row>
    <row r="457" spans="6:6" x14ac:dyDescent="0.35">
      <c r="F457" s="17"/>
    </row>
    <row r="458" spans="6:6" x14ac:dyDescent="0.35">
      <c r="F458" s="17"/>
    </row>
    <row r="459" spans="6:6" x14ac:dyDescent="0.35">
      <c r="F459" s="17"/>
    </row>
    <row r="460" spans="6:6" x14ac:dyDescent="0.35">
      <c r="F460" s="17"/>
    </row>
    <row r="461" spans="6:6" x14ac:dyDescent="0.35">
      <c r="F461" s="17"/>
    </row>
    <row r="462" spans="6:6" x14ac:dyDescent="0.35">
      <c r="F462" s="17"/>
    </row>
    <row r="463" spans="6:6" x14ac:dyDescent="0.35">
      <c r="F463" s="17"/>
    </row>
    <row r="464" spans="6:6" x14ac:dyDescent="0.35">
      <c r="F464" s="17"/>
    </row>
    <row r="465" spans="6:6" x14ac:dyDescent="0.35">
      <c r="F465" s="17"/>
    </row>
    <row r="466" spans="6:6" x14ac:dyDescent="0.35">
      <c r="F466" s="17"/>
    </row>
    <row r="467" spans="6:6" x14ac:dyDescent="0.35">
      <c r="F467" s="17"/>
    </row>
    <row r="468" spans="6:6" x14ac:dyDescent="0.35">
      <c r="F468" s="17"/>
    </row>
    <row r="469" spans="6:6" x14ac:dyDescent="0.35">
      <c r="F469" s="17"/>
    </row>
    <row r="470" spans="6:6" x14ac:dyDescent="0.35">
      <c r="F470" s="17"/>
    </row>
    <row r="471" spans="6:6" x14ac:dyDescent="0.35">
      <c r="F471" s="17"/>
    </row>
    <row r="472" spans="6:6" x14ac:dyDescent="0.35">
      <c r="F472" s="17"/>
    </row>
    <row r="473" spans="6:6" x14ac:dyDescent="0.35">
      <c r="F473" s="17"/>
    </row>
    <row r="474" spans="6:6" x14ac:dyDescent="0.35">
      <c r="F474" s="17"/>
    </row>
    <row r="475" spans="6:6" x14ac:dyDescent="0.35">
      <c r="F475" s="17"/>
    </row>
    <row r="476" spans="6:6" x14ac:dyDescent="0.35">
      <c r="F476" s="17"/>
    </row>
    <row r="477" spans="6:6" x14ac:dyDescent="0.35">
      <c r="F477" s="17"/>
    </row>
    <row r="478" spans="6:6" x14ac:dyDescent="0.35">
      <c r="F478" s="17"/>
    </row>
    <row r="479" spans="6:6" x14ac:dyDescent="0.35">
      <c r="F479" s="1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4" tint="0.79998168889431442"/>
  </sheetPr>
  <dimension ref="A2:R365"/>
  <sheetViews>
    <sheetView topLeftCell="A2" zoomScale="74" zoomScaleNormal="80" workbookViewId="0">
      <selection activeCell="F18" sqref="F18"/>
    </sheetView>
  </sheetViews>
  <sheetFormatPr defaultColWidth="8.81640625" defaultRowHeight="14.5" x14ac:dyDescent="0.35"/>
  <cols>
    <col min="1" max="1" width="8.54296875" customWidth="1"/>
    <col min="2" max="2" width="30.453125" customWidth="1"/>
    <col min="3" max="3" width="19" customWidth="1"/>
    <col min="4" max="4" width="12.81640625" customWidth="1"/>
    <col min="5" max="5" width="11.453125" customWidth="1"/>
    <col min="6" max="10" width="12.54296875" customWidth="1"/>
    <col min="11" max="11" width="14.453125" customWidth="1"/>
    <col min="12" max="17" width="12.54296875" customWidth="1"/>
  </cols>
  <sheetData>
    <row r="2" spans="1:18" ht="21" x14ac:dyDescent="0.5">
      <c r="A2" s="2" t="s">
        <v>351</v>
      </c>
      <c r="F2" t="s">
        <v>327</v>
      </c>
      <c r="O2" t="s">
        <v>328</v>
      </c>
    </row>
    <row r="3" spans="1:18" x14ac:dyDescent="0.35">
      <c r="H3" s="9"/>
      <c r="I3" s="9"/>
      <c r="J3" s="9"/>
      <c r="K3" s="9"/>
      <c r="L3" s="9"/>
      <c r="M3" s="9"/>
      <c r="N3" s="9"/>
      <c r="P3" s="9"/>
    </row>
    <row r="4" spans="1:18" ht="29" x14ac:dyDescent="0.35">
      <c r="A4" s="206" t="s">
        <v>329</v>
      </c>
      <c r="B4" s="189"/>
      <c r="C4" s="189"/>
      <c r="D4" s="189"/>
      <c r="E4" s="189"/>
      <c r="F4" s="190" t="s">
        <v>137</v>
      </c>
      <c r="G4" s="190" t="s">
        <v>138</v>
      </c>
      <c r="H4" s="191"/>
      <c r="I4" s="190" t="s">
        <v>139</v>
      </c>
      <c r="J4" s="104"/>
      <c r="K4" s="190" t="s">
        <v>140</v>
      </c>
      <c r="L4" s="104"/>
      <c r="M4" s="104"/>
      <c r="N4" s="104"/>
      <c r="O4" s="105" t="s">
        <v>141</v>
      </c>
      <c r="P4" s="105" t="s">
        <v>142</v>
      </c>
      <c r="Q4" s="192" t="s">
        <v>143</v>
      </c>
      <c r="R4" s="190" t="s">
        <v>330</v>
      </c>
    </row>
    <row r="5" spans="1:18" ht="57" customHeight="1" x14ac:dyDescent="0.35">
      <c r="A5" s="98" t="s">
        <v>59</v>
      </c>
      <c r="B5" s="98" t="s">
        <v>329</v>
      </c>
      <c r="C5" s="98" t="s">
        <v>331</v>
      </c>
      <c r="D5" s="98" t="s">
        <v>62</v>
      </c>
      <c r="E5" s="194" t="s">
        <v>63</v>
      </c>
      <c r="F5" s="193"/>
      <c r="G5" s="99" t="s">
        <v>33</v>
      </c>
      <c r="H5" s="99" t="s">
        <v>34</v>
      </c>
      <c r="I5" s="99" t="s">
        <v>332</v>
      </c>
      <c r="J5" s="99" t="s">
        <v>333</v>
      </c>
      <c r="K5" s="99" t="s">
        <v>152</v>
      </c>
      <c r="L5" s="99" t="s">
        <v>153</v>
      </c>
      <c r="M5" s="99" t="s">
        <v>154</v>
      </c>
      <c r="N5" s="99" t="s">
        <v>155</v>
      </c>
      <c r="O5" s="99" t="s">
        <v>156</v>
      </c>
      <c r="P5" s="99" t="s">
        <v>334</v>
      </c>
      <c r="Q5" s="194" t="s">
        <v>335</v>
      </c>
      <c r="R5" s="99"/>
    </row>
    <row r="6" spans="1:18" x14ac:dyDescent="0.35">
      <c r="A6" s="22" t="s">
        <v>336</v>
      </c>
      <c r="B6" s="17" t="s">
        <v>218</v>
      </c>
      <c r="C6" s="17" t="s">
        <v>337</v>
      </c>
      <c r="D6" s="23" t="s">
        <v>81</v>
      </c>
      <c r="E6" s="23" t="s">
        <v>82</v>
      </c>
      <c r="F6" s="221">
        <f>SUM(G6:Q6)</f>
        <v>2.0655355021385218E-4</v>
      </c>
      <c r="G6" s="100">
        <v>8.0930691575108743E-5</v>
      </c>
      <c r="H6" s="101">
        <v>9.5000000000000005E-5</v>
      </c>
      <c r="I6" s="16"/>
      <c r="J6" s="14"/>
      <c r="K6" s="102">
        <v>1.8076858638743458E-5</v>
      </c>
      <c r="L6" s="102"/>
      <c r="M6" s="102">
        <v>0</v>
      </c>
      <c r="N6" s="102">
        <v>1.2546000000000003E-5</v>
      </c>
      <c r="O6" s="102"/>
      <c r="P6" s="14"/>
      <c r="Q6" s="14"/>
      <c r="R6" s="197">
        <f>'Parameters, country spec'!B19</f>
        <v>0.1388019695150714</v>
      </c>
    </row>
    <row r="7" spans="1:18" x14ac:dyDescent="0.35">
      <c r="A7" s="22" t="s">
        <v>338</v>
      </c>
      <c r="B7" s="17" t="s">
        <v>222</v>
      </c>
      <c r="C7" s="17" t="s">
        <v>337</v>
      </c>
      <c r="D7" s="23" t="s">
        <v>81</v>
      </c>
      <c r="E7" s="23" t="s">
        <v>82</v>
      </c>
      <c r="F7" s="221">
        <f t="shared" ref="F7:F16" si="0">SUM(G7:Q7)</f>
        <v>1.9871902439798405E-4</v>
      </c>
      <c r="G7" s="100">
        <v>7.8815626877616721E-5</v>
      </c>
      <c r="H7" s="101">
        <v>9.5000000000000005E-5</v>
      </c>
      <c r="I7" s="16"/>
      <c r="J7" s="14"/>
      <c r="K7" s="102">
        <v>1.2357397520367332E-5</v>
      </c>
      <c r="L7" s="102"/>
      <c r="M7" s="102">
        <v>0</v>
      </c>
      <c r="N7" s="102">
        <v>1.2546000000000003E-5</v>
      </c>
      <c r="O7" s="102"/>
      <c r="P7" s="14"/>
      <c r="Q7" s="14"/>
      <c r="R7" s="197">
        <f>'Parameters, country spec'!B20</f>
        <v>0.33511299379537363</v>
      </c>
    </row>
    <row r="8" spans="1:18" x14ac:dyDescent="0.35">
      <c r="A8" s="22" t="s">
        <v>339</v>
      </c>
      <c r="B8" s="17" t="s">
        <v>226</v>
      </c>
      <c r="C8" s="17" t="s">
        <v>337</v>
      </c>
      <c r="D8" s="23" t="s">
        <v>81</v>
      </c>
      <c r="E8" s="23" t="s">
        <v>82</v>
      </c>
      <c r="F8" s="221">
        <f t="shared" si="0"/>
        <v>1.9956753055993292E-4</v>
      </c>
      <c r="G8" s="100">
        <v>7.134532609711123E-5</v>
      </c>
      <c r="H8" s="101">
        <v>9.5000000000000005E-5</v>
      </c>
      <c r="I8" s="16"/>
      <c r="J8" s="14"/>
      <c r="K8" s="102">
        <v>2.0676204462821701E-5</v>
      </c>
      <c r="L8" s="102"/>
      <c r="M8" s="102">
        <v>0</v>
      </c>
      <c r="N8" s="102">
        <v>1.2546000000000003E-5</v>
      </c>
      <c r="O8" s="102"/>
      <c r="P8" s="14"/>
      <c r="Q8" s="14"/>
      <c r="R8" s="197">
        <f>'Parameters, country spec'!B21</f>
        <v>1.037956303452368E-2</v>
      </c>
    </row>
    <row r="9" spans="1:18" x14ac:dyDescent="0.35">
      <c r="A9" s="22" t="s">
        <v>340</v>
      </c>
      <c r="B9" s="17" t="s">
        <v>227</v>
      </c>
      <c r="C9" s="17" t="s">
        <v>337</v>
      </c>
      <c r="D9" s="23" t="s">
        <v>81</v>
      </c>
      <c r="E9" s="23" t="s">
        <v>82</v>
      </c>
      <c r="F9" s="221">
        <f t="shared" si="0"/>
        <v>1.840193507270561E-4</v>
      </c>
      <c r="G9" s="100">
        <v>6.2842418816841267E-5</v>
      </c>
      <c r="H9" s="101">
        <v>9.5000000000000005E-5</v>
      </c>
      <c r="I9" s="14"/>
      <c r="J9" s="14"/>
      <c r="K9" s="102">
        <v>1.3630931910214812E-5</v>
      </c>
      <c r="L9" s="102"/>
      <c r="M9" s="102">
        <v>0</v>
      </c>
      <c r="N9" s="102">
        <v>1.2546000000000003E-5</v>
      </c>
      <c r="O9" s="102"/>
      <c r="P9" s="14"/>
      <c r="Q9" s="14"/>
      <c r="R9" s="197">
        <f>'Parameters, country spec'!B22</f>
        <v>2.539898270383906E-2</v>
      </c>
    </row>
    <row r="10" spans="1:18" x14ac:dyDescent="0.35">
      <c r="A10" s="22" t="s">
        <v>341</v>
      </c>
      <c r="B10" s="17" t="s">
        <v>228</v>
      </c>
      <c r="C10" s="17" t="s">
        <v>337</v>
      </c>
      <c r="D10" s="23" t="s">
        <v>81</v>
      </c>
      <c r="E10" s="23" t="s">
        <v>82</v>
      </c>
      <c r="F10" s="221">
        <f t="shared" si="0"/>
        <v>2.1322851393583626E-4</v>
      </c>
      <c r="G10" s="100">
        <v>9.2769916609057948E-5</v>
      </c>
      <c r="H10" s="101">
        <v>9.5000000000000005E-5</v>
      </c>
      <c r="I10" s="14"/>
      <c r="J10" s="14"/>
      <c r="K10" s="102">
        <v>1.291259732677831E-5</v>
      </c>
      <c r="L10" s="102"/>
      <c r="M10" s="102">
        <v>0</v>
      </c>
      <c r="N10" s="102">
        <v>1.2546000000000003E-5</v>
      </c>
      <c r="O10" s="102"/>
      <c r="P10" s="14"/>
      <c r="Q10" s="14"/>
      <c r="R10" s="197">
        <f>'Parameters, country spec'!B23</f>
        <v>0.18920711272078269</v>
      </c>
    </row>
    <row r="11" spans="1:18" x14ac:dyDescent="0.35">
      <c r="A11" s="22" t="s">
        <v>342</v>
      </c>
      <c r="B11" s="17" t="s">
        <v>229</v>
      </c>
      <c r="C11" s="17" t="s">
        <v>343</v>
      </c>
      <c r="D11" s="23" t="s">
        <v>81</v>
      </c>
      <c r="E11" s="23" t="s">
        <v>82</v>
      </c>
      <c r="F11" s="221">
        <f t="shared" si="0"/>
        <v>1.3280125199673234E-4</v>
      </c>
      <c r="G11" s="100">
        <v>0</v>
      </c>
      <c r="H11" s="101">
        <v>9.5000000000000005E-5</v>
      </c>
      <c r="I11" s="16"/>
      <c r="J11" s="14"/>
      <c r="K11" s="102">
        <v>2.5255251996732317E-5</v>
      </c>
      <c r="L11" s="102"/>
      <c r="M11" s="102">
        <v>0</v>
      </c>
      <c r="N11" s="102">
        <v>1.2546000000000003E-5</v>
      </c>
      <c r="O11" s="102"/>
      <c r="P11" s="14"/>
      <c r="Q11" s="14"/>
      <c r="R11" s="197">
        <f>'Parameters, country spec'!B24</f>
        <v>1.8365818050205586E-3</v>
      </c>
    </row>
    <row r="12" spans="1:18" x14ac:dyDescent="0.35">
      <c r="A12" s="22" t="s">
        <v>344</v>
      </c>
      <c r="B12" s="17" t="s">
        <v>230</v>
      </c>
      <c r="C12" s="17" t="s">
        <v>343</v>
      </c>
      <c r="D12" s="23" t="s">
        <v>81</v>
      </c>
      <c r="E12" s="23" t="s">
        <v>82</v>
      </c>
      <c r="F12" s="221">
        <f t="shared" si="0"/>
        <v>1.4931770127423491E-4</v>
      </c>
      <c r="G12" s="100">
        <v>3.9865279409015522E-6</v>
      </c>
      <c r="H12" s="101">
        <v>9.5000000000000005E-5</v>
      </c>
      <c r="I12" s="16"/>
      <c r="J12" s="14"/>
      <c r="K12" s="102">
        <v>3.7785173333333341E-5</v>
      </c>
      <c r="L12" s="102"/>
      <c r="M12" s="102">
        <v>0</v>
      </c>
      <c r="N12" s="102">
        <v>1.2546000000000003E-5</v>
      </c>
      <c r="O12" s="102"/>
      <c r="P12" s="14"/>
      <c r="Q12" s="14"/>
      <c r="R12" s="197">
        <f>'Parameters, country spec'!B25</f>
        <v>1.8041285588900518E-3</v>
      </c>
    </row>
    <row r="13" spans="1:18" x14ac:dyDescent="0.35">
      <c r="B13" s="18" t="s">
        <v>231</v>
      </c>
      <c r="C13" s="17" t="s">
        <v>345</v>
      </c>
      <c r="D13" s="23" t="str">
        <f>'Off-farm feed'!$D$75</f>
        <v>France, Germany, Poland</v>
      </c>
      <c r="E13" s="23" t="s">
        <v>82</v>
      </c>
      <c r="F13" s="222">
        <f>'Off-farm feed'!$E$75</f>
        <v>3.8246443678729497E-4</v>
      </c>
      <c r="G13" s="222">
        <f>'Off-farm feed'!$F$75</f>
        <v>1.684774766302073E-4</v>
      </c>
      <c r="H13" s="222">
        <f>'Off-farm feed'!$G$75</f>
        <v>4.5862068965517246E-5</v>
      </c>
      <c r="I13" s="222">
        <f>'Off-farm feed'!$H$75</f>
        <v>0</v>
      </c>
      <c r="J13" s="222">
        <f>'Off-farm feed'!$I$75</f>
        <v>0</v>
      </c>
      <c r="K13" s="222">
        <f>'Off-farm feed'!$J$75</f>
        <v>1.0936279334641699E-5</v>
      </c>
      <c r="L13" s="222">
        <f>'Off-farm feed'!$K$75</f>
        <v>0</v>
      </c>
      <c r="M13" s="222">
        <f>'Off-farm feed'!$L$75</f>
        <v>6.4606960551724142E-7</v>
      </c>
      <c r="N13" s="222">
        <f>'Off-farm feed'!$M$75</f>
        <v>2.1884761697575221E-5</v>
      </c>
      <c r="O13" s="222">
        <f>'Off-farm feed'!$N$75</f>
        <v>0</v>
      </c>
      <c r="P13" s="222">
        <f>'Off-farm feed'!$O$75</f>
        <v>4.5962128379923281E-5</v>
      </c>
      <c r="Q13" s="222">
        <f>'Off-farm feed'!$P$75</f>
        <v>8.8695652173913049E-5</v>
      </c>
      <c r="R13" s="197">
        <f>'Parameters, country spec'!B26</f>
        <v>7.1767098590145267E-2</v>
      </c>
    </row>
    <row r="14" spans="1:18" x14ac:dyDescent="0.35">
      <c r="B14" s="18" t="s">
        <v>346</v>
      </c>
      <c r="C14" s="17" t="s">
        <v>345</v>
      </c>
      <c r="D14" s="23" t="str">
        <f>'Off-farm feed'!$D$24</f>
        <v>Brazil, Argentina</v>
      </c>
      <c r="E14" s="23"/>
      <c r="F14" s="222">
        <f>'Off-farm feed'!$E$24</f>
        <v>4.7266553697523981E-4</v>
      </c>
      <c r="G14" s="222">
        <f>'Off-farm feed'!$F$24</f>
        <v>1.5603516238625262E-5</v>
      </c>
      <c r="H14" s="222">
        <f>'Off-farm feed'!$G$24</f>
        <v>7.5304878048780503E-5</v>
      </c>
      <c r="I14" s="222">
        <f>'Off-farm feed'!$H$24</f>
        <v>0</v>
      </c>
      <c r="J14" s="222">
        <f>'Off-farm feed'!$I$24</f>
        <v>0</v>
      </c>
      <c r="K14" s="222">
        <f>'Off-farm feed'!$J$24</f>
        <v>1.908459074435586E-5</v>
      </c>
      <c r="L14" s="222">
        <f>'Off-farm feed'!$K$24</f>
        <v>0</v>
      </c>
      <c r="M14" s="222">
        <f>'Off-farm feed'!$L$24</f>
        <v>5.9672097439024396E-7</v>
      </c>
      <c r="N14" s="222">
        <f>'Off-farm feed'!$M$24</f>
        <v>2.3084271612619523E-5</v>
      </c>
      <c r="O14" s="222">
        <f>'Off-farm feed'!$N$24</f>
        <v>0</v>
      </c>
      <c r="P14" s="222">
        <f>'Off-farm feed'!$O$24</f>
        <v>1.2899155935646844E-4</v>
      </c>
      <c r="Q14" s="222">
        <f>'Off-farm feed'!$P$24</f>
        <v>2.1000000000000001E-4</v>
      </c>
      <c r="R14" s="197">
        <f>'Parameters, country spec'!B27</f>
        <v>0.10081362148549573</v>
      </c>
    </row>
    <row r="15" spans="1:18" x14ac:dyDescent="0.35">
      <c r="B15" s="17" t="s">
        <v>233</v>
      </c>
      <c r="C15" s="17" t="s">
        <v>347</v>
      </c>
      <c r="D15" s="23" t="s">
        <v>81</v>
      </c>
      <c r="E15" s="23" t="s">
        <v>82</v>
      </c>
      <c r="F15" s="222"/>
      <c r="G15" s="14"/>
      <c r="H15" s="14"/>
      <c r="I15" s="14"/>
      <c r="J15" s="14"/>
      <c r="K15" s="14"/>
      <c r="L15" s="14"/>
      <c r="M15" s="14"/>
      <c r="N15" s="14"/>
      <c r="O15" s="14"/>
      <c r="P15" s="8"/>
      <c r="Q15" s="14"/>
      <c r="R15" s="197">
        <f>'Parameters, country spec'!B28</f>
        <v>9.0561398556276068E-2</v>
      </c>
    </row>
    <row r="16" spans="1:18" x14ac:dyDescent="0.35">
      <c r="A16" s="83"/>
      <c r="B16" s="17" t="s">
        <v>348</v>
      </c>
      <c r="C16" s="84" t="s">
        <v>349</v>
      </c>
      <c r="D16" s="23" t="s">
        <v>81</v>
      </c>
      <c r="E16" s="23" t="s">
        <v>82</v>
      </c>
      <c r="F16" s="222">
        <f t="shared" si="0"/>
        <v>1.850763952175399E-4</v>
      </c>
      <c r="G16" s="82">
        <f t="shared" ref="G16:N16" si="1">AVERAGE(G6:G14)</f>
        <v>6.3863500087274442E-5</v>
      </c>
      <c r="H16" s="82">
        <f t="shared" si="1"/>
        <v>8.7351883001588647E-5</v>
      </c>
      <c r="I16" s="82">
        <f t="shared" si="1"/>
        <v>0</v>
      </c>
      <c r="J16" s="82">
        <f t="shared" si="1"/>
        <v>0</v>
      </c>
      <c r="K16" s="82">
        <f t="shared" si="1"/>
        <v>1.8968365029776536E-5</v>
      </c>
      <c r="L16" s="82">
        <f t="shared" si="1"/>
        <v>0</v>
      </c>
      <c r="M16" s="82">
        <f t="shared" si="1"/>
        <v>1.3808784221194281E-7</v>
      </c>
      <c r="N16" s="82">
        <f t="shared" si="1"/>
        <v>1.4754559256688307E-5</v>
      </c>
      <c r="O16" s="82"/>
      <c r="P16" s="81"/>
      <c r="Q16" s="82"/>
      <c r="R16" s="197">
        <f>'Parameters, country spec'!B29</f>
        <v>3.4316549234581904E-2</v>
      </c>
    </row>
    <row r="17" spans="1:18" x14ac:dyDescent="0.35">
      <c r="A17" s="195"/>
      <c r="B17" s="25" t="s">
        <v>350</v>
      </c>
      <c r="C17" s="26"/>
      <c r="D17" s="103"/>
      <c r="E17" s="103"/>
      <c r="F17" s="30">
        <f>SUMPRODUCT(F6:F16,$R$6:$R$16)</f>
        <v>2.2431700570799728E-4</v>
      </c>
      <c r="G17" s="46">
        <f>SUMPRODUCT(G6:G16,$R$6:$R$16)</f>
        <v>7.3397828762055973E-5</v>
      </c>
      <c r="H17" s="46">
        <f t="shared" ref="H17:O17" si="2">SUMPRODUCT(H6:H16,$R$6:$R$16)</f>
        <v>8.0622186843057548E-5</v>
      </c>
      <c r="I17" s="46">
        <f t="shared" si="2"/>
        <v>0</v>
      </c>
      <c r="J17" s="46">
        <f t="shared" si="2"/>
        <v>0</v>
      </c>
      <c r="K17" s="46">
        <f t="shared" si="2"/>
        <v>1.3128538313341299E-5</v>
      </c>
      <c r="L17" s="46">
        <f t="shared" si="2"/>
        <v>0</v>
      </c>
      <c r="M17" s="46">
        <f t="shared" si="2"/>
        <v>1.1126284175584969E-7</v>
      </c>
      <c r="N17" s="46">
        <f t="shared" si="2"/>
        <v>1.3218223983108322E-5</v>
      </c>
      <c r="O17" s="46">
        <f t="shared" si="2"/>
        <v>0</v>
      </c>
      <c r="P17" s="30">
        <f>SUMPRODUCT(P6:P16,R6:R16)</f>
        <v>1.6302674838641732E-5</v>
      </c>
      <c r="Q17" s="46">
        <f>SUMPRODUCT(Q6:Q16,$R$6:$R$16)</f>
        <v>2.7536290126036553E-5</v>
      </c>
      <c r="R17" s="207"/>
    </row>
    <row r="18" spans="1:18" x14ac:dyDescent="0.35">
      <c r="A18" s="22" t="s">
        <v>336</v>
      </c>
      <c r="B18" s="17" t="s">
        <v>218</v>
      </c>
      <c r="C18" s="17" t="s">
        <v>337</v>
      </c>
      <c r="D18" s="23" t="s">
        <v>83</v>
      </c>
      <c r="E18" s="23" t="s">
        <v>84</v>
      </c>
      <c r="F18" s="223">
        <f>SUM(G18:Q18)</f>
        <v>2.0655355021385218E-4</v>
      </c>
      <c r="G18" s="201">
        <v>8.0930691575108743E-5</v>
      </c>
      <c r="H18" s="202">
        <v>9.5000000000000005E-5</v>
      </c>
      <c r="I18" s="203"/>
      <c r="J18" s="204"/>
      <c r="K18" s="205">
        <v>1.8076858638743458E-5</v>
      </c>
      <c r="L18" s="205"/>
      <c r="M18" s="205">
        <v>0</v>
      </c>
      <c r="N18" s="205">
        <v>1.2546000000000003E-5</v>
      </c>
      <c r="O18" s="205"/>
      <c r="P18" s="14"/>
      <c r="Q18" s="204"/>
      <c r="R18" s="208">
        <f>'Parameters, country spec'!C19</f>
        <v>9.1606902667557069E-2</v>
      </c>
    </row>
    <row r="19" spans="1:18" x14ac:dyDescent="0.35">
      <c r="A19" s="22" t="s">
        <v>338</v>
      </c>
      <c r="B19" s="17" t="s">
        <v>222</v>
      </c>
      <c r="C19" s="17" t="s">
        <v>337</v>
      </c>
      <c r="D19" s="23" t="s">
        <v>83</v>
      </c>
      <c r="E19" s="23" t="s">
        <v>84</v>
      </c>
      <c r="F19" s="221">
        <f t="shared" ref="F19:F28" si="3">SUM(G19:Q19)</f>
        <v>1.9871902439798405E-4</v>
      </c>
      <c r="G19" s="100">
        <v>7.8815626877616721E-5</v>
      </c>
      <c r="H19" s="101">
        <v>9.5000000000000005E-5</v>
      </c>
      <c r="I19" s="16"/>
      <c r="J19" s="14"/>
      <c r="K19" s="102">
        <v>1.2357397520367332E-5</v>
      </c>
      <c r="L19" s="102"/>
      <c r="M19" s="102">
        <v>0</v>
      </c>
      <c r="N19" s="102">
        <v>1.2546000000000003E-5</v>
      </c>
      <c r="O19" s="102"/>
      <c r="P19" s="14"/>
      <c r="Q19" s="14"/>
      <c r="R19" s="197">
        <f>'Parameters, country spec'!C20</f>
        <v>0.13155509047103262</v>
      </c>
    </row>
    <row r="20" spans="1:18" x14ac:dyDescent="0.35">
      <c r="A20" s="22" t="s">
        <v>339</v>
      </c>
      <c r="B20" s="17" t="s">
        <v>226</v>
      </c>
      <c r="C20" s="17" t="s">
        <v>337</v>
      </c>
      <c r="D20" s="23" t="s">
        <v>83</v>
      </c>
      <c r="E20" s="23" t="s">
        <v>84</v>
      </c>
      <c r="F20" s="221">
        <f t="shared" si="3"/>
        <v>1.9956753055993292E-4</v>
      </c>
      <c r="G20" s="100">
        <v>7.134532609711123E-5</v>
      </c>
      <c r="H20" s="101">
        <v>9.5000000000000005E-5</v>
      </c>
      <c r="I20" s="16"/>
      <c r="J20" s="14"/>
      <c r="K20" s="102">
        <v>2.0676204462821701E-5</v>
      </c>
      <c r="L20" s="102"/>
      <c r="M20" s="102">
        <v>0</v>
      </c>
      <c r="N20" s="102">
        <v>1.2546000000000003E-5</v>
      </c>
      <c r="O20" s="102"/>
      <c r="P20" s="14"/>
      <c r="Q20" s="14"/>
      <c r="R20" s="197">
        <f>'Parameters, country spec'!C21</f>
        <v>9.289741735930411E-3</v>
      </c>
    </row>
    <row r="21" spans="1:18" x14ac:dyDescent="0.35">
      <c r="A21" s="22" t="s">
        <v>340</v>
      </c>
      <c r="B21" s="17" t="s">
        <v>227</v>
      </c>
      <c r="C21" s="17" t="s">
        <v>337</v>
      </c>
      <c r="D21" s="23" t="s">
        <v>83</v>
      </c>
      <c r="E21" s="23" t="s">
        <v>84</v>
      </c>
      <c r="F21" s="221">
        <f t="shared" si="3"/>
        <v>1.840193507270561E-4</v>
      </c>
      <c r="G21" s="100">
        <v>6.2842418816841267E-5</v>
      </c>
      <c r="H21" s="101">
        <v>9.5000000000000005E-5</v>
      </c>
      <c r="I21" s="14"/>
      <c r="J21" s="14"/>
      <c r="K21" s="102">
        <v>1.3630931910214812E-5</v>
      </c>
      <c r="L21" s="102"/>
      <c r="M21" s="102">
        <v>0</v>
      </c>
      <c r="N21" s="102">
        <v>1.2546000000000003E-5</v>
      </c>
      <c r="O21" s="102"/>
      <c r="P21" s="14"/>
      <c r="Q21" s="14"/>
      <c r="R21" s="197">
        <f>'Parameters, country spec'!C22</f>
        <v>2.0777988939877966E-3</v>
      </c>
    </row>
    <row r="22" spans="1:18" x14ac:dyDescent="0.35">
      <c r="A22" s="22" t="s">
        <v>341</v>
      </c>
      <c r="B22" s="17" t="s">
        <v>228</v>
      </c>
      <c r="C22" s="17" t="s">
        <v>337</v>
      </c>
      <c r="D22" s="23" t="s">
        <v>83</v>
      </c>
      <c r="E22" s="23" t="s">
        <v>84</v>
      </c>
      <c r="F22" s="221">
        <f t="shared" si="3"/>
        <v>2.1322851393583626E-4</v>
      </c>
      <c r="G22" s="100">
        <v>9.2769916609057948E-5</v>
      </c>
      <c r="H22" s="101">
        <v>9.5000000000000005E-5</v>
      </c>
      <c r="I22" s="14"/>
      <c r="J22" s="14"/>
      <c r="K22" s="102">
        <v>1.291259732677831E-5</v>
      </c>
      <c r="L22" s="102"/>
      <c r="M22" s="102">
        <v>0</v>
      </c>
      <c r="N22" s="102">
        <v>1.2546000000000003E-5</v>
      </c>
      <c r="O22" s="102"/>
      <c r="P22" s="14"/>
      <c r="Q22" s="14"/>
      <c r="R22" s="197">
        <f>'Parameters, country spec'!C23</f>
        <v>0.19898022259279191</v>
      </c>
    </row>
    <row r="23" spans="1:18" x14ac:dyDescent="0.35">
      <c r="A23" s="22" t="s">
        <v>342</v>
      </c>
      <c r="B23" s="17" t="s">
        <v>229</v>
      </c>
      <c r="C23" s="17" t="s">
        <v>343</v>
      </c>
      <c r="D23" s="23" t="s">
        <v>83</v>
      </c>
      <c r="E23" s="23" t="s">
        <v>84</v>
      </c>
      <c r="F23" s="221">
        <f t="shared" si="3"/>
        <v>1.3280125199673234E-4</v>
      </c>
      <c r="G23" s="100">
        <v>0</v>
      </c>
      <c r="H23" s="101">
        <v>9.5000000000000005E-5</v>
      </c>
      <c r="I23" s="16"/>
      <c r="J23" s="14"/>
      <c r="K23" s="102">
        <v>2.5255251996732317E-5</v>
      </c>
      <c r="L23" s="102"/>
      <c r="M23" s="102">
        <v>0</v>
      </c>
      <c r="N23" s="102">
        <v>1.2546000000000003E-5</v>
      </c>
      <c r="O23" s="102"/>
      <c r="P23" s="14"/>
      <c r="Q23" s="14"/>
      <c r="R23" s="197">
        <f>'Parameters, country spec'!C24</f>
        <v>0</v>
      </c>
    </row>
    <row r="24" spans="1:18" x14ac:dyDescent="0.35">
      <c r="A24" s="22" t="s">
        <v>344</v>
      </c>
      <c r="B24" s="17" t="s">
        <v>230</v>
      </c>
      <c r="C24" s="17" t="s">
        <v>343</v>
      </c>
      <c r="D24" s="23" t="s">
        <v>83</v>
      </c>
      <c r="E24" s="23" t="s">
        <v>84</v>
      </c>
      <c r="F24" s="221">
        <f t="shared" si="3"/>
        <v>1.4931770127423491E-4</v>
      </c>
      <c r="G24" s="100">
        <v>3.9865279409015522E-6</v>
      </c>
      <c r="H24" s="101">
        <v>9.5000000000000005E-5</v>
      </c>
      <c r="I24" s="16"/>
      <c r="J24" s="14"/>
      <c r="K24" s="102">
        <v>3.7785173333333341E-5</v>
      </c>
      <c r="L24" s="102"/>
      <c r="M24" s="102">
        <v>0</v>
      </c>
      <c r="N24" s="102">
        <v>1.2546000000000003E-5</v>
      </c>
      <c r="O24" s="102"/>
      <c r="P24" s="14"/>
      <c r="Q24" s="14"/>
      <c r="R24" s="197">
        <f>'Parameters, country spec'!C25</f>
        <v>0</v>
      </c>
    </row>
    <row r="25" spans="1:18" x14ac:dyDescent="0.35">
      <c r="B25" s="18" t="s">
        <v>231</v>
      </c>
      <c r="C25" s="17" t="s">
        <v>345</v>
      </c>
      <c r="D25" s="23" t="str">
        <f>'Off-farm feed'!$D$75</f>
        <v>France, Germany, Poland</v>
      </c>
      <c r="E25" s="23" t="s">
        <v>82</v>
      </c>
      <c r="F25" s="222">
        <f>'Off-farm feed'!$E$75</f>
        <v>3.8246443678729497E-4</v>
      </c>
      <c r="G25" s="222">
        <f>'Off-farm feed'!$F$75</f>
        <v>1.684774766302073E-4</v>
      </c>
      <c r="H25" s="222">
        <f>'Off-farm feed'!$G$75</f>
        <v>4.5862068965517246E-5</v>
      </c>
      <c r="I25" s="222">
        <f>'Off-farm feed'!$H$75</f>
        <v>0</v>
      </c>
      <c r="J25" s="222">
        <f>'Off-farm feed'!$I$75</f>
        <v>0</v>
      </c>
      <c r="K25" s="222">
        <f>'Off-farm feed'!$J$75</f>
        <v>1.0936279334641699E-5</v>
      </c>
      <c r="L25" s="222">
        <f>'Off-farm feed'!$K$75</f>
        <v>0</v>
      </c>
      <c r="M25" s="222">
        <f>'Off-farm feed'!$L$75</f>
        <v>6.4606960551724142E-7</v>
      </c>
      <c r="N25" s="222">
        <f>'Off-farm feed'!$M$75</f>
        <v>2.1884761697575221E-5</v>
      </c>
      <c r="O25" s="222">
        <f>'Off-farm feed'!$N$75</f>
        <v>0</v>
      </c>
      <c r="P25" s="222">
        <f>'Off-farm feed'!$O$75</f>
        <v>4.5962128379923281E-5</v>
      </c>
      <c r="Q25" s="222">
        <f>'Off-farm feed'!$P$75</f>
        <v>8.8695652173913049E-5</v>
      </c>
      <c r="R25" s="197">
        <f>'Parameters, country spec'!C26</f>
        <v>0.11887736478257062</v>
      </c>
    </row>
    <row r="26" spans="1:18" x14ac:dyDescent="0.35">
      <c r="B26" s="18" t="s">
        <v>346</v>
      </c>
      <c r="C26" s="17" t="s">
        <v>345</v>
      </c>
      <c r="D26" s="23" t="str">
        <f>'Off-farm feed'!$D$24</f>
        <v>Brazil, Argentina</v>
      </c>
      <c r="E26" s="23"/>
      <c r="F26" s="222">
        <f>'Off-farm feed'!$E$24</f>
        <v>4.7266553697523981E-4</v>
      </c>
      <c r="G26" s="222">
        <f>'Off-farm feed'!$F$24</f>
        <v>1.5603516238625262E-5</v>
      </c>
      <c r="H26" s="222">
        <f>'Off-farm feed'!$G$24</f>
        <v>7.5304878048780503E-5</v>
      </c>
      <c r="I26" s="222">
        <f>'Off-farm feed'!$H$24</f>
        <v>0</v>
      </c>
      <c r="J26" s="222">
        <f>'Off-farm feed'!$I$24</f>
        <v>0</v>
      </c>
      <c r="K26" s="222">
        <f>'Off-farm feed'!$J$24</f>
        <v>1.908459074435586E-5</v>
      </c>
      <c r="L26" s="222">
        <f>'Off-farm feed'!$K$24</f>
        <v>0</v>
      </c>
      <c r="M26" s="222">
        <f>'Off-farm feed'!$L$24</f>
        <v>5.9672097439024396E-7</v>
      </c>
      <c r="N26" s="222">
        <f>'Off-farm feed'!$M$24</f>
        <v>2.3084271612619523E-5</v>
      </c>
      <c r="O26" s="222">
        <f>'Off-farm feed'!$N$24</f>
        <v>0</v>
      </c>
      <c r="P26" s="222">
        <f>'Off-farm feed'!$O$24</f>
        <v>1.2899155935646844E-4</v>
      </c>
      <c r="Q26" s="222">
        <f>'Off-farm feed'!$P$24</f>
        <v>2.1000000000000001E-4</v>
      </c>
      <c r="R26" s="197">
        <f>'Parameters, country spec'!C27</f>
        <v>0.14455218048244542</v>
      </c>
    </row>
    <row r="27" spans="1:18" x14ac:dyDescent="0.35">
      <c r="B27" s="17" t="s">
        <v>233</v>
      </c>
      <c r="C27" s="17" t="s">
        <v>347</v>
      </c>
      <c r="D27" s="23" t="s">
        <v>83</v>
      </c>
      <c r="E27" s="23" t="s">
        <v>84</v>
      </c>
      <c r="F27" s="222"/>
      <c r="G27" s="14"/>
      <c r="H27" s="14"/>
      <c r="I27" s="14"/>
      <c r="J27" s="14"/>
      <c r="K27" s="14"/>
      <c r="L27" s="14"/>
      <c r="M27" s="14"/>
      <c r="N27" s="14"/>
      <c r="O27" s="14"/>
      <c r="P27" s="8"/>
      <c r="Q27" s="14"/>
      <c r="R27" s="197">
        <f>'Parameters, country spec'!C28</f>
        <v>0.16248162657729212</v>
      </c>
    </row>
    <row r="28" spans="1:18" x14ac:dyDescent="0.35">
      <c r="A28" s="83"/>
      <c r="B28" s="17" t="s">
        <v>348</v>
      </c>
      <c r="C28" s="84" t="s">
        <v>349</v>
      </c>
      <c r="D28" s="23" t="s">
        <v>83</v>
      </c>
      <c r="E28" s="23" t="s">
        <v>84</v>
      </c>
      <c r="F28" s="222">
        <f t="shared" si="3"/>
        <v>1.850763952175399E-4</v>
      </c>
      <c r="G28" s="82">
        <f t="shared" ref="G28:N28" si="4">AVERAGE(G18:G26)</f>
        <v>6.3863500087274442E-5</v>
      </c>
      <c r="H28" s="82">
        <f t="shared" si="4"/>
        <v>8.7351883001588647E-5</v>
      </c>
      <c r="I28" s="82">
        <f t="shared" si="4"/>
        <v>0</v>
      </c>
      <c r="J28" s="82">
        <f t="shared" si="4"/>
        <v>0</v>
      </c>
      <c r="K28" s="82">
        <f t="shared" si="4"/>
        <v>1.8968365029776536E-5</v>
      </c>
      <c r="L28" s="82">
        <f t="shared" si="4"/>
        <v>0</v>
      </c>
      <c r="M28" s="82">
        <f t="shared" si="4"/>
        <v>1.3808784221194281E-7</v>
      </c>
      <c r="N28" s="82">
        <f t="shared" si="4"/>
        <v>1.4754559256688307E-5</v>
      </c>
      <c r="O28" s="82"/>
      <c r="P28" s="81"/>
      <c r="Q28" s="82"/>
      <c r="R28" s="197">
        <f>'Parameters, country spec'!C29</f>
        <v>0.14057907179639201</v>
      </c>
    </row>
    <row r="29" spans="1:18" x14ac:dyDescent="0.35">
      <c r="A29" s="195"/>
      <c r="B29" s="25" t="s">
        <v>350</v>
      </c>
      <c r="C29" s="26"/>
      <c r="D29" s="103"/>
      <c r="E29" s="103"/>
      <c r="F29" s="30">
        <f>SUMPRODUCT(F18:F28,R18:R28)</f>
        <v>2.2953783961845048E-4</v>
      </c>
      <c r="G29" s="46">
        <f>SUMPRODUCT(G18:G28,$R$18:$R$28)</f>
        <v>6.829669143540177E-5</v>
      </c>
      <c r="H29" s="46">
        <f t="shared" ref="H29:O29" si="5">SUMPRODUCT(H18:H28,$R$18:$R$28)</f>
        <v>6.9800719711366908E-5</v>
      </c>
      <c r="I29" s="46">
        <f t="shared" si="5"/>
        <v>0</v>
      </c>
      <c r="J29" s="46">
        <f t="shared" si="5"/>
        <v>0</v>
      </c>
      <c r="K29" s="46">
        <f t="shared" si="5"/>
        <v>1.2796744426673561E-5</v>
      </c>
      <c r="L29" s="46">
        <f t="shared" si="5"/>
        <v>0</v>
      </c>
      <c r="M29" s="46">
        <f t="shared" si="5"/>
        <v>1.8247263084224539E-7</v>
      </c>
      <c r="N29" s="46">
        <f t="shared" si="5"/>
        <v>1.3451480244334423E-5</v>
      </c>
      <c r="O29" s="46">
        <f t="shared" si="5"/>
        <v>0</v>
      </c>
      <c r="P29" s="30">
        <f>SUMPRODUCT(P18:P28,R18:R28)</f>
        <v>2.4109867870411779E-5</v>
      </c>
      <c r="Q29" s="46">
        <f>SUMPRODUCT(Q18:Q28,$R$18:$R$28)</f>
        <v>4.0899863299419801E-5</v>
      </c>
      <c r="R29" s="207"/>
    </row>
    <row r="30" spans="1:18" x14ac:dyDescent="0.35">
      <c r="A30" s="22" t="s">
        <v>336</v>
      </c>
      <c r="B30" s="17" t="s">
        <v>218</v>
      </c>
      <c r="C30" s="17" t="s">
        <v>337</v>
      </c>
      <c r="D30" s="23" t="s">
        <v>85</v>
      </c>
      <c r="E30" s="23" t="s">
        <v>86</v>
      </c>
      <c r="F30" s="223">
        <f>SUM(G30:Q30)</f>
        <v>2.0655355021385218E-4</v>
      </c>
      <c r="G30" s="201">
        <v>8.0930691575108743E-5</v>
      </c>
      <c r="H30" s="202">
        <v>9.5000000000000005E-5</v>
      </c>
      <c r="I30" s="203"/>
      <c r="J30" s="204"/>
      <c r="K30" s="205">
        <v>1.8076858638743458E-5</v>
      </c>
      <c r="L30" s="205"/>
      <c r="M30" s="205">
        <v>0</v>
      </c>
      <c r="N30" s="205">
        <v>1.2546000000000003E-5</v>
      </c>
      <c r="O30" s="205"/>
      <c r="P30" s="14"/>
      <c r="Q30" s="204"/>
      <c r="R30" s="208">
        <f>'Parameters, country spec'!D19</f>
        <v>0</v>
      </c>
    </row>
    <row r="31" spans="1:18" x14ac:dyDescent="0.35">
      <c r="A31" s="22" t="s">
        <v>338</v>
      </c>
      <c r="B31" s="17" t="s">
        <v>222</v>
      </c>
      <c r="C31" s="17" t="s">
        <v>337</v>
      </c>
      <c r="D31" s="23" t="s">
        <v>85</v>
      </c>
      <c r="E31" s="23" t="s">
        <v>86</v>
      </c>
      <c r="F31" s="221">
        <f t="shared" ref="F31:F40" si="6">SUM(G31:Q31)</f>
        <v>1.9871902439798405E-4</v>
      </c>
      <c r="G31" s="100">
        <v>7.8815626877616721E-5</v>
      </c>
      <c r="H31" s="101">
        <v>9.5000000000000005E-5</v>
      </c>
      <c r="I31" s="16"/>
      <c r="J31" s="14"/>
      <c r="K31" s="102">
        <v>1.2357397520367332E-5</v>
      </c>
      <c r="L31" s="102"/>
      <c r="M31" s="102">
        <v>0</v>
      </c>
      <c r="N31" s="102">
        <v>1.2546000000000003E-5</v>
      </c>
      <c r="O31" s="102"/>
      <c r="P31" s="14"/>
      <c r="Q31" s="14"/>
      <c r="R31" s="197">
        <f>'Parameters, country spec'!D20</f>
        <v>0.54552951323157861</v>
      </c>
    </row>
    <row r="32" spans="1:18" x14ac:dyDescent="0.35">
      <c r="A32" s="22" t="s">
        <v>339</v>
      </c>
      <c r="B32" s="17" t="s">
        <v>226</v>
      </c>
      <c r="C32" s="17" t="s">
        <v>337</v>
      </c>
      <c r="D32" s="23" t="s">
        <v>85</v>
      </c>
      <c r="E32" s="23" t="s">
        <v>86</v>
      </c>
      <c r="F32" s="221">
        <f t="shared" si="6"/>
        <v>1.9956753055993292E-4</v>
      </c>
      <c r="G32" s="100">
        <v>7.134532609711123E-5</v>
      </c>
      <c r="H32" s="101">
        <v>9.5000000000000005E-5</v>
      </c>
      <c r="I32" s="16"/>
      <c r="J32" s="14"/>
      <c r="K32" s="102">
        <v>2.0676204462821701E-5</v>
      </c>
      <c r="L32" s="102"/>
      <c r="M32" s="102">
        <v>0</v>
      </c>
      <c r="N32" s="102">
        <v>1.2546000000000003E-5</v>
      </c>
      <c r="O32" s="102"/>
      <c r="P32" s="14"/>
      <c r="Q32" s="14"/>
      <c r="R32" s="197">
        <f>'Parameters, country spec'!D21</f>
        <v>0</v>
      </c>
    </row>
    <row r="33" spans="1:18" x14ac:dyDescent="0.35">
      <c r="A33" s="22" t="s">
        <v>340</v>
      </c>
      <c r="B33" s="17" t="s">
        <v>227</v>
      </c>
      <c r="C33" s="17" t="s">
        <v>337</v>
      </c>
      <c r="D33" s="23" t="s">
        <v>85</v>
      </c>
      <c r="E33" s="23" t="s">
        <v>86</v>
      </c>
      <c r="F33" s="221">
        <f t="shared" si="6"/>
        <v>1.840193507270561E-4</v>
      </c>
      <c r="G33" s="100">
        <v>6.2842418816841267E-5</v>
      </c>
      <c r="H33" s="101">
        <v>9.5000000000000005E-5</v>
      </c>
      <c r="I33" s="14"/>
      <c r="J33" s="14"/>
      <c r="K33" s="102">
        <v>1.3630931910214812E-5</v>
      </c>
      <c r="L33" s="102"/>
      <c r="M33" s="102">
        <v>0</v>
      </c>
      <c r="N33" s="102">
        <v>1.2546000000000003E-5</v>
      </c>
      <c r="O33" s="102"/>
      <c r="P33" s="14"/>
      <c r="Q33" s="14"/>
      <c r="R33" s="197">
        <f>'Parameters, country spec'!D22</f>
        <v>5.6518820446868744E-3</v>
      </c>
    </row>
    <row r="34" spans="1:18" x14ac:dyDescent="0.35">
      <c r="A34" s="22" t="s">
        <v>341</v>
      </c>
      <c r="B34" s="17" t="s">
        <v>228</v>
      </c>
      <c r="C34" s="17" t="s">
        <v>337</v>
      </c>
      <c r="D34" s="23" t="s">
        <v>85</v>
      </c>
      <c r="E34" s="23" t="s">
        <v>86</v>
      </c>
      <c r="F34" s="221">
        <f t="shared" si="6"/>
        <v>2.1322851393583626E-4</v>
      </c>
      <c r="G34" s="100">
        <v>9.2769916609057948E-5</v>
      </c>
      <c r="H34" s="101">
        <v>9.5000000000000005E-5</v>
      </c>
      <c r="I34" s="14"/>
      <c r="J34" s="14"/>
      <c r="K34" s="102">
        <v>1.291259732677831E-5</v>
      </c>
      <c r="L34" s="102"/>
      <c r="M34" s="102">
        <v>0</v>
      </c>
      <c r="N34" s="102">
        <v>1.2546000000000003E-5</v>
      </c>
      <c r="O34" s="102"/>
      <c r="P34" s="14"/>
      <c r="Q34" s="14"/>
      <c r="R34" s="197">
        <f>'Parameters, country spec'!D23</f>
        <v>6.0251044055952427E-2</v>
      </c>
    </row>
    <row r="35" spans="1:18" x14ac:dyDescent="0.35">
      <c r="A35" s="22" t="s">
        <v>342</v>
      </c>
      <c r="B35" s="17" t="s">
        <v>229</v>
      </c>
      <c r="C35" s="17" t="s">
        <v>343</v>
      </c>
      <c r="D35" s="23" t="s">
        <v>85</v>
      </c>
      <c r="E35" s="23" t="s">
        <v>86</v>
      </c>
      <c r="F35" s="221">
        <f t="shared" si="6"/>
        <v>1.3280125199673234E-4</v>
      </c>
      <c r="G35" s="100">
        <v>0</v>
      </c>
      <c r="H35" s="101">
        <v>9.5000000000000005E-5</v>
      </c>
      <c r="I35" s="16"/>
      <c r="J35" s="14"/>
      <c r="K35" s="102">
        <v>2.5255251996732317E-5</v>
      </c>
      <c r="L35" s="102"/>
      <c r="M35" s="102">
        <v>0</v>
      </c>
      <c r="N35" s="102">
        <v>1.2546000000000003E-5</v>
      </c>
      <c r="O35" s="102"/>
      <c r="P35" s="14"/>
      <c r="Q35" s="14"/>
      <c r="R35" s="197">
        <f>'Parameters, country spec'!D24</f>
        <v>0</v>
      </c>
    </row>
    <row r="36" spans="1:18" x14ac:dyDescent="0.35">
      <c r="A36" s="22" t="s">
        <v>344</v>
      </c>
      <c r="B36" s="17" t="s">
        <v>230</v>
      </c>
      <c r="C36" s="17" t="s">
        <v>343</v>
      </c>
      <c r="D36" s="23" t="s">
        <v>85</v>
      </c>
      <c r="E36" s="23" t="s">
        <v>86</v>
      </c>
      <c r="F36" s="221">
        <f t="shared" si="6"/>
        <v>1.4931770127423491E-4</v>
      </c>
      <c r="G36" s="100">
        <v>3.9865279409015522E-6</v>
      </c>
      <c r="H36" s="101">
        <v>9.5000000000000005E-5</v>
      </c>
      <c r="I36" s="16"/>
      <c r="J36" s="14"/>
      <c r="K36" s="102">
        <v>3.7785173333333341E-5</v>
      </c>
      <c r="L36" s="102"/>
      <c r="M36" s="102">
        <v>0</v>
      </c>
      <c r="N36" s="102">
        <v>1.2546000000000003E-5</v>
      </c>
      <c r="O36" s="102"/>
      <c r="P36" s="14"/>
      <c r="Q36" s="14"/>
      <c r="R36" s="197">
        <f>'Parameters, country spec'!D25</f>
        <v>0</v>
      </c>
    </row>
    <row r="37" spans="1:18" x14ac:dyDescent="0.35">
      <c r="B37" s="18" t="s">
        <v>231</v>
      </c>
      <c r="C37" s="17" t="s">
        <v>345</v>
      </c>
      <c r="D37" s="23" t="str">
        <f>'Off-farm feed'!$D$75</f>
        <v>France, Germany, Poland</v>
      </c>
      <c r="E37" s="23" t="s">
        <v>82</v>
      </c>
      <c r="F37" s="222">
        <f>'Off-farm feed'!$E$75</f>
        <v>3.8246443678729497E-4</v>
      </c>
      <c r="G37" s="222">
        <f>'Off-farm feed'!$F$75</f>
        <v>1.684774766302073E-4</v>
      </c>
      <c r="H37" s="222">
        <f>'Off-farm feed'!$G$75</f>
        <v>4.5862068965517246E-5</v>
      </c>
      <c r="I37" s="222">
        <f>'Off-farm feed'!$H$75</f>
        <v>0</v>
      </c>
      <c r="J37" s="222">
        <f>'Off-farm feed'!$I$75</f>
        <v>0</v>
      </c>
      <c r="K37" s="222">
        <f>'Off-farm feed'!$J$75</f>
        <v>1.0936279334641699E-5</v>
      </c>
      <c r="L37" s="222">
        <f>'Off-farm feed'!$K$75</f>
        <v>0</v>
      </c>
      <c r="M37" s="222">
        <f>'Off-farm feed'!$L$75</f>
        <v>6.4606960551724142E-7</v>
      </c>
      <c r="N37" s="222">
        <f>'Off-farm feed'!$M$75</f>
        <v>2.1884761697575221E-5</v>
      </c>
      <c r="O37" s="222">
        <f>'Off-farm feed'!$N$75</f>
        <v>0</v>
      </c>
      <c r="P37" s="222">
        <f>'Off-farm feed'!$O$75</f>
        <v>4.5962128379923281E-5</v>
      </c>
      <c r="Q37" s="222">
        <f>'Off-farm feed'!$P$75</f>
        <v>8.8695652173913049E-5</v>
      </c>
      <c r="R37" s="197">
        <f>'Parameters, country spec'!D26</f>
        <v>1.9282223002705559E-3</v>
      </c>
    </row>
    <row r="38" spans="1:18" x14ac:dyDescent="0.35">
      <c r="B38" s="18" t="s">
        <v>346</v>
      </c>
      <c r="C38" s="17" t="s">
        <v>345</v>
      </c>
      <c r="D38" s="23" t="str">
        <f>'Off-farm feed'!$D$24</f>
        <v>Brazil, Argentina</v>
      </c>
      <c r="E38" s="23"/>
      <c r="F38" s="222">
        <f>'Off-farm feed'!$E$24</f>
        <v>4.7266553697523981E-4</v>
      </c>
      <c r="G38" s="222">
        <f>'Off-farm feed'!$F$24</f>
        <v>1.5603516238625262E-5</v>
      </c>
      <c r="H38" s="222">
        <f>'Off-farm feed'!$G$24</f>
        <v>7.5304878048780503E-5</v>
      </c>
      <c r="I38" s="222">
        <f>'Off-farm feed'!$H$24</f>
        <v>0</v>
      </c>
      <c r="J38" s="222">
        <f>'Off-farm feed'!$I$24</f>
        <v>0</v>
      </c>
      <c r="K38" s="222">
        <f>'Off-farm feed'!$J$24</f>
        <v>1.908459074435586E-5</v>
      </c>
      <c r="L38" s="222">
        <f>'Off-farm feed'!$K$24</f>
        <v>0</v>
      </c>
      <c r="M38" s="222">
        <f>'Off-farm feed'!$L$24</f>
        <v>5.9672097439024396E-7</v>
      </c>
      <c r="N38" s="222">
        <f>'Off-farm feed'!$M$24</f>
        <v>2.3084271612619523E-5</v>
      </c>
      <c r="O38" s="222">
        <f>'Off-farm feed'!$N$24</f>
        <v>0</v>
      </c>
      <c r="P38" s="222">
        <f>'Off-farm feed'!$O$24</f>
        <v>1.2899155935646844E-4</v>
      </c>
      <c r="Q38" s="222">
        <f>'Off-farm feed'!$P$24</f>
        <v>2.1000000000000001E-4</v>
      </c>
      <c r="R38" s="197">
        <f>'Parameters, country spec'!D27</f>
        <v>4.8958214837280058E-2</v>
      </c>
    </row>
    <row r="39" spans="1:18" x14ac:dyDescent="0.35">
      <c r="B39" s="17" t="s">
        <v>233</v>
      </c>
      <c r="C39" s="17" t="s">
        <v>347</v>
      </c>
      <c r="D39" s="23" t="s">
        <v>85</v>
      </c>
      <c r="E39" s="23" t="s">
        <v>86</v>
      </c>
      <c r="F39" s="222"/>
      <c r="G39" s="14"/>
      <c r="H39" s="14"/>
      <c r="I39" s="14"/>
      <c r="J39" s="14"/>
      <c r="K39" s="14"/>
      <c r="L39" s="14"/>
      <c r="M39" s="14"/>
      <c r="N39" s="14"/>
      <c r="O39" s="14"/>
      <c r="P39" s="8"/>
      <c r="Q39" s="14"/>
      <c r="R39" s="197">
        <f>'Parameters, country spec'!D28</f>
        <v>0.12305696748386015</v>
      </c>
    </row>
    <row r="40" spans="1:18" x14ac:dyDescent="0.35">
      <c r="A40" s="83"/>
      <c r="B40" s="17" t="s">
        <v>348</v>
      </c>
      <c r="C40" s="84" t="s">
        <v>349</v>
      </c>
      <c r="D40" s="23" t="s">
        <v>85</v>
      </c>
      <c r="E40" s="23" t="s">
        <v>86</v>
      </c>
      <c r="F40" s="222">
        <f t="shared" si="6"/>
        <v>1.850763952175399E-4</v>
      </c>
      <c r="G40" s="82">
        <f t="shared" ref="G40:N40" si="7">AVERAGE(G30:G38)</f>
        <v>6.3863500087274442E-5</v>
      </c>
      <c r="H40" s="82">
        <f t="shared" si="7"/>
        <v>8.7351883001588647E-5</v>
      </c>
      <c r="I40" s="82">
        <f t="shared" si="7"/>
        <v>0</v>
      </c>
      <c r="J40" s="82">
        <f t="shared" si="7"/>
        <v>0</v>
      </c>
      <c r="K40" s="82">
        <f t="shared" si="7"/>
        <v>1.8968365029776536E-5</v>
      </c>
      <c r="L40" s="82">
        <f t="shared" si="7"/>
        <v>0</v>
      </c>
      <c r="M40" s="82">
        <f t="shared" si="7"/>
        <v>1.3808784221194281E-7</v>
      </c>
      <c r="N40" s="82">
        <f t="shared" si="7"/>
        <v>1.4754559256688307E-5</v>
      </c>
      <c r="O40" s="82"/>
      <c r="P40" s="81"/>
      <c r="Q40" s="82"/>
      <c r="R40" s="197">
        <f>'Parameters, country spec'!D29</f>
        <v>0.21462415604637128</v>
      </c>
    </row>
    <row r="41" spans="1:18" x14ac:dyDescent="0.35">
      <c r="A41" s="195"/>
      <c r="B41" s="25" t="s">
        <v>350</v>
      </c>
      <c r="C41" s="26"/>
      <c r="D41" s="103"/>
      <c r="E41" s="103"/>
      <c r="F41" s="46">
        <f t="shared" ref="F41:O41" si="8">SUMPRODUCT(F30:F40,$R$30:$R$40)</f>
        <v>1.8589459139022393E-4</v>
      </c>
      <c r="G41" s="46">
        <f>SUMPRODUCT(G30:G40,$R$30:$R$40)</f>
        <v>6.3736344972980874E-5</v>
      </c>
      <c r="H41" s="46">
        <f t="shared" si="8"/>
        <v>8.060913056676126E-5</v>
      </c>
      <c r="I41" s="46">
        <f t="shared" si="8"/>
        <v>0</v>
      </c>
      <c r="J41" s="46">
        <f t="shared" si="8"/>
        <v>0</v>
      </c>
      <c r="K41" s="46">
        <f t="shared" si="8"/>
        <v>1.2622867351357368E-5</v>
      </c>
      <c r="L41" s="46">
        <f t="shared" si="8"/>
        <v>0</v>
      </c>
      <c r="M41" s="46">
        <f t="shared" si="8"/>
        <v>6.0097146077996712E-8</v>
      </c>
      <c r="N41" s="46">
        <f t="shared" si="8"/>
        <v>1.2010079626679033E-5</v>
      </c>
      <c r="O41" s="46">
        <f t="shared" si="8"/>
        <v>0</v>
      </c>
      <c r="P41" s="30">
        <f>SUMPRODUCT(P30:P40,R30:R40)</f>
        <v>6.4038216760798098E-6</v>
      </c>
      <c r="Q41" s="46">
        <f>SUMPRODUCT(Q30:Q40,$R$30:$R$40)</f>
        <v>1.0452250050287592E-5</v>
      </c>
      <c r="R41" s="207"/>
    </row>
    <row r="42" spans="1:18" x14ac:dyDescent="0.35">
      <c r="A42" s="22" t="s">
        <v>336</v>
      </c>
      <c r="B42" s="17" t="s">
        <v>218</v>
      </c>
      <c r="C42" s="17" t="s">
        <v>337</v>
      </c>
      <c r="D42" s="23" t="s">
        <v>87</v>
      </c>
      <c r="E42" s="23" t="s">
        <v>88</v>
      </c>
      <c r="F42" s="223">
        <f>SUM(G42:Q42)</f>
        <v>2.0655355021385218E-4</v>
      </c>
      <c r="G42" s="201">
        <v>8.0930691575108743E-5</v>
      </c>
      <c r="H42" s="202">
        <v>9.5000000000000005E-5</v>
      </c>
      <c r="I42" s="203"/>
      <c r="J42" s="204"/>
      <c r="K42" s="205">
        <v>1.8076858638743458E-5</v>
      </c>
      <c r="L42" s="205"/>
      <c r="M42" s="205">
        <v>0</v>
      </c>
      <c r="N42" s="205">
        <v>1.2546000000000003E-5</v>
      </c>
      <c r="O42" s="205"/>
      <c r="P42" s="14"/>
      <c r="Q42" s="204"/>
      <c r="R42" s="208">
        <f>'Parameters, country spec'!E19</f>
        <v>0.11695100775134643</v>
      </c>
    </row>
    <row r="43" spans="1:18" x14ac:dyDescent="0.35">
      <c r="A43" s="22" t="s">
        <v>338</v>
      </c>
      <c r="B43" s="17" t="s">
        <v>222</v>
      </c>
      <c r="C43" s="17" t="s">
        <v>337</v>
      </c>
      <c r="D43" s="23" t="s">
        <v>87</v>
      </c>
      <c r="E43" s="23" t="s">
        <v>88</v>
      </c>
      <c r="F43" s="221">
        <f t="shared" ref="F43:F52" si="9">SUM(G43:Q43)</f>
        <v>1.9871902439798405E-4</v>
      </c>
      <c r="G43" s="100">
        <v>7.8815626877616721E-5</v>
      </c>
      <c r="H43" s="101">
        <v>9.5000000000000005E-5</v>
      </c>
      <c r="I43" s="16"/>
      <c r="J43" s="14"/>
      <c r="K43" s="102">
        <v>1.2357397520367332E-5</v>
      </c>
      <c r="L43" s="102"/>
      <c r="M43" s="102">
        <v>0</v>
      </c>
      <c r="N43" s="102">
        <v>1.2546000000000003E-5</v>
      </c>
      <c r="O43" s="102"/>
      <c r="P43" s="14"/>
      <c r="Q43" s="14"/>
      <c r="R43" s="197">
        <f>'Parameters, country spec'!E20</f>
        <v>0.4445206845179473</v>
      </c>
    </row>
    <row r="44" spans="1:18" x14ac:dyDescent="0.35">
      <c r="A44" s="22" t="s">
        <v>339</v>
      </c>
      <c r="B44" s="17" t="s">
        <v>226</v>
      </c>
      <c r="C44" s="17" t="s">
        <v>337</v>
      </c>
      <c r="D44" s="23" t="s">
        <v>87</v>
      </c>
      <c r="E44" s="23" t="s">
        <v>88</v>
      </c>
      <c r="F44" s="221">
        <f t="shared" si="9"/>
        <v>1.9956753055993292E-4</v>
      </c>
      <c r="G44" s="100">
        <v>7.134532609711123E-5</v>
      </c>
      <c r="H44" s="101">
        <v>9.5000000000000005E-5</v>
      </c>
      <c r="I44" s="16"/>
      <c r="J44" s="14"/>
      <c r="K44" s="102">
        <v>2.0676204462821701E-5</v>
      </c>
      <c r="L44" s="102"/>
      <c r="M44" s="102">
        <v>0</v>
      </c>
      <c r="N44" s="102">
        <v>1.2546000000000003E-5</v>
      </c>
      <c r="O44" s="102"/>
      <c r="P44" s="14"/>
      <c r="Q44" s="14"/>
      <c r="R44" s="197">
        <f>'Parameters, country spec'!E21</f>
        <v>6.0948374004472276E-2</v>
      </c>
    </row>
    <row r="45" spans="1:18" x14ac:dyDescent="0.35">
      <c r="A45" s="22" t="s">
        <v>340</v>
      </c>
      <c r="B45" s="17" t="s">
        <v>227</v>
      </c>
      <c r="C45" s="17" t="s">
        <v>337</v>
      </c>
      <c r="D45" s="23" t="s">
        <v>87</v>
      </c>
      <c r="E45" s="23" t="s">
        <v>88</v>
      </c>
      <c r="F45" s="221">
        <f t="shared" si="9"/>
        <v>1.840193507270561E-4</v>
      </c>
      <c r="G45" s="100">
        <v>6.2842418816841267E-5</v>
      </c>
      <c r="H45" s="101">
        <v>9.5000000000000005E-5</v>
      </c>
      <c r="I45" s="14"/>
      <c r="J45" s="14"/>
      <c r="K45" s="102">
        <v>1.3630931910214812E-5</v>
      </c>
      <c r="L45" s="102"/>
      <c r="M45" s="102">
        <v>0</v>
      </c>
      <c r="N45" s="102">
        <v>1.2546000000000003E-5</v>
      </c>
      <c r="O45" s="102"/>
      <c r="P45" s="14"/>
      <c r="Q45" s="14"/>
      <c r="R45" s="197">
        <f>'Parameters, country spec'!E22</f>
        <v>6.0703727508641431E-4</v>
      </c>
    </row>
    <row r="46" spans="1:18" x14ac:dyDescent="0.35">
      <c r="A46" s="22" t="s">
        <v>341</v>
      </c>
      <c r="B46" s="17" t="s">
        <v>228</v>
      </c>
      <c r="C46" s="17" t="s">
        <v>337</v>
      </c>
      <c r="D46" s="23" t="s">
        <v>87</v>
      </c>
      <c r="E46" s="23" t="s">
        <v>88</v>
      </c>
      <c r="F46" s="221">
        <f t="shared" si="9"/>
        <v>2.1322851393583626E-4</v>
      </c>
      <c r="G46" s="100">
        <v>9.2769916609057948E-5</v>
      </c>
      <c r="H46" s="101">
        <v>9.5000000000000005E-5</v>
      </c>
      <c r="I46" s="14"/>
      <c r="J46" s="14"/>
      <c r="K46" s="102">
        <v>1.291259732677831E-5</v>
      </c>
      <c r="L46" s="102"/>
      <c r="M46" s="102">
        <v>0</v>
      </c>
      <c r="N46" s="102">
        <v>1.2546000000000003E-5</v>
      </c>
      <c r="O46" s="102"/>
      <c r="P46" s="14"/>
      <c r="Q46" s="14"/>
      <c r="R46" s="197">
        <f>'Parameters, country spec'!E23</f>
        <v>1.4335515592498327E-2</v>
      </c>
    </row>
    <row r="47" spans="1:18" x14ac:dyDescent="0.35">
      <c r="A47" s="22" t="s">
        <v>342</v>
      </c>
      <c r="B47" s="17" t="s">
        <v>229</v>
      </c>
      <c r="C47" s="17" t="s">
        <v>343</v>
      </c>
      <c r="D47" s="23" t="s">
        <v>87</v>
      </c>
      <c r="E47" s="23" t="s">
        <v>88</v>
      </c>
      <c r="F47" s="221">
        <f t="shared" si="9"/>
        <v>1.3280125199673234E-4</v>
      </c>
      <c r="G47" s="100">
        <v>0</v>
      </c>
      <c r="H47" s="101">
        <v>9.5000000000000005E-5</v>
      </c>
      <c r="I47" s="16"/>
      <c r="J47" s="14"/>
      <c r="K47" s="102">
        <v>2.5255251996732317E-5</v>
      </c>
      <c r="L47" s="102"/>
      <c r="M47" s="102">
        <v>0</v>
      </c>
      <c r="N47" s="102">
        <v>1.2546000000000003E-5</v>
      </c>
      <c r="O47" s="102"/>
      <c r="P47" s="14"/>
      <c r="Q47" s="14"/>
      <c r="R47" s="197">
        <f>'Parameters, country spec'!E24</f>
        <v>2.4245622511489488E-3</v>
      </c>
    </row>
    <row r="48" spans="1:18" x14ac:dyDescent="0.35">
      <c r="A48" s="22" t="s">
        <v>344</v>
      </c>
      <c r="B48" s="17" t="s">
        <v>230</v>
      </c>
      <c r="C48" s="17" t="s">
        <v>343</v>
      </c>
      <c r="D48" s="23" t="s">
        <v>87</v>
      </c>
      <c r="E48" s="23" t="s">
        <v>88</v>
      </c>
      <c r="F48" s="221">
        <f t="shared" si="9"/>
        <v>1.4931770127423491E-4</v>
      </c>
      <c r="G48" s="100">
        <v>3.9865279409015522E-6</v>
      </c>
      <c r="H48" s="101">
        <v>9.5000000000000005E-5</v>
      </c>
      <c r="I48" s="16"/>
      <c r="J48" s="14"/>
      <c r="K48" s="102">
        <v>3.7785173333333341E-5</v>
      </c>
      <c r="L48" s="102"/>
      <c r="M48" s="102">
        <v>0</v>
      </c>
      <c r="N48" s="102">
        <v>1.2546000000000003E-5</v>
      </c>
      <c r="O48" s="102"/>
      <c r="P48" s="14"/>
      <c r="Q48" s="14"/>
      <c r="R48" s="197">
        <f>'Parameters, country spec'!E25</f>
        <v>2.3817191194450719E-3</v>
      </c>
    </row>
    <row r="49" spans="1:18" x14ac:dyDescent="0.35">
      <c r="B49" s="18" t="s">
        <v>231</v>
      </c>
      <c r="C49" s="17" t="s">
        <v>345</v>
      </c>
      <c r="D49" s="23" t="str">
        <f>'Off-farm feed'!$D$75</f>
        <v>France, Germany, Poland</v>
      </c>
      <c r="E49" s="23" t="s">
        <v>82</v>
      </c>
      <c r="F49" s="222">
        <f>'Off-farm feed'!$E$75</f>
        <v>3.8246443678729497E-4</v>
      </c>
      <c r="G49" s="222">
        <f>'Off-farm feed'!$F$75</f>
        <v>1.684774766302073E-4</v>
      </c>
      <c r="H49" s="222">
        <f>'Off-farm feed'!$G$75</f>
        <v>4.5862068965517246E-5</v>
      </c>
      <c r="I49" s="222">
        <f>'Off-farm feed'!$H$75</f>
        <v>0</v>
      </c>
      <c r="J49" s="222">
        <f>'Off-farm feed'!$I$75</f>
        <v>0</v>
      </c>
      <c r="K49" s="222">
        <f>'Off-farm feed'!$J$75</f>
        <v>1.0936279334641699E-5</v>
      </c>
      <c r="L49" s="222">
        <f>'Off-farm feed'!$K$75</f>
        <v>0</v>
      </c>
      <c r="M49" s="222">
        <f>'Off-farm feed'!$L$75</f>
        <v>6.4606960551724142E-7</v>
      </c>
      <c r="N49" s="222">
        <f>'Off-farm feed'!$M$75</f>
        <v>2.1884761697575221E-5</v>
      </c>
      <c r="O49" s="222">
        <f>'Off-farm feed'!$N$75</f>
        <v>0</v>
      </c>
      <c r="P49" s="222">
        <f>'Off-farm feed'!$O$75</f>
        <v>4.5962128379923281E-5</v>
      </c>
      <c r="Q49" s="222">
        <f>'Off-farm feed'!$P$75</f>
        <v>8.8695652173913049E-5</v>
      </c>
      <c r="R49" s="197">
        <f>'Parameters, country spec'!E26</f>
        <v>1.1388487134632584E-2</v>
      </c>
    </row>
    <row r="50" spans="1:18" x14ac:dyDescent="0.35">
      <c r="B50" s="18" t="s">
        <v>346</v>
      </c>
      <c r="C50" s="17" t="s">
        <v>345</v>
      </c>
      <c r="D50" s="23" t="str">
        <f>'Off-farm feed'!$D$24</f>
        <v>Brazil, Argentina</v>
      </c>
      <c r="E50" s="23"/>
      <c r="F50" s="222">
        <f>'Off-farm feed'!$E$24</f>
        <v>4.7266553697523981E-4</v>
      </c>
      <c r="G50" s="222">
        <f>'Off-farm feed'!$F$24</f>
        <v>1.5603516238625262E-5</v>
      </c>
      <c r="H50" s="222">
        <f>'Off-farm feed'!$G$24</f>
        <v>7.5304878048780503E-5</v>
      </c>
      <c r="I50" s="222">
        <f>'Off-farm feed'!$H$24</f>
        <v>0</v>
      </c>
      <c r="J50" s="222">
        <f>'Off-farm feed'!$I$24</f>
        <v>0</v>
      </c>
      <c r="K50" s="222">
        <f>'Off-farm feed'!$J$24</f>
        <v>1.908459074435586E-5</v>
      </c>
      <c r="L50" s="222">
        <f>'Off-farm feed'!$K$24</f>
        <v>0</v>
      </c>
      <c r="M50" s="222">
        <f>'Off-farm feed'!$L$24</f>
        <v>5.9672097439024396E-7</v>
      </c>
      <c r="N50" s="222">
        <f>'Off-farm feed'!$M$24</f>
        <v>2.3084271612619523E-5</v>
      </c>
      <c r="O50" s="222">
        <f>'Off-farm feed'!$N$24</f>
        <v>0</v>
      </c>
      <c r="P50" s="222">
        <f>'Off-farm feed'!$O$24</f>
        <v>1.2899155935646844E-4</v>
      </c>
      <c r="Q50" s="222">
        <f>'Off-farm feed'!$P$24</f>
        <v>2.1000000000000001E-4</v>
      </c>
      <c r="R50" s="197">
        <f>'Parameters, country spec'!E27</f>
        <v>0.1766138896591114</v>
      </c>
    </row>
    <row r="51" spans="1:18" x14ac:dyDescent="0.35">
      <c r="B51" s="17" t="s">
        <v>233</v>
      </c>
      <c r="C51" s="17" t="s">
        <v>347</v>
      </c>
      <c r="D51" s="23" t="s">
        <v>87</v>
      </c>
      <c r="E51" s="23" t="s">
        <v>88</v>
      </c>
      <c r="F51" s="222"/>
      <c r="G51" s="14"/>
      <c r="H51" s="14"/>
      <c r="I51" s="14"/>
      <c r="J51" s="14"/>
      <c r="K51" s="14"/>
      <c r="L51" s="14"/>
      <c r="M51" s="14"/>
      <c r="N51" s="14"/>
      <c r="O51" s="14"/>
      <c r="P51" s="8"/>
      <c r="Q51" s="14"/>
      <c r="R51" s="197">
        <f>'Parameters, country spec'!E28</f>
        <v>9.4320640710051112E-2</v>
      </c>
    </row>
    <row r="52" spans="1:18" x14ac:dyDescent="0.35">
      <c r="A52" s="83"/>
      <c r="B52" s="17" t="s">
        <v>348</v>
      </c>
      <c r="C52" s="84" t="s">
        <v>349</v>
      </c>
      <c r="D52" s="23" t="s">
        <v>87</v>
      </c>
      <c r="E52" s="23" t="s">
        <v>88</v>
      </c>
      <c r="F52" s="222">
        <f t="shared" si="9"/>
        <v>1.850763952175399E-4</v>
      </c>
      <c r="G52" s="82">
        <f t="shared" ref="G52:N52" si="10">AVERAGE(G42:G50)</f>
        <v>6.3863500087274442E-5</v>
      </c>
      <c r="H52" s="82">
        <f t="shared" si="10"/>
        <v>8.7351883001588647E-5</v>
      </c>
      <c r="I52" s="82">
        <f t="shared" si="10"/>
        <v>0</v>
      </c>
      <c r="J52" s="82">
        <f t="shared" si="10"/>
        <v>0</v>
      </c>
      <c r="K52" s="82">
        <f t="shared" si="10"/>
        <v>1.8968365029776536E-5</v>
      </c>
      <c r="L52" s="82">
        <f t="shared" si="10"/>
        <v>0</v>
      </c>
      <c r="M52" s="82">
        <f t="shared" si="10"/>
        <v>1.3808784221194281E-7</v>
      </c>
      <c r="N52" s="82">
        <f t="shared" si="10"/>
        <v>1.4754559256688307E-5</v>
      </c>
      <c r="O52" s="82"/>
      <c r="P52" s="81"/>
      <c r="Q52" s="82"/>
      <c r="R52" s="197">
        <f>'Parameters, country spec'!E29</f>
        <v>7.550808198426022E-2</v>
      </c>
    </row>
    <row r="53" spans="1:18" x14ac:dyDescent="0.35">
      <c r="A53" s="195"/>
      <c r="B53" s="25" t="s">
        <v>350</v>
      </c>
      <c r="C53" s="26"/>
      <c r="D53" s="103"/>
      <c r="E53" s="103"/>
      <c r="F53" s="46">
        <f t="shared" ref="F53:O53" si="11">SUMPRODUCT(F42:F52,$R$42:$R$52)</f>
        <v>2.303104980482422E-4</v>
      </c>
      <c r="G53" s="46">
        <f>SUMPRODUCT(G42:G52,$R$42:$R$52)</f>
        <v>5.9722742703801748E-5</v>
      </c>
      <c r="H53" s="46">
        <f t="shared" si="11"/>
        <v>8.1424005696679807E-5</v>
      </c>
      <c r="I53" s="46">
        <f t="shared" si="11"/>
        <v>0</v>
      </c>
      <c r="J53" s="46">
        <f t="shared" si="11"/>
        <v>0</v>
      </c>
      <c r="K53" s="46">
        <f t="shared" si="11"/>
        <v>1.4139432848654193E-5</v>
      </c>
      <c r="L53" s="46">
        <f t="shared" si="11"/>
        <v>0</v>
      </c>
      <c r="M53" s="46">
        <f t="shared" si="11"/>
        <v>1.2317371582951521E-7</v>
      </c>
      <c r="N53" s="46">
        <f t="shared" si="11"/>
        <v>1.3496976822307985E-5</v>
      </c>
      <c r="O53" s="46">
        <f t="shared" si="11"/>
        <v>0</v>
      </c>
      <c r="P53" s="30">
        <f>SUMPRODUCT(P42:P52,R42:R52)</f>
        <v>2.3305140138875125E-5</v>
      </c>
      <c r="Q53" s="46">
        <f>SUMPRODUCT(Q42:Q52,$R$42:$R$52)</f>
        <v>3.809902612209385E-5</v>
      </c>
      <c r="R53" s="207"/>
    </row>
    <row r="54" spans="1:18" x14ac:dyDescent="0.35">
      <c r="A54" s="22" t="s">
        <v>336</v>
      </c>
      <c r="B54" s="17" t="s">
        <v>218</v>
      </c>
      <c r="C54" s="17" t="s">
        <v>337</v>
      </c>
      <c r="D54" s="23" t="s">
        <v>89</v>
      </c>
      <c r="E54" s="23" t="s">
        <v>90</v>
      </c>
      <c r="F54" s="223">
        <f>SUM(G54:Q54)</f>
        <v>2.0655355021385218E-4</v>
      </c>
      <c r="G54" s="201">
        <v>8.0930691575108743E-5</v>
      </c>
      <c r="H54" s="202">
        <v>9.5000000000000005E-5</v>
      </c>
      <c r="I54" s="203"/>
      <c r="J54" s="204"/>
      <c r="K54" s="205">
        <v>1.8076858638743458E-5</v>
      </c>
      <c r="L54" s="205"/>
      <c r="M54" s="205">
        <v>0</v>
      </c>
      <c r="N54" s="205">
        <v>1.2546000000000003E-5</v>
      </c>
      <c r="O54" s="205"/>
      <c r="P54" s="14"/>
      <c r="Q54" s="204"/>
      <c r="R54" s="208">
        <f>'Parameters, country spec'!F19</f>
        <v>0.35769369893493091</v>
      </c>
    </row>
    <row r="55" spans="1:18" x14ac:dyDescent="0.35">
      <c r="A55" s="22" t="s">
        <v>338</v>
      </c>
      <c r="B55" s="17" t="s">
        <v>222</v>
      </c>
      <c r="C55" s="17" t="s">
        <v>337</v>
      </c>
      <c r="D55" s="23" t="s">
        <v>89</v>
      </c>
      <c r="E55" s="23" t="s">
        <v>90</v>
      </c>
      <c r="F55" s="221">
        <f t="shared" ref="F55:F64" si="12">SUM(G55:Q55)</f>
        <v>1.9871902439798405E-4</v>
      </c>
      <c r="G55" s="100">
        <v>7.8815626877616721E-5</v>
      </c>
      <c r="H55" s="101">
        <v>9.5000000000000005E-5</v>
      </c>
      <c r="I55" s="16"/>
      <c r="J55" s="14"/>
      <c r="K55" s="102">
        <v>1.2357397520367332E-5</v>
      </c>
      <c r="L55" s="102"/>
      <c r="M55" s="102">
        <v>0</v>
      </c>
      <c r="N55" s="102">
        <v>1.2546000000000003E-5</v>
      </c>
      <c r="O55" s="102"/>
      <c r="P55" s="14"/>
      <c r="Q55" s="14"/>
      <c r="R55" s="197">
        <f>'Parameters, country spec'!F20</f>
        <v>0.19740565028979015</v>
      </c>
    </row>
    <row r="56" spans="1:18" x14ac:dyDescent="0.35">
      <c r="A56" s="22" t="s">
        <v>339</v>
      </c>
      <c r="B56" s="17" t="s">
        <v>226</v>
      </c>
      <c r="C56" s="17" t="s">
        <v>337</v>
      </c>
      <c r="D56" s="23" t="s">
        <v>89</v>
      </c>
      <c r="E56" s="23" t="s">
        <v>90</v>
      </c>
      <c r="F56" s="221">
        <f t="shared" si="12"/>
        <v>1.9956753055993292E-4</v>
      </c>
      <c r="G56" s="100">
        <v>7.134532609711123E-5</v>
      </c>
      <c r="H56" s="101">
        <v>9.5000000000000005E-5</v>
      </c>
      <c r="I56" s="16"/>
      <c r="J56" s="14"/>
      <c r="K56" s="102">
        <v>2.0676204462821701E-5</v>
      </c>
      <c r="L56" s="102"/>
      <c r="M56" s="102">
        <v>0</v>
      </c>
      <c r="N56" s="102">
        <v>1.2546000000000003E-5</v>
      </c>
      <c r="O56" s="102"/>
      <c r="P56" s="14"/>
      <c r="Q56" s="14"/>
      <c r="R56" s="197">
        <f>'Parameters, country spec'!F21</f>
        <v>1.3836768791199148E-3</v>
      </c>
    </row>
    <row r="57" spans="1:18" x14ac:dyDescent="0.35">
      <c r="A57" s="22" t="s">
        <v>340</v>
      </c>
      <c r="B57" s="17" t="s">
        <v>227</v>
      </c>
      <c r="C57" s="17" t="s">
        <v>337</v>
      </c>
      <c r="D57" s="23" t="s">
        <v>89</v>
      </c>
      <c r="E57" s="23" t="s">
        <v>90</v>
      </c>
      <c r="F57" s="221">
        <f t="shared" si="12"/>
        <v>1.840193507270561E-4</v>
      </c>
      <c r="G57" s="100">
        <v>6.2842418816841267E-5</v>
      </c>
      <c r="H57" s="101">
        <v>9.5000000000000005E-5</v>
      </c>
      <c r="I57" s="14"/>
      <c r="J57" s="14"/>
      <c r="K57" s="102">
        <v>1.3630931910214812E-5</v>
      </c>
      <c r="L57" s="102"/>
      <c r="M57" s="102">
        <v>0</v>
      </c>
      <c r="N57" s="102">
        <v>1.2546000000000003E-5</v>
      </c>
      <c r="O57" s="102"/>
      <c r="P57" s="14"/>
      <c r="Q57" s="14"/>
      <c r="R57" s="197">
        <f>'Parameters, country spec'!F22</f>
        <v>0</v>
      </c>
    </row>
    <row r="58" spans="1:18" x14ac:dyDescent="0.35">
      <c r="A58" s="22" t="s">
        <v>341</v>
      </c>
      <c r="B58" s="17" t="s">
        <v>228</v>
      </c>
      <c r="C58" s="17" t="s">
        <v>337</v>
      </c>
      <c r="D58" s="23" t="s">
        <v>89</v>
      </c>
      <c r="E58" s="23" t="s">
        <v>90</v>
      </c>
      <c r="F58" s="221">
        <f t="shared" si="12"/>
        <v>2.1322851393583626E-4</v>
      </c>
      <c r="G58" s="100">
        <v>9.2769916609057948E-5</v>
      </c>
      <c r="H58" s="101">
        <v>9.5000000000000005E-5</v>
      </c>
      <c r="I58" s="14"/>
      <c r="J58" s="14"/>
      <c r="K58" s="102">
        <v>1.291259732677831E-5</v>
      </c>
      <c r="L58" s="102"/>
      <c r="M58" s="102">
        <v>0</v>
      </c>
      <c r="N58" s="102">
        <v>1.2546000000000003E-5</v>
      </c>
      <c r="O58" s="102"/>
      <c r="P58" s="14"/>
      <c r="Q58" s="14"/>
      <c r="R58" s="197">
        <f>'Parameters, country spec'!F23</f>
        <v>0.1474878287151572</v>
      </c>
    </row>
    <row r="59" spans="1:18" x14ac:dyDescent="0.35">
      <c r="A59" s="22" t="s">
        <v>342</v>
      </c>
      <c r="B59" s="17" t="s">
        <v>229</v>
      </c>
      <c r="C59" s="17" t="s">
        <v>343</v>
      </c>
      <c r="D59" s="23" t="s">
        <v>89</v>
      </c>
      <c r="E59" s="23" t="s">
        <v>90</v>
      </c>
      <c r="F59" s="221">
        <f t="shared" si="12"/>
        <v>1.3280125199673234E-4</v>
      </c>
      <c r="G59" s="100">
        <v>0</v>
      </c>
      <c r="H59" s="101">
        <v>9.5000000000000005E-5</v>
      </c>
      <c r="I59" s="16"/>
      <c r="J59" s="14"/>
      <c r="K59" s="102">
        <v>2.5255251996732317E-5</v>
      </c>
      <c r="L59" s="102"/>
      <c r="M59" s="102">
        <v>0</v>
      </c>
      <c r="N59" s="102">
        <v>1.2546000000000003E-5</v>
      </c>
      <c r="O59" s="102"/>
      <c r="P59" s="14"/>
      <c r="Q59" s="14"/>
      <c r="R59" s="197">
        <f>'Parameters, country spec'!F24</f>
        <v>6.7657806685813464E-4</v>
      </c>
    </row>
    <row r="60" spans="1:18" x14ac:dyDescent="0.35">
      <c r="A60" s="22" t="s">
        <v>344</v>
      </c>
      <c r="B60" s="17" t="s">
        <v>230</v>
      </c>
      <c r="C60" s="17" t="s">
        <v>343</v>
      </c>
      <c r="D60" s="23" t="s">
        <v>89</v>
      </c>
      <c r="E60" s="23" t="s">
        <v>90</v>
      </c>
      <c r="F60" s="221">
        <f t="shared" si="12"/>
        <v>1.4931770127423491E-4</v>
      </c>
      <c r="G60" s="100">
        <v>3.9865279409015522E-6</v>
      </c>
      <c r="H60" s="101">
        <v>9.5000000000000005E-5</v>
      </c>
      <c r="I60" s="16"/>
      <c r="J60" s="14"/>
      <c r="K60" s="102">
        <v>3.7785173333333341E-5</v>
      </c>
      <c r="L60" s="102"/>
      <c r="M60" s="102">
        <v>0</v>
      </c>
      <c r="N60" s="102">
        <v>1.2546000000000003E-5</v>
      </c>
      <c r="O60" s="102"/>
      <c r="P60" s="14"/>
      <c r="Q60" s="14"/>
      <c r="R60" s="197">
        <f>'Parameters, country spec'!F25</f>
        <v>6.6462262074886422E-4</v>
      </c>
    </row>
    <row r="61" spans="1:18" x14ac:dyDescent="0.35">
      <c r="B61" s="18" t="s">
        <v>231</v>
      </c>
      <c r="C61" s="17" t="s">
        <v>345</v>
      </c>
      <c r="D61" s="23" t="str">
        <f>'Off-farm feed'!$D$75</f>
        <v>France, Germany, Poland</v>
      </c>
      <c r="E61" s="23" t="s">
        <v>82</v>
      </c>
      <c r="F61" s="222">
        <f>'Off-farm feed'!$E$75</f>
        <v>3.8246443678729497E-4</v>
      </c>
      <c r="G61" s="222">
        <f>'Off-farm feed'!$F$75</f>
        <v>1.684774766302073E-4</v>
      </c>
      <c r="H61" s="222">
        <f>'Off-farm feed'!$G$75</f>
        <v>4.5862068965517246E-5</v>
      </c>
      <c r="I61" s="222">
        <f>'Off-farm feed'!$H$75</f>
        <v>0</v>
      </c>
      <c r="J61" s="222">
        <f>'Off-farm feed'!$I$75</f>
        <v>0</v>
      </c>
      <c r="K61" s="222">
        <f>'Off-farm feed'!$J$75</f>
        <v>1.0936279334641699E-5</v>
      </c>
      <c r="L61" s="222">
        <f>'Off-farm feed'!$K$75</f>
        <v>0</v>
      </c>
      <c r="M61" s="222">
        <f>'Off-farm feed'!$L$75</f>
        <v>6.4606960551724142E-7</v>
      </c>
      <c r="N61" s="222">
        <f>'Off-farm feed'!$M$75</f>
        <v>2.1884761697575221E-5</v>
      </c>
      <c r="O61" s="222">
        <f>'Off-farm feed'!$N$75</f>
        <v>0</v>
      </c>
      <c r="P61" s="222">
        <f>'Off-farm feed'!$O$75</f>
        <v>4.5962128379923281E-5</v>
      </c>
      <c r="Q61" s="222">
        <f>'Off-farm feed'!$P$75</f>
        <v>8.8695652173913049E-5</v>
      </c>
      <c r="R61" s="197">
        <f>'Parameters, country spec'!F26</f>
        <v>5.1835466534919956E-3</v>
      </c>
    </row>
    <row r="62" spans="1:18" x14ac:dyDescent="0.35">
      <c r="B62" s="18" t="s">
        <v>346</v>
      </c>
      <c r="C62" s="17" t="s">
        <v>345</v>
      </c>
      <c r="D62" s="23" t="str">
        <f>'Off-farm feed'!$D$24</f>
        <v>Brazil, Argentina</v>
      </c>
      <c r="E62" s="23"/>
      <c r="F62" s="222">
        <f>'Off-farm feed'!$E$24</f>
        <v>4.7266553697523981E-4</v>
      </c>
      <c r="G62" s="222">
        <f>'Off-farm feed'!$F$24</f>
        <v>1.5603516238625262E-5</v>
      </c>
      <c r="H62" s="222">
        <f>'Off-farm feed'!$G$24</f>
        <v>7.5304878048780503E-5</v>
      </c>
      <c r="I62" s="222">
        <f>'Off-farm feed'!$H$24</f>
        <v>0</v>
      </c>
      <c r="J62" s="222">
        <f>'Off-farm feed'!$I$24</f>
        <v>0</v>
      </c>
      <c r="K62" s="222">
        <f>'Off-farm feed'!$J$24</f>
        <v>1.908459074435586E-5</v>
      </c>
      <c r="L62" s="222">
        <f>'Off-farm feed'!$K$24</f>
        <v>0</v>
      </c>
      <c r="M62" s="222">
        <f>'Off-farm feed'!$L$24</f>
        <v>5.9672097439024396E-7</v>
      </c>
      <c r="N62" s="222">
        <f>'Off-farm feed'!$M$24</f>
        <v>2.3084271612619523E-5</v>
      </c>
      <c r="O62" s="222">
        <f>'Off-farm feed'!$N$24</f>
        <v>0</v>
      </c>
      <c r="P62" s="222">
        <f>'Off-farm feed'!$O$24</f>
        <v>1.2899155935646844E-4</v>
      </c>
      <c r="Q62" s="222">
        <f>'Off-farm feed'!$P$24</f>
        <v>2.1000000000000001E-4</v>
      </c>
      <c r="R62" s="197">
        <f>'Parameters, country spec'!F27</f>
        <v>0.18330244218102648</v>
      </c>
    </row>
    <row r="63" spans="1:18" x14ac:dyDescent="0.35">
      <c r="B63" s="17" t="s">
        <v>233</v>
      </c>
      <c r="C63" s="17" t="s">
        <v>347</v>
      </c>
      <c r="D63" s="23" t="s">
        <v>89</v>
      </c>
      <c r="E63" s="23" t="s">
        <v>90</v>
      </c>
      <c r="F63" s="222"/>
      <c r="G63" s="14"/>
      <c r="H63" s="14"/>
      <c r="I63" s="14"/>
      <c r="J63" s="14"/>
      <c r="K63" s="14"/>
      <c r="L63" s="14"/>
      <c r="M63" s="14"/>
      <c r="N63" s="14"/>
      <c r="O63" s="14"/>
      <c r="P63" s="8"/>
      <c r="Q63" s="14"/>
      <c r="R63" s="197">
        <f>'Parameters, country spec'!F28</f>
        <v>3.9284247584971399E-2</v>
      </c>
    </row>
    <row r="64" spans="1:18" x14ac:dyDescent="0.35">
      <c r="A64" s="83"/>
      <c r="B64" s="17" t="s">
        <v>348</v>
      </c>
      <c r="C64" s="84" t="s">
        <v>349</v>
      </c>
      <c r="D64" s="23" t="s">
        <v>89</v>
      </c>
      <c r="E64" s="23" t="s">
        <v>90</v>
      </c>
      <c r="F64" s="222">
        <f t="shared" si="12"/>
        <v>1.850763952175399E-4</v>
      </c>
      <c r="G64" s="82">
        <f t="shared" ref="G64:N64" si="13">AVERAGE(G54:G62)</f>
        <v>6.3863500087274442E-5</v>
      </c>
      <c r="H64" s="82">
        <f t="shared" si="13"/>
        <v>8.7351883001588647E-5</v>
      </c>
      <c r="I64" s="82">
        <f t="shared" si="13"/>
        <v>0</v>
      </c>
      <c r="J64" s="82">
        <f t="shared" si="13"/>
        <v>0</v>
      </c>
      <c r="K64" s="82">
        <f t="shared" si="13"/>
        <v>1.8968365029776536E-5</v>
      </c>
      <c r="L64" s="82">
        <f t="shared" si="13"/>
        <v>0</v>
      </c>
      <c r="M64" s="82">
        <f t="shared" si="13"/>
        <v>1.3808784221194281E-7</v>
      </c>
      <c r="N64" s="82">
        <f t="shared" si="13"/>
        <v>1.4754559256688307E-5</v>
      </c>
      <c r="O64" s="82"/>
      <c r="P64" s="81"/>
      <c r="Q64" s="82"/>
      <c r="R64" s="197">
        <f>'Parameters, country spec'!F29</f>
        <v>6.6917708073904958E-2</v>
      </c>
    </row>
    <row r="65" spans="1:18" x14ac:dyDescent="0.35">
      <c r="A65" s="195"/>
      <c r="B65" s="25" t="s">
        <v>350</v>
      </c>
      <c r="C65" s="26"/>
      <c r="D65" s="103"/>
      <c r="E65" s="103"/>
      <c r="F65" s="46">
        <f t="shared" ref="F65:O65" si="14">SUMPRODUCT(F54:F64,$R$54:$R$64)</f>
        <v>2.4603315719537807E-4</v>
      </c>
      <c r="G65" s="46">
        <f>SUMPRODUCT(G54:G64,$R$54:$R$64)</f>
        <v>6.6297923037938501E-5</v>
      </c>
      <c r="H65" s="46">
        <f t="shared" si="14"/>
        <v>8.6891329308127972E-5</v>
      </c>
      <c r="I65" s="46">
        <f t="shared" si="14"/>
        <v>0</v>
      </c>
      <c r="J65" s="46">
        <f t="shared" si="14"/>
        <v>0</v>
      </c>
      <c r="K65" s="46">
        <f t="shared" si="14"/>
        <v>1.5704919003691046E-5</v>
      </c>
      <c r="L65" s="46">
        <f t="shared" si="14"/>
        <v>0</v>
      </c>
      <c r="M65" s="46">
        <f t="shared" si="14"/>
        <v>1.2196986576166951E-7</v>
      </c>
      <c r="N65" s="46">
        <f t="shared" si="14"/>
        <v>1.4181030383307307E-5</v>
      </c>
      <c r="O65" s="46">
        <f t="shared" si="14"/>
        <v>0</v>
      </c>
      <c r="P65" s="30">
        <f>SUMPRODUCT(P54:P64,R54:R64)</f>
        <v>2.3882714687530622E-5</v>
      </c>
      <c r="Q65" s="46">
        <f>SUMPRODUCT(Q54:Q64,$R$54:$R$64)</f>
        <v>3.8953270909020943E-5</v>
      </c>
      <c r="R65" s="197">
        <f>'Parameters, country spec'!F30</f>
        <v>0</v>
      </c>
    </row>
    <row r="66" spans="1:18" x14ac:dyDescent="0.35">
      <c r="A66" s="22" t="s">
        <v>336</v>
      </c>
      <c r="B66" s="17" t="s">
        <v>218</v>
      </c>
      <c r="C66" s="17" t="s">
        <v>337</v>
      </c>
      <c r="D66" s="23" t="s">
        <v>170</v>
      </c>
      <c r="E66" s="23" t="s">
        <v>92</v>
      </c>
      <c r="F66" s="223">
        <f>SUM(G66:Q66)</f>
        <v>2.0655355021385218E-4</v>
      </c>
      <c r="G66" s="201">
        <v>8.0930691575108743E-5</v>
      </c>
      <c r="H66" s="202">
        <v>9.5000000000000005E-5</v>
      </c>
      <c r="I66" s="203"/>
      <c r="J66" s="204"/>
      <c r="K66" s="205">
        <v>1.8076858638743458E-5</v>
      </c>
      <c r="L66" s="205"/>
      <c r="M66" s="205">
        <v>0</v>
      </c>
      <c r="N66" s="205">
        <v>1.2546000000000003E-5</v>
      </c>
      <c r="O66" s="205"/>
      <c r="P66" s="14"/>
      <c r="Q66" s="204"/>
      <c r="R66" s="208">
        <f>'Parameters, country spec'!G19</f>
        <v>0.15495238626757527</v>
      </c>
    </row>
    <row r="67" spans="1:18" x14ac:dyDescent="0.35">
      <c r="A67" s="22" t="s">
        <v>338</v>
      </c>
      <c r="B67" s="17" t="s">
        <v>222</v>
      </c>
      <c r="C67" s="17" t="s">
        <v>337</v>
      </c>
      <c r="D67" s="23" t="s">
        <v>170</v>
      </c>
      <c r="E67" s="23" t="s">
        <v>92</v>
      </c>
      <c r="F67" s="221">
        <f t="shared" ref="F67:F76" si="15">SUM(G67:Q67)</f>
        <v>1.9871902439798405E-4</v>
      </c>
      <c r="G67" s="100">
        <v>7.8815626877616721E-5</v>
      </c>
      <c r="H67" s="101">
        <v>9.5000000000000005E-5</v>
      </c>
      <c r="I67" s="16"/>
      <c r="J67" s="14"/>
      <c r="K67" s="102">
        <v>1.2357397520367332E-5</v>
      </c>
      <c r="L67" s="102"/>
      <c r="M67" s="102">
        <v>0</v>
      </c>
      <c r="N67" s="102">
        <v>1.2546000000000003E-5</v>
      </c>
      <c r="O67" s="102"/>
      <c r="P67" s="14"/>
      <c r="Q67" s="14"/>
      <c r="R67" s="197">
        <f>'Parameters, country spec'!G20</f>
        <v>0.12121400591694578</v>
      </c>
    </row>
    <row r="68" spans="1:18" x14ac:dyDescent="0.35">
      <c r="A68" s="22" t="s">
        <v>339</v>
      </c>
      <c r="B68" s="17" t="s">
        <v>226</v>
      </c>
      <c r="C68" s="17" t="s">
        <v>337</v>
      </c>
      <c r="D68" s="23" t="s">
        <v>170</v>
      </c>
      <c r="E68" s="23" t="s">
        <v>92</v>
      </c>
      <c r="F68" s="221">
        <f t="shared" si="15"/>
        <v>1.9956753055993292E-4</v>
      </c>
      <c r="G68" s="100">
        <v>7.134532609711123E-5</v>
      </c>
      <c r="H68" s="101">
        <v>9.5000000000000005E-5</v>
      </c>
      <c r="I68" s="16"/>
      <c r="J68" s="14"/>
      <c r="K68" s="102">
        <v>2.0676204462821701E-5</v>
      </c>
      <c r="L68" s="102"/>
      <c r="M68" s="102">
        <v>0</v>
      </c>
      <c r="N68" s="102">
        <v>1.2546000000000003E-5</v>
      </c>
      <c r="O68" s="102"/>
      <c r="P68" s="14"/>
      <c r="Q68" s="14"/>
      <c r="R68" s="197">
        <f>'Parameters, country spec'!G21</f>
        <v>5.0556019414445971E-2</v>
      </c>
    </row>
    <row r="69" spans="1:18" x14ac:dyDescent="0.35">
      <c r="A69" s="22" t="s">
        <v>340</v>
      </c>
      <c r="B69" s="17" t="s">
        <v>227</v>
      </c>
      <c r="C69" s="17" t="s">
        <v>337</v>
      </c>
      <c r="D69" s="23" t="s">
        <v>170</v>
      </c>
      <c r="E69" s="23" t="s">
        <v>92</v>
      </c>
      <c r="F69" s="221">
        <f t="shared" si="15"/>
        <v>1.840193507270561E-4</v>
      </c>
      <c r="G69" s="100">
        <v>6.2842418816841267E-5</v>
      </c>
      <c r="H69" s="101">
        <v>9.5000000000000005E-5</v>
      </c>
      <c r="I69" s="14"/>
      <c r="J69" s="14"/>
      <c r="K69" s="102">
        <v>1.3630931910214812E-5</v>
      </c>
      <c r="L69" s="102"/>
      <c r="M69" s="102">
        <v>0</v>
      </c>
      <c r="N69" s="102">
        <v>1.2546000000000003E-5</v>
      </c>
      <c r="O69" s="102"/>
      <c r="P69" s="14"/>
      <c r="Q69" s="14"/>
      <c r="R69" s="197">
        <f>'Parameters, country spec'!G22</f>
        <v>0</v>
      </c>
    </row>
    <row r="70" spans="1:18" x14ac:dyDescent="0.35">
      <c r="A70" s="22" t="s">
        <v>341</v>
      </c>
      <c r="B70" s="17" t="s">
        <v>228</v>
      </c>
      <c r="C70" s="17" t="s">
        <v>337</v>
      </c>
      <c r="D70" s="23" t="s">
        <v>170</v>
      </c>
      <c r="E70" s="23" t="s">
        <v>92</v>
      </c>
      <c r="F70" s="221">
        <f t="shared" si="15"/>
        <v>2.1322851393583626E-4</v>
      </c>
      <c r="G70" s="100">
        <v>9.2769916609057948E-5</v>
      </c>
      <c r="H70" s="101">
        <v>9.5000000000000005E-5</v>
      </c>
      <c r="I70" s="14"/>
      <c r="J70" s="14"/>
      <c r="K70" s="102">
        <v>1.291259732677831E-5</v>
      </c>
      <c r="L70" s="102"/>
      <c r="M70" s="102">
        <v>0</v>
      </c>
      <c r="N70" s="102">
        <v>1.2546000000000003E-5</v>
      </c>
      <c r="O70" s="102"/>
      <c r="P70" s="14"/>
      <c r="Q70" s="14"/>
      <c r="R70" s="197">
        <f>'Parameters, country spec'!G23</f>
        <v>0.40254480100475204</v>
      </c>
    </row>
    <row r="71" spans="1:18" x14ac:dyDescent="0.35">
      <c r="A71" s="22" t="s">
        <v>342</v>
      </c>
      <c r="B71" s="17" t="s">
        <v>229</v>
      </c>
      <c r="C71" s="17" t="s">
        <v>343</v>
      </c>
      <c r="D71" s="23" t="s">
        <v>170</v>
      </c>
      <c r="E71" s="23" t="s">
        <v>92</v>
      </c>
      <c r="F71" s="221">
        <f t="shared" si="15"/>
        <v>1.3280125199673234E-4</v>
      </c>
      <c r="G71" s="100">
        <v>0</v>
      </c>
      <c r="H71" s="101">
        <v>9.5000000000000005E-5</v>
      </c>
      <c r="I71" s="16"/>
      <c r="J71" s="14"/>
      <c r="K71" s="102">
        <v>2.5255251996732317E-5</v>
      </c>
      <c r="L71" s="102"/>
      <c r="M71" s="102">
        <v>0</v>
      </c>
      <c r="N71" s="102">
        <v>1.2546000000000003E-5</v>
      </c>
      <c r="O71" s="102"/>
      <c r="P71" s="14"/>
      <c r="Q71" s="14"/>
      <c r="R71" s="197">
        <f>'Parameters, country spec'!G24</f>
        <v>1.3122007250283157E-3</v>
      </c>
    </row>
    <row r="72" spans="1:18" x14ac:dyDescent="0.35">
      <c r="A72" s="22" t="s">
        <v>344</v>
      </c>
      <c r="B72" s="17" t="s">
        <v>230</v>
      </c>
      <c r="C72" s="17" t="s">
        <v>343</v>
      </c>
      <c r="D72" s="23" t="s">
        <v>170</v>
      </c>
      <c r="E72" s="23" t="s">
        <v>92</v>
      </c>
      <c r="F72" s="221">
        <f t="shared" si="15"/>
        <v>1.4931770127423491E-4</v>
      </c>
      <c r="G72" s="100">
        <v>3.9865279409015522E-6</v>
      </c>
      <c r="H72" s="101">
        <v>9.5000000000000005E-5</v>
      </c>
      <c r="I72" s="16"/>
      <c r="J72" s="14"/>
      <c r="K72" s="102">
        <v>3.7785173333333341E-5</v>
      </c>
      <c r="L72" s="102"/>
      <c r="M72" s="102">
        <v>0</v>
      </c>
      <c r="N72" s="102">
        <v>1.2546000000000003E-5</v>
      </c>
      <c r="O72" s="102"/>
      <c r="P72" s="14"/>
      <c r="Q72" s="14"/>
      <c r="R72" s="197">
        <f>'Parameters, country spec'!G25</f>
        <v>1.2890135329516415E-3</v>
      </c>
    </row>
    <row r="73" spans="1:18" x14ac:dyDescent="0.35">
      <c r="B73" s="18" t="s">
        <v>231</v>
      </c>
      <c r="C73" s="17" t="s">
        <v>345</v>
      </c>
      <c r="D73" s="23" t="str">
        <f>'Off-farm feed'!$D$75</f>
        <v>France, Germany, Poland</v>
      </c>
      <c r="E73" s="23" t="s">
        <v>82</v>
      </c>
      <c r="F73" s="222">
        <f>'Off-farm feed'!$E$75</f>
        <v>3.8246443678729497E-4</v>
      </c>
      <c r="G73" s="222">
        <f>'Off-farm feed'!$F$75</f>
        <v>1.684774766302073E-4</v>
      </c>
      <c r="H73" s="222">
        <f>'Off-farm feed'!$G$75</f>
        <v>4.5862068965517246E-5</v>
      </c>
      <c r="I73" s="222">
        <f>'Off-farm feed'!$H$75</f>
        <v>0</v>
      </c>
      <c r="J73" s="222">
        <f>'Off-farm feed'!$I$75</f>
        <v>0</v>
      </c>
      <c r="K73" s="222">
        <f>'Off-farm feed'!$J$75</f>
        <v>1.0936279334641699E-5</v>
      </c>
      <c r="L73" s="222">
        <f>'Off-farm feed'!$K$75</f>
        <v>0</v>
      </c>
      <c r="M73" s="222">
        <f>'Off-farm feed'!$L$75</f>
        <v>6.4606960551724142E-7</v>
      </c>
      <c r="N73" s="222">
        <f>'Off-farm feed'!$M$75</f>
        <v>2.1884761697575221E-5</v>
      </c>
      <c r="O73" s="222">
        <f>'Off-farm feed'!$N$75</f>
        <v>0</v>
      </c>
      <c r="P73" s="222">
        <f>'Off-farm feed'!$O$75</f>
        <v>4.5962128379923281E-5</v>
      </c>
      <c r="Q73" s="222">
        <f>'Off-farm feed'!$P$75</f>
        <v>8.8695652173913049E-5</v>
      </c>
      <c r="R73" s="197">
        <f>'Parameters, country spec'!G26</f>
        <v>5.5807970406811222E-2</v>
      </c>
    </row>
    <row r="74" spans="1:18" x14ac:dyDescent="0.35">
      <c r="B74" s="18" t="s">
        <v>346</v>
      </c>
      <c r="C74" s="17" t="s">
        <v>345</v>
      </c>
      <c r="D74" s="23" t="str">
        <f>'Off-farm feed'!$D$24</f>
        <v>Brazil, Argentina</v>
      </c>
      <c r="E74" s="23"/>
      <c r="F74" s="222">
        <f>'Off-farm feed'!$E$24</f>
        <v>4.7266553697523981E-4</v>
      </c>
      <c r="G74" s="222">
        <f>'Off-farm feed'!$F$24</f>
        <v>1.5603516238625262E-5</v>
      </c>
      <c r="H74" s="222">
        <f>'Off-farm feed'!$G$24</f>
        <v>7.5304878048780503E-5</v>
      </c>
      <c r="I74" s="222">
        <f>'Off-farm feed'!$H$24</f>
        <v>0</v>
      </c>
      <c r="J74" s="222">
        <f>'Off-farm feed'!$I$24</f>
        <v>0</v>
      </c>
      <c r="K74" s="222">
        <f>'Off-farm feed'!$J$24</f>
        <v>1.908459074435586E-5</v>
      </c>
      <c r="L74" s="222">
        <f>'Off-farm feed'!$K$24</f>
        <v>0</v>
      </c>
      <c r="M74" s="222">
        <f>'Off-farm feed'!$L$24</f>
        <v>5.9672097439024396E-7</v>
      </c>
      <c r="N74" s="222">
        <f>'Off-farm feed'!$M$24</f>
        <v>2.3084271612619523E-5</v>
      </c>
      <c r="O74" s="222">
        <f>'Off-farm feed'!$N$24</f>
        <v>0</v>
      </c>
      <c r="P74" s="222">
        <f>'Off-farm feed'!$O$24</f>
        <v>1.2899155935646844E-4</v>
      </c>
      <c r="Q74" s="222">
        <f>'Off-farm feed'!$P$24</f>
        <v>2.1000000000000001E-4</v>
      </c>
      <c r="R74" s="197">
        <f>'Parameters, country spec'!G27</f>
        <v>9.2843535472153071E-2</v>
      </c>
    </row>
    <row r="75" spans="1:18" x14ac:dyDescent="0.35">
      <c r="B75" s="17" t="s">
        <v>233</v>
      </c>
      <c r="C75" s="17" t="s">
        <v>347</v>
      </c>
      <c r="D75" s="23" t="s">
        <v>170</v>
      </c>
      <c r="E75" s="23" t="s">
        <v>92</v>
      </c>
      <c r="F75" s="222"/>
      <c r="G75" s="14"/>
      <c r="H75" s="14"/>
      <c r="I75" s="14"/>
      <c r="J75" s="14"/>
      <c r="K75" s="14"/>
      <c r="L75" s="14"/>
      <c r="M75" s="14"/>
      <c r="N75" s="14"/>
      <c r="O75" s="14"/>
      <c r="P75" s="8"/>
      <c r="Q75" s="14"/>
      <c r="R75" s="197">
        <f>'Parameters, country spec'!G28</f>
        <v>8.2453001528588601E-2</v>
      </c>
    </row>
    <row r="76" spans="1:18" x14ac:dyDescent="0.35">
      <c r="A76" s="83"/>
      <c r="B76" s="17" t="s">
        <v>348</v>
      </c>
      <c r="C76" s="84" t="s">
        <v>349</v>
      </c>
      <c r="D76" s="23" t="s">
        <v>170</v>
      </c>
      <c r="E76" s="23" t="s">
        <v>92</v>
      </c>
      <c r="F76" s="222">
        <f t="shared" si="15"/>
        <v>1.850763952175399E-4</v>
      </c>
      <c r="G76" s="82">
        <f t="shared" ref="G76:N76" si="16">AVERAGE(G66:G74)</f>
        <v>6.3863500087274442E-5</v>
      </c>
      <c r="H76" s="82">
        <f t="shared" si="16"/>
        <v>8.7351883001588647E-5</v>
      </c>
      <c r="I76" s="82">
        <f t="shared" si="16"/>
        <v>0</v>
      </c>
      <c r="J76" s="82">
        <f t="shared" si="16"/>
        <v>0</v>
      </c>
      <c r="K76" s="82">
        <f t="shared" si="16"/>
        <v>1.8968365029776536E-5</v>
      </c>
      <c r="L76" s="82">
        <f t="shared" si="16"/>
        <v>0</v>
      </c>
      <c r="M76" s="82">
        <f t="shared" si="16"/>
        <v>1.3808784221194281E-7</v>
      </c>
      <c r="N76" s="82">
        <f t="shared" si="16"/>
        <v>1.4754559256688307E-5</v>
      </c>
      <c r="O76" s="82"/>
      <c r="P76" s="81"/>
      <c r="Q76" s="82"/>
      <c r="R76" s="197">
        <f>'Parameters, country spec'!G29</f>
        <v>3.702706573074812E-2</v>
      </c>
    </row>
    <row r="77" spans="1:18" x14ac:dyDescent="0.35">
      <c r="A77" s="195"/>
      <c r="B77" s="25" t="s">
        <v>350</v>
      </c>
      <c r="C77" s="26"/>
      <c r="D77" s="103"/>
      <c r="E77" s="103"/>
      <c r="F77" s="46">
        <f t="shared" ref="F77:O77" si="17">SUMPRODUCT(F66:F76,$R$66:$R$76)</f>
        <v>2.2446493796342824E-4</v>
      </c>
      <c r="G77" s="46">
        <f>SUMPRODUCT(G66:G76,$R$66:$R$76)</f>
        <v>7.6265833303832095E-5</v>
      </c>
      <c r="H77" s="46">
        <f t="shared" si="17"/>
        <v>8.2312924569436698E-5</v>
      </c>
      <c r="I77" s="46">
        <f t="shared" si="17"/>
        <v>0</v>
      </c>
      <c r="J77" s="46">
        <f t="shared" si="17"/>
        <v>0</v>
      </c>
      <c r="K77" s="46">
        <f t="shared" si="17"/>
        <v>1.3708548443776994E-5</v>
      </c>
      <c r="L77" s="46">
        <f t="shared" si="17"/>
        <v>0</v>
      </c>
      <c r="M77" s="46">
        <f t="shared" si="17"/>
        <v>9.6570505988423554E-8</v>
      </c>
      <c r="N77" s="46">
        <f t="shared" si="17"/>
        <v>1.3092908842325946E-5</v>
      </c>
      <c r="O77" s="46">
        <f t="shared" si="17"/>
        <v>0</v>
      </c>
      <c r="P77" s="30">
        <f>SUMPRODUCT(P66:P76,R66:R76)</f>
        <v>1.4541085517181432E-5</v>
      </c>
      <c r="Q77" s="46">
        <f>SUMPRODUCT(Q66:Q76,$R$66:$R$76)</f>
        <v>2.4447066780886707E-5</v>
      </c>
      <c r="R77" s="207"/>
    </row>
    <row r="78" spans="1:18" x14ac:dyDescent="0.35">
      <c r="A78" s="22" t="s">
        <v>336</v>
      </c>
      <c r="B78" s="17" t="s">
        <v>218</v>
      </c>
      <c r="C78" s="17" t="s">
        <v>337</v>
      </c>
      <c r="D78" s="23" t="s">
        <v>29</v>
      </c>
      <c r="E78" s="23" t="s">
        <v>93</v>
      </c>
      <c r="F78" s="223">
        <f>SUM(G78:Q78)</f>
        <v>2.1829999999999999E-4</v>
      </c>
      <c r="G78" s="201">
        <v>8.1000000000000004E-5</v>
      </c>
      <c r="H78" s="202">
        <v>1E-4</v>
      </c>
      <c r="I78" s="203"/>
      <c r="J78" s="204"/>
      <c r="K78" s="205">
        <v>1.45E-5</v>
      </c>
      <c r="L78" s="205"/>
      <c r="M78" s="205">
        <v>0</v>
      </c>
      <c r="N78" s="205">
        <v>2.2799999999999999E-5</v>
      </c>
      <c r="O78" s="205"/>
      <c r="P78" s="14"/>
      <c r="Q78" s="204"/>
      <c r="R78" s="208">
        <f>'Parameters, country spec'!H19</f>
        <v>0.3247662162385499</v>
      </c>
    </row>
    <row r="79" spans="1:18" x14ac:dyDescent="0.35">
      <c r="A79" s="22" t="s">
        <v>338</v>
      </c>
      <c r="B79" s="17" t="s">
        <v>222</v>
      </c>
      <c r="C79" s="17" t="s">
        <v>337</v>
      </c>
      <c r="D79" s="23" t="s">
        <v>29</v>
      </c>
      <c r="E79" s="23" t="s">
        <v>93</v>
      </c>
      <c r="F79" s="221">
        <f t="shared" ref="F79:F88" si="18">SUM(G79:Q79)</f>
        <v>2.2610000000000002E-4</v>
      </c>
      <c r="G79" s="100">
        <v>7.8999999999999996E-5</v>
      </c>
      <c r="H79" s="101">
        <v>1E-4</v>
      </c>
      <c r="I79" s="16"/>
      <c r="J79" s="14"/>
      <c r="K79" s="102">
        <v>1.2E-5</v>
      </c>
      <c r="L79" s="102"/>
      <c r="M79" s="102">
        <v>1.2300000000000001E-5</v>
      </c>
      <c r="N79" s="102">
        <v>2.2799999999999999E-5</v>
      </c>
      <c r="O79" s="102"/>
      <c r="P79" s="14"/>
      <c r="Q79" s="14"/>
      <c r="R79" s="197">
        <f>'Parameters, country spec'!H20</f>
        <v>1.9544149435115246E-2</v>
      </c>
    </row>
    <row r="80" spans="1:18" x14ac:dyDescent="0.35">
      <c r="A80" s="22" t="s">
        <v>339</v>
      </c>
      <c r="B80" s="17" t="s">
        <v>226</v>
      </c>
      <c r="C80" s="17" t="s">
        <v>337</v>
      </c>
      <c r="D80" s="23" t="s">
        <v>29</v>
      </c>
      <c r="E80" s="23" t="s">
        <v>93</v>
      </c>
      <c r="F80" s="221">
        <f t="shared" si="18"/>
        <v>2.1040000000000002E-4</v>
      </c>
      <c r="G80" s="100">
        <v>7.1000000000000005E-5</v>
      </c>
      <c r="H80" s="101">
        <v>1E-4</v>
      </c>
      <c r="I80" s="16"/>
      <c r="J80" s="14"/>
      <c r="K80" s="102">
        <v>1.66E-5</v>
      </c>
      <c r="L80" s="102"/>
      <c r="M80" s="102">
        <v>0</v>
      </c>
      <c r="N80" s="102">
        <v>2.2799999999999999E-5</v>
      </c>
      <c r="O80" s="102"/>
      <c r="P80" s="14"/>
      <c r="Q80" s="14"/>
      <c r="R80" s="197">
        <f>'Parameters, country spec'!H21</f>
        <v>5.4547926099966608E-3</v>
      </c>
    </row>
    <row r="81" spans="1:18" x14ac:dyDescent="0.35">
      <c r="A81" s="22" t="s">
        <v>340</v>
      </c>
      <c r="B81" s="17" t="s">
        <v>227</v>
      </c>
      <c r="C81" s="17" t="s">
        <v>337</v>
      </c>
      <c r="D81" s="23" t="s">
        <v>29</v>
      </c>
      <c r="E81" s="23" t="s">
        <v>93</v>
      </c>
      <c r="F81" s="221">
        <f t="shared" si="18"/>
        <v>1.9940000000000002E-4</v>
      </c>
      <c r="G81" s="100">
        <v>6.3E-5</v>
      </c>
      <c r="H81" s="101">
        <v>1E-4</v>
      </c>
      <c r="I81" s="14"/>
      <c r="J81" s="14"/>
      <c r="K81" s="102">
        <v>1.36E-5</v>
      </c>
      <c r="L81" s="102"/>
      <c r="M81" s="102">
        <v>0</v>
      </c>
      <c r="N81" s="102">
        <v>2.2799999999999999E-5</v>
      </c>
      <c r="O81" s="102"/>
      <c r="P81" s="14"/>
      <c r="Q81" s="14"/>
      <c r="R81" s="197">
        <f>'Parameters, country spec'!H22</f>
        <v>3.9573904033440906E-3</v>
      </c>
    </row>
    <row r="82" spans="1:18" x14ac:dyDescent="0.35">
      <c r="A82" s="22" t="s">
        <v>341</v>
      </c>
      <c r="B82" s="17" t="s">
        <v>228</v>
      </c>
      <c r="C82" s="17" t="s">
        <v>337</v>
      </c>
      <c r="D82" s="23" t="s">
        <v>29</v>
      </c>
      <c r="E82" s="23" t="s">
        <v>93</v>
      </c>
      <c r="F82" s="221">
        <f t="shared" si="18"/>
        <v>2.2831000000000001E-4</v>
      </c>
      <c r="G82" s="100">
        <v>9.2999999999999997E-5</v>
      </c>
      <c r="H82" s="101">
        <v>1E-4</v>
      </c>
      <c r="I82" s="14"/>
      <c r="J82" s="14"/>
      <c r="K82" s="102">
        <v>1.1E-5</v>
      </c>
      <c r="L82" s="102"/>
      <c r="M82" s="102">
        <v>1.5099999999999999E-6</v>
      </c>
      <c r="N82" s="102">
        <v>2.2799999999999999E-5</v>
      </c>
      <c r="O82" s="102"/>
      <c r="P82" s="14"/>
      <c r="Q82" s="14"/>
      <c r="R82" s="197">
        <f>'Parameters, country spec'!H23</f>
        <v>0.33524969269006805</v>
      </c>
    </row>
    <row r="83" spans="1:18" x14ac:dyDescent="0.35">
      <c r="A83" s="22" t="s">
        <v>342</v>
      </c>
      <c r="B83" s="17" t="s">
        <v>229</v>
      </c>
      <c r="C83" s="17" t="s">
        <v>343</v>
      </c>
      <c r="D83" s="23" t="s">
        <v>29</v>
      </c>
      <c r="E83" s="23" t="s">
        <v>93</v>
      </c>
      <c r="F83" s="221">
        <f t="shared" si="18"/>
        <v>1.4275099999999999E-4</v>
      </c>
      <c r="G83" s="100">
        <v>0</v>
      </c>
      <c r="H83" s="101">
        <v>1E-4</v>
      </c>
      <c r="I83" s="16"/>
      <c r="J83" s="14"/>
      <c r="K83" s="102">
        <v>1.9700000000000001E-5</v>
      </c>
      <c r="L83" s="102"/>
      <c r="M83" s="102">
        <v>2.5100000000000001E-7</v>
      </c>
      <c r="N83" s="102">
        <v>2.2799999999999999E-5</v>
      </c>
      <c r="O83" s="102"/>
      <c r="P83" s="14"/>
      <c r="Q83" s="14"/>
      <c r="R83" s="197">
        <f>'Parameters, country spec'!H24</f>
        <v>6.9591530195853583E-4</v>
      </c>
    </row>
    <row r="84" spans="1:18" x14ac:dyDescent="0.35">
      <c r="A84" s="22" t="s">
        <v>344</v>
      </c>
      <c r="B84" s="17" t="s">
        <v>230</v>
      </c>
      <c r="C84" s="17" t="s">
        <v>343</v>
      </c>
      <c r="D84" s="23" t="s">
        <v>29</v>
      </c>
      <c r="E84" s="23" t="s">
        <v>93</v>
      </c>
      <c r="F84" s="221">
        <f t="shared" si="18"/>
        <v>1.7640000000000001E-4</v>
      </c>
      <c r="G84" s="100">
        <v>3.9999999999999998E-6</v>
      </c>
      <c r="H84" s="101">
        <v>1E-4</v>
      </c>
      <c r="I84" s="16"/>
      <c r="J84" s="14"/>
      <c r="K84" s="102">
        <v>2.0999999999999999E-5</v>
      </c>
      <c r="L84" s="102"/>
      <c r="M84" s="102">
        <v>2.8600000000000001E-5</v>
      </c>
      <c r="N84" s="102">
        <v>2.2799999999999999E-5</v>
      </c>
      <c r="O84" s="102"/>
      <c r="P84" s="14"/>
      <c r="Q84" s="14"/>
      <c r="R84" s="197">
        <f>'Parameters, country spec'!H25</f>
        <v>6.8361815808324494E-4</v>
      </c>
    </row>
    <row r="85" spans="1:18" x14ac:dyDescent="0.35">
      <c r="B85" s="18" t="s">
        <v>231</v>
      </c>
      <c r="C85" s="17" t="s">
        <v>345</v>
      </c>
      <c r="D85" s="23" t="str">
        <f>'Off-farm feed'!$D$75</f>
        <v>France, Germany, Poland</v>
      </c>
      <c r="E85" s="23" t="s">
        <v>82</v>
      </c>
      <c r="F85" s="222">
        <f>'Off-farm feed'!$E$75</f>
        <v>3.8246443678729497E-4</v>
      </c>
      <c r="G85" s="222">
        <f>'Off-farm feed'!$F$75</f>
        <v>1.684774766302073E-4</v>
      </c>
      <c r="H85" s="222">
        <f>'Off-farm feed'!$G$75</f>
        <v>4.5862068965517246E-5</v>
      </c>
      <c r="I85" s="222">
        <f>'Off-farm feed'!$H$75</f>
        <v>0</v>
      </c>
      <c r="J85" s="222">
        <f>'Off-farm feed'!$I$75</f>
        <v>0</v>
      </c>
      <c r="K85" s="222">
        <f>'Off-farm feed'!$J$75</f>
        <v>1.0936279334641699E-5</v>
      </c>
      <c r="L85" s="222">
        <f>'Off-farm feed'!$K$75</f>
        <v>0</v>
      </c>
      <c r="M85" s="222">
        <f>'Off-farm feed'!$L$75</f>
        <v>6.4606960551724142E-7</v>
      </c>
      <c r="N85" s="222">
        <f>'Off-farm feed'!$M$75</f>
        <v>2.1884761697575221E-5</v>
      </c>
      <c r="O85" s="222">
        <f>'Off-farm feed'!$N$75</f>
        <v>0</v>
      </c>
      <c r="P85" s="222">
        <f>'Off-farm feed'!$O$75</f>
        <v>4.5962128379923281E-5</v>
      </c>
      <c r="Q85" s="222">
        <f>'Off-farm feed'!$P$75</f>
        <v>8.8695652173913049E-5</v>
      </c>
      <c r="R85" s="197">
        <f>'Parameters, country spec'!H26</f>
        <v>4.36899603839115E-2</v>
      </c>
    </row>
    <row r="86" spans="1:18" x14ac:dyDescent="0.35">
      <c r="B86" s="18" t="s">
        <v>346</v>
      </c>
      <c r="C86" s="17" t="s">
        <v>345</v>
      </c>
      <c r="D86" s="23" t="str">
        <f>'Off-farm feed'!$D$24</f>
        <v>Brazil, Argentina</v>
      </c>
      <c r="E86" s="23"/>
      <c r="F86" s="222">
        <f>'Off-farm feed'!$E$24</f>
        <v>4.7266553697523981E-4</v>
      </c>
      <c r="G86" s="222">
        <f>'Off-farm feed'!$F$24</f>
        <v>1.5603516238625262E-5</v>
      </c>
      <c r="H86" s="222">
        <f>'Off-farm feed'!$G$24</f>
        <v>7.5304878048780503E-5</v>
      </c>
      <c r="I86" s="222">
        <f>'Off-farm feed'!$H$24</f>
        <v>0</v>
      </c>
      <c r="J86" s="222">
        <f>'Off-farm feed'!$I$24</f>
        <v>0</v>
      </c>
      <c r="K86" s="222">
        <f>'Off-farm feed'!$J$24</f>
        <v>1.908459074435586E-5</v>
      </c>
      <c r="L86" s="222">
        <f>'Off-farm feed'!$K$24</f>
        <v>0</v>
      </c>
      <c r="M86" s="222">
        <f>'Off-farm feed'!$L$24</f>
        <v>5.9672097439024396E-7</v>
      </c>
      <c r="N86" s="222">
        <f>'Off-farm feed'!$M$24</f>
        <v>2.3084271612619523E-5</v>
      </c>
      <c r="O86" s="222">
        <f>'Off-farm feed'!$N$24</f>
        <v>0</v>
      </c>
      <c r="P86" s="222">
        <f>'Off-farm feed'!$O$24</f>
        <v>1.2899155935646844E-4</v>
      </c>
      <c r="Q86" s="222">
        <f>'Off-farm feed'!$P$24</f>
        <v>2.1000000000000001E-4</v>
      </c>
      <c r="R86" s="197">
        <f>'Parameters, country spec'!H27</f>
        <v>0.1076444790964969</v>
      </c>
    </row>
    <row r="87" spans="1:18" x14ac:dyDescent="0.35">
      <c r="B87" s="17" t="s">
        <v>233</v>
      </c>
      <c r="C87" s="17" t="s">
        <v>347</v>
      </c>
      <c r="D87" s="23" t="s">
        <v>29</v>
      </c>
      <c r="E87" s="23" t="s">
        <v>93</v>
      </c>
      <c r="F87" s="222"/>
      <c r="G87" s="14"/>
      <c r="H87" s="14"/>
      <c r="I87" s="14"/>
      <c r="J87" s="14"/>
      <c r="K87" s="14"/>
      <c r="L87" s="14"/>
      <c r="M87" s="14"/>
      <c r="N87" s="14"/>
      <c r="O87" s="14"/>
      <c r="P87" s="8"/>
      <c r="Q87" s="14"/>
      <c r="R87" s="197">
        <f>'Parameters, country spec'!H28</f>
        <v>1.7669178559904096E-2</v>
      </c>
    </row>
    <row r="88" spans="1:18" x14ac:dyDescent="0.35">
      <c r="A88" s="83"/>
      <c r="B88" s="17" t="s">
        <v>348</v>
      </c>
      <c r="C88" s="84" t="s">
        <v>349</v>
      </c>
      <c r="D88" s="23" t="s">
        <v>29</v>
      </c>
      <c r="E88" s="23" t="s">
        <v>93</v>
      </c>
      <c r="F88" s="222">
        <f t="shared" si="18"/>
        <v>1.981268482058033E-4</v>
      </c>
      <c r="G88" s="82">
        <f t="shared" ref="G88:N88" si="19">AVERAGE(G78:G86)</f>
        <v>6.3897888096536945E-5</v>
      </c>
      <c r="H88" s="82">
        <f t="shared" si="19"/>
        <v>9.1240771890477534E-5</v>
      </c>
      <c r="I88" s="82">
        <f t="shared" si="19"/>
        <v>0</v>
      </c>
      <c r="J88" s="82">
        <f t="shared" si="19"/>
        <v>0</v>
      </c>
      <c r="K88" s="82">
        <f t="shared" si="19"/>
        <v>1.5380096675444172E-5</v>
      </c>
      <c r="L88" s="82">
        <f t="shared" si="19"/>
        <v>0</v>
      </c>
      <c r="M88" s="82">
        <f t="shared" si="19"/>
        <v>4.8781989533230542E-6</v>
      </c>
      <c r="N88" s="82">
        <f t="shared" si="19"/>
        <v>2.2729892590021635E-5</v>
      </c>
      <c r="O88" s="82"/>
      <c r="P88" s="81"/>
      <c r="Q88" s="82"/>
      <c r="R88" s="197">
        <f>'Parameters, country spec'!H29</f>
        <v>0.14064460712257179</v>
      </c>
    </row>
    <row r="89" spans="1:18" x14ac:dyDescent="0.35">
      <c r="A89" s="195"/>
      <c r="B89" s="25" t="s">
        <v>350</v>
      </c>
      <c r="C89" s="26"/>
      <c r="D89" s="103"/>
      <c r="E89" s="103"/>
      <c r="F89" s="46">
        <f t="shared" ref="F89:O89" si="20">SUMPRODUCT(F78:F88,$R$78:$R$88)</f>
        <v>2.4946814372254654E-4</v>
      </c>
      <c r="G89" s="46">
        <f>SUMPRODUCT(G78:G88,$R$78:$R$88)</f>
        <v>7.769491310866094E-5</v>
      </c>
      <c r="H89" s="46">
        <f t="shared" si="20"/>
        <v>9.1977566347021842E-5</v>
      </c>
      <c r="I89" s="46">
        <f t="shared" si="20"/>
        <v>0</v>
      </c>
      <c r="J89" s="46">
        <f t="shared" si="20"/>
        <v>0</v>
      </c>
      <c r="K89" s="46">
        <f t="shared" si="20"/>
        <v>1.3499106222599776E-5</v>
      </c>
      <c r="L89" s="46">
        <f t="shared" si="20"/>
        <v>0</v>
      </c>
      <c r="M89" s="46">
        <f t="shared" si="20"/>
        <v>1.5448990772562442E-6</v>
      </c>
      <c r="N89" s="46">
        <f t="shared" si="20"/>
        <v>2.2377896044188967E-5</v>
      </c>
      <c r="O89" s="46">
        <f t="shared" si="20"/>
        <v>0</v>
      </c>
      <c r="P89" s="30">
        <f>SUMPRODUCT(P78:P88,R78:R88)</f>
        <v>1.589331278285101E-5</v>
      </c>
      <c r="Q89" s="46">
        <f>SUMPRODUCT(Q78:Q88,$R$78:$R$88)</f>
        <v>2.6480450139967805E-5</v>
      </c>
      <c r="R89" s="207"/>
    </row>
    <row r="90" spans="1:18" x14ac:dyDescent="0.35">
      <c r="A90" s="22" t="s">
        <v>336</v>
      </c>
      <c r="B90" s="17" t="s">
        <v>218</v>
      </c>
      <c r="C90" s="17" t="s">
        <v>337</v>
      </c>
      <c r="D90" s="23" t="s">
        <v>171</v>
      </c>
      <c r="E90" s="23" t="s">
        <v>95</v>
      </c>
      <c r="F90" s="223">
        <f>SUM(G90:Q90)</f>
        <v>2.0655355021385218E-4</v>
      </c>
      <c r="G90" s="201">
        <v>8.0930691575108743E-5</v>
      </c>
      <c r="H90" s="202">
        <v>9.5000000000000005E-5</v>
      </c>
      <c r="I90" s="203"/>
      <c r="J90" s="204"/>
      <c r="K90" s="205">
        <v>1.8076858638743458E-5</v>
      </c>
      <c r="L90" s="205"/>
      <c r="M90" s="205">
        <v>0</v>
      </c>
      <c r="N90" s="205">
        <v>1.2546000000000003E-5</v>
      </c>
      <c r="O90" s="205"/>
      <c r="P90" s="14"/>
      <c r="Q90" s="204"/>
      <c r="R90" s="208">
        <f>'Parameters, country spec'!I19</f>
        <v>4.6530307311594861E-2</v>
      </c>
    </row>
    <row r="91" spans="1:18" x14ac:dyDescent="0.35">
      <c r="A91" s="22" t="s">
        <v>338</v>
      </c>
      <c r="B91" s="17" t="s">
        <v>222</v>
      </c>
      <c r="C91" s="17" t="s">
        <v>337</v>
      </c>
      <c r="D91" s="23" t="s">
        <v>171</v>
      </c>
      <c r="E91" s="23" t="s">
        <v>95</v>
      </c>
      <c r="F91" s="221">
        <f t="shared" ref="F91:F100" si="21">SUM(G91:Q91)</f>
        <v>1.9871902439798405E-4</v>
      </c>
      <c r="G91" s="100">
        <v>7.8815626877616721E-5</v>
      </c>
      <c r="H91" s="101">
        <v>9.5000000000000005E-5</v>
      </c>
      <c r="I91" s="16"/>
      <c r="J91" s="14"/>
      <c r="K91" s="102">
        <v>1.2357397520367332E-5</v>
      </c>
      <c r="L91" s="102"/>
      <c r="M91" s="102">
        <v>0</v>
      </c>
      <c r="N91" s="102">
        <v>1.2546000000000003E-5</v>
      </c>
      <c r="O91" s="102"/>
      <c r="P91" s="14"/>
      <c r="Q91" s="14"/>
      <c r="R91" s="197">
        <f>'Parameters, country spec'!I20</f>
        <v>9.558020970872997E-3</v>
      </c>
    </row>
    <row r="92" spans="1:18" x14ac:dyDescent="0.35">
      <c r="A92" s="22" t="s">
        <v>339</v>
      </c>
      <c r="B92" s="17" t="s">
        <v>226</v>
      </c>
      <c r="C92" s="17" t="s">
        <v>337</v>
      </c>
      <c r="D92" s="23" t="s">
        <v>171</v>
      </c>
      <c r="E92" s="23" t="s">
        <v>95</v>
      </c>
      <c r="F92" s="221">
        <f t="shared" si="21"/>
        <v>1.9956753055993292E-4</v>
      </c>
      <c r="G92" s="100">
        <v>7.134532609711123E-5</v>
      </c>
      <c r="H92" s="101">
        <v>9.5000000000000005E-5</v>
      </c>
      <c r="I92" s="16"/>
      <c r="J92" s="14"/>
      <c r="K92" s="102">
        <v>2.0676204462821701E-5</v>
      </c>
      <c r="L92" s="102"/>
      <c r="M92" s="102">
        <v>0</v>
      </c>
      <c r="N92" s="102">
        <v>1.2546000000000003E-5</v>
      </c>
      <c r="O92" s="102"/>
      <c r="P92" s="14"/>
      <c r="Q92" s="14"/>
      <c r="R92" s="197">
        <f>'Parameters, country spec'!I21</f>
        <v>6.5141293607569762E-4</v>
      </c>
    </row>
    <row r="93" spans="1:18" x14ac:dyDescent="0.35">
      <c r="A93" s="22" t="s">
        <v>340</v>
      </c>
      <c r="B93" s="17" t="s">
        <v>227</v>
      </c>
      <c r="C93" s="17" t="s">
        <v>337</v>
      </c>
      <c r="D93" s="23" t="s">
        <v>171</v>
      </c>
      <c r="E93" s="23" t="s">
        <v>95</v>
      </c>
      <c r="F93" s="221">
        <f t="shared" si="21"/>
        <v>1.840193507270561E-4</v>
      </c>
      <c r="G93" s="100">
        <v>6.2842418816841267E-5</v>
      </c>
      <c r="H93" s="101">
        <v>9.5000000000000005E-5</v>
      </c>
      <c r="I93" s="14"/>
      <c r="J93" s="14"/>
      <c r="K93" s="102">
        <v>1.3630931910214812E-5</v>
      </c>
      <c r="L93" s="102"/>
      <c r="M93" s="102">
        <v>0</v>
      </c>
      <c r="N93" s="102">
        <v>1.2546000000000003E-5</v>
      </c>
      <c r="O93" s="102"/>
      <c r="P93" s="14"/>
      <c r="Q93" s="14"/>
      <c r="R93" s="197">
        <f>'Parameters, country spec'!I22</f>
        <v>0</v>
      </c>
    </row>
    <row r="94" spans="1:18" x14ac:dyDescent="0.35">
      <c r="A94" s="22" t="s">
        <v>341</v>
      </c>
      <c r="B94" s="17" t="s">
        <v>228</v>
      </c>
      <c r="C94" s="17" t="s">
        <v>337</v>
      </c>
      <c r="D94" s="23" t="s">
        <v>171</v>
      </c>
      <c r="E94" s="23" t="s">
        <v>95</v>
      </c>
      <c r="F94" s="221">
        <f t="shared" si="21"/>
        <v>2.1322851393583626E-4</v>
      </c>
      <c r="G94" s="100">
        <v>9.2769916609057948E-5</v>
      </c>
      <c r="H94" s="101">
        <v>9.5000000000000005E-5</v>
      </c>
      <c r="I94" s="14"/>
      <c r="J94" s="14"/>
      <c r="K94" s="102">
        <v>1.291259732677831E-5</v>
      </c>
      <c r="L94" s="102"/>
      <c r="M94" s="102">
        <v>0</v>
      </c>
      <c r="N94" s="102">
        <v>1.2546000000000003E-5</v>
      </c>
      <c r="O94" s="102"/>
      <c r="P94" s="14"/>
      <c r="Q94" s="14"/>
      <c r="R94" s="197">
        <f>'Parameters, country spec'!I23</f>
        <v>0.18877612897819573</v>
      </c>
    </row>
    <row r="95" spans="1:18" x14ac:dyDescent="0.35">
      <c r="A95" s="22" t="s">
        <v>342</v>
      </c>
      <c r="B95" s="17" t="s">
        <v>229</v>
      </c>
      <c r="C95" s="17" t="s">
        <v>343</v>
      </c>
      <c r="D95" s="23" t="s">
        <v>171</v>
      </c>
      <c r="E95" s="23" t="s">
        <v>95</v>
      </c>
      <c r="F95" s="221">
        <f t="shared" si="21"/>
        <v>1.3280125199673234E-4</v>
      </c>
      <c r="G95" s="100">
        <v>0</v>
      </c>
      <c r="H95" s="101">
        <v>9.5000000000000005E-5</v>
      </c>
      <c r="I95" s="16"/>
      <c r="J95" s="14"/>
      <c r="K95" s="102">
        <v>2.5255251996732317E-5</v>
      </c>
      <c r="L95" s="102"/>
      <c r="M95" s="102">
        <v>0</v>
      </c>
      <c r="N95" s="102">
        <v>1.2546000000000003E-5</v>
      </c>
      <c r="O95" s="102"/>
      <c r="P95" s="14"/>
      <c r="Q95" s="14"/>
      <c r="R95" s="197">
        <f>'Parameters, country spec'!I24</f>
        <v>4.0248082263826587E-3</v>
      </c>
    </row>
    <row r="96" spans="1:18" x14ac:dyDescent="0.35">
      <c r="A96" s="22" t="s">
        <v>344</v>
      </c>
      <c r="B96" s="17" t="s">
        <v>230</v>
      </c>
      <c r="C96" s="17" t="s">
        <v>343</v>
      </c>
      <c r="D96" s="23" t="s">
        <v>171</v>
      </c>
      <c r="E96" s="23" t="s">
        <v>95</v>
      </c>
      <c r="F96" s="221">
        <f t="shared" si="21"/>
        <v>1.4931770127423491E-4</v>
      </c>
      <c r="G96" s="100">
        <v>3.9865279409015522E-6</v>
      </c>
      <c r="H96" s="101">
        <v>9.5000000000000005E-5</v>
      </c>
      <c r="I96" s="16"/>
      <c r="J96" s="14"/>
      <c r="K96" s="102">
        <v>3.7785173333333341E-5</v>
      </c>
      <c r="L96" s="102"/>
      <c r="M96" s="102">
        <v>0</v>
      </c>
      <c r="N96" s="102">
        <v>1.2546000000000003E-5</v>
      </c>
      <c r="O96" s="102"/>
      <c r="P96" s="14"/>
      <c r="Q96" s="14"/>
      <c r="R96" s="197">
        <f>'Parameters, country spec'!I25</f>
        <v>3.9536880112219551E-3</v>
      </c>
    </row>
    <row r="97" spans="1:18" x14ac:dyDescent="0.35">
      <c r="B97" s="18" t="s">
        <v>231</v>
      </c>
      <c r="C97" s="17" t="s">
        <v>345</v>
      </c>
      <c r="D97" s="23" t="str">
        <f>'Off-farm feed'!$D$75</f>
        <v>France, Germany, Poland</v>
      </c>
      <c r="E97" s="23" t="s">
        <v>82</v>
      </c>
      <c r="F97" s="222">
        <f>'Off-farm feed'!$E$75</f>
        <v>3.8246443678729497E-4</v>
      </c>
      <c r="G97" s="222">
        <f>'Off-farm feed'!$F$75</f>
        <v>1.684774766302073E-4</v>
      </c>
      <c r="H97" s="222">
        <f>'Off-farm feed'!$G$75</f>
        <v>4.5862068965517246E-5</v>
      </c>
      <c r="I97" s="222">
        <f>'Off-farm feed'!$H$75</f>
        <v>0</v>
      </c>
      <c r="J97" s="222">
        <f>'Off-farm feed'!$I$75</f>
        <v>0</v>
      </c>
      <c r="K97" s="222">
        <f>'Off-farm feed'!$J$75</f>
        <v>1.0936279334641699E-5</v>
      </c>
      <c r="L97" s="222">
        <f>'Off-farm feed'!$K$75</f>
        <v>0</v>
      </c>
      <c r="M97" s="222">
        <f>'Off-farm feed'!$L$75</f>
        <v>6.4606960551724142E-7</v>
      </c>
      <c r="N97" s="222">
        <f>'Off-farm feed'!$M$75</f>
        <v>2.1884761697575221E-5</v>
      </c>
      <c r="O97" s="222">
        <f>'Off-farm feed'!$N$75</f>
        <v>0</v>
      </c>
      <c r="P97" s="222">
        <f>'Off-farm feed'!$O$75</f>
        <v>4.5962128379923281E-5</v>
      </c>
      <c r="Q97" s="222">
        <f>'Off-farm feed'!$P$75</f>
        <v>8.8695652173913049E-5</v>
      </c>
      <c r="R97" s="197">
        <f>'Parameters, country spec'!I26</f>
        <v>3.6707467213432814E-2</v>
      </c>
    </row>
    <row r="98" spans="1:18" x14ac:dyDescent="0.35">
      <c r="B98" s="18" t="s">
        <v>346</v>
      </c>
      <c r="C98" s="17" t="s">
        <v>345</v>
      </c>
      <c r="D98" s="23" t="str">
        <f>'Off-farm feed'!$D$24</f>
        <v>Brazil, Argentina</v>
      </c>
      <c r="E98" s="23"/>
      <c r="F98" s="222">
        <f>'Off-farm feed'!$E$24</f>
        <v>4.7266553697523981E-4</v>
      </c>
      <c r="G98" s="222">
        <f>'Off-farm feed'!$F$24</f>
        <v>1.5603516238625262E-5</v>
      </c>
      <c r="H98" s="222">
        <f>'Off-farm feed'!$G$24</f>
        <v>7.5304878048780503E-5</v>
      </c>
      <c r="I98" s="222">
        <f>'Off-farm feed'!$H$24</f>
        <v>0</v>
      </c>
      <c r="J98" s="222">
        <f>'Off-farm feed'!$I$24</f>
        <v>0</v>
      </c>
      <c r="K98" s="222">
        <f>'Off-farm feed'!$J$24</f>
        <v>1.908459074435586E-5</v>
      </c>
      <c r="L98" s="222">
        <f>'Off-farm feed'!$K$24</f>
        <v>0</v>
      </c>
      <c r="M98" s="222">
        <f>'Off-farm feed'!$L$24</f>
        <v>5.9672097439024396E-7</v>
      </c>
      <c r="N98" s="222">
        <f>'Off-farm feed'!$M$24</f>
        <v>2.3084271612619523E-5</v>
      </c>
      <c r="O98" s="222">
        <f>'Off-farm feed'!$N$24</f>
        <v>0</v>
      </c>
      <c r="P98" s="222">
        <f>'Off-farm feed'!$O$24</f>
        <v>1.2899155935646844E-4</v>
      </c>
      <c r="Q98" s="222">
        <f>'Off-farm feed'!$P$24</f>
        <v>2.1000000000000001E-4</v>
      </c>
      <c r="R98" s="197">
        <f>'Parameters, country spec'!I27</f>
        <v>1.9178220823815973E-2</v>
      </c>
    </row>
    <row r="99" spans="1:18" x14ac:dyDescent="0.35">
      <c r="B99" s="17" t="s">
        <v>233</v>
      </c>
      <c r="C99" s="17" t="s">
        <v>347</v>
      </c>
      <c r="D99" s="23" t="s">
        <v>171</v>
      </c>
      <c r="E99" s="23" t="s">
        <v>95</v>
      </c>
      <c r="F99" s="222"/>
      <c r="G99" s="14"/>
      <c r="H99" s="14"/>
      <c r="I99" s="14"/>
      <c r="J99" s="14"/>
      <c r="K99" s="14"/>
      <c r="L99" s="14"/>
      <c r="M99" s="14"/>
      <c r="N99" s="14"/>
      <c r="O99" s="14"/>
      <c r="P99" s="8"/>
      <c r="Q99" s="14"/>
      <c r="R99" s="197">
        <f>'Parameters, country spec'!I28</f>
        <v>0.45814721442178435</v>
      </c>
    </row>
    <row r="100" spans="1:18" x14ac:dyDescent="0.35">
      <c r="A100" s="83"/>
      <c r="B100" s="17" t="s">
        <v>348</v>
      </c>
      <c r="C100" s="84" t="s">
        <v>349</v>
      </c>
      <c r="D100" s="23" t="s">
        <v>171</v>
      </c>
      <c r="E100" s="23" t="s">
        <v>95</v>
      </c>
      <c r="F100" s="222">
        <f t="shared" si="21"/>
        <v>1.850763952175399E-4</v>
      </c>
      <c r="G100" s="82">
        <f t="shared" ref="G100:N100" si="22">AVERAGE(G90:G98)</f>
        <v>6.3863500087274442E-5</v>
      </c>
      <c r="H100" s="82">
        <f t="shared" si="22"/>
        <v>8.7351883001588647E-5</v>
      </c>
      <c r="I100" s="82">
        <f t="shared" si="22"/>
        <v>0</v>
      </c>
      <c r="J100" s="82">
        <f t="shared" si="22"/>
        <v>0</v>
      </c>
      <c r="K100" s="82">
        <f t="shared" si="22"/>
        <v>1.8968365029776536E-5</v>
      </c>
      <c r="L100" s="82">
        <f t="shared" si="22"/>
        <v>0</v>
      </c>
      <c r="M100" s="82">
        <f t="shared" si="22"/>
        <v>1.3808784221194281E-7</v>
      </c>
      <c r="N100" s="82">
        <f t="shared" si="22"/>
        <v>1.4754559256688307E-5</v>
      </c>
      <c r="O100" s="82"/>
      <c r="P100" s="81"/>
      <c r="Q100" s="82"/>
      <c r="R100" s="197">
        <f>'Parameters, country spec'!I29</f>
        <v>0.23247273110662289</v>
      </c>
    </row>
    <row r="101" spans="1:18" x14ac:dyDescent="0.35">
      <c r="A101" s="195"/>
      <c r="B101" s="25" t="s">
        <v>350</v>
      </c>
      <c r="C101" s="26"/>
      <c r="D101" s="103"/>
      <c r="E101" s="103"/>
      <c r="F101" s="46">
        <f t="shared" ref="F101:O101" si="23">SUMPRODUCT(F90:F100,$R$90:$R$100)</f>
        <v>1.1914707014395082E-4</v>
      </c>
      <c r="G101" s="46">
        <f>SUMPRODUCT(G90:G100,$R$90:$R$100)</f>
        <v>4.3424185276595318E-5</v>
      </c>
      <c r="H101" s="46">
        <f t="shared" si="23"/>
        <v>4.7516589593170141E-5</v>
      </c>
      <c r="I101" s="46">
        <f t="shared" si="23"/>
        <v>0</v>
      </c>
      <c r="J101" s="46">
        <f t="shared" si="23"/>
        <v>0</v>
      </c>
      <c r="K101" s="46">
        <f t="shared" si="23"/>
        <v>8.8384105044394948E-6</v>
      </c>
      <c r="L101" s="46">
        <f t="shared" si="23"/>
        <v>0</v>
      </c>
      <c r="M101" s="46">
        <f t="shared" si="23"/>
        <v>6.7261283290809099E-8</v>
      </c>
      <c r="N101" s="46">
        <f t="shared" si="23"/>
        <v>7.8564224389934106E-6</v>
      </c>
      <c r="O101" s="46">
        <f t="shared" si="23"/>
        <v>0</v>
      </c>
      <c r="P101" s="30">
        <f>SUMPRODUCT(P90:P100,R90:R100)</f>
        <v>4.1609819303123408E-6</v>
      </c>
      <c r="Q101" s="46">
        <f>SUMPRODUCT(Q90:Q100,$R$90:$R$100)</f>
        <v>7.2832191171493088E-6</v>
      </c>
      <c r="R101" s="198"/>
    </row>
    <row r="102" spans="1:18" x14ac:dyDescent="0.35">
      <c r="A102" s="22" t="s">
        <v>336</v>
      </c>
      <c r="B102" s="17" t="s">
        <v>218</v>
      </c>
      <c r="C102" s="17" t="s">
        <v>337</v>
      </c>
      <c r="D102" s="23" t="s">
        <v>96</v>
      </c>
      <c r="E102" s="23" t="s">
        <v>97</v>
      </c>
      <c r="F102" s="223">
        <f>SUM(G102:Q102)</f>
        <v>2.0655355021385218E-4</v>
      </c>
      <c r="G102" s="201">
        <v>8.0930691575108743E-5</v>
      </c>
      <c r="H102" s="202">
        <v>9.5000000000000005E-5</v>
      </c>
      <c r="I102" s="203"/>
      <c r="J102" s="204"/>
      <c r="K102" s="205">
        <v>1.8076858638743458E-5</v>
      </c>
      <c r="L102" s="205"/>
      <c r="M102" s="205">
        <v>0</v>
      </c>
      <c r="N102" s="205">
        <v>1.2546000000000003E-5</v>
      </c>
      <c r="O102" s="205"/>
      <c r="P102" s="14"/>
      <c r="Q102" s="204"/>
      <c r="R102" s="208">
        <f>'Parameters, country spec'!J19</f>
        <v>0.36213948950567598</v>
      </c>
    </row>
    <row r="103" spans="1:18" x14ac:dyDescent="0.35">
      <c r="A103" s="22" t="s">
        <v>338</v>
      </c>
      <c r="B103" s="17" t="s">
        <v>222</v>
      </c>
      <c r="C103" s="17" t="s">
        <v>337</v>
      </c>
      <c r="D103" s="23" t="s">
        <v>96</v>
      </c>
      <c r="E103" s="23" t="s">
        <v>97</v>
      </c>
      <c r="F103" s="221">
        <f t="shared" ref="F103:F112" si="24">SUM(G103:Q103)</f>
        <v>1.9871902439798405E-4</v>
      </c>
      <c r="G103" s="100">
        <v>7.8815626877616721E-5</v>
      </c>
      <c r="H103" s="101">
        <v>9.5000000000000005E-5</v>
      </c>
      <c r="I103" s="16"/>
      <c r="J103" s="14"/>
      <c r="K103" s="102">
        <v>1.2357397520367332E-5</v>
      </c>
      <c r="L103" s="102"/>
      <c r="M103" s="102">
        <v>0</v>
      </c>
      <c r="N103" s="102">
        <v>1.2546000000000003E-5</v>
      </c>
      <c r="O103" s="102"/>
      <c r="P103" s="14"/>
      <c r="Q103" s="14"/>
      <c r="R103" s="197">
        <f>'Parameters, country spec'!J20</f>
        <v>2.7285200595272913E-2</v>
      </c>
    </row>
    <row r="104" spans="1:18" x14ac:dyDescent="0.35">
      <c r="A104" s="22" t="s">
        <v>339</v>
      </c>
      <c r="B104" s="17" t="s">
        <v>226</v>
      </c>
      <c r="C104" s="17" t="s">
        <v>337</v>
      </c>
      <c r="D104" s="23" t="s">
        <v>96</v>
      </c>
      <c r="E104" s="23" t="s">
        <v>97</v>
      </c>
      <c r="F104" s="221">
        <f t="shared" si="24"/>
        <v>1.9956753055993292E-4</v>
      </c>
      <c r="G104" s="100">
        <v>7.134532609711123E-5</v>
      </c>
      <c r="H104" s="101">
        <v>9.5000000000000005E-5</v>
      </c>
      <c r="I104" s="16"/>
      <c r="J104" s="14"/>
      <c r="K104" s="102">
        <v>2.0676204462821701E-5</v>
      </c>
      <c r="L104" s="102"/>
      <c r="M104" s="102">
        <v>0</v>
      </c>
      <c r="N104" s="102">
        <v>1.2546000000000003E-5</v>
      </c>
      <c r="O104" s="102"/>
      <c r="P104" s="14"/>
      <c r="Q104" s="14"/>
      <c r="R104" s="197">
        <f>'Parameters, country spec'!J21</f>
        <v>0.16949282524721104</v>
      </c>
    </row>
    <row r="105" spans="1:18" x14ac:dyDescent="0.35">
      <c r="A105" s="22" t="s">
        <v>340</v>
      </c>
      <c r="B105" s="17" t="s">
        <v>227</v>
      </c>
      <c r="C105" s="17" t="s">
        <v>337</v>
      </c>
      <c r="D105" s="23" t="s">
        <v>96</v>
      </c>
      <c r="E105" s="23" t="s">
        <v>97</v>
      </c>
      <c r="F105" s="221">
        <f t="shared" si="24"/>
        <v>1.840193507270561E-4</v>
      </c>
      <c r="G105" s="100">
        <v>6.2842418816841267E-5</v>
      </c>
      <c r="H105" s="101">
        <v>9.5000000000000005E-5</v>
      </c>
      <c r="I105" s="14"/>
      <c r="J105" s="14"/>
      <c r="K105" s="102">
        <v>1.3630931910214812E-5</v>
      </c>
      <c r="L105" s="102"/>
      <c r="M105" s="102">
        <v>0</v>
      </c>
      <c r="N105" s="102">
        <v>1.2546000000000003E-5</v>
      </c>
      <c r="O105" s="102"/>
      <c r="P105" s="14"/>
      <c r="Q105" s="14"/>
      <c r="R105" s="197">
        <f>'Parameters, country spec'!J22</f>
        <v>3.062922099074464E-3</v>
      </c>
    </row>
    <row r="106" spans="1:18" x14ac:dyDescent="0.35">
      <c r="A106" s="22" t="s">
        <v>341</v>
      </c>
      <c r="B106" s="17" t="s">
        <v>228</v>
      </c>
      <c r="C106" s="17" t="s">
        <v>337</v>
      </c>
      <c r="D106" s="23" t="s">
        <v>96</v>
      </c>
      <c r="E106" s="23" t="s">
        <v>97</v>
      </c>
      <c r="F106" s="221">
        <f t="shared" si="24"/>
        <v>2.1322851393583626E-4</v>
      </c>
      <c r="G106" s="100">
        <v>9.2769916609057948E-5</v>
      </c>
      <c r="H106" s="101">
        <v>9.5000000000000005E-5</v>
      </c>
      <c r="I106" s="14"/>
      <c r="J106" s="14"/>
      <c r="K106" s="102">
        <v>1.291259732677831E-5</v>
      </c>
      <c r="L106" s="102"/>
      <c r="M106" s="102">
        <v>0</v>
      </c>
      <c r="N106" s="102">
        <v>1.2546000000000003E-5</v>
      </c>
      <c r="O106" s="102"/>
      <c r="P106" s="14"/>
      <c r="Q106" s="14"/>
      <c r="R106" s="197">
        <f>'Parameters, country spec'!J23</f>
        <v>3.7884118812985604E-2</v>
      </c>
    </row>
    <row r="107" spans="1:18" x14ac:dyDescent="0.35">
      <c r="A107" s="22" t="s">
        <v>342</v>
      </c>
      <c r="B107" s="17" t="s">
        <v>229</v>
      </c>
      <c r="C107" s="17" t="s">
        <v>343</v>
      </c>
      <c r="D107" s="23" t="s">
        <v>96</v>
      </c>
      <c r="E107" s="23" t="s">
        <v>97</v>
      </c>
      <c r="F107" s="221">
        <f t="shared" si="24"/>
        <v>1.3280125199673234E-4</v>
      </c>
      <c r="G107" s="100">
        <v>0</v>
      </c>
      <c r="H107" s="101">
        <v>9.5000000000000005E-5</v>
      </c>
      <c r="I107" s="16"/>
      <c r="J107" s="14"/>
      <c r="K107" s="102">
        <v>2.5255251996732317E-5</v>
      </c>
      <c r="L107" s="102"/>
      <c r="M107" s="102">
        <v>0</v>
      </c>
      <c r="N107" s="102">
        <v>1.2546000000000003E-5</v>
      </c>
      <c r="O107" s="102"/>
      <c r="P107" s="14"/>
      <c r="Q107" s="14"/>
      <c r="R107" s="197">
        <f>'Parameters, country spec'!J24</f>
        <v>3.724796231733548E-3</v>
      </c>
    </row>
    <row r="108" spans="1:18" x14ac:dyDescent="0.35">
      <c r="A108" s="22" t="s">
        <v>344</v>
      </c>
      <c r="B108" s="17" t="s">
        <v>230</v>
      </c>
      <c r="C108" s="17" t="s">
        <v>343</v>
      </c>
      <c r="D108" s="23" t="s">
        <v>96</v>
      </c>
      <c r="E108" s="23" t="s">
        <v>97</v>
      </c>
      <c r="F108" s="221">
        <f t="shared" si="24"/>
        <v>1.4931770127423491E-4</v>
      </c>
      <c r="G108" s="100">
        <v>3.9865279409015522E-6</v>
      </c>
      <c r="H108" s="101">
        <v>9.5000000000000005E-5</v>
      </c>
      <c r="I108" s="16"/>
      <c r="J108" s="14"/>
      <c r="K108" s="102">
        <v>3.7785173333333341E-5</v>
      </c>
      <c r="L108" s="102"/>
      <c r="M108" s="102">
        <v>0</v>
      </c>
      <c r="N108" s="102">
        <v>1.2546000000000003E-5</v>
      </c>
      <c r="O108" s="102"/>
      <c r="P108" s="14"/>
      <c r="Q108" s="14"/>
      <c r="R108" s="197">
        <f>'Parameters, country spec'!J25</f>
        <v>3.6589773666995504E-3</v>
      </c>
    </row>
    <row r="109" spans="1:18" x14ac:dyDescent="0.35">
      <c r="B109" s="18" t="s">
        <v>231</v>
      </c>
      <c r="C109" s="17" t="s">
        <v>345</v>
      </c>
      <c r="D109" s="23" t="str">
        <f>'Off-farm feed'!$D$75</f>
        <v>France, Germany, Poland</v>
      </c>
      <c r="E109" s="23" t="s">
        <v>82</v>
      </c>
      <c r="F109" s="222">
        <f>'Off-farm feed'!$E$75</f>
        <v>3.8246443678729497E-4</v>
      </c>
      <c r="G109" s="222">
        <f>'Off-farm feed'!$F$75</f>
        <v>1.684774766302073E-4</v>
      </c>
      <c r="H109" s="222">
        <f>'Off-farm feed'!$G$75</f>
        <v>4.5862068965517246E-5</v>
      </c>
      <c r="I109" s="222">
        <f>'Off-farm feed'!$H$75</f>
        <v>0</v>
      </c>
      <c r="J109" s="222">
        <f>'Off-farm feed'!$I$75</f>
        <v>0</v>
      </c>
      <c r="K109" s="222">
        <f>'Off-farm feed'!$J$75</f>
        <v>1.0936279334641699E-5</v>
      </c>
      <c r="L109" s="222">
        <f>'Off-farm feed'!$K$75</f>
        <v>0</v>
      </c>
      <c r="M109" s="222">
        <f>'Off-farm feed'!$L$75</f>
        <v>6.4606960551724142E-7</v>
      </c>
      <c r="N109" s="222">
        <f>'Off-farm feed'!$M$75</f>
        <v>2.1884761697575221E-5</v>
      </c>
      <c r="O109" s="222">
        <f>'Off-farm feed'!$N$75</f>
        <v>0</v>
      </c>
      <c r="P109" s="222">
        <f>'Off-farm feed'!$O$75</f>
        <v>4.5962128379923281E-5</v>
      </c>
      <c r="Q109" s="222">
        <f>'Off-farm feed'!$P$75</f>
        <v>8.8695652173913049E-5</v>
      </c>
      <c r="R109" s="197">
        <f>'Parameters, country spec'!J26</f>
        <v>0.20053388869195857</v>
      </c>
    </row>
    <row r="110" spans="1:18" x14ac:dyDescent="0.35">
      <c r="B110" s="18" t="s">
        <v>346</v>
      </c>
      <c r="C110" s="17" t="s">
        <v>345</v>
      </c>
      <c r="D110" s="23" t="str">
        <f>'Off-farm feed'!$D$24</f>
        <v>Brazil, Argentina</v>
      </c>
      <c r="E110" s="23"/>
      <c r="F110" s="222">
        <f>'Off-farm feed'!$E$24</f>
        <v>4.7266553697523981E-4</v>
      </c>
      <c r="G110" s="222">
        <f>'Off-farm feed'!$F$24</f>
        <v>1.5603516238625262E-5</v>
      </c>
      <c r="H110" s="222">
        <f>'Off-farm feed'!$G$24</f>
        <v>7.5304878048780503E-5</v>
      </c>
      <c r="I110" s="222">
        <f>'Off-farm feed'!$H$24</f>
        <v>0</v>
      </c>
      <c r="J110" s="222">
        <f>'Off-farm feed'!$I$24</f>
        <v>0</v>
      </c>
      <c r="K110" s="222">
        <f>'Off-farm feed'!$J$24</f>
        <v>1.908459074435586E-5</v>
      </c>
      <c r="L110" s="222">
        <f>'Off-farm feed'!$K$24</f>
        <v>0</v>
      </c>
      <c r="M110" s="222">
        <f>'Off-farm feed'!$L$24</f>
        <v>5.9672097439024396E-7</v>
      </c>
      <c r="N110" s="222">
        <f>'Off-farm feed'!$M$24</f>
        <v>2.3084271612619523E-5</v>
      </c>
      <c r="O110" s="222">
        <f>'Off-farm feed'!$N$24</f>
        <v>0</v>
      </c>
      <c r="P110" s="222">
        <f>'Off-farm feed'!$O$24</f>
        <v>1.2899155935646844E-4</v>
      </c>
      <c r="Q110" s="222">
        <f>'Off-farm feed'!$P$24</f>
        <v>2.1000000000000001E-4</v>
      </c>
      <c r="R110" s="197">
        <f>'Parameters, country spec'!J27</f>
        <v>7.419835422837219E-2</v>
      </c>
    </row>
    <row r="111" spans="1:18" x14ac:dyDescent="0.35">
      <c r="B111" s="17" t="s">
        <v>233</v>
      </c>
      <c r="C111" s="17" t="s">
        <v>347</v>
      </c>
      <c r="D111" s="23" t="s">
        <v>96</v>
      </c>
      <c r="E111" s="23" t="s">
        <v>97</v>
      </c>
      <c r="F111" s="222"/>
      <c r="G111" s="14"/>
      <c r="H111" s="14"/>
      <c r="I111" s="14"/>
      <c r="J111" s="14"/>
      <c r="K111" s="14"/>
      <c r="L111" s="14"/>
      <c r="M111" s="14"/>
      <c r="N111" s="14"/>
      <c r="O111" s="14"/>
      <c r="P111" s="8"/>
      <c r="Q111" s="14"/>
      <c r="R111" s="197">
        <f>'Parameters, country spec'!J28</f>
        <v>7.2167353833925044E-2</v>
      </c>
    </row>
    <row r="112" spans="1:18" x14ac:dyDescent="0.35">
      <c r="A112" s="83"/>
      <c r="B112" s="17" t="s">
        <v>348</v>
      </c>
      <c r="C112" s="84" t="s">
        <v>349</v>
      </c>
      <c r="D112" s="23" t="s">
        <v>96</v>
      </c>
      <c r="E112" s="23" t="s">
        <v>97</v>
      </c>
      <c r="F112" s="222">
        <f t="shared" si="24"/>
        <v>1.850763952175399E-4</v>
      </c>
      <c r="G112" s="82">
        <f t="shared" ref="G112:N112" si="25">AVERAGE(G102:G110)</f>
        <v>6.3863500087274442E-5</v>
      </c>
      <c r="H112" s="82">
        <f t="shared" si="25"/>
        <v>8.7351883001588647E-5</v>
      </c>
      <c r="I112" s="82">
        <f t="shared" si="25"/>
        <v>0</v>
      </c>
      <c r="J112" s="82">
        <f t="shared" si="25"/>
        <v>0</v>
      </c>
      <c r="K112" s="82">
        <f t="shared" si="25"/>
        <v>1.8968365029776536E-5</v>
      </c>
      <c r="L112" s="82">
        <f t="shared" si="25"/>
        <v>0</v>
      </c>
      <c r="M112" s="82">
        <f t="shared" si="25"/>
        <v>1.3808784221194281E-7</v>
      </c>
      <c r="N112" s="82">
        <f t="shared" si="25"/>
        <v>1.4754559256688307E-5</v>
      </c>
      <c r="O112" s="82"/>
      <c r="P112" s="81"/>
      <c r="Q112" s="82"/>
      <c r="R112" s="197">
        <f>'Parameters, country spec'!J29</f>
        <v>4.5852073387090915E-2</v>
      </c>
    </row>
    <row r="113" spans="1:18" x14ac:dyDescent="0.35">
      <c r="A113" s="195"/>
      <c r="B113" s="25" t="s">
        <v>350</v>
      </c>
      <c r="C113" s="26"/>
      <c r="D113" s="103"/>
      <c r="E113" s="103"/>
      <c r="F113" s="46">
        <f t="shared" ref="F113:O113" si="26">SUMPRODUCT(F102:F112,$R$102:$R$112)</f>
        <v>2.439853914348168E-4</v>
      </c>
      <c r="G113" s="46">
        <f>SUMPRODUCT(G102:G112,$R$102:$R$112)</f>
        <v>8.5144267665585222E-5</v>
      </c>
      <c r="H113" s="46">
        <f t="shared" si="26"/>
        <v>7.6478253336163213E-5</v>
      </c>
      <c r="I113" s="46">
        <f t="shared" si="26"/>
        <v>0</v>
      </c>
      <c r="J113" s="46">
        <f t="shared" si="26"/>
        <v>0</v>
      </c>
      <c r="K113" s="46">
        <f t="shared" si="26"/>
        <v>1.5630124067184177E-5</v>
      </c>
      <c r="L113" s="46">
        <f t="shared" si="26"/>
        <v>0</v>
      </c>
      <c r="M113" s="46">
        <f t="shared" si="26"/>
        <v>1.8016617846832585E-7</v>
      </c>
      <c r="N113" s="46">
        <f t="shared" si="26"/>
        <v>1.4396516008767205E-5</v>
      </c>
      <c r="O113" s="46">
        <f t="shared" si="26"/>
        <v>0</v>
      </c>
      <c r="P113" s="30">
        <f>SUMPRODUCT(P102:P112,R102:R112)</f>
        <v>1.8787925750186387E-5</v>
      </c>
      <c r="Q113" s="46">
        <f>SUMPRODUCT(Q102:Q112,$R$102:$R$112)</f>
        <v>3.3368138428462313E-5</v>
      </c>
      <c r="R113" s="198"/>
    </row>
    <row r="114" spans="1:18" x14ac:dyDescent="0.35">
      <c r="A114" s="22" t="s">
        <v>336</v>
      </c>
      <c r="B114" s="17" t="s">
        <v>218</v>
      </c>
      <c r="C114" s="17" t="s">
        <v>337</v>
      </c>
      <c r="D114" s="23" t="s">
        <v>31</v>
      </c>
      <c r="E114" s="23" t="s">
        <v>98</v>
      </c>
      <c r="F114" s="223">
        <f>SUM(G114:Q114)</f>
        <v>2.8210000000000003E-4</v>
      </c>
      <c r="G114" s="201">
        <v>1.4999999999999999E-4</v>
      </c>
      <c r="H114" s="202">
        <v>1E-4</v>
      </c>
      <c r="I114" s="203"/>
      <c r="J114" s="204"/>
      <c r="K114" s="205">
        <v>1.3200000000000001E-5</v>
      </c>
      <c r="L114" s="205"/>
      <c r="M114" s="205">
        <v>9.9999999999999995E-7</v>
      </c>
      <c r="N114" s="205">
        <v>1.7900000000000001E-5</v>
      </c>
      <c r="O114" s="205"/>
      <c r="P114" s="14"/>
      <c r="Q114" s="204"/>
      <c r="R114" s="208">
        <f>'Parameters, country spec'!K19</f>
        <v>0.12938618407074468</v>
      </c>
    </row>
    <row r="115" spans="1:18" x14ac:dyDescent="0.35">
      <c r="A115" s="22" t="s">
        <v>338</v>
      </c>
      <c r="B115" s="17" t="s">
        <v>222</v>
      </c>
      <c r="C115" s="17" t="s">
        <v>337</v>
      </c>
      <c r="D115" s="23" t="s">
        <v>31</v>
      </c>
      <c r="E115" s="23" t="s">
        <v>98</v>
      </c>
      <c r="F115" s="221">
        <f t="shared" ref="F115:F124" si="27">SUM(G115:Q115)</f>
        <v>2.9971000000000002E-4</v>
      </c>
      <c r="G115" s="100">
        <v>1.4999999999999999E-4</v>
      </c>
      <c r="H115" s="101">
        <v>1E-4</v>
      </c>
      <c r="I115" s="16"/>
      <c r="J115" s="14"/>
      <c r="K115" s="102">
        <v>9.0100000000000001E-6</v>
      </c>
      <c r="L115" s="102"/>
      <c r="M115" s="102">
        <v>2.2799999999999999E-5</v>
      </c>
      <c r="N115" s="102">
        <v>1.7900000000000001E-5</v>
      </c>
      <c r="O115" s="102"/>
      <c r="P115" s="14"/>
      <c r="Q115" s="14"/>
      <c r="R115" s="197">
        <f>'Parameters, country spec'!K20</f>
        <v>0.21280975376032865</v>
      </c>
    </row>
    <row r="116" spans="1:18" x14ac:dyDescent="0.35">
      <c r="A116" s="22" t="s">
        <v>339</v>
      </c>
      <c r="B116" s="17" t="s">
        <v>226</v>
      </c>
      <c r="C116" s="17" t="s">
        <v>337</v>
      </c>
      <c r="D116" s="23" t="s">
        <v>31</v>
      </c>
      <c r="E116" s="23" t="s">
        <v>98</v>
      </c>
      <c r="F116" s="221">
        <f t="shared" si="27"/>
        <v>2.7940000000000002E-4</v>
      </c>
      <c r="G116" s="100">
        <v>1.2999999999999999E-4</v>
      </c>
      <c r="H116" s="101">
        <v>1E-4</v>
      </c>
      <c r="I116" s="16"/>
      <c r="J116" s="14"/>
      <c r="K116" s="102">
        <v>1.8199999999999999E-5</v>
      </c>
      <c r="L116" s="102"/>
      <c r="M116" s="102">
        <v>1.33E-5</v>
      </c>
      <c r="N116" s="102">
        <v>1.7900000000000001E-5</v>
      </c>
      <c r="O116" s="102"/>
      <c r="P116" s="14"/>
      <c r="Q116" s="14"/>
      <c r="R116" s="197">
        <f>'Parameters, country spec'!K21</f>
        <v>1.4661663802605954E-2</v>
      </c>
    </row>
    <row r="117" spans="1:18" x14ac:dyDescent="0.35">
      <c r="A117" s="22" t="s">
        <v>340</v>
      </c>
      <c r="B117" s="17" t="s">
        <v>227</v>
      </c>
      <c r="C117" s="17" t="s">
        <v>337</v>
      </c>
      <c r="D117" s="23" t="s">
        <v>31</v>
      </c>
      <c r="E117" s="23" t="s">
        <v>98</v>
      </c>
      <c r="F117" s="221">
        <f t="shared" si="27"/>
        <v>2.5635100000000004E-4</v>
      </c>
      <c r="G117" s="100">
        <v>1.2E-4</v>
      </c>
      <c r="H117" s="101">
        <v>1E-4</v>
      </c>
      <c r="I117" s="14"/>
      <c r="J117" s="14"/>
      <c r="K117" s="102">
        <v>1.8199999999999999E-5</v>
      </c>
      <c r="L117" s="102"/>
      <c r="M117" s="102">
        <v>2.5100000000000001E-7</v>
      </c>
      <c r="N117" s="102">
        <v>1.7900000000000001E-5</v>
      </c>
      <c r="O117" s="102"/>
      <c r="P117" s="14"/>
      <c r="Q117" s="14"/>
      <c r="R117" s="197">
        <f>'Parameters, country spec'!K22</f>
        <v>2.2515954502451301E-3</v>
      </c>
    </row>
    <row r="118" spans="1:18" x14ac:dyDescent="0.35">
      <c r="A118" s="22" t="s">
        <v>341</v>
      </c>
      <c r="B118" s="17" t="s">
        <v>228</v>
      </c>
      <c r="C118" s="17" t="s">
        <v>337</v>
      </c>
      <c r="D118" s="23" t="s">
        <v>31</v>
      </c>
      <c r="E118" s="23" t="s">
        <v>98</v>
      </c>
      <c r="F118" s="221">
        <f t="shared" si="27"/>
        <v>3.0055300000000001E-4</v>
      </c>
      <c r="G118" s="100">
        <v>1.7000000000000001E-4</v>
      </c>
      <c r="H118" s="101">
        <v>1E-4</v>
      </c>
      <c r="I118" s="14"/>
      <c r="J118" s="14"/>
      <c r="K118" s="102">
        <v>1.19E-5</v>
      </c>
      <c r="L118" s="102"/>
      <c r="M118" s="102">
        <v>7.5300000000000003E-7</v>
      </c>
      <c r="N118" s="102">
        <v>1.7900000000000001E-5</v>
      </c>
      <c r="O118" s="102"/>
      <c r="P118" s="14"/>
      <c r="Q118" s="14"/>
      <c r="R118" s="197">
        <f>'Parameters, country spec'!K23</f>
        <v>0.31521053769451607</v>
      </c>
    </row>
    <row r="119" spans="1:18" x14ac:dyDescent="0.35">
      <c r="A119" s="22" t="s">
        <v>342</v>
      </c>
      <c r="B119" s="17" t="s">
        <v>229</v>
      </c>
      <c r="C119" s="17" t="s">
        <v>343</v>
      </c>
      <c r="D119" s="23" t="s">
        <v>31</v>
      </c>
      <c r="E119" s="23" t="s">
        <v>98</v>
      </c>
      <c r="F119" s="221">
        <f t="shared" si="27"/>
        <v>1.4692000000000001E-4</v>
      </c>
      <c r="G119" s="100">
        <v>0</v>
      </c>
      <c r="H119" s="101">
        <v>1E-4</v>
      </c>
      <c r="I119" s="16"/>
      <c r="J119" s="14"/>
      <c r="K119" s="102">
        <v>2.2500000000000001E-5</v>
      </c>
      <c r="L119" s="102"/>
      <c r="M119" s="102">
        <v>6.5200000000000003E-6</v>
      </c>
      <c r="N119" s="102">
        <v>1.7900000000000001E-5</v>
      </c>
      <c r="O119" s="102"/>
      <c r="P119" s="14"/>
      <c r="Q119" s="14"/>
      <c r="R119" s="197">
        <f>'Parameters, country spec'!K24</f>
        <v>0</v>
      </c>
    </row>
    <row r="120" spans="1:18" x14ac:dyDescent="0.35">
      <c r="A120" s="22" t="s">
        <v>344</v>
      </c>
      <c r="B120" s="17" t="s">
        <v>230</v>
      </c>
      <c r="C120" s="17" t="s">
        <v>343</v>
      </c>
      <c r="D120" s="23" t="s">
        <v>31</v>
      </c>
      <c r="E120" s="23" t="s">
        <v>98</v>
      </c>
      <c r="F120" s="221">
        <f t="shared" si="27"/>
        <v>1.674E-4</v>
      </c>
      <c r="G120" s="100">
        <v>7.5000000000000002E-6</v>
      </c>
      <c r="H120" s="101">
        <v>1E-4</v>
      </c>
      <c r="I120" s="16"/>
      <c r="J120" s="14"/>
      <c r="K120" s="102">
        <v>3.0700000000000001E-5</v>
      </c>
      <c r="L120" s="102"/>
      <c r="M120" s="102">
        <v>1.13E-5</v>
      </c>
      <c r="N120" s="102">
        <v>1.7900000000000001E-5</v>
      </c>
      <c r="O120" s="102"/>
      <c r="P120" s="14"/>
      <c r="Q120" s="14"/>
      <c r="R120" s="197">
        <f>'Parameters, country spec'!K25</f>
        <v>0</v>
      </c>
    </row>
    <row r="121" spans="1:18" x14ac:dyDescent="0.35">
      <c r="B121" s="18" t="s">
        <v>231</v>
      </c>
      <c r="C121" s="17" t="s">
        <v>345</v>
      </c>
      <c r="D121" s="23" t="str">
        <f>'Off-farm feed'!$D$75</f>
        <v>France, Germany, Poland</v>
      </c>
      <c r="E121" s="23" t="s">
        <v>82</v>
      </c>
      <c r="F121" s="222">
        <f>'Off-farm feed'!$E$75</f>
        <v>3.8246443678729497E-4</v>
      </c>
      <c r="G121" s="222">
        <f>'Off-farm feed'!$F$75</f>
        <v>1.684774766302073E-4</v>
      </c>
      <c r="H121" s="222">
        <f>'Off-farm feed'!$G$75</f>
        <v>4.5862068965517246E-5</v>
      </c>
      <c r="I121" s="222">
        <f>'Off-farm feed'!$H$75</f>
        <v>0</v>
      </c>
      <c r="J121" s="222">
        <f>'Off-farm feed'!$I$75</f>
        <v>0</v>
      </c>
      <c r="K121" s="222">
        <f>'Off-farm feed'!$J$75</f>
        <v>1.0936279334641699E-5</v>
      </c>
      <c r="L121" s="222">
        <f>'Off-farm feed'!$K$75</f>
        <v>0</v>
      </c>
      <c r="M121" s="222">
        <f>'Off-farm feed'!$L$75</f>
        <v>6.4606960551724142E-7</v>
      </c>
      <c r="N121" s="222">
        <f>'Off-farm feed'!$M$75</f>
        <v>2.1884761697575221E-5</v>
      </c>
      <c r="O121" s="222">
        <f>'Off-farm feed'!$N$75</f>
        <v>0</v>
      </c>
      <c r="P121" s="222">
        <f>'Off-farm feed'!$O$75</f>
        <v>4.5962128379923281E-5</v>
      </c>
      <c r="Q121" s="222">
        <f>'Off-farm feed'!$P$75</f>
        <v>8.8695652173913049E-5</v>
      </c>
      <c r="R121" s="197">
        <f>'Parameters, country spec'!K26</f>
        <v>9.7073458625180783E-2</v>
      </c>
    </row>
    <row r="122" spans="1:18" x14ac:dyDescent="0.35">
      <c r="B122" s="18" t="s">
        <v>346</v>
      </c>
      <c r="C122" s="17" t="s">
        <v>345</v>
      </c>
      <c r="D122" s="23" t="str">
        <f>'Off-farm feed'!$D$24</f>
        <v>Brazil, Argentina</v>
      </c>
      <c r="E122" s="23"/>
      <c r="F122" s="222">
        <f>'Off-farm feed'!$E$24</f>
        <v>4.7266553697523981E-4</v>
      </c>
      <c r="G122" s="222">
        <f>'Off-farm feed'!$F$24</f>
        <v>1.5603516238625262E-5</v>
      </c>
      <c r="H122" s="222">
        <f>'Off-farm feed'!$G$24</f>
        <v>7.5304878048780503E-5</v>
      </c>
      <c r="I122" s="222">
        <f>'Off-farm feed'!$H$24</f>
        <v>0</v>
      </c>
      <c r="J122" s="222">
        <f>'Off-farm feed'!$I$24</f>
        <v>0</v>
      </c>
      <c r="K122" s="222">
        <f>'Off-farm feed'!$J$24</f>
        <v>1.908459074435586E-5</v>
      </c>
      <c r="L122" s="222">
        <f>'Off-farm feed'!$K$24</f>
        <v>0</v>
      </c>
      <c r="M122" s="222">
        <f>'Off-farm feed'!$L$24</f>
        <v>5.9672097439024396E-7</v>
      </c>
      <c r="N122" s="222">
        <f>'Off-farm feed'!$M$24</f>
        <v>2.3084271612619523E-5</v>
      </c>
      <c r="O122" s="222">
        <f>'Off-farm feed'!$N$24</f>
        <v>0</v>
      </c>
      <c r="P122" s="222">
        <f>'Off-farm feed'!$O$24</f>
        <v>1.2899155935646844E-4</v>
      </c>
      <c r="Q122" s="222">
        <f>'Off-farm feed'!$P$24</f>
        <v>2.1000000000000001E-4</v>
      </c>
      <c r="R122" s="197">
        <f>'Parameters, country spec'!K27</f>
        <v>8.7459166665531385E-2</v>
      </c>
    </row>
    <row r="123" spans="1:18" x14ac:dyDescent="0.35">
      <c r="B123" s="17" t="s">
        <v>233</v>
      </c>
      <c r="C123" s="17" t="s">
        <v>347</v>
      </c>
      <c r="D123" s="23" t="s">
        <v>31</v>
      </c>
      <c r="E123" s="23" t="s">
        <v>98</v>
      </c>
      <c r="F123" s="222"/>
      <c r="G123" s="14"/>
      <c r="H123" s="14"/>
      <c r="I123" s="14"/>
      <c r="J123" s="14"/>
      <c r="K123" s="14"/>
      <c r="L123" s="14"/>
      <c r="M123" s="14"/>
      <c r="N123" s="14"/>
      <c r="O123" s="14"/>
      <c r="P123" s="8"/>
      <c r="Q123" s="14"/>
      <c r="R123" s="197">
        <f>'Parameters, country spec'!K28</f>
        <v>8.0151207366747315E-2</v>
      </c>
    </row>
    <row r="124" spans="1:18" x14ac:dyDescent="0.35">
      <c r="A124" s="83"/>
      <c r="B124" s="17" t="s">
        <v>348</v>
      </c>
      <c r="C124" s="84" t="s">
        <v>349</v>
      </c>
      <c r="D124" s="23" t="s">
        <v>31</v>
      </c>
      <c r="E124" s="23" t="s">
        <v>98</v>
      </c>
      <c r="F124" s="222">
        <f t="shared" si="27"/>
        <v>2.3487940376135891E-4</v>
      </c>
      <c r="G124" s="82">
        <f t="shared" ref="G124:N124" si="28">AVERAGE(G114:G122)</f>
        <v>1.0128677698542583E-4</v>
      </c>
      <c r="H124" s="82">
        <f t="shared" si="28"/>
        <v>9.1240771890477534E-5</v>
      </c>
      <c r="I124" s="82">
        <f t="shared" si="28"/>
        <v>0</v>
      </c>
      <c r="J124" s="82">
        <f t="shared" si="28"/>
        <v>0</v>
      </c>
      <c r="K124" s="82">
        <f t="shared" si="28"/>
        <v>1.7081207786555287E-5</v>
      </c>
      <c r="L124" s="82">
        <f t="shared" si="28"/>
        <v>0</v>
      </c>
      <c r="M124" s="82">
        <f t="shared" si="28"/>
        <v>6.3518656199897199E-6</v>
      </c>
      <c r="N124" s="82">
        <f t="shared" si="28"/>
        <v>1.8918781478910528E-5</v>
      </c>
      <c r="O124" s="82"/>
      <c r="P124" s="81"/>
      <c r="Q124" s="82"/>
      <c r="R124" s="197">
        <f>'Parameters, country spec'!K29</f>
        <v>6.0996432564100048E-2</v>
      </c>
    </row>
    <row r="125" spans="1:18" x14ac:dyDescent="0.35">
      <c r="A125" s="195"/>
      <c r="B125" s="25" t="s">
        <v>350</v>
      </c>
      <c r="C125" s="26"/>
      <c r="D125" s="103"/>
      <c r="E125" s="103"/>
      <c r="F125" s="46">
        <f t="shared" ref="F125:O125" si="29">SUMPRODUCT(F114:F124,$R$114:$R$124)</f>
        <v>2.9248507954094972E-4</v>
      </c>
      <c r="G125" s="46">
        <f>SUMPRODUCT(G114:G124,$R$114:$R$124)</f>
        <v>1.3098888377734304E-4</v>
      </c>
      <c r="H125" s="46">
        <f t="shared" si="29"/>
        <v>8.4035426601743139E-5</v>
      </c>
      <c r="I125" s="46">
        <f t="shared" si="29"/>
        <v>0</v>
      </c>
      <c r="J125" s="46">
        <f t="shared" si="29"/>
        <v>0</v>
      </c>
      <c r="K125" s="46">
        <f t="shared" si="29"/>
        <v>1.145677782910586E-5</v>
      </c>
      <c r="L125" s="46">
        <f t="shared" si="29"/>
        <v>0</v>
      </c>
      <c r="M125" s="46">
        <f t="shared" si="29"/>
        <v>5.9167134569409868E-6</v>
      </c>
      <c r="N125" s="46">
        <f t="shared" si="29"/>
        <v>1.7367662098699395E-5</v>
      </c>
      <c r="O125" s="46">
        <f t="shared" si="29"/>
        <v>0</v>
      </c>
      <c r="P125" s="30">
        <f>SUMPRODUCT(P114:P124,R114:R124)</f>
        <v>1.5743197055817886E-5</v>
      </c>
      <c r="Q125" s="46">
        <f>SUMPRODUCT(Q114:Q124,$R$114:$R$124)</f>
        <v>2.6976418721299364E-5</v>
      </c>
      <c r="R125" s="198"/>
    </row>
    <row r="126" spans="1:18" x14ac:dyDescent="0.35">
      <c r="A126" s="22" t="s">
        <v>336</v>
      </c>
      <c r="B126" s="17" t="s">
        <v>218</v>
      </c>
      <c r="C126" s="17" t="s">
        <v>337</v>
      </c>
      <c r="D126" s="23" t="s">
        <v>24</v>
      </c>
      <c r="E126" s="23" t="s">
        <v>99</v>
      </c>
      <c r="F126" s="223">
        <f>SUM(G126:Q126)</f>
        <v>2.9299999999999997E-4</v>
      </c>
      <c r="G126" s="201">
        <v>1.4999999999999999E-4</v>
      </c>
      <c r="H126" s="202">
        <v>1E-4</v>
      </c>
      <c r="I126" s="203"/>
      <c r="J126" s="204"/>
      <c r="K126" s="205">
        <v>1.27E-5</v>
      </c>
      <c r="L126" s="205"/>
      <c r="M126" s="205">
        <v>0</v>
      </c>
      <c r="N126" s="205">
        <v>3.0300000000000001E-5</v>
      </c>
      <c r="O126" s="205"/>
      <c r="P126" s="14"/>
      <c r="Q126" s="204"/>
      <c r="R126" s="208">
        <f>'Parameters, country spec'!L19</f>
        <v>0.12840126760243717</v>
      </c>
    </row>
    <row r="127" spans="1:18" x14ac:dyDescent="0.35">
      <c r="A127" s="22" t="s">
        <v>338</v>
      </c>
      <c r="B127" s="17" t="s">
        <v>222</v>
      </c>
      <c r="C127" s="17" t="s">
        <v>337</v>
      </c>
      <c r="D127" s="23" t="s">
        <v>24</v>
      </c>
      <c r="E127" s="23" t="s">
        <v>99</v>
      </c>
      <c r="F127" s="221">
        <f t="shared" ref="F127:F136" si="30">SUM(G127:Q127)</f>
        <v>2.9417999999999995E-4</v>
      </c>
      <c r="G127" s="100">
        <v>1.4999999999999999E-4</v>
      </c>
      <c r="H127" s="101">
        <v>1E-4</v>
      </c>
      <c r="I127" s="16"/>
      <c r="J127" s="14"/>
      <c r="K127" s="102">
        <v>8.6100000000000006E-6</v>
      </c>
      <c r="L127" s="102"/>
      <c r="M127" s="102">
        <v>5.2700000000000004E-6</v>
      </c>
      <c r="N127" s="102">
        <v>3.0300000000000001E-5</v>
      </c>
      <c r="O127" s="102"/>
      <c r="P127" s="14"/>
      <c r="Q127" s="14"/>
      <c r="R127" s="197">
        <f>'Parameters, country spec'!L20</f>
        <v>0.19116633717197407</v>
      </c>
    </row>
    <row r="128" spans="1:18" x14ac:dyDescent="0.35">
      <c r="A128" s="22" t="s">
        <v>339</v>
      </c>
      <c r="B128" s="17" t="s">
        <v>226</v>
      </c>
      <c r="C128" s="17" t="s">
        <v>337</v>
      </c>
      <c r="D128" s="23" t="s">
        <v>24</v>
      </c>
      <c r="E128" s="23" t="s">
        <v>99</v>
      </c>
      <c r="F128" s="221">
        <f t="shared" si="30"/>
        <v>2.8010000000000003E-4</v>
      </c>
      <c r="G128" s="100">
        <v>1.2999999999999999E-4</v>
      </c>
      <c r="H128" s="101">
        <v>1E-4</v>
      </c>
      <c r="I128" s="16"/>
      <c r="J128" s="14"/>
      <c r="K128" s="102">
        <v>1.88E-5</v>
      </c>
      <c r="L128" s="102"/>
      <c r="M128" s="102">
        <v>9.9999999999999995E-7</v>
      </c>
      <c r="N128" s="102">
        <v>3.0300000000000001E-5</v>
      </c>
      <c r="O128" s="102"/>
      <c r="P128" s="14"/>
      <c r="Q128" s="14"/>
      <c r="R128" s="197">
        <f>'Parameters, country spec'!L21</f>
        <v>2.5558758775563904E-5</v>
      </c>
    </row>
    <row r="129" spans="1:18" x14ac:dyDescent="0.35">
      <c r="A129" s="22" t="s">
        <v>340</v>
      </c>
      <c r="B129" s="17" t="s">
        <v>227</v>
      </c>
      <c r="C129" s="17" t="s">
        <v>337</v>
      </c>
      <c r="D129" s="23" t="s">
        <v>24</v>
      </c>
      <c r="E129" s="23" t="s">
        <v>99</v>
      </c>
      <c r="F129" s="221">
        <f t="shared" si="30"/>
        <v>2.6639999999999997E-4</v>
      </c>
      <c r="G129" s="100">
        <v>1.2E-4</v>
      </c>
      <c r="H129" s="101">
        <v>1E-4</v>
      </c>
      <c r="I129" s="14"/>
      <c r="J129" s="14"/>
      <c r="K129" s="102">
        <v>1.6099999999999998E-5</v>
      </c>
      <c r="L129" s="102"/>
      <c r="M129" s="102">
        <v>0</v>
      </c>
      <c r="N129" s="102">
        <v>3.0300000000000001E-5</v>
      </c>
      <c r="O129" s="102"/>
      <c r="P129" s="14"/>
      <c r="Q129" s="14"/>
      <c r="R129" s="197">
        <f>'Parameters, country spec'!L22</f>
        <v>2.0974185801992562E-2</v>
      </c>
    </row>
    <row r="130" spans="1:18" x14ac:dyDescent="0.35">
      <c r="A130" s="22" t="s">
        <v>341</v>
      </c>
      <c r="B130" s="17" t="s">
        <v>228</v>
      </c>
      <c r="C130" s="17" t="s">
        <v>337</v>
      </c>
      <c r="D130" s="23" t="s">
        <v>24</v>
      </c>
      <c r="E130" s="23" t="s">
        <v>99</v>
      </c>
      <c r="F130" s="221">
        <f t="shared" si="30"/>
        <v>3.1195099999999998E-4</v>
      </c>
      <c r="G130" s="100">
        <v>1.7000000000000001E-4</v>
      </c>
      <c r="H130" s="101">
        <v>1E-4</v>
      </c>
      <c r="I130" s="14"/>
      <c r="J130" s="14"/>
      <c r="K130" s="102">
        <v>1.1399999999999999E-5</v>
      </c>
      <c r="L130" s="102"/>
      <c r="M130" s="102">
        <v>2.5100000000000001E-7</v>
      </c>
      <c r="N130" s="102">
        <v>3.0300000000000001E-5</v>
      </c>
      <c r="O130" s="102"/>
      <c r="P130" s="14"/>
      <c r="Q130" s="14"/>
      <c r="R130" s="197">
        <f>'Parameters, country spec'!L23</f>
        <v>0.42888207443270587</v>
      </c>
    </row>
    <row r="131" spans="1:18" x14ac:dyDescent="0.35">
      <c r="A131" s="22" t="s">
        <v>342</v>
      </c>
      <c r="B131" s="17" t="s">
        <v>229</v>
      </c>
      <c r="C131" s="17" t="s">
        <v>343</v>
      </c>
      <c r="D131" s="23" t="s">
        <v>24</v>
      </c>
      <c r="E131" s="23" t="s">
        <v>99</v>
      </c>
      <c r="F131" s="221">
        <f t="shared" si="30"/>
        <v>1.5420200000000001E-4</v>
      </c>
      <c r="G131" s="100">
        <v>0</v>
      </c>
      <c r="H131" s="101">
        <v>1E-4</v>
      </c>
      <c r="I131" s="16"/>
      <c r="J131" s="14"/>
      <c r="K131" s="102">
        <v>2.34E-5</v>
      </c>
      <c r="L131" s="102"/>
      <c r="M131" s="102">
        <v>5.0200000000000002E-7</v>
      </c>
      <c r="N131" s="102">
        <v>3.0300000000000001E-5</v>
      </c>
      <c r="O131" s="102"/>
      <c r="P131" s="14"/>
      <c r="Q131" s="14"/>
      <c r="R131" s="197">
        <f>'Parameters, country spec'!L24</f>
        <v>9.3450155108809542E-4</v>
      </c>
    </row>
    <row r="132" spans="1:18" x14ac:dyDescent="0.35">
      <c r="A132" s="22" t="s">
        <v>344</v>
      </c>
      <c r="B132" s="17" t="s">
        <v>230</v>
      </c>
      <c r="C132" s="17" t="s">
        <v>343</v>
      </c>
      <c r="D132" s="23" t="s">
        <v>24</v>
      </c>
      <c r="E132" s="23" t="s">
        <v>99</v>
      </c>
      <c r="F132" s="221">
        <f t="shared" si="30"/>
        <v>1.7880000000000004E-4</v>
      </c>
      <c r="G132" s="100">
        <v>7.5000000000000002E-6</v>
      </c>
      <c r="H132" s="101">
        <v>1E-4</v>
      </c>
      <c r="I132" s="16"/>
      <c r="J132" s="14"/>
      <c r="K132" s="102">
        <v>2.0400000000000001E-5</v>
      </c>
      <c r="L132" s="102"/>
      <c r="M132" s="102">
        <v>2.0599999999999999E-5</v>
      </c>
      <c r="N132" s="102">
        <v>3.0300000000000001E-5</v>
      </c>
      <c r="O132" s="102"/>
      <c r="P132" s="14"/>
      <c r="Q132" s="14"/>
      <c r="R132" s="197">
        <f>'Parameters, country spec'!L25</f>
        <v>9.1798847805104754E-4</v>
      </c>
    </row>
    <row r="133" spans="1:18" x14ac:dyDescent="0.35">
      <c r="B133" s="18" t="s">
        <v>231</v>
      </c>
      <c r="C133" s="17" t="s">
        <v>345</v>
      </c>
      <c r="D133" s="23" t="str">
        <f>'Off-farm feed'!$D$75</f>
        <v>France, Germany, Poland</v>
      </c>
      <c r="E133" s="23" t="s">
        <v>82</v>
      </c>
      <c r="F133" s="222">
        <f>'Off-farm feed'!$E$75</f>
        <v>3.8246443678729497E-4</v>
      </c>
      <c r="G133" s="222">
        <f>'Off-farm feed'!$F$75</f>
        <v>1.684774766302073E-4</v>
      </c>
      <c r="H133" s="222">
        <f>'Off-farm feed'!$G$75</f>
        <v>4.5862068965517246E-5</v>
      </c>
      <c r="I133" s="222">
        <f>'Off-farm feed'!$H$75</f>
        <v>0</v>
      </c>
      <c r="J133" s="222">
        <f>'Off-farm feed'!$I$75</f>
        <v>0</v>
      </c>
      <c r="K133" s="222">
        <f>'Off-farm feed'!$J$75</f>
        <v>1.0936279334641699E-5</v>
      </c>
      <c r="L133" s="222">
        <f>'Off-farm feed'!$K$75</f>
        <v>0</v>
      </c>
      <c r="M133" s="222">
        <f>'Off-farm feed'!$L$75</f>
        <v>6.4606960551724142E-7</v>
      </c>
      <c r="N133" s="222">
        <f>'Off-farm feed'!$M$75</f>
        <v>2.1884761697575221E-5</v>
      </c>
      <c r="O133" s="222">
        <f>'Off-farm feed'!$N$75</f>
        <v>0</v>
      </c>
      <c r="P133" s="222">
        <f>'Off-farm feed'!$O$75</f>
        <v>4.5962128379923281E-5</v>
      </c>
      <c r="Q133" s="222">
        <f>'Off-farm feed'!$P$75</f>
        <v>8.8695652173913049E-5</v>
      </c>
      <c r="R133" s="197">
        <f>'Parameters, country spec'!L26</f>
        <v>9.4499576799197224E-2</v>
      </c>
    </row>
    <row r="134" spans="1:18" x14ac:dyDescent="0.35">
      <c r="B134" s="18" t="s">
        <v>346</v>
      </c>
      <c r="C134" s="17" t="s">
        <v>345</v>
      </c>
      <c r="D134" s="23" t="str">
        <f>'Off-farm feed'!$D$24</f>
        <v>Brazil, Argentina</v>
      </c>
      <c r="E134" s="23"/>
      <c r="F134" s="222">
        <f>'Off-farm feed'!$E$24</f>
        <v>4.7266553697523981E-4</v>
      </c>
      <c r="G134" s="222">
        <f>'Off-farm feed'!$F$24</f>
        <v>1.5603516238625262E-5</v>
      </c>
      <c r="H134" s="222">
        <f>'Off-farm feed'!$G$24</f>
        <v>7.5304878048780503E-5</v>
      </c>
      <c r="I134" s="222">
        <f>'Off-farm feed'!$H$24</f>
        <v>0</v>
      </c>
      <c r="J134" s="222">
        <f>'Off-farm feed'!$I$24</f>
        <v>0</v>
      </c>
      <c r="K134" s="222">
        <f>'Off-farm feed'!$J$24</f>
        <v>1.908459074435586E-5</v>
      </c>
      <c r="L134" s="222">
        <f>'Off-farm feed'!$K$24</f>
        <v>0</v>
      </c>
      <c r="M134" s="222">
        <f>'Off-farm feed'!$L$24</f>
        <v>5.9672097439024396E-7</v>
      </c>
      <c r="N134" s="222">
        <f>'Off-farm feed'!$M$24</f>
        <v>2.3084271612619523E-5</v>
      </c>
      <c r="O134" s="222">
        <f>'Off-farm feed'!$N$24</f>
        <v>0</v>
      </c>
      <c r="P134" s="222">
        <f>'Off-farm feed'!$O$24</f>
        <v>1.2899155935646844E-4</v>
      </c>
      <c r="Q134" s="222">
        <f>'Off-farm feed'!$P$24</f>
        <v>2.1000000000000001E-4</v>
      </c>
      <c r="R134" s="197">
        <f>'Parameters, country spec'!L27</f>
        <v>9.0801007307611245E-2</v>
      </c>
    </row>
    <row r="135" spans="1:18" x14ac:dyDescent="0.35">
      <c r="B135" s="17" t="s">
        <v>233</v>
      </c>
      <c r="C135" s="17" t="s">
        <v>347</v>
      </c>
      <c r="D135" s="23" t="s">
        <v>24</v>
      </c>
      <c r="E135" s="23" t="s">
        <v>99</v>
      </c>
      <c r="F135" s="222"/>
      <c r="G135" s="14"/>
      <c r="H135" s="14"/>
      <c r="I135" s="14"/>
      <c r="J135" s="14"/>
      <c r="K135" s="14"/>
      <c r="L135" s="14"/>
      <c r="M135" s="14"/>
      <c r="N135" s="14"/>
      <c r="O135" s="14"/>
      <c r="P135" s="8"/>
      <c r="Q135" s="14"/>
      <c r="R135" s="197">
        <f>'Parameters, country spec'!L28</f>
        <v>1.8113105318221089E-2</v>
      </c>
    </row>
    <row r="136" spans="1:18" x14ac:dyDescent="0.35">
      <c r="A136" s="83"/>
      <c r="B136" s="17" t="s">
        <v>348</v>
      </c>
      <c r="C136" s="84" t="s">
        <v>349</v>
      </c>
      <c r="D136" s="23" t="s">
        <v>24</v>
      </c>
      <c r="E136" s="23" t="s">
        <v>99</v>
      </c>
      <c r="F136" s="222">
        <f t="shared" si="30"/>
        <v>2.4001262598358114E-4</v>
      </c>
      <c r="G136" s="82">
        <f t="shared" ref="G136:N136" si="31">AVERAGE(G126:G134)</f>
        <v>1.0128677698542583E-4</v>
      </c>
      <c r="H136" s="82">
        <f t="shared" si="31"/>
        <v>9.1240771890477534E-5</v>
      </c>
      <c r="I136" s="82">
        <f t="shared" si="31"/>
        <v>0</v>
      </c>
      <c r="J136" s="82">
        <f t="shared" si="31"/>
        <v>0</v>
      </c>
      <c r="K136" s="82">
        <f t="shared" si="31"/>
        <v>1.5714541119888615E-5</v>
      </c>
      <c r="L136" s="82">
        <f t="shared" si="31"/>
        <v>0</v>
      </c>
      <c r="M136" s="82">
        <f t="shared" si="31"/>
        <v>3.2073100644341652E-6</v>
      </c>
      <c r="N136" s="82">
        <f t="shared" si="31"/>
        <v>2.8563225923354969E-5</v>
      </c>
      <c r="O136" s="82"/>
      <c r="P136" s="81"/>
      <c r="Q136" s="82"/>
      <c r="R136" s="197">
        <f>'Parameters, country spec'!L29</f>
        <v>2.5284396777946184E-2</v>
      </c>
    </row>
    <row r="137" spans="1:18" x14ac:dyDescent="0.35">
      <c r="A137" s="195"/>
      <c r="B137" s="25" t="s">
        <v>350</v>
      </c>
      <c r="C137" s="26"/>
      <c r="D137" s="103"/>
      <c r="E137" s="103"/>
      <c r="F137" s="46">
        <f t="shared" ref="F137:O137" si="32">SUMPRODUCT(F126:F136,$R$126:$R$136)</f>
        <v>3.186818056933358E-4</v>
      </c>
      <c r="G137" s="46">
        <f>SUMPRODUCT(G126:G136,$R$126:$R$136)</f>
        <v>1.4327104350960493E-4</v>
      </c>
      <c r="H137" s="46">
        <f t="shared" si="32"/>
        <v>9.0608864148890422E-5</v>
      </c>
      <c r="I137" s="46">
        <f t="shared" si="32"/>
        <v>0</v>
      </c>
      <c r="J137" s="46">
        <f t="shared" si="32"/>
        <v>0</v>
      </c>
      <c r="K137" s="46">
        <f t="shared" si="32"/>
        <v>1.1708359632840347E-5</v>
      </c>
      <c r="L137" s="46">
        <f t="shared" si="32"/>
        <v>0</v>
      </c>
      <c r="M137" s="46">
        <f t="shared" si="32"/>
        <v>1.3308323088836564E-6</v>
      </c>
      <c r="N137" s="46">
        <f t="shared" si="32"/>
        <v>2.8256827759714547E-5</v>
      </c>
      <c r="O137" s="46">
        <f t="shared" si="32"/>
        <v>0</v>
      </c>
      <c r="P137" s="30">
        <f>SUMPRODUCT(P126:P136,R126:R136)</f>
        <v>1.6055965204439982E-5</v>
      </c>
      <c r="Q137" s="46">
        <f>SUMPRODUCT(Q126:Q136,$R$126:$R$136)</f>
        <v>2.7449913128961944E-5</v>
      </c>
      <c r="R137" s="198"/>
    </row>
    <row r="138" spans="1:18" x14ac:dyDescent="0.35">
      <c r="A138" s="22" t="s">
        <v>336</v>
      </c>
      <c r="B138" s="17" t="s">
        <v>218</v>
      </c>
      <c r="C138" s="17" t="s">
        <v>337</v>
      </c>
      <c r="D138" s="23" t="s">
        <v>22</v>
      </c>
      <c r="E138" s="23" t="s">
        <v>100</v>
      </c>
      <c r="F138" s="223">
        <f>SUM(G138:Q138)</f>
        <v>3.1946000000000003E-4</v>
      </c>
      <c r="G138" s="201">
        <v>1.4999999999999999E-4</v>
      </c>
      <c r="H138" s="202">
        <v>1E-4</v>
      </c>
      <c r="I138" s="203"/>
      <c r="J138" s="204"/>
      <c r="K138" s="205">
        <v>2.9200000000000002E-5</v>
      </c>
      <c r="L138" s="205"/>
      <c r="M138" s="205">
        <v>2.26E-6</v>
      </c>
      <c r="N138" s="205">
        <v>3.8000000000000002E-5</v>
      </c>
      <c r="O138" s="205"/>
      <c r="P138" s="14"/>
      <c r="Q138" s="204"/>
      <c r="R138" s="208">
        <f>'Parameters, country spec'!M19</f>
        <v>0.12227505038110943</v>
      </c>
    </row>
    <row r="139" spans="1:18" x14ac:dyDescent="0.35">
      <c r="A139" s="22" t="s">
        <v>338</v>
      </c>
      <c r="B139" s="17" t="s">
        <v>222</v>
      </c>
      <c r="C139" s="17" t="s">
        <v>337</v>
      </c>
      <c r="D139" s="23" t="s">
        <v>22</v>
      </c>
      <c r="E139" s="23" t="s">
        <v>100</v>
      </c>
      <c r="F139" s="221">
        <f t="shared" ref="F139:F148" si="33">SUM(G139:Q139)</f>
        <v>3.4726000000000001E-4</v>
      </c>
      <c r="G139" s="100">
        <v>1.4999999999999999E-4</v>
      </c>
      <c r="H139" s="101">
        <v>1E-4</v>
      </c>
      <c r="I139" s="16"/>
      <c r="J139" s="14"/>
      <c r="K139" s="102">
        <v>7.5599999999999996E-6</v>
      </c>
      <c r="L139" s="102"/>
      <c r="M139" s="102">
        <v>5.1700000000000003E-5</v>
      </c>
      <c r="N139" s="102">
        <v>3.8000000000000002E-5</v>
      </c>
      <c r="O139" s="102"/>
      <c r="P139" s="14"/>
      <c r="Q139" s="14"/>
      <c r="R139" s="197">
        <f>'Parameters, country spec'!M20</f>
        <v>0.36571383818682729</v>
      </c>
    </row>
    <row r="140" spans="1:18" x14ac:dyDescent="0.35">
      <c r="A140" s="22" t="s">
        <v>339</v>
      </c>
      <c r="B140" s="17" t="s">
        <v>226</v>
      </c>
      <c r="C140" s="17" t="s">
        <v>337</v>
      </c>
      <c r="D140" s="23" t="s">
        <v>22</v>
      </c>
      <c r="E140" s="23" t="s">
        <v>100</v>
      </c>
      <c r="F140" s="221">
        <f t="shared" si="33"/>
        <v>3.7189999999999999E-4</v>
      </c>
      <c r="G140" s="100">
        <v>1.2999999999999999E-4</v>
      </c>
      <c r="H140" s="101">
        <v>1E-4</v>
      </c>
      <c r="I140" s="16"/>
      <c r="J140" s="14"/>
      <c r="K140" s="102">
        <v>6.1500000000000004E-5</v>
      </c>
      <c r="L140" s="102"/>
      <c r="M140" s="102">
        <v>4.2400000000000001E-5</v>
      </c>
      <c r="N140" s="102">
        <v>3.8000000000000002E-5</v>
      </c>
      <c r="O140" s="102"/>
      <c r="P140" s="14"/>
      <c r="Q140" s="14"/>
      <c r="R140" s="197">
        <f>'Parameters, country spec'!M21</f>
        <v>3.3230481611398861E-2</v>
      </c>
    </row>
    <row r="141" spans="1:18" x14ac:dyDescent="0.35">
      <c r="A141" s="22" t="s">
        <v>340</v>
      </c>
      <c r="B141" s="17" t="s">
        <v>227</v>
      </c>
      <c r="C141" s="17" t="s">
        <v>337</v>
      </c>
      <c r="D141" s="23" t="s">
        <v>22</v>
      </c>
      <c r="E141" s="23" t="s">
        <v>100</v>
      </c>
      <c r="F141" s="221">
        <f t="shared" si="33"/>
        <v>2.9825100000000003E-4</v>
      </c>
      <c r="G141" s="100">
        <v>1.2E-4</v>
      </c>
      <c r="H141" s="101">
        <v>1E-4</v>
      </c>
      <c r="I141" s="14"/>
      <c r="J141" s="14"/>
      <c r="K141" s="102">
        <v>4.0000000000000003E-5</v>
      </c>
      <c r="L141" s="102"/>
      <c r="M141" s="102">
        <v>2.5100000000000001E-7</v>
      </c>
      <c r="N141" s="102">
        <v>3.8000000000000002E-5</v>
      </c>
      <c r="O141" s="102"/>
      <c r="P141" s="14"/>
      <c r="Q141" s="14"/>
      <c r="R141" s="197">
        <f>'Parameters, country spec'!M22</f>
        <v>7.3294724625475594E-3</v>
      </c>
    </row>
    <row r="142" spans="1:18" x14ac:dyDescent="0.35">
      <c r="A142" s="22" t="s">
        <v>341</v>
      </c>
      <c r="B142" s="17" t="s">
        <v>228</v>
      </c>
      <c r="C142" s="17" t="s">
        <v>337</v>
      </c>
      <c r="D142" s="23" t="s">
        <v>22</v>
      </c>
      <c r="E142" s="23" t="s">
        <v>100</v>
      </c>
      <c r="F142" s="221">
        <f t="shared" si="33"/>
        <v>3.4382E-4</v>
      </c>
      <c r="G142" s="100">
        <v>1.7000000000000001E-4</v>
      </c>
      <c r="H142" s="101">
        <v>1E-4</v>
      </c>
      <c r="I142" s="14"/>
      <c r="J142" s="14"/>
      <c r="K142" s="102">
        <v>2.9300000000000001E-5</v>
      </c>
      <c r="L142" s="102"/>
      <c r="M142" s="102">
        <v>6.5200000000000003E-6</v>
      </c>
      <c r="N142" s="102">
        <v>3.8000000000000002E-5</v>
      </c>
      <c r="O142" s="102"/>
      <c r="P142" s="14"/>
      <c r="Q142" s="14"/>
      <c r="R142" s="197">
        <f>'Parameters, country spec'!M23</f>
        <v>5.256160625309033E-3</v>
      </c>
    </row>
    <row r="143" spans="1:18" x14ac:dyDescent="0.35">
      <c r="A143" s="22" t="s">
        <v>342</v>
      </c>
      <c r="B143" s="17" t="s">
        <v>229</v>
      </c>
      <c r="C143" s="17" t="s">
        <v>343</v>
      </c>
      <c r="D143" s="23" t="s">
        <v>22</v>
      </c>
      <c r="E143" s="23" t="s">
        <v>100</v>
      </c>
      <c r="F143" s="221">
        <f t="shared" si="33"/>
        <v>1.9450000000000001E-4</v>
      </c>
      <c r="G143" s="100">
        <v>0</v>
      </c>
      <c r="H143" s="101">
        <v>1E-4</v>
      </c>
      <c r="I143" s="16"/>
      <c r="J143" s="14"/>
      <c r="K143" s="102">
        <v>4.6199999999999998E-5</v>
      </c>
      <c r="L143" s="102"/>
      <c r="M143" s="102">
        <v>1.03E-5</v>
      </c>
      <c r="N143" s="102">
        <v>3.8000000000000002E-5</v>
      </c>
      <c r="O143" s="102"/>
      <c r="P143" s="14"/>
      <c r="Q143" s="14"/>
      <c r="R143" s="197">
        <f>'Parameters, country spec'!M24</f>
        <v>1.0533673599513421E-3</v>
      </c>
    </row>
    <row r="144" spans="1:18" x14ac:dyDescent="0.35">
      <c r="A144" s="22" t="s">
        <v>344</v>
      </c>
      <c r="B144" s="17" t="s">
        <v>230</v>
      </c>
      <c r="C144" s="17" t="s">
        <v>343</v>
      </c>
      <c r="D144" s="23" t="s">
        <v>22</v>
      </c>
      <c r="E144" s="23" t="s">
        <v>100</v>
      </c>
      <c r="F144" s="221">
        <f t="shared" si="33"/>
        <v>2.496E-4</v>
      </c>
      <c r="G144" s="100">
        <v>7.5000000000000002E-6</v>
      </c>
      <c r="H144" s="101">
        <v>1E-4</v>
      </c>
      <c r="I144" s="16"/>
      <c r="J144" s="14"/>
      <c r="K144" s="102">
        <v>2.8600000000000001E-5</v>
      </c>
      <c r="L144" s="102"/>
      <c r="M144" s="102">
        <v>7.5500000000000006E-5</v>
      </c>
      <c r="N144" s="102">
        <v>3.8000000000000002E-5</v>
      </c>
      <c r="O144" s="102"/>
      <c r="P144" s="14"/>
      <c r="Q144" s="14"/>
      <c r="R144" s="197">
        <f>'Parameters, country spec'!M25</f>
        <v>1.0347538734704405E-3</v>
      </c>
    </row>
    <row r="145" spans="1:18" x14ac:dyDescent="0.35">
      <c r="B145" s="18" t="s">
        <v>231</v>
      </c>
      <c r="C145" s="17" t="s">
        <v>345</v>
      </c>
      <c r="D145" s="23" t="str">
        <f>'Off-farm feed'!$D$75</f>
        <v>France, Germany, Poland</v>
      </c>
      <c r="E145" s="23" t="s">
        <v>82</v>
      </c>
      <c r="F145" s="222">
        <f>'Off-farm feed'!$E$75</f>
        <v>3.8246443678729497E-4</v>
      </c>
      <c r="G145" s="222">
        <f>'Off-farm feed'!$F$75</f>
        <v>1.684774766302073E-4</v>
      </c>
      <c r="H145" s="222">
        <f>'Off-farm feed'!$G$75</f>
        <v>4.5862068965517246E-5</v>
      </c>
      <c r="I145" s="222">
        <f>'Off-farm feed'!$H$75</f>
        <v>0</v>
      </c>
      <c r="J145" s="222">
        <f>'Off-farm feed'!$I$75</f>
        <v>0</v>
      </c>
      <c r="K145" s="222">
        <f>'Off-farm feed'!$J$75</f>
        <v>1.0936279334641699E-5</v>
      </c>
      <c r="L145" s="222">
        <f>'Off-farm feed'!$K$75</f>
        <v>0</v>
      </c>
      <c r="M145" s="222">
        <f>'Off-farm feed'!$L$75</f>
        <v>6.4606960551724142E-7</v>
      </c>
      <c r="N145" s="222">
        <f>'Off-farm feed'!$M$75</f>
        <v>2.1884761697575221E-5</v>
      </c>
      <c r="O145" s="222">
        <f>'Off-farm feed'!$N$75</f>
        <v>0</v>
      </c>
      <c r="P145" s="222">
        <f>'Off-farm feed'!$O$75</f>
        <v>4.5962128379923281E-5</v>
      </c>
      <c r="Q145" s="222">
        <f>'Off-farm feed'!$P$75</f>
        <v>8.8695652173913049E-5</v>
      </c>
      <c r="R145" s="197">
        <f>'Parameters, country spec'!M26</f>
        <v>1.1495502598072803E-3</v>
      </c>
    </row>
    <row r="146" spans="1:18" x14ac:dyDescent="0.35">
      <c r="B146" s="18" t="s">
        <v>346</v>
      </c>
      <c r="C146" s="17" t="s">
        <v>345</v>
      </c>
      <c r="D146" s="23" t="str">
        <f>'Off-farm feed'!$D$24</f>
        <v>Brazil, Argentina</v>
      </c>
      <c r="E146" s="23"/>
      <c r="F146" s="222">
        <f>'Off-farm feed'!$E$24</f>
        <v>4.7266553697523981E-4</v>
      </c>
      <c r="G146" s="222">
        <f>'Off-farm feed'!$F$24</f>
        <v>1.5603516238625262E-5</v>
      </c>
      <c r="H146" s="222">
        <f>'Off-farm feed'!$G$24</f>
        <v>7.5304878048780503E-5</v>
      </c>
      <c r="I146" s="222">
        <f>'Off-farm feed'!$H$24</f>
        <v>0</v>
      </c>
      <c r="J146" s="222">
        <f>'Off-farm feed'!$I$24</f>
        <v>0</v>
      </c>
      <c r="K146" s="222">
        <f>'Off-farm feed'!$J$24</f>
        <v>1.908459074435586E-5</v>
      </c>
      <c r="L146" s="222">
        <f>'Off-farm feed'!$K$24</f>
        <v>0</v>
      </c>
      <c r="M146" s="222">
        <f>'Off-farm feed'!$L$24</f>
        <v>5.9672097439024396E-7</v>
      </c>
      <c r="N146" s="222">
        <f>'Off-farm feed'!$M$24</f>
        <v>2.3084271612619523E-5</v>
      </c>
      <c r="O146" s="222">
        <f>'Off-farm feed'!$N$24</f>
        <v>0</v>
      </c>
      <c r="P146" s="222">
        <f>'Off-farm feed'!$O$24</f>
        <v>1.2899155935646844E-4</v>
      </c>
      <c r="Q146" s="222">
        <f>'Off-farm feed'!$P$24</f>
        <v>2.1000000000000001E-4</v>
      </c>
      <c r="R146" s="197">
        <f>'Parameters, country spec'!M27</f>
        <v>0.20255815802791313</v>
      </c>
    </row>
    <row r="147" spans="1:18" x14ac:dyDescent="0.35">
      <c r="B147" s="17" t="s">
        <v>233</v>
      </c>
      <c r="C147" s="17" t="s">
        <v>347</v>
      </c>
      <c r="D147" s="23" t="s">
        <v>22</v>
      </c>
      <c r="E147" s="23" t="s">
        <v>100</v>
      </c>
      <c r="F147" s="222"/>
      <c r="G147" s="14"/>
      <c r="H147" s="14"/>
      <c r="I147" s="14"/>
      <c r="J147" s="14"/>
      <c r="K147" s="14"/>
      <c r="L147" s="14"/>
      <c r="M147" s="14"/>
      <c r="N147" s="14"/>
      <c r="O147" s="14"/>
      <c r="P147" s="8"/>
      <c r="Q147" s="14"/>
      <c r="R147" s="197">
        <f>'Parameters, country spec'!M28</f>
        <v>0.12768205188630527</v>
      </c>
    </row>
    <row r="148" spans="1:18" x14ac:dyDescent="0.35">
      <c r="A148" s="83"/>
      <c r="B148" s="17" t="s">
        <v>348</v>
      </c>
      <c r="C148" s="84" t="s">
        <v>349</v>
      </c>
      <c r="D148" s="23" t="s">
        <v>22</v>
      </c>
      <c r="E148" s="23" t="s">
        <v>100</v>
      </c>
      <c r="F148" s="222">
        <f t="shared" si="33"/>
        <v>4.2782245207053765E-4</v>
      </c>
      <c r="G148" s="82">
        <f t="shared" ref="G148:Q148" si="34">AVERAGE(G138:G146)</f>
        <v>1.0128677698542583E-4</v>
      </c>
      <c r="H148" s="82">
        <f t="shared" si="34"/>
        <v>9.1240771890477534E-5</v>
      </c>
      <c r="I148" s="82">
        <f t="shared" si="34"/>
        <v>0</v>
      </c>
      <c r="J148" s="82">
        <f t="shared" si="34"/>
        <v>0</v>
      </c>
      <c r="K148" s="82">
        <f t="shared" si="34"/>
        <v>3.026454111988862E-5</v>
      </c>
      <c r="L148" s="82">
        <f t="shared" si="34"/>
        <v>0</v>
      </c>
      <c r="M148" s="82">
        <f t="shared" si="34"/>
        <v>2.1130421175545275E-5</v>
      </c>
      <c r="N148" s="82">
        <f t="shared" si="34"/>
        <v>3.4552114812243863E-5</v>
      </c>
      <c r="O148" s="82">
        <f t="shared" si="34"/>
        <v>0</v>
      </c>
      <c r="P148" s="81"/>
      <c r="Q148" s="82">
        <f t="shared" si="34"/>
        <v>1.4934782608695652E-4</v>
      </c>
      <c r="R148" s="197">
        <f>'Parameters, country spec'!M29</f>
        <v>0.13271711532536037</v>
      </c>
    </row>
    <row r="149" spans="1:18" x14ac:dyDescent="0.35">
      <c r="A149" s="195"/>
      <c r="B149" s="25" t="s">
        <v>350</v>
      </c>
      <c r="C149" s="26"/>
      <c r="D149" s="103"/>
      <c r="E149" s="103"/>
      <c r="F149" s="46">
        <f t="shared" ref="F149:O149" si="35">SUMPRODUCT(F138:F148,$R$138:$R$148)</f>
        <v>3.3583582564661486E-4</v>
      </c>
      <c r="G149" s="46">
        <f>SUMPRODUCT(G138:G148,$R$138:$R$148)</f>
        <v>9.6095922247726938E-5</v>
      </c>
      <c r="H149" s="46">
        <f t="shared" si="35"/>
        <v>8.1004862636797022E-5</v>
      </c>
      <c r="I149" s="46">
        <f t="shared" si="35"/>
        <v>0</v>
      </c>
      <c r="J149" s="46">
        <f t="shared" si="35"/>
        <v>0</v>
      </c>
      <c r="K149" s="46">
        <f t="shared" si="35"/>
        <v>1.6799280589277419E-5</v>
      </c>
      <c r="L149" s="46">
        <f t="shared" si="35"/>
        <v>0</v>
      </c>
      <c r="M149" s="46">
        <f t="shared" si="35"/>
        <v>2.3643784869503486E-5</v>
      </c>
      <c r="N149" s="46">
        <f t="shared" si="35"/>
        <v>2.9650660908058511E-5</v>
      </c>
      <c r="O149" s="46">
        <f t="shared" si="35"/>
        <v>0</v>
      </c>
      <c r="P149" s="30">
        <f>SUMPRODUCT(P138:P148,R138:R148)</f>
        <v>2.6181128441014906E-5</v>
      </c>
      <c r="Q149" s="46">
        <f>SUMPRODUCT(Q138:Q148,$R$138:$R$148)</f>
        <v>6.2460185954236528E-5</v>
      </c>
      <c r="R149" s="198"/>
    </row>
    <row r="150" spans="1:18" x14ac:dyDescent="0.35">
      <c r="A150" s="22" t="s">
        <v>336</v>
      </c>
      <c r="B150" s="17" t="s">
        <v>218</v>
      </c>
      <c r="C150" s="17" t="s">
        <v>337</v>
      </c>
      <c r="D150" s="23" t="s">
        <v>26</v>
      </c>
      <c r="E150" s="23" t="s">
        <v>101</v>
      </c>
      <c r="F150" s="223">
        <f>SUM(G150:Q150)</f>
        <v>2.9985099999999996E-4</v>
      </c>
      <c r="G150" s="201">
        <v>1.4999999999999999E-4</v>
      </c>
      <c r="H150" s="202">
        <v>1E-4</v>
      </c>
      <c r="I150" s="203"/>
      <c r="J150" s="204"/>
      <c r="K150" s="205">
        <v>1.5E-5</v>
      </c>
      <c r="L150" s="205"/>
      <c r="M150" s="205">
        <v>2.5100000000000001E-7</v>
      </c>
      <c r="N150" s="205">
        <v>3.4600000000000001E-5</v>
      </c>
      <c r="O150" s="205"/>
      <c r="P150" s="14"/>
      <c r="Q150" s="204"/>
      <c r="R150" s="208">
        <f>'Parameters, country spec'!N19</f>
        <v>8.7418005626499207E-2</v>
      </c>
    </row>
    <row r="151" spans="1:18" x14ac:dyDescent="0.35">
      <c r="A151" s="22" t="s">
        <v>338</v>
      </c>
      <c r="B151" s="17" t="s">
        <v>222</v>
      </c>
      <c r="C151" s="17" t="s">
        <v>337</v>
      </c>
      <c r="D151" s="23" t="s">
        <v>26</v>
      </c>
      <c r="E151" s="23" t="s">
        <v>101</v>
      </c>
      <c r="F151" s="221">
        <f t="shared" ref="F151:F160" si="36">SUM(G151:Q151)</f>
        <v>2.9590200000000001E-4</v>
      </c>
      <c r="G151" s="100">
        <v>1.4999999999999999E-4</v>
      </c>
      <c r="H151" s="101">
        <v>1E-4</v>
      </c>
      <c r="I151" s="16"/>
      <c r="J151" s="14"/>
      <c r="K151" s="102">
        <v>1.08E-5</v>
      </c>
      <c r="L151" s="102"/>
      <c r="M151" s="102">
        <v>5.0200000000000002E-7</v>
      </c>
      <c r="N151" s="102">
        <v>3.4600000000000001E-5</v>
      </c>
      <c r="O151" s="102"/>
      <c r="P151" s="14"/>
      <c r="Q151" s="14"/>
      <c r="R151" s="197">
        <f>'Parameters, country spec'!N20</f>
        <v>0.51851224834420662</v>
      </c>
    </row>
    <row r="152" spans="1:18" x14ac:dyDescent="0.35">
      <c r="A152" s="22" t="s">
        <v>339</v>
      </c>
      <c r="B152" s="17" t="s">
        <v>226</v>
      </c>
      <c r="C152" s="17" t="s">
        <v>337</v>
      </c>
      <c r="D152" s="23" t="s">
        <v>26</v>
      </c>
      <c r="E152" s="23" t="s">
        <v>101</v>
      </c>
      <c r="F152" s="221">
        <f t="shared" si="36"/>
        <v>2.9496000000000004E-4</v>
      </c>
      <c r="G152" s="100">
        <v>1.2999999999999999E-4</v>
      </c>
      <c r="H152" s="101">
        <v>1E-4</v>
      </c>
      <c r="I152" s="16"/>
      <c r="J152" s="14"/>
      <c r="K152" s="102">
        <v>2.8099999999999999E-5</v>
      </c>
      <c r="L152" s="102"/>
      <c r="M152" s="102">
        <v>2.26E-6</v>
      </c>
      <c r="N152" s="102">
        <v>3.4600000000000001E-5</v>
      </c>
      <c r="O152" s="102"/>
      <c r="P152" s="14"/>
      <c r="Q152" s="14"/>
      <c r="R152" s="197">
        <f>'Parameters, country spec'!N21</f>
        <v>4.6821690090770259E-2</v>
      </c>
    </row>
    <row r="153" spans="1:18" x14ac:dyDescent="0.35">
      <c r="A153" s="22" t="s">
        <v>340</v>
      </c>
      <c r="B153" s="17" t="s">
        <v>227</v>
      </c>
      <c r="C153" s="17" t="s">
        <v>337</v>
      </c>
      <c r="D153" s="23" t="s">
        <v>26</v>
      </c>
      <c r="E153" s="23" t="s">
        <v>101</v>
      </c>
      <c r="F153" s="221">
        <f t="shared" si="36"/>
        <v>2.7900000000000006E-4</v>
      </c>
      <c r="G153" s="100">
        <v>1.2E-4</v>
      </c>
      <c r="H153" s="101">
        <v>1E-4</v>
      </c>
      <c r="I153" s="14"/>
      <c r="J153" s="14"/>
      <c r="K153" s="102">
        <v>2.44E-5</v>
      </c>
      <c r="L153" s="102"/>
      <c r="M153" s="102">
        <v>0</v>
      </c>
      <c r="N153" s="102">
        <v>3.4600000000000001E-5</v>
      </c>
      <c r="O153" s="102"/>
      <c r="P153" s="14"/>
      <c r="Q153" s="14"/>
      <c r="R153" s="197">
        <f>'Parameters, country spec'!N22</f>
        <v>1.8197973513379373E-2</v>
      </c>
    </row>
    <row r="154" spans="1:18" x14ac:dyDescent="0.35">
      <c r="A154" s="22" t="s">
        <v>341</v>
      </c>
      <c r="B154" s="17" t="s">
        <v>228</v>
      </c>
      <c r="C154" s="17" t="s">
        <v>337</v>
      </c>
      <c r="D154" s="23" t="s">
        <v>26</v>
      </c>
      <c r="E154" s="23" t="s">
        <v>101</v>
      </c>
      <c r="F154" s="221">
        <f t="shared" si="36"/>
        <v>3.2050199999999996E-4</v>
      </c>
      <c r="G154" s="100">
        <v>1.7000000000000001E-4</v>
      </c>
      <c r="H154" s="101">
        <v>1E-4</v>
      </c>
      <c r="I154" s="14"/>
      <c r="J154" s="14"/>
      <c r="K154" s="102">
        <v>1.5400000000000002E-5</v>
      </c>
      <c r="L154" s="102"/>
      <c r="M154" s="102">
        <v>5.0200000000000002E-7</v>
      </c>
      <c r="N154" s="102">
        <v>3.4600000000000001E-5</v>
      </c>
      <c r="O154" s="102"/>
      <c r="P154" s="14"/>
      <c r="Q154" s="14"/>
      <c r="R154" s="197">
        <f>'Parameters, country spec'!N23</f>
        <v>8.1866500320142158E-2</v>
      </c>
    </row>
    <row r="155" spans="1:18" x14ac:dyDescent="0.35">
      <c r="A155" s="22" t="s">
        <v>342</v>
      </c>
      <c r="B155" s="17" t="s">
        <v>229</v>
      </c>
      <c r="C155" s="17" t="s">
        <v>343</v>
      </c>
      <c r="D155" s="23" t="s">
        <v>26</v>
      </c>
      <c r="E155" s="23" t="s">
        <v>101</v>
      </c>
      <c r="F155" s="221">
        <f t="shared" si="36"/>
        <v>1.8469999999999999E-4</v>
      </c>
      <c r="G155" s="100">
        <v>0</v>
      </c>
      <c r="H155" s="101">
        <v>1E-4</v>
      </c>
      <c r="I155" s="16"/>
      <c r="J155" s="14"/>
      <c r="K155" s="102">
        <v>3.15E-5</v>
      </c>
      <c r="L155" s="102"/>
      <c r="M155" s="102">
        <v>1.8600000000000001E-5</v>
      </c>
      <c r="N155" s="102">
        <v>3.4600000000000001E-5</v>
      </c>
      <c r="O155" s="102"/>
      <c r="P155" s="14"/>
      <c r="Q155" s="14"/>
      <c r="R155" s="197">
        <f>'Parameters, country spec'!N24</f>
        <v>1.1994594385271529E-3</v>
      </c>
    </row>
    <row r="156" spans="1:18" x14ac:dyDescent="0.35">
      <c r="A156" s="22" t="s">
        <v>344</v>
      </c>
      <c r="B156" s="17" t="s">
        <v>230</v>
      </c>
      <c r="C156" s="17" t="s">
        <v>343</v>
      </c>
      <c r="D156" s="23" t="s">
        <v>26</v>
      </c>
      <c r="E156" s="23" t="s">
        <v>101</v>
      </c>
      <c r="F156" s="221">
        <f t="shared" si="36"/>
        <v>2.0880000000000001E-4</v>
      </c>
      <c r="G156" s="100">
        <v>7.5000000000000002E-6</v>
      </c>
      <c r="H156" s="101">
        <v>1E-4</v>
      </c>
      <c r="I156" s="16"/>
      <c r="J156" s="14"/>
      <c r="K156" s="102">
        <v>3.93E-5</v>
      </c>
      <c r="L156" s="102"/>
      <c r="M156" s="102">
        <v>2.7399999999999999E-5</v>
      </c>
      <c r="N156" s="102">
        <v>3.4600000000000001E-5</v>
      </c>
      <c r="O156" s="102"/>
      <c r="P156" s="14"/>
      <c r="Q156" s="14"/>
      <c r="R156" s="197">
        <f>'Parameters, country spec'!N25</f>
        <v>1.1782644376318839E-3</v>
      </c>
    </row>
    <row r="157" spans="1:18" x14ac:dyDescent="0.35">
      <c r="B157" s="18" t="s">
        <v>231</v>
      </c>
      <c r="C157" s="17" t="s">
        <v>345</v>
      </c>
      <c r="D157" s="23" t="str">
        <f>'Off-farm feed'!$D$75</f>
        <v>France, Germany, Poland</v>
      </c>
      <c r="E157" s="23" t="s">
        <v>82</v>
      </c>
      <c r="F157" s="222">
        <f>'Off-farm feed'!$E$75</f>
        <v>3.8246443678729497E-4</v>
      </c>
      <c r="G157" s="222">
        <f>'Off-farm feed'!$F$75</f>
        <v>1.684774766302073E-4</v>
      </c>
      <c r="H157" s="222">
        <f>'Off-farm feed'!$G$75</f>
        <v>4.5862068965517246E-5</v>
      </c>
      <c r="I157" s="222">
        <f>'Off-farm feed'!$H$75</f>
        <v>0</v>
      </c>
      <c r="J157" s="222">
        <f>'Off-farm feed'!$I$75</f>
        <v>0</v>
      </c>
      <c r="K157" s="222">
        <f>'Off-farm feed'!$J$75</f>
        <v>1.0936279334641699E-5</v>
      </c>
      <c r="L157" s="222">
        <f>'Off-farm feed'!$K$75</f>
        <v>0</v>
      </c>
      <c r="M157" s="222">
        <f>'Off-farm feed'!$L$75</f>
        <v>6.4606960551724142E-7</v>
      </c>
      <c r="N157" s="222">
        <f>'Off-farm feed'!$M$75</f>
        <v>2.1884761697575221E-5</v>
      </c>
      <c r="O157" s="222">
        <f>'Off-farm feed'!$N$75</f>
        <v>0</v>
      </c>
      <c r="P157" s="222">
        <f>'Off-farm feed'!$O$75</f>
        <v>4.5962128379923281E-5</v>
      </c>
      <c r="Q157" s="222">
        <f>'Off-farm feed'!$P$75</f>
        <v>8.8695652173913049E-5</v>
      </c>
      <c r="R157" s="197">
        <f>'Parameters, country spec'!N26</f>
        <v>5.1767642112223974E-4</v>
      </c>
    </row>
    <row r="158" spans="1:18" x14ac:dyDescent="0.35">
      <c r="B158" s="18" t="s">
        <v>346</v>
      </c>
      <c r="C158" s="17" t="s">
        <v>345</v>
      </c>
      <c r="D158" s="23" t="str">
        <f>'Off-farm feed'!$D$24</f>
        <v>Brazil, Argentina</v>
      </c>
      <c r="E158" s="23"/>
      <c r="F158" s="222">
        <f>'Off-farm feed'!$E$24</f>
        <v>4.7266553697523981E-4</v>
      </c>
      <c r="G158" s="222">
        <f>'Off-farm feed'!$F$24</f>
        <v>1.5603516238625262E-5</v>
      </c>
      <c r="H158" s="222">
        <f>'Off-farm feed'!$G$24</f>
        <v>7.5304878048780503E-5</v>
      </c>
      <c r="I158" s="222">
        <f>'Off-farm feed'!$H$24</f>
        <v>0</v>
      </c>
      <c r="J158" s="222">
        <f>'Off-farm feed'!$I$24</f>
        <v>0</v>
      </c>
      <c r="K158" s="222">
        <f>'Off-farm feed'!$J$24</f>
        <v>1.908459074435586E-5</v>
      </c>
      <c r="L158" s="222">
        <f>'Off-farm feed'!$K$24</f>
        <v>0</v>
      </c>
      <c r="M158" s="222">
        <f>'Off-farm feed'!$L$24</f>
        <v>5.9672097439024396E-7</v>
      </c>
      <c r="N158" s="222">
        <f>'Off-farm feed'!$M$24</f>
        <v>2.3084271612619523E-5</v>
      </c>
      <c r="O158" s="222">
        <f>'Off-farm feed'!$N$24</f>
        <v>0</v>
      </c>
      <c r="P158" s="222">
        <f>'Off-farm feed'!$O$24</f>
        <v>1.2899155935646844E-4</v>
      </c>
      <c r="Q158" s="222">
        <f>'Off-farm feed'!$P$24</f>
        <v>2.1000000000000001E-4</v>
      </c>
      <c r="R158" s="197">
        <f>'Parameters, country spec'!N27</f>
        <v>9.8710786383614704E-2</v>
      </c>
    </row>
    <row r="159" spans="1:18" x14ac:dyDescent="0.35">
      <c r="B159" s="17" t="s">
        <v>233</v>
      </c>
      <c r="C159" s="17" t="s">
        <v>347</v>
      </c>
      <c r="D159" s="23" t="s">
        <v>26</v>
      </c>
      <c r="E159" s="23" t="s">
        <v>101</v>
      </c>
      <c r="F159" s="222"/>
      <c r="G159" s="14"/>
      <c r="H159" s="14"/>
      <c r="I159" s="14"/>
      <c r="J159" s="14"/>
      <c r="K159" s="14"/>
      <c r="L159" s="14"/>
      <c r="M159" s="14"/>
      <c r="N159" s="14"/>
      <c r="O159" s="14"/>
      <c r="P159" s="8"/>
      <c r="Q159" s="14"/>
      <c r="R159" s="197">
        <f>'Parameters, country spec'!N28</f>
        <v>7.7842176173985381E-2</v>
      </c>
    </row>
    <row r="160" spans="1:18" x14ac:dyDescent="0.35">
      <c r="A160" s="83"/>
      <c r="B160" s="17" t="s">
        <v>348</v>
      </c>
      <c r="C160" s="84" t="s">
        <v>349</v>
      </c>
      <c r="D160" s="23" t="s">
        <v>26</v>
      </c>
      <c r="E160" s="23" t="s">
        <v>101</v>
      </c>
      <c r="F160" s="222">
        <f t="shared" si="36"/>
        <v>2.5168840376135889E-4</v>
      </c>
      <c r="G160" s="82">
        <f t="shared" ref="G160:N160" si="37">AVERAGE(G150:G158)</f>
        <v>1.0128677698542583E-4</v>
      </c>
      <c r="H160" s="82">
        <f t="shared" si="37"/>
        <v>9.1240771890477534E-5</v>
      </c>
      <c r="I160" s="82">
        <f t="shared" si="37"/>
        <v>0</v>
      </c>
      <c r="J160" s="82">
        <f t="shared" si="37"/>
        <v>0</v>
      </c>
      <c r="K160" s="82">
        <f t="shared" si="37"/>
        <v>2.1613430008777509E-5</v>
      </c>
      <c r="L160" s="82">
        <f t="shared" si="37"/>
        <v>0</v>
      </c>
      <c r="M160" s="82">
        <f t="shared" si="37"/>
        <v>5.639754508878609E-6</v>
      </c>
      <c r="N160" s="82">
        <f t="shared" si="37"/>
        <v>3.1907670367799416E-5</v>
      </c>
      <c r="O160" s="82"/>
      <c r="P160" s="81"/>
      <c r="Q160" s="82"/>
      <c r="R160" s="197">
        <f>'Parameters, country spec'!N29</f>
        <v>6.7735219250121048E-2</v>
      </c>
    </row>
    <row r="161" spans="1:18" x14ac:dyDescent="0.35">
      <c r="A161" s="195"/>
      <c r="B161" s="25" t="s">
        <v>350</v>
      </c>
      <c r="C161" s="26"/>
      <c r="D161" s="103"/>
      <c r="E161" s="103"/>
      <c r="F161" s="46">
        <f t="shared" ref="F161:O161" si="38">SUMPRODUCT(F150:F160,$R$150:$R$160)</f>
        <v>2.8913823577613568E-4</v>
      </c>
      <c r="G161" s="46">
        <f>SUMPRODUCT(G150:G160,$R$150:$R$160)</f>
        <v>1.2157439088836969E-4</v>
      </c>
      <c r="H161" s="46">
        <f t="shared" si="38"/>
        <v>8.9156773308112083E-5</v>
      </c>
      <c r="I161" s="46">
        <f t="shared" si="38"/>
        <v>0</v>
      </c>
      <c r="J161" s="46">
        <f t="shared" si="38"/>
        <v>0</v>
      </c>
      <c r="K161" s="46">
        <f t="shared" si="38"/>
        <v>1.336926211595761E-5</v>
      </c>
      <c r="L161" s="46">
        <f t="shared" si="38"/>
        <v>0</v>
      </c>
      <c r="M161" s="46">
        <f t="shared" si="38"/>
        <v>9.2499072180520301E-7</v>
      </c>
      <c r="N161" s="46">
        <f t="shared" si="38"/>
        <v>3.0580986182492848E-5</v>
      </c>
      <c r="O161" s="46">
        <f t="shared" si="38"/>
        <v>0</v>
      </c>
      <c r="P161" s="30">
        <f>SUMPRODUCT(P150:P160,R150:R160)</f>
        <v>1.2756651771052591E-5</v>
      </c>
      <c r="Q161" s="46">
        <f>SUMPRODUCT(Q150:Q160,$R$150:$R$160)</f>
        <v>2.0775180788345584E-5</v>
      </c>
      <c r="R161" s="198"/>
    </row>
    <row r="162" spans="1:18" x14ac:dyDescent="0.35">
      <c r="A162" s="22" t="s">
        <v>336</v>
      </c>
      <c r="B162" s="17" t="s">
        <v>218</v>
      </c>
      <c r="C162" s="17" t="s">
        <v>337</v>
      </c>
      <c r="D162" s="23" t="s">
        <v>27</v>
      </c>
      <c r="E162" s="23" t="s">
        <v>102</v>
      </c>
      <c r="F162" s="223">
        <f>SUM(G162:Q162)</f>
        <v>2.8265300000000001E-4</v>
      </c>
      <c r="G162" s="201">
        <v>1.4999999999999999E-4</v>
      </c>
      <c r="H162" s="202">
        <v>1E-4</v>
      </c>
      <c r="I162" s="203"/>
      <c r="J162" s="204"/>
      <c r="K162" s="205">
        <v>1.0900000000000001E-5</v>
      </c>
      <c r="L162" s="205"/>
      <c r="M162" s="205">
        <v>7.5300000000000003E-7</v>
      </c>
      <c r="N162" s="205">
        <v>2.0999999999999999E-5</v>
      </c>
      <c r="O162" s="205"/>
      <c r="P162" s="14"/>
      <c r="Q162" s="204"/>
      <c r="R162" s="208">
        <f>'Parameters, country spec'!O19</f>
        <v>0.30763475488022607</v>
      </c>
    </row>
    <row r="163" spans="1:18" x14ac:dyDescent="0.35">
      <c r="A163" s="22" t="s">
        <v>338</v>
      </c>
      <c r="B163" s="17" t="s">
        <v>222</v>
      </c>
      <c r="C163" s="17" t="s">
        <v>337</v>
      </c>
      <c r="D163" s="23" t="s">
        <v>27</v>
      </c>
      <c r="E163" s="23" t="s">
        <v>102</v>
      </c>
      <c r="F163" s="221">
        <f t="shared" ref="F163:F172" si="39">SUM(G163:Q163)</f>
        <v>0</v>
      </c>
      <c r="G163" s="100"/>
      <c r="H163" s="101"/>
      <c r="I163" s="16"/>
      <c r="J163" s="14"/>
      <c r="K163" s="102"/>
      <c r="L163" s="102"/>
      <c r="M163" s="102"/>
      <c r="N163" s="102"/>
      <c r="O163" s="102"/>
      <c r="P163" s="14"/>
      <c r="Q163" s="14"/>
      <c r="R163" s="197">
        <f>'Parameters, country spec'!O20</f>
        <v>8.4790139584359644E-2</v>
      </c>
    </row>
    <row r="164" spans="1:18" x14ac:dyDescent="0.35">
      <c r="A164" s="22" t="s">
        <v>339</v>
      </c>
      <c r="B164" s="17" t="s">
        <v>226</v>
      </c>
      <c r="C164" s="17" t="s">
        <v>337</v>
      </c>
      <c r="D164" s="23" t="s">
        <v>27</v>
      </c>
      <c r="E164" s="23" t="s">
        <v>102</v>
      </c>
      <c r="F164" s="221">
        <f t="shared" si="39"/>
        <v>2.6160000000000002E-4</v>
      </c>
      <c r="G164" s="100">
        <v>1.2999999999999999E-4</v>
      </c>
      <c r="H164" s="101">
        <v>1E-4</v>
      </c>
      <c r="I164" s="16"/>
      <c r="J164" s="14"/>
      <c r="K164" s="102">
        <v>1.06E-5</v>
      </c>
      <c r="L164" s="102"/>
      <c r="M164" s="102">
        <v>0</v>
      </c>
      <c r="N164" s="102">
        <v>2.0999999999999999E-5</v>
      </c>
      <c r="O164" s="102"/>
      <c r="P164" s="14"/>
      <c r="Q164" s="14"/>
      <c r="R164" s="197">
        <f>'Parameters, country spec'!O21</f>
        <v>1.77320656507646E-2</v>
      </c>
    </row>
    <row r="165" spans="1:18" x14ac:dyDescent="0.35">
      <c r="A165" s="22" t="s">
        <v>340</v>
      </c>
      <c r="B165" s="17" t="s">
        <v>227</v>
      </c>
      <c r="C165" s="17" t="s">
        <v>337</v>
      </c>
      <c r="D165" s="23" t="s">
        <v>27</v>
      </c>
      <c r="E165" s="23" t="s">
        <v>102</v>
      </c>
      <c r="F165" s="221">
        <f t="shared" si="39"/>
        <v>2.6615300000000004E-4</v>
      </c>
      <c r="G165" s="100">
        <v>1.2E-4</v>
      </c>
      <c r="H165" s="101">
        <v>1E-4</v>
      </c>
      <c r="I165" s="14"/>
      <c r="J165" s="14"/>
      <c r="K165" s="102">
        <v>2.44E-5</v>
      </c>
      <c r="L165" s="102"/>
      <c r="M165" s="102">
        <v>7.5300000000000003E-7</v>
      </c>
      <c r="N165" s="102">
        <v>2.0999999999999999E-5</v>
      </c>
      <c r="O165" s="102"/>
      <c r="P165" s="14"/>
      <c r="Q165" s="14"/>
      <c r="R165" s="197">
        <f>'Parameters, country spec'!O22</f>
        <v>0</v>
      </c>
    </row>
    <row r="166" spans="1:18" x14ac:dyDescent="0.35">
      <c r="A166" s="22" t="s">
        <v>341</v>
      </c>
      <c r="B166" s="17" t="s">
        <v>228</v>
      </c>
      <c r="C166" s="17" t="s">
        <v>337</v>
      </c>
      <c r="D166" s="23" t="s">
        <v>27</v>
      </c>
      <c r="E166" s="23" t="s">
        <v>102</v>
      </c>
      <c r="F166" s="221">
        <f t="shared" si="39"/>
        <v>3.0043100000000004E-4</v>
      </c>
      <c r="G166" s="100">
        <v>1.7000000000000001E-4</v>
      </c>
      <c r="H166" s="101">
        <v>1E-4</v>
      </c>
      <c r="I166" s="14"/>
      <c r="J166" s="14"/>
      <c r="K166" s="102">
        <v>9.1800000000000002E-6</v>
      </c>
      <c r="L166" s="102"/>
      <c r="M166" s="102">
        <v>2.5100000000000001E-7</v>
      </c>
      <c r="N166" s="102">
        <v>2.0999999999999999E-5</v>
      </c>
      <c r="O166" s="102"/>
      <c r="P166" s="14"/>
      <c r="Q166" s="14"/>
      <c r="R166" s="197">
        <f>'Parameters, country spec'!O23</f>
        <v>0.13212925363733041</v>
      </c>
    </row>
    <row r="167" spans="1:18" x14ac:dyDescent="0.35">
      <c r="A167" s="22" t="s">
        <v>342</v>
      </c>
      <c r="B167" s="17" t="s">
        <v>229</v>
      </c>
      <c r="C167" s="17" t="s">
        <v>343</v>
      </c>
      <c r="D167" s="23" t="s">
        <v>27</v>
      </c>
      <c r="E167" s="23" t="s">
        <v>102</v>
      </c>
      <c r="F167" s="221">
        <f t="shared" si="39"/>
        <v>1.4256000000000002E-4</v>
      </c>
      <c r="G167" s="100">
        <v>0</v>
      </c>
      <c r="H167" s="101">
        <v>1E-4</v>
      </c>
      <c r="I167" s="16"/>
      <c r="J167" s="14"/>
      <c r="K167" s="102">
        <v>1.98E-5</v>
      </c>
      <c r="L167" s="102"/>
      <c r="M167" s="102">
        <v>1.7600000000000001E-6</v>
      </c>
      <c r="N167" s="102">
        <v>2.0999999999999999E-5</v>
      </c>
      <c r="O167" s="102"/>
      <c r="P167" s="14"/>
      <c r="Q167" s="14"/>
      <c r="R167" s="197">
        <f>'Parameters, country spec'!O24</f>
        <v>1.3715568697676599E-3</v>
      </c>
    </row>
    <row r="168" spans="1:18" x14ac:dyDescent="0.35">
      <c r="A168" s="22" t="s">
        <v>344</v>
      </c>
      <c r="B168" s="17" t="s">
        <v>230</v>
      </c>
      <c r="C168" s="17" t="s">
        <v>343</v>
      </c>
      <c r="D168" s="23" t="s">
        <v>27</v>
      </c>
      <c r="E168" s="23" t="s">
        <v>102</v>
      </c>
      <c r="F168" s="221">
        <f t="shared" si="39"/>
        <v>1.4410000000000001E-4</v>
      </c>
      <c r="G168" s="100">
        <v>7.5000000000000002E-6</v>
      </c>
      <c r="H168" s="101">
        <v>1E-4</v>
      </c>
      <c r="I168" s="16"/>
      <c r="J168" s="14"/>
      <c r="K168" s="102">
        <v>1.56E-5</v>
      </c>
      <c r="L168" s="102"/>
      <c r="M168" s="102">
        <v>0</v>
      </c>
      <c r="N168" s="102">
        <v>2.0999999999999999E-5</v>
      </c>
      <c r="O168" s="102"/>
      <c r="P168" s="14"/>
      <c r="Q168" s="14"/>
      <c r="R168" s="197">
        <f>'Parameters, country spec'!O25</f>
        <v>1.3473208286461219E-3</v>
      </c>
    </row>
    <row r="169" spans="1:18" x14ac:dyDescent="0.35">
      <c r="B169" s="18" t="s">
        <v>231</v>
      </c>
      <c r="C169" s="17" t="s">
        <v>345</v>
      </c>
      <c r="D169" s="23" t="str">
        <f>'Off-farm feed'!$D$75</f>
        <v>France, Germany, Poland</v>
      </c>
      <c r="E169" s="23" t="s">
        <v>82</v>
      </c>
      <c r="F169" s="222">
        <f>'Off-farm feed'!$E$75</f>
        <v>3.8246443678729497E-4</v>
      </c>
      <c r="G169" s="222">
        <f>'Off-farm feed'!$F$75</f>
        <v>1.684774766302073E-4</v>
      </c>
      <c r="H169" s="222">
        <f>'Off-farm feed'!$G$75</f>
        <v>4.5862068965517246E-5</v>
      </c>
      <c r="I169" s="222">
        <f>'Off-farm feed'!$H$75</f>
        <v>0</v>
      </c>
      <c r="J169" s="222">
        <f>'Off-farm feed'!$I$75</f>
        <v>0</v>
      </c>
      <c r="K169" s="222">
        <f>'Off-farm feed'!$J$75</f>
        <v>1.0936279334641699E-5</v>
      </c>
      <c r="L169" s="222">
        <f>'Off-farm feed'!$K$75</f>
        <v>0</v>
      </c>
      <c r="M169" s="222">
        <f>'Off-farm feed'!$L$75</f>
        <v>6.4606960551724142E-7</v>
      </c>
      <c r="N169" s="222">
        <f>'Off-farm feed'!$M$75</f>
        <v>2.1884761697575221E-5</v>
      </c>
      <c r="O169" s="222">
        <f>'Off-farm feed'!$N$75</f>
        <v>0</v>
      </c>
      <c r="P169" s="222">
        <f>'Off-farm feed'!$O$75</f>
        <v>4.5962128379923281E-5</v>
      </c>
      <c r="Q169" s="222">
        <f>'Off-farm feed'!$P$75</f>
        <v>8.8695652173913049E-5</v>
      </c>
      <c r="R169" s="197">
        <f>'Parameters, country spec'!O26</f>
        <v>7.3430139783317777E-2</v>
      </c>
    </row>
    <row r="170" spans="1:18" x14ac:dyDescent="0.35">
      <c r="B170" s="18" t="s">
        <v>346</v>
      </c>
      <c r="C170" s="17" t="s">
        <v>345</v>
      </c>
      <c r="D170" s="23" t="str">
        <f>'Off-farm feed'!$D$24</f>
        <v>Brazil, Argentina</v>
      </c>
      <c r="E170" s="23"/>
      <c r="F170" s="222">
        <f>'Off-farm feed'!$E$24</f>
        <v>4.7266553697523981E-4</v>
      </c>
      <c r="G170" s="222">
        <f>'Off-farm feed'!$F$24</f>
        <v>1.5603516238625262E-5</v>
      </c>
      <c r="H170" s="222">
        <f>'Off-farm feed'!$G$24</f>
        <v>7.5304878048780503E-5</v>
      </c>
      <c r="I170" s="222">
        <f>'Off-farm feed'!$H$24</f>
        <v>0</v>
      </c>
      <c r="J170" s="222">
        <f>'Off-farm feed'!$I$24</f>
        <v>0</v>
      </c>
      <c r="K170" s="222">
        <f>'Off-farm feed'!$J$24</f>
        <v>1.908459074435586E-5</v>
      </c>
      <c r="L170" s="222">
        <f>'Off-farm feed'!$K$24</f>
        <v>0</v>
      </c>
      <c r="M170" s="222">
        <f>'Off-farm feed'!$L$24</f>
        <v>5.9672097439024396E-7</v>
      </c>
      <c r="N170" s="222">
        <f>'Off-farm feed'!$M$24</f>
        <v>2.3084271612619523E-5</v>
      </c>
      <c r="O170" s="222">
        <f>'Off-farm feed'!$N$24</f>
        <v>0</v>
      </c>
      <c r="P170" s="222">
        <f>'Off-farm feed'!$O$24</f>
        <v>1.2899155935646844E-4</v>
      </c>
      <c r="Q170" s="222">
        <f>'Off-farm feed'!$P$24</f>
        <v>2.1000000000000001E-4</v>
      </c>
      <c r="R170" s="197">
        <f>'Parameters, country spec'!O27</f>
        <v>0.13973103889626368</v>
      </c>
    </row>
    <row r="171" spans="1:18" x14ac:dyDescent="0.35">
      <c r="B171" s="17" t="s">
        <v>233</v>
      </c>
      <c r="C171" s="17" t="s">
        <v>347</v>
      </c>
      <c r="D171" s="23" t="s">
        <v>27</v>
      </c>
      <c r="E171" s="23" t="s">
        <v>102</v>
      </c>
      <c r="F171" s="222"/>
      <c r="G171" s="14"/>
      <c r="H171" s="14"/>
      <c r="I171" s="14"/>
      <c r="J171" s="14"/>
      <c r="K171" s="14"/>
      <c r="L171" s="14"/>
      <c r="M171" s="14"/>
      <c r="N171" s="14"/>
      <c r="O171" s="14"/>
      <c r="P171" s="8"/>
      <c r="Q171" s="14"/>
      <c r="R171" s="197">
        <f>'Parameters, country spec'!O28</f>
        <v>0.13800716313225697</v>
      </c>
    </row>
    <row r="172" spans="1:18" x14ac:dyDescent="0.35">
      <c r="A172" s="83"/>
      <c r="B172" s="17" t="s">
        <v>348</v>
      </c>
      <c r="C172" s="84" t="s">
        <v>349</v>
      </c>
      <c r="D172" s="23" t="s">
        <v>27</v>
      </c>
      <c r="E172" s="23" t="s">
        <v>102</v>
      </c>
      <c r="F172" s="222">
        <f t="shared" si="39"/>
        <v>2.223722042315288E-4</v>
      </c>
      <c r="G172" s="82">
        <f t="shared" ref="G172:N172" si="40">AVERAGE(G162:G170)</f>
        <v>9.5197624108604075E-5</v>
      </c>
      <c r="H172" s="82">
        <f t="shared" si="40"/>
        <v>9.0145868376787224E-5</v>
      </c>
      <c r="I172" s="82">
        <f t="shared" si="40"/>
        <v>0</v>
      </c>
      <c r="J172" s="82">
        <f t="shared" si="40"/>
        <v>0</v>
      </c>
      <c r="K172" s="82">
        <f t="shared" si="40"/>
        <v>1.5062608759874696E-5</v>
      </c>
      <c r="L172" s="82">
        <f t="shared" si="40"/>
        <v>0</v>
      </c>
      <c r="M172" s="82">
        <f t="shared" si="40"/>
        <v>5.9497382248843576E-7</v>
      </c>
      <c r="N172" s="82">
        <f t="shared" si="40"/>
        <v>2.1371129163774344E-5</v>
      </c>
      <c r="O172" s="82"/>
      <c r="P172" s="81"/>
      <c r="Q172" s="82"/>
      <c r="R172" s="197">
        <f>'Parameters, country spec'!O29</f>
        <v>0.1038265667370671</v>
      </c>
    </row>
    <row r="173" spans="1:18" x14ac:dyDescent="0.35">
      <c r="A173" s="195"/>
      <c r="B173" s="25" t="s">
        <v>350</v>
      </c>
      <c r="C173" s="26"/>
      <c r="D173" s="103"/>
      <c r="E173" s="103"/>
      <c r="F173" s="46">
        <f t="shared" ref="F173:O173" si="41">SUMPRODUCT(F162:F172,$R$162:$R$172)</f>
        <v>2.4889660271424247E-4</v>
      </c>
      <c r="G173" s="46">
        <f>SUMPRODUCT(G162:G172,$R$162:$R$172)</f>
        <v>9.5358122457671123E-5</v>
      </c>
      <c r="H173" s="46">
        <f t="shared" si="41"/>
        <v>6.9271118184369498E-5</v>
      </c>
      <c r="I173" s="46">
        <f t="shared" si="41"/>
        <v>0</v>
      </c>
      <c r="J173" s="46">
        <f t="shared" si="41"/>
        <v>0</v>
      </c>
      <c r="K173" s="46">
        <f t="shared" si="41"/>
        <v>9.8359614689440147E-6</v>
      </c>
      <c r="L173" s="46">
        <f t="shared" si="41"/>
        <v>0</v>
      </c>
      <c r="M173" s="46">
        <f t="shared" si="41"/>
        <v>4.5982286559159826E-7</v>
      </c>
      <c r="N173" s="46">
        <f t="shared" si="41"/>
        <v>1.6715995322742931E-5</v>
      </c>
      <c r="O173" s="46">
        <f t="shared" si="41"/>
        <v>0</v>
      </c>
      <c r="P173" s="30">
        <f>SUMPRODUCT(P162:P172,R162:R172)</f>
        <v>2.1399130109404956E-5</v>
      </c>
      <c r="Q173" s="46">
        <f>SUMPRODUCT(Q162:Q172,$R$162:$R$172)</f>
        <v>3.585645230551834E-5</v>
      </c>
      <c r="R173" s="198"/>
    </row>
    <row r="174" spans="1:18" x14ac:dyDescent="0.35">
      <c r="A174" s="22" t="s">
        <v>336</v>
      </c>
      <c r="B174" s="17" t="s">
        <v>218</v>
      </c>
      <c r="C174" s="17" t="s">
        <v>337</v>
      </c>
      <c r="D174" s="23" t="s">
        <v>30</v>
      </c>
      <c r="E174" s="23" t="s">
        <v>103</v>
      </c>
      <c r="F174" s="223">
        <f>SUM(G174:Q174)</f>
        <v>3.1615300000000001E-4</v>
      </c>
      <c r="G174" s="201">
        <v>1.4999999999999999E-4</v>
      </c>
      <c r="H174" s="202">
        <v>1E-4</v>
      </c>
      <c r="I174" s="203"/>
      <c r="J174" s="204"/>
      <c r="K174" s="205">
        <v>2.0000000000000002E-5</v>
      </c>
      <c r="L174" s="205"/>
      <c r="M174" s="205">
        <v>7.5300000000000003E-7</v>
      </c>
      <c r="N174" s="205">
        <v>4.5399999999999999E-5</v>
      </c>
      <c r="O174" s="205"/>
      <c r="P174" s="14"/>
      <c r="Q174" s="204"/>
      <c r="R174" s="208">
        <f>'Parameters, country spec'!P19</f>
        <v>6.9755357742184998E-2</v>
      </c>
    </row>
    <row r="175" spans="1:18" x14ac:dyDescent="0.35">
      <c r="A175" s="22" t="s">
        <v>338</v>
      </c>
      <c r="B175" s="17" t="s">
        <v>222</v>
      </c>
      <c r="C175" s="17" t="s">
        <v>337</v>
      </c>
      <c r="D175" s="23" t="s">
        <v>30</v>
      </c>
      <c r="E175" s="23" t="s">
        <v>103</v>
      </c>
      <c r="F175" s="221">
        <f t="shared" ref="F175:F184" si="42">SUM(G175:Q175)</f>
        <v>3.2844000000000005E-4</v>
      </c>
      <c r="G175" s="100">
        <v>1.4999999999999999E-4</v>
      </c>
      <c r="H175" s="101">
        <v>1E-4</v>
      </c>
      <c r="I175" s="16"/>
      <c r="J175" s="14"/>
      <c r="K175" s="102">
        <v>7.9400000000000002E-6</v>
      </c>
      <c r="L175" s="102"/>
      <c r="M175" s="102">
        <v>2.51E-5</v>
      </c>
      <c r="N175" s="102">
        <v>4.5399999999999999E-5</v>
      </c>
      <c r="O175" s="102"/>
      <c r="P175" s="14"/>
      <c r="Q175" s="14"/>
      <c r="R175" s="197">
        <f>'Parameters, country spec'!P20</f>
        <v>0.45612129266564322</v>
      </c>
    </row>
    <row r="176" spans="1:18" x14ac:dyDescent="0.35">
      <c r="A176" s="22" t="s">
        <v>339</v>
      </c>
      <c r="B176" s="17" t="s">
        <v>226</v>
      </c>
      <c r="C176" s="17" t="s">
        <v>337</v>
      </c>
      <c r="D176" s="23" t="s">
        <v>30</v>
      </c>
      <c r="E176" s="23" t="s">
        <v>103</v>
      </c>
      <c r="F176" s="221">
        <f t="shared" si="42"/>
        <v>3.3830000000000004E-4</v>
      </c>
      <c r="G176" s="100">
        <v>1.2999999999999999E-4</v>
      </c>
      <c r="H176" s="101">
        <v>1E-4</v>
      </c>
      <c r="I176" s="16"/>
      <c r="J176" s="14"/>
      <c r="K176" s="102">
        <v>3.4999999999999997E-5</v>
      </c>
      <c r="L176" s="102"/>
      <c r="M176" s="102">
        <v>2.7900000000000001E-5</v>
      </c>
      <c r="N176" s="102">
        <v>4.5399999999999999E-5</v>
      </c>
      <c r="O176" s="102"/>
      <c r="P176" s="14"/>
      <c r="Q176" s="14"/>
      <c r="R176" s="197">
        <f>'Parameters, country spec'!P21</f>
        <v>1.4486341810785938E-2</v>
      </c>
    </row>
    <row r="177" spans="1:18" x14ac:dyDescent="0.35">
      <c r="A177" s="22" t="s">
        <v>340</v>
      </c>
      <c r="B177" s="17" t="s">
        <v>227</v>
      </c>
      <c r="C177" s="17" t="s">
        <v>337</v>
      </c>
      <c r="D177" s="23" t="s">
        <v>30</v>
      </c>
      <c r="E177" s="23" t="s">
        <v>103</v>
      </c>
      <c r="F177" s="221">
        <f t="shared" si="42"/>
        <v>2.9170000000000004E-4</v>
      </c>
      <c r="G177" s="100">
        <v>1.2E-4</v>
      </c>
      <c r="H177" s="101">
        <v>1E-4</v>
      </c>
      <c r="I177" s="14"/>
      <c r="J177" s="14"/>
      <c r="K177" s="102">
        <v>2.5299999999999998E-5</v>
      </c>
      <c r="L177" s="102"/>
      <c r="M177" s="102">
        <v>9.9999999999999995E-7</v>
      </c>
      <c r="N177" s="102">
        <v>4.5399999999999999E-5</v>
      </c>
      <c r="O177" s="102"/>
      <c r="P177" s="14"/>
      <c r="Q177" s="14"/>
      <c r="R177" s="197">
        <f>'Parameters, country spec'!P22</f>
        <v>1.154218810875446E-3</v>
      </c>
    </row>
    <row r="178" spans="1:18" x14ac:dyDescent="0.35">
      <c r="A178" s="22" t="s">
        <v>341</v>
      </c>
      <c r="B178" s="17" t="s">
        <v>228</v>
      </c>
      <c r="C178" s="17" t="s">
        <v>337</v>
      </c>
      <c r="D178" s="23" t="s">
        <v>30</v>
      </c>
      <c r="E178" s="23" t="s">
        <v>103</v>
      </c>
      <c r="F178" s="221">
        <f t="shared" si="42"/>
        <v>3.4172E-4</v>
      </c>
      <c r="G178" s="100">
        <v>1.7000000000000001E-4</v>
      </c>
      <c r="H178" s="101">
        <v>1E-4</v>
      </c>
      <c r="I178" s="14"/>
      <c r="J178" s="14"/>
      <c r="K178" s="102">
        <v>2.1299999999999999E-5</v>
      </c>
      <c r="L178" s="102"/>
      <c r="M178" s="102">
        <v>5.0200000000000002E-6</v>
      </c>
      <c r="N178" s="102">
        <v>4.5399999999999999E-5</v>
      </c>
      <c r="O178" s="102"/>
      <c r="P178" s="14"/>
      <c r="Q178" s="14"/>
      <c r="R178" s="197">
        <f>'Parameters, country spec'!P23</f>
        <v>6.607302843520492E-2</v>
      </c>
    </row>
    <row r="179" spans="1:18" x14ac:dyDescent="0.35">
      <c r="A179" s="22" t="s">
        <v>342</v>
      </c>
      <c r="B179" s="17" t="s">
        <v>229</v>
      </c>
      <c r="C179" s="17" t="s">
        <v>343</v>
      </c>
      <c r="D179" s="23" t="s">
        <v>30</v>
      </c>
      <c r="E179" s="23" t="s">
        <v>103</v>
      </c>
      <c r="F179" s="221">
        <f t="shared" si="42"/>
        <v>1.7426E-4</v>
      </c>
      <c r="G179" s="100">
        <v>0</v>
      </c>
      <c r="H179" s="101">
        <v>1E-4</v>
      </c>
      <c r="I179" s="16"/>
      <c r="J179" s="14"/>
      <c r="K179" s="102">
        <v>2.5599999999999999E-5</v>
      </c>
      <c r="L179" s="102"/>
      <c r="M179" s="102">
        <v>3.2600000000000001E-6</v>
      </c>
      <c r="N179" s="102">
        <v>4.5399999999999999E-5</v>
      </c>
      <c r="O179" s="102"/>
      <c r="P179" s="14"/>
      <c r="Q179" s="14"/>
      <c r="R179" s="197">
        <f>'Parameters, country spec'!P24</f>
        <v>2.8132125343424525E-3</v>
      </c>
    </row>
    <row r="180" spans="1:18" x14ac:dyDescent="0.35">
      <c r="A180" s="22" t="s">
        <v>344</v>
      </c>
      <c r="B180" s="17" t="s">
        <v>230</v>
      </c>
      <c r="C180" s="17" t="s">
        <v>343</v>
      </c>
      <c r="D180" s="23" t="s">
        <v>30</v>
      </c>
      <c r="E180" s="23" t="s">
        <v>103</v>
      </c>
      <c r="F180" s="221">
        <f t="shared" si="42"/>
        <v>1.9220000000000001E-4</v>
      </c>
      <c r="G180" s="100">
        <v>7.5000000000000002E-6</v>
      </c>
      <c r="H180" s="101">
        <v>1E-4</v>
      </c>
      <c r="I180" s="16"/>
      <c r="J180" s="14"/>
      <c r="K180" s="102">
        <v>3.8300000000000003E-5</v>
      </c>
      <c r="L180" s="102"/>
      <c r="M180" s="102">
        <v>9.9999999999999995E-7</v>
      </c>
      <c r="N180" s="102">
        <v>4.5399999999999999E-5</v>
      </c>
      <c r="O180" s="102"/>
      <c r="P180" s="14"/>
      <c r="Q180" s="14"/>
      <c r="R180" s="197">
        <f>'Parameters, country spec'!P25</f>
        <v>2.763501773404974E-3</v>
      </c>
    </row>
    <row r="181" spans="1:18" x14ac:dyDescent="0.35">
      <c r="B181" s="18" t="s">
        <v>231</v>
      </c>
      <c r="C181" s="17" t="s">
        <v>345</v>
      </c>
      <c r="D181" s="23" t="str">
        <f>'Off-farm feed'!$D$75</f>
        <v>France, Germany, Poland</v>
      </c>
      <c r="E181" s="23" t="s">
        <v>82</v>
      </c>
      <c r="F181" s="222">
        <f>'Off-farm feed'!$E$75</f>
        <v>3.8246443678729497E-4</v>
      </c>
      <c r="G181" s="222">
        <f>'Off-farm feed'!$F$75</f>
        <v>1.684774766302073E-4</v>
      </c>
      <c r="H181" s="222">
        <f>'Off-farm feed'!$G$75</f>
        <v>4.5862068965517246E-5</v>
      </c>
      <c r="I181" s="222">
        <f>'Off-farm feed'!$H$75</f>
        <v>0</v>
      </c>
      <c r="J181" s="222">
        <f>'Off-farm feed'!$I$75</f>
        <v>0</v>
      </c>
      <c r="K181" s="222">
        <f>'Off-farm feed'!$J$75</f>
        <v>1.0936279334641699E-5</v>
      </c>
      <c r="L181" s="222">
        <f>'Off-farm feed'!$K$75</f>
        <v>0</v>
      </c>
      <c r="M181" s="222">
        <f>'Off-farm feed'!$L$75</f>
        <v>6.4606960551724142E-7</v>
      </c>
      <c r="N181" s="222">
        <f>'Off-farm feed'!$M$75</f>
        <v>2.1884761697575221E-5</v>
      </c>
      <c r="O181" s="222">
        <f>'Off-farm feed'!$N$75</f>
        <v>0</v>
      </c>
      <c r="P181" s="222">
        <f>'Off-farm feed'!$O$75</f>
        <v>4.5962128379923281E-5</v>
      </c>
      <c r="Q181" s="222">
        <f>'Off-farm feed'!$P$75</f>
        <v>8.8695652173913049E-5</v>
      </c>
      <c r="R181" s="197">
        <f>'Parameters, country spec'!P26</f>
        <v>4.7386628229038642E-3</v>
      </c>
    </row>
    <row r="182" spans="1:18" x14ac:dyDescent="0.35">
      <c r="B182" s="18" t="s">
        <v>346</v>
      </c>
      <c r="C182" s="17" t="s">
        <v>345</v>
      </c>
      <c r="D182" s="23" t="str">
        <f>'Off-farm feed'!$D$24</f>
        <v>Brazil, Argentina</v>
      </c>
      <c r="E182" s="23"/>
      <c r="F182" s="222">
        <f>'Off-farm feed'!$E$24</f>
        <v>4.7266553697523981E-4</v>
      </c>
      <c r="G182" s="222">
        <f>'Off-farm feed'!$F$24</f>
        <v>1.5603516238625262E-5</v>
      </c>
      <c r="H182" s="222">
        <f>'Off-farm feed'!$G$24</f>
        <v>7.5304878048780503E-5</v>
      </c>
      <c r="I182" s="222">
        <f>'Off-farm feed'!$H$24</f>
        <v>0</v>
      </c>
      <c r="J182" s="222">
        <f>'Off-farm feed'!$I$24</f>
        <v>0</v>
      </c>
      <c r="K182" s="222">
        <f>'Off-farm feed'!$J$24</f>
        <v>1.908459074435586E-5</v>
      </c>
      <c r="L182" s="222">
        <f>'Off-farm feed'!$K$24</f>
        <v>0</v>
      </c>
      <c r="M182" s="222">
        <f>'Off-farm feed'!$L$24</f>
        <v>5.9672097439024396E-7</v>
      </c>
      <c r="N182" s="222">
        <f>'Off-farm feed'!$M$24</f>
        <v>2.3084271612619523E-5</v>
      </c>
      <c r="O182" s="222">
        <f>'Off-farm feed'!$N$24</f>
        <v>0</v>
      </c>
      <c r="P182" s="222">
        <f>'Off-farm feed'!$O$24</f>
        <v>1.2899155935646844E-4</v>
      </c>
      <c r="Q182" s="222">
        <f>'Off-farm feed'!$P$24</f>
        <v>2.1000000000000001E-4</v>
      </c>
      <c r="R182" s="197">
        <f>'Parameters, country spec'!P27</f>
        <v>0.11699211590575154</v>
      </c>
    </row>
    <row r="183" spans="1:18" x14ac:dyDescent="0.35">
      <c r="B183" s="17" t="s">
        <v>233</v>
      </c>
      <c r="C183" s="17" t="s">
        <v>347</v>
      </c>
      <c r="D183" s="23" t="s">
        <v>30</v>
      </c>
      <c r="E183" s="23" t="s">
        <v>103</v>
      </c>
      <c r="F183" s="222"/>
      <c r="G183" s="14"/>
      <c r="H183" s="14"/>
      <c r="I183" s="14"/>
      <c r="J183" s="14"/>
      <c r="K183" s="14"/>
      <c r="L183" s="14"/>
      <c r="M183" s="14"/>
      <c r="N183" s="14"/>
      <c r="O183" s="14"/>
      <c r="P183" s="8"/>
      <c r="Q183" s="14"/>
      <c r="R183" s="197">
        <f>'Parameters, country spec'!P28</f>
        <v>0.12350411469968688</v>
      </c>
    </row>
    <row r="184" spans="1:18" x14ac:dyDescent="0.35">
      <c r="A184" s="83"/>
      <c r="B184" s="17" t="s">
        <v>348</v>
      </c>
      <c r="C184" s="84" t="s">
        <v>349</v>
      </c>
      <c r="D184" s="23" t="s">
        <v>30</v>
      </c>
      <c r="E184" s="23" t="s">
        <v>103</v>
      </c>
      <c r="F184" s="222">
        <f t="shared" si="42"/>
        <v>4.1204267429275986E-4</v>
      </c>
      <c r="G184" s="82">
        <f t="shared" ref="G184:Q184" si="43">AVERAGE(G174:G182)</f>
        <v>1.0128677698542583E-4</v>
      </c>
      <c r="H184" s="82">
        <f t="shared" si="43"/>
        <v>9.1240771890477534E-5</v>
      </c>
      <c r="I184" s="82">
        <f t="shared" si="43"/>
        <v>0</v>
      </c>
      <c r="J184" s="82">
        <f t="shared" si="43"/>
        <v>0</v>
      </c>
      <c r="K184" s="82">
        <f t="shared" si="43"/>
        <v>2.2606763342110838E-5</v>
      </c>
      <c r="L184" s="82">
        <f t="shared" si="43"/>
        <v>0</v>
      </c>
      <c r="M184" s="82">
        <f t="shared" si="43"/>
        <v>7.2528656199897211E-6</v>
      </c>
      <c r="N184" s="82">
        <f t="shared" si="43"/>
        <v>4.0307670367799424E-5</v>
      </c>
      <c r="O184" s="82">
        <f t="shared" si="43"/>
        <v>0</v>
      </c>
      <c r="P184" s="81"/>
      <c r="Q184" s="82">
        <f t="shared" si="43"/>
        <v>1.4934782608695652E-4</v>
      </c>
      <c r="R184" s="197">
        <f>'Parameters, country spec'!P29</f>
        <v>0.14159815279921578</v>
      </c>
    </row>
    <row r="185" spans="1:18" x14ac:dyDescent="0.35">
      <c r="A185" s="195"/>
      <c r="B185" s="25" t="s">
        <v>350</v>
      </c>
      <c r="C185" s="26"/>
      <c r="D185" s="103"/>
      <c r="E185" s="103"/>
      <c r="F185" s="46">
        <f t="shared" ref="F185:O185" si="44">SUMPRODUCT(F174:F184,$R$174:$R$184)</f>
        <v>3.1615410162350336E-4</v>
      </c>
      <c r="G185" s="46">
        <f>SUMPRODUCT(G174:G184,$R$174:$R$184)</f>
        <v>1.0912223621061998E-4</v>
      </c>
      <c r="H185" s="46">
        <f t="shared" si="44"/>
        <v>8.3263622039050198E-5</v>
      </c>
      <c r="I185" s="46">
        <f t="shared" si="44"/>
        <v>0</v>
      </c>
      <c r="J185" s="46">
        <f t="shared" si="44"/>
        <v>0</v>
      </c>
      <c r="K185" s="46">
        <f t="shared" si="44"/>
        <v>1.2623795705065398E-5</v>
      </c>
      <c r="L185" s="46">
        <f t="shared" si="44"/>
        <v>0</v>
      </c>
      <c r="M185" s="46">
        <f t="shared" si="44"/>
        <v>1.3349980092710815E-5</v>
      </c>
      <c r="N185" s="46">
        <f t="shared" si="44"/>
        <v>3.6349653655736797E-5</v>
      </c>
      <c r="O185" s="46">
        <f t="shared" si="44"/>
        <v>0</v>
      </c>
      <c r="P185" s="30">
        <f>SUMPRODUCT(P174:P184,R174:R184)</f>
        <v>1.5308794492111064E-5</v>
      </c>
      <c r="Q185" s="46">
        <f>SUMPRODUCT(Q174:Q184,$R$174:$R$184)</f>
        <v>4.613601942820913E-5</v>
      </c>
      <c r="R185" s="198"/>
    </row>
    <row r="186" spans="1:18" x14ac:dyDescent="0.35">
      <c r="A186" s="22" t="s">
        <v>336</v>
      </c>
      <c r="B186" s="17" t="s">
        <v>218</v>
      </c>
      <c r="C186" s="17" t="s">
        <v>337</v>
      </c>
      <c r="D186" s="23" t="s">
        <v>104</v>
      </c>
      <c r="E186" s="23" t="s">
        <v>105</v>
      </c>
      <c r="F186" s="223">
        <f>SUM(G186:Q186)</f>
        <v>2.0655355021385218E-4</v>
      </c>
      <c r="G186" s="201">
        <v>8.0930691575108743E-5</v>
      </c>
      <c r="H186" s="202">
        <v>9.5000000000000005E-5</v>
      </c>
      <c r="I186" s="203"/>
      <c r="J186" s="204"/>
      <c r="K186" s="205">
        <v>1.8076858638743458E-5</v>
      </c>
      <c r="L186" s="205"/>
      <c r="M186" s="205">
        <v>0</v>
      </c>
      <c r="N186" s="205">
        <v>1.2546000000000003E-5</v>
      </c>
      <c r="O186" s="205"/>
      <c r="P186" s="14"/>
      <c r="Q186" s="204"/>
      <c r="R186" s="208">
        <f>'Parameters, country spec'!Q19</f>
        <v>1.025159863159307E-2</v>
      </c>
    </row>
    <row r="187" spans="1:18" x14ac:dyDescent="0.35">
      <c r="A187" s="22" t="s">
        <v>338</v>
      </c>
      <c r="B187" s="17" t="s">
        <v>222</v>
      </c>
      <c r="C187" s="17" t="s">
        <v>337</v>
      </c>
      <c r="D187" s="23" t="s">
        <v>104</v>
      </c>
      <c r="E187" s="23" t="s">
        <v>105</v>
      </c>
      <c r="F187" s="221">
        <f t="shared" ref="F187:F196" si="45">SUM(G187:Q187)</f>
        <v>1.9871902439798405E-4</v>
      </c>
      <c r="G187" s="100">
        <v>7.8815626877616721E-5</v>
      </c>
      <c r="H187" s="101">
        <v>9.5000000000000005E-5</v>
      </c>
      <c r="I187" s="16"/>
      <c r="J187" s="14"/>
      <c r="K187" s="102">
        <v>1.2357397520367332E-5</v>
      </c>
      <c r="L187" s="102"/>
      <c r="M187" s="102">
        <v>0</v>
      </c>
      <c r="N187" s="102">
        <v>1.2546000000000003E-5</v>
      </c>
      <c r="O187" s="102"/>
      <c r="P187" s="14"/>
      <c r="Q187" s="14"/>
      <c r="R187" s="197">
        <f>'Parameters, country spec'!Q20</f>
        <v>4.5589421610149703E-3</v>
      </c>
    </row>
    <row r="188" spans="1:18" x14ac:dyDescent="0.35">
      <c r="A188" s="22" t="s">
        <v>339</v>
      </c>
      <c r="B188" s="17" t="s">
        <v>226</v>
      </c>
      <c r="C188" s="17" t="s">
        <v>337</v>
      </c>
      <c r="D188" s="23" t="s">
        <v>104</v>
      </c>
      <c r="E188" s="23" t="s">
        <v>105</v>
      </c>
      <c r="F188" s="221">
        <f t="shared" si="45"/>
        <v>1.9956753055993292E-4</v>
      </c>
      <c r="G188" s="100">
        <v>7.134532609711123E-5</v>
      </c>
      <c r="H188" s="101">
        <v>9.5000000000000005E-5</v>
      </c>
      <c r="I188" s="16"/>
      <c r="J188" s="14"/>
      <c r="K188" s="102">
        <v>2.0676204462821701E-5</v>
      </c>
      <c r="L188" s="102"/>
      <c r="M188" s="102">
        <v>0</v>
      </c>
      <c r="N188" s="102">
        <v>1.2546000000000003E-5</v>
      </c>
      <c r="O188" s="102"/>
      <c r="P188" s="14"/>
      <c r="Q188" s="14"/>
      <c r="R188" s="197">
        <f>'Parameters, country spec'!Q21</f>
        <v>6.1494854155573368E-2</v>
      </c>
    </row>
    <row r="189" spans="1:18" x14ac:dyDescent="0.35">
      <c r="A189" s="22" t="s">
        <v>340</v>
      </c>
      <c r="B189" s="17" t="s">
        <v>227</v>
      </c>
      <c r="C189" s="17" t="s">
        <v>337</v>
      </c>
      <c r="D189" s="23" t="s">
        <v>104</v>
      </c>
      <c r="E189" s="23" t="s">
        <v>105</v>
      </c>
      <c r="F189" s="221">
        <f t="shared" si="45"/>
        <v>1.840193507270561E-4</v>
      </c>
      <c r="G189" s="100">
        <v>6.2842418816841267E-5</v>
      </c>
      <c r="H189" s="101">
        <v>9.5000000000000005E-5</v>
      </c>
      <c r="I189" s="14"/>
      <c r="J189" s="14"/>
      <c r="K189" s="102">
        <v>1.3630931910214812E-5</v>
      </c>
      <c r="L189" s="102"/>
      <c r="M189" s="102">
        <v>0</v>
      </c>
      <c r="N189" s="102">
        <v>1.2546000000000003E-5</v>
      </c>
      <c r="O189" s="102"/>
      <c r="P189" s="14"/>
      <c r="Q189" s="14"/>
      <c r="R189" s="197">
        <f>'Parameters, country spec'!Q22</f>
        <v>0</v>
      </c>
    </row>
    <row r="190" spans="1:18" x14ac:dyDescent="0.35">
      <c r="A190" s="22" t="s">
        <v>341</v>
      </c>
      <c r="B190" s="17" t="s">
        <v>228</v>
      </c>
      <c r="C190" s="17" t="s">
        <v>337</v>
      </c>
      <c r="D190" s="23" t="s">
        <v>104</v>
      </c>
      <c r="E190" s="23" t="s">
        <v>105</v>
      </c>
      <c r="F190" s="221">
        <f t="shared" si="45"/>
        <v>2.1322851393583626E-4</v>
      </c>
      <c r="G190" s="100">
        <v>9.2769916609057948E-5</v>
      </c>
      <c r="H190" s="101">
        <v>9.5000000000000005E-5</v>
      </c>
      <c r="I190" s="14"/>
      <c r="J190" s="14"/>
      <c r="K190" s="102">
        <v>1.291259732677831E-5</v>
      </c>
      <c r="L190" s="102"/>
      <c r="M190" s="102">
        <v>0</v>
      </c>
      <c r="N190" s="102">
        <v>1.2546000000000003E-5</v>
      </c>
      <c r="O190" s="102"/>
      <c r="P190" s="14"/>
      <c r="Q190" s="14"/>
      <c r="R190" s="197">
        <f>'Parameters, country spec'!Q23</f>
        <v>0.46551967402871186</v>
      </c>
    </row>
    <row r="191" spans="1:18" x14ac:dyDescent="0.35">
      <c r="A191" s="22" t="s">
        <v>342</v>
      </c>
      <c r="B191" s="17" t="s">
        <v>229</v>
      </c>
      <c r="C191" s="17" t="s">
        <v>343</v>
      </c>
      <c r="D191" s="23" t="s">
        <v>104</v>
      </c>
      <c r="E191" s="23" t="s">
        <v>105</v>
      </c>
      <c r="F191" s="221">
        <f t="shared" si="45"/>
        <v>1.3280125199673234E-4</v>
      </c>
      <c r="G191" s="100">
        <v>0</v>
      </c>
      <c r="H191" s="101">
        <v>9.5000000000000005E-5</v>
      </c>
      <c r="I191" s="16"/>
      <c r="J191" s="14"/>
      <c r="K191" s="102">
        <v>2.5255251996732317E-5</v>
      </c>
      <c r="L191" s="102"/>
      <c r="M191" s="102">
        <v>0</v>
      </c>
      <c r="N191" s="102">
        <v>1.2546000000000003E-5</v>
      </c>
      <c r="O191" s="102"/>
      <c r="P191" s="14"/>
      <c r="Q191" s="14"/>
      <c r="R191" s="197">
        <f>'Parameters, country spec'!Q24</f>
        <v>1.5919708830695596E-3</v>
      </c>
    </row>
    <row r="192" spans="1:18" x14ac:dyDescent="0.35">
      <c r="A192" s="22" t="s">
        <v>344</v>
      </c>
      <c r="B192" s="17" t="s">
        <v>230</v>
      </c>
      <c r="C192" s="17" t="s">
        <v>343</v>
      </c>
      <c r="D192" s="23" t="s">
        <v>104</v>
      </c>
      <c r="E192" s="23" t="s">
        <v>105</v>
      </c>
      <c r="F192" s="221">
        <f t="shared" si="45"/>
        <v>1.4931770127423491E-4</v>
      </c>
      <c r="G192" s="100">
        <v>3.9865279409015522E-6</v>
      </c>
      <c r="H192" s="101">
        <v>9.5000000000000005E-5</v>
      </c>
      <c r="I192" s="16"/>
      <c r="J192" s="14"/>
      <c r="K192" s="102">
        <v>3.7785173333333341E-5</v>
      </c>
      <c r="L192" s="102"/>
      <c r="M192" s="102">
        <v>0</v>
      </c>
      <c r="N192" s="102">
        <v>1.2546000000000003E-5</v>
      </c>
      <c r="O192" s="102"/>
      <c r="P192" s="14"/>
      <c r="Q192" s="14"/>
      <c r="R192" s="197">
        <f>'Parameters, country spec'!Q25</f>
        <v>1.5638400236253252E-3</v>
      </c>
    </row>
    <row r="193" spans="1:18" x14ac:dyDescent="0.35">
      <c r="B193" s="18" t="s">
        <v>231</v>
      </c>
      <c r="C193" s="17" t="s">
        <v>345</v>
      </c>
      <c r="D193" s="23" t="s">
        <v>352</v>
      </c>
      <c r="E193" s="23" t="s">
        <v>82</v>
      </c>
      <c r="F193" s="222">
        <v>6.0478733190314773E-4</v>
      </c>
      <c r="G193" s="33">
        <v>2.320636514451769E-4</v>
      </c>
      <c r="H193" s="33">
        <v>2.181240865869439E-4</v>
      </c>
      <c r="I193" s="33">
        <v>4.5862068965517253E-5</v>
      </c>
      <c r="J193" s="33">
        <v>0</v>
      </c>
      <c r="K193" s="33">
        <v>1.0233900653016278E-5</v>
      </c>
      <c r="L193" s="33">
        <v>1.1287468675454409E-5</v>
      </c>
      <c r="M193" s="33">
        <v>2.4227610206896555E-7</v>
      </c>
      <c r="N193" s="33">
        <v>7.4566292815222108E-6</v>
      </c>
      <c r="O193" s="33">
        <v>2.2490164981320892E-5</v>
      </c>
      <c r="P193" s="20">
        <v>5.7027085212127035E-5</v>
      </c>
      <c r="Q193" s="33">
        <v>0</v>
      </c>
      <c r="R193" s="197">
        <f>'Parameters, country spec'!Q26</f>
        <v>0.11099895329121745</v>
      </c>
    </row>
    <row r="194" spans="1:18" x14ac:dyDescent="0.35">
      <c r="B194" s="18" t="s">
        <v>346</v>
      </c>
      <c r="C194" s="17" t="s">
        <v>345</v>
      </c>
      <c r="D194" s="23" t="str">
        <f>'Off-farm feed'!$D$24</f>
        <v>Brazil, Argentina</v>
      </c>
      <c r="E194" s="23"/>
      <c r="F194" s="222">
        <f>'Off-farm feed'!$E$24</f>
        <v>4.7266553697523981E-4</v>
      </c>
      <c r="G194" s="222">
        <f>'Off-farm feed'!$F$24</f>
        <v>1.5603516238625262E-5</v>
      </c>
      <c r="H194" s="222">
        <f>'Off-farm feed'!$G$24</f>
        <v>7.5304878048780503E-5</v>
      </c>
      <c r="I194" s="222">
        <f>'Off-farm feed'!$H$24</f>
        <v>0</v>
      </c>
      <c r="J194" s="222">
        <f>'Off-farm feed'!$I$24</f>
        <v>0</v>
      </c>
      <c r="K194" s="222">
        <f>'Off-farm feed'!$J$24</f>
        <v>1.908459074435586E-5</v>
      </c>
      <c r="L194" s="222">
        <f>'Off-farm feed'!$K$24</f>
        <v>0</v>
      </c>
      <c r="M194" s="222">
        <f>'Off-farm feed'!$L$24</f>
        <v>5.9672097439024396E-7</v>
      </c>
      <c r="N194" s="222">
        <f>'Off-farm feed'!$M$24</f>
        <v>2.3084271612619523E-5</v>
      </c>
      <c r="O194" s="222">
        <f>'Off-farm feed'!$N$24</f>
        <v>0</v>
      </c>
      <c r="P194" s="222">
        <f>'Off-farm feed'!$O$24</f>
        <v>1.2899155935646844E-4</v>
      </c>
      <c r="Q194" s="222">
        <f>'Off-farm feed'!$P$24</f>
        <v>2.1000000000000001E-4</v>
      </c>
      <c r="R194" s="197">
        <f>'Parameters, country spec'!Q27</f>
        <v>7.913829557911492E-2</v>
      </c>
    </row>
    <row r="195" spans="1:18" x14ac:dyDescent="0.35">
      <c r="B195" s="17" t="s">
        <v>233</v>
      </c>
      <c r="C195" s="17" t="s">
        <v>347</v>
      </c>
      <c r="D195" s="23" t="s">
        <v>104</v>
      </c>
      <c r="E195" s="23" t="s">
        <v>105</v>
      </c>
      <c r="F195" s="222"/>
      <c r="G195" s="14"/>
      <c r="H195" s="14"/>
      <c r="I195" s="14"/>
      <c r="J195" s="14"/>
      <c r="K195" s="14"/>
      <c r="L195" s="14"/>
      <c r="M195" s="14"/>
      <c r="N195" s="14"/>
      <c r="O195" s="14"/>
      <c r="P195" s="8"/>
      <c r="Q195" s="14"/>
      <c r="R195" s="197">
        <f>'Parameters, country spec'!Q28</f>
        <v>0.18367698350882727</v>
      </c>
    </row>
    <row r="196" spans="1:18" x14ac:dyDescent="0.35">
      <c r="A196" s="83"/>
      <c r="B196" s="17" t="s">
        <v>348</v>
      </c>
      <c r="C196" s="84" t="s">
        <v>349</v>
      </c>
      <c r="D196" s="23" t="s">
        <v>104</v>
      </c>
      <c r="E196" s="23" t="s">
        <v>105</v>
      </c>
      <c r="F196" s="222">
        <f t="shared" si="45"/>
        <v>2.0214143783440857E-4</v>
      </c>
      <c r="G196" s="82">
        <f t="shared" ref="G196:N196" si="46">SUMPRODUCT(G186:G194,$R$306:$R$314)</f>
        <v>7.9291177192818913E-5</v>
      </c>
      <c r="H196" s="82">
        <f t="shared" si="46"/>
        <v>9.2394145204985361E-5</v>
      </c>
      <c r="I196" s="82">
        <f t="shared" si="46"/>
        <v>3.1186206896551733E-6</v>
      </c>
      <c r="J196" s="82">
        <f t="shared" si="46"/>
        <v>0</v>
      </c>
      <c r="K196" s="82">
        <f t="shared" si="46"/>
        <v>1.3248482689750196E-5</v>
      </c>
      <c r="L196" s="82">
        <f t="shared" si="46"/>
        <v>7.6754786993089986E-7</v>
      </c>
      <c r="M196" s="82">
        <f t="shared" si="46"/>
        <v>1.2746487617727503E-7</v>
      </c>
      <c r="N196" s="82">
        <f t="shared" si="46"/>
        <v>1.3193999311090743E-5</v>
      </c>
      <c r="O196" s="82"/>
      <c r="P196" s="81"/>
      <c r="Q196" s="82"/>
      <c r="R196" s="197">
        <f>'Parameters, country spec'!Q29</f>
        <v>8.1204887737252207E-2</v>
      </c>
    </row>
    <row r="197" spans="1:18" x14ac:dyDescent="0.35">
      <c r="A197" s="195"/>
      <c r="B197" s="25" t="s">
        <v>350</v>
      </c>
      <c r="C197" s="26"/>
      <c r="D197" s="103"/>
      <c r="E197" s="103"/>
      <c r="F197" s="30">
        <f t="shared" ref="F197:O197" si="47">SUMPRODUCT(F186:F196,$R$186:$R$196)</f>
        <v>2.3595440038879227E-4</v>
      </c>
      <c r="G197" s="30">
        <f>SUMPRODUCT(G186:G196,$R$186:$R$196)</f>
        <v>8.2201300135832699E-5</v>
      </c>
      <c r="H197" s="30">
        <f t="shared" si="47"/>
        <v>8.9447084774218352E-5</v>
      </c>
      <c r="I197" s="30">
        <f t="shared" si="47"/>
        <v>5.3438888939405632E-6</v>
      </c>
      <c r="J197" s="30">
        <f t="shared" si="47"/>
        <v>0</v>
      </c>
      <c r="K197" s="30">
        <f t="shared" si="47"/>
        <v>1.1345613021794511E-5</v>
      </c>
      <c r="L197" s="30">
        <f t="shared" si="47"/>
        <v>1.3152258468935497E-6</v>
      </c>
      <c r="M197" s="30">
        <f t="shared" si="47"/>
        <v>8.4466645547102307E-8</v>
      </c>
      <c r="N197" s="30">
        <f t="shared" si="47"/>
        <v>1.0563275307319668E-5</v>
      </c>
      <c r="O197" s="30">
        <f t="shared" si="47"/>
        <v>2.4963847722734122E-6</v>
      </c>
      <c r="P197" s="30">
        <f>SUMPRODUCT(P186:P196,R186:R196)</f>
        <v>1.6538118919358312E-5</v>
      </c>
      <c r="Q197" s="30">
        <f>SUMPRODUCT(Q186:Q196,$R$186:$R$196)</f>
        <v>1.6619042071614135E-5</v>
      </c>
      <c r="R197" s="198"/>
    </row>
    <row r="198" spans="1:18" x14ac:dyDescent="0.35">
      <c r="A198" s="22" t="s">
        <v>336</v>
      </c>
      <c r="B198" s="17" t="s">
        <v>218</v>
      </c>
      <c r="C198" s="17" t="s">
        <v>337</v>
      </c>
      <c r="D198" s="23" t="s">
        <v>106</v>
      </c>
      <c r="E198" s="23" t="s">
        <v>107</v>
      </c>
      <c r="F198" s="223">
        <f>SUM(G198:Q198)</f>
        <v>2.0655355021385218E-4</v>
      </c>
      <c r="G198" s="201">
        <v>8.0930691575108743E-5</v>
      </c>
      <c r="H198" s="202">
        <v>9.5000000000000005E-5</v>
      </c>
      <c r="I198" s="203"/>
      <c r="J198" s="204"/>
      <c r="K198" s="205">
        <v>1.8076858638743458E-5</v>
      </c>
      <c r="L198" s="205"/>
      <c r="M198" s="205">
        <v>0</v>
      </c>
      <c r="N198" s="205">
        <v>1.2546000000000003E-5</v>
      </c>
      <c r="O198" s="205"/>
      <c r="P198" s="14"/>
      <c r="Q198" s="204"/>
      <c r="R198" s="208">
        <f>'Parameters, country spec'!R19</f>
        <v>4.5682814724964139E-2</v>
      </c>
    </row>
    <row r="199" spans="1:18" x14ac:dyDescent="0.35">
      <c r="A199" s="22" t="s">
        <v>338</v>
      </c>
      <c r="B199" s="17" t="s">
        <v>222</v>
      </c>
      <c r="C199" s="17" t="s">
        <v>337</v>
      </c>
      <c r="D199" s="23" t="s">
        <v>106</v>
      </c>
      <c r="E199" s="23" t="s">
        <v>107</v>
      </c>
      <c r="F199" s="221">
        <f t="shared" ref="F199:F208" si="48">SUM(G199:Q199)</f>
        <v>1.9871902439798405E-4</v>
      </c>
      <c r="G199" s="100">
        <v>7.8815626877616721E-5</v>
      </c>
      <c r="H199" s="101">
        <v>9.5000000000000005E-5</v>
      </c>
      <c r="I199" s="16"/>
      <c r="J199" s="14"/>
      <c r="K199" s="102">
        <v>1.2357397520367332E-5</v>
      </c>
      <c r="L199" s="102"/>
      <c r="M199" s="102">
        <v>0</v>
      </c>
      <c r="N199" s="102">
        <v>1.2546000000000003E-5</v>
      </c>
      <c r="O199" s="102"/>
      <c r="P199" s="14"/>
      <c r="Q199" s="14"/>
      <c r="R199" s="197">
        <f>'Parameters, country spec'!R20</f>
        <v>5.9441183997229891E-2</v>
      </c>
    </row>
    <row r="200" spans="1:18" x14ac:dyDescent="0.35">
      <c r="A200" s="22" t="s">
        <v>339</v>
      </c>
      <c r="B200" s="17" t="s">
        <v>226</v>
      </c>
      <c r="C200" s="17" t="s">
        <v>337</v>
      </c>
      <c r="D200" s="23" t="s">
        <v>106</v>
      </c>
      <c r="E200" s="23" t="s">
        <v>107</v>
      </c>
      <c r="F200" s="221">
        <f t="shared" si="48"/>
        <v>1.9956753055993292E-4</v>
      </c>
      <c r="G200" s="100">
        <v>7.134532609711123E-5</v>
      </c>
      <c r="H200" s="101">
        <v>9.5000000000000005E-5</v>
      </c>
      <c r="I200" s="16"/>
      <c r="J200" s="14"/>
      <c r="K200" s="102">
        <v>2.0676204462821701E-5</v>
      </c>
      <c r="L200" s="102"/>
      <c r="M200" s="102">
        <v>0</v>
      </c>
      <c r="N200" s="102">
        <v>1.2546000000000003E-5</v>
      </c>
      <c r="O200" s="102"/>
      <c r="P200" s="14"/>
      <c r="Q200" s="14"/>
      <c r="R200" s="197">
        <f>'Parameters, country spec'!R21</f>
        <v>4.5477381822612843E-2</v>
      </c>
    </row>
    <row r="201" spans="1:18" x14ac:dyDescent="0.35">
      <c r="A201" s="22" t="s">
        <v>340</v>
      </c>
      <c r="B201" s="17" t="s">
        <v>227</v>
      </c>
      <c r="C201" s="17" t="s">
        <v>337</v>
      </c>
      <c r="D201" s="23" t="s">
        <v>106</v>
      </c>
      <c r="E201" s="23" t="s">
        <v>107</v>
      </c>
      <c r="F201" s="221">
        <f t="shared" si="48"/>
        <v>1.840193507270561E-4</v>
      </c>
      <c r="G201" s="100">
        <v>6.2842418816841267E-5</v>
      </c>
      <c r="H201" s="101">
        <v>9.5000000000000005E-5</v>
      </c>
      <c r="I201" s="14"/>
      <c r="J201" s="14"/>
      <c r="K201" s="102">
        <v>1.3630931910214812E-5</v>
      </c>
      <c r="L201" s="102"/>
      <c r="M201" s="102">
        <v>0</v>
      </c>
      <c r="N201" s="102">
        <v>1.2546000000000003E-5</v>
      </c>
      <c r="O201" s="102"/>
      <c r="P201" s="14"/>
      <c r="Q201" s="14"/>
      <c r="R201" s="197">
        <f>'Parameters, country spec'!R22</f>
        <v>0</v>
      </c>
    </row>
    <row r="202" spans="1:18" x14ac:dyDescent="0.35">
      <c r="A202" s="22" t="s">
        <v>341</v>
      </c>
      <c r="B202" s="17" t="s">
        <v>228</v>
      </c>
      <c r="C202" s="17" t="s">
        <v>337</v>
      </c>
      <c r="D202" s="23" t="s">
        <v>106</v>
      </c>
      <c r="E202" s="23" t="s">
        <v>107</v>
      </c>
      <c r="F202" s="221">
        <f t="shared" si="48"/>
        <v>2.1322851393583626E-4</v>
      </c>
      <c r="G202" s="100">
        <v>9.2769916609057948E-5</v>
      </c>
      <c r="H202" s="101">
        <v>9.5000000000000005E-5</v>
      </c>
      <c r="I202" s="14"/>
      <c r="J202" s="14"/>
      <c r="K202" s="102">
        <v>1.291259732677831E-5</v>
      </c>
      <c r="L202" s="102"/>
      <c r="M202" s="102">
        <v>0</v>
      </c>
      <c r="N202" s="102">
        <v>1.2546000000000003E-5</v>
      </c>
      <c r="O202" s="102"/>
      <c r="P202" s="14"/>
      <c r="Q202" s="14"/>
      <c r="R202" s="197">
        <f>'Parameters, country spec'!R23</f>
        <v>0.43548695456925512</v>
      </c>
    </row>
    <row r="203" spans="1:18" x14ac:dyDescent="0.35">
      <c r="A203" s="22" t="s">
        <v>342</v>
      </c>
      <c r="B203" s="17" t="s">
        <v>229</v>
      </c>
      <c r="C203" s="17" t="s">
        <v>343</v>
      </c>
      <c r="D203" s="23" t="s">
        <v>106</v>
      </c>
      <c r="E203" s="23" t="s">
        <v>107</v>
      </c>
      <c r="F203" s="221">
        <f t="shared" si="48"/>
        <v>1.3280125199673234E-4</v>
      </c>
      <c r="G203" s="100">
        <v>0</v>
      </c>
      <c r="H203" s="101">
        <v>9.5000000000000005E-5</v>
      </c>
      <c r="I203" s="16"/>
      <c r="J203" s="14"/>
      <c r="K203" s="102">
        <v>2.5255251996732317E-5</v>
      </c>
      <c r="L203" s="102"/>
      <c r="M203" s="102">
        <v>0</v>
      </c>
      <c r="N203" s="102">
        <v>1.2546000000000003E-5</v>
      </c>
      <c r="O203" s="102"/>
      <c r="P203" s="14"/>
      <c r="Q203" s="14"/>
      <c r="R203" s="197">
        <f>'Parameters, country spec'!R24</f>
        <v>1.8993498179632567E-2</v>
      </c>
    </row>
    <row r="204" spans="1:18" x14ac:dyDescent="0.35">
      <c r="A204" s="22" t="s">
        <v>344</v>
      </c>
      <c r="B204" s="17" t="s">
        <v>230</v>
      </c>
      <c r="C204" s="17" t="s">
        <v>343</v>
      </c>
      <c r="D204" s="23" t="s">
        <v>106</v>
      </c>
      <c r="E204" s="23" t="s">
        <v>107</v>
      </c>
      <c r="F204" s="221">
        <f t="shared" si="48"/>
        <v>1.4931770127423491E-4</v>
      </c>
      <c r="G204" s="100">
        <v>3.9865279409015522E-6</v>
      </c>
      <c r="H204" s="101">
        <v>9.5000000000000005E-5</v>
      </c>
      <c r="I204" s="16"/>
      <c r="J204" s="14"/>
      <c r="K204" s="102">
        <v>3.7785173333333341E-5</v>
      </c>
      <c r="L204" s="102"/>
      <c r="M204" s="102">
        <v>0</v>
      </c>
      <c r="N204" s="102">
        <v>1.2546000000000003E-5</v>
      </c>
      <c r="O204" s="102"/>
      <c r="P204" s="14"/>
      <c r="Q204" s="14"/>
      <c r="R204" s="197">
        <f>'Parameters, country spec'!R25</f>
        <v>1.8657874314571762E-2</v>
      </c>
    </row>
    <row r="205" spans="1:18" x14ac:dyDescent="0.35">
      <c r="B205" s="18" t="s">
        <v>231</v>
      </c>
      <c r="C205" s="17" t="s">
        <v>345</v>
      </c>
      <c r="D205" s="23" t="s">
        <v>352</v>
      </c>
      <c r="E205" s="23" t="s">
        <v>82</v>
      </c>
      <c r="F205" s="222">
        <v>6.0478733190314773E-4</v>
      </c>
      <c r="G205" s="33">
        <v>2.320636514451769E-4</v>
      </c>
      <c r="H205" s="33">
        <v>2.181240865869439E-4</v>
      </c>
      <c r="I205" s="33">
        <v>4.5862068965517253E-5</v>
      </c>
      <c r="J205" s="33">
        <v>0</v>
      </c>
      <c r="K205" s="33">
        <v>1.0233900653016278E-5</v>
      </c>
      <c r="L205" s="33">
        <v>1.1287468675454409E-5</v>
      </c>
      <c r="M205" s="33">
        <v>2.4227610206896555E-7</v>
      </c>
      <c r="N205" s="33">
        <v>7.4566292815222108E-6</v>
      </c>
      <c r="O205" s="33">
        <v>2.2490164981320892E-5</v>
      </c>
      <c r="P205" s="20">
        <v>5.7027085212127035E-5</v>
      </c>
      <c r="Q205" s="33">
        <v>0</v>
      </c>
      <c r="R205" s="197">
        <f>'Parameters, country spec'!R26</f>
        <v>3.7283067343651423E-2</v>
      </c>
    </row>
    <row r="206" spans="1:18" x14ac:dyDescent="0.35">
      <c r="B206" s="18" t="s">
        <v>346</v>
      </c>
      <c r="C206" s="17" t="s">
        <v>345</v>
      </c>
      <c r="D206" s="23" t="str">
        <f>'Off-farm feed'!$D$24</f>
        <v>Brazil, Argentina</v>
      </c>
      <c r="E206" s="23"/>
      <c r="F206" s="222">
        <f>'Off-farm feed'!$E$24</f>
        <v>4.7266553697523981E-4</v>
      </c>
      <c r="G206" s="222">
        <f>'Off-farm feed'!$F$24</f>
        <v>1.5603516238625262E-5</v>
      </c>
      <c r="H206" s="222">
        <f>'Off-farm feed'!$G$24</f>
        <v>7.5304878048780503E-5</v>
      </c>
      <c r="I206" s="222">
        <f>'Off-farm feed'!$H$24</f>
        <v>0</v>
      </c>
      <c r="J206" s="222">
        <f>'Off-farm feed'!$I$24</f>
        <v>0</v>
      </c>
      <c r="K206" s="222">
        <f>'Off-farm feed'!$J$24</f>
        <v>1.908459074435586E-5</v>
      </c>
      <c r="L206" s="222">
        <f>'Off-farm feed'!$K$24</f>
        <v>0</v>
      </c>
      <c r="M206" s="222">
        <f>'Off-farm feed'!$L$24</f>
        <v>5.9672097439024396E-7</v>
      </c>
      <c r="N206" s="222">
        <f>'Off-farm feed'!$M$24</f>
        <v>2.3084271612619523E-5</v>
      </c>
      <c r="O206" s="222">
        <f>'Off-farm feed'!$N$24</f>
        <v>0</v>
      </c>
      <c r="P206" s="222">
        <f>'Off-farm feed'!$O$24</f>
        <v>1.2899155935646844E-4</v>
      </c>
      <c r="Q206" s="222">
        <f>'Off-farm feed'!$P$24</f>
        <v>2.1000000000000001E-4</v>
      </c>
      <c r="R206" s="197">
        <f>'Parameters, country spec'!R27</f>
        <v>0.14137030319659935</v>
      </c>
    </row>
    <row r="207" spans="1:18" x14ac:dyDescent="0.35">
      <c r="B207" s="17" t="s">
        <v>233</v>
      </c>
      <c r="C207" s="17" t="s">
        <v>347</v>
      </c>
      <c r="D207" s="23" t="s">
        <v>106</v>
      </c>
      <c r="E207" s="23" t="s">
        <v>107</v>
      </c>
      <c r="F207" s="222"/>
      <c r="G207" s="14"/>
      <c r="H207" s="14"/>
      <c r="I207" s="14"/>
      <c r="J207" s="14"/>
      <c r="K207" s="14"/>
      <c r="L207" s="14"/>
      <c r="M207" s="14"/>
      <c r="N207" s="14"/>
      <c r="O207" s="14"/>
      <c r="P207" s="8"/>
      <c r="Q207" s="14"/>
      <c r="R207" s="197">
        <f>'Parameters, country spec'!R28</f>
        <v>0.11217476738724967</v>
      </c>
    </row>
    <row r="208" spans="1:18" x14ac:dyDescent="0.35">
      <c r="A208" s="83"/>
      <c r="B208" s="17" t="s">
        <v>348</v>
      </c>
      <c r="C208" s="84" t="s">
        <v>349</v>
      </c>
      <c r="D208" s="23" t="s">
        <v>106</v>
      </c>
      <c r="E208" s="23" t="s">
        <v>107</v>
      </c>
      <c r="F208" s="222">
        <f t="shared" si="48"/>
        <v>2.3813048490861126E-4</v>
      </c>
      <c r="G208" s="82">
        <f t="shared" ref="G208:N208" si="49">AVERAGE(G198:G206)</f>
        <v>7.0928630622271073E-5</v>
      </c>
      <c r="H208" s="82">
        <f t="shared" si="49"/>
        <v>1.0649210718174717E-4</v>
      </c>
      <c r="I208" s="82">
        <f t="shared" si="49"/>
        <v>2.2931034482758626E-5</v>
      </c>
      <c r="J208" s="82">
        <f t="shared" si="49"/>
        <v>0</v>
      </c>
      <c r="K208" s="82">
        <f t="shared" si="49"/>
        <v>1.8890322954040379E-5</v>
      </c>
      <c r="L208" s="82">
        <f t="shared" si="49"/>
        <v>5.6437343377272043E-6</v>
      </c>
      <c r="M208" s="82">
        <f t="shared" si="49"/>
        <v>9.3221897384356615E-8</v>
      </c>
      <c r="N208" s="82">
        <f t="shared" si="49"/>
        <v>1.3151433432682416E-5</v>
      </c>
      <c r="O208" s="82"/>
      <c r="P208" s="81"/>
      <c r="Q208" s="82"/>
      <c r="R208" s="197">
        <f>'Parameters, country spec'!R29</f>
        <v>8.5432154464233287E-2</v>
      </c>
    </row>
    <row r="209" spans="1:18" x14ac:dyDescent="0.35">
      <c r="A209" s="195"/>
      <c r="B209" s="25" t="s">
        <v>350</v>
      </c>
      <c r="C209" s="26"/>
      <c r="D209" s="103"/>
      <c r="E209" s="103"/>
      <c r="F209" s="46">
        <f t="shared" ref="F209:O209" si="50">SUMPRODUCT(F198:F208,$R$198:$R$208)</f>
        <v>2.3820359531353787E-4</v>
      </c>
      <c r="G209" s="46">
        <f>SUMPRODUCT(G198:G208,$R$198:$R$208)</f>
        <v>6.9018607494740868E-5</v>
      </c>
      <c r="H209" s="46">
        <f t="shared" si="50"/>
        <v>8.7131330824190541E-5</v>
      </c>
      <c r="I209" s="46">
        <f t="shared" si="50"/>
        <v>3.6689262857162605E-6</v>
      </c>
      <c r="J209" s="46">
        <f t="shared" si="50"/>
        <v>0</v>
      </c>
      <c r="K209" s="46">
        <f t="shared" si="50"/>
        <v>1.4001970627623913E-5</v>
      </c>
      <c r="L209" s="46">
        <f t="shared" si="50"/>
        <v>9.029878384621306E-7</v>
      </c>
      <c r="M209" s="46">
        <f t="shared" si="50"/>
        <v>1.0135556883930285E-7</v>
      </c>
      <c r="N209" s="46">
        <f t="shared" si="50"/>
        <v>1.2490430152708626E-5</v>
      </c>
      <c r="O209" s="46">
        <f t="shared" si="50"/>
        <v>8.3850233556841776E-7</v>
      </c>
      <c r="P209" s="30">
        <f>SUMPRODUCT(P198:P208,R198:R208)</f>
        <v>2.0361720514401967E-5</v>
      </c>
      <c r="Q209" s="46">
        <f>SUMPRODUCT(Q198:Q208,$R$198:$R$208)</f>
        <v>2.9687763671285865E-5</v>
      </c>
      <c r="R209" s="198"/>
    </row>
    <row r="210" spans="1:18" x14ac:dyDescent="0.35">
      <c r="A210" s="22" t="s">
        <v>336</v>
      </c>
      <c r="B210" s="17" t="s">
        <v>218</v>
      </c>
      <c r="C210" s="17" t="s">
        <v>337</v>
      </c>
      <c r="D210" s="23" t="s">
        <v>108</v>
      </c>
      <c r="E210" s="23" t="s">
        <v>109</v>
      </c>
      <c r="F210" s="223">
        <f>SUM(G210:Q210)</f>
        <v>2.0655355021385218E-4</v>
      </c>
      <c r="G210" s="201">
        <v>8.0930691575108743E-5</v>
      </c>
      <c r="H210" s="202">
        <v>9.5000000000000005E-5</v>
      </c>
      <c r="I210" s="203"/>
      <c r="J210" s="204"/>
      <c r="K210" s="205">
        <v>1.8076858638743458E-5</v>
      </c>
      <c r="L210" s="205"/>
      <c r="M210" s="205">
        <v>0</v>
      </c>
      <c r="N210" s="205">
        <v>1.2546000000000003E-5</v>
      </c>
      <c r="O210" s="205"/>
      <c r="P210" s="14"/>
      <c r="Q210" s="204"/>
      <c r="R210" s="208">
        <f>'Parameters, country spec'!S19</f>
        <v>0.16759238515757716</v>
      </c>
    </row>
    <row r="211" spans="1:18" x14ac:dyDescent="0.35">
      <c r="A211" s="22" t="s">
        <v>338</v>
      </c>
      <c r="B211" s="17" t="s">
        <v>222</v>
      </c>
      <c r="C211" s="17" t="s">
        <v>337</v>
      </c>
      <c r="D211" s="23" t="s">
        <v>108</v>
      </c>
      <c r="E211" s="23" t="s">
        <v>109</v>
      </c>
      <c r="F211" s="221">
        <f t="shared" ref="F211:F220" si="51">SUM(G211:Q211)</f>
        <v>1.9871902439798405E-4</v>
      </c>
      <c r="G211" s="100">
        <v>7.8815626877616721E-5</v>
      </c>
      <c r="H211" s="101">
        <v>9.5000000000000005E-5</v>
      </c>
      <c r="I211" s="16"/>
      <c r="J211" s="14"/>
      <c r="K211" s="102">
        <v>1.2357397520367332E-5</v>
      </c>
      <c r="L211" s="102"/>
      <c r="M211" s="102">
        <v>0</v>
      </c>
      <c r="N211" s="102">
        <v>1.2546000000000003E-5</v>
      </c>
      <c r="O211" s="102"/>
      <c r="P211" s="14"/>
      <c r="Q211" s="14"/>
      <c r="R211" s="197">
        <f>'Parameters, country spec'!S20</f>
        <v>0.30877372872298287</v>
      </c>
    </row>
    <row r="212" spans="1:18" x14ac:dyDescent="0.35">
      <c r="A212" s="22" t="s">
        <v>339</v>
      </c>
      <c r="B212" s="17" t="s">
        <v>226</v>
      </c>
      <c r="C212" s="17" t="s">
        <v>337</v>
      </c>
      <c r="D212" s="23" t="s">
        <v>108</v>
      </c>
      <c r="E212" s="23" t="s">
        <v>109</v>
      </c>
      <c r="F212" s="221">
        <f t="shared" si="51"/>
        <v>1.9956753055993292E-4</v>
      </c>
      <c r="G212" s="100">
        <v>7.134532609711123E-5</v>
      </c>
      <c r="H212" s="101">
        <v>9.5000000000000005E-5</v>
      </c>
      <c r="I212" s="16"/>
      <c r="J212" s="14"/>
      <c r="K212" s="102">
        <v>2.0676204462821701E-5</v>
      </c>
      <c r="L212" s="102"/>
      <c r="M212" s="102">
        <v>0</v>
      </c>
      <c r="N212" s="102">
        <v>1.2546000000000003E-5</v>
      </c>
      <c r="O212" s="102"/>
      <c r="P212" s="14"/>
      <c r="Q212" s="14"/>
      <c r="R212" s="197">
        <f>'Parameters, country spec'!S21</f>
        <v>6.9416678407666198E-3</v>
      </c>
    </row>
    <row r="213" spans="1:18" x14ac:dyDescent="0.35">
      <c r="A213" s="22" t="s">
        <v>340</v>
      </c>
      <c r="B213" s="17" t="s">
        <v>227</v>
      </c>
      <c r="C213" s="17" t="s">
        <v>337</v>
      </c>
      <c r="D213" s="23" t="s">
        <v>108</v>
      </c>
      <c r="E213" s="23" t="s">
        <v>109</v>
      </c>
      <c r="F213" s="221">
        <f t="shared" si="51"/>
        <v>1.840193507270561E-4</v>
      </c>
      <c r="G213" s="100">
        <v>6.2842418816841267E-5</v>
      </c>
      <c r="H213" s="101">
        <v>9.5000000000000005E-5</v>
      </c>
      <c r="I213" s="14"/>
      <c r="J213" s="14"/>
      <c r="K213" s="102">
        <v>1.3630931910214812E-5</v>
      </c>
      <c r="L213" s="102"/>
      <c r="M213" s="102">
        <v>0</v>
      </c>
      <c r="N213" s="102">
        <v>1.2546000000000003E-5</v>
      </c>
      <c r="O213" s="102"/>
      <c r="P213" s="14"/>
      <c r="Q213" s="14"/>
      <c r="R213" s="197">
        <f>'Parameters, country spec'!S22</f>
        <v>0</v>
      </c>
    </row>
    <row r="214" spans="1:18" x14ac:dyDescent="0.35">
      <c r="A214" s="22" t="s">
        <v>341</v>
      </c>
      <c r="B214" s="17" t="s">
        <v>228</v>
      </c>
      <c r="C214" s="17" t="s">
        <v>337</v>
      </c>
      <c r="D214" s="23" t="s">
        <v>108</v>
      </c>
      <c r="E214" s="23" t="s">
        <v>109</v>
      </c>
      <c r="F214" s="221">
        <f t="shared" si="51"/>
        <v>2.1322851393583626E-4</v>
      </c>
      <c r="G214" s="100">
        <v>9.2769916609057948E-5</v>
      </c>
      <c r="H214" s="101">
        <v>9.5000000000000005E-5</v>
      </c>
      <c r="I214" s="14"/>
      <c r="J214" s="14"/>
      <c r="K214" s="102">
        <v>1.291259732677831E-5</v>
      </c>
      <c r="L214" s="102"/>
      <c r="M214" s="102">
        <v>0</v>
      </c>
      <c r="N214" s="102">
        <v>1.2546000000000003E-5</v>
      </c>
      <c r="O214" s="102"/>
      <c r="P214" s="14"/>
      <c r="Q214" s="14"/>
      <c r="R214" s="197">
        <f>'Parameters, country spec'!S23</f>
        <v>0.21985896785484657</v>
      </c>
    </row>
    <row r="215" spans="1:18" x14ac:dyDescent="0.35">
      <c r="A215" s="22" t="s">
        <v>342</v>
      </c>
      <c r="B215" s="17" t="s">
        <v>229</v>
      </c>
      <c r="C215" s="17" t="s">
        <v>343</v>
      </c>
      <c r="D215" s="23" t="s">
        <v>108</v>
      </c>
      <c r="E215" s="23" t="s">
        <v>109</v>
      </c>
      <c r="F215" s="221">
        <f t="shared" si="51"/>
        <v>1.3280125199673234E-4</v>
      </c>
      <c r="G215" s="100">
        <v>0</v>
      </c>
      <c r="H215" s="101">
        <v>9.5000000000000005E-5</v>
      </c>
      <c r="I215" s="16"/>
      <c r="J215" s="14"/>
      <c r="K215" s="102">
        <v>2.5255251996732317E-5</v>
      </c>
      <c r="L215" s="102"/>
      <c r="M215" s="102">
        <v>0</v>
      </c>
      <c r="N215" s="102">
        <v>1.2546000000000003E-5</v>
      </c>
      <c r="O215" s="102"/>
      <c r="P215" s="14"/>
      <c r="Q215" s="14"/>
      <c r="R215" s="197">
        <f>'Parameters, country spec'!S24</f>
        <v>0</v>
      </c>
    </row>
    <row r="216" spans="1:18" x14ac:dyDescent="0.35">
      <c r="A216" s="22" t="s">
        <v>344</v>
      </c>
      <c r="B216" s="17" t="s">
        <v>230</v>
      </c>
      <c r="C216" s="17" t="s">
        <v>343</v>
      </c>
      <c r="D216" s="23" t="s">
        <v>108</v>
      </c>
      <c r="E216" s="23" t="s">
        <v>109</v>
      </c>
      <c r="F216" s="221">
        <f t="shared" si="51"/>
        <v>1.4931770127423491E-4</v>
      </c>
      <c r="G216" s="100">
        <v>3.9865279409015522E-6</v>
      </c>
      <c r="H216" s="101">
        <v>9.5000000000000005E-5</v>
      </c>
      <c r="I216" s="16"/>
      <c r="J216" s="14"/>
      <c r="K216" s="102">
        <v>3.7785173333333341E-5</v>
      </c>
      <c r="L216" s="102"/>
      <c r="M216" s="102">
        <v>0</v>
      </c>
      <c r="N216" s="102">
        <v>1.2546000000000003E-5</v>
      </c>
      <c r="O216" s="102"/>
      <c r="P216" s="14"/>
      <c r="Q216" s="14"/>
      <c r="R216" s="197">
        <f>'Parameters, country spec'!S25</f>
        <v>0</v>
      </c>
    </row>
    <row r="217" spans="1:18" x14ac:dyDescent="0.35">
      <c r="B217" s="18" t="s">
        <v>231</v>
      </c>
      <c r="C217" s="17" t="s">
        <v>345</v>
      </c>
      <c r="D217" s="23" t="s">
        <v>352</v>
      </c>
      <c r="E217" s="23" t="s">
        <v>82</v>
      </c>
      <c r="F217" s="222">
        <v>6.0478733190314773E-4</v>
      </c>
      <c r="G217" s="33">
        <v>2.320636514451769E-4</v>
      </c>
      <c r="H217" s="33">
        <v>2.181240865869439E-4</v>
      </c>
      <c r="I217" s="33">
        <v>4.5862068965517253E-5</v>
      </c>
      <c r="J217" s="33">
        <v>0</v>
      </c>
      <c r="K217" s="33">
        <v>1.0233900653016278E-5</v>
      </c>
      <c r="L217" s="33">
        <v>1.1287468675454409E-5</v>
      </c>
      <c r="M217" s="33">
        <v>2.4227610206896555E-7</v>
      </c>
      <c r="N217" s="33">
        <v>7.4566292815222108E-6</v>
      </c>
      <c r="O217" s="33">
        <v>2.2490164981320892E-5</v>
      </c>
      <c r="P217" s="20">
        <v>5.7027085212127035E-5</v>
      </c>
      <c r="Q217" s="33">
        <v>0</v>
      </c>
      <c r="R217" s="197">
        <f>'Parameters, country spec'!S26</f>
        <v>0</v>
      </c>
    </row>
    <row r="218" spans="1:18" x14ac:dyDescent="0.35">
      <c r="B218" s="18" t="s">
        <v>346</v>
      </c>
      <c r="C218" s="17" t="s">
        <v>345</v>
      </c>
      <c r="D218" s="23" t="str">
        <f>'Off-farm feed'!$D$24</f>
        <v>Brazil, Argentina</v>
      </c>
      <c r="E218" s="23"/>
      <c r="F218" s="222">
        <f>'Off-farm feed'!$E$24</f>
        <v>4.7266553697523981E-4</v>
      </c>
      <c r="G218" s="222">
        <f>'Off-farm feed'!$F$24</f>
        <v>1.5603516238625262E-5</v>
      </c>
      <c r="H218" s="222">
        <f>'Off-farm feed'!$G$24</f>
        <v>7.5304878048780503E-5</v>
      </c>
      <c r="I218" s="222">
        <f>'Off-farm feed'!$H$24</f>
        <v>0</v>
      </c>
      <c r="J218" s="222">
        <f>'Off-farm feed'!$I$24</f>
        <v>0</v>
      </c>
      <c r="K218" s="222">
        <f>'Off-farm feed'!$J$24</f>
        <v>1.908459074435586E-5</v>
      </c>
      <c r="L218" s="222">
        <f>'Off-farm feed'!$K$24</f>
        <v>0</v>
      </c>
      <c r="M218" s="222">
        <f>'Off-farm feed'!$L$24</f>
        <v>5.9672097439024396E-7</v>
      </c>
      <c r="N218" s="222">
        <f>'Off-farm feed'!$M$24</f>
        <v>2.3084271612619523E-5</v>
      </c>
      <c r="O218" s="222">
        <f>'Off-farm feed'!$N$24</f>
        <v>0</v>
      </c>
      <c r="P218" s="222">
        <f>'Off-farm feed'!$O$24</f>
        <v>1.2899155935646844E-4</v>
      </c>
      <c r="Q218" s="222">
        <f>'Off-farm feed'!$P$24</f>
        <v>2.1000000000000001E-4</v>
      </c>
      <c r="R218" s="197">
        <f>'Parameters, country spec'!S27</f>
        <v>0.20010207877950584</v>
      </c>
    </row>
    <row r="219" spans="1:18" x14ac:dyDescent="0.35">
      <c r="B219" s="17" t="s">
        <v>233</v>
      </c>
      <c r="C219" s="17" t="s">
        <v>347</v>
      </c>
      <c r="D219" s="23" t="s">
        <v>108</v>
      </c>
      <c r="E219" s="23" t="s">
        <v>109</v>
      </c>
      <c r="F219" s="222"/>
      <c r="G219" s="14"/>
      <c r="H219" s="14"/>
      <c r="I219" s="14"/>
      <c r="J219" s="14"/>
      <c r="K219" s="14"/>
      <c r="L219" s="14"/>
      <c r="M219" s="14"/>
      <c r="N219" s="14"/>
      <c r="O219" s="14"/>
      <c r="P219" s="8"/>
      <c r="Q219" s="14"/>
      <c r="R219" s="197">
        <f>'Parameters, country spec'!S28</f>
        <v>5.5344876310481586E-2</v>
      </c>
    </row>
    <row r="220" spans="1:18" x14ac:dyDescent="0.35">
      <c r="A220" s="83"/>
      <c r="B220" s="17" t="s">
        <v>348</v>
      </c>
      <c r="C220" s="84" t="s">
        <v>349</v>
      </c>
      <c r="D220" s="23" t="s">
        <v>108</v>
      </c>
      <c r="E220" s="23" t="s">
        <v>109</v>
      </c>
      <c r="F220" s="222">
        <f t="shared" si="51"/>
        <v>3.543755673992717E-4</v>
      </c>
      <c r="G220" s="82">
        <f t="shared" ref="G220:Q220" si="52">AVERAGE(G210:G218)</f>
        <v>7.0928630622271073E-5</v>
      </c>
      <c r="H220" s="82">
        <f t="shared" si="52"/>
        <v>1.0649210718174717E-4</v>
      </c>
      <c r="I220" s="82">
        <f t="shared" si="52"/>
        <v>2.2931034482758626E-5</v>
      </c>
      <c r="J220" s="82">
        <f t="shared" si="52"/>
        <v>0</v>
      </c>
      <c r="K220" s="82">
        <f t="shared" si="52"/>
        <v>1.8890322954040379E-5</v>
      </c>
      <c r="L220" s="82">
        <f t="shared" si="52"/>
        <v>5.6437343377272043E-6</v>
      </c>
      <c r="M220" s="82">
        <f t="shared" si="52"/>
        <v>9.3221897384356615E-8</v>
      </c>
      <c r="N220" s="82">
        <f t="shared" si="52"/>
        <v>1.3151433432682416E-5</v>
      </c>
      <c r="O220" s="82">
        <f t="shared" si="52"/>
        <v>1.1245082490660446E-5</v>
      </c>
      <c r="P220" s="81"/>
      <c r="Q220" s="82">
        <f t="shared" si="52"/>
        <v>1.05E-4</v>
      </c>
      <c r="R220" s="197">
        <f>'Parameters, country spec'!S29</f>
        <v>4.1386295333839362E-2</v>
      </c>
    </row>
    <row r="221" spans="1:18" x14ac:dyDescent="0.35">
      <c r="A221" s="195"/>
      <c r="B221" s="25" t="s">
        <v>350</v>
      </c>
      <c r="C221" s="26"/>
      <c r="D221" s="103"/>
      <c r="E221" s="103"/>
      <c r="F221" s="46">
        <f t="shared" ref="F221:O221" si="53">SUMPRODUCT(F210:F220,$R$210:$R$220)</f>
        <v>2.5348919718242867E-4</v>
      </c>
      <c r="G221" s="46">
        <f>SUMPRODUCT(G210:G220,$R$210:$R$220)</f>
        <v>6.484888558574757E-5</v>
      </c>
      <c r="H221" s="46">
        <f t="shared" si="53"/>
        <v>8.6276817648081293E-5</v>
      </c>
      <c r="I221" s="46">
        <f t="shared" si="53"/>
        <v>9.4903056541390282E-7</v>
      </c>
      <c r="J221" s="46">
        <f t="shared" si="53"/>
        <v>0</v>
      </c>
      <c r="K221" s="46">
        <f t="shared" si="53"/>
        <v>1.4428327994607992E-5</v>
      </c>
      <c r="L221" s="46">
        <f t="shared" si="53"/>
        <v>2.3357325608690838E-7</v>
      </c>
      <c r="M221" s="46">
        <f t="shared" si="53"/>
        <v>1.2326321640354992E-7</v>
      </c>
      <c r="N221" s="46">
        <f t="shared" si="53"/>
        <v>1.3985429885086896E-5</v>
      </c>
      <c r="O221" s="46">
        <f t="shared" si="53"/>
        <v>4.6539230501185911E-7</v>
      </c>
      <c r="P221" s="30">
        <f>SUMPRODUCT(P210:P220,R210:R220)</f>
        <v>2.581147917223935E-5</v>
      </c>
      <c r="Q221" s="46">
        <f>SUMPRODUCT(Q210:Q220,$R$210:$R$220)</f>
        <v>4.6366997553749358E-5</v>
      </c>
      <c r="R221" s="198"/>
    </row>
    <row r="222" spans="1:18" x14ac:dyDescent="0.35">
      <c r="A222" s="22" t="s">
        <v>336</v>
      </c>
      <c r="B222" s="17" t="s">
        <v>218</v>
      </c>
      <c r="C222" s="17" t="s">
        <v>337</v>
      </c>
      <c r="D222" s="23" t="s">
        <v>20</v>
      </c>
      <c r="E222" s="23" t="s">
        <v>110</v>
      </c>
      <c r="F222" s="223">
        <f>SUM(G222:Q222)</f>
        <v>2.9616000000000006E-4</v>
      </c>
      <c r="G222" s="201">
        <v>1.4999999999999999E-4</v>
      </c>
      <c r="H222" s="202">
        <v>1E-4</v>
      </c>
      <c r="I222" s="203"/>
      <c r="J222" s="204"/>
      <c r="K222" s="205">
        <v>1.22E-5</v>
      </c>
      <c r="L222" s="205"/>
      <c r="M222" s="205">
        <v>1.7600000000000001E-6</v>
      </c>
      <c r="N222" s="205">
        <v>3.2199999999999997E-5</v>
      </c>
      <c r="O222" s="205"/>
      <c r="P222" s="14"/>
      <c r="Q222" s="204"/>
      <c r="R222" s="208">
        <f>'Parameters, country spec'!T19</f>
        <v>6.5976692624369268E-2</v>
      </c>
    </row>
    <row r="223" spans="1:18" x14ac:dyDescent="0.35">
      <c r="A223" s="22" t="s">
        <v>338</v>
      </c>
      <c r="B223" s="17" t="s">
        <v>222</v>
      </c>
      <c r="C223" s="17" t="s">
        <v>337</v>
      </c>
      <c r="D223" s="23" t="s">
        <v>20</v>
      </c>
      <c r="E223" s="23" t="s">
        <v>110</v>
      </c>
      <c r="F223" s="221">
        <f t="shared" ref="F223:F232" si="54">SUM(G223:Q223)</f>
        <v>3.0712999999999997E-4</v>
      </c>
      <c r="G223" s="100">
        <v>1.4999999999999999E-4</v>
      </c>
      <c r="H223" s="101">
        <v>1E-4</v>
      </c>
      <c r="I223" s="16"/>
      <c r="J223" s="14"/>
      <c r="K223" s="102">
        <v>8.8300000000000002E-6</v>
      </c>
      <c r="L223" s="102"/>
      <c r="M223" s="102">
        <v>1.6099999999999998E-5</v>
      </c>
      <c r="N223" s="102">
        <v>3.2199999999999997E-5</v>
      </c>
      <c r="O223" s="102"/>
      <c r="P223" s="14"/>
      <c r="Q223" s="14"/>
      <c r="R223" s="197">
        <f>'Parameters, country spec'!T20</f>
        <v>0.19814107333385653</v>
      </c>
    </row>
    <row r="224" spans="1:18" x14ac:dyDescent="0.35">
      <c r="A224" s="22" t="s">
        <v>339</v>
      </c>
      <c r="B224" s="17" t="s">
        <v>226</v>
      </c>
      <c r="C224" s="17" t="s">
        <v>337</v>
      </c>
      <c r="D224" s="23" t="s">
        <v>20</v>
      </c>
      <c r="E224" s="23" t="s">
        <v>110</v>
      </c>
      <c r="F224" s="221">
        <f t="shared" si="54"/>
        <v>2.8722999999999997E-4</v>
      </c>
      <c r="G224" s="100">
        <v>1.2999999999999999E-4</v>
      </c>
      <c r="H224" s="101">
        <v>1E-4</v>
      </c>
      <c r="I224" s="16"/>
      <c r="J224" s="14"/>
      <c r="K224" s="102">
        <v>1.5999999999999999E-5</v>
      </c>
      <c r="L224" s="102"/>
      <c r="M224" s="102">
        <v>9.0299999999999999E-6</v>
      </c>
      <c r="N224" s="102">
        <v>3.2199999999999997E-5</v>
      </c>
      <c r="O224" s="102"/>
      <c r="P224" s="14"/>
      <c r="Q224" s="14"/>
      <c r="R224" s="197">
        <f>'Parameters, country spec'!T21</f>
        <v>2.1671841623166059E-3</v>
      </c>
    </row>
    <row r="225" spans="1:18" x14ac:dyDescent="0.35">
      <c r="A225" s="22" t="s">
        <v>340</v>
      </c>
      <c r="B225" s="17" t="s">
        <v>227</v>
      </c>
      <c r="C225" s="17" t="s">
        <v>337</v>
      </c>
      <c r="D225" s="23" t="s">
        <v>20</v>
      </c>
      <c r="E225" s="23" t="s">
        <v>110</v>
      </c>
      <c r="F225" s="221">
        <f t="shared" si="54"/>
        <v>2.7539999999999997E-4</v>
      </c>
      <c r="G225" s="100">
        <v>1.2E-4</v>
      </c>
      <c r="H225" s="101">
        <v>1E-4</v>
      </c>
      <c r="I225" s="14"/>
      <c r="J225" s="14"/>
      <c r="K225" s="102">
        <v>2.3200000000000001E-5</v>
      </c>
      <c r="L225" s="102"/>
      <c r="M225" s="102">
        <v>0</v>
      </c>
      <c r="N225" s="102">
        <v>3.2199999999999997E-5</v>
      </c>
      <c r="O225" s="102"/>
      <c r="P225" s="14"/>
      <c r="Q225" s="14"/>
      <c r="R225" s="197">
        <f>'Parameters, country spec'!T22</f>
        <v>8.1550834411767848E-3</v>
      </c>
    </row>
    <row r="226" spans="1:18" x14ac:dyDescent="0.35">
      <c r="A226" s="22" t="s">
        <v>341</v>
      </c>
      <c r="B226" s="17" t="s">
        <v>228</v>
      </c>
      <c r="C226" s="17" t="s">
        <v>337</v>
      </c>
      <c r="D226" s="23" t="s">
        <v>20</v>
      </c>
      <c r="E226" s="23" t="s">
        <v>110</v>
      </c>
      <c r="F226" s="221">
        <f t="shared" si="54"/>
        <v>3.1559000000000003E-4</v>
      </c>
      <c r="G226" s="100">
        <v>1.7000000000000001E-4</v>
      </c>
      <c r="H226" s="101">
        <v>1E-4</v>
      </c>
      <c r="I226" s="14"/>
      <c r="J226" s="14"/>
      <c r="K226" s="102">
        <v>9.6299999999999993E-6</v>
      </c>
      <c r="L226" s="102"/>
      <c r="M226" s="102">
        <v>3.76E-6</v>
      </c>
      <c r="N226" s="102">
        <v>3.2199999999999997E-5</v>
      </c>
      <c r="O226" s="102"/>
      <c r="P226" s="14"/>
      <c r="Q226" s="14"/>
      <c r="R226" s="197">
        <f>'Parameters, country spec'!T23</f>
        <v>0.22324493125110034</v>
      </c>
    </row>
    <row r="227" spans="1:18" x14ac:dyDescent="0.35">
      <c r="A227" s="22" t="s">
        <v>342</v>
      </c>
      <c r="B227" s="17" t="s">
        <v>229</v>
      </c>
      <c r="C227" s="17" t="s">
        <v>343</v>
      </c>
      <c r="D227" s="23" t="s">
        <v>20</v>
      </c>
      <c r="E227" s="23" t="s">
        <v>110</v>
      </c>
      <c r="F227" s="221">
        <f t="shared" si="54"/>
        <v>1.5197E-4</v>
      </c>
      <c r="G227" s="100">
        <v>0</v>
      </c>
      <c r="H227" s="101">
        <v>1E-4</v>
      </c>
      <c r="I227" s="16"/>
      <c r="J227" s="14"/>
      <c r="K227" s="102">
        <v>1.5E-5</v>
      </c>
      <c r="L227" s="102"/>
      <c r="M227" s="102">
        <v>4.7700000000000001E-6</v>
      </c>
      <c r="N227" s="102">
        <v>3.2199999999999997E-5</v>
      </c>
      <c r="O227" s="102"/>
      <c r="P227" s="14"/>
      <c r="Q227" s="14"/>
      <c r="R227" s="197">
        <f>'Parameters, country spec'!T24</f>
        <v>0</v>
      </c>
    </row>
    <row r="228" spans="1:18" x14ac:dyDescent="0.35">
      <c r="A228" s="22" t="s">
        <v>344</v>
      </c>
      <c r="B228" s="17" t="s">
        <v>230</v>
      </c>
      <c r="C228" s="17" t="s">
        <v>343</v>
      </c>
      <c r="D228" s="23" t="s">
        <v>20</v>
      </c>
      <c r="E228" s="23" t="s">
        <v>110</v>
      </c>
      <c r="F228" s="221">
        <f t="shared" si="54"/>
        <v>1.5696000000000002E-4</v>
      </c>
      <c r="G228" s="100">
        <v>7.5000000000000002E-6</v>
      </c>
      <c r="H228" s="101">
        <v>1E-4</v>
      </c>
      <c r="I228" s="16"/>
      <c r="J228" s="14"/>
      <c r="K228" s="102">
        <v>1.5E-5</v>
      </c>
      <c r="L228" s="102"/>
      <c r="M228" s="102">
        <v>2.26E-6</v>
      </c>
      <c r="N228" s="102">
        <v>3.2199999999999997E-5</v>
      </c>
      <c r="O228" s="102"/>
      <c r="P228" s="14"/>
      <c r="Q228" s="14"/>
      <c r="R228" s="197">
        <f>'Parameters, country spec'!T25</f>
        <v>0</v>
      </c>
    </row>
    <row r="229" spans="1:18" x14ac:dyDescent="0.35">
      <c r="B229" s="18" t="s">
        <v>231</v>
      </c>
      <c r="C229" s="17" t="s">
        <v>345</v>
      </c>
      <c r="D229" s="23" t="s">
        <v>352</v>
      </c>
      <c r="E229" s="23" t="s">
        <v>82</v>
      </c>
      <c r="F229" s="222">
        <v>6.0478733190314773E-4</v>
      </c>
      <c r="G229" s="33">
        <v>2.320636514451769E-4</v>
      </c>
      <c r="H229" s="33">
        <v>2.181240865869439E-4</v>
      </c>
      <c r="I229" s="33">
        <v>4.5862068965517253E-5</v>
      </c>
      <c r="J229" s="33">
        <v>0</v>
      </c>
      <c r="K229" s="33">
        <v>1.0233900653016278E-5</v>
      </c>
      <c r="L229" s="33">
        <v>1.1287468675454409E-5</v>
      </c>
      <c r="M229" s="33">
        <v>2.4227610206896555E-7</v>
      </c>
      <c r="N229" s="33">
        <v>7.4566292815222108E-6</v>
      </c>
      <c r="O229" s="33">
        <v>2.2490164981320892E-5</v>
      </c>
      <c r="P229" s="20">
        <v>5.7027085212127035E-5</v>
      </c>
      <c r="Q229" s="33">
        <v>0</v>
      </c>
      <c r="R229" s="197">
        <f>'Parameters, country spec'!T26</f>
        <v>0.12320054874364431</v>
      </c>
    </row>
    <row r="230" spans="1:18" x14ac:dyDescent="0.35">
      <c r="B230" s="18" t="s">
        <v>346</v>
      </c>
      <c r="C230" s="17" t="s">
        <v>345</v>
      </c>
      <c r="D230" s="23" t="str">
        <f>'Off-farm feed'!$D$24</f>
        <v>Brazil, Argentina</v>
      </c>
      <c r="E230" s="23"/>
      <c r="F230" s="222">
        <f>'Off-farm feed'!$E$24</f>
        <v>4.7266553697523981E-4</v>
      </c>
      <c r="G230" s="222">
        <f>'Off-farm feed'!$F$24</f>
        <v>1.5603516238625262E-5</v>
      </c>
      <c r="H230" s="222">
        <f>'Off-farm feed'!$G$24</f>
        <v>7.5304878048780503E-5</v>
      </c>
      <c r="I230" s="222">
        <f>'Off-farm feed'!$H$24</f>
        <v>0</v>
      </c>
      <c r="J230" s="222">
        <f>'Off-farm feed'!$I$24</f>
        <v>0</v>
      </c>
      <c r="K230" s="222">
        <f>'Off-farm feed'!$J$24</f>
        <v>1.908459074435586E-5</v>
      </c>
      <c r="L230" s="222">
        <f>'Off-farm feed'!$K$24</f>
        <v>0</v>
      </c>
      <c r="M230" s="222">
        <f>'Off-farm feed'!$L$24</f>
        <v>5.9672097439024396E-7</v>
      </c>
      <c r="N230" s="222">
        <f>'Off-farm feed'!$M$24</f>
        <v>2.3084271612619523E-5</v>
      </c>
      <c r="O230" s="222">
        <f>'Off-farm feed'!$N$24</f>
        <v>0</v>
      </c>
      <c r="P230" s="222">
        <f>'Off-farm feed'!$O$24</f>
        <v>1.2899155935646844E-4</v>
      </c>
      <c r="Q230" s="222">
        <f>'Off-farm feed'!$P$24</f>
        <v>2.1000000000000001E-4</v>
      </c>
      <c r="R230" s="197">
        <f>'Parameters, country spec'!T27</f>
        <v>0.15910748774892908</v>
      </c>
    </row>
    <row r="231" spans="1:18" x14ac:dyDescent="0.35">
      <c r="B231" s="17" t="s">
        <v>233</v>
      </c>
      <c r="C231" s="17" t="s">
        <v>347</v>
      </c>
      <c r="D231" s="23" t="s">
        <v>20</v>
      </c>
      <c r="E231" s="23" t="s">
        <v>110</v>
      </c>
      <c r="F231" s="222"/>
      <c r="G231" s="14"/>
      <c r="H231" s="14"/>
      <c r="I231" s="14"/>
      <c r="J231" s="14"/>
      <c r="K231" s="14"/>
      <c r="L231" s="14"/>
      <c r="M231" s="14"/>
      <c r="N231" s="14"/>
      <c r="O231" s="14"/>
      <c r="P231" s="8"/>
      <c r="Q231" s="14"/>
      <c r="R231" s="197">
        <f>'Parameters, country spec'!T28</f>
        <v>1.7335418632101657E-2</v>
      </c>
    </row>
    <row r="232" spans="1:18" x14ac:dyDescent="0.35">
      <c r="A232" s="83"/>
      <c r="B232" s="17" t="s">
        <v>348</v>
      </c>
      <c r="C232" s="84" t="s">
        <v>349</v>
      </c>
      <c r="D232" s="23" t="s">
        <v>20</v>
      </c>
      <c r="E232" s="23" t="s">
        <v>110</v>
      </c>
      <c r="F232" s="222">
        <f t="shared" si="54"/>
        <v>2.943786045635413E-4</v>
      </c>
      <c r="G232" s="82">
        <f t="shared" ref="G232:N232" si="55">AVERAGE(G222:G230)</f>
        <v>1.0835190752042246E-4</v>
      </c>
      <c r="H232" s="82">
        <f t="shared" si="55"/>
        <v>1.1038099607063606E-4</v>
      </c>
      <c r="I232" s="82">
        <f t="shared" si="55"/>
        <v>2.2931034482758626E-5</v>
      </c>
      <c r="J232" s="82">
        <f t="shared" si="55"/>
        <v>0</v>
      </c>
      <c r="K232" s="82">
        <f t="shared" si="55"/>
        <v>1.4353165710819125E-5</v>
      </c>
      <c r="L232" s="82">
        <f t="shared" si="55"/>
        <v>5.6437343377272043E-6</v>
      </c>
      <c r="M232" s="82">
        <f t="shared" si="55"/>
        <v>4.2798885640510226E-6</v>
      </c>
      <c r="N232" s="82">
        <f t="shared" si="55"/>
        <v>2.8437877877126854E-5</v>
      </c>
      <c r="O232" s="82"/>
      <c r="P232" s="81"/>
      <c r="Q232" s="82"/>
      <c r="R232" s="197">
        <f>'Parameters, country spec'!T29</f>
        <v>0.20267158006250544</v>
      </c>
    </row>
    <row r="233" spans="1:18" x14ac:dyDescent="0.35">
      <c r="A233" s="195"/>
      <c r="B233" s="25" t="s">
        <v>350</v>
      </c>
      <c r="C233" s="26"/>
      <c r="D233" s="103"/>
      <c r="E233" s="103"/>
      <c r="F233" s="46">
        <f t="shared" ref="F233:O233" si="56">SUMPRODUCT(F222:F232,$R$222:$R$232)</f>
        <v>3.6309391750162729E-4</v>
      </c>
      <c r="G233" s="46">
        <f>SUMPRODUCT(G222:G232,$R$222:$R$232)</f>
        <v>1.3186250493069066E-4</v>
      </c>
      <c r="H233" s="46">
        <f t="shared" si="56"/>
        <v>1.1099416448708959E-4</v>
      </c>
      <c r="I233" s="46">
        <f t="shared" si="56"/>
        <v>1.0297701054159074E-5</v>
      </c>
      <c r="J233" s="46">
        <f t="shared" si="56"/>
        <v>0</v>
      </c>
      <c r="K233" s="46">
        <f t="shared" si="56"/>
        <v>1.2134525135736878E-5</v>
      </c>
      <c r="L233" s="46">
        <f t="shared" si="56"/>
        <v>2.5344468904228692E-6</v>
      </c>
      <c r="M233" s="46">
        <f t="shared" si="56"/>
        <v>5.1573639757961968E-6</v>
      </c>
      <c r="N233" s="46">
        <f t="shared" si="56"/>
        <v>2.6380546792013931E-5</v>
      </c>
      <c r="O233" s="46">
        <f t="shared" si="56"/>
        <v>2.7708006670338269E-6</v>
      </c>
      <c r="P233" s="30">
        <f>SUMPRODUCT(P222:P232,R222:R232)</f>
        <v>2.7549291141409172E-5</v>
      </c>
      <c r="Q233" s="46">
        <f>SUMPRODUCT(Q222:Q232,$R$222:$R$232)</f>
        <v>3.3412572427275107E-5</v>
      </c>
      <c r="R233" s="198"/>
    </row>
    <row r="234" spans="1:18" x14ac:dyDescent="0.35">
      <c r="A234" s="22" t="s">
        <v>336</v>
      </c>
      <c r="B234" s="17" t="s">
        <v>218</v>
      </c>
      <c r="C234" s="17" t="s">
        <v>337</v>
      </c>
      <c r="D234" s="23" t="s">
        <v>19</v>
      </c>
      <c r="E234" s="23" t="s">
        <v>111</v>
      </c>
      <c r="F234" s="223">
        <f>SUM(G234:Q234)</f>
        <v>3.2225099999999996E-4</v>
      </c>
      <c r="G234" s="201">
        <v>1.4999999999999999E-4</v>
      </c>
      <c r="H234" s="202">
        <v>1E-4</v>
      </c>
      <c r="I234" s="203"/>
      <c r="J234" s="204"/>
      <c r="K234" s="205">
        <v>2.19E-5</v>
      </c>
      <c r="L234" s="205"/>
      <c r="M234" s="205">
        <v>2.5100000000000001E-7</v>
      </c>
      <c r="N234" s="205">
        <v>5.0099999999999998E-5</v>
      </c>
      <c r="O234" s="205"/>
      <c r="P234" s="14"/>
      <c r="Q234" s="204"/>
      <c r="R234" s="208">
        <f>'Parameters, country spec'!U19</f>
        <v>0.16996898787594733</v>
      </c>
    </row>
    <row r="235" spans="1:18" x14ac:dyDescent="0.35">
      <c r="A235" s="22" t="s">
        <v>338</v>
      </c>
      <c r="B235" s="17" t="s">
        <v>222</v>
      </c>
      <c r="C235" s="17" t="s">
        <v>337</v>
      </c>
      <c r="D235" s="23" t="s">
        <v>19</v>
      </c>
      <c r="E235" s="23" t="s">
        <v>111</v>
      </c>
      <c r="F235" s="221">
        <f t="shared" ref="F235:F244" si="57">SUM(G235:Q235)</f>
        <v>3.1550999999999997E-4</v>
      </c>
      <c r="G235" s="100">
        <v>1.4999999999999999E-4</v>
      </c>
      <c r="H235" s="101">
        <v>1E-4</v>
      </c>
      <c r="I235" s="16"/>
      <c r="J235" s="14"/>
      <c r="K235" s="102">
        <v>1.24E-5</v>
      </c>
      <c r="L235" s="102"/>
      <c r="M235" s="102">
        <v>3.01E-6</v>
      </c>
      <c r="N235" s="102">
        <v>5.0099999999999998E-5</v>
      </c>
      <c r="O235" s="102"/>
      <c r="P235" s="14"/>
      <c r="Q235" s="14"/>
      <c r="R235" s="197">
        <f>'Parameters, country spec'!U20</f>
        <v>0.23283885034476093</v>
      </c>
    </row>
    <row r="236" spans="1:18" x14ac:dyDescent="0.35">
      <c r="A236" s="22" t="s">
        <v>339</v>
      </c>
      <c r="B236" s="17" t="s">
        <v>226</v>
      </c>
      <c r="C236" s="17" t="s">
        <v>337</v>
      </c>
      <c r="D236" s="23" t="s">
        <v>19</v>
      </c>
      <c r="E236" s="23" t="s">
        <v>111</v>
      </c>
      <c r="F236" s="221">
        <f t="shared" si="57"/>
        <v>3.0925099999999997E-4</v>
      </c>
      <c r="G236" s="100">
        <v>1.2999999999999999E-4</v>
      </c>
      <c r="H236" s="101">
        <v>1E-4</v>
      </c>
      <c r="I236" s="16"/>
      <c r="J236" s="14"/>
      <c r="K236" s="102">
        <v>2.8900000000000001E-5</v>
      </c>
      <c r="L236" s="102"/>
      <c r="M236" s="102">
        <v>2.5100000000000001E-7</v>
      </c>
      <c r="N236" s="102">
        <v>5.0099999999999998E-5</v>
      </c>
      <c r="O236" s="102"/>
      <c r="P236" s="14"/>
      <c r="Q236" s="14"/>
      <c r="R236" s="197">
        <f>'Parameters, country spec'!U21</f>
        <v>5.0904696791723991E-3</v>
      </c>
    </row>
    <row r="237" spans="1:18" x14ac:dyDescent="0.35">
      <c r="A237" s="22" t="s">
        <v>340</v>
      </c>
      <c r="B237" s="17" t="s">
        <v>227</v>
      </c>
      <c r="C237" s="17" t="s">
        <v>337</v>
      </c>
      <c r="D237" s="23" t="s">
        <v>19</v>
      </c>
      <c r="E237" s="23" t="s">
        <v>111</v>
      </c>
      <c r="F237" s="221">
        <f t="shared" si="57"/>
        <v>2.9759999999999997E-4</v>
      </c>
      <c r="G237" s="100">
        <v>1.2E-4</v>
      </c>
      <c r="H237" s="101">
        <v>1E-4</v>
      </c>
      <c r="I237" s="14"/>
      <c r="J237" s="14"/>
      <c r="K237" s="102">
        <v>2.7500000000000001E-5</v>
      </c>
      <c r="L237" s="102"/>
      <c r="M237" s="102">
        <v>0</v>
      </c>
      <c r="N237" s="102">
        <v>5.0099999999999998E-5</v>
      </c>
      <c r="O237" s="102"/>
      <c r="P237" s="14"/>
      <c r="Q237" s="14"/>
      <c r="R237" s="197">
        <f>'Parameters, country spec'!U22</f>
        <v>6.6462863913214348E-2</v>
      </c>
    </row>
    <row r="238" spans="1:18" x14ac:dyDescent="0.35">
      <c r="A238" s="22" t="s">
        <v>341</v>
      </c>
      <c r="B238" s="17" t="s">
        <v>228</v>
      </c>
      <c r="C238" s="17" t="s">
        <v>337</v>
      </c>
      <c r="D238" s="23" t="s">
        <v>19</v>
      </c>
      <c r="E238" s="23" t="s">
        <v>111</v>
      </c>
      <c r="F238" s="221">
        <f t="shared" si="57"/>
        <v>3.3835099999999997E-4</v>
      </c>
      <c r="G238" s="100">
        <v>1.7000000000000001E-4</v>
      </c>
      <c r="H238" s="101">
        <v>1E-4</v>
      </c>
      <c r="I238" s="14"/>
      <c r="J238" s="14"/>
      <c r="K238" s="102">
        <v>1.8E-5</v>
      </c>
      <c r="L238" s="102"/>
      <c r="M238" s="102">
        <v>2.5100000000000001E-7</v>
      </c>
      <c r="N238" s="102">
        <v>5.0099999999999998E-5</v>
      </c>
      <c r="O238" s="102"/>
      <c r="P238" s="14"/>
      <c r="Q238" s="14"/>
      <c r="R238" s="197">
        <f>'Parameters, country spec'!U23</f>
        <v>0.26723420141656068</v>
      </c>
    </row>
    <row r="239" spans="1:18" x14ac:dyDescent="0.35">
      <c r="A239" s="22" t="s">
        <v>342</v>
      </c>
      <c r="B239" s="17" t="s">
        <v>229</v>
      </c>
      <c r="C239" s="17" t="s">
        <v>343</v>
      </c>
      <c r="D239" s="23" t="s">
        <v>19</v>
      </c>
      <c r="E239" s="23" t="s">
        <v>111</v>
      </c>
      <c r="F239" s="221">
        <f t="shared" si="57"/>
        <v>1.8650000000000001E-4</v>
      </c>
      <c r="G239" s="100">
        <v>0</v>
      </c>
      <c r="H239" s="101">
        <v>1E-4</v>
      </c>
      <c r="I239" s="16"/>
      <c r="J239" s="14"/>
      <c r="K239" s="102">
        <v>3.6399999999999997E-5</v>
      </c>
      <c r="L239" s="102"/>
      <c r="M239" s="102">
        <v>0</v>
      </c>
      <c r="N239" s="102">
        <v>5.0099999999999998E-5</v>
      </c>
      <c r="O239" s="102"/>
      <c r="P239" s="14"/>
      <c r="Q239" s="14"/>
      <c r="R239" s="197">
        <f>'Parameters, country spec'!U24</f>
        <v>4.1789296546899217E-3</v>
      </c>
    </row>
    <row r="240" spans="1:18" x14ac:dyDescent="0.35">
      <c r="A240" s="22" t="s">
        <v>344</v>
      </c>
      <c r="B240" s="17" t="s">
        <v>230</v>
      </c>
      <c r="C240" s="17" t="s">
        <v>343</v>
      </c>
      <c r="D240" s="23" t="s">
        <v>19</v>
      </c>
      <c r="E240" s="23" t="s">
        <v>111</v>
      </c>
      <c r="F240" s="221">
        <f t="shared" si="57"/>
        <v>1.8700000000000002E-4</v>
      </c>
      <c r="G240" s="100">
        <v>7.5000000000000002E-6</v>
      </c>
      <c r="H240" s="101">
        <v>1E-4</v>
      </c>
      <c r="I240" s="16"/>
      <c r="J240" s="14"/>
      <c r="K240" s="102">
        <v>2.94E-5</v>
      </c>
      <c r="L240" s="102"/>
      <c r="M240" s="102">
        <v>0</v>
      </c>
      <c r="N240" s="102">
        <v>5.0099999999999998E-5</v>
      </c>
      <c r="O240" s="102"/>
      <c r="P240" s="14"/>
      <c r="Q240" s="14"/>
      <c r="R240" s="197">
        <f>'Parameters, country spec'!U25</f>
        <v>4.1050860427910675E-3</v>
      </c>
    </row>
    <row r="241" spans="1:18" x14ac:dyDescent="0.35">
      <c r="B241" s="18" t="s">
        <v>231</v>
      </c>
      <c r="C241" s="17" t="s">
        <v>345</v>
      </c>
      <c r="D241" s="23" t="s">
        <v>352</v>
      </c>
      <c r="E241" s="23" t="s">
        <v>82</v>
      </c>
      <c r="F241" s="222">
        <v>6.0478733190314773E-4</v>
      </c>
      <c r="G241" s="33">
        <v>2.320636514451769E-4</v>
      </c>
      <c r="H241" s="33">
        <v>2.181240865869439E-4</v>
      </c>
      <c r="I241" s="33">
        <v>4.5862068965517253E-5</v>
      </c>
      <c r="J241" s="33">
        <v>0</v>
      </c>
      <c r="K241" s="33">
        <v>1.0233900653016278E-5</v>
      </c>
      <c r="L241" s="33">
        <v>1.1287468675454409E-5</v>
      </c>
      <c r="M241" s="33">
        <v>2.4227610206896555E-7</v>
      </c>
      <c r="N241" s="33">
        <v>7.4566292815222108E-6</v>
      </c>
      <c r="O241" s="33">
        <v>2.2490164981320892E-5</v>
      </c>
      <c r="P241" s="20">
        <v>5.7027085212127035E-5</v>
      </c>
      <c r="Q241" s="33">
        <v>0</v>
      </c>
      <c r="R241" s="197">
        <f>'Parameters, country spec'!U26</f>
        <v>3.0119810543340508E-2</v>
      </c>
    </row>
    <row r="242" spans="1:18" x14ac:dyDescent="0.35">
      <c r="B242" s="18" t="s">
        <v>346</v>
      </c>
      <c r="C242" s="17" t="s">
        <v>345</v>
      </c>
      <c r="D242" s="23" t="str">
        <f>'Off-farm feed'!$D$24</f>
        <v>Brazil, Argentina</v>
      </c>
      <c r="E242" s="23"/>
      <c r="F242" s="222">
        <f>'Off-farm feed'!$E$24</f>
        <v>4.7266553697523981E-4</v>
      </c>
      <c r="G242" s="222">
        <f>'Off-farm feed'!$F$24</f>
        <v>1.5603516238625262E-5</v>
      </c>
      <c r="H242" s="222">
        <f>'Off-farm feed'!$G$24</f>
        <v>7.5304878048780503E-5</v>
      </c>
      <c r="I242" s="222">
        <f>'Off-farm feed'!$H$24</f>
        <v>0</v>
      </c>
      <c r="J242" s="222">
        <f>'Off-farm feed'!$I$24</f>
        <v>0</v>
      </c>
      <c r="K242" s="222">
        <f>'Off-farm feed'!$J$24</f>
        <v>1.908459074435586E-5</v>
      </c>
      <c r="L242" s="222">
        <f>'Off-farm feed'!$K$24</f>
        <v>0</v>
      </c>
      <c r="M242" s="222">
        <f>'Off-farm feed'!$L$24</f>
        <v>5.9672097439024396E-7</v>
      </c>
      <c r="N242" s="222">
        <f>'Off-farm feed'!$M$24</f>
        <v>2.3084271612619523E-5</v>
      </c>
      <c r="O242" s="222">
        <f>'Off-farm feed'!$N$24</f>
        <v>0</v>
      </c>
      <c r="P242" s="222">
        <f>'Off-farm feed'!$O$24</f>
        <v>1.2899155935646844E-4</v>
      </c>
      <c r="Q242" s="222">
        <f>'Off-farm feed'!$P$24</f>
        <v>2.1000000000000001E-4</v>
      </c>
      <c r="R242" s="197">
        <f>'Parameters, country spec'!U27</f>
        <v>0.1050568603152183</v>
      </c>
    </row>
    <row r="243" spans="1:18" x14ac:dyDescent="0.35">
      <c r="B243" s="17" t="s">
        <v>233</v>
      </c>
      <c r="C243" s="17" t="s">
        <v>347</v>
      </c>
      <c r="D243" s="23" t="s">
        <v>19</v>
      </c>
      <c r="E243" s="23" t="s">
        <v>111</v>
      </c>
      <c r="F243" s="222"/>
      <c r="G243" s="14"/>
      <c r="H243" s="14"/>
      <c r="I243" s="14"/>
      <c r="J243" s="14"/>
      <c r="K243" s="14"/>
      <c r="L243" s="14"/>
      <c r="M243" s="14"/>
      <c r="N243" s="14"/>
      <c r="O243" s="14"/>
      <c r="P243" s="8"/>
      <c r="Q243" s="14"/>
      <c r="R243" s="197">
        <f>'Parameters, country spec'!U28</f>
        <v>5.1412336687770274E-2</v>
      </c>
    </row>
    <row r="244" spans="1:18" x14ac:dyDescent="0.35">
      <c r="A244" s="83"/>
      <c r="B244" s="17" t="s">
        <v>348</v>
      </c>
      <c r="C244" s="84" t="s">
        <v>349</v>
      </c>
      <c r="D244" s="23" t="s">
        <v>19</v>
      </c>
      <c r="E244" s="23" t="s">
        <v>111</v>
      </c>
      <c r="F244" s="222">
        <f t="shared" si="57"/>
        <v>4.2907068705420182E-4</v>
      </c>
      <c r="G244" s="82">
        <f t="shared" ref="G244:Q244" si="58">AVERAGE(G234:G242)</f>
        <v>1.0835190752042246E-4</v>
      </c>
      <c r="H244" s="82">
        <f t="shared" si="58"/>
        <v>1.1038099607063606E-4</v>
      </c>
      <c r="I244" s="82">
        <f t="shared" si="58"/>
        <v>2.2931034482758626E-5</v>
      </c>
      <c r="J244" s="82">
        <f t="shared" si="58"/>
        <v>0</v>
      </c>
      <c r="K244" s="82">
        <f t="shared" si="58"/>
        <v>2.2646499044152461E-5</v>
      </c>
      <c r="L244" s="82">
        <f t="shared" si="58"/>
        <v>5.6437343377272043E-6</v>
      </c>
      <c r="M244" s="82">
        <f t="shared" si="58"/>
        <v>5.1133300849546765E-7</v>
      </c>
      <c r="N244" s="82">
        <f t="shared" si="58"/>
        <v>4.2360100099349072E-5</v>
      </c>
      <c r="O244" s="82">
        <f t="shared" si="58"/>
        <v>1.1245082490660446E-5</v>
      </c>
      <c r="P244" s="81"/>
      <c r="Q244" s="82">
        <f t="shared" si="58"/>
        <v>1.05E-4</v>
      </c>
      <c r="R244" s="197">
        <f>'Parameters, country spec'!U29</f>
        <v>6.3531603526534211E-2</v>
      </c>
    </row>
    <row r="245" spans="1:18" x14ac:dyDescent="0.35">
      <c r="A245" s="195"/>
      <c r="B245" s="25" t="s">
        <v>350</v>
      </c>
      <c r="C245" s="26"/>
      <c r="D245" s="103"/>
      <c r="E245" s="103"/>
      <c r="F245" s="46">
        <f t="shared" ref="F245:O245" si="59">SUMPRODUCT(F234:F244,$R$234:$R$244)</f>
        <v>3.366876098022559E-4</v>
      </c>
      <c r="G245" s="46">
        <f>SUMPRODUCT(G234:G244,$R$234:$R$244)</f>
        <v>1.3003182291848383E-4</v>
      </c>
      <c r="H245" s="46">
        <f t="shared" si="59"/>
        <v>9.6481770789100488E-5</v>
      </c>
      <c r="I245" s="46">
        <f t="shared" si="59"/>
        <v>2.8382022195789016E-6</v>
      </c>
      <c r="J245" s="46">
        <f t="shared" si="59"/>
        <v>0</v>
      </c>
      <c r="K245" s="46">
        <f t="shared" si="59"/>
        <v>1.7419362836014872E-5</v>
      </c>
      <c r="L245" s="46">
        <f t="shared" si="59"/>
        <v>6.9853191037214931E-7</v>
      </c>
      <c r="M245" s="46">
        <f t="shared" si="59"/>
        <v>9.1433339625255928E-7</v>
      </c>
      <c r="N245" s="46">
        <f t="shared" si="59"/>
        <v>4.2909915829642597E-5</v>
      </c>
      <c r="O245" s="46">
        <f t="shared" si="59"/>
        <v>1.3918176307456678E-6</v>
      </c>
      <c r="P245" s="30">
        <f>SUMPRODUCT(P234:P244,R234:R244)</f>
        <v>1.5269093235582895E-5</v>
      </c>
      <c r="Q245" s="46">
        <f>SUMPRODUCT(Q234:Q244,$R$234:$R$244)</f>
        <v>2.8732759036481938E-5</v>
      </c>
      <c r="R245" s="198"/>
    </row>
    <row r="246" spans="1:18" x14ac:dyDescent="0.35">
      <c r="A246" s="22" t="s">
        <v>336</v>
      </c>
      <c r="B246" s="17" t="s">
        <v>218</v>
      </c>
      <c r="C246" s="17" t="s">
        <v>337</v>
      </c>
      <c r="D246" s="23" t="s">
        <v>112</v>
      </c>
      <c r="E246" s="23" t="s">
        <v>113</v>
      </c>
      <c r="F246" s="223">
        <f>SUM(G246:Q246)</f>
        <v>2.0655355021385218E-4</v>
      </c>
      <c r="G246" s="201">
        <v>8.0930691575108743E-5</v>
      </c>
      <c r="H246" s="202">
        <v>9.5000000000000005E-5</v>
      </c>
      <c r="I246" s="203"/>
      <c r="J246" s="204"/>
      <c r="K246" s="205">
        <v>1.8076858638743458E-5</v>
      </c>
      <c r="L246" s="205"/>
      <c r="M246" s="205">
        <v>0</v>
      </c>
      <c r="N246" s="205">
        <v>1.2546000000000003E-5</v>
      </c>
      <c r="O246" s="205"/>
      <c r="P246" s="14"/>
      <c r="Q246" s="204"/>
      <c r="R246" s="208">
        <f>'Parameters, country spec'!V19</f>
        <v>4.6734825942588876E-2</v>
      </c>
    </row>
    <row r="247" spans="1:18" x14ac:dyDescent="0.35">
      <c r="A247" s="22" t="s">
        <v>338</v>
      </c>
      <c r="B247" s="17" t="s">
        <v>222</v>
      </c>
      <c r="C247" s="17" t="s">
        <v>337</v>
      </c>
      <c r="D247" s="23" t="s">
        <v>112</v>
      </c>
      <c r="E247" s="23" t="s">
        <v>113</v>
      </c>
      <c r="F247" s="221">
        <f t="shared" ref="F247:F256" si="60">SUM(G247:Q247)</f>
        <v>1.9871902439798405E-4</v>
      </c>
      <c r="G247" s="100">
        <v>7.8815626877616721E-5</v>
      </c>
      <c r="H247" s="101">
        <v>9.5000000000000005E-5</v>
      </c>
      <c r="I247" s="16"/>
      <c r="J247" s="14"/>
      <c r="K247" s="102">
        <v>1.2357397520367332E-5</v>
      </c>
      <c r="L247" s="102"/>
      <c r="M247" s="102">
        <v>0</v>
      </c>
      <c r="N247" s="102">
        <v>1.2546000000000003E-5</v>
      </c>
      <c r="O247" s="102"/>
      <c r="P247" s="14"/>
      <c r="Q247" s="14"/>
      <c r="R247" s="197">
        <f>'Parameters, country spec'!V20</f>
        <v>0.43527572351382965</v>
      </c>
    </row>
    <row r="248" spans="1:18" x14ac:dyDescent="0.35">
      <c r="A248" s="22" t="s">
        <v>339</v>
      </c>
      <c r="B248" s="17" t="s">
        <v>226</v>
      </c>
      <c r="C248" s="17" t="s">
        <v>337</v>
      </c>
      <c r="D248" s="23" t="s">
        <v>112</v>
      </c>
      <c r="E248" s="23" t="s">
        <v>113</v>
      </c>
      <c r="F248" s="221">
        <f t="shared" si="60"/>
        <v>1.9956753055993292E-4</v>
      </c>
      <c r="G248" s="100">
        <v>7.134532609711123E-5</v>
      </c>
      <c r="H248" s="101">
        <v>9.5000000000000005E-5</v>
      </c>
      <c r="I248" s="16"/>
      <c r="J248" s="14"/>
      <c r="K248" s="102">
        <v>2.0676204462821701E-5</v>
      </c>
      <c r="L248" s="102"/>
      <c r="M248" s="102">
        <v>0</v>
      </c>
      <c r="N248" s="102">
        <v>1.2546000000000003E-5</v>
      </c>
      <c r="O248" s="102"/>
      <c r="P248" s="14"/>
      <c r="Q248" s="14"/>
      <c r="R248" s="197">
        <f>'Parameters, country spec'!V21</f>
        <v>1.3265729698578317E-2</v>
      </c>
    </row>
    <row r="249" spans="1:18" x14ac:dyDescent="0.35">
      <c r="A249" s="22" t="s">
        <v>340</v>
      </c>
      <c r="B249" s="17" t="s">
        <v>227</v>
      </c>
      <c r="C249" s="17" t="s">
        <v>337</v>
      </c>
      <c r="D249" s="23" t="s">
        <v>112</v>
      </c>
      <c r="E249" s="23" t="s">
        <v>113</v>
      </c>
      <c r="F249" s="221">
        <f t="shared" si="60"/>
        <v>1.840193507270561E-4</v>
      </c>
      <c r="G249" s="100">
        <v>6.2842418816841267E-5</v>
      </c>
      <c r="H249" s="101">
        <v>9.5000000000000005E-5</v>
      </c>
      <c r="I249" s="14"/>
      <c r="J249" s="14"/>
      <c r="K249" s="102">
        <v>1.3630931910214812E-5</v>
      </c>
      <c r="L249" s="102"/>
      <c r="M249" s="102">
        <v>0</v>
      </c>
      <c r="N249" s="102">
        <v>1.2546000000000003E-5</v>
      </c>
      <c r="O249" s="102"/>
      <c r="P249" s="14"/>
      <c r="Q249" s="14"/>
      <c r="R249" s="197">
        <f>'Parameters, country spec'!V22</f>
        <v>2.9971473511945708E-4</v>
      </c>
    </row>
    <row r="250" spans="1:18" x14ac:dyDescent="0.35">
      <c r="A250" s="22" t="s">
        <v>341</v>
      </c>
      <c r="B250" s="17" t="s">
        <v>228</v>
      </c>
      <c r="C250" s="17" t="s">
        <v>337</v>
      </c>
      <c r="D250" s="23" t="s">
        <v>112</v>
      </c>
      <c r="E250" s="23" t="s">
        <v>113</v>
      </c>
      <c r="F250" s="221">
        <f t="shared" si="60"/>
        <v>2.1322851393583626E-4</v>
      </c>
      <c r="G250" s="100">
        <v>9.2769916609057948E-5</v>
      </c>
      <c r="H250" s="101">
        <v>9.5000000000000005E-5</v>
      </c>
      <c r="I250" s="14"/>
      <c r="J250" s="14"/>
      <c r="K250" s="102">
        <v>1.291259732677831E-5</v>
      </c>
      <c r="L250" s="102"/>
      <c r="M250" s="102">
        <v>0</v>
      </c>
      <c r="N250" s="102">
        <v>1.2546000000000003E-5</v>
      </c>
      <c r="O250" s="102"/>
      <c r="P250" s="14"/>
      <c r="Q250" s="14"/>
      <c r="R250" s="197">
        <f>'Parameters, country spec'!V23</f>
        <v>9.5453909486912653E-2</v>
      </c>
    </row>
    <row r="251" spans="1:18" x14ac:dyDescent="0.35">
      <c r="A251" s="22" t="s">
        <v>342</v>
      </c>
      <c r="B251" s="17" t="s">
        <v>229</v>
      </c>
      <c r="C251" s="17" t="s">
        <v>343</v>
      </c>
      <c r="D251" s="23" t="s">
        <v>112</v>
      </c>
      <c r="E251" s="23" t="s">
        <v>113</v>
      </c>
      <c r="F251" s="221">
        <f t="shared" si="60"/>
        <v>1.3280125199673234E-4</v>
      </c>
      <c r="G251" s="100">
        <v>0</v>
      </c>
      <c r="H251" s="101">
        <v>9.5000000000000005E-5</v>
      </c>
      <c r="I251" s="16"/>
      <c r="J251" s="14"/>
      <c r="K251" s="102">
        <v>2.5255251996732317E-5</v>
      </c>
      <c r="L251" s="102"/>
      <c r="M251" s="102">
        <v>0</v>
      </c>
      <c r="N251" s="102">
        <v>1.2546000000000003E-5</v>
      </c>
      <c r="O251" s="102"/>
      <c r="P251" s="14"/>
      <c r="Q251" s="14"/>
      <c r="R251" s="197">
        <f>'Parameters, country spec'!V24</f>
        <v>2.8702944951373129E-3</v>
      </c>
    </row>
    <row r="252" spans="1:18" x14ac:dyDescent="0.35">
      <c r="A252" s="22" t="s">
        <v>344</v>
      </c>
      <c r="B252" s="17" t="s">
        <v>230</v>
      </c>
      <c r="C252" s="17" t="s">
        <v>343</v>
      </c>
      <c r="D252" s="23" t="s">
        <v>112</v>
      </c>
      <c r="E252" s="23" t="s">
        <v>113</v>
      </c>
      <c r="F252" s="221">
        <f t="shared" si="60"/>
        <v>1.4931770127423491E-4</v>
      </c>
      <c r="G252" s="100">
        <v>3.9865279409015522E-6</v>
      </c>
      <c r="H252" s="101">
        <v>9.5000000000000005E-5</v>
      </c>
      <c r="I252" s="16"/>
      <c r="J252" s="14"/>
      <c r="K252" s="102">
        <v>3.7785173333333341E-5</v>
      </c>
      <c r="L252" s="102"/>
      <c r="M252" s="102">
        <v>0</v>
      </c>
      <c r="N252" s="102">
        <v>1.2546000000000003E-5</v>
      </c>
      <c r="O252" s="102"/>
      <c r="P252" s="14"/>
      <c r="Q252" s="14"/>
      <c r="R252" s="197">
        <f>'Parameters, country spec'!V25</f>
        <v>2.8195750698575112E-3</v>
      </c>
    </row>
    <row r="253" spans="1:18" x14ac:dyDescent="0.35">
      <c r="B253" s="18" t="s">
        <v>231</v>
      </c>
      <c r="C253" s="17" t="s">
        <v>345</v>
      </c>
      <c r="D253" s="23" t="s">
        <v>352</v>
      </c>
      <c r="E253" s="23" t="s">
        <v>82</v>
      </c>
      <c r="F253" s="222">
        <v>6.0478733190314773E-4</v>
      </c>
      <c r="G253" s="33">
        <v>2.320636514451769E-4</v>
      </c>
      <c r="H253" s="33">
        <v>2.181240865869439E-4</v>
      </c>
      <c r="I253" s="33">
        <v>4.5862068965517253E-5</v>
      </c>
      <c r="J253" s="33">
        <v>0</v>
      </c>
      <c r="K253" s="33">
        <v>1.0233900653016278E-5</v>
      </c>
      <c r="L253" s="33">
        <v>1.1287468675454409E-5</v>
      </c>
      <c r="M253" s="33">
        <v>2.4227610206896555E-7</v>
      </c>
      <c r="N253" s="33">
        <v>7.4566292815222108E-6</v>
      </c>
      <c r="O253" s="33">
        <v>2.2490164981320892E-5</v>
      </c>
      <c r="P253" s="20">
        <v>5.7027085212127035E-5</v>
      </c>
      <c r="Q253" s="33">
        <v>0</v>
      </c>
      <c r="R253" s="197">
        <f>'Parameters, country spec'!V26</f>
        <v>6.922058423346597E-2</v>
      </c>
    </row>
    <row r="254" spans="1:18" x14ac:dyDescent="0.35">
      <c r="B254" s="18" t="s">
        <v>346</v>
      </c>
      <c r="C254" s="17" t="s">
        <v>345</v>
      </c>
      <c r="D254" s="23" t="str">
        <f>'Off-farm feed'!$D$24</f>
        <v>Brazil, Argentina</v>
      </c>
      <c r="E254" s="23"/>
      <c r="F254" s="222">
        <f>'Off-farm feed'!$E$24</f>
        <v>4.7266553697523981E-4</v>
      </c>
      <c r="G254" s="222">
        <f>'Off-farm feed'!$F$24</f>
        <v>1.5603516238625262E-5</v>
      </c>
      <c r="H254" s="222">
        <f>'Off-farm feed'!$G$24</f>
        <v>7.5304878048780503E-5</v>
      </c>
      <c r="I254" s="222">
        <f>'Off-farm feed'!$H$24</f>
        <v>0</v>
      </c>
      <c r="J254" s="222">
        <f>'Off-farm feed'!$I$24</f>
        <v>0</v>
      </c>
      <c r="K254" s="222">
        <f>'Off-farm feed'!$J$24</f>
        <v>1.908459074435586E-5</v>
      </c>
      <c r="L254" s="222">
        <f>'Off-farm feed'!$K$24</f>
        <v>0</v>
      </c>
      <c r="M254" s="222">
        <f>'Off-farm feed'!$L$24</f>
        <v>5.9672097439024396E-7</v>
      </c>
      <c r="N254" s="222">
        <f>'Off-farm feed'!$M$24</f>
        <v>2.3084271612619523E-5</v>
      </c>
      <c r="O254" s="222">
        <f>'Off-farm feed'!$N$24</f>
        <v>0</v>
      </c>
      <c r="P254" s="222">
        <f>'Off-farm feed'!$O$24</f>
        <v>1.2899155935646844E-4</v>
      </c>
      <c r="Q254" s="222">
        <f>'Off-farm feed'!$P$24</f>
        <v>2.1000000000000001E-4</v>
      </c>
      <c r="R254" s="197">
        <f>'Parameters, country spec'!V27</f>
        <v>0.18854502859832106</v>
      </c>
    </row>
    <row r="255" spans="1:18" x14ac:dyDescent="0.35">
      <c r="B255" s="17" t="s">
        <v>233</v>
      </c>
      <c r="C255" s="17" t="s">
        <v>347</v>
      </c>
      <c r="D255" s="23" t="s">
        <v>112</v>
      </c>
      <c r="E255" s="23" t="s">
        <v>113</v>
      </c>
      <c r="F255" s="222"/>
      <c r="G255" s="14"/>
      <c r="H255" s="14"/>
      <c r="I255" s="14"/>
      <c r="J255" s="14"/>
      <c r="K255" s="14"/>
      <c r="L255" s="14"/>
      <c r="M255" s="14"/>
      <c r="N255" s="14"/>
      <c r="O255" s="14"/>
      <c r="P255" s="8"/>
      <c r="Q255" s="14"/>
      <c r="R255" s="197">
        <f>'Parameters, country spec'!V28</f>
        <v>7.1006092309495256E-2</v>
      </c>
    </row>
    <row r="256" spans="1:18" x14ac:dyDescent="0.35">
      <c r="A256" s="83"/>
      <c r="B256" s="17" t="s">
        <v>348</v>
      </c>
      <c r="C256" s="84" t="s">
        <v>349</v>
      </c>
      <c r="D256" s="23" t="s">
        <v>112</v>
      </c>
      <c r="E256" s="23" t="s">
        <v>113</v>
      </c>
      <c r="F256" s="222">
        <f t="shared" si="60"/>
        <v>2.3813048490861126E-4</v>
      </c>
      <c r="G256" s="82">
        <f t="shared" ref="G256:N256" si="61">AVERAGE(G246:G254)</f>
        <v>7.0928630622271073E-5</v>
      </c>
      <c r="H256" s="82">
        <f t="shared" si="61"/>
        <v>1.0649210718174717E-4</v>
      </c>
      <c r="I256" s="82">
        <f t="shared" si="61"/>
        <v>2.2931034482758626E-5</v>
      </c>
      <c r="J256" s="82">
        <f t="shared" si="61"/>
        <v>0</v>
      </c>
      <c r="K256" s="82">
        <f t="shared" si="61"/>
        <v>1.8890322954040379E-5</v>
      </c>
      <c r="L256" s="82">
        <f t="shared" si="61"/>
        <v>5.6437343377272043E-6</v>
      </c>
      <c r="M256" s="82">
        <f t="shared" si="61"/>
        <v>9.3221897384356615E-8</v>
      </c>
      <c r="N256" s="82">
        <f t="shared" si="61"/>
        <v>1.3151433432682416E-5</v>
      </c>
      <c r="O256" s="82"/>
      <c r="P256" s="81"/>
      <c r="Q256" s="82"/>
      <c r="R256" s="197">
        <f>'Parameters, country spec'!V29</f>
        <v>7.4508521916693965E-2</v>
      </c>
    </row>
    <row r="257" spans="1:18" x14ac:dyDescent="0.35">
      <c r="A257" s="195"/>
      <c r="B257" s="25" t="s">
        <v>350</v>
      </c>
      <c r="C257" s="26"/>
      <c r="D257" s="103"/>
      <c r="E257" s="103"/>
      <c r="F257" s="46">
        <f t="shared" ref="F257:O257" si="62">SUMPRODUCT(F246:F256,$R$246:$R$256)</f>
        <v>2.6873428009727753E-4</v>
      </c>
      <c r="G257" s="46">
        <f>SUMPRODUCT(G246:G256,$R$246:$R$256)</f>
        <v>7.2210919322677867E-5</v>
      </c>
      <c r="H257" s="46">
        <f t="shared" si="62"/>
        <v>9.3919985025638184E-5</v>
      </c>
      <c r="I257" s="46">
        <f t="shared" si="62"/>
        <v>4.8831566932796984E-6</v>
      </c>
      <c r="J257" s="46">
        <f t="shared" si="62"/>
        <v>0</v>
      </c>
      <c r="K257" s="46">
        <f t="shared" si="62"/>
        <v>1.3627841690936682E-5</v>
      </c>
      <c r="L257" s="46">
        <f t="shared" si="62"/>
        <v>1.2018314798264463E-6</v>
      </c>
      <c r="M257" s="46">
        <f t="shared" si="62"/>
        <v>1.3622509229702532E-7</v>
      </c>
      <c r="N257" s="46">
        <f t="shared" si="62"/>
        <v>1.3334917024137689E-5</v>
      </c>
      <c r="O257" s="46">
        <f t="shared" si="62"/>
        <v>1.5567823595140695E-6</v>
      </c>
      <c r="P257" s="30">
        <f>SUMPRODUCT(P246:P256,R246:R256)</f>
        <v>2.8268165403322452E-5</v>
      </c>
      <c r="Q257" s="46">
        <f>SUMPRODUCT(Q246:Q256,$R$246:$R$256)</f>
        <v>3.9594456005647428E-5</v>
      </c>
      <c r="R257" s="198"/>
    </row>
    <row r="258" spans="1:18" x14ac:dyDescent="0.35">
      <c r="A258" s="22" t="s">
        <v>336</v>
      </c>
      <c r="B258" s="17" t="s">
        <v>218</v>
      </c>
      <c r="C258" s="17" t="s">
        <v>337</v>
      </c>
      <c r="D258" s="23" t="s">
        <v>114</v>
      </c>
      <c r="E258" s="23" t="s">
        <v>115</v>
      </c>
      <c r="F258" s="223">
        <f>SUM(G258:Q258)</f>
        <v>2.0655355021385218E-4</v>
      </c>
      <c r="G258" s="201">
        <v>8.0930691575108743E-5</v>
      </c>
      <c r="H258" s="202">
        <v>9.5000000000000005E-5</v>
      </c>
      <c r="I258" s="203"/>
      <c r="J258" s="204"/>
      <c r="K258" s="205">
        <v>1.8076858638743458E-5</v>
      </c>
      <c r="L258" s="205"/>
      <c r="M258" s="205">
        <v>0</v>
      </c>
      <c r="N258" s="205">
        <v>1.2546000000000003E-5</v>
      </c>
      <c r="O258" s="205"/>
      <c r="P258" s="14"/>
      <c r="Q258" s="204"/>
      <c r="R258" s="208">
        <f>'Parameters, country spec'!W19</f>
        <v>1.5351195497979538E-3</v>
      </c>
    </row>
    <row r="259" spans="1:18" x14ac:dyDescent="0.35">
      <c r="A259" s="22" t="s">
        <v>338</v>
      </c>
      <c r="B259" s="17" t="s">
        <v>222</v>
      </c>
      <c r="C259" s="17" t="s">
        <v>337</v>
      </c>
      <c r="D259" s="23" t="s">
        <v>114</v>
      </c>
      <c r="E259" s="23" t="s">
        <v>115</v>
      </c>
      <c r="F259" s="221">
        <f t="shared" ref="F259:F268" si="63">SUM(G259:Q259)</f>
        <v>1.9871902439798405E-4</v>
      </c>
      <c r="G259" s="100">
        <v>7.8815626877616721E-5</v>
      </c>
      <c r="H259" s="101">
        <v>9.5000000000000005E-5</v>
      </c>
      <c r="I259" s="16"/>
      <c r="J259" s="14"/>
      <c r="K259" s="102">
        <v>1.2357397520367332E-5</v>
      </c>
      <c r="L259" s="102"/>
      <c r="M259" s="102">
        <v>0</v>
      </c>
      <c r="N259" s="102">
        <v>1.2546000000000003E-5</v>
      </c>
      <c r="O259" s="102"/>
      <c r="P259" s="14"/>
      <c r="Q259" s="14"/>
      <c r="R259" s="197">
        <f>'Parameters, country spec'!W20</f>
        <v>0.39951628665125294</v>
      </c>
    </row>
    <row r="260" spans="1:18" x14ac:dyDescent="0.35">
      <c r="A260" s="22" t="s">
        <v>339</v>
      </c>
      <c r="B260" s="17" t="s">
        <v>226</v>
      </c>
      <c r="C260" s="17" t="s">
        <v>337</v>
      </c>
      <c r="D260" s="23" t="s">
        <v>114</v>
      </c>
      <c r="E260" s="23" t="s">
        <v>115</v>
      </c>
      <c r="F260" s="221">
        <f t="shared" si="63"/>
        <v>1.9956753055993292E-4</v>
      </c>
      <c r="G260" s="100">
        <v>7.134532609711123E-5</v>
      </c>
      <c r="H260" s="101">
        <v>9.5000000000000005E-5</v>
      </c>
      <c r="I260" s="16"/>
      <c r="J260" s="14"/>
      <c r="K260" s="102">
        <v>2.0676204462821701E-5</v>
      </c>
      <c r="L260" s="102"/>
      <c r="M260" s="102">
        <v>0</v>
      </c>
      <c r="N260" s="102">
        <v>1.2546000000000003E-5</v>
      </c>
      <c r="O260" s="102"/>
      <c r="P260" s="14"/>
      <c r="Q260" s="14"/>
      <c r="R260" s="197">
        <f>'Parameters, country spec'!W21</f>
        <v>4.8828546271820782E-2</v>
      </c>
    </row>
    <row r="261" spans="1:18" x14ac:dyDescent="0.35">
      <c r="A261" s="22" t="s">
        <v>340</v>
      </c>
      <c r="B261" s="17" t="s">
        <v>227</v>
      </c>
      <c r="C261" s="17" t="s">
        <v>337</v>
      </c>
      <c r="D261" s="23" t="s">
        <v>114</v>
      </c>
      <c r="E261" s="23" t="s">
        <v>115</v>
      </c>
      <c r="F261" s="221">
        <f t="shared" si="63"/>
        <v>1.840193507270561E-4</v>
      </c>
      <c r="G261" s="100">
        <v>6.2842418816841267E-5</v>
      </c>
      <c r="H261" s="101">
        <v>9.5000000000000005E-5</v>
      </c>
      <c r="I261" s="14"/>
      <c r="J261" s="14"/>
      <c r="K261" s="102">
        <v>1.3630931910214812E-5</v>
      </c>
      <c r="L261" s="102"/>
      <c r="M261" s="102">
        <v>0</v>
      </c>
      <c r="N261" s="102">
        <v>1.2546000000000003E-5</v>
      </c>
      <c r="O261" s="102"/>
      <c r="P261" s="14"/>
      <c r="Q261" s="14"/>
      <c r="R261" s="197">
        <f>'Parameters, country spec'!W22</f>
        <v>2.3113486819224208E-3</v>
      </c>
    </row>
    <row r="262" spans="1:18" x14ac:dyDescent="0.35">
      <c r="A262" s="22" t="s">
        <v>341</v>
      </c>
      <c r="B262" s="17" t="s">
        <v>228</v>
      </c>
      <c r="C262" s="17" t="s">
        <v>337</v>
      </c>
      <c r="D262" s="23" t="s">
        <v>114</v>
      </c>
      <c r="E262" s="23" t="s">
        <v>115</v>
      </c>
      <c r="F262" s="221">
        <f t="shared" si="63"/>
        <v>2.1322851393583626E-4</v>
      </c>
      <c r="G262" s="100">
        <v>9.2769916609057948E-5</v>
      </c>
      <c r="H262" s="101">
        <v>9.5000000000000005E-5</v>
      </c>
      <c r="I262" s="14"/>
      <c r="J262" s="14"/>
      <c r="K262" s="102">
        <v>1.291259732677831E-5</v>
      </c>
      <c r="L262" s="102"/>
      <c r="M262" s="102">
        <v>0</v>
      </c>
      <c r="N262" s="102">
        <v>1.2546000000000003E-5</v>
      </c>
      <c r="O262" s="102"/>
      <c r="P262" s="14"/>
      <c r="Q262" s="14"/>
      <c r="R262" s="197">
        <f>'Parameters, country spec'!W23</f>
        <v>7.3213245865759558E-2</v>
      </c>
    </row>
    <row r="263" spans="1:18" x14ac:dyDescent="0.35">
      <c r="A263" s="22" t="s">
        <v>342</v>
      </c>
      <c r="B263" s="17" t="s">
        <v>229</v>
      </c>
      <c r="C263" s="17" t="s">
        <v>343</v>
      </c>
      <c r="D263" s="23" t="s">
        <v>114</v>
      </c>
      <c r="E263" s="23" t="s">
        <v>115</v>
      </c>
      <c r="F263" s="221">
        <f t="shared" si="63"/>
        <v>1.3280125199673234E-4</v>
      </c>
      <c r="G263" s="100">
        <v>0</v>
      </c>
      <c r="H263" s="101">
        <v>9.5000000000000005E-5</v>
      </c>
      <c r="I263" s="16"/>
      <c r="J263" s="14"/>
      <c r="K263" s="102">
        <v>2.5255251996732317E-5</v>
      </c>
      <c r="L263" s="102"/>
      <c r="M263" s="102">
        <v>0</v>
      </c>
      <c r="N263" s="102">
        <v>1.2546000000000003E-5</v>
      </c>
      <c r="O263" s="102"/>
      <c r="P263" s="14"/>
      <c r="Q263" s="14"/>
      <c r="R263" s="197">
        <f>'Parameters, country spec'!W24</f>
        <v>3.3499690113704197E-3</v>
      </c>
    </row>
    <row r="264" spans="1:18" x14ac:dyDescent="0.35">
      <c r="A264" s="22" t="s">
        <v>344</v>
      </c>
      <c r="B264" s="17" t="s">
        <v>230</v>
      </c>
      <c r="C264" s="17" t="s">
        <v>343</v>
      </c>
      <c r="D264" s="23" t="s">
        <v>114</v>
      </c>
      <c r="E264" s="23" t="s">
        <v>115</v>
      </c>
      <c r="F264" s="221">
        <f t="shared" si="63"/>
        <v>1.4931770127423491E-4</v>
      </c>
      <c r="G264" s="100">
        <v>3.9865279409015522E-6</v>
      </c>
      <c r="H264" s="101">
        <v>9.5000000000000005E-5</v>
      </c>
      <c r="I264" s="16"/>
      <c r="J264" s="14"/>
      <c r="K264" s="102">
        <v>3.7785173333333341E-5</v>
      </c>
      <c r="L264" s="102"/>
      <c r="M264" s="102">
        <v>0</v>
      </c>
      <c r="N264" s="102">
        <v>1.2546000000000003E-5</v>
      </c>
      <c r="O264" s="102"/>
      <c r="P264" s="14"/>
      <c r="Q264" s="14"/>
      <c r="R264" s="197">
        <f>'Parameters, country spec'!W25</f>
        <v>3.2907735164211826E-3</v>
      </c>
    </row>
    <row r="265" spans="1:18" x14ac:dyDescent="0.35">
      <c r="B265" s="18" t="s">
        <v>231</v>
      </c>
      <c r="C265" s="17" t="s">
        <v>345</v>
      </c>
      <c r="D265" s="23" t="s">
        <v>352</v>
      </c>
      <c r="E265" s="23" t="s">
        <v>82</v>
      </c>
      <c r="F265" s="222">
        <v>6.0478733190314773E-4</v>
      </c>
      <c r="G265" s="33">
        <v>2.320636514451769E-4</v>
      </c>
      <c r="H265" s="33">
        <v>2.181240865869439E-4</v>
      </c>
      <c r="I265" s="33">
        <v>4.5862068965517253E-5</v>
      </c>
      <c r="J265" s="33">
        <v>0</v>
      </c>
      <c r="K265" s="33">
        <v>1.0233900653016278E-5</v>
      </c>
      <c r="L265" s="33">
        <v>1.1287468675454409E-5</v>
      </c>
      <c r="M265" s="33">
        <v>2.4227610206896555E-7</v>
      </c>
      <c r="N265" s="33">
        <v>7.4566292815222108E-6</v>
      </c>
      <c r="O265" s="33">
        <v>2.2490164981320892E-5</v>
      </c>
      <c r="P265" s="20">
        <v>5.7027085212127035E-5</v>
      </c>
      <c r="Q265" s="33">
        <v>0</v>
      </c>
      <c r="R265" s="197">
        <f>'Parameters, country spec'!W26</f>
        <v>8.9876652423850362E-3</v>
      </c>
    </row>
    <row r="266" spans="1:18" x14ac:dyDescent="0.35">
      <c r="B266" s="18" t="s">
        <v>346</v>
      </c>
      <c r="C266" s="17" t="s">
        <v>345</v>
      </c>
      <c r="D266" s="23" t="str">
        <f>'Off-farm feed'!$D$24</f>
        <v>Brazil, Argentina</v>
      </c>
      <c r="E266" s="23"/>
      <c r="F266" s="222">
        <f>'Off-farm feed'!$E$24</f>
        <v>4.7266553697523981E-4</v>
      </c>
      <c r="G266" s="222">
        <f>'Off-farm feed'!$F$24</f>
        <v>1.5603516238625262E-5</v>
      </c>
      <c r="H266" s="222">
        <f>'Off-farm feed'!$G$24</f>
        <v>7.5304878048780503E-5</v>
      </c>
      <c r="I266" s="222">
        <f>'Off-farm feed'!$H$24</f>
        <v>0</v>
      </c>
      <c r="J266" s="222">
        <f>'Off-farm feed'!$I$24</f>
        <v>0</v>
      </c>
      <c r="K266" s="222">
        <f>'Off-farm feed'!$J$24</f>
        <v>1.908459074435586E-5</v>
      </c>
      <c r="L266" s="222">
        <f>'Off-farm feed'!$K$24</f>
        <v>0</v>
      </c>
      <c r="M266" s="222">
        <f>'Off-farm feed'!$L$24</f>
        <v>5.9672097439024396E-7</v>
      </c>
      <c r="N266" s="222">
        <f>'Off-farm feed'!$M$24</f>
        <v>2.3084271612619523E-5</v>
      </c>
      <c r="O266" s="222">
        <f>'Off-farm feed'!$N$24</f>
        <v>0</v>
      </c>
      <c r="P266" s="222">
        <f>'Off-farm feed'!$O$24</f>
        <v>1.2899155935646844E-4</v>
      </c>
      <c r="Q266" s="222">
        <f>'Off-farm feed'!$P$24</f>
        <v>2.1000000000000001E-4</v>
      </c>
      <c r="R266" s="197">
        <f>'Parameters, country spec'!W27</f>
        <v>7.662310655062049E-2</v>
      </c>
    </row>
    <row r="267" spans="1:18" x14ac:dyDescent="0.35">
      <c r="B267" s="17" t="s">
        <v>233</v>
      </c>
      <c r="C267" s="17" t="s">
        <v>347</v>
      </c>
      <c r="D267" s="23" t="s">
        <v>114</v>
      </c>
      <c r="E267" s="23" t="s">
        <v>115</v>
      </c>
      <c r="F267" s="222"/>
      <c r="G267" s="14"/>
      <c r="H267" s="14"/>
      <c r="I267" s="14"/>
      <c r="J267" s="14"/>
      <c r="K267" s="14"/>
      <c r="L267" s="14"/>
      <c r="M267" s="14"/>
      <c r="N267" s="14"/>
      <c r="O267" s="14"/>
      <c r="P267" s="8"/>
      <c r="Q267" s="14"/>
      <c r="R267" s="197">
        <f>'Parameters, country spec'!W28</f>
        <v>0.23650160713218851</v>
      </c>
    </row>
    <row r="268" spans="1:18" x14ac:dyDescent="0.35">
      <c r="A268" s="83"/>
      <c r="B268" s="17" t="s">
        <v>348</v>
      </c>
      <c r="C268" s="84" t="s">
        <v>349</v>
      </c>
      <c r="D268" s="23" t="s">
        <v>114</v>
      </c>
      <c r="E268" s="23" t="s">
        <v>115</v>
      </c>
      <c r="F268" s="222">
        <f t="shared" si="63"/>
        <v>2.3813048490861126E-4</v>
      </c>
      <c r="G268" s="82">
        <f t="shared" ref="G268:N268" si="64">AVERAGE(G258:G266)</f>
        <v>7.0928630622271073E-5</v>
      </c>
      <c r="H268" s="82">
        <f t="shared" si="64"/>
        <v>1.0649210718174717E-4</v>
      </c>
      <c r="I268" s="82">
        <f t="shared" si="64"/>
        <v>2.2931034482758626E-5</v>
      </c>
      <c r="J268" s="82">
        <f t="shared" si="64"/>
        <v>0</v>
      </c>
      <c r="K268" s="82">
        <f t="shared" si="64"/>
        <v>1.8890322954040379E-5</v>
      </c>
      <c r="L268" s="82">
        <f t="shared" si="64"/>
        <v>5.6437343377272043E-6</v>
      </c>
      <c r="M268" s="82">
        <f t="shared" si="64"/>
        <v>9.3221897384356615E-8</v>
      </c>
      <c r="N268" s="82">
        <f t="shared" si="64"/>
        <v>1.3151433432682416E-5</v>
      </c>
      <c r="O268" s="82"/>
      <c r="P268" s="81"/>
      <c r="Q268" s="82"/>
      <c r="R268" s="197">
        <f>'Parameters, country spec'!W29</f>
        <v>0.14584233152646073</v>
      </c>
    </row>
    <row r="269" spans="1:18" x14ac:dyDescent="0.35">
      <c r="A269" s="195"/>
      <c r="B269" s="25" t="s">
        <v>350</v>
      </c>
      <c r="C269" s="26"/>
      <c r="D269" s="103"/>
      <c r="E269" s="103"/>
      <c r="F269" s="46">
        <f t="shared" ref="F269:O269" si="65">SUMPRODUCT(F258:F268,$R$258:$R$268)</f>
        <v>1.8280813183466625E-4</v>
      </c>
      <c r="G269" s="46">
        <f>SUMPRODUCT(G258:G268,$R$258:$R$268)</f>
        <v>5.5672106803141585E-5</v>
      </c>
      <c r="H269" s="46">
        <f t="shared" si="65"/>
        <v>7.380587967370221E-5</v>
      </c>
      <c r="I269" s="46">
        <f t="shared" si="65"/>
        <v>3.7565084564644313E-6</v>
      </c>
      <c r="J269" s="46">
        <f t="shared" si="65"/>
        <v>0</v>
      </c>
      <c r="K269" s="46">
        <f t="shared" si="65"/>
        <v>1.1469454720259452E-5</v>
      </c>
      <c r="L269" s="46">
        <f t="shared" si="65"/>
        <v>9.2454336421897259E-7</v>
      </c>
      <c r="M269" s="46">
        <f t="shared" si="65"/>
        <v>6.1495810167174548E-8</v>
      </c>
      <c r="N269" s="46">
        <f t="shared" si="65"/>
        <v>1.0428882208647087E-5</v>
      </c>
      <c r="O269" s="46">
        <f t="shared" si="65"/>
        <v>2.021340740981229E-7</v>
      </c>
      <c r="P269" s="30">
        <f>SUMPRODUCT(P258:P268,R258:R268)</f>
        <v>1.0396274348336932E-5</v>
      </c>
      <c r="Q269" s="46">
        <f>SUMPRODUCT(Q258:Q268,$R$258:$R$268)</f>
        <v>1.6090852375630304E-5</v>
      </c>
      <c r="R269" s="198"/>
    </row>
    <row r="270" spans="1:18" x14ac:dyDescent="0.35">
      <c r="A270" s="22" t="s">
        <v>336</v>
      </c>
      <c r="B270" s="17" t="s">
        <v>218</v>
      </c>
      <c r="C270" s="17" t="s">
        <v>337</v>
      </c>
      <c r="D270" s="23" t="s">
        <v>174</v>
      </c>
      <c r="E270" s="23" t="s">
        <v>117</v>
      </c>
      <c r="F270" s="223">
        <f>SUM(G270:Q270)</f>
        <v>2.0655355021385218E-4</v>
      </c>
      <c r="G270" s="201">
        <v>8.0930691575108743E-5</v>
      </c>
      <c r="H270" s="202">
        <v>9.5000000000000005E-5</v>
      </c>
      <c r="I270" s="203"/>
      <c r="J270" s="204"/>
      <c r="K270" s="205">
        <v>1.8076858638743458E-5</v>
      </c>
      <c r="L270" s="205"/>
      <c r="M270" s="205">
        <v>0</v>
      </c>
      <c r="N270" s="205">
        <v>1.2546000000000003E-5</v>
      </c>
      <c r="O270" s="205"/>
      <c r="P270" s="14"/>
      <c r="Q270" s="204"/>
      <c r="R270" s="208">
        <f>'Parameters, country spec'!X19</f>
        <v>3.9590008059926378E-4</v>
      </c>
    </row>
    <row r="271" spans="1:18" x14ac:dyDescent="0.35">
      <c r="A271" s="22" t="s">
        <v>338</v>
      </c>
      <c r="B271" s="17" t="s">
        <v>222</v>
      </c>
      <c r="C271" s="17" t="s">
        <v>337</v>
      </c>
      <c r="D271" s="23" t="s">
        <v>174</v>
      </c>
      <c r="E271" s="23" t="s">
        <v>117</v>
      </c>
      <c r="F271" s="221">
        <f t="shared" ref="F271:F280" si="66">SUM(G271:Q271)</f>
        <v>1.9871902439798405E-4</v>
      </c>
      <c r="G271" s="100">
        <v>7.8815626877616721E-5</v>
      </c>
      <c r="H271" s="101">
        <v>9.5000000000000005E-5</v>
      </c>
      <c r="I271" s="16"/>
      <c r="J271" s="14"/>
      <c r="K271" s="102">
        <v>1.2357397520367332E-5</v>
      </c>
      <c r="L271" s="102"/>
      <c r="M271" s="102">
        <v>0</v>
      </c>
      <c r="N271" s="102">
        <v>1.2546000000000003E-5</v>
      </c>
      <c r="O271" s="102"/>
      <c r="P271" s="14"/>
      <c r="Q271" s="14"/>
      <c r="R271" s="197">
        <f>'Parameters, country spec'!X20</f>
        <v>0.50619251501390061</v>
      </c>
    </row>
    <row r="272" spans="1:18" x14ac:dyDescent="0.35">
      <c r="A272" s="22" t="s">
        <v>339</v>
      </c>
      <c r="B272" s="17" t="s">
        <v>226</v>
      </c>
      <c r="C272" s="17" t="s">
        <v>337</v>
      </c>
      <c r="D272" s="23" t="s">
        <v>174</v>
      </c>
      <c r="E272" s="23" t="s">
        <v>117</v>
      </c>
      <c r="F272" s="221">
        <f t="shared" si="66"/>
        <v>1.9956753055993292E-4</v>
      </c>
      <c r="G272" s="100">
        <v>7.134532609711123E-5</v>
      </c>
      <c r="H272" s="101">
        <v>9.5000000000000005E-5</v>
      </c>
      <c r="I272" s="16"/>
      <c r="J272" s="14"/>
      <c r="K272" s="102">
        <v>2.0676204462821701E-5</v>
      </c>
      <c r="L272" s="102"/>
      <c r="M272" s="102">
        <v>0</v>
      </c>
      <c r="N272" s="102">
        <v>1.2546000000000003E-5</v>
      </c>
      <c r="O272" s="102"/>
      <c r="P272" s="14"/>
      <c r="Q272" s="14"/>
      <c r="R272" s="197">
        <f>'Parameters, country spec'!X21</f>
        <v>3.0043185418315171E-2</v>
      </c>
    </row>
    <row r="273" spans="1:18" x14ac:dyDescent="0.35">
      <c r="A273" s="22" t="s">
        <v>340</v>
      </c>
      <c r="B273" s="17" t="s">
        <v>227</v>
      </c>
      <c r="C273" s="17" t="s">
        <v>337</v>
      </c>
      <c r="D273" s="23" t="s">
        <v>174</v>
      </c>
      <c r="E273" s="23" t="s">
        <v>117</v>
      </c>
      <c r="F273" s="221">
        <f t="shared" si="66"/>
        <v>1.840193507270561E-4</v>
      </c>
      <c r="G273" s="100">
        <v>6.2842418816841267E-5</v>
      </c>
      <c r="H273" s="101">
        <v>9.5000000000000005E-5</v>
      </c>
      <c r="I273" s="14"/>
      <c r="J273" s="14"/>
      <c r="K273" s="102">
        <v>1.3630931910214812E-5</v>
      </c>
      <c r="L273" s="102"/>
      <c r="M273" s="102">
        <v>0</v>
      </c>
      <c r="N273" s="102">
        <v>1.2546000000000003E-5</v>
      </c>
      <c r="O273" s="102"/>
      <c r="P273" s="14"/>
      <c r="Q273" s="14"/>
      <c r="R273" s="197">
        <f>'Parameters, country spec'!X22</f>
        <v>1.3503018628554982E-4</v>
      </c>
    </row>
    <row r="274" spans="1:18" x14ac:dyDescent="0.35">
      <c r="A274" s="22" t="s">
        <v>341</v>
      </c>
      <c r="B274" s="17" t="s">
        <v>228</v>
      </c>
      <c r="C274" s="17" t="s">
        <v>337</v>
      </c>
      <c r="D274" s="23" t="s">
        <v>174</v>
      </c>
      <c r="E274" s="23" t="s">
        <v>117</v>
      </c>
      <c r="F274" s="221">
        <f t="shared" si="66"/>
        <v>2.1322851393583626E-4</v>
      </c>
      <c r="G274" s="100">
        <v>9.2769916609057948E-5</v>
      </c>
      <c r="H274" s="101">
        <v>9.5000000000000005E-5</v>
      </c>
      <c r="I274" s="14"/>
      <c r="J274" s="14"/>
      <c r="K274" s="102">
        <v>1.291259732677831E-5</v>
      </c>
      <c r="L274" s="102"/>
      <c r="M274" s="102">
        <v>0</v>
      </c>
      <c r="N274" s="102">
        <v>1.2546000000000003E-5</v>
      </c>
      <c r="O274" s="102"/>
      <c r="P274" s="14"/>
      <c r="Q274" s="14"/>
      <c r="R274" s="197">
        <f>'Parameters, country spec'!X23</f>
        <v>4.853698847181781E-2</v>
      </c>
    </row>
    <row r="275" spans="1:18" x14ac:dyDescent="0.35">
      <c r="A275" s="22" t="s">
        <v>342</v>
      </c>
      <c r="B275" s="17" t="s">
        <v>229</v>
      </c>
      <c r="C275" s="17" t="s">
        <v>343</v>
      </c>
      <c r="D275" s="23" t="s">
        <v>174</v>
      </c>
      <c r="E275" s="23" t="s">
        <v>117</v>
      </c>
      <c r="F275" s="221">
        <f t="shared" si="66"/>
        <v>1.3280125199673234E-4</v>
      </c>
      <c r="G275" s="100">
        <v>0</v>
      </c>
      <c r="H275" s="101">
        <v>9.5000000000000005E-5</v>
      </c>
      <c r="I275" s="16"/>
      <c r="J275" s="14"/>
      <c r="K275" s="102">
        <v>2.5255251996732317E-5</v>
      </c>
      <c r="L275" s="102"/>
      <c r="M275" s="102">
        <v>0</v>
      </c>
      <c r="N275" s="102">
        <v>1.2546000000000003E-5</v>
      </c>
      <c r="O275" s="102"/>
      <c r="P275" s="14"/>
      <c r="Q275" s="14"/>
      <c r="R275" s="197">
        <f>'Parameters, country spec'!X24</f>
        <v>1.724021675043458E-3</v>
      </c>
    </row>
    <row r="276" spans="1:18" x14ac:dyDescent="0.35">
      <c r="A276" s="22" t="s">
        <v>344</v>
      </c>
      <c r="B276" s="17" t="s">
        <v>230</v>
      </c>
      <c r="C276" s="17" t="s">
        <v>343</v>
      </c>
      <c r="D276" s="23" t="s">
        <v>174</v>
      </c>
      <c r="E276" s="23" t="s">
        <v>117</v>
      </c>
      <c r="F276" s="221">
        <f t="shared" si="66"/>
        <v>1.4931770127423491E-4</v>
      </c>
      <c r="G276" s="100">
        <v>3.9865279409015522E-6</v>
      </c>
      <c r="H276" s="101">
        <v>9.5000000000000005E-5</v>
      </c>
      <c r="I276" s="16"/>
      <c r="J276" s="14"/>
      <c r="K276" s="102">
        <v>3.7785173333333341E-5</v>
      </c>
      <c r="L276" s="102"/>
      <c r="M276" s="102">
        <v>0</v>
      </c>
      <c r="N276" s="102">
        <v>1.2546000000000003E-5</v>
      </c>
      <c r="O276" s="102"/>
      <c r="P276" s="14"/>
      <c r="Q276" s="14"/>
      <c r="R276" s="197">
        <f>'Parameters, country spec'!X25</f>
        <v>1.6935574178231526E-3</v>
      </c>
    </row>
    <row r="277" spans="1:18" x14ac:dyDescent="0.35">
      <c r="B277" s="18" t="s">
        <v>231</v>
      </c>
      <c r="C277" s="17" t="s">
        <v>345</v>
      </c>
      <c r="D277" s="23" t="s">
        <v>352</v>
      </c>
      <c r="E277" s="23" t="s">
        <v>82</v>
      </c>
      <c r="F277" s="222">
        <v>6.0478733190314773E-4</v>
      </c>
      <c r="G277" s="33">
        <v>2.320636514451769E-4</v>
      </c>
      <c r="H277" s="33">
        <v>2.181240865869439E-4</v>
      </c>
      <c r="I277" s="33">
        <v>4.5862068965517253E-5</v>
      </c>
      <c r="J277" s="33">
        <v>0</v>
      </c>
      <c r="K277" s="33">
        <v>1.0233900653016278E-5</v>
      </c>
      <c r="L277" s="33">
        <v>1.1287468675454409E-5</v>
      </c>
      <c r="M277" s="33">
        <v>2.4227610206896555E-7</v>
      </c>
      <c r="N277" s="33">
        <v>7.4566292815222108E-6</v>
      </c>
      <c r="O277" s="33">
        <v>2.2490164981320892E-5</v>
      </c>
      <c r="P277" s="20">
        <v>5.7027085212127035E-5</v>
      </c>
      <c r="Q277" s="33">
        <v>0</v>
      </c>
      <c r="R277" s="197">
        <f>'Parameters, country spec'!X26</f>
        <v>5.1577992078972006E-2</v>
      </c>
    </row>
    <row r="278" spans="1:18" x14ac:dyDescent="0.35">
      <c r="B278" s="18" t="s">
        <v>346</v>
      </c>
      <c r="C278" s="17" t="s">
        <v>345</v>
      </c>
      <c r="D278" s="23" t="str">
        <f>'Off-farm feed'!$D$24</f>
        <v>Brazil, Argentina</v>
      </c>
      <c r="E278" s="23"/>
      <c r="F278" s="222">
        <f>'Off-farm feed'!$E$24</f>
        <v>4.7266553697523981E-4</v>
      </c>
      <c r="G278" s="222">
        <f>'Off-farm feed'!$F$24</f>
        <v>1.5603516238625262E-5</v>
      </c>
      <c r="H278" s="222">
        <f>'Off-farm feed'!$G$24</f>
        <v>7.5304878048780503E-5</v>
      </c>
      <c r="I278" s="222">
        <f>'Off-farm feed'!$H$24</f>
        <v>0</v>
      </c>
      <c r="J278" s="222">
        <f>'Off-farm feed'!$I$24</f>
        <v>0</v>
      </c>
      <c r="K278" s="222">
        <f>'Off-farm feed'!$J$24</f>
        <v>1.908459074435586E-5</v>
      </c>
      <c r="L278" s="222">
        <f>'Off-farm feed'!$K$24</f>
        <v>0</v>
      </c>
      <c r="M278" s="222">
        <f>'Off-farm feed'!$L$24</f>
        <v>5.9672097439024396E-7</v>
      </c>
      <c r="N278" s="222">
        <f>'Off-farm feed'!$M$24</f>
        <v>2.3084271612619523E-5</v>
      </c>
      <c r="O278" s="222">
        <f>'Off-farm feed'!$N$24</f>
        <v>0</v>
      </c>
      <c r="P278" s="222">
        <f>'Off-farm feed'!$O$24</f>
        <v>1.2899155935646844E-4</v>
      </c>
      <c r="Q278" s="222">
        <f>'Off-farm feed'!$P$24</f>
        <v>2.1000000000000001E-4</v>
      </c>
      <c r="R278" s="197">
        <f>'Parameters, country spec'!X27</f>
        <v>0.11486739675333682</v>
      </c>
    </row>
    <row r="279" spans="1:18" x14ac:dyDescent="0.35">
      <c r="B279" s="17" t="s">
        <v>233</v>
      </c>
      <c r="C279" s="17" t="s">
        <v>347</v>
      </c>
      <c r="D279" s="23" t="s">
        <v>174</v>
      </c>
      <c r="E279" s="23" t="s">
        <v>117</v>
      </c>
      <c r="F279" s="222"/>
      <c r="G279" s="14"/>
      <c r="H279" s="14"/>
      <c r="I279" s="14"/>
      <c r="J279" s="14"/>
      <c r="K279" s="14"/>
      <c r="L279" s="14"/>
      <c r="M279" s="14"/>
      <c r="N279" s="14"/>
      <c r="O279" s="14"/>
      <c r="P279" s="8"/>
      <c r="Q279" s="14"/>
      <c r="R279" s="197">
        <f>'Parameters, country spec'!X28</f>
        <v>0.15848397991396601</v>
      </c>
    </row>
    <row r="280" spans="1:18" x14ac:dyDescent="0.35">
      <c r="A280" s="83"/>
      <c r="B280" s="17" t="s">
        <v>348</v>
      </c>
      <c r="C280" s="84" t="s">
        <v>349</v>
      </c>
      <c r="D280" s="23" t="s">
        <v>174</v>
      </c>
      <c r="E280" s="23" t="s">
        <v>117</v>
      </c>
      <c r="F280" s="222">
        <f t="shared" si="66"/>
        <v>2.3813048490861126E-4</v>
      </c>
      <c r="G280" s="82">
        <f t="shared" ref="G280:N280" si="67">AVERAGE(G270:G278)</f>
        <v>7.0928630622271073E-5</v>
      </c>
      <c r="H280" s="82">
        <f t="shared" si="67"/>
        <v>1.0649210718174717E-4</v>
      </c>
      <c r="I280" s="82">
        <f t="shared" si="67"/>
        <v>2.2931034482758626E-5</v>
      </c>
      <c r="J280" s="82">
        <f t="shared" si="67"/>
        <v>0</v>
      </c>
      <c r="K280" s="82">
        <f t="shared" si="67"/>
        <v>1.8890322954040379E-5</v>
      </c>
      <c r="L280" s="82">
        <f t="shared" si="67"/>
        <v>5.6437343377272043E-6</v>
      </c>
      <c r="M280" s="82">
        <f t="shared" si="67"/>
        <v>9.3221897384356615E-8</v>
      </c>
      <c r="N280" s="82">
        <f t="shared" si="67"/>
        <v>1.3151433432682416E-5</v>
      </c>
      <c r="O280" s="82"/>
      <c r="P280" s="81"/>
      <c r="Q280" s="82"/>
      <c r="R280" s="197">
        <f>'Parameters, country spec'!X29</f>
        <v>8.6349432989940189E-2</v>
      </c>
    </row>
    <row r="281" spans="1:18" x14ac:dyDescent="0.35">
      <c r="A281" s="195"/>
      <c r="B281" s="25" t="s">
        <v>350</v>
      </c>
      <c r="C281" s="26"/>
      <c r="D281" s="103"/>
      <c r="E281" s="103"/>
      <c r="F281" s="46">
        <f t="shared" ref="F281:O281" si="68">SUMPRODUCT(F270:F280,$R$270:$R$280)</f>
        <v>2.2357365839109034E-4</v>
      </c>
      <c r="G281" s="46">
        <f>SUMPRODUCT(G270:G280,$R$270:$R$280)</f>
        <v>6.647573063360367E-5</v>
      </c>
      <c r="H281" s="46">
        <f t="shared" si="68"/>
        <v>8.5024524622612691E-5</v>
      </c>
      <c r="I281" s="46">
        <f t="shared" si="68"/>
        <v>4.34555525528769E-6</v>
      </c>
      <c r="J281" s="46">
        <f t="shared" si="68"/>
        <v>0</v>
      </c>
      <c r="K281" s="46">
        <f t="shared" si="68"/>
        <v>1.1970878921179968E-5</v>
      </c>
      <c r="L281" s="46">
        <f t="shared" si="68"/>
        <v>1.069518229942832E-6</v>
      </c>
      <c r="M281" s="46">
        <f t="shared" si="68"/>
        <v>8.9089557771144784E-8</v>
      </c>
      <c r="N281" s="46">
        <f t="shared" si="68"/>
        <v>1.1557943125441257E-5</v>
      </c>
      <c r="O281" s="46">
        <f t="shared" si="68"/>
        <v>1.1599975512613425E-6</v>
      </c>
      <c r="P281" s="30">
        <f>SUMPRODUCT(P270:P280,R270:R280)</f>
        <v>1.7758267175789005E-5</v>
      </c>
      <c r="Q281" s="46">
        <f>SUMPRODUCT(Q270:Q280,$R$270:$R$280)</f>
        <v>2.4122153318200733E-5</v>
      </c>
      <c r="R281" s="198"/>
    </row>
    <row r="282" spans="1:18" x14ac:dyDescent="0.35">
      <c r="A282" s="22" t="s">
        <v>336</v>
      </c>
      <c r="B282" s="17" t="s">
        <v>218</v>
      </c>
      <c r="C282" s="17" t="s">
        <v>337</v>
      </c>
      <c r="D282" s="23" t="s">
        <v>118</v>
      </c>
      <c r="E282" s="23" t="s">
        <v>119</v>
      </c>
      <c r="F282" s="223">
        <f>SUM(G282:Q282)</f>
        <v>2.0655355021385218E-4</v>
      </c>
      <c r="G282" s="201">
        <v>8.0930691575108743E-5</v>
      </c>
      <c r="H282" s="202">
        <v>9.5000000000000005E-5</v>
      </c>
      <c r="I282" s="203"/>
      <c r="J282" s="204"/>
      <c r="K282" s="205">
        <v>1.8076858638743458E-5</v>
      </c>
      <c r="L282" s="205"/>
      <c r="M282" s="205">
        <v>0</v>
      </c>
      <c r="N282" s="205">
        <v>1.2546000000000003E-5</v>
      </c>
      <c r="O282" s="205"/>
      <c r="P282" s="14"/>
      <c r="Q282" s="204"/>
      <c r="R282" s="208">
        <f>'Parameters, country spec'!Y19</f>
        <v>0.12312551970398992</v>
      </c>
    </row>
    <row r="283" spans="1:18" x14ac:dyDescent="0.35">
      <c r="A283" s="22" t="s">
        <v>338</v>
      </c>
      <c r="B283" s="17" t="s">
        <v>222</v>
      </c>
      <c r="C283" s="17" t="s">
        <v>337</v>
      </c>
      <c r="D283" s="23" t="s">
        <v>118</v>
      </c>
      <c r="E283" s="23" t="s">
        <v>119</v>
      </c>
      <c r="F283" s="221">
        <f t="shared" ref="F283:F292" si="69">SUM(G283:Q283)</f>
        <v>1.9871902439798405E-4</v>
      </c>
      <c r="G283" s="100">
        <v>7.8815626877616721E-5</v>
      </c>
      <c r="H283" s="101">
        <v>9.5000000000000005E-5</v>
      </c>
      <c r="I283" s="16"/>
      <c r="J283" s="14"/>
      <c r="K283" s="102">
        <v>1.2357397520367332E-5</v>
      </c>
      <c r="L283" s="102"/>
      <c r="M283" s="102">
        <v>0</v>
      </c>
      <c r="N283" s="102">
        <v>1.2546000000000003E-5</v>
      </c>
      <c r="O283" s="102"/>
      <c r="P283" s="14"/>
      <c r="Q283" s="14"/>
      <c r="R283" s="197">
        <f>'Parameters, country spec'!Y20</f>
        <v>0.34829780740480182</v>
      </c>
    </row>
    <row r="284" spans="1:18" x14ac:dyDescent="0.35">
      <c r="A284" s="22" t="s">
        <v>339</v>
      </c>
      <c r="B284" s="17" t="s">
        <v>226</v>
      </c>
      <c r="C284" s="17" t="s">
        <v>337</v>
      </c>
      <c r="D284" s="23" t="s">
        <v>118</v>
      </c>
      <c r="E284" s="23" t="s">
        <v>119</v>
      </c>
      <c r="F284" s="221">
        <f t="shared" si="69"/>
        <v>1.9956753055993292E-4</v>
      </c>
      <c r="G284" s="100">
        <v>7.134532609711123E-5</v>
      </c>
      <c r="H284" s="101">
        <v>9.5000000000000005E-5</v>
      </c>
      <c r="I284" s="16"/>
      <c r="J284" s="14"/>
      <c r="K284" s="102">
        <v>2.0676204462821701E-5</v>
      </c>
      <c r="L284" s="102"/>
      <c r="M284" s="102">
        <v>0</v>
      </c>
      <c r="N284" s="102">
        <v>1.2546000000000003E-5</v>
      </c>
      <c r="O284" s="102"/>
      <c r="P284" s="14"/>
      <c r="Q284" s="14"/>
      <c r="R284" s="197">
        <f>'Parameters, country spec'!Y21</f>
        <v>1.8139255925477018E-2</v>
      </c>
    </row>
    <row r="285" spans="1:18" x14ac:dyDescent="0.35">
      <c r="A285" s="22" t="s">
        <v>340</v>
      </c>
      <c r="B285" s="17" t="s">
        <v>227</v>
      </c>
      <c r="C285" s="17" t="s">
        <v>337</v>
      </c>
      <c r="D285" s="23" t="s">
        <v>118</v>
      </c>
      <c r="E285" s="23" t="s">
        <v>119</v>
      </c>
      <c r="F285" s="221">
        <f t="shared" si="69"/>
        <v>1.840193507270561E-4</v>
      </c>
      <c r="G285" s="100">
        <v>6.2842418816841267E-5</v>
      </c>
      <c r="H285" s="101">
        <v>9.5000000000000005E-5</v>
      </c>
      <c r="I285" s="14"/>
      <c r="J285" s="14"/>
      <c r="K285" s="102">
        <v>1.3630931910214812E-5</v>
      </c>
      <c r="L285" s="102"/>
      <c r="M285" s="102">
        <v>0</v>
      </c>
      <c r="N285" s="102">
        <v>1.2546000000000003E-5</v>
      </c>
      <c r="O285" s="102"/>
      <c r="P285" s="14"/>
      <c r="Q285" s="14"/>
      <c r="R285" s="197">
        <f>'Parameters, country spec'!Y22</f>
        <v>8.4436144786446468E-3</v>
      </c>
    </row>
    <row r="286" spans="1:18" x14ac:dyDescent="0.35">
      <c r="A286" s="22" t="s">
        <v>341</v>
      </c>
      <c r="B286" s="17" t="s">
        <v>228</v>
      </c>
      <c r="C286" s="17" t="s">
        <v>337</v>
      </c>
      <c r="D286" s="23" t="s">
        <v>118</v>
      </c>
      <c r="E286" s="23" t="s">
        <v>119</v>
      </c>
      <c r="F286" s="221">
        <f t="shared" si="69"/>
        <v>2.1322851393583626E-4</v>
      </c>
      <c r="G286" s="100">
        <v>9.2769916609057948E-5</v>
      </c>
      <c r="H286" s="101">
        <v>9.5000000000000005E-5</v>
      </c>
      <c r="I286" s="14"/>
      <c r="J286" s="14"/>
      <c r="K286" s="102">
        <v>1.291259732677831E-5</v>
      </c>
      <c r="L286" s="102"/>
      <c r="M286" s="102">
        <v>0</v>
      </c>
      <c r="N286" s="102">
        <v>1.2546000000000003E-5</v>
      </c>
      <c r="O286" s="102"/>
      <c r="P286" s="14"/>
      <c r="Q286" s="14"/>
      <c r="R286" s="197">
        <f>'Parameters, country spec'!Y23</f>
        <v>0.24890795550816447</v>
      </c>
    </row>
    <row r="287" spans="1:18" x14ac:dyDescent="0.35">
      <c r="A287" s="22" t="s">
        <v>342</v>
      </c>
      <c r="B287" s="17" t="s">
        <v>229</v>
      </c>
      <c r="C287" s="17" t="s">
        <v>343</v>
      </c>
      <c r="D287" s="23" t="s">
        <v>118</v>
      </c>
      <c r="E287" s="23" t="s">
        <v>119</v>
      </c>
      <c r="F287" s="221">
        <f t="shared" si="69"/>
        <v>1.3280125199673234E-4</v>
      </c>
      <c r="G287" s="100">
        <v>0</v>
      </c>
      <c r="H287" s="101">
        <v>9.5000000000000005E-5</v>
      </c>
      <c r="I287" s="16"/>
      <c r="J287" s="14"/>
      <c r="K287" s="102">
        <v>2.5255251996732317E-5</v>
      </c>
      <c r="L287" s="102"/>
      <c r="M287" s="102">
        <v>0</v>
      </c>
      <c r="N287" s="102">
        <v>1.2546000000000003E-5</v>
      </c>
      <c r="O287" s="102"/>
      <c r="P287" s="14"/>
      <c r="Q287" s="14"/>
      <c r="R287" s="197">
        <f>'Parameters, country spec'!Y24</f>
        <v>0</v>
      </c>
    </row>
    <row r="288" spans="1:18" x14ac:dyDescent="0.35">
      <c r="A288" s="22" t="s">
        <v>344</v>
      </c>
      <c r="B288" s="17" t="s">
        <v>230</v>
      </c>
      <c r="C288" s="17" t="s">
        <v>343</v>
      </c>
      <c r="D288" s="23" t="s">
        <v>118</v>
      </c>
      <c r="E288" s="23" t="s">
        <v>119</v>
      </c>
      <c r="F288" s="221">
        <f t="shared" si="69"/>
        <v>1.4931770127423491E-4</v>
      </c>
      <c r="G288" s="100">
        <v>3.9865279409015522E-6</v>
      </c>
      <c r="H288" s="101">
        <v>9.5000000000000005E-5</v>
      </c>
      <c r="I288" s="16"/>
      <c r="J288" s="14"/>
      <c r="K288" s="102">
        <v>3.7785173333333341E-5</v>
      </c>
      <c r="L288" s="102"/>
      <c r="M288" s="102">
        <v>0</v>
      </c>
      <c r="N288" s="102">
        <v>1.2546000000000003E-5</v>
      </c>
      <c r="O288" s="102"/>
      <c r="P288" s="14"/>
      <c r="Q288" s="14"/>
      <c r="R288" s="197">
        <f>'Parameters, country spec'!Y25</f>
        <v>0</v>
      </c>
    </row>
    <row r="289" spans="1:18" x14ac:dyDescent="0.35">
      <c r="B289" s="18" t="s">
        <v>231</v>
      </c>
      <c r="C289" s="17" t="s">
        <v>345</v>
      </c>
      <c r="D289" s="23" t="s">
        <v>352</v>
      </c>
      <c r="E289" s="23" t="s">
        <v>82</v>
      </c>
      <c r="F289" s="222">
        <v>6.0478733190314773E-4</v>
      </c>
      <c r="G289" s="33">
        <v>2.320636514451769E-4</v>
      </c>
      <c r="H289" s="33">
        <v>2.181240865869439E-4</v>
      </c>
      <c r="I289" s="33">
        <v>4.5862068965517253E-5</v>
      </c>
      <c r="J289" s="33">
        <v>0</v>
      </c>
      <c r="K289" s="33">
        <v>1.0233900653016278E-5</v>
      </c>
      <c r="L289" s="33">
        <v>1.1287468675454409E-5</v>
      </c>
      <c r="M289" s="33">
        <v>2.4227610206896555E-7</v>
      </c>
      <c r="N289" s="33">
        <v>7.4566292815222108E-6</v>
      </c>
      <c r="O289" s="33">
        <v>2.2490164981320892E-5</v>
      </c>
      <c r="P289" s="20">
        <v>5.7027085212127035E-5</v>
      </c>
      <c r="Q289" s="33">
        <v>0</v>
      </c>
      <c r="R289" s="197">
        <f>'Parameters, country spec'!Y26</f>
        <v>3.9614142253085551E-2</v>
      </c>
    </row>
    <row r="290" spans="1:18" x14ac:dyDescent="0.35">
      <c r="B290" s="18" t="s">
        <v>346</v>
      </c>
      <c r="C290" s="17" t="s">
        <v>345</v>
      </c>
      <c r="D290" s="23" t="str">
        <f>'Off-farm feed'!$D$24</f>
        <v>Brazil, Argentina</v>
      </c>
      <c r="E290" s="23"/>
      <c r="F290" s="222">
        <f>'Off-farm feed'!$E$24</f>
        <v>4.7266553697523981E-4</v>
      </c>
      <c r="G290" s="222">
        <f>'Off-farm feed'!$F$24</f>
        <v>1.5603516238625262E-5</v>
      </c>
      <c r="H290" s="222">
        <f>'Off-farm feed'!$G$24</f>
        <v>7.5304878048780503E-5</v>
      </c>
      <c r="I290" s="222">
        <f>'Off-farm feed'!$H$24</f>
        <v>0</v>
      </c>
      <c r="J290" s="222">
        <f>'Off-farm feed'!$I$24</f>
        <v>0</v>
      </c>
      <c r="K290" s="222">
        <f>'Off-farm feed'!$J$24</f>
        <v>1.908459074435586E-5</v>
      </c>
      <c r="L290" s="222">
        <f>'Off-farm feed'!$K$24</f>
        <v>0</v>
      </c>
      <c r="M290" s="222">
        <f>'Off-farm feed'!$L$24</f>
        <v>5.9672097439024396E-7</v>
      </c>
      <c r="N290" s="222">
        <f>'Off-farm feed'!$M$24</f>
        <v>2.3084271612619523E-5</v>
      </c>
      <c r="O290" s="222">
        <f>'Off-farm feed'!$N$24</f>
        <v>0</v>
      </c>
      <c r="P290" s="222">
        <f>'Off-farm feed'!$O$24</f>
        <v>1.2899155935646844E-4</v>
      </c>
      <c r="Q290" s="222">
        <f>'Off-farm feed'!$P$24</f>
        <v>2.1000000000000001E-4</v>
      </c>
      <c r="R290" s="197">
        <f>'Parameters, country spec'!Y27</f>
        <v>2.0594877928953675E-4</v>
      </c>
    </row>
    <row r="291" spans="1:18" x14ac:dyDescent="0.35">
      <c r="B291" s="17" t="s">
        <v>233</v>
      </c>
      <c r="C291" s="17" t="s">
        <v>347</v>
      </c>
      <c r="D291" s="23" t="s">
        <v>118</v>
      </c>
      <c r="E291" s="23" t="s">
        <v>119</v>
      </c>
      <c r="F291" s="222"/>
      <c r="G291" s="14"/>
      <c r="H291" s="14"/>
      <c r="I291" s="14"/>
      <c r="J291" s="14"/>
      <c r="K291" s="14"/>
      <c r="L291" s="14"/>
      <c r="M291" s="14"/>
      <c r="N291" s="14"/>
      <c r="O291" s="14"/>
      <c r="P291" s="8"/>
      <c r="Q291" s="14"/>
      <c r="R291" s="197">
        <f>'Parameters, country spec'!Y28</f>
        <v>0.10799112088671599</v>
      </c>
    </row>
    <row r="292" spans="1:18" x14ac:dyDescent="0.35">
      <c r="A292" s="83"/>
      <c r="B292" s="17" t="s">
        <v>348</v>
      </c>
      <c r="C292" s="84" t="s">
        <v>349</v>
      </c>
      <c r="D292" s="23" t="s">
        <v>118</v>
      </c>
      <c r="E292" s="23" t="s">
        <v>119</v>
      </c>
      <c r="F292" s="222">
        <f t="shared" si="69"/>
        <v>2.3813048490861126E-4</v>
      </c>
      <c r="G292" s="82">
        <f t="shared" ref="G292:N292" si="70">AVERAGE(G282:G290)</f>
        <v>7.0928630622271073E-5</v>
      </c>
      <c r="H292" s="82">
        <f t="shared" si="70"/>
        <v>1.0649210718174717E-4</v>
      </c>
      <c r="I292" s="82">
        <f t="shared" si="70"/>
        <v>2.2931034482758626E-5</v>
      </c>
      <c r="J292" s="82">
        <f t="shared" si="70"/>
        <v>0</v>
      </c>
      <c r="K292" s="82">
        <f t="shared" si="70"/>
        <v>1.8890322954040379E-5</v>
      </c>
      <c r="L292" s="82">
        <f t="shared" si="70"/>
        <v>5.6437343377272043E-6</v>
      </c>
      <c r="M292" s="82">
        <f t="shared" si="70"/>
        <v>9.3221897384356615E-8</v>
      </c>
      <c r="N292" s="82">
        <f t="shared" si="70"/>
        <v>1.3151433432682416E-5</v>
      </c>
      <c r="O292" s="82"/>
      <c r="P292" s="81"/>
      <c r="Q292" s="82"/>
      <c r="R292" s="197">
        <f>'Parameters, country spec'!Y29</f>
        <v>0.10527463505983112</v>
      </c>
    </row>
    <row r="293" spans="1:18" x14ac:dyDescent="0.35">
      <c r="A293" s="195"/>
      <c r="B293" s="25" t="s">
        <v>350</v>
      </c>
      <c r="C293" s="26"/>
      <c r="D293" s="103"/>
      <c r="E293" s="103"/>
      <c r="F293" s="46">
        <f t="shared" ref="F293:O293" si="71">SUMPRODUCT(F282:F292,$R$282:$R$292)</f>
        <v>2.0201805831403119E-4</v>
      </c>
      <c r="G293" s="46">
        <f>SUMPRODUCT(G282:G292,$R$282:$R$292)</f>
        <v>7.8995083782572865E-5</v>
      </c>
      <c r="H293" s="46">
        <f t="shared" si="71"/>
        <v>9.0824069799901492E-5</v>
      </c>
      <c r="I293" s="46">
        <f t="shared" si="71"/>
        <v>4.2308428107376381E-6</v>
      </c>
      <c r="J293" s="46">
        <f t="shared" si="71"/>
        <v>0</v>
      </c>
      <c r="K293" s="46">
        <f t="shared" si="71"/>
        <v>1.2631980074934549E-5</v>
      </c>
      <c r="L293" s="46">
        <f t="shared" si="71"/>
        <v>1.0412854625655672E-6</v>
      </c>
      <c r="M293" s="46">
        <f t="shared" si="71"/>
        <v>1.9534355154858377E-8</v>
      </c>
      <c r="N293" s="46">
        <f t="shared" si="71"/>
        <v>1.1055439469587899E-5</v>
      </c>
      <c r="O293" s="46">
        <f t="shared" si="71"/>
        <v>8.9092859486540899E-7</v>
      </c>
      <c r="P293" s="30">
        <f>SUMPRODUCT(P282:P292,R282:R292)</f>
        <v>2.2856447200601501E-6</v>
      </c>
      <c r="Q293" s="46">
        <f>SUMPRODUCT(Q282:Q292,$R$282:$R$292)</f>
        <v>4.3249243650802717E-8</v>
      </c>
      <c r="R293" s="198"/>
    </row>
    <row r="294" spans="1:18" x14ac:dyDescent="0.35">
      <c r="A294" s="22" t="s">
        <v>336</v>
      </c>
      <c r="B294" s="17" t="s">
        <v>218</v>
      </c>
      <c r="C294" s="17" t="s">
        <v>337</v>
      </c>
      <c r="D294" s="23" t="s">
        <v>28</v>
      </c>
      <c r="E294" s="23" t="s">
        <v>120</v>
      </c>
      <c r="F294" s="223">
        <f>SUM(G294:Q294)</f>
        <v>3.232E-4</v>
      </c>
      <c r="G294" s="201">
        <v>1.4999999999999999E-4</v>
      </c>
      <c r="H294" s="202">
        <v>1E-4</v>
      </c>
      <c r="I294" s="203"/>
      <c r="J294" s="204"/>
      <c r="K294" s="205">
        <v>2.48E-5</v>
      </c>
      <c r="L294" s="205"/>
      <c r="M294" s="205">
        <v>1.9300000000000002E-5</v>
      </c>
      <c r="N294" s="205">
        <v>2.9099999999999999E-5</v>
      </c>
      <c r="O294" s="205"/>
      <c r="P294" s="14"/>
      <c r="Q294" s="204"/>
      <c r="R294" s="208">
        <f>'Parameters, country spec'!Z19</f>
        <v>0.21894700375858384</v>
      </c>
    </row>
    <row r="295" spans="1:18" x14ac:dyDescent="0.35">
      <c r="A295" s="22" t="s">
        <v>338</v>
      </c>
      <c r="B295" s="17" t="s">
        <v>222</v>
      </c>
      <c r="C295" s="17" t="s">
        <v>337</v>
      </c>
      <c r="D295" s="23" t="s">
        <v>28</v>
      </c>
      <c r="E295" s="23" t="s">
        <v>120</v>
      </c>
      <c r="F295" s="221">
        <f t="shared" ref="F295:F304" si="72">SUM(G295:Q295)</f>
        <v>3.4489999999999998E-4</v>
      </c>
      <c r="G295" s="100">
        <v>1.4999999999999999E-4</v>
      </c>
      <c r="H295" s="101">
        <v>1E-4</v>
      </c>
      <c r="I295" s="16"/>
      <c r="J295" s="14"/>
      <c r="K295" s="102">
        <v>6.8000000000000001E-6</v>
      </c>
      <c r="L295" s="102"/>
      <c r="M295" s="102">
        <v>5.8999999999999998E-5</v>
      </c>
      <c r="N295" s="102">
        <v>2.9099999999999999E-5</v>
      </c>
      <c r="O295" s="102"/>
      <c r="P295" s="14"/>
      <c r="Q295" s="14"/>
      <c r="R295" s="197">
        <f>'Parameters, country spec'!Z20</f>
        <v>0.28877148486086363</v>
      </c>
    </row>
    <row r="296" spans="1:18" x14ac:dyDescent="0.35">
      <c r="A296" s="22" t="s">
        <v>339</v>
      </c>
      <c r="B296" s="17" t="s">
        <v>226</v>
      </c>
      <c r="C296" s="17" t="s">
        <v>337</v>
      </c>
      <c r="D296" s="23" t="s">
        <v>28</v>
      </c>
      <c r="E296" s="23" t="s">
        <v>120</v>
      </c>
      <c r="F296" s="221">
        <f t="shared" si="72"/>
        <v>5.8219999999999995E-4</v>
      </c>
      <c r="G296" s="100">
        <v>1.2999999999999999E-4</v>
      </c>
      <c r="H296" s="101">
        <v>1E-4</v>
      </c>
      <c r="I296" s="16"/>
      <c r="J296" s="14"/>
      <c r="K296" s="102">
        <v>3.6100000000000003E-5</v>
      </c>
      <c r="L296" s="102"/>
      <c r="M296" s="102">
        <v>2.8699999999999998E-4</v>
      </c>
      <c r="N296" s="102">
        <v>2.9099999999999999E-5</v>
      </c>
      <c r="O296" s="102"/>
      <c r="P296" s="14"/>
      <c r="Q296" s="14"/>
      <c r="R296" s="197">
        <f>'Parameters, country spec'!Z21</f>
        <v>3.4137674118133308E-2</v>
      </c>
    </row>
    <row r="297" spans="1:18" x14ac:dyDescent="0.35">
      <c r="A297" s="22" t="s">
        <v>340</v>
      </c>
      <c r="B297" s="17" t="s">
        <v>227</v>
      </c>
      <c r="C297" s="17" t="s">
        <v>337</v>
      </c>
      <c r="D297" s="23" t="s">
        <v>28</v>
      </c>
      <c r="E297" s="23" t="s">
        <v>120</v>
      </c>
      <c r="F297" s="221">
        <f t="shared" si="72"/>
        <v>2.8435299999999999E-4</v>
      </c>
      <c r="G297" s="100">
        <v>1.2E-4</v>
      </c>
      <c r="H297" s="101">
        <v>1E-4</v>
      </c>
      <c r="I297" s="14"/>
      <c r="J297" s="14"/>
      <c r="K297" s="102">
        <v>3.4499999999999998E-5</v>
      </c>
      <c r="L297" s="102"/>
      <c r="M297" s="102">
        <v>7.5300000000000003E-7</v>
      </c>
      <c r="N297" s="102">
        <v>2.9099999999999999E-5</v>
      </c>
      <c r="O297" s="102"/>
      <c r="P297" s="14"/>
      <c r="Q297" s="14"/>
      <c r="R297" s="197">
        <f>'Parameters, country spec'!Z22</f>
        <v>9.0108782601985467E-3</v>
      </c>
    </row>
    <row r="298" spans="1:18" x14ac:dyDescent="0.35">
      <c r="A298" s="22" t="s">
        <v>341</v>
      </c>
      <c r="B298" s="17" t="s">
        <v>228</v>
      </c>
      <c r="C298" s="17" t="s">
        <v>337</v>
      </c>
      <c r="D298" s="23" t="s">
        <v>28</v>
      </c>
      <c r="E298" s="23" t="s">
        <v>120</v>
      </c>
      <c r="F298" s="221">
        <f t="shared" si="72"/>
        <v>3.3172999999999997E-4</v>
      </c>
      <c r="G298" s="100">
        <v>1.7000000000000001E-4</v>
      </c>
      <c r="H298" s="101">
        <v>1E-4</v>
      </c>
      <c r="I298" s="14"/>
      <c r="J298" s="14"/>
      <c r="K298" s="102">
        <v>2.3600000000000001E-5</v>
      </c>
      <c r="L298" s="102"/>
      <c r="M298" s="102">
        <v>9.0299999999999999E-6</v>
      </c>
      <c r="N298" s="102">
        <v>2.9099999999999999E-5</v>
      </c>
      <c r="O298" s="102"/>
      <c r="P298" s="14"/>
      <c r="Q298" s="14"/>
      <c r="R298" s="197">
        <f>'Parameters, country spec'!Z23</f>
        <v>0.18547053507474909</v>
      </c>
    </row>
    <row r="299" spans="1:18" x14ac:dyDescent="0.35">
      <c r="A299" s="22" t="s">
        <v>342</v>
      </c>
      <c r="B299" s="17" t="s">
        <v>229</v>
      </c>
      <c r="C299" s="17" t="s">
        <v>343</v>
      </c>
      <c r="D299" s="23" t="s">
        <v>28</v>
      </c>
      <c r="E299" s="23" t="s">
        <v>120</v>
      </c>
      <c r="F299" s="221">
        <f t="shared" si="72"/>
        <v>1.8352E-4</v>
      </c>
      <c r="G299" s="100">
        <v>0</v>
      </c>
      <c r="H299" s="101">
        <v>1E-4</v>
      </c>
      <c r="I299" s="16"/>
      <c r="J299" s="14"/>
      <c r="K299" s="102">
        <v>4.99E-5</v>
      </c>
      <c r="L299" s="102"/>
      <c r="M299" s="102">
        <v>4.5199999999999999E-6</v>
      </c>
      <c r="N299" s="102">
        <v>2.9099999999999999E-5</v>
      </c>
      <c r="O299" s="102"/>
      <c r="P299" s="14"/>
      <c r="Q299" s="14"/>
      <c r="R299" s="197">
        <f>'Parameters, country spec'!Z24</f>
        <v>6.9661330661395359E-3</v>
      </c>
    </row>
    <row r="300" spans="1:18" x14ac:dyDescent="0.35">
      <c r="A300" s="22" t="s">
        <v>344</v>
      </c>
      <c r="B300" s="17" t="s">
        <v>230</v>
      </c>
      <c r="C300" s="17" t="s">
        <v>343</v>
      </c>
      <c r="D300" s="23" t="s">
        <v>28</v>
      </c>
      <c r="E300" s="23" t="s">
        <v>120</v>
      </c>
      <c r="F300" s="221">
        <f t="shared" si="72"/>
        <v>2.4729999999999999E-4</v>
      </c>
      <c r="G300" s="100">
        <v>7.5000000000000002E-6</v>
      </c>
      <c r="H300" s="101">
        <v>1E-4</v>
      </c>
      <c r="I300" s="16"/>
      <c r="J300" s="14"/>
      <c r="K300" s="102">
        <v>5.7800000000000002E-5</v>
      </c>
      <c r="L300" s="102"/>
      <c r="M300" s="102">
        <v>5.2899999999999998E-5</v>
      </c>
      <c r="N300" s="102">
        <v>2.9099999999999999E-5</v>
      </c>
      <c r="O300" s="102"/>
      <c r="P300" s="14"/>
      <c r="Q300" s="14"/>
      <c r="R300" s="197">
        <f>'Parameters, country spec'!Z25</f>
        <v>6.843038286368717E-3</v>
      </c>
    </row>
    <row r="301" spans="1:18" x14ac:dyDescent="0.35">
      <c r="B301" s="18" t="s">
        <v>231</v>
      </c>
      <c r="C301" s="17" t="s">
        <v>345</v>
      </c>
      <c r="D301" s="23" t="s">
        <v>352</v>
      </c>
      <c r="E301" s="23" t="s">
        <v>82</v>
      </c>
      <c r="F301" s="222">
        <v>6.0478733190314773E-4</v>
      </c>
      <c r="G301" s="33">
        <v>2.320636514451769E-4</v>
      </c>
      <c r="H301" s="33">
        <v>2.181240865869439E-4</v>
      </c>
      <c r="I301" s="33">
        <v>4.5862068965517253E-5</v>
      </c>
      <c r="J301" s="33">
        <v>0</v>
      </c>
      <c r="K301" s="33">
        <v>1.0233900653016278E-5</v>
      </c>
      <c r="L301" s="33">
        <v>1.1287468675454409E-5</v>
      </c>
      <c r="M301" s="33">
        <v>2.4227610206896555E-7</v>
      </c>
      <c r="N301" s="33">
        <v>7.4566292815222108E-6</v>
      </c>
      <c r="O301" s="33">
        <v>2.2490164981320892E-5</v>
      </c>
      <c r="P301" s="20">
        <v>5.7027085212127035E-5</v>
      </c>
      <c r="Q301" s="33">
        <v>0</v>
      </c>
      <c r="R301" s="197">
        <f>'Parameters, country spec'!Z26</f>
        <v>2.017458178365223E-2</v>
      </c>
    </row>
    <row r="302" spans="1:18" x14ac:dyDescent="0.35">
      <c r="B302" s="18" t="s">
        <v>346</v>
      </c>
      <c r="C302" s="17" t="s">
        <v>345</v>
      </c>
      <c r="D302" s="23" t="str">
        <f>'Off-farm feed'!$D$24</f>
        <v>Brazil, Argentina</v>
      </c>
      <c r="E302" s="23"/>
      <c r="F302" s="222">
        <f>'Off-farm feed'!$E$24</f>
        <v>4.7266553697523981E-4</v>
      </c>
      <c r="G302" s="222">
        <f>'Off-farm feed'!$F$24</f>
        <v>1.5603516238625262E-5</v>
      </c>
      <c r="H302" s="222">
        <f>'Off-farm feed'!$G$24</f>
        <v>7.5304878048780503E-5</v>
      </c>
      <c r="I302" s="222">
        <f>'Off-farm feed'!$H$24</f>
        <v>0</v>
      </c>
      <c r="J302" s="222">
        <f>'Off-farm feed'!$I$24</f>
        <v>0</v>
      </c>
      <c r="K302" s="222">
        <f>'Off-farm feed'!$J$24</f>
        <v>1.908459074435586E-5</v>
      </c>
      <c r="L302" s="222">
        <f>'Off-farm feed'!$K$24</f>
        <v>0</v>
      </c>
      <c r="M302" s="222">
        <f>'Off-farm feed'!$L$24</f>
        <v>5.9672097439024396E-7</v>
      </c>
      <c r="N302" s="222">
        <f>'Off-farm feed'!$M$24</f>
        <v>2.3084271612619523E-5</v>
      </c>
      <c r="O302" s="222">
        <f>'Off-farm feed'!$N$24</f>
        <v>0</v>
      </c>
      <c r="P302" s="222">
        <f>'Off-farm feed'!$O$24</f>
        <v>1.2899155935646844E-4</v>
      </c>
      <c r="Q302" s="222">
        <f>'Off-farm feed'!$P$24</f>
        <v>2.1000000000000001E-4</v>
      </c>
      <c r="R302" s="197">
        <f>'Parameters, country spec'!Z27</f>
        <v>0.1724593547162262</v>
      </c>
    </row>
    <row r="303" spans="1:18" x14ac:dyDescent="0.35">
      <c r="B303" s="17" t="s">
        <v>233</v>
      </c>
      <c r="C303" s="17" t="s">
        <v>347</v>
      </c>
      <c r="D303" s="23" t="s">
        <v>28</v>
      </c>
      <c r="E303" s="23" t="s">
        <v>120</v>
      </c>
      <c r="F303" s="222"/>
      <c r="G303" s="14"/>
      <c r="H303" s="14"/>
      <c r="I303" s="14"/>
      <c r="J303" s="14"/>
      <c r="K303" s="14"/>
      <c r="L303" s="14"/>
      <c r="M303" s="14"/>
      <c r="N303" s="14"/>
      <c r="O303" s="14"/>
      <c r="P303" s="8"/>
      <c r="Q303" s="14"/>
      <c r="R303" s="197">
        <f>'Parameters, country spec'!Z28</f>
        <v>2.6495909583274708E-2</v>
      </c>
    </row>
    <row r="304" spans="1:18" x14ac:dyDescent="0.35">
      <c r="A304" s="83"/>
      <c r="B304" s="17" t="s">
        <v>348</v>
      </c>
      <c r="C304" s="84" t="s">
        <v>349</v>
      </c>
      <c r="D304" s="23" t="s">
        <v>28</v>
      </c>
      <c r="E304" s="23" t="s">
        <v>120</v>
      </c>
      <c r="F304" s="222">
        <f t="shared" si="72"/>
        <v>3.5068560456354137E-4</v>
      </c>
      <c r="G304" s="82">
        <f t="shared" ref="G304:N304" si="73">AVERAGE(G294:G302)</f>
        <v>1.0835190752042246E-4</v>
      </c>
      <c r="H304" s="82">
        <f t="shared" si="73"/>
        <v>1.1038099607063606E-4</v>
      </c>
      <c r="I304" s="82">
        <f t="shared" si="73"/>
        <v>2.2931034482758626E-5</v>
      </c>
      <c r="J304" s="82">
        <f t="shared" si="73"/>
        <v>0</v>
      </c>
      <c r="K304" s="82">
        <f t="shared" si="73"/>
        <v>2.9202054599708014E-5</v>
      </c>
      <c r="L304" s="82">
        <f t="shared" si="73"/>
        <v>5.6437343377272043E-6</v>
      </c>
      <c r="M304" s="82">
        <f t="shared" si="73"/>
        <v>4.8149110786273238E-5</v>
      </c>
      <c r="N304" s="82">
        <f t="shared" si="73"/>
        <v>2.602676676601575E-5</v>
      </c>
      <c r="O304" s="82"/>
      <c r="P304" s="81"/>
      <c r="Q304" s="82"/>
      <c r="R304" s="197">
        <f>'Parameters, country spec'!Z29</f>
        <v>3.0723406491810091E-2</v>
      </c>
    </row>
    <row r="305" spans="1:18" x14ac:dyDescent="0.35">
      <c r="A305" s="42"/>
      <c r="B305" s="43" t="s">
        <v>350</v>
      </c>
      <c r="C305" s="44"/>
      <c r="D305" s="45"/>
      <c r="E305" s="45"/>
      <c r="F305" s="46">
        <f t="shared" ref="F305:O305" si="74">SUMPRODUCT(F294:F304,$R$294:$R$304)</f>
        <v>3.6178621096202612E-4</v>
      </c>
      <c r="G305" s="46">
        <f>SUMPRODUCT(G294:G304,$R$294:$R$304)</f>
        <v>1.239599892251775E-4</v>
      </c>
      <c r="H305" s="46">
        <f t="shared" si="74"/>
        <v>9.5793547852862247E-5</v>
      </c>
      <c r="I305" s="46">
        <f t="shared" si="74"/>
        <v>1.6297675548038341E-6</v>
      </c>
      <c r="J305" s="46">
        <f t="shared" si="74"/>
        <v>0</v>
      </c>
      <c r="K305" s="46">
        <f t="shared" si="74"/>
        <v>1.8451986870972552E-5</v>
      </c>
      <c r="L305" s="46">
        <f t="shared" si="74"/>
        <v>4.0111470411314718E-7</v>
      </c>
      <c r="M305" s="46">
        <f t="shared" si="74"/>
        <v>3.4722877657228913E-5</v>
      </c>
      <c r="N305" s="46">
        <f t="shared" si="74"/>
        <v>2.6760434248765315E-5</v>
      </c>
      <c r="O305" s="46">
        <f t="shared" si="74"/>
        <v>4.5372967274348979E-7</v>
      </c>
      <c r="P305" s="30">
        <f>SUMPRODUCT(P294:P304,R294:R304)</f>
        <v>2.3396298684951701E-5</v>
      </c>
      <c r="Q305" s="46">
        <f>SUMPRODUCT(Q294:Q304,$R$294:$R$304)</f>
        <v>3.6216464490407502E-5</v>
      </c>
      <c r="R305" s="198"/>
    </row>
    <row r="306" spans="1:18" x14ac:dyDescent="0.35">
      <c r="A306" s="199" t="s">
        <v>336</v>
      </c>
      <c r="B306" s="179" t="s">
        <v>218</v>
      </c>
      <c r="C306" s="179" t="s">
        <v>337</v>
      </c>
      <c r="D306" s="200" t="s">
        <v>25</v>
      </c>
      <c r="E306" s="200" t="s">
        <v>121</v>
      </c>
      <c r="F306" s="223">
        <f>SUM(G306:Q306)</f>
        <v>2.0655355021385218E-4</v>
      </c>
      <c r="G306" s="201">
        <v>8.0930691575108743E-5</v>
      </c>
      <c r="H306" s="202">
        <v>9.5000000000000005E-5</v>
      </c>
      <c r="I306" s="203"/>
      <c r="J306" s="204"/>
      <c r="K306" s="205">
        <v>1.8076858638743458E-5</v>
      </c>
      <c r="L306" s="205"/>
      <c r="M306" s="205">
        <v>0</v>
      </c>
      <c r="N306" s="205">
        <v>1.2546000000000003E-5</v>
      </c>
      <c r="O306" s="205"/>
      <c r="P306" s="14"/>
      <c r="Q306" s="204"/>
      <c r="R306" s="208">
        <f>'Parameters, country spec'!AA19</f>
        <v>0</v>
      </c>
    </row>
    <row r="307" spans="1:18" x14ac:dyDescent="0.35">
      <c r="A307" s="22" t="s">
        <v>338</v>
      </c>
      <c r="B307" s="17" t="s">
        <v>222</v>
      </c>
      <c r="C307" s="17" t="s">
        <v>337</v>
      </c>
      <c r="D307" s="23" t="s">
        <v>25</v>
      </c>
      <c r="E307" s="23" t="s">
        <v>121</v>
      </c>
      <c r="F307" s="221">
        <f t="shared" ref="F307:F316" si="75">SUM(G307:Q307)</f>
        <v>1.9871902439798405E-4</v>
      </c>
      <c r="G307" s="100">
        <v>7.8815626877616721E-5</v>
      </c>
      <c r="H307" s="101">
        <v>9.5000000000000005E-5</v>
      </c>
      <c r="I307" s="16"/>
      <c r="J307" s="14"/>
      <c r="K307" s="102">
        <v>1.2357397520367332E-5</v>
      </c>
      <c r="L307" s="102"/>
      <c r="M307" s="102">
        <v>0</v>
      </c>
      <c r="N307" s="102">
        <v>1.2546000000000003E-5</v>
      </c>
      <c r="O307" s="102"/>
      <c r="P307" s="14"/>
      <c r="Q307" s="14"/>
      <c r="R307" s="197">
        <f>'Parameters, country spec'!AA20</f>
        <v>2.9000000000000001E-2</v>
      </c>
    </row>
    <row r="308" spans="1:18" x14ac:dyDescent="0.35">
      <c r="A308" s="22" t="s">
        <v>339</v>
      </c>
      <c r="B308" s="17" t="s">
        <v>226</v>
      </c>
      <c r="C308" s="17" t="s">
        <v>337</v>
      </c>
      <c r="D308" s="23" t="s">
        <v>25</v>
      </c>
      <c r="E308" s="23" t="s">
        <v>121</v>
      </c>
      <c r="F308" s="221">
        <f t="shared" si="75"/>
        <v>1.9956753055993292E-4</v>
      </c>
      <c r="G308" s="100">
        <v>7.134532609711123E-5</v>
      </c>
      <c r="H308" s="101">
        <v>9.5000000000000005E-5</v>
      </c>
      <c r="I308" s="16"/>
      <c r="J308" s="14"/>
      <c r="K308" s="102">
        <v>2.0676204462821701E-5</v>
      </c>
      <c r="L308" s="102"/>
      <c r="M308" s="102">
        <v>0</v>
      </c>
      <c r="N308" s="102">
        <v>1.2546000000000003E-5</v>
      </c>
      <c r="O308" s="102"/>
      <c r="P308" s="14"/>
      <c r="Q308" s="14"/>
      <c r="R308" s="197">
        <f>'Parameters, country spec'!AA21</f>
        <v>4.9000000000000002E-2</v>
      </c>
    </row>
    <row r="309" spans="1:18" x14ac:dyDescent="0.35">
      <c r="A309" s="22" t="s">
        <v>340</v>
      </c>
      <c r="B309" s="17" t="s">
        <v>227</v>
      </c>
      <c r="C309" s="17" t="s">
        <v>337</v>
      </c>
      <c r="D309" s="23" t="s">
        <v>25</v>
      </c>
      <c r="E309" s="23" t="s">
        <v>121</v>
      </c>
      <c r="F309" s="221">
        <f t="shared" si="75"/>
        <v>1.840193507270561E-4</v>
      </c>
      <c r="G309" s="100">
        <v>6.2842418816841267E-5</v>
      </c>
      <c r="H309" s="101">
        <v>9.5000000000000005E-5</v>
      </c>
      <c r="I309" s="14"/>
      <c r="J309" s="14"/>
      <c r="K309" s="102">
        <v>1.3630931910214812E-5</v>
      </c>
      <c r="L309" s="102"/>
      <c r="M309" s="102">
        <v>0</v>
      </c>
      <c r="N309" s="102">
        <v>1.2546000000000003E-5</v>
      </c>
      <c r="O309" s="102"/>
      <c r="P309" s="14"/>
      <c r="Q309" s="14"/>
      <c r="R309" s="197">
        <f>'Parameters, country spec'!AA22</f>
        <v>0</v>
      </c>
    </row>
    <row r="310" spans="1:18" x14ac:dyDescent="0.35">
      <c r="A310" s="22" t="s">
        <v>341</v>
      </c>
      <c r="B310" s="17" t="s">
        <v>228</v>
      </c>
      <c r="C310" s="17" t="s">
        <v>337</v>
      </c>
      <c r="D310" s="23" t="s">
        <v>25</v>
      </c>
      <c r="E310" s="23" t="s">
        <v>121</v>
      </c>
      <c r="F310" s="221">
        <f t="shared" si="75"/>
        <v>2.1322851393583626E-4</v>
      </c>
      <c r="G310" s="100">
        <v>9.2769916609057948E-5</v>
      </c>
      <c r="H310" s="101">
        <v>9.5000000000000005E-5</v>
      </c>
      <c r="I310" s="14"/>
      <c r="J310" s="14"/>
      <c r="K310" s="102">
        <v>1.291259732677831E-5</v>
      </c>
      <c r="L310" s="102"/>
      <c r="M310" s="102">
        <v>0</v>
      </c>
      <c r="N310" s="102">
        <v>1.2546000000000003E-5</v>
      </c>
      <c r="O310" s="102"/>
      <c r="P310" s="14"/>
      <c r="Q310" s="14"/>
      <c r="R310" s="197">
        <f>'Parameters, country spec'!AA23</f>
        <v>0.59099999999999997</v>
      </c>
    </row>
    <row r="311" spans="1:18" x14ac:dyDescent="0.35">
      <c r="A311" s="22" t="s">
        <v>342</v>
      </c>
      <c r="B311" s="17" t="s">
        <v>229</v>
      </c>
      <c r="C311" s="17" t="s">
        <v>343</v>
      </c>
      <c r="D311" s="23" t="s">
        <v>25</v>
      </c>
      <c r="E311" s="23" t="s">
        <v>121</v>
      </c>
      <c r="F311" s="221">
        <f t="shared" si="75"/>
        <v>1.3280125199673234E-4</v>
      </c>
      <c r="G311" s="100">
        <v>0</v>
      </c>
      <c r="H311" s="101">
        <v>9.5000000000000005E-5</v>
      </c>
      <c r="I311" s="16"/>
      <c r="J311" s="14"/>
      <c r="K311" s="102">
        <v>2.5255251996732317E-5</v>
      </c>
      <c r="L311" s="102"/>
      <c r="M311" s="102">
        <v>0</v>
      </c>
      <c r="N311" s="102">
        <v>1.2546000000000003E-5</v>
      </c>
      <c r="O311" s="102"/>
      <c r="P311" s="14"/>
      <c r="Q311" s="14"/>
      <c r="R311" s="197">
        <f>'Parameters, country spec'!AA24</f>
        <v>0</v>
      </c>
    </row>
    <row r="312" spans="1:18" x14ac:dyDescent="0.35">
      <c r="A312" s="22" t="s">
        <v>344</v>
      </c>
      <c r="B312" s="17" t="s">
        <v>230</v>
      </c>
      <c r="C312" s="17" t="s">
        <v>343</v>
      </c>
      <c r="D312" s="23" t="s">
        <v>25</v>
      </c>
      <c r="E312" s="23" t="s">
        <v>121</v>
      </c>
      <c r="F312" s="221">
        <f t="shared" si="75"/>
        <v>1.4931770127423491E-4</v>
      </c>
      <c r="G312" s="100">
        <v>3.9865279409015522E-6</v>
      </c>
      <c r="H312" s="101">
        <v>9.5000000000000005E-5</v>
      </c>
      <c r="I312" s="16"/>
      <c r="J312" s="14"/>
      <c r="K312" s="102">
        <v>3.7785173333333341E-5</v>
      </c>
      <c r="L312" s="102"/>
      <c r="M312" s="102">
        <v>0</v>
      </c>
      <c r="N312" s="102">
        <v>1.2546000000000003E-5</v>
      </c>
      <c r="O312" s="102"/>
      <c r="P312" s="14"/>
      <c r="Q312" s="14"/>
      <c r="R312" s="197">
        <f>'Parameters, country spec'!AA25</f>
        <v>0</v>
      </c>
    </row>
    <row r="313" spans="1:18" x14ac:dyDescent="0.35">
      <c r="B313" s="18" t="s">
        <v>231</v>
      </c>
      <c r="C313" s="17" t="s">
        <v>345</v>
      </c>
      <c r="D313" s="23" t="s">
        <v>352</v>
      </c>
      <c r="E313" s="23" t="s">
        <v>82</v>
      </c>
      <c r="F313" s="222">
        <v>6.0478733190314773E-4</v>
      </c>
      <c r="G313" s="33">
        <v>2.320636514451769E-4</v>
      </c>
      <c r="H313" s="33">
        <v>2.181240865869439E-4</v>
      </c>
      <c r="I313" s="33">
        <v>4.5862068965517253E-5</v>
      </c>
      <c r="J313" s="33">
        <v>0</v>
      </c>
      <c r="K313" s="33">
        <v>1.0233900653016278E-5</v>
      </c>
      <c r="L313" s="33">
        <v>1.1287468675454409E-5</v>
      </c>
      <c r="M313" s="33">
        <v>2.4227610206896555E-7</v>
      </c>
      <c r="N313" s="33">
        <v>7.4566292815222108E-6</v>
      </c>
      <c r="O313" s="33">
        <v>2.2490164981320892E-5</v>
      </c>
      <c r="P313" s="20">
        <v>5.7027085212127035E-5</v>
      </c>
      <c r="Q313" s="33">
        <v>0</v>
      </c>
      <c r="R313" s="197">
        <f>'Parameters, country spec'!AA26</f>
        <v>6.8000000000000005E-2</v>
      </c>
    </row>
    <row r="314" spans="1:18" x14ac:dyDescent="0.35">
      <c r="B314" s="18" t="s">
        <v>346</v>
      </c>
      <c r="C314" s="17" t="s">
        <v>345</v>
      </c>
      <c r="D314" s="23" t="str">
        <f>'Off-farm feed'!$D$24</f>
        <v>Brazil, Argentina</v>
      </c>
      <c r="E314" s="23"/>
      <c r="F314" s="222">
        <f>'Off-farm feed'!$E$24</f>
        <v>4.7266553697523981E-4</v>
      </c>
      <c r="G314" s="222">
        <f>'Off-farm feed'!$F$24</f>
        <v>1.5603516238625262E-5</v>
      </c>
      <c r="H314" s="222">
        <f>'Off-farm feed'!$G$24</f>
        <v>7.5304878048780503E-5</v>
      </c>
      <c r="I314" s="222">
        <f>'Off-farm feed'!$H$24</f>
        <v>0</v>
      </c>
      <c r="J314" s="222">
        <f>'Off-farm feed'!$I$24</f>
        <v>0</v>
      </c>
      <c r="K314" s="222">
        <f>'Off-farm feed'!$J$24</f>
        <v>1.908459074435586E-5</v>
      </c>
      <c r="L314" s="222">
        <f>'Off-farm feed'!$K$24</f>
        <v>0</v>
      </c>
      <c r="M314" s="222">
        <f>'Off-farm feed'!$L$24</f>
        <v>5.9672097439024396E-7</v>
      </c>
      <c r="N314" s="222">
        <f>'Off-farm feed'!$M$24</f>
        <v>2.3084271612619523E-5</v>
      </c>
      <c r="O314" s="222">
        <f>'Off-farm feed'!$N$24</f>
        <v>0</v>
      </c>
      <c r="P314" s="222">
        <f>'Off-farm feed'!$O$24</f>
        <v>1.2899155935646844E-4</v>
      </c>
      <c r="Q314" s="222">
        <f>'Off-farm feed'!$P$24</f>
        <v>2.1000000000000001E-4</v>
      </c>
      <c r="R314" s="197">
        <f>'Parameters, country spec'!AA27</f>
        <v>0.186</v>
      </c>
    </row>
    <row r="315" spans="1:18" x14ac:dyDescent="0.35">
      <c r="B315" s="17" t="s">
        <v>233</v>
      </c>
      <c r="C315" s="17" t="s">
        <v>347</v>
      </c>
      <c r="D315" s="23" t="s">
        <v>25</v>
      </c>
      <c r="E315" s="23" t="s">
        <v>121</v>
      </c>
      <c r="F315" s="222"/>
      <c r="G315" s="14"/>
      <c r="H315" s="14"/>
      <c r="I315" s="14"/>
      <c r="J315" s="14"/>
      <c r="K315" s="14"/>
      <c r="L315" s="14"/>
      <c r="M315" s="14"/>
      <c r="N315" s="14"/>
      <c r="O315" s="14"/>
      <c r="P315" s="8"/>
      <c r="Q315" s="14"/>
      <c r="R315" s="197">
        <f>'Parameters, country spec'!AA28</f>
        <v>0</v>
      </c>
    </row>
    <row r="316" spans="1:18" x14ac:dyDescent="0.35">
      <c r="A316" s="83"/>
      <c r="B316" s="17" t="s">
        <v>348</v>
      </c>
      <c r="C316" s="84" t="s">
        <v>349</v>
      </c>
      <c r="D316" s="23" t="s">
        <v>25</v>
      </c>
      <c r="E316" s="23" t="s">
        <v>121</v>
      </c>
      <c r="F316" s="222">
        <f t="shared" si="75"/>
        <v>2.3813048490861126E-4</v>
      </c>
      <c r="G316" s="82">
        <f t="shared" ref="G316:N316" si="76">AVERAGE(G306:G314)</f>
        <v>7.0928630622271073E-5</v>
      </c>
      <c r="H316" s="82">
        <f t="shared" si="76"/>
        <v>1.0649210718174717E-4</v>
      </c>
      <c r="I316" s="82">
        <f t="shared" si="76"/>
        <v>2.2931034482758626E-5</v>
      </c>
      <c r="J316" s="82">
        <f t="shared" si="76"/>
        <v>0</v>
      </c>
      <c r="K316" s="82">
        <f t="shared" si="76"/>
        <v>1.8890322954040379E-5</v>
      </c>
      <c r="L316" s="82">
        <f t="shared" si="76"/>
        <v>5.6437343377272043E-6</v>
      </c>
      <c r="M316" s="82">
        <f t="shared" si="76"/>
        <v>9.3221897384356615E-8</v>
      </c>
      <c r="N316" s="82">
        <f t="shared" si="76"/>
        <v>1.3151433432682416E-5</v>
      </c>
      <c r="O316" s="82"/>
      <c r="P316" s="81"/>
      <c r="Q316" s="82"/>
      <c r="R316" s="197">
        <f>'Parameters, country spec'!AA29</f>
        <v>7.7000000000000179E-2</v>
      </c>
    </row>
    <row r="317" spans="1:18" x14ac:dyDescent="0.35">
      <c r="A317" s="195"/>
      <c r="B317" s="25" t="s">
        <v>350</v>
      </c>
      <c r="C317" s="26"/>
      <c r="D317" s="103"/>
      <c r="E317" s="103"/>
      <c r="F317" s="30">
        <f>SUMPRODUCT(F306:F316,$R$306:$R$316)</f>
        <v>2.8893708822582922E-4</v>
      </c>
      <c r="G317" s="30">
        <f>SUMPRODUCT(G306:G316,$R$306:$R$316)</f>
        <v>8.4752681750733792E-5</v>
      </c>
      <c r="H317" s="30">
        <f t="shared" ref="H317:O317" si="77">SUMPRODUCT(H306:H316,$R$306:$R$316)</f>
        <v>1.0059403745797991E-4</v>
      </c>
      <c r="I317" s="30">
        <f t="shared" si="77"/>
        <v>4.8843103448275912E-6</v>
      </c>
      <c r="J317" s="30">
        <f t="shared" si="77"/>
        <v>0</v>
      </c>
      <c r="K317" s="30">
        <f t="shared" si="77"/>
        <v>1.4703037557211308E-5</v>
      </c>
      <c r="L317" s="30">
        <f t="shared" si="77"/>
        <v>1.2021154139358956E-6</v>
      </c>
      <c r="M317" s="30">
        <f t="shared" si="77"/>
        <v>1.3464296227587052E-7</v>
      </c>
      <c r="N317" s="30">
        <f t="shared" si="77"/>
        <v>1.4206659685407291E-5</v>
      </c>
      <c r="O317" s="30">
        <f t="shared" si="77"/>
        <v>1.5293312187298208E-6</v>
      </c>
      <c r="P317" s="30">
        <f>SUMPRODUCT(P306:P316,R306:R316)</f>
        <v>2.7870271834727768E-5</v>
      </c>
      <c r="Q317" s="30">
        <f>SUMPRODUCT(Q306:Q316,$R$306:$R$316)</f>
        <v>3.9060000000000002E-5</v>
      </c>
      <c r="R317" s="198"/>
    </row>
    <row r="318" spans="1:18" x14ac:dyDescent="0.35">
      <c r="A318" s="22" t="s">
        <v>336</v>
      </c>
      <c r="B318" s="17" t="s">
        <v>218</v>
      </c>
      <c r="C318" s="17" t="s">
        <v>337</v>
      </c>
      <c r="D318" s="23" t="s">
        <v>21</v>
      </c>
      <c r="E318" s="23" t="s">
        <v>122</v>
      </c>
      <c r="F318" s="223">
        <f>SUM(G318:Q318)</f>
        <v>2.0655355021385218E-4</v>
      </c>
      <c r="G318" s="201">
        <v>8.0930691575108743E-5</v>
      </c>
      <c r="H318" s="202">
        <v>9.5000000000000005E-5</v>
      </c>
      <c r="I318" s="203"/>
      <c r="J318" s="204"/>
      <c r="K318" s="205">
        <v>1.8076858638743458E-5</v>
      </c>
      <c r="L318" s="205"/>
      <c r="M318" s="205">
        <v>0</v>
      </c>
      <c r="N318" s="205">
        <v>1.2546000000000003E-5</v>
      </c>
      <c r="O318" s="205"/>
      <c r="P318" s="14"/>
      <c r="Q318" s="204"/>
      <c r="R318" s="208">
        <f>'Parameters, country spec'!AB19</f>
        <v>0.24290688316534448</v>
      </c>
    </row>
    <row r="319" spans="1:18" x14ac:dyDescent="0.35">
      <c r="A319" s="22" t="s">
        <v>338</v>
      </c>
      <c r="B319" s="17" t="s">
        <v>222</v>
      </c>
      <c r="C319" s="17" t="s">
        <v>337</v>
      </c>
      <c r="D319" s="23" t="s">
        <v>21</v>
      </c>
      <c r="E319" s="23" t="s">
        <v>122</v>
      </c>
      <c r="F319" s="221">
        <f t="shared" ref="F319:F328" si="78">SUM(G319:Q319)</f>
        <v>1.9871902439798405E-4</v>
      </c>
      <c r="G319" s="100">
        <v>7.8815626877616721E-5</v>
      </c>
      <c r="H319" s="101">
        <v>9.5000000000000005E-5</v>
      </c>
      <c r="I319" s="16"/>
      <c r="J319" s="14"/>
      <c r="K319" s="102">
        <v>1.2357397520367332E-5</v>
      </c>
      <c r="L319" s="102"/>
      <c r="M319" s="102">
        <v>0</v>
      </c>
      <c r="N319" s="102">
        <v>1.2546000000000003E-5</v>
      </c>
      <c r="O319" s="102"/>
      <c r="P319" s="14"/>
      <c r="Q319" s="14"/>
      <c r="R319" s="197">
        <f>'Parameters, country spec'!AB20</f>
        <v>1.1405036092928852E-2</v>
      </c>
    </row>
    <row r="320" spans="1:18" x14ac:dyDescent="0.35">
      <c r="A320" s="22" t="s">
        <v>339</v>
      </c>
      <c r="B320" s="17" t="s">
        <v>226</v>
      </c>
      <c r="C320" s="17" t="s">
        <v>337</v>
      </c>
      <c r="D320" s="23" t="s">
        <v>21</v>
      </c>
      <c r="E320" s="23" t="s">
        <v>122</v>
      </c>
      <c r="F320" s="221">
        <f t="shared" si="78"/>
        <v>1.9956753055993292E-4</v>
      </c>
      <c r="G320" s="100">
        <v>7.134532609711123E-5</v>
      </c>
      <c r="H320" s="101">
        <v>9.5000000000000005E-5</v>
      </c>
      <c r="I320" s="16"/>
      <c r="J320" s="14"/>
      <c r="K320" s="102">
        <v>2.0676204462821701E-5</v>
      </c>
      <c r="L320" s="102"/>
      <c r="M320" s="102">
        <v>0</v>
      </c>
      <c r="N320" s="102">
        <v>1.2546000000000003E-5</v>
      </c>
      <c r="O320" s="102"/>
      <c r="P320" s="14"/>
      <c r="Q320" s="14"/>
      <c r="R320" s="197">
        <f>'Parameters, country spec'!AB21</f>
        <v>2.6784717007595302E-2</v>
      </c>
    </row>
    <row r="321" spans="1:18" x14ac:dyDescent="0.35">
      <c r="A321" s="22" t="s">
        <v>340</v>
      </c>
      <c r="B321" s="17" t="s">
        <v>227</v>
      </c>
      <c r="C321" s="17" t="s">
        <v>337</v>
      </c>
      <c r="D321" s="23" t="s">
        <v>21</v>
      </c>
      <c r="E321" s="23" t="s">
        <v>122</v>
      </c>
      <c r="F321" s="221">
        <f t="shared" si="78"/>
        <v>1.840193507270561E-4</v>
      </c>
      <c r="G321" s="100">
        <v>6.2842418816841267E-5</v>
      </c>
      <c r="H321" s="101">
        <v>9.5000000000000005E-5</v>
      </c>
      <c r="I321" s="14"/>
      <c r="J321" s="14"/>
      <c r="K321" s="102">
        <v>1.3630931910214812E-5</v>
      </c>
      <c r="L321" s="102"/>
      <c r="M321" s="102">
        <v>0</v>
      </c>
      <c r="N321" s="102">
        <v>1.2546000000000003E-5</v>
      </c>
      <c r="O321" s="102"/>
      <c r="P321" s="14"/>
      <c r="Q321" s="14"/>
      <c r="R321" s="197">
        <f>'Parameters, country spec'!AB22</f>
        <v>1.2703483591450424E-3</v>
      </c>
    </row>
    <row r="322" spans="1:18" x14ac:dyDescent="0.35">
      <c r="A322" s="22" t="s">
        <v>341</v>
      </c>
      <c r="B322" s="17" t="s">
        <v>228</v>
      </c>
      <c r="C322" s="17" t="s">
        <v>337</v>
      </c>
      <c r="D322" s="23" t="s">
        <v>21</v>
      </c>
      <c r="E322" s="23" t="s">
        <v>122</v>
      </c>
      <c r="F322" s="221">
        <f t="shared" si="78"/>
        <v>2.1322851393583626E-4</v>
      </c>
      <c r="G322" s="100">
        <v>9.2769916609057948E-5</v>
      </c>
      <c r="H322" s="101">
        <v>9.5000000000000005E-5</v>
      </c>
      <c r="I322" s="14"/>
      <c r="J322" s="14"/>
      <c r="K322" s="102">
        <v>1.291259732677831E-5</v>
      </c>
      <c r="L322" s="102"/>
      <c r="M322" s="102">
        <v>0</v>
      </c>
      <c r="N322" s="102">
        <v>1.2546000000000003E-5</v>
      </c>
      <c r="O322" s="102"/>
      <c r="P322" s="14"/>
      <c r="Q322" s="14"/>
      <c r="R322" s="197">
        <f>'Parameters, country spec'!AB23</f>
        <v>0.36306225085662319</v>
      </c>
    </row>
    <row r="323" spans="1:18" x14ac:dyDescent="0.35">
      <c r="A323" s="22" t="s">
        <v>342</v>
      </c>
      <c r="B323" s="17" t="s">
        <v>229</v>
      </c>
      <c r="C323" s="17" t="s">
        <v>343</v>
      </c>
      <c r="D323" s="23" t="s">
        <v>21</v>
      </c>
      <c r="E323" s="23" t="s">
        <v>122</v>
      </c>
      <c r="F323" s="221">
        <f t="shared" si="78"/>
        <v>1.3280125199673234E-4</v>
      </c>
      <c r="G323" s="100">
        <v>0</v>
      </c>
      <c r="H323" s="101">
        <v>9.5000000000000005E-5</v>
      </c>
      <c r="I323" s="16"/>
      <c r="J323" s="14"/>
      <c r="K323" s="102">
        <v>2.5255251996732317E-5</v>
      </c>
      <c r="L323" s="102"/>
      <c r="M323" s="102">
        <v>0</v>
      </c>
      <c r="N323" s="102">
        <v>1.2546000000000003E-5</v>
      </c>
      <c r="O323" s="102"/>
      <c r="P323" s="14"/>
      <c r="Q323" s="14"/>
      <c r="R323" s="197">
        <f>'Parameters, country spec'!AB24</f>
        <v>6.0909129056991628E-3</v>
      </c>
    </row>
    <row r="324" spans="1:18" x14ac:dyDescent="0.35">
      <c r="A324" s="22" t="s">
        <v>344</v>
      </c>
      <c r="B324" s="17" t="s">
        <v>230</v>
      </c>
      <c r="C324" s="17" t="s">
        <v>343</v>
      </c>
      <c r="D324" s="23" t="s">
        <v>21</v>
      </c>
      <c r="E324" s="23" t="s">
        <v>122</v>
      </c>
      <c r="F324" s="221">
        <f t="shared" si="78"/>
        <v>1.4931770127423491E-4</v>
      </c>
      <c r="G324" s="100">
        <v>3.9865279409015522E-6</v>
      </c>
      <c r="H324" s="101">
        <v>9.5000000000000005E-5</v>
      </c>
      <c r="I324" s="16"/>
      <c r="J324" s="14"/>
      <c r="K324" s="102">
        <v>3.7785173333333341E-5</v>
      </c>
      <c r="L324" s="102"/>
      <c r="M324" s="102">
        <v>0</v>
      </c>
      <c r="N324" s="102">
        <v>1.2546000000000003E-5</v>
      </c>
      <c r="O324" s="102"/>
      <c r="P324" s="14"/>
      <c r="Q324" s="14"/>
      <c r="R324" s="197">
        <f>'Parameters, country spec'!AB25</f>
        <v>5.9832836689627722E-3</v>
      </c>
    </row>
    <row r="325" spans="1:18" x14ac:dyDescent="0.35">
      <c r="B325" s="18" t="s">
        <v>231</v>
      </c>
      <c r="C325" s="17" t="s">
        <v>345</v>
      </c>
      <c r="D325" s="23" t="s">
        <v>352</v>
      </c>
      <c r="E325" s="23" t="s">
        <v>82</v>
      </c>
      <c r="F325" s="222">
        <v>6.0478733190314773E-4</v>
      </c>
      <c r="G325" s="33">
        <v>2.320636514451769E-4</v>
      </c>
      <c r="H325" s="33">
        <v>2.181240865869439E-4</v>
      </c>
      <c r="I325" s="33">
        <v>4.5862068965517253E-5</v>
      </c>
      <c r="J325" s="33">
        <v>0</v>
      </c>
      <c r="K325" s="33">
        <v>1.0233900653016278E-5</v>
      </c>
      <c r="L325" s="33">
        <v>1.1287468675454409E-5</v>
      </c>
      <c r="M325" s="33">
        <v>2.4227610206896555E-7</v>
      </c>
      <c r="N325" s="33">
        <v>7.4566292815222108E-6</v>
      </c>
      <c r="O325" s="33">
        <v>2.2490164981320892E-5</v>
      </c>
      <c r="P325" s="20">
        <v>5.7027085212127035E-5</v>
      </c>
      <c r="Q325" s="33">
        <v>0</v>
      </c>
      <c r="R325" s="197">
        <f>'Parameters, country spec'!AB26</f>
        <v>9.4633897453147445E-2</v>
      </c>
    </row>
    <row r="326" spans="1:18" x14ac:dyDescent="0.35">
      <c r="B326" s="18" t="s">
        <v>346</v>
      </c>
      <c r="C326" s="17" t="s">
        <v>345</v>
      </c>
      <c r="D326" s="23" t="str">
        <f>'Off-farm feed'!$D$24</f>
        <v>Brazil, Argentina</v>
      </c>
      <c r="E326" s="23"/>
      <c r="F326" s="222">
        <f>'Off-farm feed'!$E$24</f>
        <v>4.7266553697523981E-4</v>
      </c>
      <c r="G326" s="222">
        <f>'Off-farm feed'!$F$24</f>
        <v>1.5603516238625262E-5</v>
      </c>
      <c r="H326" s="222">
        <f>'Off-farm feed'!$G$24</f>
        <v>7.5304878048780503E-5</v>
      </c>
      <c r="I326" s="222">
        <f>'Off-farm feed'!$H$24</f>
        <v>0</v>
      </c>
      <c r="J326" s="222">
        <f>'Off-farm feed'!$I$24</f>
        <v>0</v>
      </c>
      <c r="K326" s="222">
        <f>'Off-farm feed'!$J$24</f>
        <v>1.908459074435586E-5</v>
      </c>
      <c r="L326" s="222">
        <f>'Off-farm feed'!$K$24</f>
        <v>0</v>
      </c>
      <c r="M326" s="222">
        <f>'Off-farm feed'!$L$24</f>
        <v>5.9672097439024396E-7</v>
      </c>
      <c r="N326" s="222">
        <f>'Off-farm feed'!$M$24</f>
        <v>2.3084271612619523E-5</v>
      </c>
      <c r="O326" s="222">
        <f>'Off-farm feed'!$N$24</f>
        <v>0</v>
      </c>
      <c r="P326" s="222">
        <f>'Off-farm feed'!$O$24</f>
        <v>1.2899155935646844E-4</v>
      </c>
      <c r="Q326" s="222">
        <f>'Off-farm feed'!$P$24</f>
        <v>2.1000000000000001E-4</v>
      </c>
      <c r="R326" s="197">
        <f>'Parameters, country spec'!AB27</f>
        <v>0.1863493678947572</v>
      </c>
    </row>
    <row r="327" spans="1:18" x14ac:dyDescent="0.35">
      <c r="B327" s="17" t="s">
        <v>233</v>
      </c>
      <c r="C327" s="17" t="s">
        <v>347</v>
      </c>
      <c r="D327" s="23" t="s">
        <v>21</v>
      </c>
      <c r="E327" s="23" t="s">
        <v>122</v>
      </c>
      <c r="F327" s="222"/>
      <c r="G327" s="14"/>
      <c r="H327" s="14"/>
      <c r="I327" s="14"/>
      <c r="J327" s="14"/>
      <c r="K327" s="14"/>
      <c r="L327" s="14"/>
      <c r="M327" s="14"/>
      <c r="N327" s="14"/>
      <c r="O327" s="14"/>
      <c r="P327" s="8"/>
      <c r="Q327" s="14"/>
      <c r="R327" s="197">
        <f>'Parameters, country spec'!AB28</f>
        <v>1.2143080899157416E-2</v>
      </c>
    </row>
    <row r="328" spans="1:18" x14ac:dyDescent="0.35">
      <c r="A328" s="83"/>
      <c r="B328" s="17" t="s">
        <v>348</v>
      </c>
      <c r="C328" s="84" t="s">
        <v>349</v>
      </c>
      <c r="D328" s="23" t="s">
        <v>21</v>
      </c>
      <c r="E328" s="23" t="s">
        <v>122</v>
      </c>
      <c r="F328" s="222">
        <f t="shared" si="78"/>
        <v>2.3813048490861126E-4</v>
      </c>
      <c r="G328" s="82">
        <f t="shared" ref="G328:N328" si="79">AVERAGE(G318:G326)</f>
        <v>7.0928630622271073E-5</v>
      </c>
      <c r="H328" s="82">
        <f t="shared" si="79"/>
        <v>1.0649210718174717E-4</v>
      </c>
      <c r="I328" s="82">
        <f t="shared" si="79"/>
        <v>2.2931034482758626E-5</v>
      </c>
      <c r="J328" s="82">
        <f t="shared" si="79"/>
        <v>0</v>
      </c>
      <c r="K328" s="82">
        <f t="shared" si="79"/>
        <v>1.8890322954040379E-5</v>
      </c>
      <c r="L328" s="82">
        <f t="shared" si="79"/>
        <v>5.6437343377272043E-6</v>
      </c>
      <c r="M328" s="82">
        <f t="shared" si="79"/>
        <v>9.3221897384356615E-8</v>
      </c>
      <c r="N328" s="82">
        <f t="shared" si="79"/>
        <v>1.3151433432682416E-5</v>
      </c>
      <c r="O328" s="82"/>
      <c r="P328" s="81"/>
      <c r="Q328" s="82"/>
      <c r="R328" s="197">
        <f>'Parameters, country spec'!AB29</f>
        <v>4.9370221696639315E-2</v>
      </c>
    </row>
    <row r="329" spans="1:18" x14ac:dyDescent="0.35">
      <c r="A329" s="195"/>
      <c r="B329" s="25" t="s">
        <v>350</v>
      </c>
      <c r="C329" s="26"/>
      <c r="D329" s="103"/>
      <c r="E329" s="103"/>
      <c r="F329" s="30">
        <f>SUMPRODUCT(F318:F328,$R$318:$R$328)</f>
        <v>2.9420718170647549E-4</v>
      </c>
      <c r="G329" s="30">
        <f>SUMPRODUCT(G318:G328,$R$318:$R$328)</f>
        <v>8.4623975908426166E-5</v>
      </c>
      <c r="H329" s="30">
        <f t="shared" ref="H329:O329" si="80">SUMPRODUCT(H318:H328,$R$318:$R$328)</f>
        <v>1.0239531385176584E-4</v>
      </c>
      <c r="I329" s="30">
        <f>SUMPRODUCT(I318:I328,$R$318:$R$328)</f>
        <v>5.47221658761901E-6</v>
      </c>
      <c r="J329" s="30">
        <f t="shared" si="80"/>
        <v>0</v>
      </c>
      <c r="K329" s="30">
        <f t="shared" si="80"/>
        <v>1.5628530630975151E-5</v>
      </c>
      <c r="L329" s="30">
        <f t="shared" si="80"/>
        <v>1.3468095685890944E-6</v>
      </c>
      <c r="M329" s="30">
        <f t="shared" si="80"/>
        <v>1.3872849392655538E-7</v>
      </c>
      <c r="N329" s="30">
        <f t="shared" si="80"/>
        <v>1.3905716556874698E-5</v>
      </c>
      <c r="O329" s="30">
        <f t="shared" si="80"/>
        <v>2.1283319665466892E-6</v>
      </c>
      <c r="P329" s="30">
        <f>SUMPRODUCT(P318:P328,R318:R328)</f>
        <v>2.9434190883853279E-5</v>
      </c>
      <c r="Q329" s="30">
        <f>SUMPRODUCT(Q318:Q328,$R$318:$R$328)</f>
        <v>3.9133367257899012E-5</v>
      </c>
      <c r="R329" s="196"/>
    </row>
    <row r="330" spans="1:18" x14ac:dyDescent="0.35">
      <c r="A330" s="22" t="s">
        <v>336</v>
      </c>
      <c r="B330" s="17" t="s">
        <v>218</v>
      </c>
      <c r="C330" s="17" t="s">
        <v>337</v>
      </c>
      <c r="D330" s="23" t="s">
        <v>123</v>
      </c>
      <c r="E330" s="23" t="s">
        <v>124</v>
      </c>
      <c r="F330" s="223">
        <f>SUM(G330:Q330)</f>
        <v>2.0655355021385218E-4</v>
      </c>
      <c r="G330" s="201">
        <v>8.0930691575108743E-5</v>
      </c>
      <c r="H330" s="202">
        <v>9.5000000000000005E-5</v>
      </c>
      <c r="I330" s="203"/>
      <c r="J330" s="204"/>
      <c r="K330" s="205">
        <v>1.8076858638743458E-5</v>
      </c>
      <c r="L330" s="205"/>
      <c r="M330" s="205">
        <v>0</v>
      </c>
      <c r="N330" s="205">
        <v>1.2546000000000003E-5</v>
      </c>
      <c r="O330" s="205"/>
      <c r="P330" s="14"/>
      <c r="Q330" s="204"/>
      <c r="R330" s="197">
        <f>'Parameters, country spec'!AC19</f>
        <v>0.24290688316534448</v>
      </c>
    </row>
    <row r="331" spans="1:18" x14ac:dyDescent="0.35">
      <c r="A331" s="22" t="s">
        <v>338</v>
      </c>
      <c r="B331" s="17" t="s">
        <v>222</v>
      </c>
      <c r="C331" s="17" t="s">
        <v>337</v>
      </c>
      <c r="D331" s="23" t="s">
        <v>123</v>
      </c>
      <c r="E331" s="23" t="s">
        <v>124</v>
      </c>
      <c r="F331" s="221">
        <f t="shared" ref="F331:F336" si="81">SUM(G331:Q331)</f>
        <v>1.9871902439798405E-4</v>
      </c>
      <c r="G331" s="100">
        <v>7.8815626877616721E-5</v>
      </c>
      <c r="H331" s="101">
        <v>9.5000000000000005E-5</v>
      </c>
      <c r="I331" s="16"/>
      <c r="J331" s="14"/>
      <c r="K331" s="102">
        <v>1.2357397520367332E-5</v>
      </c>
      <c r="L331" s="102"/>
      <c r="M331" s="102">
        <v>0</v>
      </c>
      <c r="N331" s="102">
        <v>1.2546000000000003E-5</v>
      </c>
      <c r="O331" s="102"/>
      <c r="P331" s="14"/>
      <c r="Q331" s="14"/>
      <c r="R331" s="197">
        <f>'Parameters, country spec'!AC20</f>
        <v>1.1405036092928852E-2</v>
      </c>
    </row>
    <row r="332" spans="1:18" x14ac:dyDescent="0.35">
      <c r="A332" s="22" t="s">
        <v>339</v>
      </c>
      <c r="B332" s="17" t="s">
        <v>226</v>
      </c>
      <c r="C332" s="17" t="s">
        <v>337</v>
      </c>
      <c r="D332" s="23" t="s">
        <v>123</v>
      </c>
      <c r="E332" s="23" t="s">
        <v>124</v>
      </c>
      <c r="F332" s="221">
        <f t="shared" si="81"/>
        <v>1.9956753055993292E-4</v>
      </c>
      <c r="G332" s="100">
        <v>7.134532609711123E-5</v>
      </c>
      <c r="H332" s="101">
        <v>9.5000000000000005E-5</v>
      </c>
      <c r="I332" s="16"/>
      <c r="J332" s="14"/>
      <c r="K332" s="102">
        <v>2.0676204462821701E-5</v>
      </c>
      <c r="L332" s="102"/>
      <c r="M332" s="102">
        <v>0</v>
      </c>
      <c r="N332" s="102">
        <v>1.2546000000000003E-5</v>
      </c>
      <c r="O332" s="102"/>
      <c r="P332" s="14"/>
      <c r="Q332" s="14"/>
      <c r="R332" s="197">
        <f>'Parameters, country spec'!AC21</f>
        <v>2.6784717007595302E-2</v>
      </c>
    </row>
    <row r="333" spans="1:18" x14ac:dyDescent="0.35">
      <c r="A333" s="22" t="s">
        <v>340</v>
      </c>
      <c r="B333" s="17" t="s">
        <v>227</v>
      </c>
      <c r="C333" s="17" t="s">
        <v>337</v>
      </c>
      <c r="D333" s="23" t="s">
        <v>123</v>
      </c>
      <c r="E333" s="23" t="s">
        <v>124</v>
      </c>
      <c r="F333" s="221">
        <f t="shared" si="81"/>
        <v>1.840193507270561E-4</v>
      </c>
      <c r="G333" s="100">
        <v>6.2842418816841267E-5</v>
      </c>
      <c r="H333" s="101">
        <v>9.5000000000000005E-5</v>
      </c>
      <c r="I333" s="14"/>
      <c r="J333" s="14"/>
      <c r="K333" s="102">
        <v>1.3630931910214812E-5</v>
      </c>
      <c r="L333" s="102"/>
      <c r="M333" s="102">
        <v>0</v>
      </c>
      <c r="N333" s="102">
        <v>1.2546000000000003E-5</v>
      </c>
      <c r="O333" s="102"/>
      <c r="P333" s="14"/>
      <c r="Q333" s="14"/>
      <c r="R333" s="197">
        <f>'Parameters, country spec'!AC22</f>
        <v>1.2703483591450424E-3</v>
      </c>
    </row>
    <row r="334" spans="1:18" x14ac:dyDescent="0.35">
      <c r="A334" s="22" t="s">
        <v>341</v>
      </c>
      <c r="B334" s="17" t="s">
        <v>228</v>
      </c>
      <c r="C334" s="17" t="s">
        <v>337</v>
      </c>
      <c r="D334" s="23" t="s">
        <v>123</v>
      </c>
      <c r="E334" s="23" t="s">
        <v>124</v>
      </c>
      <c r="F334" s="221">
        <f t="shared" si="81"/>
        <v>2.1322851393583626E-4</v>
      </c>
      <c r="G334" s="100">
        <v>9.2769916609057948E-5</v>
      </c>
      <c r="H334" s="101">
        <v>9.5000000000000005E-5</v>
      </c>
      <c r="I334" s="14"/>
      <c r="J334" s="14"/>
      <c r="K334" s="102">
        <v>1.291259732677831E-5</v>
      </c>
      <c r="L334" s="102"/>
      <c r="M334" s="102">
        <v>0</v>
      </c>
      <c r="N334" s="102">
        <v>1.2546000000000003E-5</v>
      </c>
      <c r="O334" s="102"/>
      <c r="P334" s="14"/>
      <c r="Q334" s="14"/>
      <c r="R334" s="197">
        <f>'Parameters, country spec'!AC23</f>
        <v>0.36306225085662319</v>
      </c>
    </row>
    <row r="335" spans="1:18" x14ac:dyDescent="0.35">
      <c r="A335" s="22" t="s">
        <v>342</v>
      </c>
      <c r="B335" s="17" t="s">
        <v>229</v>
      </c>
      <c r="C335" s="17" t="s">
        <v>343</v>
      </c>
      <c r="D335" s="23" t="s">
        <v>123</v>
      </c>
      <c r="E335" s="23" t="s">
        <v>124</v>
      </c>
      <c r="F335" s="221">
        <f t="shared" si="81"/>
        <v>1.3280125199673234E-4</v>
      </c>
      <c r="G335" s="100">
        <v>0</v>
      </c>
      <c r="H335" s="101">
        <v>9.5000000000000005E-5</v>
      </c>
      <c r="I335" s="16"/>
      <c r="J335" s="14"/>
      <c r="K335" s="102">
        <v>2.5255251996732317E-5</v>
      </c>
      <c r="L335" s="102"/>
      <c r="M335" s="102">
        <v>0</v>
      </c>
      <c r="N335" s="102">
        <v>1.2546000000000003E-5</v>
      </c>
      <c r="O335" s="102"/>
      <c r="P335" s="14"/>
      <c r="Q335" s="14"/>
      <c r="R335" s="197">
        <f>'Parameters, country spec'!AC24</f>
        <v>6.0909129056991628E-3</v>
      </c>
    </row>
    <row r="336" spans="1:18" x14ac:dyDescent="0.35">
      <c r="A336" s="22" t="s">
        <v>344</v>
      </c>
      <c r="B336" s="17" t="s">
        <v>230</v>
      </c>
      <c r="C336" s="17" t="s">
        <v>343</v>
      </c>
      <c r="D336" s="23" t="s">
        <v>123</v>
      </c>
      <c r="E336" s="23" t="s">
        <v>124</v>
      </c>
      <c r="F336" s="221">
        <f t="shared" si="81"/>
        <v>1.4931770127423491E-4</v>
      </c>
      <c r="G336" s="100">
        <v>3.9865279409015522E-6</v>
      </c>
      <c r="H336" s="101">
        <v>9.5000000000000005E-5</v>
      </c>
      <c r="I336" s="16"/>
      <c r="J336" s="14"/>
      <c r="K336" s="102">
        <v>3.7785173333333341E-5</v>
      </c>
      <c r="L336" s="102"/>
      <c r="M336" s="102">
        <v>0</v>
      </c>
      <c r="N336" s="102">
        <v>1.2546000000000003E-5</v>
      </c>
      <c r="O336" s="102"/>
      <c r="P336" s="14"/>
      <c r="Q336" s="14"/>
      <c r="R336" s="197">
        <f>'Parameters, country spec'!AC25</f>
        <v>5.9832836689627722E-3</v>
      </c>
    </row>
    <row r="337" spans="1:18" x14ac:dyDescent="0.35">
      <c r="B337" s="18" t="s">
        <v>231</v>
      </c>
      <c r="C337" s="17" t="s">
        <v>345</v>
      </c>
      <c r="D337" s="23" t="s">
        <v>352</v>
      </c>
      <c r="E337" s="23" t="s">
        <v>82</v>
      </c>
      <c r="F337" s="222">
        <v>6.0478733190314773E-4</v>
      </c>
      <c r="G337" s="33">
        <v>2.320636514451769E-4</v>
      </c>
      <c r="H337" s="33">
        <v>2.181240865869439E-4</v>
      </c>
      <c r="I337" s="33">
        <v>4.5862068965517253E-5</v>
      </c>
      <c r="J337" s="33">
        <v>0</v>
      </c>
      <c r="K337" s="33">
        <v>1.0233900653016278E-5</v>
      </c>
      <c r="L337" s="33">
        <v>1.1287468675454409E-5</v>
      </c>
      <c r="M337" s="33">
        <v>2.4227610206896555E-7</v>
      </c>
      <c r="N337" s="33">
        <v>7.4566292815222108E-6</v>
      </c>
      <c r="O337" s="33">
        <v>2.2490164981320892E-5</v>
      </c>
      <c r="P337" s="20">
        <v>5.7027085212127035E-5</v>
      </c>
      <c r="Q337" s="33">
        <v>0</v>
      </c>
      <c r="R337" s="197">
        <f>'Parameters, country spec'!AC26</f>
        <v>9.4633897453147445E-2</v>
      </c>
    </row>
    <row r="338" spans="1:18" x14ac:dyDescent="0.35">
      <c r="B338" s="18" t="s">
        <v>346</v>
      </c>
      <c r="C338" s="17" t="s">
        <v>345</v>
      </c>
      <c r="D338" s="23" t="str">
        <f>'Off-farm feed'!$D$24</f>
        <v>Brazil, Argentina</v>
      </c>
      <c r="E338" s="23"/>
      <c r="F338" s="222">
        <f>'Off-farm feed'!$E$24</f>
        <v>4.7266553697523981E-4</v>
      </c>
      <c r="G338" s="222">
        <f>'Off-farm feed'!$F$24</f>
        <v>1.5603516238625262E-5</v>
      </c>
      <c r="H338" s="222">
        <f>'Off-farm feed'!$G$24</f>
        <v>7.5304878048780503E-5</v>
      </c>
      <c r="I338" s="222">
        <f>'Off-farm feed'!$H$24</f>
        <v>0</v>
      </c>
      <c r="J338" s="222">
        <f>'Off-farm feed'!$I$24</f>
        <v>0</v>
      </c>
      <c r="K338" s="222">
        <f>'Off-farm feed'!$J$24</f>
        <v>1.908459074435586E-5</v>
      </c>
      <c r="L338" s="222">
        <f>'Off-farm feed'!$K$24</f>
        <v>0</v>
      </c>
      <c r="M338" s="222">
        <f>'Off-farm feed'!$L$24</f>
        <v>5.9672097439024396E-7</v>
      </c>
      <c r="N338" s="222">
        <f>'Off-farm feed'!$M$24</f>
        <v>2.3084271612619523E-5</v>
      </c>
      <c r="O338" s="222">
        <f>'Off-farm feed'!$N$24</f>
        <v>0</v>
      </c>
      <c r="P338" s="222">
        <f>'Off-farm feed'!$O$24</f>
        <v>1.2899155935646844E-4</v>
      </c>
      <c r="Q338" s="222">
        <f>'Off-farm feed'!$P$24</f>
        <v>2.1000000000000001E-4</v>
      </c>
      <c r="R338" s="197">
        <f>'Parameters, country spec'!AC27</f>
        <v>0.1863493678947572</v>
      </c>
    </row>
    <row r="339" spans="1:18" x14ac:dyDescent="0.35">
      <c r="B339" s="17" t="s">
        <v>233</v>
      </c>
      <c r="C339" s="17" t="s">
        <v>347</v>
      </c>
      <c r="D339" s="23" t="s">
        <v>123</v>
      </c>
      <c r="E339" s="23" t="s">
        <v>124</v>
      </c>
      <c r="F339" s="222"/>
      <c r="G339" s="102"/>
      <c r="H339" s="102"/>
      <c r="I339" s="102"/>
      <c r="J339" s="102"/>
      <c r="K339" s="102"/>
      <c r="L339" s="102"/>
      <c r="M339" s="102"/>
      <c r="N339" s="102"/>
      <c r="O339" s="102"/>
      <c r="P339" s="8"/>
      <c r="Q339" s="102"/>
      <c r="R339" s="197">
        <f>'Parameters, country spec'!AC28</f>
        <v>1.2143080899157416E-2</v>
      </c>
    </row>
    <row r="340" spans="1:18" x14ac:dyDescent="0.35">
      <c r="A340" s="83"/>
      <c r="B340" s="17" t="s">
        <v>348</v>
      </c>
      <c r="C340" s="84" t="s">
        <v>349</v>
      </c>
      <c r="D340" s="23" t="s">
        <v>123</v>
      </c>
      <c r="E340" s="23" t="s">
        <v>124</v>
      </c>
      <c r="F340" s="222">
        <f t="shared" ref="F340" si="82">SUM(G340:Q340)</f>
        <v>2.3813048490861126E-4</v>
      </c>
      <c r="G340" s="82">
        <f t="shared" ref="G340:N340" si="83">AVERAGE(G330:G338)</f>
        <v>7.0928630622271073E-5</v>
      </c>
      <c r="H340" s="82">
        <f t="shared" si="83"/>
        <v>1.0649210718174717E-4</v>
      </c>
      <c r="I340" s="82">
        <f t="shared" si="83"/>
        <v>2.2931034482758626E-5</v>
      </c>
      <c r="J340" s="82">
        <f t="shared" si="83"/>
        <v>0</v>
      </c>
      <c r="K340" s="82">
        <f t="shared" si="83"/>
        <v>1.8890322954040379E-5</v>
      </c>
      <c r="L340" s="82">
        <f t="shared" si="83"/>
        <v>5.6437343377272043E-6</v>
      </c>
      <c r="M340" s="82">
        <f t="shared" si="83"/>
        <v>9.3221897384356615E-8</v>
      </c>
      <c r="N340" s="82">
        <f t="shared" si="83"/>
        <v>1.3151433432682416E-5</v>
      </c>
      <c r="O340" s="82"/>
      <c r="P340" s="81"/>
      <c r="Q340" s="82"/>
      <c r="R340" s="197">
        <f>'Parameters, country spec'!AC29</f>
        <v>4.9370221696639315E-2</v>
      </c>
    </row>
    <row r="341" spans="1:18" x14ac:dyDescent="0.35">
      <c r="A341" s="195"/>
      <c r="B341" s="25" t="s">
        <v>350</v>
      </c>
      <c r="C341" s="26"/>
      <c r="D341" s="103"/>
      <c r="E341" s="103"/>
      <c r="F341" s="30">
        <f>SUMPRODUCT(F330:F340,$R$330:$R$340)</f>
        <v>2.9420718170647549E-4</v>
      </c>
      <c r="G341" s="30">
        <f>SUMPRODUCT(G330:G340,$R$330:$R$340)</f>
        <v>8.4623975908426166E-5</v>
      </c>
      <c r="H341" s="30">
        <f>SUMPRODUCT(H330:H340,$R$330:$R$340)</f>
        <v>1.0239531385176584E-4</v>
      </c>
      <c r="I341" s="30">
        <f>SUMPRODUCT(I330:I340,$R$330:$R$340)</f>
        <v>5.47221658761901E-6</v>
      </c>
      <c r="J341" s="30"/>
      <c r="K341" s="30">
        <f>SUMPRODUCT(K330:K340,$R$330:$R$340)</f>
        <v>1.5628530630975151E-5</v>
      </c>
      <c r="L341" s="30"/>
      <c r="M341" s="30">
        <f>SUMPRODUCT(M330:M340,$R$330:$R$340)</f>
        <v>1.3872849392655538E-7</v>
      </c>
      <c r="N341" s="30">
        <f>SUMPRODUCT(N330:N340,$R$330:$R$340)</f>
        <v>1.3905716556874698E-5</v>
      </c>
      <c r="O341" s="30">
        <f>SUMPRODUCT(O330:O340,$R$330:$R$340)</f>
        <v>2.1283319665466892E-6</v>
      </c>
      <c r="P341" s="30">
        <f>SUMPRODUCT(P330:P340,R330:R340)</f>
        <v>2.9434190883853279E-5</v>
      </c>
      <c r="Q341" s="30">
        <f>SUMPRODUCT(Q330:Q340,$R$330:$R$340)</f>
        <v>3.9133367257899012E-5</v>
      </c>
      <c r="R341" s="198"/>
    </row>
    <row r="342" spans="1:18" x14ac:dyDescent="0.35">
      <c r="A342" s="22" t="s">
        <v>336</v>
      </c>
      <c r="B342" s="17" t="s">
        <v>218</v>
      </c>
      <c r="C342" s="17" t="s">
        <v>337</v>
      </c>
      <c r="D342" s="23" t="s">
        <v>125</v>
      </c>
      <c r="E342" s="23" t="s">
        <v>126</v>
      </c>
      <c r="F342" s="223">
        <f>SUM(G342:Q342)</f>
        <v>2.0655355021385218E-4</v>
      </c>
      <c r="G342" s="205">
        <v>8.0930691575108743E-5</v>
      </c>
      <c r="H342" s="205">
        <v>9.5000000000000005E-5</v>
      </c>
      <c r="I342" s="205"/>
      <c r="J342" s="205"/>
      <c r="K342" s="205">
        <v>1.8076858638743458E-5</v>
      </c>
      <c r="L342" s="205"/>
      <c r="M342" s="205">
        <v>0</v>
      </c>
      <c r="N342" s="205">
        <v>1.2546000000000003E-5</v>
      </c>
      <c r="O342" s="205"/>
      <c r="P342" s="14"/>
      <c r="Q342" s="205"/>
      <c r="R342" s="197">
        <f>'Parameters, country spec'!AD19</f>
        <v>0.24290688316534448</v>
      </c>
    </row>
    <row r="343" spans="1:18" x14ac:dyDescent="0.35">
      <c r="A343" s="22" t="s">
        <v>338</v>
      </c>
      <c r="B343" s="17" t="s">
        <v>222</v>
      </c>
      <c r="C343" s="17" t="s">
        <v>337</v>
      </c>
      <c r="D343" s="23" t="s">
        <v>125</v>
      </c>
      <c r="E343" s="23" t="s">
        <v>126</v>
      </c>
      <c r="F343" s="221">
        <f t="shared" ref="F343:F348" si="84">SUM(G343:Q343)</f>
        <v>1.9871902439798405E-4</v>
      </c>
      <c r="G343" s="102">
        <v>7.8815626877616721E-5</v>
      </c>
      <c r="H343" s="102">
        <v>9.5000000000000005E-5</v>
      </c>
      <c r="I343" s="102"/>
      <c r="J343" s="102"/>
      <c r="K343" s="102">
        <v>1.2357397520367332E-5</v>
      </c>
      <c r="L343" s="102"/>
      <c r="M343" s="102">
        <v>0</v>
      </c>
      <c r="N343" s="102">
        <v>1.2546000000000003E-5</v>
      </c>
      <c r="O343" s="102"/>
      <c r="P343" s="14"/>
      <c r="Q343" s="102"/>
      <c r="R343" s="197">
        <f>'Parameters, country spec'!AD20</f>
        <v>1.1405036092928852E-2</v>
      </c>
    </row>
    <row r="344" spans="1:18" x14ac:dyDescent="0.35">
      <c r="A344" s="22" t="s">
        <v>339</v>
      </c>
      <c r="B344" s="17" t="s">
        <v>226</v>
      </c>
      <c r="C344" s="17" t="s">
        <v>337</v>
      </c>
      <c r="D344" s="23" t="s">
        <v>125</v>
      </c>
      <c r="E344" s="23" t="s">
        <v>126</v>
      </c>
      <c r="F344" s="221">
        <f t="shared" si="84"/>
        <v>1.9956753055993292E-4</v>
      </c>
      <c r="G344" s="102">
        <v>7.134532609711123E-5</v>
      </c>
      <c r="H344" s="102">
        <v>9.5000000000000005E-5</v>
      </c>
      <c r="I344" s="102"/>
      <c r="J344" s="102"/>
      <c r="K344" s="102">
        <v>2.0676204462821701E-5</v>
      </c>
      <c r="L344" s="102"/>
      <c r="M344" s="102">
        <v>0</v>
      </c>
      <c r="N344" s="102">
        <v>1.2546000000000003E-5</v>
      </c>
      <c r="O344" s="102"/>
      <c r="P344" s="14"/>
      <c r="Q344" s="102"/>
      <c r="R344" s="197">
        <f>'Parameters, country spec'!AD21</f>
        <v>2.6784717007595302E-2</v>
      </c>
    </row>
    <row r="345" spans="1:18" x14ac:dyDescent="0.35">
      <c r="A345" s="22" t="s">
        <v>340</v>
      </c>
      <c r="B345" s="17" t="s">
        <v>227</v>
      </c>
      <c r="C345" s="17" t="s">
        <v>337</v>
      </c>
      <c r="D345" s="23" t="s">
        <v>125</v>
      </c>
      <c r="E345" s="23" t="s">
        <v>126</v>
      </c>
      <c r="F345" s="221">
        <f t="shared" si="84"/>
        <v>1.840193507270561E-4</v>
      </c>
      <c r="G345" s="102">
        <v>6.2842418816841267E-5</v>
      </c>
      <c r="H345" s="102">
        <v>9.5000000000000005E-5</v>
      </c>
      <c r="I345" s="102"/>
      <c r="J345" s="102"/>
      <c r="K345" s="102">
        <v>1.3630931910214812E-5</v>
      </c>
      <c r="L345" s="102"/>
      <c r="M345" s="102">
        <v>0</v>
      </c>
      <c r="N345" s="102">
        <v>1.2546000000000003E-5</v>
      </c>
      <c r="O345" s="102"/>
      <c r="P345" s="14"/>
      <c r="Q345" s="102"/>
      <c r="R345" s="197">
        <f>'Parameters, country spec'!AD22</f>
        <v>1.2703483591450424E-3</v>
      </c>
    </row>
    <row r="346" spans="1:18" x14ac:dyDescent="0.35">
      <c r="A346" s="22" t="s">
        <v>341</v>
      </c>
      <c r="B346" s="17" t="s">
        <v>228</v>
      </c>
      <c r="C346" s="17" t="s">
        <v>337</v>
      </c>
      <c r="D346" s="23" t="s">
        <v>125</v>
      </c>
      <c r="E346" s="23" t="s">
        <v>126</v>
      </c>
      <c r="F346" s="221">
        <f t="shared" si="84"/>
        <v>2.1322851393583626E-4</v>
      </c>
      <c r="G346" s="102">
        <v>9.2769916609057948E-5</v>
      </c>
      <c r="H346" s="102">
        <v>9.5000000000000005E-5</v>
      </c>
      <c r="I346" s="102"/>
      <c r="J346" s="102"/>
      <c r="K346" s="102">
        <v>1.291259732677831E-5</v>
      </c>
      <c r="L346" s="102"/>
      <c r="M346" s="102">
        <v>0</v>
      </c>
      <c r="N346" s="102">
        <v>1.2546000000000003E-5</v>
      </c>
      <c r="O346" s="102"/>
      <c r="P346" s="14"/>
      <c r="Q346" s="102"/>
      <c r="R346" s="197">
        <f>'Parameters, country spec'!AD23</f>
        <v>0.36306225085662319</v>
      </c>
    </row>
    <row r="347" spans="1:18" x14ac:dyDescent="0.35">
      <c r="A347" s="22" t="s">
        <v>342</v>
      </c>
      <c r="B347" s="17" t="s">
        <v>229</v>
      </c>
      <c r="C347" s="17" t="s">
        <v>343</v>
      </c>
      <c r="D347" s="23" t="s">
        <v>125</v>
      </c>
      <c r="E347" s="23" t="s">
        <v>126</v>
      </c>
      <c r="F347" s="221">
        <f t="shared" si="84"/>
        <v>1.3280125199673234E-4</v>
      </c>
      <c r="G347" s="102">
        <v>0</v>
      </c>
      <c r="H347" s="102">
        <v>9.5000000000000005E-5</v>
      </c>
      <c r="I347" s="102"/>
      <c r="J347" s="102"/>
      <c r="K347" s="102">
        <v>2.5255251996732317E-5</v>
      </c>
      <c r="L347" s="102"/>
      <c r="M347" s="102">
        <v>0</v>
      </c>
      <c r="N347" s="102">
        <v>1.2546000000000003E-5</v>
      </c>
      <c r="O347" s="102"/>
      <c r="P347" s="14"/>
      <c r="Q347" s="102"/>
      <c r="R347" s="197">
        <f>'Parameters, country spec'!AD24</f>
        <v>6.0909129056991628E-3</v>
      </c>
    </row>
    <row r="348" spans="1:18" x14ac:dyDescent="0.35">
      <c r="A348" s="22" t="s">
        <v>344</v>
      </c>
      <c r="B348" s="17" t="s">
        <v>230</v>
      </c>
      <c r="C348" s="17" t="s">
        <v>343</v>
      </c>
      <c r="D348" s="23" t="s">
        <v>125</v>
      </c>
      <c r="E348" s="23" t="s">
        <v>126</v>
      </c>
      <c r="F348" s="221">
        <f t="shared" si="84"/>
        <v>1.4931770127423491E-4</v>
      </c>
      <c r="G348" s="102">
        <v>3.9865279409015522E-6</v>
      </c>
      <c r="H348" s="102">
        <v>9.5000000000000005E-5</v>
      </c>
      <c r="I348" s="102"/>
      <c r="J348" s="102"/>
      <c r="K348" s="102">
        <v>3.7785173333333341E-5</v>
      </c>
      <c r="L348" s="102"/>
      <c r="M348" s="102">
        <v>0</v>
      </c>
      <c r="N348" s="102">
        <v>1.2546000000000003E-5</v>
      </c>
      <c r="O348" s="102"/>
      <c r="P348" s="14"/>
      <c r="Q348" s="102"/>
      <c r="R348" s="197">
        <f>'Parameters, country spec'!AD25</f>
        <v>5.9832836689627722E-3</v>
      </c>
    </row>
    <row r="349" spans="1:18" x14ac:dyDescent="0.35">
      <c r="B349" s="18" t="s">
        <v>231</v>
      </c>
      <c r="C349" s="17" t="s">
        <v>345</v>
      </c>
      <c r="D349" s="23" t="s">
        <v>352</v>
      </c>
      <c r="E349" s="23" t="s">
        <v>82</v>
      </c>
      <c r="F349" s="222">
        <v>6.0478733190314773E-4</v>
      </c>
      <c r="G349" s="33">
        <v>2.320636514451769E-4</v>
      </c>
      <c r="H349" s="33">
        <v>2.181240865869439E-4</v>
      </c>
      <c r="I349" s="33">
        <v>4.5862068965517253E-5</v>
      </c>
      <c r="J349" s="33">
        <v>0</v>
      </c>
      <c r="K349" s="33">
        <v>1.0233900653016278E-5</v>
      </c>
      <c r="L349" s="33">
        <v>1.1287468675454409E-5</v>
      </c>
      <c r="M349" s="33">
        <v>2.4227610206896555E-7</v>
      </c>
      <c r="N349" s="33">
        <v>7.4566292815222108E-6</v>
      </c>
      <c r="O349" s="33">
        <v>2.2490164981320892E-5</v>
      </c>
      <c r="P349" s="20">
        <v>5.7027085212127035E-5</v>
      </c>
      <c r="Q349" s="33">
        <v>0</v>
      </c>
      <c r="R349" s="197">
        <f>'Parameters, country spec'!AD26</f>
        <v>9.4633897453147445E-2</v>
      </c>
    </row>
    <row r="350" spans="1:18" x14ac:dyDescent="0.35">
      <c r="B350" s="18" t="s">
        <v>346</v>
      </c>
      <c r="C350" s="17" t="s">
        <v>345</v>
      </c>
      <c r="D350" s="23" t="str">
        <f>'Off-farm feed'!$D$24</f>
        <v>Brazil, Argentina</v>
      </c>
      <c r="E350" s="23"/>
      <c r="F350" s="222">
        <f>'Off-farm feed'!$E$24</f>
        <v>4.7266553697523981E-4</v>
      </c>
      <c r="G350" s="222">
        <f>'Off-farm feed'!$F$24</f>
        <v>1.5603516238625262E-5</v>
      </c>
      <c r="H350" s="222">
        <f>'Off-farm feed'!$G$24</f>
        <v>7.5304878048780503E-5</v>
      </c>
      <c r="I350" s="222">
        <f>'Off-farm feed'!$H$24</f>
        <v>0</v>
      </c>
      <c r="J350" s="222">
        <f>'Off-farm feed'!$I$24</f>
        <v>0</v>
      </c>
      <c r="K350" s="222">
        <f>'Off-farm feed'!$J$24</f>
        <v>1.908459074435586E-5</v>
      </c>
      <c r="L350" s="222">
        <f>'Off-farm feed'!$K$24</f>
        <v>0</v>
      </c>
      <c r="M350" s="222">
        <f>'Off-farm feed'!$L$24</f>
        <v>5.9672097439024396E-7</v>
      </c>
      <c r="N350" s="222">
        <f>'Off-farm feed'!$M$24</f>
        <v>2.3084271612619523E-5</v>
      </c>
      <c r="O350" s="222">
        <f>'Off-farm feed'!$N$24</f>
        <v>0</v>
      </c>
      <c r="P350" s="222">
        <f>'Off-farm feed'!$O$24</f>
        <v>1.2899155935646844E-4</v>
      </c>
      <c r="Q350" s="222">
        <f>'Off-farm feed'!$P$24</f>
        <v>2.1000000000000001E-4</v>
      </c>
      <c r="R350" s="197">
        <f>'Parameters, country spec'!AD27</f>
        <v>0.1863493678947572</v>
      </c>
    </row>
    <row r="351" spans="1:18" x14ac:dyDescent="0.35">
      <c r="B351" s="17" t="s">
        <v>233</v>
      </c>
      <c r="C351" s="17" t="s">
        <v>347</v>
      </c>
      <c r="D351" s="23" t="s">
        <v>125</v>
      </c>
      <c r="E351" s="23" t="s">
        <v>126</v>
      </c>
      <c r="F351" s="222"/>
      <c r="G351" s="102"/>
      <c r="H351" s="102"/>
      <c r="I351" s="102"/>
      <c r="J351" s="102"/>
      <c r="K351" s="102"/>
      <c r="L351" s="102"/>
      <c r="M351" s="102"/>
      <c r="N351" s="102"/>
      <c r="O351" s="102"/>
      <c r="P351" s="8"/>
      <c r="Q351" s="102"/>
      <c r="R351" s="197">
        <f>'Parameters, country spec'!AD28</f>
        <v>1.2143080899157416E-2</v>
      </c>
    </row>
    <row r="352" spans="1:18" x14ac:dyDescent="0.35">
      <c r="A352" s="83"/>
      <c r="B352" s="17" t="s">
        <v>348</v>
      </c>
      <c r="C352" s="84" t="s">
        <v>349</v>
      </c>
      <c r="D352" s="23" t="s">
        <v>125</v>
      </c>
      <c r="E352" s="23" t="s">
        <v>126</v>
      </c>
      <c r="F352" s="222">
        <f t="shared" ref="F352" si="85">SUM(G352:Q352)</f>
        <v>2.3813048490861126E-4</v>
      </c>
      <c r="G352" s="82">
        <f t="shared" ref="G352:N352" si="86">AVERAGE(G342:G350)</f>
        <v>7.0928630622271073E-5</v>
      </c>
      <c r="H352" s="82">
        <f t="shared" si="86"/>
        <v>1.0649210718174717E-4</v>
      </c>
      <c r="I352" s="82">
        <f t="shared" si="86"/>
        <v>2.2931034482758626E-5</v>
      </c>
      <c r="J352" s="82">
        <f t="shared" si="86"/>
        <v>0</v>
      </c>
      <c r="K352" s="82">
        <f t="shared" si="86"/>
        <v>1.8890322954040379E-5</v>
      </c>
      <c r="L352" s="82">
        <f t="shared" si="86"/>
        <v>5.6437343377272043E-6</v>
      </c>
      <c r="M352" s="82">
        <f t="shared" si="86"/>
        <v>9.3221897384356615E-8</v>
      </c>
      <c r="N352" s="82">
        <f t="shared" si="86"/>
        <v>1.3151433432682416E-5</v>
      </c>
      <c r="O352" s="82"/>
      <c r="P352" s="81"/>
      <c r="Q352" s="82"/>
      <c r="R352" s="197">
        <f>'Parameters, country spec'!AD29</f>
        <v>4.9370221696639315E-2</v>
      </c>
    </row>
    <row r="353" spans="1:18" x14ac:dyDescent="0.35">
      <c r="A353" s="195"/>
      <c r="B353" s="25" t="s">
        <v>350</v>
      </c>
      <c r="C353" s="26"/>
      <c r="D353" s="103"/>
      <c r="E353" s="103"/>
      <c r="F353" s="30">
        <f>SUMPRODUCT(F342:F352,$R$342:$R$352)</f>
        <v>2.9420718170647549E-4</v>
      </c>
      <c r="G353" s="30">
        <f>SUMPRODUCT(G342:G352,$R$342:$R$352)</f>
        <v>8.4623975908426166E-5</v>
      </c>
      <c r="H353" s="30">
        <f>SUMPRODUCT(H342:H352,$R$342:$R$352)</f>
        <v>1.0239531385176584E-4</v>
      </c>
      <c r="I353" s="30">
        <f>SUMPRODUCT(I342:I352,$R$342:$R$352)</f>
        <v>5.47221658761901E-6</v>
      </c>
      <c r="J353" s="30"/>
      <c r="K353" s="30">
        <f>SUMPRODUCT(K342:K352,$R$342:$R$352)</f>
        <v>1.5628530630975151E-5</v>
      </c>
      <c r="L353" s="30"/>
      <c r="M353" s="30">
        <f>SUMPRODUCT(M342:M352,$R$342:$R$352)</f>
        <v>1.3872849392655538E-7</v>
      </c>
      <c r="N353" s="30">
        <f>SUMPRODUCT(N342:N352,$R$342:$R$352)</f>
        <v>1.3905716556874698E-5</v>
      </c>
      <c r="O353" s="30">
        <f>SUMPRODUCT(O342:O352,$R$342:$R$352)</f>
        <v>2.1283319665466892E-6</v>
      </c>
      <c r="P353" s="30">
        <f>SUMPRODUCT(P342:P352,R342:R352)</f>
        <v>2.9434190883853279E-5</v>
      </c>
      <c r="Q353" s="30">
        <f>SUMPRODUCT(Q342:Q352,$R$342:$R$352)</f>
        <v>3.9133367257899012E-5</v>
      </c>
      <c r="R353" s="198"/>
    </row>
    <row r="354" spans="1:18" x14ac:dyDescent="0.35">
      <c r="A354" s="22" t="s">
        <v>336</v>
      </c>
      <c r="B354" s="17" t="s">
        <v>218</v>
      </c>
      <c r="C354" s="17" t="s">
        <v>337</v>
      </c>
      <c r="D354" s="23" t="s">
        <v>127</v>
      </c>
      <c r="E354" s="23" t="s">
        <v>128</v>
      </c>
      <c r="F354" s="223">
        <f>SUM(G354:Q354)</f>
        <v>2.0655355021385218E-4</v>
      </c>
      <c r="G354" s="205">
        <v>8.0930691575108743E-5</v>
      </c>
      <c r="H354" s="205">
        <v>9.5000000000000005E-5</v>
      </c>
      <c r="I354" s="205"/>
      <c r="J354" s="205"/>
      <c r="K354" s="205">
        <v>1.8076858638743458E-5</v>
      </c>
      <c r="L354" s="205"/>
      <c r="M354" s="205">
        <v>0</v>
      </c>
      <c r="N354" s="205">
        <v>1.2546000000000003E-5</v>
      </c>
      <c r="O354" s="205"/>
      <c r="P354" s="14"/>
      <c r="Q354" s="205"/>
      <c r="R354" s="197">
        <f>'Parameters, country spec'!AE19</f>
        <v>0.24290688316534448</v>
      </c>
    </row>
    <row r="355" spans="1:18" x14ac:dyDescent="0.35">
      <c r="A355" s="22" t="s">
        <v>338</v>
      </c>
      <c r="B355" s="17" t="s">
        <v>222</v>
      </c>
      <c r="C355" s="17" t="s">
        <v>337</v>
      </c>
      <c r="D355" s="23" t="s">
        <v>127</v>
      </c>
      <c r="E355" s="23" t="s">
        <v>128</v>
      </c>
      <c r="F355" s="221">
        <f t="shared" ref="F355:F360" si="87">SUM(G355:Q355)</f>
        <v>1.9871902439798405E-4</v>
      </c>
      <c r="G355" s="102">
        <v>7.8815626877616721E-5</v>
      </c>
      <c r="H355" s="102">
        <v>9.5000000000000005E-5</v>
      </c>
      <c r="I355" s="102"/>
      <c r="J355" s="102"/>
      <c r="K355" s="102">
        <v>1.2357397520367332E-5</v>
      </c>
      <c r="L355" s="102"/>
      <c r="M355" s="102">
        <v>0</v>
      </c>
      <c r="N355" s="102">
        <v>1.2546000000000003E-5</v>
      </c>
      <c r="O355" s="102"/>
      <c r="P355" s="14"/>
      <c r="Q355" s="102"/>
      <c r="R355" s="197">
        <f>'Parameters, country spec'!AE20</f>
        <v>1.1405036092928852E-2</v>
      </c>
    </row>
    <row r="356" spans="1:18" x14ac:dyDescent="0.35">
      <c r="A356" s="22" t="s">
        <v>339</v>
      </c>
      <c r="B356" s="17" t="s">
        <v>226</v>
      </c>
      <c r="C356" s="17" t="s">
        <v>337</v>
      </c>
      <c r="D356" s="23" t="s">
        <v>127</v>
      </c>
      <c r="E356" s="23" t="s">
        <v>128</v>
      </c>
      <c r="F356" s="221">
        <f t="shared" si="87"/>
        <v>1.9956753055993292E-4</v>
      </c>
      <c r="G356" s="102">
        <v>7.134532609711123E-5</v>
      </c>
      <c r="H356" s="102">
        <v>9.5000000000000005E-5</v>
      </c>
      <c r="I356" s="102"/>
      <c r="J356" s="102"/>
      <c r="K356" s="102">
        <v>2.0676204462821701E-5</v>
      </c>
      <c r="L356" s="102"/>
      <c r="M356" s="102">
        <v>0</v>
      </c>
      <c r="N356" s="102">
        <v>1.2546000000000003E-5</v>
      </c>
      <c r="O356" s="102"/>
      <c r="P356" s="14"/>
      <c r="Q356" s="102"/>
      <c r="R356" s="197">
        <f>'Parameters, country spec'!AE21</f>
        <v>2.6784717007595302E-2</v>
      </c>
    </row>
    <row r="357" spans="1:18" x14ac:dyDescent="0.35">
      <c r="A357" s="22" t="s">
        <v>340</v>
      </c>
      <c r="B357" s="17" t="s">
        <v>227</v>
      </c>
      <c r="C357" s="17" t="s">
        <v>337</v>
      </c>
      <c r="D357" s="23" t="s">
        <v>127</v>
      </c>
      <c r="E357" s="23" t="s">
        <v>128</v>
      </c>
      <c r="F357" s="221">
        <f t="shared" si="87"/>
        <v>1.840193507270561E-4</v>
      </c>
      <c r="G357" s="102">
        <v>6.2842418816841267E-5</v>
      </c>
      <c r="H357" s="102">
        <v>9.5000000000000005E-5</v>
      </c>
      <c r="I357" s="102"/>
      <c r="J357" s="102"/>
      <c r="K357" s="102">
        <v>1.3630931910214812E-5</v>
      </c>
      <c r="L357" s="102"/>
      <c r="M357" s="102">
        <v>0</v>
      </c>
      <c r="N357" s="102">
        <v>1.2546000000000003E-5</v>
      </c>
      <c r="O357" s="102"/>
      <c r="P357" s="14"/>
      <c r="Q357" s="102"/>
      <c r="R357" s="197">
        <f>'Parameters, country spec'!AE22</f>
        <v>1.2703483591450424E-3</v>
      </c>
    </row>
    <row r="358" spans="1:18" x14ac:dyDescent="0.35">
      <c r="A358" s="22" t="s">
        <v>341</v>
      </c>
      <c r="B358" s="17" t="s">
        <v>228</v>
      </c>
      <c r="C358" s="17" t="s">
        <v>337</v>
      </c>
      <c r="D358" s="23" t="s">
        <v>127</v>
      </c>
      <c r="E358" s="23" t="s">
        <v>128</v>
      </c>
      <c r="F358" s="221">
        <f t="shared" si="87"/>
        <v>2.1322851393583626E-4</v>
      </c>
      <c r="G358" s="102">
        <v>9.2769916609057948E-5</v>
      </c>
      <c r="H358" s="102">
        <v>9.5000000000000005E-5</v>
      </c>
      <c r="I358" s="102"/>
      <c r="J358" s="102"/>
      <c r="K358" s="102">
        <v>1.291259732677831E-5</v>
      </c>
      <c r="L358" s="102"/>
      <c r="M358" s="102">
        <v>0</v>
      </c>
      <c r="N358" s="102">
        <v>1.2546000000000003E-5</v>
      </c>
      <c r="O358" s="102"/>
      <c r="P358" s="14"/>
      <c r="Q358" s="102"/>
      <c r="R358" s="197">
        <f>'Parameters, country spec'!AE23</f>
        <v>0.36306225085662319</v>
      </c>
    </row>
    <row r="359" spans="1:18" x14ac:dyDescent="0.35">
      <c r="A359" s="22" t="s">
        <v>342</v>
      </c>
      <c r="B359" s="17" t="s">
        <v>229</v>
      </c>
      <c r="C359" s="17" t="s">
        <v>343</v>
      </c>
      <c r="D359" s="23" t="s">
        <v>127</v>
      </c>
      <c r="E359" s="23" t="s">
        <v>128</v>
      </c>
      <c r="F359" s="221">
        <f t="shared" si="87"/>
        <v>1.3280125199673234E-4</v>
      </c>
      <c r="G359" s="102">
        <v>0</v>
      </c>
      <c r="H359" s="102">
        <v>9.5000000000000005E-5</v>
      </c>
      <c r="I359" s="102"/>
      <c r="J359" s="102"/>
      <c r="K359" s="102">
        <v>2.5255251996732317E-5</v>
      </c>
      <c r="L359" s="102"/>
      <c r="M359" s="102">
        <v>0</v>
      </c>
      <c r="N359" s="102">
        <v>1.2546000000000003E-5</v>
      </c>
      <c r="O359" s="102"/>
      <c r="P359" s="14"/>
      <c r="Q359" s="102"/>
      <c r="R359" s="197">
        <f>'Parameters, country spec'!AE24</f>
        <v>6.0909129056991628E-3</v>
      </c>
    </row>
    <row r="360" spans="1:18" x14ac:dyDescent="0.35">
      <c r="A360" s="22" t="s">
        <v>344</v>
      </c>
      <c r="B360" s="17" t="s">
        <v>230</v>
      </c>
      <c r="C360" s="17" t="s">
        <v>343</v>
      </c>
      <c r="D360" s="23" t="s">
        <v>127</v>
      </c>
      <c r="E360" s="23" t="s">
        <v>128</v>
      </c>
      <c r="F360" s="221">
        <f t="shared" si="87"/>
        <v>1.4931770127423491E-4</v>
      </c>
      <c r="G360" s="102">
        <v>3.9865279409015522E-6</v>
      </c>
      <c r="H360" s="102">
        <v>9.5000000000000005E-5</v>
      </c>
      <c r="I360" s="102"/>
      <c r="J360" s="102"/>
      <c r="K360" s="102">
        <v>3.7785173333333341E-5</v>
      </c>
      <c r="L360" s="102"/>
      <c r="M360" s="102">
        <v>0</v>
      </c>
      <c r="N360" s="102">
        <v>1.2546000000000003E-5</v>
      </c>
      <c r="O360" s="102"/>
      <c r="P360" s="14"/>
      <c r="Q360" s="102"/>
      <c r="R360" s="197">
        <f>'Parameters, country spec'!AE25</f>
        <v>5.9832836689627722E-3</v>
      </c>
    </row>
    <row r="361" spans="1:18" x14ac:dyDescent="0.35">
      <c r="B361" s="18" t="s">
        <v>231</v>
      </c>
      <c r="C361" s="17" t="s">
        <v>345</v>
      </c>
      <c r="D361" s="23" t="s">
        <v>352</v>
      </c>
      <c r="E361" s="23" t="s">
        <v>82</v>
      </c>
      <c r="F361" s="222">
        <v>6.0478733190314773E-4</v>
      </c>
      <c r="G361" s="33">
        <v>2.320636514451769E-4</v>
      </c>
      <c r="H361" s="33">
        <v>2.181240865869439E-4</v>
      </c>
      <c r="I361" s="33">
        <v>4.5862068965517253E-5</v>
      </c>
      <c r="J361" s="33">
        <v>0</v>
      </c>
      <c r="K361" s="33">
        <v>1.0233900653016278E-5</v>
      </c>
      <c r="L361" s="33">
        <v>1.1287468675454409E-5</v>
      </c>
      <c r="M361" s="33">
        <v>2.4227610206896555E-7</v>
      </c>
      <c r="N361" s="33">
        <v>7.4566292815222108E-6</v>
      </c>
      <c r="O361" s="33">
        <v>2.2490164981320892E-5</v>
      </c>
      <c r="P361" s="20">
        <v>5.7027085212127035E-5</v>
      </c>
      <c r="Q361" s="33">
        <v>0</v>
      </c>
      <c r="R361" s="197">
        <f>'Parameters, country spec'!AE26</f>
        <v>9.4633897453147445E-2</v>
      </c>
    </row>
    <row r="362" spans="1:18" x14ac:dyDescent="0.35">
      <c r="B362" s="18" t="s">
        <v>346</v>
      </c>
      <c r="C362" s="17" t="s">
        <v>345</v>
      </c>
      <c r="D362" s="23" t="str">
        <f>'Off-farm feed'!$D$24</f>
        <v>Brazil, Argentina</v>
      </c>
      <c r="E362" s="23"/>
      <c r="F362" s="222">
        <f>'Off-farm feed'!$E$24</f>
        <v>4.7266553697523981E-4</v>
      </c>
      <c r="G362" s="222">
        <f>'Off-farm feed'!$F$24</f>
        <v>1.5603516238625262E-5</v>
      </c>
      <c r="H362" s="222">
        <f>'Off-farm feed'!$G$24</f>
        <v>7.5304878048780503E-5</v>
      </c>
      <c r="I362" s="222">
        <f>'Off-farm feed'!$H$24</f>
        <v>0</v>
      </c>
      <c r="J362" s="222">
        <f>'Off-farm feed'!$I$24</f>
        <v>0</v>
      </c>
      <c r="K362" s="222">
        <f>'Off-farm feed'!$J$24</f>
        <v>1.908459074435586E-5</v>
      </c>
      <c r="L362" s="222">
        <f>'Off-farm feed'!$K$24</f>
        <v>0</v>
      </c>
      <c r="M362" s="222">
        <f>'Off-farm feed'!$L$24</f>
        <v>5.9672097439024396E-7</v>
      </c>
      <c r="N362" s="222">
        <f>'Off-farm feed'!$M$24</f>
        <v>2.3084271612619523E-5</v>
      </c>
      <c r="O362" s="222">
        <f>'Off-farm feed'!$N$24</f>
        <v>0</v>
      </c>
      <c r="P362" s="222">
        <f>'Off-farm feed'!$O$24</f>
        <v>1.2899155935646844E-4</v>
      </c>
      <c r="Q362" s="222">
        <f>'Off-farm feed'!$P$24</f>
        <v>2.1000000000000001E-4</v>
      </c>
      <c r="R362" s="197">
        <f>'Parameters, country spec'!AE27</f>
        <v>0.1863493678947572</v>
      </c>
    </row>
    <row r="363" spans="1:18" x14ac:dyDescent="0.35">
      <c r="B363" s="17" t="s">
        <v>233</v>
      </c>
      <c r="C363" s="17" t="s">
        <v>347</v>
      </c>
      <c r="D363" s="23" t="s">
        <v>127</v>
      </c>
      <c r="E363" s="23" t="s">
        <v>128</v>
      </c>
      <c r="F363" s="222"/>
      <c r="G363" s="102"/>
      <c r="H363" s="102"/>
      <c r="I363" s="102"/>
      <c r="J363" s="102"/>
      <c r="K363" s="102"/>
      <c r="L363" s="102"/>
      <c r="M363" s="102"/>
      <c r="N363" s="102"/>
      <c r="O363" s="102"/>
      <c r="P363" s="8"/>
      <c r="Q363" s="102"/>
      <c r="R363" s="197">
        <f>'Parameters, country spec'!AE28</f>
        <v>1.2143080899157416E-2</v>
      </c>
    </row>
    <row r="364" spans="1:18" x14ac:dyDescent="0.35">
      <c r="A364" s="83"/>
      <c r="B364" s="17" t="s">
        <v>348</v>
      </c>
      <c r="C364" s="84" t="s">
        <v>349</v>
      </c>
      <c r="D364" s="23" t="s">
        <v>127</v>
      </c>
      <c r="E364" s="23" t="s">
        <v>128</v>
      </c>
      <c r="F364" s="222">
        <f t="shared" ref="F364" si="88">SUM(G364:Q364)</f>
        <v>2.3813048490861126E-4</v>
      </c>
      <c r="G364" s="82">
        <f t="shared" ref="G364:N364" si="89">AVERAGE(G354:G362)</f>
        <v>7.0928630622271073E-5</v>
      </c>
      <c r="H364" s="82">
        <f t="shared" si="89"/>
        <v>1.0649210718174717E-4</v>
      </c>
      <c r="I364" s="82">
        <f t="shared" si="89"/>
        <v>2.2931034482758626E-5</v>
      </c>
      <c r="J364" s="82">
        <f t="shared" si="89"/>
        <v>0</v>
      </c>
      <c r="K364" s="82">
        <f t="shared" si="89"/>
        <v>1.8890322954040379E-5</v>
      </c>
      <c r="L364" s="82">
        <f t="shared" si="89"/>
        <v>5.6437343377272043E-6</v>
      </c>
      <c r="M364" s="82">
        <f t="shared" si="89"/>
        <v>9.3221897384356615E-8</v>
      </c>
      <c r="N364" s="82">
        <f t="shared" si="89"/>
        <v>1.3151433432682416E-5</v>
      </c>
      <c r="O364" s="82"/>
      <c r="P364" s="81"/>
      <c r="Q364" s="82"/>
      <c r="R364" s="197">
        <f>'Parameters, country spec'!AE29</f>
        <v>4.9370221696639315E-2</v>
      </c>
    </row>
    <row r="365" spans="1:18" x14ac:dyDescent="0.35">
      <c r="A365" s="195"/>
      <c r="B365" s="25" t="s">
        <v>350</v>
      </c>
      <c r="C365" s="26"/>
      <c r="D365" s="103"/>
      <c r="E365" s="103"/>
      <c r="F365" s="30">
        <f>SUMPRODUCT(F354:F364,$R$354:$R$364)</f>
        <v>2.9420718170647549E-4</v>
      </c>
      <c r="G365" s="30">
        <f>SUMPRODUCT(G354:G364,$R$354:$R$364)</f>
        <v>8.4623975908426166E-5</v>
      </c>
      <c r="H365" s="30">
        <f>SUMPRODUCT(H354:H364,$R$354:$R$364)</f>
        <v>1.0239531385176584E-4</v>
      </c>
      <c r="I365" s="30">
        <f>SUMPRODUCT(I354:I364,$R$354:$R$364)</f>
        <v>5.47221658761901E-6</v>
      </c>
      <c r="J365" s="30"/>
      <c r="K365" s="30">
        <f>SUMPRODUCT(K354:K364,$R$354:$R$364)</f>
        <v>1.5628530630975151E-5</v>
      </c>
      <c r="L365" s="30"/>
      <c r="M365" s="30">
        <f>SUMPRODUCT(M354:M364,$R$354:$R$364)</f>
        <v>1.3872849392655538E-7</v>
      </c>
      <c r="N365" s="30">
        <f>SUMPRODUCT(N354:N364,$R$354:$R$364)</f>
        <v>1.3905716556874698E-5</v>
      </c>
      <c r="O365" s="30">
        <f>SUMPRODUCT(O354:O364,$R$354:$R$364)</f>
        <v>2.1283319665466892E-6</v>
      </c>
      <c r="P365" s="30">
        <f>SUMPRODUCT(P354:P364,R354:R364)</f>
        <v>2.9434190883853279E-5</v>
      </c>
      <c r="Q365" s="30">
        <f>SUMPRODUCT(Q354:Q364,$R$354:$R$364)</f>
        <v>3.9133367257899012E-5</v>
      </c>
      <c r="R365" s="198"/>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79998168889431442"/>
  </sheetPr>
  <dimension ref="A2:T365"/>
  <sheetViews>
    <sheetView topLeftCell="B1" zoomScale="80" zoomScaleNormal="80" workbookViewId="0">
      <selection activeCell="F114" sqref="F114:F120"/>
    </sheetView>
  </sheetViews>
  <sheetFormatPr defaultColWidth="8.81640625" defaultRowHeight="14.5" x14ac:dyDescent="0.35"/>
  <cols>
    <col min="1" max="1" width="8.54296875" customWidth="1"/>
    <col min="2" max="2" width="30.453125" customWidth="1"/>
    <col min="3" max="3" width="19" customWidth="1"/>
    <col min="4" max="4" width="12.81640625" customWidth="1"/>
    <col min="5" max="10" width="12.54296875" customWidth="1"/>
    <col min="11" max="11" width="14.453125" customWidth="1"/>
    <col min="12" max="12" width="15" customWidth="1"/>
    <col min="13" max="17" width="12.54296875" customWidth="1"/>
  </cols>
  <sheetData>
    <row r="2" spans="1:18" ht="21" x14ac:dyDescent="0.5">
      <c r="A2" s="2" t="s">
        <v>353</v>
      </c>
      <c r="F2" t="s">
        <v>327</v>
      </c>
      <c r="O2" t="s">
        <v>328</v>
      </c>
    </row>
    <row r="3" spans="1:18" x14ac:dyDescent="0.35">
      <c r="H3" s="9"/>
      <c r="I3" s="9"/>
      <c r="J3" s="9"/>
      <c r="K3" s="9"/>
      <c r="L3" s="9"/>
      <c r="M3" s="9"/>
      <c r="N3" s="9"/>
      <c r="P3" s="9"/>
    </row>
    <row r="4" spans="1:18" ht="29" x14ac:dyDescent="0.35">
      <c r="A4" s="206" t="s">
        <v>329</v>
      </c>
      <c r="B4" s="189"/>
      <c r="C4" s="189"/>
      <c r="D4" s="189"/>
      <c r="E4" s="189"/>
      <c r="F4" s="190" t="s">
        <v>137</v>
      </c>
      <c r="G4" s="190" t="s">
        <v>138</v>
      </c>
      <c r="H4" s="191"/>
      <c r="I4" s="190" t="s">
        <v>139</v>
      </c>
      <c r="J4" s="104"/>
      <c r="K4" s="190" t="s">
        <v>140</v>
      </c>
      <c r="L4" s="104"/>
      <c r="M4" s="104"/>
      <c r="N4" s="104"/>
      <c r="O4" s="105" t="s">
        <v>141</v>
      </c>
      <c r="P4" s="105" t="s">
        <v>142</v>
      </c>
      <c r="Q4" s="192" t="s">
        <v>143</v>
      </c>
      <c r="R4" s="190" t="s">
        <v>330</v>
      </c>
    </row>
    <row r="5" spans="1:18" ht="55.5" customHeight="1" x14ac:dyDescent="0.35">
      <c r="A5" s="98" t="s">
        <v>59</v>
      </c>
      <c r="B5" s="98" t="s">
        <v>329</v>
      </c>
      <c r="C5" s="98" t="s">
        <v>331</v>
      </c>
      <c r="D5" s="98" t="s">
        <v>62</v>
      </c>
      <c r="E5" s="194" t="s">
        <v>63</v>
      </c>
      <c r="F5" s="193"/>
      <c r="G5" s="99" t="s">
        <v>33</v>
      </c>
      <c r="H5" s="99" t="s">
        <v>34</v>
      </c>
      <c r="I5" s="99" t="s">
        <v>332</v>
      </c>
      <c r="J5" s="99" t="s">
        <v>333</v>
      </c>
      <c r="K5" s="99" t="s">
        <v>152</v>
      </c>
      <c r="L5" s="99" t="s">
        <v>153</v>
      </c>
      <c r="M5" s="99" t="s">
        <v>154</v>
      </c>
      <c r="N5" s="99" t="s">
        <v>155</v>
      </c>
      <c r="O5" s="99" t="s">
        <v>156</v>
      </c>
      <c r="P5" s="99" t="s">
        <v>334</v>
      </c>
      <c r="Q5" s="194" t="s">
        <v>335</v>
      </c>
      <c r="R5" s="99"/>
    </row>
    <row r="6" spans="1:18" x14ac:dyDescent="0.35">
      <c r="A6" s="22" t="s">
        <v>336</v>
      </c>
      <c r="B6" s="17" t="s">
        <v>218</v>
      </c>
      <c r="C6" s="17" t="s">
        <v>337</v>
      </c>
      <c r="D6" s="23" t="s">
        <v>81</v>
      </c>
      <c r="E6" s="23" t="s">
        <v>82</v>
      </c>
      <c r="F6" s="221">
        <f>SUM(G6:Q6)</f>
        <v>8.3700497241450582E-4</v>
      </c>
      <c r="G6" s="100">
        <v>1.3527187113652022E-4</v>
      </c>
      <c r="H6" s="101">
        <v>1.1000000000000001E-6</v>
      </c>
      <c r="I6" s="102">
        <v>6.348790825230616E-4</v>
      </c>
      <c r="J6" s="102">
        <v>6.3487908252306166E-5</v>
      </c>
      <c r="K6" s="102">
        <v>1.0965445026178011E-6</v>
      </c>
      <c r="L6" s="102"/>
      <c r="M6" s="102">
        <v>0</v>
      </c>
      <c r="N6" s="102">
        <v>1.1695660000000001E-6</v>
      </c>
      <c r="O6" s="102"/>
      <c r="P6" s="14"/>
      <c r="Q6" s="14"/>
      <c r="R6" s="197">
        <f>'Parameters, country spec'!B19</f>
        <v>0.1388019695150714</v>
      </c>
    </row>
    <row r="7" spans="1:18" x14ac:dyDescent="0.35">
      <c r="A7" s="22" t="s">
        <v>338</v>
      </c>
      <c r="B7" s="17" t="s">
        <v>222</v>
      </c>
      <c r="C7" s="17" t="s">
        <v>337</v>
      </c>
      <c r="D7" s="23" t="s">
        <v>81</v>
      </c>
      <c r="E7" s="23" t="s">
        <v>82</v>
      </c>
      <c r="F7" s="221">
        <f t="shared" ref="F7:F12" si="0">SUM(G7:Q7)</f>
        <v>7.7064277808378814E-4</v>
      </c>
      <c r="G7" s="100">
        <v>1.3173663927780048E-4</v>
      </c>
      <c r="H7" s="101">
        <v>1.1000000000000001E-6</v>
      </c>
      <c r="I7" s="102">
        <v>5.7807906502645948E-4</v>
      </c>
      <c r="J7" s="102">
        <v>5.7807906502645948E-5</v>
      </c>
      <c r="K7" s="102">
        <v>7.4960127688222882E-7</v>
      </c>
      <c r="L7" s="102"/>
      <c r="M7" s="102">
        <v>0</v>
      </c>
      <c r="N7" s="102">
        <v>1.1695660000000001E-6</v>
      </c>
      <c r="O7" s="102"/>
      <c r="P7" s="14"/>
      <c r="Q7" s="14"/>
      <c r="R7" s="197">
        <f>'Parameters, country spec'!B20</f>
        <v>0.33511299379537363</v>
      </c>
    </row>
    <row r="8" spans="1:18" x14ac:dyDescent="0.35">
      <c r="A8" s="22" t="s">
        <v>339</v>
      </c>
      <c r="B8" s="17" t="s">
        <v>226</v>
      </c>
      <c r="C8" s="17" t="s">
        <v>337</v>
      </c>
      <c r="D8" s="23" t="s">
        <v>81</v>
      </c>
      <c r="E8" s="23" t="s">
        <v>82</v>
      </c>
      <c r="F8" s="221">
        <f t="shared" si="0"/>
        <v>7.4080189535590966E-4</v>
      </c>
      <c r="G8" s="100">
        <v>1.1925038042019814E-4</v>
      </c>
      <c r="H8" s="101">
        <v>1.1000000000000001E-6</v>
      </c>
      <c r="I8" s="102">
        <v>5.6184338890070615E-4</v>
      </c>
      <c r="J8" s="102">
        <v>5.6184338890070617E-5</v>
      </c>
      <c r="K8" s="102">
        <v>1.2542211449347684E-6</v>
      </c>
      <c r="L8" s="102"/>
      <c r="M8" s="102">
        <v>0</v>
      </c>
      <c r="N8" s="102">
        <v>1.1695660000000001E-6</v>
      </c>
      <c r="O8" s="102"/>
      <c r="P8" s="14"/>
      <c r="Q8" s="14"/>
      <c r="R8" s="197">
        <f>'Parameters, country spec'!B21</f>
        <v>1.037956303452368E-2</v>
      </c>
    </row>
    <row r="9" spans="1:18" x14ac:dyDescent="0.35">
      <c r="A9" s="22" t="s">
        <v>340</v>
      </c>
      <c r="B9" s="17" t="s">
        <v>227</v>
      </c>
      <c r="C9" s="17" t="s">
        <v>337</v>
      </c>
      <c r="D9" s="23" t="s">
        <v>81</v>
      </c>
      <c r="E9" s="23" t="s">
        <v>82</v>
      </c>
      <c r="F9" s="221">
        <f t="shared" si="0"/>
        <v>6.6289501004433845E-4</v>
      </c>
      <c r="G9" s="100">
        <v>1.0503816802565812E-4</v>
      </c>
      <c r="H9" s="101">
        <v>1.1000000000000001E-6</v>
      </c>
      <c r="I9" s="102">
        <v>5.0432765635150922E-4</v>
      </c>
      <c r="J9" s="102">
        <v>5.0432765635150922E-5</v>
      </c>
      <c r="K9" s="102">
        <v>8.2685403202016689E-7</v>
      </c>
      <c r="L9" s="102"/>
      <c r="M9" s="102">
        <v>0</v>
      </c>
      <c r="N9" s="102">
        <v>1.1695660000000001E-6</v>
      </c>
      <c r="O9" s="102"/>
      <c r="P9" s="14"/>
      <c r="Q9" s="14"/>
      <c r="R9" s="197">
        <f>'Parameters, country spec'!B22</f>
        <v>2.539898270383906E-2</v>
      </c>
    </row>
    <row r="10" spans="1:18" x14ac:dyDescent="0.35">
      <c r="A10" s="22" t="s">
        <v>341</v>
      </c>
      <c r="B10" s="17" t="s">
        <v>228</v>
      </c>
      <c r="C10" s="17" t="s">
        <v>337</v>
      </c>
      <c r="D10" s="23" t="s">
        <v>81</v>
      </c>
      <c r="E10" s="23" t="s">
        <v>82</v>
      </c>
      <c r="F10" s="221">
        <f t="shared" si="0"/>
        <v>9.1657094895803305E-4</v>
      </c>
      <c r="G10" s="100">
        <v>1.5506058283512638E-4</v>
      </c>
      <c r="H10" s="101">
        <v>1.1000000000000001E-6</v>
      </c>
      <c r="I10" s="102">
        <v>6.8950683668766316E-4</v>
      </c>
      <c r="J10" s="102">
        <v>6.8950683668766316E-5</v>
      </c>
      <c r="K10" s="102">
        <v>7.832797664771855E-7</v>
      </c>
      <c r="L10" s="102"/>
      <c r="M10" s="102">
        <v>0</v>
      </c>
      <c r="N10" s="102">
        <v>1.1695660000000001E-6</v>
      </c>
      <c r="O10" s="102"/>
      <c r="P10" s="14"/>
      <c r="Q10" s="14"/>
      <c r="R10" s="197">
        <f>'Parameters, country spec'!B23</f>
        <v>0.18920711272078269</v>
      </c>
    </row>
    <row r="11" spans="1:18" x14ac:dyDescent="0.35">
      <c r="A11" s="22" t="s">
        <v>342</v>
      </c>
      <c r="B11" s="17" t="s">
        <v>229</v>
      </c>
      <c r="C11" s="17" t="s">
        <v>343</v>
      </c>
      <c r="D11" s="23" t="s">
        <v>81</v>
      </c>
      <c r="E11" s="23" t="s">
        <v>82</v>
      </c>
      <c r="F11" s="221">
        <f t="shared" si="0"/>
        <v>2.0683180874021213E-4</v>
      </c>
      <c r="G11" s="100">
        <v>0</v>
      </c>
      <c r="H11" s="101">
        <v>1.1000000000000001E-6</v>
      </c>
      <c r="I11" s="102">
        <v>1.8457296000000002E-4</v>
      </c>
      <c r="J11" s="102">
        <v>1.8457296000000003E-5</v>
      </c>
      <c r="K11" s="102">
        <v>1.5319867402121297E-6</v>
      </c>
      <c r="L11" s="102"/>
      <c r="M11" s="102">
        <v>0</v>
      </c>
      <c r="N11" s="102">
        <v>1.1695660000000001E-6</v>
      </c>
      <c r="O11" s="102"/>
      <c r="P11" s="14"/>
      <c r="Q11" s="14"/>
      <c r="R11" s="197">
        <f>'Parameters, country spec'!B24</f>
        <v>1.8365818050205586E-3</v>
      </c>
    </row>
    <row r="12" spans="1:18" x14ac:dyDescent="0.35">
      <c r="A12" s="22" t="s">
        <v>344</v>
      </c>
      <c r="B12" s="17" t="s">
        <v>230</v>
      </c>
      <c r="C12" s="17" t="s">
        <v>343</v>
      </c>
      <c r="D12" s="23" t="s">
        <v>81</v>
      </c>
      <c r="E12" s="23" t="s">
        <v>82</v>
      </c>
      <c r="F12" s="221">
        <f t="shared" si="0"/>
        <v>2.3870339373407735E-4</v>
      </c>
      <c r="G12" s="100">
        <v>6.6632952642360706E-6</v>
      </c>
      <c r="H12" s="101">
        <v>1.1000000000000001E-6</v>
      </c>
      <c r="I12" s="102">
        <v>2.067986173968254E-4</v>
      </c>
      <c r="J12" s="102">
        <v>2.0679861739682541E-5</v>
      </c>
      <c r="K12" s="102">
        <v>2.2920533333333338E-6</v>
      </c>
      <c r="L12" s="102"/>
      <c r="M12" s="102">
        <v>0</v>
      </c>
      <c r="N12" s="102">
        <v>1.1695660000000001E-6</v>
      </c>
      <c r="O12" s="102"/>
      <c r="P12" s="14"/>
      <c r="Q12" s="14"/>
      <c r="R12" s="197">
        <f>'Parameters, country spec'!B25</f>
        <v>1.8041285588900518E-3</v>
      </c>
    </row>
    <row r="13" spans="1:18" x14ac:dyDescent="0.35">
      <c r="B13" s="18" t="s">
        <v>231</v>
      </c>
      <c r="C13" s="17" t="s">
        <v>345</v>
      </c>
      <c r="D13" s="23" t="str">
        <f>'Off-farm feed'!$D$77</f>
        <v>France, Germany, Poland</v>
      </c>
      <c r="E13" s="23" t="s">
        <v>82</v>
      </c>
      <c r="F13" s="222">
        <f>'Off-farm feed'!$E$77</f>
        <v>6.732045566157569E-4</v>
      </c>
      <c r="G13" s="222">
        <f>'Off-farm feed'!$F$77</f>
        <v>1.946970439026595E-4</v>
      </c>
      <c r="H13" s="222">
        <f>'Off-farm feed'!$G$77</f>
        <v>5.3103448275862083E-7</v>
      </c>
      <c r="I13" s="222">
        <f>'Off-farm feed'!$H$77</f>
        <v>4.2751561806777074E-4</v>
      </c>
      <c r="J13" s="222">
        <f>'Off-farm feed'!$I$77</f>
        <v>4.2751561806777089E-5</v>
      </c>
      <c r="K13" s="222">
        <f>'Off-farm feed'!$J$77</f>
        <v>6.6339607025480414E-7</v>
      </c>
      <c r="L13" s="222">
        <f>'Off-farm feed'!$K$77</f>
        <v>0</v>
      </c>
      <c r="M13" s="222">
        <f>'Off-farm feed'!$L$77</f>
        <v>7.9511067188965511E-9</v>
      </c>
      <c r="N13" s="222">
        <f>'Off-farm feed'!$M$77</f>
        <v>1.2789681892721844E-6</v>
      </c>
      <c r="O13" s="222">
        <f>'Off-farm feed'!$N$77</f>
        <v>0</v>
      </c>
      <c r="P13" s="222">
        <f>'Off-farm feed'!$O$77</f>
        <v>3.9312802868423834E-6</v>
      </c>
      <c r="Q13" s="222">
        <f>'Off-farm feed'!$P$77</f>
        <v>1.8277027027027027E-6</v>
      </c>
      <c r="R13" s="197">
        <f>'Parameters, country spec'!B26</f>
        <v>7.1767098590145267E-2</v>
      </c>
    </row>
    <row r="14" spans="1:18" x14ac:dyDescent="0.35">
      <c r="B14" s="18" t="s">
        <v>346</v>
      </c>
      <c r="C14" s="17" t="s">
        <v>345</v>
      </c>
      <c r="D14" s="23" t="str">
        <f>'Off-farm feed'!$D$26</f>
        <v>Brazil, Argentina</v>
      </c>
      <c r="E14" s="23" t="s">
        <v>82</v>
      </c>
      <c r="F14" s="222">
        <f>'Off-farm feed'!$E$26</f>
        <v>1.8866346644602505E-4</v>
      </c>
      <c r="G14" s="222">
        <f>'Off-farm feed'!$F$26</f>
        <v>1.6332109719061441E-5</v>
      </c>
      <c r="H14" s="222">
        <f>'Off-farm feed'!$G$26</f>
        <v>8.7195121951219526E-7</v>
      </c>
      <c r="I14" s="222">
        <f>'Off-farm feed'!$H$26</f>
        <v>1.3333449845358202E-4</v>
      </c>
      <c r="J14" s="222">
        <f>'Off-farm feed'!$I$26</f>
        <v>1.3333449845358203E-5</v>
      </c>
      <c r="K14" s="222">
        <f>'Off-farm feed'!$J$26</f>
        <v>1.1576736579983931E-6</v>
      </c>
      <c r="L14" s="222">
        <f>'Off-farm feed'!$K$26</f>
        <v>0</v>
      </c>
      <c r="M14" s="222">
        <f>'Off-farm feed'!$L$26</f>
        <v>7.3437786087804866E-9</v>
      </c>
      <c r="N14" s="222">
        <f>'Off-farm feed'!$M$26</f>
        <v>1.1195281639512197E-6</v>
      </c>
      <c r="O14" s="222">
        <f>'Off-farm feed'!$N$26</f>
        <v>0</v>
      </c>
      <c r="P14" s="222">
        <f>'Off-farm feed'!$O$26</f>
        <v>1.3419073770114991E-5</v>
      </c>
      <c r="Q14" s="222">
        <f>'Off-farm feed'!$P$26</f>
        <v>9.087837837837838E-6</v>
      </c>
      <c r="R14" s="197">
        <f>'Parameters, country spec'!B27</f>
        <v>0.10081362148549573</v>
      </c>
    </row>
    <row r="15" spans="1:18" x14ac:dyDescent="0.35">
      <c r="B15" s="17" t="s">
        <v>233</v>
      </c>
      <c r="C15" s="17" t="s">
        <v>347</v>
      </c>
      <c r="D15" s="23" t="s">
        <v>81</v>
      </c>
      <c r="E15" s="23" t="s">
        <v>82</v>
      </c>
      <c r="F15" s="222"/>
      <c r="G15" s="14"/>
      <c r="H15" s="14"/>
      <c r="I15" s="14"/>
      <c r="J15" s="14"/>
      <c r="K15" s="14"/>
      <c r="L15" s="14"/>
      <c r="M15" s="14"/>
      <c r="N15" s="14"/>
      <c r="O15" s="14"/>
      <c r="P15" s="8"/>
      <c r="Q15" s="14"/>
      <c r="R15" s="197">
        <f>'Parameters, country spec'!B28</f>
        <v>9.0561398556276068E-2</v>
      </c>
    </row>
    <row r="16" spans="1:18" x14ac:dyDescent="0.35">
      <c r="A16" s="83"/>
      <c r="B16" s="17" t="s">
        <v>348</v>
      </c>
      <c r="C16" s="84" t="s">
        <v>349</v>
      </c>
      <c r="D16" s="23" t="s">
        <v>81</v>
      </c>
      <c r="E16" s="23" t="s">
        <v>82</v>
      </c>
      <c r="F16" s="222">
        <f>SUM(G16:Q16)</f>
        <v>5.7856143731057198E-4</v>
      </c>
      <c r="G16" s="82">
        <f t="shared" ref="G16:N16" si="1">AVERAGE(G6:G14)</f>
        <v>9.600556562014004E-5</v>
      </c>
      <c r="H16" s="82">
        <f t="shared" si="1"/>
        <v>1.0114428558078684E-6</v>
      </c>
      <c r="I16" s="82">
        <f t="shared" si="1"/>
        <v>4.356508581563975E-4</v>
      </c>
      <c r="J16" s="82">
        <f t="shared" si="1"/>
        <v>4.3565085815639758E-5</v>
      </c>
      <c r="K16" s="82">
        <f t="shared" si="1"/>
        <v>1.1506233916367569E-6</v>
      </c>
      <c r="L16" s="82">
        <f t="shared" si="1"/>
        <v>0</v>
      </c>
      <c r="M16" s="82">
        <f t="shared" si="1"/>
        <v>1.6994317030752262E-9</v>
      </c>
      <c r="N16" s="82">
        <f t="shared" si="1"/>
        <v>1.1761620392470449E-6</v>
      </c>
      <c r="O16" s="82"/>
      <c r="P16" s="81"/>
      <c r="Q16" s="82"/>
      <c r="R16" s="197">
        <f>'Parameters, country spec'!B29</f>
        <v>3.4316549234581904E-2</v>
      </c>
    </row>
    <row r="17" spans="1:18" x14ac:dyDescent="0.35">
      <c r="A17" s="195"/>
      <c r="B17" s="25" t="s">
        <v>350</v>
      </c>
      <c r="C17" s="26"/>
      <c r="D17" s="103"/>
      <c r="E17" s="103"/>
      <c r="F17" s="46">
        <f>SUMPRODUCT(F6:F16,$R$6:$R$16)</f>
        <v>6.6037668117057855E-4</v>
      </c>
      <c r="G17" s="46">
        <f t="shared" ref="G17:O17" si="2">SUMPRODUCT(G6:G16,$R$6:$R$16)</f>
        <v>1.1509279857601688E-4</v>
      </c>
      <c r="H17" s="46">
        <f t="shared" si="2"/>
        <v>9.3352005818277167E-7</v>
      </c>
      <c r="I17" s="46">
        <f t="shared" si="2"/>
        <v>4.9073056717523341E-4</v>
      </c>
      <c r="J17" s="46">
        <f t="shared" si="2"/>
        <v>4.9073056717523347E-5</v>
      </c>
      <c r="K17" s="46">
        <f t="shared" si="2"/>
        <v>7.9637877369064079E-7</v>
      </c>
      <c r="L17" s="46">
        <f t="shared" si="2"/>
        <v>0</v>
      </c>
      <c r="M17" s="46">
        <f t="shared" si="2"/>
        <v>1.369299408444082E-9</v>
      </c>
      <c r="N17" s="46">
        <f t="shared" si="2"/>
        <v>1.0666818028818044E-6</v>
      </c>
      <c r="O17" s="46">
        <f t="shared" si="2"/>
        <v>0</v>
      </c>
      <c r="P17" s="30">
        <f>SUMPRODUCT(P6:P16,R6:R16)</f>
        <v>1.6349620036776288E-6</v>
      </c>
      <c r="Q17" s="46">
        <f>SUMPRODUCT(Q6:Q16,$R$6:$R$16)</f>
        <v>1.0473467639636895E-6</v>
      </c>
      <c r="R17" s="207"/>
    </row>
    <row r="18" spans="1:18" x14ac:dyDescent="0.35">
      <c r="A18" s="22" t="s">
        <v>336</v>
      </c>
      <c r="B18" s="17" t="s">
        <v>218</v>
      </c>
      <c r="C18" s="17" t="s">
        <v>337</v>
      </c>
      <c r="D18" s="23" t="s">
        <v>83</v>
      </c>
      <c r="E18" s="23" t="s">
        <v>84</v>
      </c>
      <c r="F18" s="223">
        <f>SUM(G18:Q18)</f>
        <v>8.3700497241450582E-4</v>
      </c>
      <c r="G18" s="201">
        <v>1.3527187113652022E-4</v>
      </c>
      <c r="H18" s="202">
        <v>1.1000000000000001E-6</v>
      </c>
      <c r="I18" s="205">
        <v>6.348790825230616E-4</v>
      </c>
      <c r="J18" s="205">
        <v>6.3487908252306166E-5</v>
      </c>
      <c r="K18" s="205">
        <v>1.0965445026178011E-6</v>
      </c>
      <c r="L18" s="205"/>
      <c r="M18" s="205">
        <v>0</v>
      </c>
      <c r="N18" s="205">
        <v>1.1695660000000001E-6</v>
      </c>
      <c r="O18" s="205"/>
      <c r="P18" s="14"/>
      <c r="Q18" s="204"/>
      <c r="R18" s="208">
        <f>'Parameters, country spec'!C19</f>
        <v>9.1606902667557069E-2</v>
      </c>
    </row>
    <row r="19" spans="1:18" x14ac:dyDescent="0.35">
      <c r="A19" s="22" t="s">
        <v>338</v>
      </c>
      <c r="B19" s="17" t="s">
        <v>222</v>
      </c>
      <c r="C19" s="17" t="s">
        <v>337</v>
      </c>
      <c r="D19" s="23" t="s">
        <v>83</v>
      </c>
      <c r="E19" s="23" t="s">
        <v>84</v>
      </c>
      <c r="F19" s="221">
        <f t="shared" ref="F19:F28" si="3">SUM(G19:Q19)</f>
        <v>7.7064277808378814E-4</v>
      </c>
      <c r="G19" s="100">
        <v>1.3173663927780048E-4</v>
      </c>
      <c r="H19" s="101">
        <v>1.1000000000000001E-6</v>
      </c>
      <c r="I19" s="102">
        <v>5.7807906502645948E-4</v>
      </c>
      <c r="J19" s="102">
        <v>5.7807906502645948E-5</v>
      </c>
      <c r="K19" s="102">
        <v>7.4960127688222882E-7</v>
      </c>
      <c r="L19" s="102"/>
      <c r="M19" s="102">
        <v>0</v>
      </c>
      <c r="N19" s="102">
        <v>1.1695660000000001E-6</v>
      </c>
      <c r="O19" s="102"/>
      <c r="P19" s="14"/>
      <c r="Q19" s="14"/>
      <c r="R19" s="197">
        <f>'Parameters, country spec'!C20</f>
        <v>0.13155509047103262</v>
      </c>
    </row>
    <row r="20" spans="1:18" x14ac:dyDescent="0.35">
      <c r="A20" s="22" t="s">
        <v>339</v>
      </c>
      <c r="B20" s="17" t="s">
        <v>226</v>
      </c>
      <c r="C20" s="17" t="s">
        <v>337</v>
      </c>
      <c r="D20" s="23" t="s">
        <v>83</v>
      </c>
      <c r="E20" s="23" t="s">
        <v>84</v>
      </c>
      <c r="F20" s="221">
        <f t="shared" si="3"/>
        <v>7.4080189535590966E-4</v>
      </c>
      <c r="G20" s="100">
        <v>1.1925038042019814E-4</v>
      </c>
      <c r="H20" s="101">
        <v>1.1000000000000001E-6</v>
      </c>
      <c r="I20" s="102">
        <v>5.6184338890070615E-4</v>
      </c>
      <c r="J20" s="102">
        <v>5.6184338890070617E-5</v>
      </c>
      <c r="K20" s="102">
        <v>1.2542211449347684E-6</v>
      </c>
      <c r="L20" s="102"/>
      <c r="M20" s="102">
        <v>0</v>
      </c>
      <c r="N20" s="102">
        <v>1.1695660000000001E-6</v>
      </c>
      <c r="O20" s="102"/>
      <c r="P20" s="14"/>
      <c r="Q20" s="14"/>
      <c r="R20" s="197">
        <f>'Parameters, country spec'!C21</f>
        <v>9.289741735930411E-3</v>
      </c>
    </row>
    <row r="21" spans="1:18" x14ac:dyDescent="0.35">
      <c r="A21" s="22" t="s">
        <v>340</v>
      </c>
      <c r="B21" s="17" t="s">
        <v>227</v>
      </c>
      <c r="C21" s="17" t="s">
        <v>337</v>
      </c>
      <c r="D21" s="23" t="s">
        <v>83</v>
      </c>
      <c r="E21" s="23" t="s">
        <v>84</v>
      </c>
      <c r="F21" s="221">
        <f t="shared" si="3"/>
        <v>6.6289501004433845E-4</v>
      </c>
      <c r="G21" s="100">
        <v>1.0503816802565812E-4</v>
      </c>
      <c r="H21" s="101">
        <v>1.1000000000000001E-6</v>
      </c>
      <c r="I21" s="102">
        <v>5.0432765635150922E-4</v>
      </c>
      <c r="J21" s="102">
        <v>5.0432765635150922E-5</v>
      </c>
      <c r="K21" s="102">
        <v>8.2685403202016689E-7</v>
      </c>
      <c r="L21" s="102"/>
      <c r="M21" s="102">
        <v>0</v>
      </c>
      <c r="N21" s="102">
        <v>1.1695660000000001E-6</v>
      </c>
      <c r="O21" s="102"/>
      <c r="P21" s="14"/>
      <c r="Q21" s="14"/>
      <c r="R21" s="197">
        <f>'Parameters, country spec'!C22</f>
        <v>2.0777988939877966E-3</v>
      </c>
    </row>
    <row r="22" spans="1:18" x14ac:dyDescent="0.35">
      <c r="A22" s="22" t="s">
        <v>341</v>
      </c>
      <c r="B22" s="17" t="s">
        <v>228</v>
      </c>
      <c r="C22" s="17" t="s">
        <v>337</v>
      </c>
      <c r="D22" s="23" t="s">
        <v>83</v>
      </c>
      <c r="E22" s="23" t="s">
        <v>84</v>
      </c>
      <c r="F22" s="221">
        <f t="shared" si="3"/>
        <v>9.1657094895803305E-4</v>
      </c>
      <c r="G22" s="100">
        <v>1.5506058283512638E-4</v>
      </c>
      <c r="H22" s="101">
        <v>1.1000000000000001E-6</v>
      </c>
      <c r="I22" s="102">
        <v>6.8950683668766316E-4</v>
      </c>
      <c r="J22" s="102">
        <v>6.8950683668766316E-5</v>
      </c>
      <c r="K22" s="102">
        <v>7.832797664771855E-7</v>
      </c>
      <c r="L22" s="102"/>
      <c r="M22" s="102">
        <v>0</v>
      </c>
      <c r="N22" s="102">
        <v>1.1695660000000001E-6</v>
      </c>
      <c r="O22" s="102"/>
      <c r="P22" s="14"/>
      <c r="Q22" s="14"/>
      <c r="R22" s="197">
        <f>'Parameters, country spec'!C23</f>
        <v>0.19898022259279191</v>
      </c>
    </row>
    <row r="23" spans="1:18" x14ac:dyDescent="0.35">
      <c r="A23" s="22" t="s">
        <v>342</v>
      </c>
      <c r="B23" s="17" t="s">
        <v>229</v>
      </c>
      <c r="C23" s="17" t="s">
        <v>343</v>
      </c>
      <c r="D23" s="23" t="s">
        <v>83</v>
      </c>
      <c r="E23" s="23" t="s">
        <v>84</v>
      </c>
      <c r="F23" s="221">
        <f t="shared" si="3"/>
        <v>2.0683180874021213E-4</v>
      </c>
      <c r="G23" s="100">
        <v>0</v>
      </c>
      <c r="H23" s="101">
        <v>1.1000000000000001E-6</v>
      </c>
      <c r="I23" s="102">
        <v>1.8457296000000002E-4</v>
      </c>
      <c r="J23" s="102">
        <v>1.8457296000000003E-5</v>
      </c>
      <c r="K23" s="102">
        <v>1.5319867402121297E-6</v>
      </c>
      <c r="L23" s="102"/>
      <c r="M23" s="102">
        <v>0</v>
      </c>
      <c r="N23" s="102">
        <v>1.1695660000000001E-6</v>
      </c>
      <c r="O23" s="102"/>
      <c r="P23" s="14"/>
      <c r="Q23" s="14"/>
      <c r="R23" s="197">
        <f>'Parameters, country spec'!C24</f>
        <v>0</v>
      </c>
    </row>
    <row r="24" spans="1:18" x14ac:dyDescent="0.35">
      <c r="A24" s="22" t="s">
        <v>344</v>
      </c>
      <c r="B24" s="17" t="s">
        <v>230</v>
      </c>
      <c r="C24" s="17" t="s">
        <v>343</v>
      </c>
      <c r="D24" s="23" t="s">
        <v>83</v>
      </c>
      <c r="E24" s="23" t="s">
        <v>84</v>
      </c>
      <c r="F24" s="221">
        <f t="shared" si="3"/>
        <v>2.3870339373407735E-4</v>
      </c>
      <c r="G24" s="100">
        <v>6.6632952642360706E-6</v>
      </c>
      <c r="H24" s="101">
        <v>1.1000000000000001E-6</v>
      </c>
      <c r="I24" s="102">
        <v>2.067986173968254E-4</v>
      </c>
      <c r="J24" s="102">
        <v>2.0679861739682541E-5</v>
      </c>
      <c r="K24" s="102">
        <v>2.2920533333333338E-6</v>
      </c>
      <c r="L24" s="102"/>
      <c r="M24" s="102">
        <v>0</v>
      </c>
      <c r="N24" s="102">
        <v>1.1695660000000001E-6</v>
      </c>
      <c r="O24" s="102"/>
      <c r="P24" s="14"/>
      <c r="Q24" s="14"/>
      <c r="R24" s="197">
        <f>'Parameters, country spec'!C25</f>
        <v>0</v>
      </c>
    </row>
    <row r="25" spans="1:18" x14ac:dyDescent="0.35">
      <c r="B25" s="18" t="s">
        <v>231</v>
      </c>
      <c r="C25" s="17" t="s">
        <v>345</v>
      </c>
      <c r="D25" s="23" t="str">
        <f>'Off-farm feed'!$D$77</f>
        <v>France, Germany, Poland</v>
      </c>
      <c r="E25" s="23" t="s">
        <v>82</v>
      </c>
      <c r="F25" s="222">
        <f>'Off-farm feed'!$E$77</f>
        <v>6.732045566157569E-4</v>
      </c>
      <c r="G25" s="222">
        <f>'Off-farm feed'!$F$77</f>
        <v>1.946970439026595E-4</v>
      </c>
      <c r="H25" s="222">
        <f>'Off-farm feed'!$G$77</f>
        <v>5.3103448275862083E-7</v>
      </c>
      <c r="I25" s="222">
        <f>'Off-farm feed'!$H$77</f>
        <v>4.2751561806777074E-4</v>
      </c>
      <c r="J25" s="222">
        <f>'Off-farm feed'!$I$77</f>
        <v>4.2751561806777089E-5</v>
      </c>
      <c r="K25" s="222">
        <f>'Off-farm feed'!$J$77</f>
        <v>6.6339607025480414E-7</v>
      </c>
      <c r="L25" s="222">
        <f>'Off-farm feed'!$K$77</f>
        <v>0</v>
      </c>
      <c r="M25" s="222">
        <f>'Off-farm feed'!$L$77</f>
        <v>7.9511067188965511E-9</v>
      </c>
      <c r="N25" s="222">
        <f>'Off-farm feed'!$M$77</f>
        <v>1.2789681892721844E-6</v>
      </c>
      <c r="O25" s="222">
        <f>'Off-farm feed'!$N$77</f>
        <v>0</v>
      </c>
      <c r="P25" s="222">
        <f>'Off-farm feed'!$O$77</f>
        <v>3.9312802868423834E-6</v>
      </c>
      <c r="Q25" s="222">
        <f>'Off-farm feed'!$P$77</f>
        <v>1.8277027027027027E-6</v>
      </c>
      <c r="R25" s="197">
        <f>'Parameters, country spec'!C26</f>
        <v>0.11887736478257062</v>
      </c>
    </row>
    <row r="26" spans="1:18" x14ac:dyDescent="0.35">
      <c r="B26" s="18" t="s">
        <v>346</v>
      </c>
      <c r="C26" s="17" t="s">
        <v>345</v>
      </c>
      <c r="D26" s="23" t="str">
        <f>'Off-farm feed'!$D$26</f>
        <v>Brazil, Argentina</v>
      </c>
      <c r="E26" s="23" t="s">
        <v>82</v>
      </c>
      <c r="F26" s="222">
        <f>'Off-farm feed'!$E$26</f>
        <v>1.8866346644602505E-4</v>
      </c>
      <c r="G26" s="222">
        <f>'Off-farm feed'!$F$26</f>
        <v>1.6332109719061441E-5</v>
      </c>
      <c r="H26" s="222">
        <f>'Off-farm feed'!$G$26</f>
        <v>8.7195121951219526E-7</v>
      </c>
      <c r="I26" s="222">
        <f>'Off-farm feed'!$H$26</f>
        <v>1.3333449845358202E-4</v>
      </c>
      <c r="J26" s="222">
        <f>'Off-farm feed'!$I$26</f>
        <v>1.3333449845358203E-5</v>
      </c>
      <c r="K26" s="222">
        <f>'Off-farm feed'!$J$26</f>
        <v>1.1576736579983931E-6</v>
      </c>
      <c r="L26" s="222">
        <f>'Off-farm feed'!$K$26</f>
        <v>0</v>
      </c>
      <c r="M26" s="222">
        <f>'Off-farm feed'!$L$26</f>
        <v>7.3437786087804866E-9</v>
      </c>
      <c r="N26" s="222">
        <f>'Off-farm feed'!$M$26</f>
        <v>1.1195281639512197E-6</v>
      </c>
      <c r="O26" s="222">
        <f>'Off-farm feed'!$N$26</f>
        <v>0</v>
      </c>
      <c r="P26" s="222">
        <f>'Off-farm feed'!$O$26</f>
        <v>1.3419073770114991E-5</v>
      </c>
      <c r="Q26" s="222">
        <f>'Off-farm feed'!$P$26</f>
        <v>9.087837837837838E-6</v>
      </c>
      <c r="R26" s="197">
        <f>'Parameters, country spec'!C27</f>
        <v>0.14455218048244542</v>
      </c>
    </row>
    <row r="27" spans="1:18" x14ac:dyDescent="0.35">
      <c r="B27" s="17" t="s">
        <v>233</v>
      </c>
      <c r="C27" s="17" t="s">
        <v>347</v>
      </c>
      <c r="D27" s="23" t="s">
        <v>83</v>
      </c>
      <c r="E27" s="23" t="s">
        <v>84</v>
      </c>
      <c r="F27" s="222"/>
      <c r="G27" s="14"/>
      <c r="H27" s="14"/>
      <c r="I27" s="14"/>
      <c r="J27" s="14"/>
      <c r="K27" s="14"/>
      <c r="L27" s="14"/>
      <c r="M27" s="14"/>
      <c r="N27" s="14"/>
      <c r="O27" s="14"/>
      <c r="P27" s="8"/>
      <c r="Q27" s="14"/>
      <c r="R27" s="197">
        <f>'Parameters, country spec'!C28</f>
        <v>0.16248162657729212</v>
      </c>
    </row>
    <row r="28" spans="1:18" x14ac:dyDescent="0.35">
      <c r="A28" s="83"/>
      <c r="B28" s="17" t="s">
        <v>348</v>
      </c>
      <c r="C28" s="84" t="s">
        <v>349</v>
      </c>
      <c r="D28" s="23" t="s">
        <v>83</v>
      </c>
      <c r="E28" s="23" t="s">
        <v>84</v>
      </c>
      <c r="F28" s="222">
        <f t="shared" si="3"/>
        <v>5.7856143731057198E-4</v>
      </c>
      <c r="G28" s="82">
        <f t="shared" ref="G28:N28" si="4">AVERAGE(G18:G26)</f>
        <v>9.600556562014004E-5</v>
      </c>
      <c r="H28" s="82">
        <f t="shared" si="4"/>
        <v>1.0114428558078684E-6</v>
      </c>
      <c r="I28" s="82">
        <f t="shared" si="4"/>
        <v>4.356508581563975E-4</v>
      </c>
      <c r="J28" s="82">
        <f t="shared" si="4"/>
        <v>4.3565085815639758E-5</v>
      </c>
      <c r="K28" s="82">
        <f t="shared" si="4"/>
        <v>1.1506233916367569E-6</v>
      </c>
      <c r="L28" s="82">
        <f t="shared" si="4"/>
        <v>0</v>
      </c>
      <c r="M28" s="82">
        <f t="shared" si="4"/>
        <v>1.6994317030752262E-9</v>
      </c>
      <c r="N28" s="82">
        <f t="shared" si="4"/>
        <v>1.1761620392470449E-6</v>
      </c>
      <c r="O28" s="82"/>
      <c r="P28" s="81"/>
      <c r="Q28" s="82"/>
      <c r="R28" s="197">
        <f>'Parameters, country spec'!C29</f>
        <v>0.14057907179639201</v>
      </c>
    </row>
    <row r="29" spans="1:18" x14ac:dyDescent="0.35">
      <c r="A29" s="195"/>
      <c r="B29" s="25" t="s">
        <v>350</v>
      </c>
      <c r="C29" s="26"/>
      <c r="D29" s="103"/>
      <c r="E29" s="103"/>
      <c r="F29" s="46">
        <f>SUMPRODUCT(F18:F28,$R$18:$R$28)</f>
        <v>5.5733025461825408E-4</v>
      </c>
      <c r="G29" s="46">
        <f t="shared" ref="G29:O29" si="5">SUMPRODUCT(G18:G28,$R$18:$R$28)</f>
        <v>1.0090479222870956E-4</v>
      </c>
      <c r="H29" s="46">
        <f t="shared" si="5"/>
        <v>8.0821885981582736E-7</v>
      </c>
      <c r="I29" s="46">
        <f t="shared" si="5"/>
        <v>4.0901316111740399E-4</v>
      </c>
      <c r="J29" s="46">
        <f t="shared" si="5"/>
        <v>4.0901316111740401E-5</v>
      </c>
      <c r="K29" s="46">
        <f t="shared" si="5"/>
        <v>7.7625211508813751E-7</v>
      </c>
      <c r="L29" s="46">
        <f t="shared" si="5"/>
        <v>0</v>
      </c>
      <c r="M29" s="46">
        <f t="shared" si="5"/>
        <v>2.2456703561266496E-9</v>
      </c>
      <c r="N29" s="46">
        <f t="shared" si="5"/>
        <v>9.8623264466003202E-7</v>
      </c>
      <c r="O29" s="46">
        <f t="shared" si="5"/>
        <v>0</v>
      </c>
      <c r="P29" s="30">
        <f>SUMPRODUCT(P18:P28,R18:R28)</f>
        <v>2.4070966142464023E-6</v>
      </c>
      <c r="Q29" s="46">
        <f>SUMPRODUCT(Q18:Q28,$R$18:$R$28)</f>
        <v>1.5309392562336112E-6</v>
      </c>
      <c r="R29" s="207"/>
    </row>
    <row r="30" spans="1:18" x14ac:dyDescent="0.35">
      <c r="A30" s="22" t="s">
        <v>336</v>
      </c>
      <c r="B30" s="17" t="s">
        <v>218</v>
      </c>
      <c r="C30" s="17" t="s">
        <v>337</v>
      </c>
      <c r="D30" s="23" t="s">
        <v>85</v>
      </c>
      <c r="E30" s="23" t="s">
        <v>86</v>
      </c>
      <c r="F30" s="223">
        <f>SUM(G30:Q30)</f>
        <v>8.3700497241450582E-4</v>
      </c>
      <c r="G30" s="201">
        <v>1.3527187113652022E-4</v>
      </c>
      <c r="H30" s="202">
        <v>1.1000000000000001E-6</v>
      </c>
      <c r="I30" s="205">
        <v>6.348790825230616E-4</v>
      </c>
      <c r="J30" s="205">
        <v>6.3487908252306166E-5</v>
      </c>
      <c r="K30" s="205">
        <v>1.0965445026178011E-6</v>
      </c>
      <c r="L30" s="205"/>
      <c r="M30" s="205">
        <v>0</v>
      </c>
      <c r="N30" s="205">
        <v>1.1695660000000001E-6</v>
      </c>
      <c r="O30" s="205"/>
      <c r="P30" s="14"/>
      <c r="Q30" s="204"/>
      <c r="R30" s="208">
        <f>'Parameters, country spec'!D19</f>
        <v>0</v>
      </c>
    </row>
    <row r="31" spans="1:18" x14ac:dyDescent="0.35">
      <c r="A31" s="22" t="s">
        <v>338</v>
      </c>
      <c r="B31" s="17" t="s">
        <v>222</v>
      </c>
      <c r="C31" s="17" t="s">
        <v>337</v>
      </c>
      <c r="D31" s="23" t="s">
        <v>85</v>
      </c>
      <c r="E31" s="23" t="s">
        <v>86</v>
      </c>
      <c r="F31" s="221">
        <f t="shared" ref="F31:F40" si="6">SUM(G31:Q31)</f>
        <v>7.7064277808378814E-4</v>
      </c>
      <c r="G31" s="100">
        <v>1.3173663927780048E-4</v>
      </c>
      <c r="H31" s="101">
        <v>1.1000000000000001E-6</v>
      </c>
      <c r="I31" s="102">
        <v>5.7807906502645948E-4</v>
      </c>
      <c r="J31" s="102">
        <v>5.7807906502645948E-5</v>
      </c>
      <c r="K31" s="102">
        <v>7.4960127688222882E-7</v>
      </c>
      <c r="L31" s="102"/>
      <c r="M31" s="102">
        <v>0</v>
      </c>
      <c r="N31" s="102">
        <v>1.1695660000000001E-6</v>
      </c>
      <c r="O31" s="102"/>
      <c r="P31" s="14"/>
      <c r="Q31" s="14"/>
      <c r="R31" s="197">
        <f>'Parameters, country spec'!D20</f>
        <v>0.54552951323157861</v>
      </c>
    </row>
    <row r="32" spans="1:18" x14ac:dyDescent="0.35">
      <c r="A32" s="22" t="s">
        <v>339</v>
      </c>
      <c r="B32" s="17" t="s">
        <v>226</v>
      </c>
      <c r="C32" s="17" t="s">
        <v>337</v>
      </c>
      <c r="D32" s="23" t="s">
        <v>85</v>
      </c>
      <c r="E32" s="23" t="s">
        <v>86</v>
      </c>
      <c r="F32" s="221">
        <f t="shared" si="6"/>
        <v>7.4080189535590966E-4</v>
      </c>
      <c r="G32" s="100">
        <v>1.1925038042019814E-4</v>
      </c>
      <c r="H32" s="101">
        <v>1.1000000000000001E-6</v>
      </c>
      <c r="I32" s="102">
        <v>5.6184338890070615E-4</v>
      </c>
      <c r="J32" s="102">
        <v>5.6184338890070617E-5</v>
      </c>
      <c r="K32" s="102">
        <v>1.2542211449347684E-6</v>
      </c>
      <c r="L32" s="102"/>
      <c r="M32" s="102">
        <v>0</v>
      </c>
      <c r="N32" s="102">
        <v>1.1695660000000001E-6</v>
      </c>
      <c r="O32" s="102"/>
      <c r="P32" s="14"/>
      <c r="Q32" s="14"/>
      <c r="R32" s="197">
        <f>'Parameters, country spec'!D21</f>
        <v>0</v>
      </c>
    </row>
    <row r="33" spans="1:18" x14ac:dyDescent="0.35">
      <c r="A33" s="22" t="s">
        <v>340</v>
      </c>
      <c r="B33" s="17" t="s">
        <v>227</v>
      </c>
      <c r="C33" s="17" t="s">
        <v>337</v>
      </c>
      <c r="D33" s="23" t="s">
        <v>85</v>
      </c>
      <c r="E33" s="23" t="s">
        <v>86</v>
      </c>
      <c r="F33" s="221">
        <f t="shared" si="6"/>
        <v>6.6289501004433845E-4</v>
      </c>
      <c r="G33" s="100">
        <v>1.0503816802565812E-4</v>
      </c>
      <c r="H33" s="101">
        <v>1.1000000000000001E-6</v>
      </c>
      <c r="I33" s="102">
        <v>5.0432765635150922E-4</v>
      </c>
      <c r="J33" s="102">
        <v>5.0432765635150922E-5</v>
      </c>
      <c r="K33" s="102">
        <v>8.2685403202016689E-7</v>
      </c>
      <c r="L33" s="102"/>
      <c r="M33" s="102">
        <v>0</v>
      </c>
      <c r="N33" s="102">
        <v>1.1695660000000001E-6</v>
      </c>
      <c r="O33" s="102"/>
      <c r="P33" s="14"/>
      <c r="Q33" s="14"/>
      <c r="R33" s="197">
        <f>'Parameters, country spec'!D22</f>
        <v>5.6518820446868744E-3</v>
      </c>
    </row>
    <row r="34" spans="1:18" x14ac:dyDescent="0.35">
      <c r="A34" s="22" t="s">
        <v>341</v>
      </c>
      <c r="B34" s="17" t="s">
        <v>228</v>
      </c>
      <c r="C34" s="17" t="s">
        <v>337</v>
      </c>
      <c r="D34" s="23" t="s">
        <v>85</v>
      </c>
      <c r="E34" s="23" t="s">
        <v>86</v>
      </c>
      <c r="F34" s="221">
        <f t="shared" si="6"/>
        <v>9.1657094895803305E-4</v>
      </c>
      <c r="G34" s="100">
        <v>1.5506058283512638E-4</v>
      </c>
      <c r="H34" s="101">
        <v>1.1000000000000001E-6</v>
      </c>
      <c r="I34" s="102">
        <v>6.8950683668766316E-4</v>
      </c>
      <c r="J34" s="102">
        <v>6.8950683668766316E-5</v>
      </c>
      <c r="K34" s="102">
        <v>7.832797664771855E-7</v>
      </c>
      <c r="L34" s="102"/>
      <c r="M34" s="102">
        <v>0</v>
      </c>
      <c r="N34" s="102">
        <v>1.1695660000000001E-6</v>
      </c>
      <c r="O34" s="102"/>
      <c r="P34" s="14"/>
      <c r="Q34" s="14"/>
      <c r="R34" s="197">
        <f>'Parameters, country spec'!D23</f>
        <v>6.0251044055952427E-2</v>
      </c>
    </row>
    <row r="35" spans="1:18" x14ac:dyDescent="0.35">
      <c r="A35" s="22" t="s">
        <v>342</v>
      </c>
      <c r="B35" s="17" t="s">
        <v>229</v>
      </c>
      <c r="C35" s="17" t="s">
        <v>343</v>
      </c>
      <c r="D35" s="23" t="s">
        <v>85</v>
      </c>
      <c r="E35" s="23" t="s">
        <v>86</v>
      </c>
      <c r="F35" s="221">
        <f t="shared" si="6"/>
        <v>2.0683180874021213E-4</v>
      </c>
      <c r="G35" s="100">
        <v>0</v>
      </c>
      <c r="H35" s="101">
        <v>1.1000000000000001E-6</v>
      </c>
      <c r="I35" s="102">
        <v>1.8457296000000002E-4</v>
      </c>
      <c r="J35" s="102">
        <v>1.8457296000000003E-5</v>
      </c>
      <c r="K35" s="102">
        <v>1.5319867402121297E-6</v>
      </c>
      <c r="L35" s="102"/>
      <c r="M35" s="102">
        <v>0</v>
      </c>
      <c r="N35" s="102">
        <v>1.1695660000000001E-6</v>
      </c>
      <c r="O35" s="102"/>
      <c r="P35" s="14"/>
      <c r="Q35" s="14"/>
      <c r="R35" s="197">
        <f>'Parameters, country spec'!D24</f>
        <v>0</v>
      </c>
    </row>
    <row r="36" spans="1:18" x14ac:dyDescent="0.35">
      <c r="A36" s="22" t="s">
        <v>344</v>
      </c>
      <c r="B36" s="17" t="s">
        <v>230</v>
      </c>
      <c r="C36" s="17" t="s">
        <v>343</v>
      </c>
      <c r="D36" s="23" t="s">
        <v>85</v>
      </c>
      <c r="E36" s="23" t="s">
        <v>86</v>
      </c>
      <c r="F36" s="221">
        <f t="shared" si="6"/>
        <v>2.3870339373407735E-4</v>
      </c>
      <c r="G36" s="100">
        <v>6.6632952642360706E-6</v>
      </c>
      <c r="H36" s="101">
        <v>1.1000000000000001E-6</v>
      </c>
      <c r="I36" s="102">
        <v>2.067986173968254E-4</v>
      </c>
      <c r="J36" s="102">
        <v>2.0679861739682541E-5</v>
      </c>
      <c r="K36" s="102">
        <v>2.2920533333333338E-6</v>
      </c>
      <c r="L36" s="102"/>
      <c r="M36" s="102">
        <v>0</v>
      </c>
      <c r="N36" s="102">
        <v>1.1695660000000001E-6</v>
      </c>
      <c r="O36" s="102"/>
      <c r="P36" s="14"/>
      <c r="Q36" s="14"/>
      <c r="R36" s="197">
        <f>'Parameters, country spec'!D25</f>
        <v>0</v>
      </c>
    </row>
    <row r="37" spans="1:18" x14ac:dyDescent="0.35">
      <c r="B37" s="18" t="s">
        <v>231</v>
      </c>
      <c r="C37" s="17" t="s">
        <v>345</v>
      </c>
      <c r="D37" s="23" t="str">
        <f>'Off-farm feed'!$D$77</f>
        <v>France, Germany, Poland</v>
      </c>
      <c r="E37" s="23" t="s">
        <v>82</v>
      </c>
      <c r="F37" s="222">
        <f>'Off-farm feed'!$E$77</f>
        <v>6.732045566157569E-4</v>
      </c>
      <c r="G37" s="222">
        <f>'Off-farm feed'!$F$77</f>
        <v>1.946970439026595E-4</v>
      </c>
      <c r="H37" s="222">
        <f>'Off-farm feed'!$G$77</f>
        <v>5.3103448275862083E-7</v>
      </c>
      <c r="I37" s="222">
        <f>'Off-farm feed'!$H$77</f>
        <v>4.2751561806777074E-4</v>
      </c>
      <c r="J37" s="222">
        <f>'Off-farm feed'!$I$77</f>
        <v>4.2751561806777089E-5</v>
      </c>
      <c r="K37" s="222">
        <f>'Off-farm feed'!$J$77</f>
        <v>6.6339607025480414E-7</v>
      </c>
      <c r="L37" s="222">
        <f>'Off-farm feed'!$K$77</f>
        <v>0</v>
      </c>
      <c r="M37" s="222">
        <f>'Off-farm feed'!$L$77</f>
        <v>7.9511067188965511E-9</v>
      </c>
      <c r="N37" s="222">
        <f>'Off-farm feed'!$M$77</f>
        <v>1.2789681892721844E-6</v>
      </c>
      <c r="O37" s="222">
        <f>'Off-farm feed'!$N$77</f>
        <v>0</v>
      </c>
      <c r="P37" s="222">
        <f>'Off-farm feed'!$O$77</f>
        <v>3.9312802868423834E-6</v>
      </c>
      <c r="Q37" s="222">
        <f>'Off-farm feed'!$P$77</f>
        <v>1.8277027027027027E-6</v>
      </c>
      <c r="R37" s="197">
        <f>'Parameters, country spec'!D26</f>
        <v>1.9282223002705559E-3</v>
      </c>
    </row>
    <row r="38" spans="1:18" x14ac:dyDescent="0.35">
      <c r="B38" s="18" t="s">
        <v>346</v>
      </c>
      <c r="C38" s="17" t="s">
        <v>345</v>
      </c>
      <c r="D38" s="23" t="str">
        <f>'Off-farm feed'!$D$26</f>
        <v>Brazil, Argentina</v>
      </c>
      <c r="E38" s="23" t="s">
        <v>82</v>
      </c>
      <c r="F38" s="222">
        <f>'Off-farm feed'!$E$26</f>
        <v>1.8866346644602505E-4</v>
      </c>
      <c r="G38" s="222">
        <f>'Off-farm feed'!$F$26</f>
        <v>1.6332109719061441E-5</v>
      </c>
      <c r="H38" s="222">
        <f>'Off-farm feed'!$G$26</f>
        <v>8.7195121951219526E-7</v>
      </c>
      <c r="I38" s="222">
        <f>'Off-farm feed'!$H$26</f>
        <v>1.3333449845358202E-4</v>
      </c>
      <c r="J38" s="222">
        <f>'Off-farm feed'!$I$26</f>
        <v>1.3333449845358203E-5</v>
      </c>
      <c r="K38" s="222">
        <f>'Off-farm feed'!$J$26</f>
        <v>1.1576736579983931E-6</v>
      </c>
      <c r="L38" s="222">
        <f>'Off-farm feed'!$K$26</f>
        <v>0</v>
      </c>
      <c r="M38" s="222">
        <f>'Off-farm feed'!$L$26</f>
        <v>7.3437786087804866E-9</v>
      </c>
      <c r="N38" s="222">
        <f>'Off-farm feed'!$M$26</f>
        <v>1.1195281639512197E-6</v>
      </c>
      <c r="O38" s="222">
        <f>'Off-farm feed'!$N$26</f>
        <v>0</v>
      </c>
      <c r="P38" s="222">
        <f>'Off-farm feed'!$O$26</f>
        <v>1.3419073770114991E-5</v>
      </c>
      <c r="Q38" s="222">
        <f>'Off-farm feed'!$P$26</f>
        <v>9.087837837837838E-6</v>
      </c>
      <c r="R38" s="197">
        <f>'Parameters, country spec'!D27</f>
        <v>4.8958214837280058E-2</v>
      </c>
    </row>
    <row r="39" spans="1:18" x14ac:dyDescent="0.35">
      <c r="B39" s="17" t="s">
        <v>233</v>
      </c>
      <c r="C39" s="17" t="s">
        <v>347</v>
      </c>
      <c r="D39" s="23" t="s">
        <v>85</v>
      </c>
      <c r="E39" s="23" t="s">
        <v>86</v>
      </c>
      <c r="F39" s="222"/>
      <c r="G39" s="14"/>
      <c r="H39" s="14"/>
      <c r="I39" s="14"/>
      <c r="J39" s="14"/>
      <c r="K39" s="14"/>
      <c r="L39" s="14"/>
      <c r="M39" s="14"/>
      <c r="N39" s="14"/>
      <c r="O39" s="14"/>
      <c r="P39" s="8"/>
      <c r="Q39" s="14"/>
      <c r="R39" s="197">
        <f>'Parameters, country spec'!D28</f>
        <v>0.12305696748386015</v>
      </c>
    </row>
    <row r="40" spans="1:18" x14ac:dyDescent="0.35">
      <c r="A40" s="83"/>
      <c r="B40" s="17" t="s">
        <v>348</v>
      </c>
      <c r="C40" s="84" t="s">
        <v>349</v>
      </c>
      <c r="D40" s="23" t="s">
        <v>85</v>
      </c>
      <c r="E40" s="23" t="s">
        <v>86</v>
      </c>
      <c r="F40" s="222">
        <f t="shared" si="6"/>
        <v>5.7856143731057198E-4</v>
      </c>
      <c r="G40" s="82">
        <f t="shared" ref="G40:N40" si="7">AVERAGE(G30:G38)</f>
        <v>9.600556562014004E-5</v>
      </c>
      <c r="H40" s="82">
        <f t="shared" si="7"/>
        <v>1.0114428558078684E-6</v>
      </c>
      <c r="I40" s="82">
        <f t="shared" si="7"/>
        <v>4.356508581563975E-4</v>
      </c>
      <c r="J40" s="82">
        <f t="shared" si="7"/>
        <v>4.3565085815639758E-5</v>
      </c>
      <c r="K40" s="82">
        <f t="shared" si="7"/>
        <v>1.1506233916367569E-6</v>
      </c>
      <c r="L40" s="82">
        <f t="shared" si="7"/>
        <v>0</v>
      </c>
      <c r="M40" s="82">
        <f t="shared" si="7"/>
        <v>1.6994317030752262E-9</v>
      </c>
      <c r="N40" s="82">
        <f t="shared" si="7"/>
        <v>1.1761620392470449E-6</v>
      </c>
      <c r="O40" s="82"/>
      <c r="P40" s="81"/>
      <c r="Q40" s="82"/>
      <c r="R40" s="197">
        <f>'Parameters, country spec'!D29</f>
        <v>0.21462415604637128</v>
      </c>
    </row>
    <row r="41" spans="1:18" x14ac:dyDescent="0.35">
      <c r="A41" s="195"/>
      <c r="B41" s="25" t="s">
        <v>350</v>
      </c>
      <c r="C41" s="26"/>
      <c r="D41" s="103"/>
      <c r="E41" s="103"/>
      <c r="F41" s="46">
        <f>SUMPRODUCT(F30:F40,$R$30:$R$40)</f>
        <v>6.1408731539901694E-4</v>
      </c>
      <c r="G41" s="46">
        <f t="shared" ref="G41:O41" si="8">SUMPRODUCT(G30:G40,$R$30:$R$40)</f>
        <v>1.0358257365879321E-4</v>
      </c>
      <c r="H41" s="46">
        <f t="shared" si="8"/>
        <v>9.3336888024670937E-7</v>
      </c>
      <c r="I41" s="46">
        <f t="shared" si="8"/>
        <v>4.6060646010464927E-4</v>
      </c>
      <c r="J41" s="46">
        <f t="shared" si="8"/>
        <v>4.6060646010464933E-5</v>
      </c>
      <c r="K41" s="46">
        <f t="shared" si="8"/>
        <v>7.6570470998421159E-7</v>
      </c>
      <c r="L41" s="46">
        <f t="shared" si="8"/>
        <v>0</v>
      </c>
      <c r="M41" s="46">
        <f t="shared" si="8"/>
        <v>7.3960888716427195E-10</v>
      </c>
      <c r="N41" s="46">
        <f t="shared" si="8"/>
        <v>1.0248196127382016E-6</v>
      </c>
      <c r="O41" s="46">
        <f t="shared" si="8"/>
        <v>0</v>
      </c>
      <c r="P41" s="30">
        <f>SUMPRODUCT(P30:P40,R30:R40)</f>
        <v>6.6455427887230292E-7</v>
      </c>
      <c r="Q41" s="46">
        <f>SUMPRODUCT(Q30:Q40,$R$30:$R$40)</f>
        <v>4.4844853438084369E-7</v>
      </c>
      <c r="R41" s="207"/>
    </row>
    <row r="42" spans="1:18" x14ac:dyDescent="0.35">
      <c r="A42" s="22" t="s">
        <v>336</v>
      </c>
      <c r="B42" s="17" t="s">
        <v>218</v>
      </c>
      <c r="C42" s="17" t="s">
        <v>337</v>
      </c>
      <c r="D42" s="23" t="s">
        <v>87</v>
      </c>
      <c r="E42" s="23" t="s">
        <v>88</v>
      </c>
      <c r="F42" s="223">
        <f>SUM(G42:Q42)</f>
        <v>8.3700497241450582E-4</v>
      </c>
      <c r="G42" s="201">
        <v>1.3527187113652022E-4</v>
      </c>
      <c r="H42" s="202">
        <v>1.1000000000000001E-6</v>
      </c>
      <c r="I42" s="205">
        <v>6.348790825230616E-4</v>
      </c>
      <c r="J42" s="205">
        <v>6.3487908252306166E-5</v>
      </c>
      <c r="K42" s="205">
        <v>1.0965445026178011E-6</v>
      </c>
      <c r="L42" s="205"/>
      <c r="M42" s="205">
        <v>0</v>
      </c>
      <c r="N42" s="205">
        <v>1.1695660000000001E-6</v>
      </c>
      <c r="O42" s="205"/>
      <c r="P42" s="14"/>
      <c r="Q42" s="204"/>
      <c r="R42" s="208">
        <f>'Parameters, country spec'!E19</f>
        <v>0.11695100775134643</v>
      </c>
    </row>
    <row r="43" spans="1:18" x14ac:dyDescent="0.35">
      <c r="A43" s="22" t="s">
        <v>338</v>
      </c>
      <c r="B43" s="17" t="s">
        <v>222</v>
      </c>
      <c r="C43" s="17" t="s">
        <v>337</v>
      </c>
      <c r="D43" s="23" t="s">
        <v>87</v>
      </c>
      <c r="E43" s="23" t="s">
        <v>88</v>
      </c>
      <c r="F43" s="221">
        <f t="shared" ref="F43:F52" si="9">SUM(G43:Q43)</f>
        <v>7.7064277808378814E-4</v>
      </c>
      <c r="G43" s="100">
        <v>1.3173663927780048E-4</v>
      </c>
      <c r="H43" s="101">
        <v>1.1000000000000001E-6</v>
      </c>
      <c r="I43" s="102">
        <v>5.7807906502645948E-4</v>
      </c>
      <c r="J43" s="102">
        <v>5.7807906502645948E-5</v>
      </c>
      <c r="K43" s="102">
        <v>7.4960127688222882E-7</v>
      </c>
      <c r="L43" s="102"/>
      <c r="M43" s="102">
        <v>0</v>
      </c>
      <c r="N43" s="102">
        <v>1.1695660000000001E-6</v>
      </c>
      <c r="O43" s="102"/>
      <c r="P43" s="14"/>
      <c r="Q43" s="14"/>
      <c r="R43" s="197">
        <f>'Parameters, country spec'!E20</f>
        <v>0.4445206845179473</v>
      </c>
    </row>
    <row r="44" spans="1:18" x14ac:dyDescent="0.35">
      <c r="A44" s="22" t="s">
        <v>339</v>
      </c>
      <c r="B44" s="17" t="s">
        <v>226</v>
      </c>
      <c r="C44" s="17" t="s">
        <v>337</v>
      </c>
      <c r="D44" s="23" t="s">
        <v>87</v>
      </c>
      <c r="E44" s="23" t="s">
        <v>88</v>
      </c>
      <c r="F44" s="221">
        <f t="shared" si="9"/>
        <v>7.4080189535590966E-4</v>
      </c>
      <c r="G44" s="100">
        <v>1.1925038042019814E-4</v>
      </c>
      <c r="H44" s="101">
        <v>1.1000000000000001E-6</v>
      </c>
      <c r="I44" s="102">
        <v>5.6184338890070615E-4</v>
      </c>
      <c r="J44" s="102">
        <v>5.6184338890070617E-5</v>
      </c>
      <c r="K44" s="102">
        <v>1.2542211449347684E-6</v>
      </c>
      <c r="L44" s="102"/>
      <c r="M44" s="102">
        <v>0</v>
      </c>
      <c r="N44" s="102">
        <v>1.1695660000000001E-6</v>
      </c>
      <c r="O44" s="102"/>
      <c r="P44" s="14"/>
      <c r="Q44" s="14"/>
      <c r="R44" s="197">
        <f>'Parameters, country spec'!E21</f>
        <v>6.0948374004472276E-2</v>
      </c>
    </row>
    <row r="45" spans="1:18" x14ac:dyDescent="0.35">
      <c r="A45" s="22" t="s">
        <v>340</v>
      </c>
      <c r="B45" s="17" t="s">
        <v>227</v>
      </c>
      <c r="C45" s="17" t="s">
        <v>337</v>
      </c>
      <c r="D45" s="23" t="s">
        <v>87</v>
      </c>
      <c r="E45" s="23" t="s">
        <v>88</v>
      </c>
      <c r="F45" s="221">
        <f t="shared" si="9"/>
        <v>6.6289501004433845E-4</v>
      </c>
      <c r="G45" s="100">
        <v>1.0503816802565812E-4</v>
      </c>
      <c r="H45" s="101">
        <v>1.1000000000000001E-6</v>
      </c>
      <c r="I45" s="102">
        <v>5.0432765635150922E-4</v>
      </c>
      <c r="J45" s="102">
        <v>5.0432765635150922E-5</v>
      </c>
      <c r="K45" s="102">
        <v>8.2685403202016689E-7</v>
      </c>
      <c r="L45" s="102"/>
      <c r="M45" s="102">
        <v>0</v>
      </c>
      <c r="N45" s="102">
        <v>1.1695660000000001E-6</v>
      </c>
      <c r="O45" s="102"/>
      <c r="P45" s="14"/>
      <c r="Q45" s="14"/>
      <c r="R45" s="197">
        <f>'Parameters, country spec'!E22</f>
        <v>6.0703727508641431E-4</v>
      </c>
    </row>
    <row r="46" spans="1:18" x14ac:dyDescent="0.35">
      <c r="A46" s="22" t="s">
        <v>341</v>
      </c>
      <c r="B46" s="17" t="s">
        <v>228</v>
      </c>
      <c r="C46" s="17" t="s">
        <v>337</v>
      </c>
      <c r="D46" s="23" t="s">
        <v>87</v>
      </c>
      <c r="E46" s="23" t="s">
        <v>88</v>
      </c>
      <c r="F46" s="221">
        <f t="shared" si="9"/>
        <v>9.1657094895803305E-4</v>
      </c>
      <c r="G46" s="100">
        <v>1.5506058283512638E-4</v>
      </c>
      <c r="H46" s="101">
        <v>1.1000000000000001E-6</v>
      </c>
      <c r="I46" s="102">
        <v>6.8950683668766316E-4</v>
      </c>
      <c r="J46" s="102">
        <v>6.8950683668766316E-5</v>
      </c>
      <c r="K46" s="102">
        <v>7.832797664771855E-7</v>
      </c>
      <c r="L46" s="102"/>
      <c r="M46" s="102">
        <v>0</v>
      </c>
      <c r="N46" s="102">
        <v>1.1695660000000001E-6</v>
      </c>
      <c r="O46" s="102"/>
      <c r="P46" s="14"/>
      <c r="Q46" s="14"/>
      <c r="R46" s="197">
        <f>'Parameters, country spec'!E23</f>
        <v>1.4335515592498327E-2</v>
      </c>
    </row>
    <row r="47" spans="1:18" x14ac:dyDescent="0.35">
      <c r="A47" s="22" t="s">
        <v>342</v>
      </c>
      <c r="B47" s="17" t="s">
        <v>229</v>
      </c>
      <c r="C47" s="17" t="s">
        <v>343</v>
      </c>
      <c r="D47" s="23" t="s">
        <v>87</v>
      </c>
      <c r="E47" s="23" t="s">
        <v>88</v>
      </c>
      <c r="F47" s="221">
        <f t="shared" si="9"/>
        <v>2.0683180874021213E-4</v>
      </c>
      <c r="G47" s="100">
        <v>0</v>
      </c>
      <c r="H47" s="101">
        <v>1.1000000000000001E-6</v>
      </c>
      <c r="I47" s="102">
        <v>1.8457296000000002E-4</v>
      </c>
      <c r="J47" s="102">
        <v>1.8457296000000003E-5</v>
      </c>
      <c r="K47" s="102">
        <v>1.5319867402121297E-6</v>
      </c>
      <c r="L47" s="102"/>
      <c r="M47" s="102">
        <v>0</v>
      </c>
      <c r="N47" s="102">
        <v>1.1695660000000001E-6</v>
      </c>
      <c r="O47" s="102"/>
      <c r="P47" s="14"/>
      <c r="Q47" s="14"/>
      <c r="R47" s="197">
        <f>'Parameters, country spec'!E24</f>
        <v>2.4245622511489488E-3</v>
      </c>
    </row>
    <row r="48" spans="1:18" x14ac:dyDescent="0.35">
      <c r="A48" s="22" t="s">
        <v>344</v>
      </c>
      <c r="B48" s="17" t="s">
        <v>230</v>
      </c>
      <c r="C48" s="17" t="s">
        <v>343</v>
      </c>
      <c r="D48" s="23" t="s">
        <v>87</v>
      </c>
      <c r="E48" s="23" t="s">
        <v>88</v>
      </c>
      <c r="F48" s="221">
        <f t="shared" si="9"/>
        <v>2.3870339373407735E-4</v>
      </c>
      <c r="G48" s="100">
        <v>6.6632952642360706E-6</v>
      </c>
      <c r="H48" s="101">
        <v>1.1000000000000001E-6</v>
      </c>
      <c r="I48" s="102">
        <v>2.067986173968254E-4</v>
      </c>
      <c r="J48" s="102">
        <v>2.0679861739682541E-5</v>
      </c>
      <c r="K48" s="102">
        <v>2.2920533333333338E-6</v>
      </c>
      <c r="L48" s="102"/>
      <c r="M48" s="102">
        <v>0</v>
      </c>
      <c r="N48" s="102">
        <v>1.1695660000000001E-6</v>
      </c>
      <c r="O48" s="102"/>
      <c r="P48" s="14"/>
      <c r="Q48" s="14"/>
      <c r="R48" s="197">
        <f>'Parameters, country spec'!E25</f>
        <v>2.3817191194450719E-3</v>
      </c>
    </row>
    <row r="49" spans="1:18" x14ac:dyDescent="0.35">
      <c r="B49" s="18" t="s">
        <v>231</v>
      </c>
      <c r="C49" s="17" t="s">
        <v>345</v>
      </c>
      <c r="D49" s="23" t="str">
        <f>'Off-farm feed'!$D$77</f>
        <v>France, Germany, Poland</v>
      </c>
      <c r="E49" s="23" t="s">
        <v>82</v>
      </c>
      <c r="F49" s="222">
        <f>'Off-farm feed'!$E$77</f>
        <v>6.732045566157569E-4</v>
      </c>
      <c r="G49" s="222">
        <f>'Off-farm feed'!$F$77</f>
        <v>1.946970439026595E-4</v>
      </c>
      <c r="H49" s="222">
        <f>'Off-farm feed'!$G$77</f>
        <v>5.3103448275862083E-7</v>
      </c>
      <c r="I49" s="222">
        <f>'Off-farm feed'!$H$77</f>
        <v>4.2751561806777074E-4</v>
      </c>
      <c r="J49" s="222">
        <f>'Off-farm feed'!$I$77</f>
        <v>4.2751561806777089E-5</v>
      </c>
      <c r="K49" s="222">
        <f>'Off-farm feed'!$J$77</f>
        <v>6.6339607025480414E-7</v>
      </c>
      <c r="L49" s="222">
        <f>'Off-farm feed'!$K$77</f>
        <v>0</v>
      </c>
      <c r="M49" s="222">
        <f>'Off-farm feed'!$L$77</f>
        <v>7.9511067188965511E-9</v>
      </c>
      <c r="N49" s="222">
        <f>'Off-farm feed'!$M$77</f>
        <v>1.2789681892721844E-6</v>
      </c>
      <c r="O49" s="222">
        <f>'Off-farm feed'!$N$77</f>
        <v>0</v>
      </c>
      <c r="P49" s="222">
        <f>'Off-farm feed'!$O$77</f>
        <v>3.9312802868423834E-6</v>
      </c>
      <c r="Q49" s="222">
        <f>'Off-farm feed'!$P$77</f>
        <v>1.8277027027027027E-6</v>
      </c>
      <c r="R49" s="197">
        <f>'Parameters, country spec'!E26</f>
        <v>1.1388487134632584E-2</v>
      </c>
    </row>
    <row r="50" spans="1:18" x14ac:dyDescent="0.35">
      <c r="B50" s="18" t="s">
        <v>346</v>
      </c>
      <c r="C50" s="17" t="s">
        <v>345</v>
      </c>
      <c r="D50" s="23" t="str">
        <f>'Off-farm feed'!$D$26</f>
        <v>Brazil, Argentina</v>
      </c>
      <c r="E50" s="23" t="s">
        <v>82</v>
      </c>
      <c r="F50" s="222">
        <f>'Off-farm feed'!$E$26</f>
        <v>1.8866346644602505E-4</v>
      </c>
      <c r="G50" s="222">
        <f>'Off-farm feed'!$F$26</f>
        <v>1.6332109719061441E-5</v>
      </c>
      <c r="H50" s="222">
        <f>'Off-farm feed'!$G$26</f>
        <v>8.7195121951219526E-7</v>
      </c>
      <c r="I50" s="222">
        <f>'Off-farm feed'!$H$26</f>
        <v>1.3333449845358202E-4</v>
      </c>
      <c r="J50" s="222">
        <f>'Off-farm feed'!$I$26</f>
        <v>1.3333449845358203E-5</v>
      </c>
      <c r="K50" s="222">
        <f>'Off-farm feed'!$J$26</f>
        <v>1.1576736579983931E-6</v>
      </c>
      <c r="L50" s="222">
        <f>'Off-farm feed'!$K$26</f>
        <v>0</v>
      </c>
      <c r="M50" s="222">
        <f>'Off-farm feed'!$L$26</f>
        <v>7.3437786087804866E-9</v>
      </c>
      <c r="N50" s="222">
        <f>'Off-farm feed'!$M$26</f>
        <v>1.1195281639512197E-6</v>
      </c>
      <c r="O50" s="222">
        <f>'Off-farm feed'!$N$26</f>
        <v>0</v>
      </c>
      <c r="P50" s="222">
        <f>'Off-farm feed'!$O$26</f>
        <v>1.3419073770114991E-5</v>
      </c>
      <c r="Q50" s="222">
        <f>'Off-farm feed'!$P$26</f>
        <v>9.087837837837838E-6</v>
      </c>
      <c r="R50" s="197">
        <f>'Parameters, country spec'!E27</f>
        <v>0.1766138896591114</v>
      </c>
    </row>
    <row r="51" spans="1:18" x14ac:dyDescent="0.35">
      <c r="B51" s="17" t="s">
        <v>233</v>
      </c>
      <c r="C51" s="17" t="s">
        <v>347</v>
      </c>
      <c r="D51" s="23" t="s">
        <v>87</v>
      </c>
      <c r="E51" s="23" t="s">
        <v>88</v>
      </c>
      <c r="F51" s="222"/>
      <c r="G51" s="14"/>
      <c r="H51" s="14"/>
      <c r="I51" s="14"/>
      <c r="J51" s="14"/>
      <c r="K51" s="14"/>
      <c r="L51" s="14"/>
      <c r="M51" s="14"/>
      <c r="N51" s="14"/>
      <c r="O51" s="14"/>
      <c r="P51" s="8"/>
      <c r="Q51" s="14"/>
      <c r="R51" s="197">
        <f>'Parameters, country spec'!E28</f>
        <v>9.4320640710051112E-2</v>
      </c>
    </row>
    <row r="52" spans="1:18" x14ac:dyDescent="0.35">
      <c r="A52" s="83"/>
      <c r="B52" s="17" t="s">
        <v>348</v>
      </c>
      <c r="C52" s="84" t="s">
        <v>349</v>
      </c>
      <c r="D52" s="23" t="s">
        <v>87</v>
      </c>
      <c r="E52" s="23" t="s">
        <v>88</v>
      </c>
      <c r="F52" s="222">
        <f t="shared" si="9"/>
        <v>5.7856143731057198E-4</v>
      </c>
      <c r="G52" s="82">
        <f t="shared" ref="G52:N52" si="10">AVERAGE(G42:G50)</f>
        <v>9.600556562014004E-5</v>
      </c>
      <c r="H52" s="82">
        <f t="shared" si="10"/>
        <v>1.0114428558078684E-6</v>
      </c>
      <c r="I52" s="82">
        <f t="shared" si="10"/>
        <v>4.356508581563975E-4</v>
      </c>
      <c r="J52" s="82">
        <f t="shared" si="10"/>
        <v>4.3565085815639758E-5</v>
      </c>
      <c r="K52" s="82">
        <f t="shared" si="10"/>
        <v>1.1506233916367569E-6</v>
      </c>
      <c r="L52" s="82">
        <f t="shared" si="10"/>
        <v>0</v>
      </c>
      <c r="M52" s="82">
        <f t="shared" si="10"/>
        <v>1.6994317030752262E-9</v>
      </c>
      <c r="N52" s="82">
        <f t="shared" si="10"/>
        <v>1.1761620392470449E-6</v>
      </c>
      <c r="O52" s="82"/>
      <c r="P52" s="81"/>
      <c r="Q52" s="82"/>
      <c r="R52" s="197">
        <f>'Parameters, country spec'!E29</f>
        <v>7.550808198426022E-2</v>
      </c>
    </row>
    <row r="53" spans="1:18" x14ac:dyDescent="0.35">
      <c r="A53" s="195"/>
      <c r="B53" s="25" t="s">
        <v>350</v>
      </c>
      <c r="C53" s="26"/>
      <c r="D53" s="103"/>
      <c r="E53" s="103"/>
      <c r="F53" s="46">
        <f>SUMPRODUCT(F42:F52,$R$42:$R$52)</f>
        <v>5.8489125589325855E-4</v>
      </c>
      <c r="G53" s="46">
        <f t="shared" ref="G53:O53" si="11">SUMPRODUCT(G42:G52,$R$42:$R$52)</f>
        <v>9.6301443411006505E-5</v>
      </c>
      <c r="H53" s="46">
        <f t="shared" si="11"/>
        <v>9.4280427648787134E-7</v>
      </c>
      <c r="I53" s="46">
        <f t="shared" si="11"/>
        <v>4.3790455896613952E-4</v>
      </c>
      <c r="J53" s="46">
        <f t="shared" si="11"/>
        <v>4.3790455896613943E-5</v>
      </c>
      <c r="K53" s="46">
        <f t="shared" si="11"/>
        <v>8.5769976245181557E-7</v>
      </c>
      <c r="L53" s="46">
        <f t="shared" si="11"/>
        <v>0</v>
      </c>
      <c r="M53" s="46">
        <f t="shared" si="11"/>
        <v>1.5158852098287986E-9</v>
      </c>
      <c r="N53" s="46">
        <f t="shared" si="11"/>
        <v>1.0521583883698729E-6</v>
      </c>
      <c r="O53" s="46">
        <f t="shared" si="11"/>
        <v>0</v>
      </c>
      <c r="P53" s="30">
        <f>SUMPRODUCT(P42:P52,R42:R52)</f>
        <v>2.4147661491319043E-6</v>
      </c>
      <c r="Q53" s="46">
        <f>SUMPRODUCT(Q42:Q52,$R$42:$R$52)</f>
        <v>1.6258531578474522E-6</v>
      </c>
      <c r="R53" s="207"/>
    </row>
    <row r="54" spans="1:18" x14ac:dyDescent="0.35">
      <c r="A54" s="22" t="s">
        <v>336</v>
      </c>
      <c r="B54" s="17" t="s">
        <v>218</v>
      </c>
      <c r="C54" s="17" t="s">
        <v>337</v>
      </c>
      <c r="D54" s="23" t="s">
        <v>89</v>
      </c>
      <c r="E54" s="23" t="s">
        <v>90</v>
      </c>
      <c r="F54" s="223">
        <f>SUM(G54:Q54)</f>
        <v>8.3700497241450582E-4</v>
      </c>
      <c r="G54" s="201">
        <v>1.3527187113652022E-4</v>
      </c>
      <c r="H54" s="202">
        <v>1.1000000000000001E-6</v>
      </c>
      <c r="I54" s="205">
        <v>6.348790825230616E-4</v>
      </c>
      <c r="J54" s="205">
        <v>6.3487908252306166E-5</v>
      </c>
      <c r="K54" s="205">
        <v>1.0965445026178011E-6</v>
      </c>
      <c r="L54" s="205"/>
      <c r="M54" s="205">
        <v>0</v>
      </c>
      <c r="N54" s="205">
        <v>1.1695660000000001E-6</v>
      </c>
      <c r="O54" s="205"/>
      <c r="P54" s="14"/>
      <c r="Q54" s="204"/>
      <c r="R54" s="208">
        <f>'Parameters, country spec'!F19</f>
        <v>0.35769369893493091</v>
      </c>
    </row>
    <row r="55" spans="1:18" x14ac:dyDescent="0.35">
      <c r="A55" s="22" t="s">
        <v>338</v>
      </c>
      <c r="B55" s="17" t="s">
        <v>222</v>
      </c>
      <c r="C55" s="17" t="s">
        <v>337</v>
      </c>
      <c r="D55" s="23" t="s">
        <v>89</v>
      </c>
      <c r="E55" s="23" t="s">
        <v>90</v>
      </c>
      <c r="F55" s="221">
        <f t="shared" ref="F55:F64" si="12">SUM(G55:Q55)</f>
        <v>7.7064277808378814E-4</v>
      </c>
      <c r="G55" s="100">
        <v>1.3173663927780048E-4</v>
      </c>
      <c r="H55" s="101">
        <v>1.1000000000000001E-6</v>
      </c>
      <c r="I55" s="102">
        <v>5.7807906502645948E-4</v>
      </c>
      <c r="J55" s="102">
        <v>5.7807906502645948E-5</v>
      </c>
      <c r="K55" s="102">
        <v>7.4960127688222882E-7</v>
      </c>
      <c r="L55" s="102"/>
      <c r="M55" s="102">
        <v>0</v>
      </c>
      <c r="N55" s="102">
        <v>1.1695660000000001E-6</v>
      </c>
      <c r="O55" s="102"/>
      <c r="P55" s="14"/>
      <c r="Q55" s="14"/>
      <c r="R55" s="197">
        <f>'Parameters, country spec'!F20</f>
        <v>0.19740565028979015</v>
      </c>
    </row>
    <row r="56" spans="1:18" x14ac:dyDescent="0.35">
      <c r="A56" s="22" t="s">
        <v>339</v>
      </c>
      <c r="B56" s="17" t="s">
        <v>226</v>
      </c>
      <c r="C56" s="17" t="s">
        <v>337</v>
      </c>
      <c r="D56" s="23" t="s">
        <v>89</v>
      </c>
      <c r="E56" s="23" t="s">
        <v>90</v>
      </c>
      <c r="F56" s="221">
        <f t="shared" si="12"/>
        <v>7.4080189535590966E-4</v>
      </c>
      <c r="G56" s="100">
        <v>1.1925038042019814E-4</v>
      </c>
      <c r="H56" s="101">
        <v>1.1000000000000001E-6</v>
      </c>
      <c r="I56" s="102">
        <v>5.6184338890070615E-4</v>
      </c>
      <c r="J56" s="102">
        <v>5.6184338890070617E-5</v>
      </c>
      <c r="K56" s="102">
        <v>1.2542211449347684E-6</v>
      </c>
      <c r="L56" s="102"/>
      <c r="M56" s="102">
        <v>0</v>
      </c>
      <c r="N56" s="102">
        <v>1.1695660000000001E-6</v>
      </c>
      <c r="O56" s="102"/>
      <c r="P56" s="14"/>
      <c r="Q56" s="14"/>
      <c r="R56" s="197">
        <f>'Parameters, country spec'!F21</f>
        <v>1.3836768791199148E-3</v>
      </c>
    </row>
    <row r="57" spans="1:18" x14ac:dyDescent="0.35">
      <c r="A57" s="22" t="s">
        <v>340</v>
      </c>
      <c r="B57" s="17" t="s">
        <v>227</v>
      </c>
      <c r="C57" s="17" t="s">
        <v>337</v>
      </c>
      <c r="D57" s="23" t="s">
        <v>89</v>
      </c>
      <c r="E57" s="23" t="s">
        <v>90</v>
      </c>
      <c r="F57" s="221">
        <f t="shared" si="12"/>
        <v>6.6289501004433845E-4</v>
      </c>
      <c r="G57" s="100">
        <v>1.0503816802565812E-4</v>
      </c>
      <c r="H57" s="101">
        <v>1.1000000000000001E-6</v>
      </c>
      <c r="I57" s="102">
        <v>5.0432765635150922E-4</v>
      </c>
      <c r="J57" s="102">
        <v>5.0432765635150922E-5</v>
      </c>
      <c r="K57" s="102">
        <v>8.2685403202016689E-7</v>
      </c>
      <c r="L57" s="102"/>
      <c r="M57" s="102">
        <v>0</v>
      </c>
      <c r="N57" s="102">
        <v>1.1695660000000001E-6</v>
      </c>
      <c r="O57" s="102"/>
      <c r="P57" s="14"/>
      <c r="Q57" s="14"/>
      <c r="R57" s="197">
        <f>'Parameters, country spec'!F22</f>
        <v>0</v>
      </c>
    </row>
    <row r="58" spans="1:18" x14ac:dyDescent="0.35">
      <c r="A58" s="22" t="s">
        <v>341</v>
      </c>
      <c r="B58" s="17" t="s">
        <v>228</v>
      </c>
      <c r="C58" s="17" t="s">
        <v>337</v>
      </c>
      <c r="D58" s="23" t="s">
        <v>89</v>
      </c>
      <c r="E58" s="23" t="s">
        <v>90</v>
      </c>
      <c r="F58" s="221">
        <f t="shared" si="12"/>
        <v>9.1657094895803305E-4</v>
      </c>
      <c r="G58" s="100">
        <v>1.5506058283512638E-4</v>
      </c>
      <c r="H58" s="101">
        <v>1.1000000000000001E-6</v>
      </c>
      <c r="I58" s="102">
        <v>6.8950683668766316E-4</v>
      </c>
      <c r="J58" s="102">
        <v>6.8950683668766316E-5</v>
      </c>
      <c r="K58" s="102">
        <v>7.832797664771855E-7</v>
      </c>
      <c r="L58" s="102"/>
      <c r="M58" s="102">
        <v>0</v>
      </c>
      <c r="N58" s="102">
        <v>1.1695660000000001E-6</v>
      </c>
      <c r="O58" s="102"/>
      <c r="P58" s="14"/>
      <c r="Q58" s="14"/>
      <c r="R58" s="197">
        <f>'Parameters, country spec'!F23</f>
        <v>0.1474878287151572</v>
      </c>
    </row>
    <row r="59" spans="1:18" x14ac:dyDescent="0.35">
      <c r="A59" s="22" t="s">
        <v>342</v>
      </c>
      <c r="B59" s="17" t="s">
        <v>229</v>
      </c>
      <c r="C59" s="17" t="s">
        <v>343</v>
      </c>
      <c r="D59" s="23" t="s">
        <v>89</v>
      </c>
      <c r="E59" s="23" t="s">
        <v>90</v>
      </c>
      <c r="F59" s="221">
        <f t="shared" si="12"/>
        <v>2.0683180874021213E-4</v>
      </c>
      <c r="G59" s="100">
        <v>0</v>
      </c>
      <c r="H59" s="101">
        <v>1.1000000000000001E-6</v>
      </c>
      <c r="I59" s="102">
        <v>1.8457296000000002E-4</v>
      </c>
      <c r="J59" s="102">
        <v>1.8457296000000003E-5</v>
      </c>
      <c r="K59" s="102">
        <v>1.5319867402121297E-6</v>
      </c>
      <c r="L59" s="102"/>
      <c r="M59" s="102">
        <v>0</v>
      </c>
      <c r="N59" s="102">
        <v>1.1695660000000001E-6</v>
      </c>
      <c r="O59" s="102"/>
      <c r="P59" s="14"/>
      <c r="Q59" s="14"/>
      <c r="R59" s="197">
        <f>'Parameters, country spec'!F24</f>
        <v>6.7657806685813464E-4</v>
      </c>
    </row>
    <row r="60" spans="1:18" x14ac:dyDescent="0.35">
      <c r="A60" s="22" t="s">
        <v>344</v>
      </c>
      <c r="B60" s="17" t="s">
        <v>230</v>
      </c>
      <c r="C60" s="17" t="s">
        <v>343</v>
      </c>
      <c r="D60" s="23" t="s">
        <v>89</v>
      </c>
      <c r="E60" s="23" t="s">
        <v>90</v>
      </c>
      <c r="F60" s="221">
        <f t="shared" si="12"/>
        <v>2.3870339373407735E-4</v>
      </c>
      <c r="G60" s="100">
        <v>6.6632952642360706E-6</v>
      </c>
      <c r="H60" s="101">
        <v>1.1000000000000001E-6</v>
      </c>
      <c r="I60" s="102">
        <v>2.067986173968254E-4</v>
      </c>
      <c r="J60" s="102">
        <v>2.0679861739682541E-5</v>
      </c>
      <c r="K60" s="102">
        <v>2.2920533333333338E-6</v>
      </c>
      <c r="L60" s="102"/>
      <c r="M60" s="102">
        <v>0</v>
      </c>
      <c r="N60" s="102">
        <v>1.1695660000000001E-6</v>
      </c>
      <c r="O60" s="102"/>
      <c r="P60" s="14"/>
      <c r="Q60" s="14"/>
      <c r="R60" s="197">
        <f>'Parameters, country spec'!F25</f>
        <v>6.6462262074886422E-4</v>
      </c>
    </row>
    <row r="61" spans="1:18" x14ac:dyDescent="0.35">
      <c r="B61" s="18" t="s">
        <v>231</v>
      </c>
      <c r="C61" s="17" t="s">
        <v>345</v>
      </c>
      <c r="D61" s="23" t="str">
        <f>'Off-farm feed'!$D$77</f>
        <v>France, Germany, Poland</v>
      </c>
      <c r="E61" s="23" t="s">
        <v>82</v>
      </c>
      <c r="F61" s="222">
        <f>'Off-farm feed'!$E$77</f>
        <v>6.732045566157569E-4</v>
      </c>
      <c r="G61" s="222">
        <f>'Off-farm feed'!$F$77</f>
        <v>1.946970439026595E-4</v>
      </c>
      <c r="H61" s="222">
        <f>'Off-farm feed'!$G$77</f>
        <v>5.3103448275862083E-7</v>
      </c>
      <c r="I61" s="222">
        <f>'Off-farm feed'!$H$77</f>
        <v>4.2751561806777074E-4</v>
      </c>
      <c r="J61" s="222">
        <f>'Off-farm feed'!$I$77</f>
        <v>4.2751561806777089E-5</v>
      </c>
      <c r="K61" s="222">
        <f>'Off-farm feed'!$J$77</f>
        <v>6.6339607025480414E-7</v>
      </c>
      <c r="L61" s="222">
        <f>'Off-farm feed'!$K$77</f>
        <v>0</v>
      </c>
      <c r="M61" s="222">
        <f>'Off-farm feed'!$L$77</f>
        <v>7.9511067188965511E-9</v>
      </c>
      <c r="N61" s="222">
        <f>'Off-farm feed'!$M$77</f>
        <v>1.2789681892721844E-6</v>
      </c>
      <c r="O61" s="222">
        <f>'Off-farm feed'!$N$77</f>
        <v>0</v>
      </c>
      <c r="P61" s="222">
        <f>'Off-farm feed'!$O$77</f>
        <v>3.9312802868423834E-6</v>
      </c>
      <c r="Q61" s="222">
        <f>'Off-farm feed'!$P$77</f>
        <v>1.8277027027027027E-6</v>
      </c>
      <c r="R61" s="197">
        <f>'Parameters, country spec'!F26</f>
        <v>5.1835466534919956E-3</v>
      </c>
    </row>
    <row r="62" spans="1:18" x14ac:dyDescent="0.35">
      <c r="B62" s="18" t="s">
        <v>346</v>
      </c>
      <c r="C62" s="17" t="s">
        <v>345</v>
      </c>
      <c r="D62" s="23" t="str">
        <f>'Off-farm feed'!$D$26</f>
        <v>Brazil, Argentina</v>
      </c>
      <c r="E62" s="23" t="s">
        <v>82</v>
      </c>
      <c r="F62" s="222">
        <f>'Off-farm feed'!$E$26</f>
        <v>1.8866346644602505E-4</v>
      </c>
      <c r="G62" s="222">
        <f>'Off-farm feed'!$F$26</f>
        <v>1.6332109719061441E-5</v>
      </c>
      <c r="H62" s="222">
        <f>'Off-farm feed'!$G$26</f>
        <v>8.7195121951219526E-7</v>
      </c>
      <c r="I62" s="222">
        <f>'Off-farm feed'!$H$26</f>
        <v>1.3333449845358202E-4</v>
      </c>
      <c r="J62" s="222">
        <f>'Off-farm feed'!$I$26</f>
        <v>1.3333449845358203E-5</v>
      </c>
      <c r="K62" s="222">
        <f>'Off-farm feed'!$J$26</f>
        <v>1.1576736579983931E-6</v>
      </c>
      <c r="L62" s="222">
        <f>'Off-farm feed'!$K$26</f>
        <v>0</v>
      </c>
      <c r="M62" s="222">
        <f>'Off-farm feed'!$L$26</f>
        <v>7.3437786087804866E-9</v>
      </c>
      <c r="N62" s="222">
        <f>'Off-farm feed'!$M$26</f>
        <v>1.1195281639512197E-6</v>
      </c>
      <c r="O62" s="222">
        <f>'Off-farm feed'!$N$26</f>
        <v>0</v>
      </c>
      <c r="P62" s="222">
        <f>'Off-farm feed'!$O$26</f>
        <v>1.3419073770114991E-5</v>
      </c>
      <c r="Q62" s="222">
        <f>'Off-farm feed'!$P$26</f>
        <v>9.087837837837838E-6</v>
      </c>
      <c r="R62" s="197">
        <f>'Parameters, country spec'!F27</f>
        <v>0.18330244218102648</v>
      </c>
    </row>
    <row r="63" spans="1:18" x14ac:dyDescent="0.35">
      <c r="B63" s="17" t="s">
        <v>233</v>
      </c>
      <c r="C63" s="17" t="s">
        <v>347</v>
      </c>
      <c r="D63" s="23" t="s">
        <v>89</v>
      </c>
      <c r="E63" s="23" t="s">
        <v>90</v>
      </c>
      <c r="F63" s="222"/>
      <c r="G63" s="14"/>
      <c r="H63" s="14"/>
      <c r="I63" s="14"/>
      <c r="J63" s="14"/>
      <c r="K63" s="14"/>
      <c r="L63" s="14"/>
      <c r="M63" s="14"/>
      <c r="N63" s="14"/>
      <c r="O63" s="14"/>
      <c r="P63" s="8"/>
      <c r="Q63" s="14"/>
      <c r="R63" s="197">
        <f>'Parameters, country spec'!F28</f>
        <v>3.9284247584971399E-2</v>
      </c>
    </row>
    <row r="64" spans="1:18" x14ac:dyDescent="0.35">
      <c r="A64" s="83"/>
      <c r="B64" s="17" t="s">
        <v>348</v>
      </c>
      <c r="C64" s="84" t="s">
        <v>349</v>
      </c>
      <c r="D64" s="23" t="s">
        <v>89</v>
      </c>
      <c r="E64" s="23" t="s">
        <v>90</v>
      </c>
      <c r="F64" s="222">
        <f t="shared" si="12"/>
        <v>5.7856143731057198E-4</v>
      </c>
      <c r="G64" s="82">
        <f t="shared" ref="G64:N64" si="13">AVERAGE(G54:G62)</f>
        <v>9.600556562014004E-5</v>
      </c>
      <c r="H64" s="82">
        <f t="shared" si="13"/>
        <v>1.0114428558078684E-6</v>
      </c>
      <c r="I64" s="82">
        <f t="shared" si="13"/>
        <v>4.356508581563975E-4</v>
      </c>
      <c r="J64" s="82">
        <f t="shared" si="13"/>
        <v>4.3565085815639758E-5</v>
      </c>
      <c r="K64" s="82">
        <f t="shared" si="13"/>
        <v>1.1506233916367569E-6</v>
      </c>
      <c r="L64" s="82">
        <f t="shared" si="13"/>
        <v>0</v>
      </c>
      <c r="M64" s="82">
        <f t="shared" si="13"/>
        <v>1.6994317030752262E-9</v>
      </c>
      <c r="N64" s="82">
        <f t="shared" si="13"/>
        <v>1.1761620392470449E-6</v>
      </c>
      <c r="O64" s="82"/>
      <c r="P64" s="81"/>
      <c r="Q64" s="82"/>
      <c r="R64" s="197">
        <f>'Parameters, country spec'!F29</f>
        <v>6.6917708073904958E-2</v>
      </c>
    </row>
    <row r="65" spans="1:18" x14ac:dyDescent="0.35">
      <c r="A65" s="195"/>
      <c r="B65" s="25" t="s">
        <v>350</v>
      </c>
      <c r="C65" s="26"/>
      <c r="D65" s="103"/>
      <c r="E65" s="103"/>
      <c r="F65" s="46">
        <f>SUMPRODUCT(F54:F64,$R$54:$R$64)</f>
        <v>6.6481538522012947E-4</v>
      </c>
      <c r="G65" s="46">
        <f t="shared" ref="G65:O65" si="14">SUMPRODUCT(G54:G64,$R$54:$R$64)</f>
        <v>1.0785784336640907E-4</v>
      </c>
      <c r="H65" s="46">
        <f t="shared" si="14"/>
        <v>1.0061101288309555E-6</v>
      </c>
      <c r="I65" s="46">
        <f t="shared" si="14"/>
        <v>4.9975126143744276E-4</v>
      </c>
      <c r="J65" s="46">
        <f t="shared" si="14"/>
        <v>4.9975126143744283E-5</v>
      </c>
      <c r="K65" s="46">
        <f t="shared" si="14"/>
        <v>9.5266234812755692E-7</v>
      </c>
      <c r="L65" s="46">
        <f t="shared" si="14"/>
        <v>0</v>
      </c>
      <c r="M65" s="46">
        <f t="shared" si="14"/>
        <v>1.5010695610484653E-9</v>
      </c>
      <c r="N65" s="46">
        <f t="shared" si="14"/>
        <v>1.1154569053207043E-6</v>
      </c>
      <c r="O65" s="46">
        <f t="shared" si="14"/>
        <v>0</v>
      </c>
      <c r="P65" s="30">
        <f>SUMPRODUCT(P54:P64,R54:R64)</f>
        <v>2.4801269686442327E-6</v>
      </c>
      <c r="Q65" s="46">
        <f>SUMPRODUCT(Q54:Q64,$R$54:$R$64)</f>
        <v>1.6752968520489878E-6</v>
      </c>
      <c r="R65" s="197"/>
    </row>
    <row r="66" spans="1:18" x14ac:dyDescent="0.35">
      <c r="A66" s="22" t="s">
        <v>336</v>
      </c>
      <c r="B66" s="17" t="s">
        <v>218</v>
      </c>
      <c r="C66" s="17" t="s">
        <v>337</v>
      </c>
      <c r="D66" s="23" t="s">
        <v>170</v>
      </c>
      <c r="E66" s="23" t="s">
        <v>92</v>
      </c>
      <c r="F66" s="223">
        <f>SUM(G66:Q66)</f>
        <v>8.3700497241450582E-4</v>
      </c>
      <c r="G66" s="201">
        <v>1.3527187113652022E-4</v>
      </c>
      <c r="H66" s="202">
        <v>1.1000000000000001E-6</v>
      </c>
      <c r="I66" s="205">
        <v>6.348790825230616E-4</v>
      </c>
      <c r="J66" s="205">
        <v>6.3487908252306166E-5</v>
      </c>
      <c r="K66" s="205">
        <v>1.0965445026178011E-6</v>
      </c>
      <c r="L66" s="205"/>
      <c r="M66" s="205">
        <v>0</v>
      </c>
      <c r="N66" s="205">
        <v>1.1695660000000001E-6</v>
      </c>
      <c r="O66" s="205"/>
      <c r="P66" s="14"/>
      <c r="Q66" s="204"/>
      <c r="R66" s="208">
        <f>'Parameters, country spec'!G19</f>
        <v>0.15495238626757527</v>
      </c>
    </row>
    <row r="67" spans="1:18" x14ac:dyDescent="0.35">
      <c r="A67" s="22" t="s">
        <v>338</v>
      </c>
      <c r="B67" s="17" t="s">
        <v>222</v>
      </c>
      <c r="C67" s="17" t="s">
        <v>337</v>
      </c>
      <c r="D67" s="23" t="s">
        <v>170</v>
      </c>
      <c r="E67" s="23" t="s">
        <v>92</v>
      </c>
      <c r="F67" s="221">
        <f t="shared" ref="F67:F76" si="15">SUM(G67:Q67)</f>
        <v>7.7064277808378814E-4</v>
      </c>
      <c r="G67" s="100">
        <v>1.3173663927780048E-4</v>
      </c>
      <c r="H67" s="101">
        <v>1.1000000000000001E-6</v>
      </c>
      <c r="I67" s="102">
        <v>5.7807906502645948E-4</v>
      </c>
      <c r="J67" s="102">
        <v>5.7807906502645948E-5</v>
      </c>
      <c r="K67" s="102">
        <v>7.4960127688222882E-7</v>
      </c>
      <c r="L67" s="102"/>
      <c r="M67" s="102">
        <v>0</v>
      </c>
      <c r="N67" s="102">
        <v>1.1695660000000001E-6</v>
      </c>
      <c r="O67" s="102"/>
      <c r="P67" s="14"/>
      <c r="Q67" s="14"/>
      <c r="R67" s="197">
        <f>'Parameters, country spec'!G20</f>
        <v>0.12121400591694578</v>
      </c>
    </row>
    <row r="68" spans="1:18" x14ac:dyDescent="0.35">
      <c r="A68" s="22" t="s">
        <v>339</v>
      </c>
      <c r="B68" s="17" t="s">
        <v>226</v>
      </c>
      <c r="C68" s="17" t="s">
        <v>337</v>
      </c>
      <c r="D68" s="23" t="s">
        <v>170</v>
      </c>
      <c r="E68" s="23" t="s">
        <v>92</v>
      </c>
      <c r="F68" s="221">
        <f t="shared" si="15"/>
        <v>7.4080189535590966E-4</v>
      </c>
      <c r="G68" s="100">
        <v>1.1925038042019814E-4</v>
      </c>
      <c r="H68" s="101">
        <v>1.1000000000000001E-6</v>
      </c>
      <c r="I68" s="102">
        <v>5.6184338890070615E-4</v>
      </c>
      <c r="J68" s="102">
        <v>5.6184338890070617E-5</v>
      </c>
      <c r="K68" s="102">
        <v>1.2542211449347684E-6</v>
      </c>
      <c r="L68" s="102"/>
      <c r="M68" s="102">
        <v>0</v>
      </c>
      <c r="N68" s="102">
        <v>1.1695660000000001E-6</v>
      </c>
      <c r="O68" s="102"/>
      <c r="P68" s="14"/>
      <c r="Q68" s="14"/>
      <c r="R68" s="197">
        <f>'Parameters, country spec'!G21</f>
        <v>5.0556019414445971E-2</v>
      </c>
    </row>
    <row r="69" spans="1:18" x14ac:dyDescent="0.35">
      <c r="A69" s="22" t="s">
        <v>340</v>
      </c>
      <c r="B69" s="17" t="s">
        <v>227</v>
      </c>
      <c r="C69" s="17" t="s">
        <v>337</v>
      </c>
      <c r="D69" s="23" t="s">
        <v>170</v>
      </c>
      <c r="E69" s="23" t="s">
        <v>92</v>
      </c>
      <c r="F69" s="221">
        <f t="shared" si="15"/>
        <v>6.6289501004433845E-4</v>
      </c>
      <c r="G69" s="100">
        <v>1.0503816802565812E-4</v>
      </c>
      <c r="H69" s="101">
        <v>1.1000000000000001E-6</v>
      </c>
      <c r="I69" s="102">
        <v>5.0432765635150922E-4</v>
      </c>
      <c r="J69" s="102">
        <v>5.0432765635150922E-5</v>
      </c>
      <c r="K69" s="102">
        <v>8.2685403202016689E-7</v>
      </c>
      <c r="L69" s="102"/>
      <c r="M69" s="102">
        <v>0</v>
      </c>
      <c r="N69" s="102">
        <v>1.1695660000000001E-6</v>
      </c>
      <c r="O69" s="102"/>
      <c r="P69" s="14"/>
      <c r="Q69" s="14"/>
      <c r="R69" s="197">
        <f>'Parameters, country spec'!G22</f>
        <v>0</v>
      </c>
    </row>
    <row r="70" spans="1:18" x14ac:dyDescent="0.35">
      <c r="A70" s="22" t="s">
        <v>341</v>
      </c>
      <c r="B70" s="17" t="s">
        <v>228</v>
      </c>
      <c r="C70" s="17" t="s">
        <v>337</v>
      </c>
      <c r="D70" s="23" t="s">
        <v>170</v>
      </c>
      <c r="E70" s="23" t="s">
        <v>92</v>
      </c>
      <c r="F70" s="221">
        <f t="shared" si="15"/>
        <v>9.1657094895803305E-4</v>
      </c>
      <c r="G70" s="100">
        <v>1.5506058283512638E-4</v>
      </c>
      <c r="H70" s="101">
        <v>1.1000000000000001E-6</v>
      </c>
      <c r="I70" s="102">
        <v>6.8950683668766316E-4</v>
      </c>
      <c r="J70" s="102">
        <v>6.8950683668766316E-5</v>
      </c>
      <c r="K70" s="102">
        <v>7.832797664771855E-7</v>
      </c>
      <c r="L70" s="102"/>
      <c r="M70" s="102">
        <v>0</v>
      </c>
      <c r="N70" s="102">
        <v>1.1695660000000001E-6</v>
      </c>
      <c r="O70" s="102"/>
      <c r="P70" s="14"/>
      <c r="Q70" s="14"/>
      <c r="R70" s="197">
        <f>'Parameters, country spec'!G23</f>
        <v>0.40254480100475204</v>
      </c>
    </row>
    <row r="71" spans="1:18" x14ac:dyDescent="0.35">
      <c r="A71" s="22" t="s">
        <v>342</v>
      </c>
      <c r="B71" s="17" t="s">
        <v>229</v>
      </c>
      <c r="C71" s="17" t="s">
        <v>343</v>
      </c>
      <c r="D71" s="23" t="s">
        <v>170</v>
      </c>
      <c r="E71" s="23" t="s">
        <v>92</v>
      </c>
      <c r="F71" s="221">
        <f t="shared" si="15"/>
        <v>2.0683180874021213E-4</v>
      </c>
      <c r="G71" s="100">
        <v>0</v>
      </c>
      <c r="H71" s="101">
        <v>1.1000000000000001E-6</v>
      </c>
      <c r="I71" s="102">
        <v>1.8457296000000002E-4</v>
      </c>
      <c r="J71" s="102">
        <v>1.8457296000000003E-5</v>
      </c>
      <c r="K71" s="102">
        <v>1.5319867402121297E-6</v>
      </c>
      <c r="L71" s="102"/>
      <c r="M71" s="102">
        <v>0</v>
      </c>
      <c r="N71" s="102">
        <v>1.1695660000000001E-6</v>
      </c>
      <c r="O71" s="102"/>
      <c r="P71" s="14"/>
      <c r="Q71" s="14"/>
      <c r="R71" s="197">
        <f>'Parameters, country spec'!G24</f>
        <v>1.3122007250283157E-3</v>
      </c>
    </row>
    <row r="72" spans="1:18" x14ac:dyDescent="0.35">
      <c r="A72" s="22" t="s">
        <v>344</v>
      </c>
      <c r="B72" s="17" t="s">
        <v>230</v>
      </c>
      <c r="C72" s="17" t="s">
        <v>343</v>
      </c>
      <c r="D72" s="23" t="s">
        <v>170</v>
      </c>
      <c r="E72" s="23" t="s">
        <v>92</v>
      </c>
      <c r="F72" s="221">
        <f t="shared" si="15"/>
        <v>2.3870339373407735E-4</v>
      </c>
      <c r="G72" s="100">
        <v>6.6632952642360706E-6</v>
      </c>
      <c r="H72" s="101">
        <v>1.1000000000000001E-6</v>
      </c>
      <c r="I72" s="102">
        <v>2.067986173968254E-4</v>
      </c>
      <c r="J72" s="102">
        <v>2.0679861739682541E-5</v>
      </c>
      <c r="K72" s="102">
        <v>2.2920533333333338E-6</v>
      </c>
      <c r="L72" s="102"/>
      <c r="M72" s="102">
        <v>0</v>
      </c>
      <c r="N72" s="102">
        <v>1.1695660000000001E-6</v>
      </c>
      <c r="O72" s="102"/>
      <c r="P72" s="14"/>
      <c r="Q72" s="14"/>
      <c r="R72" s="197">
        <f>'Parameters, country spec'!G25</f>
        <v>1.2890135329516415E-3</v>
      </c>
    </row>
    <row r="73" spans="1:18" x14ac:dyDescent="0.35">
      <c r="B73" s="18" t="s">
        <v>231</v>
      </c>
      <c r="C73" s="17" t="s">
        <v>345</v>
      </c>
      <c r="D73" s="23" t="str">
        <f>'Off-farm feed'!$D$77</f>
        <v>France, Germany, Poland</v>
      </c>
      <c r="E73" s="23" t="s">
        <v>82</v>
      </c>
      <c r="F73" s="222">
        <f>'Off-farm feed'!$E$77</f>
        <v>6.732045566157569E-4</v>
      </c>
      <c r="G73" s="222">
        <f>'Off-farm feed'!$F$77</f>
        <v>1.946970439026595E-4</v>
      </c>
      <c r="H73" s="222">
        <f>'Off-farm feed'!$G$77</f>
        <v>5.3103448275862083E-7</v>
      </c>
      <c r="I73" s="222">
        <f>'Off-farm feed'!$H$77</f>
        <v>4.2751561806777074E-4</v>
      </c>
      <c r="J73" s="222">
        <f>'Off-farm feed'!$I$77</f>
        <v>4.2751561806777089E-5</v>
      </c>
      <c r="K73" s="222">
        <f>'Off-farm feed'!$J$77</f>
        <v>6.6339607025480414E-7</v>
      </c>
      <c r="L73" s="222">
        <f>'Off-farm feed'!$K$77</f>
        <v>0</v>
      </c>
      <c r="M73" s="222">
        <f>'Off-farm feed'!$L$77</f>
        <v>7.9511067188965511E-9</v>
      </c>
      <c r="N73" s="222">
        <f>'Off-farm feed'!$M$77</f>
        <v>1.2789681892721844E-6</v>
      </c>
      <c r="O73" s="222">
        <f>'Off-farm feed'!$N$77</f>
        <v>0</v>
      </c>
      <c r="P73" s="222">
        <f>'Off-farm feed'!$O$77</f>
        <v>3.9312802868423834E-6</v>
      </c>
      <c r="Q73" s="222">
        <f>'Off-farm feed'!$P$77</f>
        <v>1.8277027027027027E-6</v>
      </c>
      <c r="R73" s="197">
        <f>'Parameters, country spec'!G26</f>
        <v>5.5807970406811222E-2</v>
      </c>
    </row>
    <row r="74" spans="1:18" x14ac:dyDescent="0.35">
      <c r="B74" s="18" t="s">
        <v>346</v>
      </c>
      <c r="C74" s="17" t="s">
        <v>345</v>
      </c>
      <c r="D74" s="23" t="str">
        <f>'Off-farm feed'!$D$26</f>
        <v>Brazil, Argentina</v>
      </c>
      <c r="E74" s="23" t="s">
        <v>82</v>
      </c>
      <c r="F74" s="222">
        <f>'Off-farm feed'!$E$26</f>
        <v>1.8866346644602505E-4</v>
      </c>
      <c r="G74" s="222">
        <f>'Off-farm feed'!$F$26</f>
        <v>1.6332109719061441E-5</v>
      </c>
      <c r="H74" s="222">
        <f>'Off-farm feed'!$G$26</f>
        <v>8.7195121951219526E-7</v>
      </c>
      <c r="I74" s="222">
        <f>'Off-farm feed'!$H$26</f>
        <v>1.3333449845358202E-4</v>
      </c>
      <c r="J74" s="222">
        <f>'Off-farm feed'!$I$26</f>
        <v>1.3333449845358203E-5</v>
      </c>
      <c r="K74" s="222">
        <f>'Off-farm feed'!$J$26</f>
        <v>1.1576736579983931E-6</v>
      </c>
      <c r="L74" s="222">
        <f>'Off-farm feed'!$K$26</f>
        <v>0</v>
      </c>
      <c r="M74" s="222">
        <f>'Off-farm feed'!$L$26</f>
        <v>7.3437786087804866E-9</v>
      </c>
      <c r="N74" s="222">
        <f>'Off-farm feed'!$M$26</f>
        <v>1.1195281639512197E-6</v>
      </c>
      <c r="O74" s="222">
        <f>'Off-farm feed'!$N$26</f>
        <v>0</v>
      </c>
      <c r="P74" s="222">
        <f>'Off-farm feed'!$O$26</f>
        <v>1.3419073770114991E-5</v>
      </c>
      <c r="Q74" s="222">
        <f>'Off-farm feed'!$P$26</f>
        <v>9.087837837837838E-6</v>
      </c>
      <c r="R74" s="197">
        <f>'Parameters, country spec'!G27</f>
        <v>9.2843535472153071E-2</v>
      </c>
    </row>
    <row r="75" spans="1:18" x14ac:dyDescent="0.35">
      <c r="B75" s="17" t="s">
        <v>233</v>
      </c>
      <c r="C75" s="17" t="s">
        <v>347</v>
      </c>
      <c r="D75" s="23" t="s">
        <v>170</v>
      </c>
      <c r="E75" s="23" t="s">
        <v>92</v>
      </c>
      <c r="F75" s="222"/>
      <c r="G75" s="14"/>
      <c r="H75" s="14"/>
      <c r="I75" s="14"/>
      <c r="J75" s="14"/>
      <c r="K75" s="14"/>
      <c r="L75" s="14"/>
      <c r="M75" s="14"/>
      <c r="N75" s="14"/>
      <c r="O75" s="14"/>
      <c r="P75" s="8"/>
      <c r="Q75" s="14"/>
      <c r="R75" s="197">
        <f>'Parameters, country spec'!G28</f>
        <v>8.2453001528588601E-2</v>
      </c>
    </row>
    <row r="76" spans="1:18" x14ac:dyDescent="0.35">
      <c r="A76" s="83"/>
      <c r="B76" s="17" t="s">
        <v>348</v>
      </c>
      <c r="C76" s="84" t="s">
        <v>349</v>
      </c>
      <c r="D76" s="23" t="s">
        <v>170</v>
      </c>
      <c r="E76" s="23" t="s">
        <v>92</v>
      </c>
      <c r="F76" s="222">
        <f t="shared" si="15"/>
        <v>5.7856143731057198E-4</v>
      </c>
      <c r="G76" s="82">
        <f t="shared" ref="G76:N76" si="16">AVERAGE(G66:G74)</f>
        <v>9.600556562014004E-5</v>
      </c>
      <c r="H76" s="82">
        <f t="shared" si="16"/>
        <v>1.0114428558078684E-6</v>
      </c>
      <c r="I76" s="82">
        <f t="shared" si="16"/>
        <v>4.356508581563975E-4</v>
      </c>
      <c r="J76" s="82">
        <f t="shared" si="16"/>
        <v>4.3565085815639758E-5</v>
      </c>
      <c r="K76" s="82">
        <f t="shared" si="16"/>
        <v>1.1506233916367569E-6</v>
      </c>
      <c r="L76" s="82">
        <f t="shared" si="16"/>
        <v>0</v>
      </c>
      <c r="M76" s="82">
        <f t="shared" si="16"/>
        <v>1.6994317030752262E-9</v>
      </c>
      <c r="N76" s="82">
        <f t="shared" si="16"/>
        <v>1.1761620392470449E-6</v>
      </c>
      <c r="O76" s="82"/>
      <c r="P76" s="81"/>
      <c r="Q76" s="82"/>
      <c r="R76" s="197">
        <f>'Parameters, country spec'!G29</f>
        <v>3.702706573074812E-2</v>
      </c>
    </row>
    <row r="77" spans="1:18" x14ac:dyDescent="0.35">
      <c r="A77" s="195"/>
      <c r="B77" s="25" t="s">
        <v>350</v>
      </c>
      <c r="C77" s="26"/>
      <c r="D77" s="103"/>
      <c r="E77" s="103"/>
      <c r="F77" s="46">
        <f>SUMPRODUCT(F66:F76,$R$66:$R$76)</f>
        <v>7.0660937365034414E-4</v>
      </c>
      <c r="G77" s="46">
        <f t="shared" ref="G77:O77" si="17">SUMPRODUCT(G66:G76,$R$66:$R$76)</f>
        <v>1.2132205214808628E-4</v>
      </c>
      <c r="H77" s="46">
        <f t="shared" si="17"/>
        <v>9.5309702133031969E-7</v>
      </c>
      <c r="I77" s="46">
        <f t="shared" si="17"/>
        <v>5.2728692682726995E-4</v>
      </c>
      <c r="J77" s="46">
        <f t="shared" si="17"/>
        <v>5.2728692682726987E-5</v>
      </c>
      <c r="K77" s="46">
        <f t="shared" si="17"/>
        <v>8.3156226063946076E-7</v>
      </c>
      <c r="L77" s="46">
        <f t="shared" si="17"/>
        <v>0</v>
      </c>
      <c r="M77" s="46">
        <f t="shared" si="17"/>
        <v>1.1884824676082102E-9</v>
      </c>
      <c r="N77" s="46">
        <f t="shared" si="17"/>
        <v>1.0748358293281754E-6</v>
      </c>
      <c r="O77" s="46">
        <f t="shared" si="17"/>
        <v>0</v>
      </c>
      <c r="P77" s="30">
        <f>SUMPRODUCT(P66:P76,R66:R76)</f>
        <v>1.46527102548809E-6</v>
      </c>
      <c r="Q77" s="46">
        <f>SUMPRODUCT(Q66:Q76,$R$66:$R$76)</f>
        <v>9.4574737300735352E-7</v>
      </c>
      <c r="R77" s="207"/>
    </row>
    <row r="78" spans="1:18" x14ac:dyDescent="0.35">
      <c r="A78" s="22" t="s">
        <v>336</v>
      </c>
      <c r="B78" s="17" t="s">
        <v>218</v>
      </c>
      <c r="C78" s="17" t="s">
        <v>337</v>
      </c>
      <c r="D78" s="23" t="s">
        <v>29</v>
      </c>
      <c r="E78" s="23" t="s">
        <v>93</v>
      </c>
      <c r="F78" s="223">
        <f>SUM(G78:Q78)</f>
        <v>8.1663199999999997E-4</v>
      </c>
      <c r="G78" s="201">
        <v>1.3999999999999999E-4</v>
      </c>
      <c r="H78" s="202">
        <v>9.9999999999999995E-7</v>
      </c>
      <c r="I78" s="205">
        <v>6.1200000000000002E-4</v>
      </c>
      <c r="J78" s="205">
        <v>6.1199999999999997E-5</v>
      </c>
      <c r="K78" s="205">
        <v>8.8199999999999998E-7</v>
      </c>
      <c r="L78" s="205"/>
      <c r="M78" s="205">
        <v>0</v>
      </c>
      <c r="N78" s="205">
        <v>1.55E-6</v>
      </c>
      <c r="O78" s="205"/>
      <c r="P78" s="14"/>
      <c r="Q78" s="204"/>
      <c r="R78" s="208">
        <f>'Parameters, country spec'!H19</f>
        <v>0.3247662162385499</v>
      </c>
    </row>
    <row r="79" spans="1:18" x14ac:dyDescent="0.35">
      <c r="A79" s="22" t="s">
        <v>338</v>
      </c>
      <c r="B79" s="17" t="s">
        <v>222</v>
      </c>
      <c r="C79" s="17" t="s">
        <v>337</v>
      </c>
      <c r="D79" s="23" t="s">
        <v>29</v>
      </c>
      <c r="E79" s="23" t="s">
        <v>93</v>
      </c>
      <c r="F79" s="221">
        <f t="shared" ref="F79:F88" si="18">SUM(G79:Q79)</f>
        <v>7.6922700000000004E-4</v>
      </c>
      <c r="G79" s="100">
        <v>1.2999999999999999E-4</v>
      </c>
      <c r="H79" s="101">
        <v>9.9999999999999995E-7</v>
      </c>
      <c r="I79" s="102">
        <v>5.7799999999999995E-4</v>
      </c>
      <c r="J79" s="102">
        <v>5.7800000000000002E-5</v>
      </c>
      <c r="K79" s="102">
        <v>7.2600000000000002E-7</v>
      </c>
      <c r="L79" s="102"/>
      <c r="M79" s="102">
        <v>1.5099999999999999E-7</v>
      </c>
      <c r="N79" s="102">
        <v>1.55E-6</v>
      </c>
      <c r="O79" s="102"/>
      <c r="P79" s="14"/>
      <c r="Q79" s="14"/>
      <c r="R79" s="197">
        <f>'Parameters, country spec'!H20</f>
        <v>1.9544149435115246E-2</v>
      </c>
    </row>
    <row r="80" spans="1:18" x14ac:dyDescent="0.35">
      <c r="A80" s="22" t="s">
        <v>339</v>
      </c>
      <c r="B80" s="17" t="s">
        <v>226</v>
      </c>
      <c r="C80" s="17" t="s">
        <v>337</v>
      </c>
      <c r="D80" s="23" t="s">
        <v>29</v>
      </c>
      <c r="E80" s="23" t="s">
        <v>93</v>
      </c>
      <c r="F80" s="221">
        <f t="shared" si="18"/>
        <v>7.4175999999999995E-4</v>
      </c>
      <c r="G80" s="100">
        <v>1.2E-4</v>
      </c>
      <c r="H80" s="101">
        <v>9.9999999999999995E-7</v>
      </c>
      <c r="I80" s="102">
        <v>5.62E-4</v>
      </c>
      <c r="J80" s="102">
        <v>5.6199999999999997E-5</v>
      </c>
      <c r="K80" s="102">
        <v>1.0100000000000001E-6</v>
      </c>
      <c r="L80" s="102"/>
      <c r="M80" s="102">
        <v>0</v>
      </c>
      <c r="N80" s="102">
        <v>1.55E-6</v>
      </c>
      <c r="O80" s="102"/>
      <c r="P80" s="14"/>
      <c r="Q80" s="14"/>
      <c r="R80" s="197">
        <f>'Parameters, country spec'!H21</f>
        <v>5.4547926099966608E-3</v>
      </c>
    </row>
    <row r="81" spans="1:18" x14ac:dyDescent="0.35">
      <c r="A81" s="22" t="s">
        <v>340</v>
      </c>
      <c r="B81" s="17" t="s">
        <v>227</v>
      </c>
      <c r="C81" s="17" t="s">
        <v>337</v>
      </c>
      <c r="D81" s="23" t="s">
        <v>29</v>
      </c>
      <c r="E81" s="23" t="s">
        <v>93</v>
      </c>
      <c r="F81" s="221">
        <f t="shared" si="18"/>
        <v>6.6777399999999999E-4</v>
      </c>
      <c r="G81" s="100">
        <v>1.1E-4</v>
      </c>
      <c r="H81" s="101">
        <v>9.9999999999999995E-7</v>
      </c>
      <c r="I81" s="102">
        <v>5.04E-4</v>
      </c>
      <c r="J81" s="102">
        <v>5.0399999999999999E-5</v>
      </c>
      <c r="K81" s="102">
        <v>8.2399999999999997E-7</v>
      </c>
      <c r="L81" s="102"/>
      <c r="M81" s="102">
        <v>0</v>
      </c>
      <c r="N81" s="102">
        <v>1.55E-6</v>
      </c>
      <c r="O81" s="102"/>
      <c r="P81" s="14"/>
      <c r="Q81" s="14"/>
      <c r="R81" s="197">
        <f>'Parameters, country spec'!H22</f>
        <v>3.9573904033440906E-3</v>
      </c>
    </row>
    <row r="82" spans="1:18" x14ac:dyDescent="0.35">
      <c r="A82" s="22" t="s">
        <v>341</v>
      </c>
      <c r="B82" s="17" t="s">
        <v>228</v>
      </c>
      <c r="C82" s="17" t="s">
        <v>337</v>
      </c>
      <c r="D82" s="23" t="s">
        <v>29</v>
      </c>
      <c r="E82" s="23" t="s">
        <v>93</v>
      </c>
      <c r="F82" s="221">
        <f t="shared" si="18"/>
        <v>9.2223750000000008E-4</v>
      </c>
      <c r="G82" s="100">
        <v>1.6000000000000001E-4</v>
      </c>
      <c r="H82" s="101">
        <v>9.9999999999999995E-7</v>
      </c>
      <c r="I82" s="102">
        <v>6.8999999999999997E-4</v>
      </c>
      <c r="J82" s="102">
        <v>6.8999999999999997E-5</v>
      </c>
      <c r="K82" s="102">
        <v>6.6899999999999997E-7</v>
      </c>
      <c r="L82" s="102"/>
      <c r="M82" s="102">
        <v>1.85E-8</v>
      </c>
      <c r="N82" s="102">
        <v>1.55E-6</v>
      </c>
      <c r="O82" s="102"/>
      <c r="P82" s="14"/>
      <c r="Q82" s="14"/>
      <c r="R82" s="197">
        <f>'Parameters, country spec'!H23</f>
        <v>0.33524969269006805</v>
      </c>
    </row>
    <row r="83" spans="1:18" x14ac:dyDescent="0.35">
      <c r="A83" s="22" t="s">
        <v>342</v>
      </c>
      <c r="B83" s="17" t="s">
        <v>229</v>
      </c>
      <c r="C83" s="17" t="s">
        <v>343</v>
      </c>
      <c r="D83" s="23" t="s">
        <v>29</v>
      </c>
      <c r="E83" s="23" t="s">
        <v>93</v>
      </c>
      <c r="F83" s="221">
        <f t="shared" si="18"/>
        <v>2.0725309000000001E-4</v>
      </c>
      <c r="G83" s="100">
        <v>0</v>
      </c>
      <c r="H83" s="101">
        <v>9.9999999999999995E-7</v>
      </c>
      <c r="I83" s="102">
        <v>1.85E-4</v>
      </c>
      <c r="J83" s="102">
        <v>1.8499999999999999E-5</v>
      </c>
      <c r="K83" s="102">
        <v>1.1999999999999999E-6</v>
      </c>
      <c r="L83" s="102"/>
      <c r="M83" s="102">
        <v>3.0899999999999999E-9</v>
      </c>
      <c r="N83" s="102">
        <v>1.55E-6</v>
      </c>
      <c r="O83" s="102"/>
      <c r="P83" s="14"/>
      <c r="Q83" s="14"/>
      <c r="R83" s="197">
        <f>'Parameters, country spec'!H24</f>
        <v>6.9591530195853583E-4</v>
      </c>
    </row>
    <row r="84" spans="1:18" x14ac:dyDescent="0.35">
      <c r="A84" s="22" t="s">
        <v>344</v>
      </c>
      <c r="B84" s="17" t="s">
        <v>230</v>
      </c>
      <c r="C84" s="17" t="s">
        <v>343</v>
      </c>
      <c r="D84" s="23" t="s">
        <v>29</v>
      </c>
      <c r="E84" s="23" t="s">
        <v>93</v>
      </c>
      <c r="F84" s="221">
        <f t="shared" si="18"/>
        <v>2.3858199999999999E-4</v>
      </c>
      <c r="G84" s="100">
        <v>6.7000000000000002E-6</v>
      </c>
      <c r="H84" s="101">
        <v>9.9999999999999995E-7</v>
      </c>
      <c r="I84" s="102">
        <v>2.0699999999999999E-4</v>
      </c>
      <c r="J84" s="102">
        <v>2.0699999999999998E-5</v>
      </c>
      <c r="K84" s="102">
        <v>1.28E-6</v>
      </c>
      <c r="L84" s="102"/>
      <c r="M84" s="102">
        <v>3.5199999999999998E-7</v>
      </c>
      <c r="N84" s="102">
        <v>1.55E-6</v>
      </c>
      <c r="O84" s="102"/>
      <c r="P84" s="14"/>
      <c r="Q84" s="14"/>
      <c r="R84" s="197">
        <f>'Parameters, country spec'!H25</f>
        <v>6.8361815808324494E-4</v>
      </c>
    </row>
    <row r="85" spans="1:18" x14ac:dyDescent="0.35">
      <c r="B85" s="18" t="s">
        <v>231</v>
      </c>
      <c r="C85" s="17" t="s">
        <v>345</v>
      </c>
      <c r="D85" s="23" t="str">
        <f>'Off-farm feed'!$D$77</f>
        <v>France, Germany, Poland</v>
      </c>
      <c r="E85" s="23" t="s">
        <v>82</v>
      </c>
      <c r="F85" s="222">
        <f>'Off-farm feed'!$E$77</f>
        <v>6.732045566157569E-4</v>
      </c>
      <c r="G85" s="222">
        <f>'Off-farm feed'!$F$77</f>
        <v>1.946970439026595E-4</v>
      </c>
      <c r="H85" s="222">
        <f>'Off-farm feed'!$G$77</f>
        <v>5.3103448275862083E-7</v>
      </c>
      <c r="I85" s="222">
        <f>'Off-farm feed'!$H$77</f>
        <v>4.2751561806777074E-4</v>
      </c>
      <c r="J85" s="222">
        <f>'Off-farm feed'!$I$77</f>
        <v>4.2751561806777089E-5</v>
      </c>
      <c r="K85" s="222">
        <f>'Off-farm feed'!$J$77</f>
        <v>6.6339607025480414E-7</v>
      </c>
      <c r="L85" s="222">
        <f>'Off-farm feed'!$K$77</f>
        <v>0</v>
      </c>
      <c r="M85" s="222">
        <f>'Off-farm feed'!$L$77</f>
        <v>7.9511067188965511E-9</v>
      </c>
      <c r="N85" s="222">
        <f>'Off-farm feed'!$M$77</f>
        <v>1.2789681892721844E-6</v>
      </c>
      <c r="O85" s="222">
        <f>'Off-farm feed'!$N$77</f>
        <v>0</v>
      </c>
      <c r="P85" s="222">
        <f>'Off-farm feed'!$O$77</f>
        <v>3.9312802868423834E-6</v>
      </c>
      <c r="Q85" s="222">
        <f>'Off-farm feed'!$P$77</f>
        <v>1.8277027027027027E-6</v>
      </c>
      <c r="R85" s="197">
        <f>'Parameters, country spec'!H26</f>
        <v>4.36899603839115E-2</v>
      </c>
    </row>
    <row r="86" spans="1:18" x14ac:dyDescent="0.35">
      <c r="B86" s="18" t="s">
        <v>346</v>
      </c>
      <c r="C86" s="17" t="s">
        <v>345</v>
      </c>
      <c r="D86" s="23" t="str">
        <f>'Off-farm feed'!$D$26</f>
        <v>Brazil, Argentina</v>
      </c>
      <c r="E86" s="23" t="s">
        <v>82</v>
      </c>
      <c r="F86" s="222">
        <f>'Off-farm feed'!$E$26</f>
        <v>1.8866346644602505E-4</v>
      </c>
      <c r="G86" s="222">
        <f>'Off-farm feed'!$F$26</f>
        <v>1.6332109719061441E-5</v>
      </c>
      <c r="H86" s="222">
        <f>'Off-farm feed'!$G$26</f>
        <v>8.7195121951219526E-7</v>
      </c>
      <c r="I86" s="222">
        <f>'Off-farm feed'!$H$26</f>
        <v>1.3333449845358202E-4</v>
      </c>
      <c r="J86" s="222">
        <f>'Off-farm feed'!$I$26</f>
        <v>1.3333449845358203E-5</v>
      </c>
      <c r="K86" s="222">
        <f>'Off-farm feed'!$J$26</f>
        <v>1.1576736579983931E-6</v>
      </c>
      <c r="L86" s="222">
        <f>'Off-farm feed'!$K$26</f>
        <v>0</v>
      </c>
      <c r="M86" s="222">
        <f>'Off-farm feed'!$L$26</f>
        <v>7.3437786087804866E-9</v>
      </c>
      <c r="N86" s="222">
        <f>'Off-farm feed'!$M$26</f>
        <v>1.1195281639512197E-6</v>
      </c>
      <c r="O86" s="222">
        <f>'Off-farm feed'!$N$26</f>
        <v>0</v>
      </c>
      <c r="P86" s="222">
        <f>'Off-farm feed'!$O$26</f>
        <v>1.3419073770114991E-5</v>
      </c>
      <c r="Q86" s="222">
        <f>'Off-farm feed'!$P$26</f>
        <v>9.087837837837838E-6</v>
      </c>
      <c r="R86" s="197">
        <f>'Parameters, country spec'!H27</f>
        <v>0.1076444790964969</v>
      </c>
    </row>
    <row r="87" spans="1:18" x14ac:dyDescent="0.35">
      <c r="B87" s="17" t="s">
        <v>233</v>
      </c>
      <c r="C87" s="17" t="s">
        <v>347</v>
      </c>
      <c r="D87" s="23" t="s">
        <v>29</v>
      </c>
      <c r="E87" s="23" t="s">
        <v>93</v>
      </c>
      <c r="F87" s="222"/>
      <c r="G87" s="14"/>
      <c r="H87" s="14"/>
      <c r="I87" s="14"/>
      <c r="J87" s="14"/>
      <c r="K87" s="14"/>
      <c r="L87" s="14"/>
      <c r="M87" s="14"/>
      <c r="N87" s="14"/>
      <c r="O87" s="14"/>
      <c r="P87" s="8"/>
      <c r="Q87" s="14"/>
      <c r="R87" s="197">
        <f>'Parameters, country spec'!H28</f>
        <v>1.7669178559904096E-2</v>
      </c>
    </row>
    <row r="88" spans="1:18" x14ac:dyDescent="0.35">
      <c r="A88" s="83"/>
      <c r="B88" s="17" t="s">
        <v>348</v>
      </c>
      <c r="C88" s="84" t="s">
        <v>349</v>
      </c>
      <c r="D88" s="23" t="s">
        <v>29</v>
      </c>
      <c r="E88" s="23" t="s">
        <v>93</v>
      </c>
      <c r="F88" s="222">
        <f t="shared" si="18"/>
        <v>5.7745196871825371E-4</v>
      </c>
      <c r="G88" s="82">
        <f t="shared" ref="G88:N88" si="19">AVERAGE(G78:G86)</f>
        <v>9.7525461513524526E-5</v>
      </c>
      <c r="H88" s="82">
        <f t="shared" si="19"/>
        <v>9.3366507803009054E-7</v>
      </c>
      <c r="I88" s="82">
        <f t="shared" si="19"/>
        <v>4.3320556850237255E-4</v>
      </c>
      <c r="J88" s="82">
        <f t="shared" si="19"/>
        <v>4.3320556850237259E-5</v>
      </c>
      <c r="K88" s="82">
        <f t="shared" si="19"/>
        <v>9.3467441425035527E-7</v>
      </c>
      <c r="L88" s="82">
        <f t="shared" si="19"/>
        <v>0</v>
      </c>
      <c r="M88" s="82">
        <f t="shared" si="19"/>
        <v>5.9987209480852991E-8</v>
      </c>
      <c r="N88" s="82">
        <f t="shared" si="19"/>
        <v>1.4720551503581562E-6</v>
      </c>
      <c r="O88" s="82"/>
      <c r="P88" s="81"/>
      <c r="Q88" s="82"/>
      <c r="R88" s="197">
        <f>'Parameters, country spec'!H29</f>
        <v>0.14064460712257179</v>
      </c>
    </row>
    <row r="89" spans="1:18" x14ac:dyDescent="0.35">
      <c r="A89" s="195"/>
      <c r="B89" s="25" t="s">
        <v>350</v>
      </c>
      <c r="C89" s="26"/>
      <c r="D89" s="103"/>
      <c r="E89" s="103"/>
      <c r="F89" s="46">
        <f>SUMPRODUCT(F78:F88,$R$78:$R$88)</f>
        <v>7.2736069582026363E-4</v>
      </c>
      <c r="G89" s="46">
        <f t="shared" ref="G89:O89" si="20">SUMPRODUCT(G78:G88,$R$78:$R$88)</f>
        <v>1.267232266268437E-4</v>
      </c>
      <c r="H89" s="46">
        <f t="shared" si="20"/>
        <v>9.3872834325688372E-7</v>
      </c>
      <c r="I89" s="46">
        <f t="shared" si="20"/>
        <v>5.406649922011646E-4</v>
      </c>
      <c r="J89" s="46">
        <f t="shared" si="20"/>
        <v>5.4066499220116472E-5</v>
      </c>
      <c r="K89" s="46">
        <f t="shared" si="20"/>
        <v>8.2045310114210824E-7</v>
      </c>
      <c r="L89" s="46">
        <f t="shared" si="20"/>
        <v>0</v>
      </c>
      <c r="M89" s="46">
        <f t="shared" si="20"/>
        <v>1.8970848119710011E-8</v>
      </c>
      <c r="N89" s="46">
        <f t="shared" si="20"/>
        <v>1.4534709648463823E-6</v>
      </c>
      <c r="O89" s="46">
        <f t="shared" si="20"/>
        <v>0</v>
      </c>
      <c r="P89" s="30">
        <f>SUMPRODUCT(P78:P88,R78:R88)</f>
        <v>1.6162466859316889E-6</v>
      </c>
      <c r="Q89" s="46">
        <f>SUMPRODUCT(Q78:Q88,$R$78:$R$88)</f>
        <v>1.0581078288421378E-6</v>
      </c>
      <c r="R89" s="207"/>
    </row>
    <row r="90" spans="1:18" x14ac:dyDescent="0.35">
      <c r="A90" s="22" t="s">
        <v>336</v>
      </c>
      <c r="B90" s="17" t="s">
        <v>218</v>
      </c>
      <c r="C90" s="17" t="s">
        <v>337</v>
      </c>
      <c r="D90" s="23" t="s">
        <v>171</v>
      </c>
      <c r="E90" s="23" t="s">
        <v>95</v>
      </c>
      <c r="F90" s="223">
        <f>SUM(G90:Q90)</f>
        <v>8.3700497241450582E-4</v>
      </c>
      <c r="G90" s="201">
        <v>1.3527187113652022E-4</v>
      </c>
      <c r="H90" s="202">
        <v>1.1000000000000001E-6</v>
      </c>
      <c r="I90" s="205">
        <v>6.348790825230616E-4</v>
      </c>
      <c r="J90" s="205">
        <v>6.3487908252306166E-5</v>
      </c>
      <c r="K90" s="205">
        <v>1.0965445026178011E-6</v>
      </c>
      <c r="L90" s="205"/>
      <c r="M90" s="205">
        <v>0</v>
      </c>
      <c r="N90" s="205">
        <v>1.1695660000000001E-6</v>
      </c>
      <c r="O90" s="205"/>
      <c r="P90" s="14"/>
      <c r="Q90" s="204"/>
      <c r="R90" s="208">
        <f>'Parameters, country spec'!I19</f>
        <v>4.6530307311594861E-2</v>
      </c>
    </row>
    <row r="91" spans="1:18" x14ac:dyDescent="0.35">
      <c r="A91" s="22" t="s">
        <v>338</v>
      </c>
      <c r="B91" s="17" t="s">
        <v>222</v>
      </c>
      <c r="C91" s="17" t="s">
        <v>337</v>
      </c>
      <c r="D91" s="23" t="s">
        <v>171</v>
      </c>
      <c r="E91" s="23" t="s">
        <v>95</v>
      </c>
      <c r="F91" s="221">
        <f t="shared" ref="F91:F100" si="21">SUM(G91:Q91)</f>
        <v>7.7064277808378814E-4</v>
      </c>
      <c r="G91" s="100">
        <v>1.3173663927780048E-4</v>
      </c>
      <c r="H91" s="101">
        <v>1.1000000000000001E-6</v>
      </c>
      <c r="I91" s="102">
        <v>5.7807906502645948E-4</v>
      </c>
      <c r="J91" s="102">
        <v>5.7807906502645948E-5</v>
      </c>
      <c r="K91" s="102">
        <v>7.4960127688222882E-7</v>
      </c>
      <c r="L91" s="102"/>
      <c r="M91" s="102">
        <v>0</v>
      </c>
      <c r="N91" s="102">
        <v>1.1695660000000001E-6</v>
      </c>
      <c r="O91" s="102"/>
      <c r="P91" s="14"/>
      <c r="Q91" s="14"/>
      <c r="R91" s="197">
        <f>'Parameters, country spec'!I20</f>
        <v>9.558020970872997E-3</v>
      </c>
    </row>
    <row r="92" spans="1:18" x14ac:dyDescent="0.35">
      <c r="A92" s="22" t="s">
        <v>339</v>
      </c>
      <c r="B92" s="17" t="s">
        <v>226</v>
      </c>
      <c r="C92" s="17" t="s">
        <v>337</v>
      </c>
      <c r="D92" s="23" t="s">
        <v>171</v>
      </c>
      <c r="E92" s="23" t="s">
        <v>95</v>
      </c>
      <c r="F92" s="221">
        <f t="shared" si="21"/>
        <v>7.4080189535590966E-4</v>
      </c>
      <c r="G92" s="100">
        <v>1.1925038042019814E-4</v>
      </c>
      <c r="H92" s="101">
        <v>1.1000000000000001E-6</v>
      </c>
      <c r="I92" s="102">
        <v>5.6184338890070615E-4</v>
      </c>
      <c r="J92" s="102">
        <v>5.6184338890070617E-5</v>
      </c>
      <c r="K92" s="102">
        <v>1.2542211449347684E-6</v>
      </c>
      <c r="L92" s="102"/>
      <c r="M92" s="102">
        <v>0</v>
      </c>
      <c r="N92" s="102">
        <v>1.1695660000000001E-6</v>
      </c>
      <c r="O92" s="102"/>
      <c r="P92" s="14"/>
      <c r="Q92" s="14"/>
      <c r="R92" s="197">
        <f>'Parameters, country spec'!I21</f>
        <v>6.5141293607569762E-4</v>
      </c>
    </row>
    <row r="93" spans="1:18" x14ac:dyDescent="0.35">
      <c r="A93" s="22" t="s">
        <v>340</v>
      </c>
      <c r="B93" s="17" t="s">
        <v>227</v>
      </c>
      <c r="C93" s="17" t="s">
        <v>337</v>
      </c>
      <c r="D93" s="23" t="s">
        <v>171</v>
      </c>
      <c r="E93" s="23" t="s">
        <v>95</v>
      </c>
      <c r="F93" s="221">
        <f t="shared" si="21"/>
        <v>6.6289501004433845E-4</v>
      </c>
      <c r="G93" s="100">
        <v>1.0503816802565812E-4</v>
      </c>
      <c r="H93" s="101">
        <v>1.1000000000000001E-6</v>
      </c>
      <c r="I93" s="102">
        <v>5.0432765635150922E-4</v>
      </c>
      <c r="J93" s="102">
        <v>5.0432765635150922E-5</v>
      </c>
      <c r="K93" s="102">
        <v>8.2685403202016689E-7</v>
      </c>
      <c r="L93" s="102"/>
      <c r="M93" s="102">
        <v>0</v>
      </c>
      <c r="N93" s="102">
        <v>1.1695660000000001E-6</v>
      </c>
      <c r="O93" s="102"/>
      <c r="P93" s="14"/>
      <c r="Q93" s="14"/>
      <c r="R93" s="197">
        <f>'Parameters, country spec'!I22</f>
        <v>0</v>
      </c>
    </row>
    <row r="94" spans="1:18" x14ac:dyDescent="0.35">
      <c r="A94" s="22" t="s">
        <v>341</v>
      </c>
      <c r="B94" s="17" t="s">
        <v>228</v>
      </c>
      <c r="C94" s="17" t="s">
        <v>337</v>
      </c>
      <c r="D94" s="23" t="s">
        <v>171</v>
      </c>
      <c r="E94" s="23" t="s">
        <v>95</v>
      </c>
      <c r="F94" s="221">
        <f t="shared" si="21"/>
        <v>9.1657094895803305E-4</v>
      </c>
      <c r="G94" s="100">
        <v>1.5506058283512638E-4</v>
      </c>
      <c r="H94" s="101">
        <v>1.1000000000000001E-6</v>
      </c>
      <c r="I94" s="102">
        <v>6.8950683668766316E-4</v>
      </c>
      <c r="J94" s="102">
        <v>6.8950683668766316E-5</v>
      </c>
      <c r="K94" s="102">
        <v>7.832797664771855E-7</v>
      </c>
      <c r="L94" s="102"/>
      <c r="M94" s="102">
        <v>0</v>
      </c>
      <c r="N94" s="102">
        <v>1.1695660000000001E-6</v>
      </c>
      <c r="O94" s="102"/>
      <c r="P94" s="14"/>
      <c r="Q94" s="14"/>
      <c r="R94" s="197">
        <f>'Parameters, country spec'!I23</f>
        <v>0.18877612897819573</v>
      </c>
    </row>
    <row r="95" spans="1:18" x14ac:dyDescent="0.35">
      <c r="A95" s="22" t="s">
        <v>342</v>
      </c>
      <c r="B95" s="17" t="s">
        <v>229</v>
      </c>
      <c r="C95" s="17" t="s">
        <v>343</v>
      </c>
      <c r="D95" s="23" t="s">
        <v>171</v>
      </c>
      <c r="E95" s="23" t="s">
        <v>95</v>
      </c>
      <c r="F95" s="221">
        <f t="shared" si="21"/>
        <v>2.0683180874021213E-4</v>
      </c>
      <c r="G95" s="100">
        <v>0</v>
      </c>
      <c r="H95" s="101">
        <v>1.1000000000000001E-6</v>
      </c>
      <c r="I95" s="102">
        <v>1.8457296000000002E-4</v>
      </c>
      <c r="J95" s="102">
        <v>1.8457296000000003E-5</v>
      </c>
      <c r="K95" s="102">
        <v>1.5319867402121297E-6</v>
      </c>
      <c r="L95" s="102"/>
      <c r="M95" s="102">
        <v>0</v>
      </c>
      <c r="N95" s="102">
        <v>1.1695660000000001E-6</v>
      </c>
      <c r="O95" s="102"/>
      <c r="P95" s="14"/>
      <c r="Q95" s="14"/>
      <c r="R95" s="197">
        <f>'Parameters, country spec'!I24</f>
        <v>4.0248082263826587E-3</v>
      </c>
    </row>
    <row r="96" spans="1:18" x14ac:dyDescent="0.35">
      <c r="A96" s="22" t="s">
        <v>344</v>
      </c>
      <c r="B96" s="17" t="s">
        <v>230</v>
      </c>
      <c r="C96" s="17" t="s">
        <v>343</v>
      </c>
      <c r="D96" s="23" t="s">
        <v>171</v>
      </c>
      <c r="E96" s="23" t="s">
        <v>95</v>
      </c>
      <c r="F96" s="221">
        <f t="shared" si="21"/>
        <v>2.3870339373407735E-4</v>
      </c>
      <c r="G96" s="100">
        <v>6.6632952642360706E-6</v>
      </c>
      <c r="H96" s="101">
        <v>1.1000000000000001E-6</v>
      </c>
      <c r="I96" s="102">
        <v>2.067986173968254E-4</v>
      </c>
      <c r="J96" s="102">
        <v>2.0679861739682541E-5</v>
      </c>
      <c r="K96" s="102">
        <v>2.2920533333333338E-6</v>
      </c>
      <c r="L96" s="102"/>
      <c r="M96" s="102">
        <v>0</v>
      </c>
      <c r="N96" s="102">
        <v>1.1695660000000001E-6</v>
      </c>
      <c r="O96" s="102"/>
      <c r="P96" s="14"/>
      <c r="Q96" s="14"/>
      <c r="R96" s="197">
        <f>'Parameters, country spec'!I25</f>
        <v>3.9536880112219551E-3</v>
      </c>
    </row>
    <row r="97" spans="1:18" x14ac:dyDescent="0.35">
      <c r="B97" s="18" t="s">
        <v>231</v>
      </c>
      <c r="C97" s="17" t="s">
        <v>345</v>
      </c>
      <c r="D97" s="23" t="str">
        <f>'Off-farm feed'!$D$77</f>
        <v>France, Germany, Poland</v>
      </c>
      <c r="E97" s="23" t="s">
        <v>82</v>
      </c>
      <c r="F97" s="222">
        <f>'Off-farm feed'!$E$77</f>
        <v>6.732045566157569E-4</v>
      </c>
      <c r="G97" s="222">
        <f>'Off-farm feed'!$F$77</f>
        <v>1.946970439026595E-4</v>
      </c>
      <c r="H97" s="222">
        <f>'Off-farm feed'!$G$77</f>
        <v>5.3103448275862083E-7</v>
      </c>
      <c r="I97" s="222">
        <f>'Off-farm feed'!$H$77</f>
        <v>4.2751561806777074E-4</v>
      </c>
      <c r="J97" s="222">
        <f>'Off-farm feed'!$I$77</f>
        <v>4.2751561806777089E-5</v>
      </c>
      <c r="K97" s="222">
        <f>'Off-farm feed'!$J$77</f>
        <v>6.6339607025480414E-7</v>
      </c>
      <c r="L97" s="222">
        <f>'Off-farm feed'!$K$77</f>
        <v>0</v>
      </c>
      <c r="M97" s="222">
        <f>'Off-farm feed'!$L$77</f>
        <v>7.9511067188965511E-9</v>
      </c>
      <c r="N97" s="222">
        <f>'Off-farm feed'!$M$77</f>
        <v>1.2789681892721844E-6</v>
      </c>
      <c r="O97" s="222">
        <f>'Off-farm feed'!$N$77</f>
        <v>0</v>
      </c>
      <c r="P97" s="222">
        <f>'Off-farm feed'!$O$77</f>
        <v>3.9312802868423834E-6</v>
      </c>
      <c r="Q97" s="222">
        <f>'Off-farm feed'!$P$77</f>
        <v>1.8277027027027027E-6</v>
      </c>
      <c r="R97" s="197">
        <f>'Parameters, country spec'!I26</f>
        <v>3.6707467213432814E-2</v>
      </c>
    </row>
    <row r="98" spans="1:18" x14ac:dyDescent="0.35">
      <c r="B98" s="18" t="s">
        <v>346</v>
      </c>
      <c r="C98" s="17" t="s">
        <v>345</v>
      </c>
      <c r="D98" s="23" t="str">
        <f>'Off-farm feed'!$D$26</f>
        <v>Brazil, Argentina</v>
      </c>
      <c r="E98" s="23" t="s">
        <v>82</v>
      </c>
      <c r="F98" s="222">
        <f>'Off-farm feed'!$E$26</f>
        <v>1.8866346644602505E-4</v>
      </c>
      <c r="G98" s="222">
        <f>'Off-farm feed'!$F$26</f>
        <v>1.6332109719061441E-5</v>
      </c>
      <c r="H98" s="222">
        <f>'Off-farm feed'!$G$26</f>
        <v>8.7195121951219526E-7</v>
      </c>
      <c r="I98" s="222">
        <f>'Off-farm feed'!$H$26</f>
        <v>1.3333449845358202E-4</v>
      </c>
      <c r="J98" s="222">
        <f>'Off-farm feed'!$I$26</f>
        <v>1.3333449845358203E-5</v>
      </c>
      <c r="K98" s="222">
        <f>'Off-farm feed'!$J$26</f>
        <v>1.1576736579983931E-6</v>
      </c>
      <c r="L98" s="222">
        <f>'Off-farm feed'!$K$26</f>
        <v>0</v>
      </c>
      <c r="M98" s="222">
        <f>'Off-farm feed'!$L$26</f>
        <v>7.3437786087804866E-9</v>
      </c>
      <c r="N98" s="222">
        <f>'Off-farm feed'!$M$26</f>
        <v>1.1195281639512197E-6</v>
      </c>
      <c r="O98" s="222">
        <f>'Off-farm feed'!$N$26</f>
        <v>0</v>
      </c>
      <c r="P98" s="222">
        <f>'Off-farm feed'!$O$26</f>
        <v>1.3419073770114991E-5</v>
      </c>
      <c r="Q98" s="222">
        <f>'Off-farm feed'!$P$26</f>
        <v>9.087837837837838E-6</v>
      </c>
      <c r="R98" s="197">
        <f>'Parameters, country spec'!I27</f>
        <v>1.9178220823815973E-2</v>
      </c>
    </row>
    <row r="99" spans="1:18" x14ac:dyDescent="0.35">
      <c r="B99" s="17" t="s">
        <v>233</v>
      </c>
      <c r="C99" s="17" t="s">
        <v>347</v>
      </c>
      <c r="D99" s="23" t="s">
        <v>171</v>
      </c>
      <c r="E99" s="23" t="s">
        <v>95</v>
      </c>
      <c r="F99" s="222"/>
      <c r="G99" s="14"/>
      <c r="H99" s="14"/>
      <c r="I99" s="14"/>
      <c r="J99" s="14"/>
      <c r="K99" s="14"/>
      <c r="L99" s="14"/>
      <c r="M99" s="14"/>
      <c r="N99" s="14"/>
      <c r="O99" s="14"/>
      <c r="P99" s="8"/>
      <c r="Q99" s="14"/>
      <c r="R99" s="197">
        <f>'Parameters, country spec'!I28</f>
        <v>0.45814721442178435</v>
      </c>
    </row>
    <row r="100" spans="1:18" x14ac:dyDescent="0.35">
      <c r="A100" s="83"/>
      <c r="B100" s="17" t="s">
        <v>348</v>
      </c>
      <c r="C100" s="84" t="s">
        <v>349</v>
      </c>
      <c r="D100" s="23" t="s">
        <v>171</v>
      </c>
      <c r="E100" s="23" t="s">
        <v>95</v>
      </c>
      <c r="F100" s="222">
        <f t="shared" si="21"/>
        <v>5.7856143731057198E-4</v>
      </c>
      <c r="G100" s="82">
        <f t="shared" ref="G100:N100" si="22">AVERAGE(G90:G98)</f>
        <v>9.600556562014004E-5</v>
      </c>
      <c r="H100" s="82">
        <f t="shared" si="22"/>
        <v>1.0114428558078684E-6</v>
      </c>
      <c r="I100" s="82">
        <f t="shared" si="22"/>
        <v>4.356508581563975E-4</v>
      </c>
      <c r="J100" s="82">
        <f t="shared" si="22"/>
        <v>4.3565085815639758E-5</v>
      </c>
      <c r="K100" s="82">
        <f t="shared" si="22"/>
        <v>1.1506233916367569E-6</v>
      </c>
      <c r="L100" s="82">
        <f t="shared" si="22"/>
        <v>0</v>
      </c>
      <c r="M100" s="82">
        <f t="shared" si="22"/>
        <v>1.6994317030752262E-9</v>
      </c>
      <c r="N100" s="82">
        <f t="shared" si="22"/>
        <v>1.1761620392470449E-6</v>
      </c>
      <c r="O100" s="82"/>
      <c r="P100" s="81"/>
      <c r="Q100" s="82"/>
      <c r="R100" s="197">
        <f>'Parameters, country spec'!I29</f>
        <v>0.23247273110662289</v>
      </c>
    </row>
    <row r="101" spans="1:18" x14ac:dyDescent="0.35">
      <c r="A101" s="195"/>
      <c r="B101" s="25" t="s">
        <v>350</v>
      </c>
      <c r="C101" s="26"/>
      <c r="D101" s="103"/>
      <c r="E101" s="103"/>
      <c r="F101" s="46">
        <f>SUMPRODUCT(F90:F100,$R$90:$R$100)</f>
        <v>3.8442704040432616E-4</v>
      </c>
      <c r="G101" s="46">
        <f t="shared" ref="G101:O101" si="23">SUMPRODUCT(G90:G100,$R$90:$R$100)</f>
        <v>6.6707877914673599E-5</v>
      </c>
      <c r="H101" s="46">
        <f t="shared" si="23"/>
        <v>5.5019209002618045E-7</v>
      </c>
      <c r="I101" s="46">
        <f t="shared" si="23"/>
        <v>2.8668240100222894E-4</v>
      </c>
      <c r="J101" s="46">
        <f t="shared" si="23"/>
        <v>2.866824010022289E-5</v>
      </c>
      <c r="K101" s="46">
        <f t="shared" si="23"/>
        <v>5.3613908501506305E-7</v>
      </c>
      <c r="L101" s="46">
        <f t="shared" si="23"/>
        <v>0</v>
      </c>
      <c r="M101" s="46">
        <f t="shared" si="23"/>
        <v>8.2777712637788595E-10</v>
      </c>
      <c r="N101" s="46">
        <f t="shared" si="23"/>
        <v>6.3832223488231533E-7</v>
      </c>
      <c r="O101" s="46">
        <f t="shared" si="23"/>
        <v>0</v>
      </c>
      <c r="P101" s="30">
        <f>SUMPRODUCT(P90:P100,R90:R100)</f>
        <v>4.0166130225042357E-7</v>
      </c>
      <c r="Q101" s="46">
        <f>SUMPRODUCT(Q90:Q100,$R$90:$R$100)</f>
        <v>2.4137889790044635E-7</v>
      </c>
      <c r="R101" s="198"/>
    </row>
    <row r="102" spans="1:18" x14ac:dyDescent="0.35">
      <c r="A102" s="22" t="s">
        <v>336</v>
      </c>
      <c r="B102" s="17" t="s">
        <v>218</v>
      </c>
      <c r="C102" s="17" t="s">
        <v>337</v>
      </c>
      <c r="D102" s="23" t="s">
        <v>96</v>
      </c>
      <c r="E102" s="23" t="s">
        <v>97</v>
      </c>
      <c r="F102" s="223">
        <f>SUM(G102:Q102)</f>
        <v>8.3700497241450582E-4</v>
      </c>
      <c r="G102" s="201">
        <v>1.3527187113652022E-4</v>
      </c>
      <c r="H102" s="202">
        <v>1.1000000000000001E-6</v>
      </c>
      <c r="I102" s="205">
        <v>6.348790825230616E-4</v>
      </c>
      <c r="J102" s="205">
        <v>6.3487908252306166E-5</v>
      </c>
      <c r="K102" s="205">
        <v>1.0965445026178011E-6</v>
      </c>
      <c r="L102" s="205"/>
      <c r="M102" s="205">
        <v>0</v>
      </c>
      <c r="N102" s="205">
        <v>1.1695660000000001E-6</v>
      </c>
      <c r="O102" s="205"/>
      <c r="P102" s="14"/>
      <c r="Q102" s="204"/>
      <c r="R102" s="208">
        <f>'Parameters, country spec'!J19</f>
        <v>0.36213948950567598</v>
      </c>
    </row>
    <row r="103" spans="1:18" x14ac:dyDescent="0.35">
      <c r="A103" s="22" t="s">
        <v>338</v>
      </c>
      <c r="B103" s="17" t="s">
        <v>222</v>
      </c>
      <c r="C103" s="17" t="s">
        <v>337</v>
      </c>
      <c r="D103" s="23" t="s">
        <v>96</v>
      </c>
      <c r="E103" s="23" t="s">
        <v>97</v>
      </c>
      <c r="F103" s="221">
        <f t="shared" ref="F103:F112" si="24">SUM(G103:Q103)</f>
        <v>7.7064277808378814E-4</v>
      </c>
      <c r="G103" s="100">
        <v>1.3173663927780048E-4</v>
      </c>
      <c r="H103" s="101">
        <v>1.1000000000000001E-6</v>
      </c>
      <c r="I103" s="102">
        <v>5.7807906502645948E-4</v>
      </c>
      <c r="J103" s="102">
        <v>5.7807906502645948E-5</v>
      </c>
      <c r="K103" s="102">
        <v>7.4960127688222882E-7</v>
      </c>
      <c r="L103" s="102"/>
      <c r="M103" s="102">
        <v>0</v>
      </c>
      <c r="N103" s="102">
        <v>1.1695660000000001E-6</v>
      </c>
      <c r="O103" s="102"/>
      <c r="P103" s="14"/>
      <c r="Q103" s="14"/>
      <c r="R103" s="197">
        <f>'Parameters, country spec'!J20</f>
        <v>2.7285200595272913E-2</v>
      </c>
    </row>
    <row r="104" spans="1:18" x14ac:dyDescent="0.35">
      <c r="A104" s="22" t="s">
        <v>339</v>
      </c>
      <c r="B104" s="17" t="s">
        <v>226</v>
      </c>
      <c r="C104" s="17" t="s">
        <v>337</v>
      </c>
      <c r="D104" s="23" t="s">
        <v>96</v>
      </c>
      <c r="E104" s="23" t="s">
        <v>97</v>
      </c>
      <c r="F104" s="221">
        <f t="shared" si="24"/>
        <v>7.4080189535590966E-4</v>
      </c>
      <c r="G104" s="100">
        <v>1.1925038042019814E-4</v>
      </c>
      <c r="H104" s="101">
        <v>1.1000000000000001E-6</v>
      </c>
      <c r="I104" s="102">
        <v>5.6184338890070615E-4</v>
      </c>
      <c r="J104" s="102">
        <v>5.6184338890070617E-5</v>
      </c>
      <c r="K104" s="102">
        <v>1.2542211449347684E-6</v>
      </c>
      <c r="L104" s="102"/>
      <c r="M104" s="102">
        <v>0</v>
      </c>
      <c r="N104" s="102">
        <v>1.1695660000000001E-6</v>
      </c>
      <c r="O104" s="102"/>
      <c r="P104" s="14"/>
      <c r="Q104" s="14"/>
      <c r="R104" s="197">
        <f>'Parameters, country spec'!J21</f>
        <v>0.16949282524721104</v>
      </c>
    </row>
    <row r="105" spans="1:18" x14ac:dyDescent="0.35">
      <c r="A105" s="22" t="s">
        <v>340</v>
      </c>
      <c r="B105" s="17" t="s">
        <v>227</v>
      </c>
      <c r="C105" s="17" t="s">
        <v>337</v>
      </c>
      <c r="D105" s="23" t="s">
        <v>96</v>
      </c>
      <c r="E105" s="23" t="s">
        <v>97</v>
      </c>
      <c r="F105" s="221">
        <f t="shared" si="24"/>
        <v>6.6289501004433845E-4</v>
      </c>
      <c r="G105" s="100">
        <v>1.0503816802565812E-4</v>
      </c>
      <c r="H105" s="101">
        <v>1.1000000000000001E-6</v>
      </c>
      <c r="I105" s="102">
        <v>5.0432765635150922E-4</v>
      </c>
      <c r="J105" s="102">
        <v>5.0432765635150922E-5</v>
      </c>
      <c r="K105" s="102">
        <v>8.2685403202016689E-7</v>
      </c>
      <c r="L105" s="102"/>
      <c r="M105" s="102">
        <v>0</v>
      </c>
      <c r="N105" s="102">
        <v>1.1695660000000001E-6</v>
      </c>
      <c r="O105" s="102"/>
      <c r="P105" s="14"/>
      <c r="Q105" s="14"/>
      <c r="R105" s="197">
        <f>'Parameters, country spec'!J22</f>
        <v>3.062922099074464E-3</v>
      </c>
    </row>
    <row r="106" spans="1:18" x14ac:dyDescent="0.35">
      <c r="A106" s="22" t="s">
        <v>341</v>
      </c>
      <c r="B106" s="17" t="s">
        <v>228</v>
      </c>
      <c r="C106" s="17" t="s">
        <v>337</v>
      </c>
      <c r="D106" s="23" t="s">
        <v>96</v>
      </c>
      <c r="E106" s="23" t="s">
        <v>97</v>
      </c>
      <c r="F106" s="221">
        <f t="shared" si="24"/>
        <v>9.1657094895803305E-4</v>
      </c>
      <c r="G106" s="100">
        <v>1.5506058283512638E-4</v>
      </c>
      <c r="H106" s="101">
        <v>1.1000000000000001E-6</v>
      </c>
      <c r="I106" s="102">
        <v>6.8950683668766316E-4</v>
      </c>
      <c r="J106" s="102">
        <v>6.8950683668766316E-5</v>
      </c>
      <c r="K106" s="102">
        <v>7.832797664771855E-7</v>
      </c>
      <c r="L106" s="102"/>
      <c r="M106" s="102">
        <v>0</v>
      </c>
      <c r="N106" s="102">
        <v>1.1695660000000001E-6</v>
      </c>
      <c r="O106" s="102"/>
      <c r="P106" s="14"/>
      <c r="Q106" s="14"/>
      <c r="R106" s="197">
        <f>'Parameters, country spec'!J23</f>
        <v>3.7884118812985604E-2</v>
      </c>
    </row>
    <row r="107" spans="1:18" x14ac:dyDescent="0.35">
      <c r="A107" s="22" t="s">
        <v>342</v>
      </c>
      <c r="B107" s="17" t="s">
        <v>229</v>
      </c>
      <c r="C107" s="17" t="s">
        <v>343</v>
      </c>
      <c r="D107" s="23" t="s">
        <v>96</v>
      </c>
      <c r="E107" s="23" t="s">
        <v>97</v>
      </c>
      <c r="F107" s="221">
        <f t="shared" si="24"/>
        <v>2.0683180874021213E-4</v>
      </c>
      <c r="G107" s="100">
        <v>0</v>
      </c>
      <c r="H107" s="101">
        <v>1.1000000000000001E-6</v>
      </c>
      <c r="I107" s="102">
        <v>1.8457296000000002E-4</v>
      </c>
      <c r="J107" s="102">
        <v>1.8457296000000003E-5</v>
      </c>
      <c r="K107" s="102">
        <v>1.5319867402121297E-6</v>
      </c>
      <c r="L107" s="102"/>
      <c r="M107" s="102">
        <v>0</v>
      </c>
      <c r="N107" s="102">
        <v>1.1695660000000001E-6</v>
      </c>
      <c r="O107" s="102"/>
      <c r="P107" s="14"/>
      <c r="Q107" s="14"/>
      <c r="R107" s="197">
        <f>'Parameters, country spec'!J24</f>
        <v>3.724796231733548E-3</v>
      </c>
    </row>
    <row r="108" spans="1:18" x14ac:dyDescent="0.35">
      <c r="A108" s="22" t="s">
        <v>344</v>
      </c>
      <c r="B108" s="17" t="s">
        <v>230</v>
      </c>
      <c r="C108" s="17" t="s">
        <v>343</v>
      </c>
      <c r="D108" s="23" t="s">
        <v>96</v>
      </c>
      <c r="E108" s="23" t="s">
        <v>97</v>
      </c>
      <c r="F108" s="221">
        <f t="shared" si="24"/>
        <v>2.3870339373407735E-4</v>
      </c>
      <c r="G108" s="100">
        <v>6.6632952642360706E-6</v>
      </c>
      <c r="H108" s="101">
        <v>1.1000000000000001E-6</v>
      </c>
      <c r="I108" s="102">
        <v>2.067986173968254E-4</v>
      </c>
      <c r="J108" s="102">
        <v>2.0679861739682541E-5</v>
      </c>
      <c r="K108" s="102">
        <v>2.2920533333333338E-6</v>
      </c>
      <c r="L108" s="102"/>
      <c r="M108" s="102">
        <v>0</v>
      </c>
      <c r="N108" s="102">
        <v>1.1695660000000001E-6</v>
      </c>
      <c r="O108" s="102"/>
      <c r="P108" s="14"/>
      <c r="Q108" s="14"/>
      <c r="R108" s="197">
        <f>'Parameters, country spec'!J25</f>
        <v>3.6589773666995504E-3</v>
      </c>
    </row>
    <row r="109" spans="1:18" x14ac:dyDescent="0.35">
      <c r="B109" s="18" t="s">
        <v>231</v>
      </c>
      <c r="C109" s="17" t="s">
        <v>345</v>
      </c>
      <c r="D109" s="23" t="str">
        <f>'Off-farm feed'!$D$77</f>
        <v>France, Germany, Poland</v>
      </c>
      <c r="E109" s="23" t="s">
        <v>82</v>
      </c>
      <c r="F109" s="222">
        <f>'Off-farm feed'!$E$77</f>
        <v>6.732045566157569E-4</v>
      </c>
      <c r="G109" s="222">
        <f>'Off-farm feed'!$F$77</f>
        <v>1.946970439026595E-4</v>
      </c>
      <c r="H109" s="222">
        <f>'Off-farm feed'!$G$77</f>
        <v>5.3103448275862083E-7</v>
      </c>
      <c r="I109" s="222">
        <f>'Off-farm feed'!$H$77</f>
        <v>4.2751561806777074E-4</v>
      </c>
      <c r="J109" s="222">
        <f>'Off-farm feed'!$I$77</f>
        <v>4.2751561806777089E-5</v>
      </c>
      <c r="K109" s="222">
        <f>'Off-farm feed'!$J$77</f>
        <v>6.6339607025480414E-7</v>
      </c>
      <c r="L109" s="222">
        <f>'Off-farm feed'!$K$77</f>
        <v>0</v>
      </c>
      <c r="M109" s="222">
        <f>'Off-farm feed'!$L$77</f>
        <v>7.9511067188965511E-9</v>
      </c>
      <c r="N109" s="222">
        <f>'Off-farm feed'!$M$77</f>
        <v>1.2789681892721844E-6</v>
      </c>
      <c r="O109" s="222">
        <f>'Off-farm feed'!$N$77</f>
        <v>0</v>
      </c>
      <c r="P109" s="222">
        <f>'Off-farm feed'!$O$77</f>
        <v>3.9312802868423834E-6</v>
      </c>
      <c r="Q109" s="222">
        <f>'Off-farm feed'!$P$77</f>
        <v>1.8277027027027027E-6</v>
      </c>
      <c r="R109" s="197">
        <f>'Parameters, country spec'!J26</f>
        <v>0.20053388869195857</v>
      </c>
    </row>
    <row r="110" spans="1:18" x14ac:dyDescent="0.35">
      <c r="B110" s="18" t="s">
        <v>346</v>
      </c>
      <c r="C110" s="17" t="s">
        <v>345</v>
      </c>
      <c r="D110" s="23" t="str">
        <f>'Off-farm feed'!$D$26</f>
        <v>Brazil, Argentina</v>
      </c>
      <c r="E110" s="23" t="s">
        <v>82</v>
      </c>
      <c r="F110" s="222">
        <f>'Off-farm feed'!$E$26</f>
        <v>1.8866346644602505E-4</v>
      </c>
      <c r="G110" s="222">
        <f>'Off-farm feed'!$F$26</f>
        <v>1.6332109719061441E-5</v>
      </c>
      <c r="H110" s="222">
        <f>'Off-farm feed'!$G$26</f>
        <v>8.7195121951219526E-7</v>
      </c>
      <c r="I110" s="222">
        <f>'Off-farm feed'!$H$26</f>
        <v>1.3333449845358202E-4</v>
      </c>
      <c r="J110" s="222">
        <f>'Off-farm feed'!$I$26</f>
        <v>1.3333449845358203E-5</v>
      </c>
      <c r="K110" s="222">
        <f>'Off-farm feed'!$J$26</f>
        <v>1.1576736579983931E-6</v>
      </c>
      <c r="L110" s="222">
        <f>'Off-farm feed'!$K$26</f>
        <v>0</v>
      </c>
      <c r="M110" s="222">
        <f>'Off-farm feed'!$L$26</f>
        <v>7.3437786087804866E-9</v>
      </c>
      <c r="N110" s="222">
        <f>'Off-farm feed'!$M$26</f>
        <v>1.1195281639512197E-6</v>
      </c>
      <c r="O110" s="222">
        <f>'Off-farm feed'!$N$26</f>
        <v>0</v>
      </c>
      <c r="P110" s="222">
        <f>'Off-farm feed'!$O$26</f>
        <v>1.3419073770114991E-5</v>
      </c>
      <c r="Q110" s="222">
        <f>'Off-farm feed'!$P$26</f>
        <v>9.087837837837838E-6</v>
      </c>
      <c r="R110" s="197">
        <f>'Parameters, country spec'!J27</f>
        <v>7.419835422837219E-2</v>
      </c>
    </row>
    <row r="111" spans="1:18" x14ac:dyDescent="0.35">
      <c r="B111" s="17" t="s">
        <v>233</v>
      </c>
      <c r="C111" s="17" t="s">
        <v>347</v>
      </c>
      <c r="D111" s="23" t="s">
        <v>96</v>
      </c>
      <c r="E111" s="23" t="s">
        <v>97</v>
      </c>
      <c r="F111" s="222"/>
      <c r="G111" s="14"/>
      <c r="H111" s="14"/>
      <c r="I111" s="14"/>
      <c r="J111" s="14"/>
      <c r="K111" s="14"/>
      <c r="L111" s="14"/>
      <c r="M111" s="14"/>
      <c r="N111" s="14"/>
      <c r="O111" s="14"/>
      <c r="P111" s="8"/>
      <c r="Q111" s="14"/>
      <c r="R111" s="197">
        <f>'Parameters, country spec'!J28</f>
        <v>7.2167353833925044E-2</v>
      </c>
    </row>
    <row r="112" spans="1:18" x14ac:dyDescent="0.35">
      <c r="A112" s="83"/>
      <c r="B112" s="17" t="s">
        <v>348</v>
      </c>
      <c r="C112" s="84" t="s">
        <v>349</v>
      </c>
      <c r="D112" s="23" t="s">
        <v>96</v>
      </c>
      <c r="E112" s="23" t="s">
        <v>97</v>
      </c>
      <c r="F112" s="222">
        <f t="shared" si="24"/>
        <v>5.7856143731057198E-4</v>
      </c>
      <c r="G112" s="82">
        <f t="shared" ref="G112:N112" si="25">AVERAGE(G102:G110)</f>
        <v>9.600556562014004E-5</v>
      </c>
      <c r="H112" s="82">
        <f t="shared" si="25"/>
        <v>1.0114428558078684E-6</v>
      </c>
      <c r="I112" s="82">
        <f t="shared" si="25"/>
        <v>4.356508581563975E-4</v>
      </c>
      <c r="J112" s="82">
        <f t="shared" si="25"/>
        <v>4.3565085815639758E-5</v>
      </c>
      <c r="K112" s="82">
        <f t="shared" si="25"/>
        <v>1.1506233916367569E-6</v>
      </c>
      <c r="L112" s="82">
        <f t="shared" si="25"/>
        <v>0</v>
      </c>
      <c r="M112" s="82">
        <f t="shared" si="25"/>
        <v>1.6994317030752262E-9</v>
      </c>
      <c r="N112" s="82">
        <f t="shared" si="25"/>
        <v>1.1761620392470449E-6</v>
      </c>
      <c r="O112" s="82"/>
      <c r="P112" s="81"/>
      <c r="Q112" s="82"/>
      <c r="R112" s="197">
        <f>'Parameters, country spec'!J29</f>
        <v>4.5852073387090915E-2</v>
      </c>
    </row>
    <row r="113" spans="1:18" x14ac:dyDescent="0.35">
      <c r="A113" s="195"/>
      <c r="B113" s="25" t="s">
        <v>350</v>
      </c>
      <c r="C113" s="26"/>
      <c r="D113" s="103"/>
      <c r="E113" s="103"/>
      <c r="F113" s="46">
        <f>SUMPRODUCT(F102:F112,$R$102:$R$112)</f>
        <v>6.6362508538601514E-4</v>
      </c>
      <c r="G113" s="46">
        <f t="shared" ref="G113:O113" si="26">SUMPRODUCT(G102:G112,$R$102:$R$112)</f>
        <v>1.2367149422475598E-4</v>
      </c>
      <c r="H113" s="46">
        <f t="shared" si="26"/>
        <v>8.8553767020820556E-7</v>
      </c>
      <c r="I113" s="46">
        <f>SUMPRODUCT(I102:I112,$R$102:$R$112)</f>
        <v>4.8562652163095264E-4</v>
      </c>
      <c r="J113" s="46">
        <f t="shared" si="26"/>
        <v>4.8562652163095263E-5</v>
      </c>
      <c r="K113" s="46">
        <f t="shared" si="26"/>
        <v>9.4812527793802321E-7</v>
      </c>
      <c r="L113" s="46">
        <f t="shared" si="26"/>
        <v>0</v>
      </c>
      <c r="M113" s="46">
        <f t="shared" si="26"/>
        <v>2.217285103499876E-9</v>
      </c>
      <c r="N113" s="46">
        <f t="shared" si="26"/>
        <v>1.1036900800836872E-6</v>
      </c>
      <c r="O113" s="46">
        <f t="shared" si="26"/>
        <v>0</v>
      </c>
      <c r="P113" s="30">
        <f>SUMPRODUCT(P102:P112,R102:R112)</f>
        <v>1.7840281124701915E-6</v>
      </c>
      <c r="Q113" s="46">
        <f>SUMPRODUCT(Q102:Q112,$R$102:$R$112)</f>
        <v>1.0408189414076717E-6</v>
      </c>
      <c r="R113" s="198"/>
    </row>
    <row r="114" spans="1:18" x14ac:dyDescent="0.35">
      <c r="A114" s="22" t="s">
        <v>336</v>
      </c>
      <c r="B114" s="17" t="s">
        <v>218</v>
      </c>
      <c r="C114" s="17" t="s">
        <v>337</v>
      </c>
      <c r="D114" s="23" t="s">
        <v>31</v>
      </c>
      <c r="E114" s="23" t="s">
        <v>98</v>
      </c>
      <c r="F114" s="223">
        <f>SUM(G114:Q114)</f>
        <v>6.9794440000000017E-4</v>
      </c>
      <c r="G114" s="201">
        <v>1.8000000000000001E-4</v>
      </c>
      <c r="H114" s="202">
        <v>9.9999999999999995E-7</v>
      </c>
      <c r="I114" s="205">
        <v>4.6799999999999999E-4</v>
      </c>
      <c r="J114" s="205">
        <v>4.6799999999999999E-5</v>
      </c>
      <c r="K114" s="205">
        <v>8.0200000000000001E-7</v>
      </c>
      <c r="L114" s="205"/>
      <c r="M114" s="205">
        <v>1.24E-8</v>
      </c>
      <c r="N114" s="205">
        <v>1.33E-6</v>
      </c>
      <c r="O114" s="205"/>
      <c r="P114" s="14"/>
      <c r="Q114" s="204"/>
      <c r="R114" s="208">
        <f>'Parameters, country spec'!K19</f>
        <v>0.12938618407074468</v>
      </c>
    </row>
    <row r="115" spans="1:18" x14ac:dyDescent="0.35">
      <c r="A115" s="22" t="s">
        <v>338</v>
      </c>
      <c r="B115" s="17" t="s">
        <v>222</v>
      </c>
      <c r="C115" s="17" t="s">
        <v>337</v>
      </c>
      <c r="D115" s="23" t="s">
        <v>31</v>
      </c>
      <c r="E115" s="23" t="s">
        <v>98</v>
      </c>
      <c r="F115" s="221">
        <f t="shared" ref="F115:F124" si="27">SUM(G115:Q115)</f>
        <v>6.5715800000000003E-4</v>
      </c>
      <c r="G115" s="100">
        <v>1.7000000000000001E-4</v>
      </c>
      <c r="H115" s="101">
        <v>9.9999999999999995E-7</v>
      </c>
      <c r="I115" s="102">
        <v>4.4000000000000002E-4</v>
      </c>
      <c r="J115" s="102">
        <v>4.3999999999999999E-5</v>
      </c>
      <c r="K115" s="102">
        <v>5.4700000000000001E-7</v>
      </c>
      <c r="L115" s="102"/>
      <c r="M115" s="102">
        <v>2.8099999999999999E-7</v>
      </c>
      <c r="N115" s="102">
        <v>1.33E-6</v>
      </c>
      <c r="O115" s="102"/>
      <c r="P115" s="14"/>
      <c r="Q115" s="14"/>
      <c r="R115" s="197">
        <f>'Parameters, country spec'!K20</f>
        <v>0.21280975376032865</v>
      </c>
    </row>
    <row r="116" spans="1:18" x14ac:dyDescent="0.35">
      <c r="A116" s="22" t="s">
        <v>339</v>
      </c>
      <c r="B116" s="17" t="s">
        <v>226</v>
      </c>
      <c r="C116" s="17" t="s">
        <v>337</v>
      </c>
      <c r="D116" s="23" t="s">
        <v>31</v>
      </c>
      <c r="E116" s="23" t="s">
        <v>98</v>
      </c>
      <c r="F116" s="221">
        <f t="shared" si="27"/>
        <v>6.6289399999999992E-4</v>
      </c>
      <c r="G116" s="100">
        <v>1.4999999999999999E-4</v>
      </c>
      <c r="H116" s="101">
        <v>9.9999999999999995E-7</v>
      </c>
      <c r="I116" s="102">
        <v>4.6299999999999998E-4</v>
      </c>
      <c r="J116" s="102">
        <v>4.6300000000000001E-5</v>
      </c>
      <c r="K116" s="102">
        <v>1.1000000000000001E-6</v>
      </c>
      <c r="L116" s="102"/>
      <c r="M116" s="102">
        <v>1.6400000000000001E-7</v>
      </c>
      <c r="N116" s="102">
        <v>1.33E-6</v>
      </c>
      <c r="O116" s="102"/>
      <c r="P116" s="14"/>
      <c r="Q116" s="14"/>
      <c r="R116" s="197">
        <f>'Parameters, country spec'!K21</f>
        <v>1.4661663802605954E-2</v>
      </c>
    </row>
    <row r="117" spans="1:18" x14ac:dyDescent="0.35">
      <c r="A117" s="22" t="s">
        <v>340</v>
      </c>
      <c r="B117" s="17" t="s">
        <v>227</v>
      </c>
      <c r="C117" s="17" t="s">
        <v>337</v>
      </c>
      <c r="D117" s="23" t="s">
        <v>31</v>
      </c>
      <c r="E117" s="23" t="s">
        <v>98</v>
      </c>
      <c r="F117" s="221">
        <f t="shared" si="27"/>
        <v>6.0983308999999991E-4</v>
      </c>
      <c r="G117" s="100">
        <v>1.3999999999999999E-4</v>
      </c>
      <c r="H117" s="101">
        <v>9.9999999999999995E-7</v>
      </c>
      <c r="I117" s="102">
        <v>4.2400000000000001E-4</v>
      </c>
      <c r="J117" s="102">
        <v>4.2400000000000001E-5</v>
      </c>
      <c r="K117" s="102">
        <v>1.1000000000000001E-6</v>
      </c>
      <c r="L117" s="102"/>
      <c r="M117" s="102">
        <v>3.0899999999999999E-9</v>
      </c>
      <c r="N117" s="102">
        <v>1.33E-6</v>
      </c>
      <c r="O117" s="102"/>
      <c r="P117" s="14"/>
      <c r="Q117" s="14"/>
      <c r="R117" s="197">
        <f>'Parameters, country spec'!K22</f>
        <v>2.2515954502451301E-3</v>
      </c>
    </row>
    <row r="118" spans="1:18" x14ac:dyDescent="0.35">
      <c r="A118" s="22" t="s">
        <v>341</v>
      </c>
      <c r="B118" s="17" t="s">
        <v>228</v>
      </c>
      <c r="C118" s="17" t="s">
        <v>337</v>
      </c>
      <c r="D118" s="23" t="s">
        <v>31</v>
      </c>
      <c r="E118" s="23" t="s">
        <v>98</v>
      </c>
      <c r="F118" s="221">
        <f t="shared" si="27"/>
        <v>7.9156026000000001E-4</v>
      </c>
      <c r="G118" s="100">
        <v>2.0000000000000001E-4</v>
      </c>
      <c r="H118" s="101">
        <v>9.9999999999999995E-7</v>
      </c>
      <c r="I118" s="102">
        <v>5.3499999999999999E-4</v>
      </c>
      <c r="J118" s="102">
        <v>5.3499999999999999E-5</v>
      </c>
      <c r="K118" s="102">
        <v>7.2099999999999996E-7</v>
      </c>
      <c r="L118" s="102"/>
      <c r="M118" s="102">
        <v>9.2599999999999999E-9</v>
      </c>
      <c r="N118" s="102">
        <v>1.33E-6</v>
      </c>
      <c r="O118" s="102"/>
      <c r="P118" s="14"/>
      <c r="Q118" s="14"/>
      <c r="R118" s="197">
        <f>'Parameters, country spec'!K23</f>
        <v>0.31521053769451607</v>
      </c>
    </row>
    <row r="119" spans="1:18" x14ac:dyDescent="0.35">
      <c r="A119" s="22" t="s">
        <v>342</v>
      </c>
      <c r="B119" s="17" t="s">
        <v>229</v>
      </c>
      <c r="C119" s="17" t="s">
        <v>343</v>
      </c>
      <c r="D119" s="23" t="s">
        <v>31</v>
      </c>
      <c r="E119" s="23" t="s">
        <v>98</v>
      </c>
      <c r="F119" s="221">
        <f t="shared" si="27"/>
        <v>3.4258030000000004E-4</v>
      </c>
      <c r="G119" s="100">
        <v>0</v>
      </c>
      <c r="H119" s="101">
        <v>9.9999999999999995E-7</v>
      </c>
      <c r="I119" s="102">
        <v>3.0800000000000001E-4</v>
      </c>
      <c r="J119" s="102">
        <v>3.0800000000000003E-5</v>
      </c>
      <c r="K119" s="102">
        <v>1.37E-6</v>
      </c>
      <c r="L119" s="102"/>
      <c r="M119" s="102">
        <v>8.0299999999999998E-8</v>
      </c>
      <c r="N119" s="102">
        <v>1.33E-6</v>
      </c>
      <c r="O119" s="102"/>
      <c r="P119" s="14"/>
      <c r="Q119" s="14"/>
      <c r="R119" s="197">
        <f>'Parameters, country spec'!K24</f>
        <v>0</v>
      </c>
    </row>
    <row r="120" spans="1:18" x14ac:dyDescent="0.35">
      <c r="A120" s="22" t="s">
        <v>344</v>
      </c>
      <c r="B120" s="17" t="s">
        <v>230</v>
      </c>
      <c r="C120" s="17" t="s">
        <v>343</v>
      </c>
      <c r="D120" s="23" t="s">
        <v>31</v>
      </c>
      <c r="E120" s="23" t="s">
        <v>98</v>
      </c>
      <c r="F120" s="221">
        <f t="shared" si="27"/>
        <v>3.6272900000000006E-4</v>
      </c>
      <c r="G120" s="100">
        <v>8.6000000000000007E-6</v>
      </c>
      <c r="H120" s="101">
        <v>9.9999999999999995E-7</v>
      </c>
      <c r="I120" s="102">
        <v>3.1799999999999998E-4</v>
      </c>
      <c r="J120" s="102">
        <v>3.18E-5</v>
      </c>
      <c r="K120" s="102">
        <v>1.86E-6</v>
      </c>
      <c r="L120" s="102"/>
      <c r="M120" s="102">
        <v>1.3899999999999999E-7</v>
      </c>
      <c r="N120" s="102">
        <v>1.33E-6</v>
      </c>
      <c r="O120" s="102"/>
      <c r="P120" s="14"/>
      <c r="Q120" s="14"/>
      <c r="R120" s="197">
        <f>'Parameters, country spec'!K25</f>
        <v>0</v>
      </c>
    </row>
    <row r="121" spans="1:18" x14ac:dyDescent="0.35">
      <c r="B121" s="18" t="s">
        <v>231</v>
      </c>
      <c r="C121" s="17" t="s">
        <v>345</v>
      </c>
      <c r="D121" s="23" t="str">
        <f>'Off-farm feed'!$D$77</f>
        <v>France, Germany, Poland</v>
      </c>
      <c r="E121" s="23" t="s">
        <v>82</v>
      </c>
      <c r="F121" s="222">
        <f>'Off-farm feed'!$E$77</f>
        <v>6.732045566157569E-4</v>
      </c>
      <c r="G121" s="222">
        <f>'Off-farm feed'!$F$77</f>
        <v>1.946970439026595E-4</v>
      </c>
      <c r="H121" s="222">
        <f>'Off-farm feed'!$G$77</f>
        <v>5.3103448275862083E-7</v>
      </c>
      <c r="I121" s="222">
        <f>'Off-farm feed'!$H$77</f>
        <v>4.2751561806777074E-4</v>
      </c>
      <c r="J121" s="222">
        <f>'Off-farm feed'!$I$77</f>
        <v>4.2751561806777089E-5</v>
      </c>
      <c r="K121" s="222">
        <f>'Off-farm feed'!$J$77</f>
        <v>6.6339607025480414E-7</v>
      </c>
      <c r="L121" s="222">
        <f>'Off-farm feed'!$K$77</f>
        <v>0</v>
      </c>
      <c r="M121" s="222">
        <f>'Off-farm feed'!$L$77</f>
        <v>7.9511067188965511E-9</v>
      </c>
      <c r="N121" s="222">
        <f>'Off-farm feed'!$M$77</f>
        <v>1.2789681892721844E-6</v>
      </c>
      <c r="O121" s="222">
        <f>'Off-farm feed'!$N$77</f>
        <v>0</v>
      </c>
      <c r="P121" s="222">
        <f>'Off-farm feed'!$O$77</f>
        <v>3.9312802868423834E-6</v>
      </c>
      <c r="Q121" s="222">
        <f>'Off-farm feed'!$P$77</f>
        <v>1.8277027027027027E-6</v>
      </c>
      <c r="R121" s="197">
        <f>'Parameters, country spec'!K26</f>
        <v>9.7073458625180783E-2</v>
      </c>
    </row>
    <row r="122" spans="1:18" x14ac:dyDescent="0.35">
      <c r="B122" s="18" t="s">
        <v>346</v>
      </c>
      <c r="C122" s="17" t="s">
        <v>345</v>
      </c>
      <c r="D122" s="23" t="str">
        <f>'Off-farm feed'!$D$26</f>
        <v>Brazil, Argentina</v>
      </c>
      <c r="E122" s="23" t="s">
        <v>82</v>
      </c>
      <c r="F122" s="222">
        <f>'Off-farm feed'!$E$26</f>
        <v>1.8866346644602505E-4</v>
      </c>
      <c r="G122" s="222">
        <f>'Off-farm feed'!$F$26</f>
        <v>1.6332109719061441E-5</v>
      </c>
      <c r="H122" s="222">
        <f>'Off-farm feed'!$G$26</f>
        <v>8.7195121951219526E-7</v>
      </c>
      <c r="I122" s="222">
        <f>'Off-farm feed'!$H$26</f>
        <v>1.3333449845358202E-4</v>
      </c>
      <c r="J122" s="222">
        <f>'Off-farm feed'!$I$26</f>
        <v>1.3333449845358203E-5</v>
      </c>
      <c r="K122" s="222">
        <f>'Off-farm feed'!$J$26</f>
        <v>1.1576736579983931E-6</v>
      </c>
      <c r="L122" s="222">
        <f>'Off-farm feed'!$K$26</f>
        <v>0</v>
      </c>
      <c r="M122" s="222">
        <f>'Off-farm feed'!$L$26</f>
        <v>7.3437786087804866E-9</v>
      </c>
      <c r="N122" s="222">
        <f>'Off-farm feed'!$M$26</f>
        <v>1.1195281639512197E-6</v>
      </c>
      <c r="O122" s="222">
        <f>'Off-farm feed'!$N$26</f>
        <v>0</v>
      </c>
      <c r="P122" s="222">
        <f>'Off-farm feed'!$O$26</f>
        <v>1.3419073770114991E-5</v>
      </c>
      <c r="Q122" s="222">
        <f>'Off-farm feed'!$P$26</f>
        <v>9.087837837837838E-6</v>
      </c>
      <c r="R122" s="197">
        <f>'Parameters, country spec'!K27</f>
        <v>8.7459166665531385E-2</v>
      </c>
    </row>
    <row r="123" spans="1:18" x14ac:dyDescent="0.35">
      <c r="B123" s="17" t="s">
        <v>233</v>
      </c>
      <c r="C123" s="17" t="s">
        <v>347</v>
      </c>
      <c r="D123" s="23" t="s">
        <v>31</v>
      </c>
      <c r="E123" s="23" t="s">
        <v>98</v>
      </c>
      <c r="F123" s="222"/>
      <c r="G123" s="14"/>
      <c r="H123" s="14"/>
      <c r="I123" s="14"/>
      <c r="J123" s="14"/>
      <c r="K123" s="14"/>
      <c r="L123" s="14"/>
      <c r="M123" s="14"/>
      <c r="N123" s="14"/>
      <c r="O123" s="14"/>
      <c r="P123" s="8"/>
      <c r="Q123" s="14"/>
      <c r="R123" s="197">
        <f>'Parameters, country spec'!K28</f>
        <v>8.0151207366747315E-2</v>
      </c>
    </row>
    <row r="124" spans="1:18" x14ac:dyDescent="0.35">
      <c r="A124" s="83"/>
      <c r="B124" s="17" t="s">
        <v>348</v>
      </c>
      <c r="C124" s="84" t="s">
        <v>349</v>
      </c>
      <c r="D124" s="23" t="s">
        <v>31</v>
      </c>
      <c r="E124" s="23" t="s">
        <v>98</v>
      </c>
      <c r="F124" s="222">
        <f t="shared" si="27"/>
        <v>5.5092235316269822E-4</v>
      </c>
      <c r="G124" s="82">
        <f t="shared" ref="G124:N124" si="28">AVERAGE(G114:G122)</f>
        <v>1.1773657262463566E-4</v>
      </c>
      <c r="H124" s="82">
        <f t="shared" si="28"/>
        <v>9.3366507803009054E-7</v>
      </c>
      <c r="I124" s="82">
        <f t="shared" si="28"/>
        <v>3.907611240579281E-4</v>
      </c>
      <c r="J124" s="82">
        <f t="shared" si="28"/>
        <v>3.9076112405792814E-5</v>
      </c>
      <c r="K124" s="82">
        <f t="shared" si="28"/>
        <v>1.0356744142503554E-6</v>
      </c>
      <c r="L124" s="82">
        <f t="shared" si="28"/>
        <v>0</v>
      </c>
      <c r="M124" s="82">
        <f t="shared" si="28"/>
        <v>7.8260542814186315E-8</v>
      </c>
      <c r="N124" s="82">
        <f t="shared" si="28"/>
        <v>1.3009440392470449E-6</v>
      </c>
      <c r="O124" s="82"/>
      <c r="P124" s="81"/>
      <c r="Q124" s="82"/>
      <c r="R124" s="197">
        <f>'Parameters, country spec'!K29</f>
        <v>6.0996432564100048E-2</v>
      </c>
    </row>
    <row r="125" spans="1:18" x14ac:dyDescent="0.35">
      <c r="A125" s="195"/>
      <c r="B125" s="25" t="s">
        <v>350</v>
      </c>
      <c r="C125" s="26"/>
      <c r="D125" s="103"/>
      <c r="E125" s="103"/>
      <c r="F125" s="46">
        <f>SUMPRODUCT(F114:F124,$R$114:$R$124)</f>
        <v>6.0620929871027052E-4</v>
      </c>
      <c r="G125" s="46">
        <f t="shared" ref="G125:O125" si="29">SUMPRODUCT(G114:G124,$R$114:$R$124)</f>
        <v>1.5253357079839417E-4</v>
      </c>
      <c r="H125" s="46">
        <f t="shared" si="29"/>
        <v>8.5907945467010171E-7</v>
      </c>
      <c r="I125" s="46">
        <f t="shared" si="29"/>
        <v>4.0756646861463824E-4</v>
      </c>
      <c r="J125" s="46">
        <f>SUMPRODUCT(J114:J124,$R$114:$R$124)</f>
        <v>4.0756646861463822E-5</v>
      </c>
      <c r="K125" s="46">
        <f t="shared" si="29"/>
        <v>6.9486580673186903E-7</v>
      </c>
      <c r="L125" s="46">
        <f t="shared" si="29"/>
        <v>0</v>
      </c>
      <c r="M125" s="46">
        <f t="shared" si="29"/>
        <v>7.2921985470346114E-8</v>
      </c>
      <c r="N125" s="46">
        <f t="shared" si="29"/>
        <v>1.1982650584969281E-6</v>
      </c>
      <c r="O125" s="46">
        <f t="shared" si="29"/>
        <v>0</v>
      </c>
      <c r="P125" s="30">
        <f>SUMPRODUCT(P114:P124,R114:R124)</f>
        <v>1.5552439836263306E-6</v>
      </c>
      <c r="Q125" s="46">
        <f>SUMPRODUCT(Q114:Q124,$R$114:$R$124)</f>
        <v>9.7223614677872379E-7</v>
      </c>
      <c r="R125" s="198"/>
    </row>
    <row r="126" spans="1:18" x14ac:dyDescent="0.35">
      <c r="A126" s="22" t="s">
        <v>336</v>
      </c>
      <c r="B126" s="17" t="s">
        <v>218</v>
      </c>
      <c r="C126" s="17" t="s">
        <v>337</v>
      </c>
      <c r="D126" s="23" t="s">
        <v>24</v>
      </c>
      <c r="E126" s="23" t="s">
        <v>99</v>
      </c>
      <c r="F126" s="223">
        <f>SUM(G126:Q126)</f>
        <v>6.9154900000000007E-4</v>
      </c>
      <c r="G126" s="201">
        <v>1.8000000000000001E-4</v>
      </c>
      <c r="H126" s="202">
        <v>9.9999999999999995E-7</v>
      </c>
      <c r="I126" s="205">
        <v>4.6200000000000001E-4</v>
      </c>
      <c r="J126" s="205">
        <v>4.6199999999999998E-5</v>
      </c>
      <c r="K126" s="205">
        <v>7.6899999999999996E-7</v>
      </c>
      <c r="L126" s="205"/>
      <c r="M126" s="205">
        <v>0</v>
      </c>
      <c r="N126" s="205">
        <v>1.5799999999999999E-6</v>
      </c>
      <c r="O126" s="205"/>
      <c r="P126" s="14"/>
      <c r="Q126" s="204"/>
      <c r="R126" s="208">
        <f>'Parameters, country spec'!L19</f>
        <v>0.12840126760243717</v>
      </c>
    </row>
    <row r="127" spans="1:18" x14ac:dyDescent="0.35">
      <c r="A127" s="22" t="s">
        <v>338</v>
      </c>
      <c r="B127" s="17" t="s">
        <v>222</v>
      </c>
      <c r="C127" s="17" t="s">
        <v>337</v>
      </c>
      <c r="D127" s="23" t="s">
        <v>24</v>
      </c>
      <c r="E127" s="23" t="s">
        <v>99</v>
      </c>
      <c r="F127" s="221">
        <f t="shared" ref="F127:F136" si="30">SUM(G127:Q127)</f>
        <v>6.5716690000000003E-4</v>
      </c>
      <c r="G127" s="100">
        <v>1.7000000000000001E-4</v>
      </c>
      <c r="H127" s="101">
        <v>9.9999999999999995E-7</v>
      </c>
      <c r="I127" s="102">
        <v>4.4000000000000002E-4</v>
      </c>
      <c r="J127" s="102">
        <v>4.3999999999999999E-5</v>
      </c>
      <c r="K127" s="102">
        <v>5.2200000000000004E-7</v>
      </c>
      <c r="L127" s="102"/>
      <c r="M127" s="102">
        <v>6.4900000000000005E-8</v>
      </c>
      <c r="N127" s="102">
        <v>1.5799999999999999E-6</v>
      </c>
      <c r="O127" s="102"/>
      <c r="P127" s="14"/>
      <c r="Q127" s="14"/>
      <c r="R127" s="197">
        <f>'Parameters, country spec'!L20</f>
        <v>0.19116633717197407</v>
      </c>
    </row>
    <row r="128" spans="1:18" x14ac:dyDescent="0.35">
      <c r="A128" s="22" t="s">
        <v>339</v>
      </c>
      <c r="B128" s="17" t="s">
        <v>226</v>
      </c>
      <c r="C128" s="17" t="s">
        <v>337</v>
      </c>
      <c r="D128" s="23" t="s">
        <v>24</v>
      </c>
      <c r="E128" s="23" t="s">
        <v>99</v>
      </c>
      <c r="F128" s="221">
        <f t="shared" si="30"/>
        <v>6.6303239999999995E-4</v>
      </c>
      <c r="G128" s="100">
        <v>1.4999999999999999E-4</v>
      </c>
      <c r="H128" s="101">
        <v>9.9999999999999995E-7</v>
      </c>
      <c r="I128" s="102">
        <v>4.6299999999999998E-4</v>
      </c>
      <c r="J128" s="102">
        <v>4.6300000000000001E-5</v>
      </c>
      <c r="K128" s="102">
        <v>1.1400000000000001E-6</v>
      </c>
      <c r="L128" s="102"/>
      <c r="M128" s="102">
        <v>1.24E-8</v>
      </c>
      <c r="N128" s="102">
        <v>1.5799999999999999E-6</v>
      </c>
      <c r="O128" s="102"/>
      <c r="P128" s="14"/>
      <c r="Q128" s="14"/>
      <c r="R128" s="197">
        <f>'Parameters, country spec'!L21</f>
        <v>2.5558758775563904E-5</v>
      </c>
    </row>
    <row r="129" spans="1:18" x14ac:dyDescent="0.35">
      <c r="A129" s="22" t="s">
        <v>340</v>
      </c>
      <c r="B129" s="17" t="s">
        <v>227</v>
      </c>
      <c r="C129" s="17" t="s">
        <v>337</v>
      </c>
      <c r="D129" s="23" t="s">
        <v>24</v>
      </c>
      <c r="E129" s="23" t="s">
        <v>99</v>
      </c>
      <c r="F129" s="221">
        <f t="shared" si="30"/>
        <v>6.0995899999999998E-4</v>
      </c>
      <c r="G129" s="100">
        <v>1.3999999999999999E-4</v>
      </c>
      <c r="H129" s="101">
        <v>9.9999999999999995E-7</v>
      </c>
      <c r="I129" s="102">
        <v>4.2400000000000001E-4</v>
      </c>
      <c r="J129" s="102">
        <v>4.2400000000000001E-5</v>
      </c>
      <c r="K129" s="102">
        <v>9.7900000000000007E-7</v>
      </c>
      <c r="L129" s="102"/>
      <c r="M129" s="102">
        <v>0</v>
      </c>
      <c r="N129" s="102">
        <v>1.5799999999999999E-6</v>
      </c>
      <c r="O129" s="102"/>
      <c r="P129" s="14"/>
      <c r="Q129" s="14"/>
      <c r="R129" s="197">
        <f>'Parameters, country spec'!L22</f>
        <v>2.0974185801992562E-2</v>
      </c>
    </row>
    <row r="130" spans="1:18" x14ac:dyDescent="0.35">
      <c r="A130" s="22" t="s">
        <v>341</v>
      </c>
      <c r="B130" s="17" t="s">
        <v>228</v>
      </c>
      <c r="C130" s="17" t="s">
        <v>337</v>
      </c>
      <c r="D130" s="23" t="s">
        <v>24</v>
      </c>
      <c r="E130" s="23" t="s">
        <v>99</v>
      </c>
      <c r="F130" s="221">
        <f t="shared" si="30"/>
        <v>7.9177509000000017E-4</v>
      </c>
      <c r="G130" s="100">
        <v>2.0000000000000001E-4</v>
      </c>
      <c r="H130" s="101">
        <v>9.9999999999999995E-7</v>
      </c>
      <c r="I130" s="102">
        <v>5.3499999999999999E-4</v>
      </c>
      <c r="J130" s="102">
        <v>5.3499999999999999E-5</v>
      </c>
      <c r="K130" s="102">
        <v>6.92E-7</v>
      </c>
      <c r="L130" s="102"/>
      <c r="M130" s="102">
        <v>3.0899999999999999E-9</v>
      </c>
      <c r="N130" s="102">
        <v>1.5799999999999999E-6</v>
      </c>
      <c r="O130" s="102"/>
      <c r="P130" s="14"/>
      <c r="Q130" s="14"/>
      <c r="R130" s="197">
        <f>'Parameters, country spec'!L23</f>
        <v>0.42888207443270587</v>
      </c>
    </row>
    <row r="131" spans="1:18" x14ac:dyDescent="0.35">
      <c r="A131" s="22" t="s">
        <v>342</v>
      </c>
      <c r="B131" s="17" t="s">
        <v>229</v>
      </c>
      <c r="C131" s="17" t="s">
        <v>343</v>
      </c>
      <c r="D131" s="23" t="s">
        <v>24</v>
      </c>
      <c r="E131" s="23" t="s">
        <v>99</v>
      </c>
      <c r="F131" s="221">
        <f t="shared" si="30"/>
        <v>3.4280618000000006E-4</v>
      </c>
      <c r="G131" s="100">
        <v>0</v>
      </c>
      <c r="H131" s="101">
        <v>9.9999999999999995E-7</v>
      </c>
      <c r="I131" s="102">
        <v>3.0800000000000001E-4</v>
      </c>
      <c r="J131" s="102">
        <v>3.0800000000000003E-5</v>
      </c>
      <c r="K131" s="102">
        <v>1.42E-6</v>
      </c>
      <c r="L131" s="102"/>
      <c r="M131" s="102">
        <v>6.1799999999999998E-9</v>
      </c>
      <c r="N131" s="102">
        <v>1.5799999999999999E-6</v>
      </c>
      <c r="O131" s="102"/>
      <c r="P131" s="14"/>
      <c r="Q131" s="14"/>
      <c r="R131" s="197">
        <f>'Parameters, country spec'!L24</f>
        <v>9.3450155108809542E-4</v>
      </c>
    </row>
    <row r="132" spans="1:18" x14ac:dyDescent="0.35">
      <c r="A132" s="22" t="s">
        <v>344</v>
      </c>
      <c r="B132" s="17" t="s">
        <v>230</v>
      </c>
      <c r="C132" s="17" t="s">
        <v>343</v>
      </c>
      <c r="D132" s="23" t="s">
        <v>24</v>
      </c>
      <c r="E132" s="23" t="s">
        <v>99</v>
      </c>
      <c r="F132" s="221">
        <f t="shared" si="30"/>
        <v>3.6247300000000004E-4</v>
      </c>
      <c r="G132" s="100">
        <v>8.6000000000000007E-6</v>
      </c>
      <c r="H132" s="101">
        <v>9.9999999999999995E-7</v>
      </c>
      <c r="I132" s="102">
        <v>3.1799999999999998E-4</v>
      </c>
      <c r="J132" s="102">
        <v>3.18E-5</v>
      </c>
      <c r="K132" s="102">
        <v>1.24E-6</v>
      </c>
      <c r="L132" s="102"/>
      <c r="M132" s="102">
        <v>2.53E-7</v>
      </c>
      <c r="N132" s="102">
        <v>1.5799999999999999E-6</v>
      </c>
      <c r="O132" s="102"/>
      <c r="P132" s="14"/>
      <c r="Q132" s="14"/>
      <c r="R132" s="197">
        <f>'Parameters, country spec'!L25</f>
        <v>9.1798847805104754E-4</v>
      </c>
    </row>
    <row r="133" spans="1:18" x14ac:dyDescent="0.35">
      <c r="B133" s="18" t="s">
        <v>231</v>
      </c>
      <c r="C133" s="17" t="s">
        <v>345</v>
      </c>
      <c r="D133" s="23" t="str">
        <f>'Off-farm feed'!$D$77</f>
        <v>France, Germany, Poland</v>
      </c>
      <c r="E133" s="23" t="s">
        <v>82</v>
      </c>
      <c r="F133" s="222">
        <f>'Off-farm feed'!$E$77</f>
        <v>6.732045566157569E-4</v>
      </c>
      <c r="G133" s="222">
        <f>'Off-farm feed'!$F$77</f>
        <v>1.946970439026595E-4</v>
      </c>
      <c r="H133" s="222">
        <f>'Off-farm feed'!$G$77</f>
        <v>5.3103448275862083E-7</v>
      </c>
      <c r="I133" s="222">
        <f>'Off-farm feed'!$H$77</f>
        <v>4.2751561806777074E-4</v>
      </c>
      <c r="J133" s="222">
        <f>'Off-farm feed'!$I$77</f>
        <v>4.2751561806777089E-5</v>
      </c>
      <c r="K133" s="222">
        <f>'Off-farm feed'!$J$77</f>
        <v>6.6339607025480414E-7</v>
      </c>
      <c r="L133" s="222">
        <f>'Off-farm feed'!$K$77</f>
        <v>0</v>
      </c>
      <c r="M133" s="222">
        <f>'Off-farm feed'!$L$77</f>
        <v>7.9511067188965511E-9</v>
      </c>
      <c r="N133" s="222">
        <f>'Off-farm feed'!$M$77</f>
        <v>1.2789681892721844E-6</v>
      </c>
      <c r="O133" s="222">
        <f>'Off-farm feed'!$N$77</f>
        <v>0</v>
      </c>
      <c r="P133" s="222">
        <f>'Off-farm feed'!$O$77</f>
        <v>3.9312802868423834E-6</v>
      </c>
      <c r="Q133" s="222">
        <f>'Off-farm feed'!$P$77</f>
        <v>1.8277027027027027E-6</v>
      </c>
      <c r="R133" s="197">
        <f>'Parameters, country spec'!L26</f>
        <v>9.4499576799197224E-2</v>
      </c>
    </row>
    <row r="134" spans="1:18" x14ac:dyDescent="0.35">
      <c r="B134" s="18" t="s">
        <v>346</v>
      </c>
      <c r="C134" s="17" t="s">
        <v>345</v>
      </c>
      <c r="D134" s="23" t="str">
        <f>'Off-farm feed'!$D$26</f>
        <v>Brazil, Argentina</v>
      </c>
      <c r="E134" s="23" t="s">
        <v>82</v>
      </c>
      <c r="F134" s="222">
        <f>'Off-farm feed'!$E$26</f>
        <v>1.8866346644602505E-4</v>
      </c>
      <c r="G134" s="222">
        <f>'Off-farm feed'!$F$26</f>
        <v>1.6332109719061441E-5</v>
      </c>
      <c r="H134" s="222">
        <f>'Off-farm feed'!$G$26</f>
        <v>8.7195121951219526E-7</v>
      </c>
      <c r="I134" s="222">
        <f>'Off-farm feed'!$H$26</f>
        <v>1.3333449845358202E-4</v>
      </c>
      <c r="J134" s="222">
        <f>'Off-farm feed'!$I$26</f>
        <v>1.3333449845358203E-5</v>
      </c>
      <c r="K134" s="222">
        <f>'Off-farm feed'!$J$26</f>
        <v>1.1576736579983931E-6</v>
      </c>
      <c r="L134" s="222">
        <f>'Off-farm feed'!$K$26</f>
        <v>0</v>
      </c>
      <c r="M134" s="222">
        <f>'Off-farm feed'!$L$26</f>
        <v>7.3437786087804866E-9</v>
      </c>
      <c r="N134" s="222">
        <f>'Off-farm feed'!$M$26</f>
        <v>1.1195281639512197E-6</v>
      </c>
      <c r="O134" s="222">
        <f>'Off-farm feed'!$N$26</f>
        <v>0</v>
      </c>
      <c r="P134" s="222">
        <f>'Off-farm feed'!$O$26</f>
        <v>1.3419073770114991E-5</v>
      </c>
      <c r="Q134" s="222">
        <f>'Off-farm feed'!$P$26</f>
        <v>9.087837837837838E-6</v>
      </c>
      <c r="R134" s="197">
        <f>'Parameters, country spec'!L27</f>
        <v>9.0801007307611245E-2</v>
      </c>
    </row>
    <row r="135" spans="1:18" x14ac:dyDescent="0.35">
      <c r="B135" s="17" t="s">
        <v>233</v>
      </c>
      <c r="C135" s="17" t="s">
        <v>347</v>
      </c>
      <c r="D135" s="23" t="s">
        <v>24</v>
      </c>
      <c r="E135" s="23" t="s">
        <v>99</v>
      </c>
      <c r="F135" s="222"/>
      <c r="G135" s="14"/>
      <c r="H135" s="14"/>
      <c r="I135" s="14"/>
      <c r="J135" s="14"/>
      <c r="K135" s="14"/>
      <c r="L135" s="14"/>
      <c r="M135" s="14"/>
      <c r="N135" s="14"/>
      <c r="O135" s="14"/>
      <c r="P135" s="8"/>
      <c r="Q135" s="14"/>
      <c r="R135" s="197">
        <f>'Parameters, country spec'!L28</f>
        <v>1.8113105318221089E-2</v>
      </c>
    </row>
    <row r="136" spans="1:18" x14ac:dyDescent="0.35">
      <c r="A136" s="83"/>
      <c r="B136" s="17" t="s">
        <v>348</v>
      </c>
      <c r="C136" s="84" t="s">
        <v>349</v>
      </c>
      <c r="D136" s="23" t="s">
        <v>24</v>
      </c>
      <c r="E136" s="23" t="s">
        <v>99</v>
      </c>
      <c r="F136" s="222">
        <f t="shared" si="30"/>
        <v>5.5026263316269831E-4</v>
      </c>
      <c r="G136" s="82">
        <f t="shared" ref="G136:N136" si="31">AVERAGE(G126:G134)</f>
        <v>1.1773657262463566E-4</v>
      </c>
      <c r="H136" s="82">
        <f t="shared" si="31"/>
        <v>9.3366507803009054E-7</v>
      </c>
      <c r="I136" s="82">
        <f t="shared" si="31"/>
        <v>3.9009445739126143E-4</v>
      </c>
      <c r="J136" s="82">
        <f t="shared" si="31"/>
        <v>3.9009445739126143E-5</v>
      </c>
      <c r="K136" s="82">
        <f t="shared" si="31"/>
        <v>9.5367441425035542E-7</v>
      </c>
      <c r="L136" s="82">
        <f t="shared" si="31"/>
        <v>0</v>
      </c>
      <c r="M136" s="82">
        <f t="shared" si="31"/>
        <v>3.9429431703075228E-8</v>
      </c>
      <c r="N136" s="82">
        <f t="shared" si="31"/>
        <v>1.4953884836914891E-6</v>
      </c>
      <c r="O136" s="82"/>
      <c r="P136" s="81"/>
      <c r="Q136" s="82"/>
      <c r="R136" s="197">
        <f>'Parameters, country spec'!L29</f>
        <v>2.5284396777946184E-2</v>
      </c>
    </row>
    <row r="137" spans="1:18" x14ac:dyDescent="0.35">
      <c r="A137" s="195"/>
      <c r="B137" s="25" t="s">
        <v>350</v>
      </c>
      <c r="C137" s="26"/>
      <c r="D137" s="103"/>
      <c r="E137" s="103"/>
      <c r="F137" s="46">
        <f>SUMPRODUCT(F126:F136,$R$126:$R$136)</f>
        <v>6.6212697634739602E-4</v>
      </c>
      <c r="G137" s="46">
        <f t="shared" ref="G137:O137" si="32">SUMPRODUCT(G126:G136,$R$126:$R$136)</f>
        <v>1.6719369338554399E-4</v>
      </c>
      <c r="H137" s="46">
        <f t="shared" si="32"/>
        <v>9.2426565502892693E-7</v>
      </c>
      <c r="I137" s="46">
        <f t="shared" si="32"/>
        <v>4.4474137390105575E-4</v>
      </c>
      <c r="J137" s="46">
        <f t="shared" si="32"/>
        <v>4.4474137390105567E-5</v>
      </c>
      <c r="K137" s="46">
        <f t="shared" si="32"/>
        <v>7.1026562555391246E-7</v>
      </c>
      <c r="L137" s="46">
        <f t="shared" si="32"/>
        <v>0</v>
      </c>
      <c r="M137" s="46">
        <f t="shared" si="32"/>
        <v>1.6385432236651453E-8</v>
      </c>
      <c r="N137" s="46">
        <f t="shared" si="32"/>
        <v>1.4789832571799937E-6</v>
      </c>
      <c r="O137" s="46">
        <f t="shared" si="32"/>
        <v>0</v>
      </c>
      <c r="P137" s="30">
        <f>SUMPRODUCT(P126:P136,R126:R136)</f>
        <v>1.5899697388472175E-6</v>
      </c>
      <c r="Q137" s="46">
        <f>SUMPRODUCT(Q126:Q136,$R$126:$R$136)</f>
        <v>9.9790196184405396E-7</v>
      </c>
      <c r="R137" s="198"/>
    </row>
    <row r="138" spans="1:18" x14ac:dyDescent="0.35">
      <c r="A138" s="22" t="s">
        <v>336</v>
      </c>
      <c r="B138" s="17" t="s">
        <v>218</v>
      </c>
      <c r="C138" s="17" t="s">
        <v>337</v>
      </c>
      <c r="D138" s="23" t="s">
        <v>22</v>
      </c>
      <c r="E138" s="23" t="s">
        <v>100</v>
      </c>
      <c r="F138" s="223">
        <f>SUM(G138:Q138)</f>
        <v>5.3860780000000003E-4</v>
      </c>
      <c r="G138" s="201">
        <v>1.8000000000000001E-4</v>
      </c>
      <c r="H138" s="202">
        <v>9.9999999999999995E-7</v>
      </c>
      <c r="I138" s="205">
        <v>3.2200000000000002E-4</v>
      </c>
      <c r="J138" s="205">
        <v>3.2199999999999997E-5</v>
      </c>
      <c r="K138" s="205">
        <v>1.77E-6</v>
      </c>
      <c r="L138" s="205"/>
      <c r="M138" s="205">
        <v>2.7800000000000001E-8</v>
      </c>
      <c r="N138" s="205">
        <v>1.61E-6</v>
      </c>
      <c r="O138" s="205"/>
      <c r="P138" s="14"/>
      <c r="Q138" s="204"/>
      <c r="R138" s="208">
        <f>'Parameters, country spec'!M19</f>
        <v>0.12227505038110943</v>
      </c>
    </row>
    <row r="139" spans="1:18" x14ac:dyDescent="0.35">
      <c r="A139" s="22" t="s">
        <v>338</v>
      </c>
      <c r="B139" s="17" t="s">
        <v>222</v>
      </c>
      <c r="C139" s="17" t="s">
        <v>337</v>
      </c>
      <c r="D139" s="23" t="s">
        <v>22</v>
      </c>
      <c r="E139" s="23" t="s">
        <v>100</v>
      </c>
      <c r="F139" s="221">
        <f t="shared" ref="F139:F148" si="33">SUM(G139:Q139)</f>
        <v>4.1570499999999999E-4</v>
      </c>
      <c r="G139" s="100">
        <v>1.7000000000000001E-4</v>
      </c>
      <c r="H139" s="101">
        <v>9.9999999999999995E-7</v>
      </c>
      <c r="I139" s="102">
        <v>2.2000000000000001E-4</v>
      </c>
      <c r="J139" s="102">
        <v>2.1999999999999999E-5</v>
      </c>
      <c r="K139" s="102">
        <v>4.5900000000000002E-7</v>
      </c>
      <c r="L139" s="102"/>
      <c r="M139" s="102">
        <v>6.3600000000000003E-7</v>
      </c>
      <c r="N139" s="102">
        <v>1.61E-6</v>
      </c>
      <c r="O139" s="102"/>
      <c r="P139" s="14"/>
      <c r="Q139" s="14"/>
      <c r="R139" s="197">
        <f>'Parameters, country spec'!M20</f>
        <v>0.36571383818682729</v>
      </c>
    </row>
    <row r="140" spans="1:18" x14ac:dyDescent="0.35">
      <c r="A140" s="22" t="s">
        <v>339</v>
      </c>
      <c r="B140" s="17" t="s">
        <v>226</v>
      </c>
      <c r="C140" s="17" t="s">
        <v>337</v>
      </c>
      <c r="D140" s="23" t="s">
        <v>22</v>
      </c>
      <c r="E140" s="23" t="s">
        <v>100</v>
      </c>
      <c r="F140" s="221">
        <f t="shared" si="33"/>
        <v>4.1096199999999996E-4</v>
      </c>
      <c r="G140" s="100">
        <v>1.4999999999999999E-4</v>
      </c>
      <c r="H140" s="101">
        <v>9.9999999999999995E-7</v>
      </c>
      <c r="I140" s="102">
        <v>2.31E-4</v>
      </c>
      <c r="J140" s="102">
        <v>2.3099999999999999E-5</v>
      </c>
      <c r="K140" s="102">
        <v>3.7299999999999999E-6</v>
      </c>
      <c r="L140" s="102"/>
      <c r="M140" s="102">
        <v>5.2200000000000004E-7</v>
      </c>
      <c r="N140" s="102">
        <v>1.61E-6</v>
      </c>
      <c r="O140" s="102"/>
      <c r="P140" s="14"/>
      <c r="Q140" s="14"/>
      <c r="R140" s="197">
        <f>'Parameters, country spec'!M21</f>
        <v>3.3230481611398861E-2</v>
      </c>
    </row>
    <row r="141" spans="1:18" x14ac:dyDescent="0.35">
      <c r="A141" s="22" t="s">
        <v>340</v>
      </c>
      <c r="B141" s="17" t="s">
        <v>227</v>
      </c>
      <c r="C141" s="17" t="s">
        <v>337</v>
      </c>
      <c r="D141" s="23" t="s">
        <v>22</v>
      </c>
      <c r="E141" s="23" t="s">
        <v>100</v>
      </c>
      <c r="F141" s="221">
        <f t="shared" si="33"/>
        <v>3.7824308999999997E-4</v>
      </c>
      <c r="G141" s="100">
        <v>1.3999999999999999E-4</v>
      </c>
      <c r="H141" s="101">
        <v>9.9999999999999995E-7</v>
      </c>
      <c r="I141" s="102">
        <v>2.12E-4</v>
      </c>
      <c r="J141" s="102">
        <v>2.12E-5</v>
      </c>
      <c r="K141" s="102">
        <v>2.43E-6</v>
      </c>
      <c r="L141" s="102"/>
      <c r="M141" s="102">
        <v>3.0899999999999999E-9</v>
      </c>
      <c r="N141" s="102">
        <v>1.61E-6</v>
      </c>
      <c r="O141" s="102"/>
      <c r="P141" s="14"/>
      <c r="Q141" s="14"/>
      <c r="R141" s="197">
        <f>'Parameters, country spec'!M22</f>
        <v>7.3294724625475594E-3</v>
      </c>
    </row>
    <row r="142" spans="1:18" x14ac:dyDescent="0.35">
      <c r="A142" s="22" t="s">
        <v>341</v>
      </c>
      <c r="B142" s="17" t="s">
        <v>228</v>
      </c>
      <c r="C142" s="17" t="s">
        <v>337</v>
      </c>
      <c r="D142" s="23" t="s">
        <v>22</v>
      </c>
      <c r="E142" s="23" t="s">
        <v>100</v>
      </c>
      <c r="F142" s="221">
        <f t="shared" si="33"/>
        <v>4.992703E-4</v>
      </c>
      <c r="G142" s="100">
        <v>2.0000000000000001E-4</v>
      </c>
      <c r="H142" s="101">
        <v>9.9999999999999995E-7</v>
      </c>
      <c r="I142" s="102">
        <v>2.6800000000000001E-4</v>
      </c>
      <c r="J142" s="102">
        <v>2.6800000000000001E-5</v>
      </c>
      <c r="K142" s="102">
        <v>1.7799999999999999E-6</v>
      </c>
      <c r="L142" s="102"/>
      <c r="M142" s="102">
        <v>8.0299999999999998E-8</v>
      </c>
      <c r="N142" s="102">
        <v>1.61E-6</v>
      </c>
      <c r="O142" s="102"/>
      <c r="P142" s="14"/>
      <c r="Q142" s="14"/>
      <c r="R142" s="197">
        <f>'Parameters, country spec'!M23</f>
        <v>5.256160625309033E-3</v>
      </c>
    </row>
    <row r="143" spans="1:18" x14ac:dyDescent="0.35">
      <c r="A143" s="22" t="s">
        <v>342</v>
      </c>
      <c r="B143" s="17" t="s">
        <v>229</v>
      </c>
      <c r="C143" s="17" t="s">
        <v>343</v>
      </c>
      <c r="D143" s="23" t="s">
        <v>22</v>
      </c>
      <c r="E143" s="23" t="s">
        <v>100</v>
      </c>
      <c r="F143" s="221">
        <f t="shared" si="33"/>
        <v>1.7493699999999998E-4</v>
      </c>
      <c r="G143" s="100">
        <v>0</v>
      </c>
      <c r="H143" s="101">
        <v>9.9999999999999995E-7</v>
      </c>
      <c r="I143" s="102">
        <v>1.54E-4</v>
      </c>
      <c r="J143" s="102">
        <v>1.5400000000000002E-5</v>
      </c>
      <c r="K143" s="102">
        <v>2.7999999999999999E-6</v>
      </c>
      <c r="L143" s="102"/>
      <c r="M143" s="102">
        <v>1.2700000000000001E-7</v>
      </c>
      <c r="N143" s="102">
        <v>1.61E-6</v>
      </c>
      <c r="O143" s="102"/>
      <c r="P143" s="14"/>
      <c r="Q143" s="14"/>
      <c r="R143" s="197">
        <f>'Parameters, country spec'!M24</f>
        <v>1.0533673599513421E-3</v>
      </c>
    </row>
    <row r="144" spans="1:18" x14ac:dyDescent="0.35">
      <c r="A144" s="22" t="s">
        <v>344</v>
      </c>
      <c r="B144" s="17" t="s">
        <v>230</v>
      </c>
      <c r="C144" s="17" t="s">
        <v>343</v>
      </c>
      <c r="D144" s="23" t="s">
        <v>22</v>
      </c>
      <c r="E144" s="23" t="s">
        <v>100</v>
      </c>
      <c r="F144" s="221">
        <f t="shared" si="33"/>
        <v>1.8877999999999999E-4</v>
      </c>
      <c r="G144" s="100">
        <v>8.6000000000000007E-6</v>
      </c>
      <c r="H144" s="101">
        <v>9.9999999999999995E-7</v>
      </c>
      <c r="I144" s="102">
        <v>1.5899999999999999E-4</v>
      </c>
      <c r="J144" s="102">
        <v>1.59E-5</v>
      </c>
      <c r="K144" s="102">
        <v>1.7400000000000001E-6</v>
      </c>
      <c r="L144" s="102"/>
      <c r="M144" s="102">
        <v>9.2999999999999999E-7</v>
      </c>
      <c r="N144" s="102">
        <v>1.61E-6</v>
      </c>
      <c r="O144" s="102"/>
      <c r="P144" s="14"/>
      <c r="Q144" s="14"/>
      <c r="R144" s="197">
        <f>'Parameters, country spec'!M25</f>
        <v>1.0347538734704405E-3</v>
      </c>
    </row>
    <row r="145" spans="1:18" x14ac:dyDescent="0.35">
      <c r="B145" s="18" t="s">
        <v>231</v>
      </c>
      <c r="C145" s="17" t="s">
        <v>345</v>
      </c>
      <c r="D145" s="23" t="str">
        <f>'Off-farm feed'!$D$77</f>
        <v>France, Germany, Poland</v>
      </c>
      <c r="E145" s="23" t="s">
        <v>82</v>
      </c>
      <c r="F145" s="222">
        <f>'Off-farm feed'!$E$77</f>
        <v>6.732045566157569E-4</v>
      </c>
      <c r="G145" s="222">
        <f>'Off-farm feed'!$F$77</f>
        <v>1.946970439026595E-4</v>
      </c>
      <c r="H145" s="222">
        <f>'Off-farm feed'!$G$77</f>
        <v>5.3103448275862083E-7</v>
      </c>
      <c r="I145" s="222">
        <f>'Off-farm feed'!$H$77</f>
        <v>4.2751561806777074E-4</v>
      </c>
      <c r="J145" s="222">
        <f>'Off-farm feed'!$I$77</f>
        <v>4.2751561806777089E-5</v>
      </c>
      <c r="K145" s="222">
        <f>'Off-farm feed'!$J$77</f>
        <v>6.6339607025480414E-7</v>
      </c>
      <c r="L145" s="222">
        <f>'Off-farm feed'!$K$77</f>
        <v>0</v>
      </c>
      <c r="M145" s="222">
        <f>'Off-farm feed'!$L$77</f>
        <v>7.9511067188965511E-9</v>
      </c>
      <c r="N145" s="222">
        <f>'Off-farm feed'!$M$77</f>
        <v>1.2789681892721844E-6</v>
      </c>
      <c r="O145" s="222">
        <f>'Off-farm feed'!$N$77</f>
        <v>0</v>
      </c>
      <c r="P145" s="222">
        <f>'Off-farm feed'!$O$77</f>
        <v>3.9312802868423834E-6</v>
      </c>
      <c r="Q145" s="222">
        <f>'Off-farm feed'!$P$77</f>
        <v>1.8277027027027027E-6</v>
      </c>
      <c r="R145" s="197">
        <f>'Parameters, country spec'!M26</f>
        <v>1.1495502598072803E-3</v>
      </c>
    </row>
    <row r="146" spans="1:18" x14ac:dyDescent="0.35">
      <c r="B146" s="18" t="s">
        <v>346</v>
      </c>
      <c r="C146" s="17" t="s">
        <v>345</v>
      </c>
      <c r="D146" s="23" t="str">
        <f>'Off-farm feed'!$D$26</f>
        <v>Brazil, Argentina</v>
      </c>
      <c r="E146" s="23" t="s">
        <v>82</v>
      </c>
      <c r="F146" s="222">
        <f>'Off-farm feed'!$E$26</f>
        <v>1.8866346644602505E-4</v>
      </c>
      <c r="G146" s="222">
        <f>'Off-farm feed'!$F$26</f>
        <v>1.6332109719061441E-5</v>
      </c>
      <c r="H146" s="222">
        <f>'Off-farm feed'!$G$26</f>
        <v>8.7195121951219526E-7</v>
      </c>
      <c r="I146" s="222">
        <f>'Off-farm feed'!$H$26</f>
        <v>1.3333449845358202E-4</v>
      </c>
      <c r="J146" s="222">
        <f>'Off-farm feed'!$I$26</f>
        <v>1.3333449845358203E-5</v>
      </c>
      <c r="K146" s="222">
        <f>'Off-farm feed'!$J$26</f>
        <v>1.1576736579983931E-6</v>
      </c>
      <c r="L146" s="222">
        <f>'Off-farm feed'!$K$26</f>
        <v>0</v>
      </c>
      <c r="M146" s="222">
        <f>'Off-farm feed'!$L$26</f>
        <v>7.3437786087804866E-9</v>
      </c>
      <c r="N146" s="222">
        <f>'Off-farm feed'!$M$26</f>
        <v>1.1195281639512197E-6</v>
      </c>
      <c r="O146" s="222">
        <f>'Off-farm feed'!$N$26</f>
        <v>0</v>
      </c>
      <c r="P146" s="222">
        <f>'Off-farm feed'!$O$26</f>
        <v>1.3419073770114991E-5</v>
      </c>
      <c r="Q146" s="222">
        <f>'Off-farm feed'!$P$26</f>
        <v>9.087837837837838E-6</v>
      </c>
      <c r="R146" s="197">
        <f>'Parameters, country spec'!M27</f>
        <v>0.20255815802791313</v>
      </c>
    </row>
    <row r="147" spans="1:18" x14ac:dyDescent="0.35">
      <c r="B147" s="17" t="s">
        <v>233</v>
      </c>
      <c r="C147" s="17" t="s">
        <v>347</v>
      </c>
      <c r="D147" s="23" t="s">
        <v>22</v>
      </c>
      <c r="E147" s="23" t="s">
        <v>100</v>
      </c>
      <c r="F147" s="222"/>
      <c r="G147" s="14"/>
      <c r="H147" s="14"/>
      <c r="I147" s="14"/>
      <c r="J147" s="14"/>
      <c r="K147" s="14"/>
      <c r="L147" s="14"/>
      <c r="M147" s="14"/>
      <c r="N147" s="14"/>
      <c r="O147" s="14"/>
      <c r="P147" s="8"/>
      <c r="Q147" s="14"/>
      <c r="R147" s="197">
        <f>'Parameters, country spec'!M28</f>
        <v>0.12768205188630527</v>
      </c>
    </row>
    <row r="148" spans="1:18" x14ac:dyDescent="0.35">
      <c r="A148" s="83"/>
      <c r="B148" s="17" t="s">
        <v>348</v>
      </c>
      <c r="C148" s="84" t="s">
        <v>349</v>
      </c>
      <c r="D148" s="23" t="s">
        <v>22</v>
      </c>
      <c r="E148" s="23" t="s">
        <v>100</v>
      </c>
      <c r="F148" s="222">
        <f t="shared" si="33"/>
        <v>3.8223414649603163E-4</v>
      </c>
      <c r="G148" s="82">
        <f t="shared" ref="G148:N148" si="34">AVERAGE(G138:G146)</f>
        <v>1.1773657262463566E-4</v>
      </c>
      <c r="H148" s="82">
        <f t="shared" si="34"/>
        <v>9.3366507803009054E-7</v>
      </c>
      <c r="I148" s="82">
        <f t="shared" si="34"/>
        <v>2.3631667961348366E-4</v>
      </c>
      <c r="J148" s="82">
        <f t="shared" si="34"/>
        <v>2.3631667961348367E-5</v>
      </c>
      <c r="K148" s="82">
        <f t="shared" si="34"/>
        <v>1.8366744142503553E-6</v>
      </c>
      <c r="L148" s="82">
        <f t="shared" si="34"/>
        <v>0</v>
      </c>
      <c r="M148" s="82">
        <f t="shared" si="34"/>
        <v>2.6016498725863077E-7</v>
      </c>
      <c r="N148" s="82">
        <f t="shared" si="34"/>
        <v>1.5187218170248227E-6</v>
      </c>
      <c r="O148" s="82"/>
      <c r="P148" s="81"/>
      <c r="Q148" s="82"/>
      <c r="R148" s="197">
        <f>'Parameters, country spec'!M29</f>
        <v>0.13271711532536037</v>
      </c>
    </row>
    <row r="149" spans="1:18" x14ac:dyDescent="0.35">
      <c r="A149" s="195"/>
      <c r="B149" s="25" t="s">
        <v>350</v>
      </c>
      <c r="C149" s="26"/>
      <c r="D149" s="103"/>
      <c r="E149" s="103"/>
      <c r="F149" s="46">
        <f>SUMPRODUCT(F138:F148,$R$138:$R$148)</f>
        <v>3.2703823315996235E-4</v>
      </c>
      <c r="G149" s="46">
        <f t="shared" ref="G149:O149" si="35">SUMPRODUCT(G138:G148,$R$138:$R$148)</f>
        <v>1.1040936534104181E-4</v>
      </c>
      <c r="H149" s="46">
        <f t="shared" si="35"/>
        <v>8.370377440789997E-7</v>
      </c>
      <c r="I149" s="46">
        <f t="shared" si="35"/>
        <v>1.8965780464473325E-4</v>
      </c>
      <c r="J149" s="46">
        <f t="shared" si="35"/>
        <v>1.8965780464473318E-5</v>
      </c>
      <c r="K149" s="46">
        <f t="shared" si="35"/>
        <v>1.0191726525952886E-6</v>
      </c>
      <c r="L149" s="46">
        <f t="shared" si="35"/>
        <v>0</v>
      </c>
      <c r="M149" s="46">
        <f t="shared" si="35"/>
        <v>2.9090540449610858E-7</v>
      </c>
      <c r="N149" s="46">
        <f t="shared" si="35"/>
        <v>1.2925881099478062E-6</v>
      </c>
      <c r="O149" s="46">
        <f t="shared" si="35"/>
        <v>0</v>
      </c>
      <c r="P149" s="30">
        <f>SUMPRODUCT(P138:P148,R138:R148)</f>
        <v>2.7226620695902915E-6</v>
      </c>
      <c r="Q149" s="46">
        <f>SUMPRODUCT(Q138:Q148,$R$138:$R$148)</f>
        <v>1.8429167290055476E-6</v>
      </c>
      <c r="R149" s="198"/>
    </row>
    <row r="150" spans="1:18" x14ac:dyDescent="0.35">
      <c r="A150" s="22" t="s">
        <v>336</v>
      </c>
      <c r="B150" s="17" t="s">
        <v>218</v>
      </c>
      <c r="C150" s="17" t="s">
        <v>337</v>
      </c>
      <c r="D150" s="23" t="s">
        <v>26</v>
      </c>
      <c r="E150" s="23" t="s">
        <v>101</v>
      </c>
      <c r="F150" s="223">
        <f>SUM(G150:Q150)</f>
        <v>4.5179309000000005E-4</v>
      </c>
      <c r="G150" s="201">
        <v>1.8000000000000001E-4</v>
      </c>
      <c r="H150" s="202">
        <v>9.9999999999999995E-7</v>
      </c>
      <c r="I150" s="205">
        <v>2.4399999999999999E-4</v>
      </c>
      <c r="J150" s="205">
        <v>2.44E-5</v>
      </c>
      <c r="K150" s="205">
        <v>9.0999999999999997E-7</v>
      </c>
      <c r="L150" s="205"/>
      <c r="M150" s="205">
        <v>3.0899999999999999E-9</v>
      </c>
      <c r="N150" s="205">
        <v>1.48E-6</v>
      </c>
      <c r="O150" s="205"/>
      <c r="P150" s="14"/>
      <c r="Q150" s="204"/>
      <c r="R150" s="208">
        <f>'Parameters, country spec'!N19</f>
        <v>8.7418005626499207E-2</v>
      </c>
    </row>
    <row r="151" spans="1:18" x14ac:dyDescent="0.35">
      <c r="A151" s="22" t="s">
        <v>338</v>
      </c>
      <c r="B151" s="17" t="s">
        <v>222</v>
      </c>
      <c r="C151" s="17" t="s">
        <v>337</v>
      </c>
      <c r="D151" s="23" t="s">
        <v>26</v>
      </c>
      <c r="E151" s="23" t="s">
        <v>101</v>
      </c>
      <c r="F151" s="221">
        <f t="shared" ref="F151:F160" si="36">SUM(G151:Q151)</f>
        <v>4.1514018000000003E-4</v>
      </c>
      <c r="G151" s="100">
        <v>1.7000000000000001E-4</v>
      </c>
      <c r="H151" s="101">
        <v>9.9999999999999995E-7</v>
      </c>
      <c r="I151" s="102">
        <v>2.2000000000000001E-4</v>
      </c>
      <c r="J151" s="102">
        <v>2.1999999999999999E-5</v>
      </c>
      <c r="K151" s="102">
        <v>6.5400000000000001E-7</v>
      </c>
      <c r="L151" s="102"/>
      <c r="M151" s="102">
        <v>6.1799999999999998E-9</v>
      </c>
      <c r="N151" s="102">
        <v>1.48E-6</v>
      </c>
      <c r="O151" s="102"/>
      <c r="P151" s="14"/>
      <c r="Q151" s="14"/>
      <c r="R151" s="197">
        <f>'Parameters, country spec'!N20</f>
        <v>0.51851224834420662</v>
      </c>
    </row>
    <row r="152" spans="1:18" x14ac:dyDescent="0.35">
      <c r="A152" s="22" t="s">
        <v>339</v>
      </c>
      <c r="B152" s="17" t="s">
        <v>226</v>
      </c>
      <c r="C152" s="17" t="s">
        <v>337</v>
      </c>
      <c r="D152" s="23" t="s">
        <v>26</v>
      </c>
      <c r="E152" s="23" t="s">
        <v>101</v>
      </c>
      <c r="F152" s="221">
        <f t="shared" si="36"/>
        <v>4.0830779999999995E-4</v>
      </c>
      <c r="G152" s="100">
        <v>1.4999999999999999E-4</v>
      </c>
      <c r="H152" s="101">
        <v>9.9999999999999995E-7</v>
      </c>
      <c r="I152" s="102">
        <v>2.31E-4</v>
      </c>
      <c r="J152" s="102">
        <v>2.3099999999999999E-5</v>
      </c>
      <c r="K152" s="102">
        <v>1.7E-6</v>
      </c>
      <c r="L152" s="102"/>
      <c r="M152" s="102">
        <v>2.7800000000000001E-8</v>
      </c>
      <c r="N152" s="102">
        <v>1.48E-6</v>
      </c>
      <c r="O152" s="102"/>
      <c r="P152" s="14"/>
      <c r="Q152" s="14"/>
      <c r="R152" s="197">
        <f>'Parameters, country spec'!N21</f>
        <v>4.6821690090770259E-2</v>
      </c>
    </row>
    <row r="153" spans="1:18" x14ac:dyDescent="0.35">
      <c r="A153" s="22" t="s">
        <v>340</v>
      </c>
      <c r="B153" s="17" t="s">
        <v>227</v>
      </c>
      <c r="C153" s="17" t="s">
        <v>337</v>
      </c>
      <c r="D153" s="23" t="s">
        <v>26</v>
      </c>
      <c r="E153" s="23" t="s">
        <v>101</v>
      </c>
      <c r="F153" s="221">
        <f t="shared" si="36"/>
        <v>3.7715999999999997E-4</v>
      </c>
      <c r="G153" s="100">
        <v>1.3999999999999999E-4</v>
      </c>
      <c r="H153" s="101">
        <v>9.9999999999999995E-7</v>
      </c>
      <c r="I153" s="102">
        <v>2.12E-4</v>
      </c>
      <c r="J153" s="102">
        <v>2.12E-5</v>
      </c>
      <c r="K153" s="102">
        <v>1.48E-6</v>
      </c>
      <c r="L153" s="102"/>
      <c r="M153" s="102">
        <v>0</v>
      </c>
      <c r="N153" s="102">
        <v>1.48E-6</v>
      </c>
      <c r="O153" s="102"/>
      <c r="P153" s="14"/>
      <c r="Q153" s="14"/>
      <c r="R153" s="197">
        <f>'Parameters, country spec'!N22</f>
        <v>1.8197973513379373E-2</v>
      </c>
    </row>
    <row r="154" spans="1:18" x14ac:dyDescent="0.35">
      <c r="A154" s="22" t="s">
        <v>341</v>
      </c>
      <c r="B154" s="17" t="s">
        <v>228</v>
      </c>
      <c r="C154" s="17" t="s">
        <v>337</v>
      </c>
      <c r="D154" s="23" t="s">
        <v>26</v>
      </c>
      <c r="E154" s="23" t="s">
        <v>101</v>
      </c>
      <c r="F154" s="221">
        <f t="shared" si="36"/>
        <v>4.9822218000000003E-4</v>
      </c>
      <c r="G154" s="100">
        <v>2.0000000000000001E-4</v>
      </c>
      <c r="H154" s="101">
        <v>9.9999999999999995E-7</v>
      </c>
      <c r="I154" s="102">
        <v>2.6800000000000001E-4</v>
      </c>
      <c r="J154" s="102">
        <v>2.6800000000000001E-5</v>
      </c>
      <c r="K154" s="102">
        <v>9.3600000000000002E-7</v>
      </c>
      <c r="L154" s="102"/>
      <c r="M154" s="102">
        <v>6.1799999999999998E-9</v>
      </c>
      <c r="N154" s="102">
        <v>1.48E-6</v>
      </c>
      <c r="O154" s="102"/>
      <c r="P154" s="14"/>
      <c r="Q154" s="14"/>
      <c r="R154" s="197">
        <f>'Parameters, country spec'!N23</f>
        <v>8.1866500320142158E-2</v>
      </c>
    </row>
    <row r="155" spans="1:18" x14ac:dyDescent="0.35">
      <c r="A155" s="22" t="s">
        <v>342</v>
      </c>
      <c r="B155" s="17" t="s">
        <v>229</v>
      </c>
      <c r="C155" s="17" t="s">
        <v>343</v>
      </c>
      <c r="D155" s="23" t="s">
        <v>26</v>
      </c>
      <c r="E155" s="23" t="s">
        <v>101</v>
      </c>
      <c r="F155" s="221">
        <f t="shared" si="36"/>
        <v>1.7401899999999997E-4</v>
      </c>
      <c r="G155" s="100">
        <v>0</v>
      </c>
      <c r="H155" s="101">
        <v>9.9999999999999995E-7</v>
      </c>
      <c r="I155" s="102">
        <v>1.54E-4</v>
      </c>
      <c r="J155" s="102">
        <v>1.5400000000000002E-5</v>
      </c>
      <c r="K155" s="102">
        <v>1.9099999999999999E-6</v>
      </c>
      <c r="L155" s="102"/>
      <c r="M155" s="102">
        <v>2.29E-7</v>
      </c>
      <c r="N155" s="102">
        <v>1.48E-6</v>
      </c>
      <c r="O155" s="102"/>
      <c r="P155" s="14"/>
      <c r="Q155" s="14"/>
      <c r="R155" s="197">
        <f>'Parameters, country spec'!N24</f>
        <v>1.1994594385271529E-3</v>
      </c>
    </row>
    <row r="156" spans="1:18" x14ac:dyDescent="0.35">
      <c r="A156" s="22" t="s">
        <v>344</v>
      </c>
      <c r="B156" s="17" t="s">
        <v>230</v>
      </c>
      <c r="C156" s="17" t="s">
        <v>343</v>
      </c>
      <c r="D156" s="23" t="s">
        <v>26</v>
      </c>
      <c r="E156" s="23" t="s">
        <v>101</v>
      </c>
      <c r="F156" s="221">
        <f t="shared" si="36"/>
        <v>1.8870699999999998E-4</v>
      </c>
      <c r="G156" s="100">
        <v>8.6000000000000007E-6</v>
      </c>
      <c r="H156" s="101">
        <v>9.9999999999999995E-7</v>
      </c>
      <c r="I156" s="102">
        <v>1.5899999999999999E-4</v>
      </c>
      <c r="J156" s="102">
        <v>1.59E-5</v>
      </c>
      <c r="K156" s="102">
        <v>2.39E-6</v>
      </c>
      <c r="L156" s="102"/>
      <c r="M156" s="102">
        <v>3.3700000000000001E-7</v>
      </c>
      <c r="N156" s="102">
        <v>1.48E-6</v>
      </c>
      <c r="O156" s="102"/>
      <c r="P156" s="14"/>
      <c r="Q156" s="14"/>
      <c r="R156" s="197">
        <f>'Parameters, country spec'!N25</f>
        <v>1.1782644376318839E-3</v>
      </c>
    </row>
    <row r="157" spans="1:18" x14ac:dyDescent="0.35">
      <c r="B157" s="18" t="s">
        <v>231</v>
      </c>
      <c r="C157" s="17" t="s">
        <v>345</v>
      </c>
      <c r="D157" s="23" t="str">
        <f>'Off-farm feed'!$D$77</f>
        <v>France, Germany, Poland</v>
      </c>
      <c r="E157" s="23" t="s">
        <v>82</v>
      </c>
      <c r="F157" s="222">
        <f>'Off-farm feed'!$E$77</f>
        <v>6.732045566157569E-4</v>
      </c>
      <c r="G157" s="222">
        <f>'Off-farm feed'!$F$77</f>
        <v>1.946970439026595E-4</v>
      </c>
      <c r="H157" s="222">
        <f>'Off-farm feed'!$G$77</f>
        <v>5.3103448275862083E-7</v>
      </c>
      <c r="I157" s="222">
        <f>'Off-farm feed'!$H$77</f>
        <v>4.2751561806777074E-4</v>
      </c>
      <c r="J157" s="222">
        <f>'Off-farm feed'!$I$77</f>
        <v>4.2751561806777089E-5</v>
      </c>
      <c r="K157" s="222">
        <f>'Off-farm feed'!$J$77</f>
        <v>6.6339607025480414E-7</v>
      </c>
      <c r="L157" s="222">
        <f>'Off-farm feed'!$K$77</f>
        <v>0</v>
      </c>
      <c r="M157" s="222">
        <f>'Off-farm feed'!$L$77</f>
        <v>7.9511067188965511E-9</v>
      </c>
      <c r="N157" s="222">
        <f>'Off-farm feed'!$M$77</f>
        <v>1.2789681892721844E-6</v>
      </c>
      <c r="O157" s="222">
        <f>'Off-farm feed'!$N$77</f>
        <v>0</v>
      </c>
      <c r="P157" s="222">
        <f>'Off-farm feed'!$O$77</f>
        <v>3.9312802868423834E-6</v>
      </c>
      <c r="Q157" s="222">
        <f>'Off-farm feed'!$P$77</f>
        <v>1.8277027027027027E-6</v>
      </c>
      <c r="R157" s="197">
        <f>'Parameters, country spec'!N26</f>
        <v>5.1767642112223974E-4</v>
      </c>
    </row>
    <row r="158" spans="1:18" x14ac:dyDescent="0.35">
      <c r="B158" s="18" t="s">
        <v>346</v>
      </c>
      <c r="C158" s="17" t="s">
        <v>345</v>
      </c>
      <c r="D158" s="23" t="str">
        <f>'Off-farm feed'!$D$26</f>
        <v>Brazil, Argentina</v>
      </c>
      <c r="E158" s="23" t="s">
        <v>82</v>
      </c>
      <c r="F158" s="222">
        <f>'Off-farm feed'!$E$26</f>
        <v>1.8866346644602505E-4</v>
      </c>
      <c r="G158" s="222">
        <f>'Off-farm feed'!$F$26</f>
        <v>1.6332109719061441E-5</v>
      </c>
      <c r="H158" s="222">
        <f>'Off-farm feed'!$G$26</f>
        <v>8.7195121951219526E-7</v>
      </c>
      <c r="I158" s="222">
        <f>'Off-farm feed'!$H$26</f>
        <v>1.3333449845358202E-4</v>
      </c>
      <c r="J158" s="222">
        <f>'Off-farm feed'!$I$26</f>
        <v>1.3333449845358203E-5</v>
      </c>
      <c r="K158" s="222">
        <f>'Off-farm feed'!$J$26</f>
        <v>1.1576736579983931E-6</v>
      </c>
      <c r="L158" s="222">
        <f>'Off-farm feed'!$K$26</f>
        <v>0</v>
      </c>
      <c r="M158" s="222">
        <f>'Off-farm feed'!$L$26</f>
        <v>7.3437786087804866E-9</v>
      </c>
      <c r="N158" s="222">
        <f>'Off-farm feed'!$M$26</f>
        <v>1.1195281639512197E-6</v>
      </c>
      <c r="O158" s="222">
        <f>'Off-farm feed'!$N$26</f>
        <v>0</v>
      </c>
      <c r="P158" s="222">
        <f>'Off-farm feed'!$O$26</f>
        <v>1.3419073770114991E-5</v>
      </c>
      <c r="Q158" s="222">
        <f>'Off-farm feed'!$P$26</f>
        <v>9.087837837837838E-6</v>
      </c>
      <c r="R158" s="197">
        <f>'Parameters, country spec'!N27</f>
        <v>9.8710786383614704E-2</v>
      </c>
    </row>
    <row r="159" spans="1:18" x14ac:dyDescent="0.35">
      <c r="B159" s="17" t="s">
        <v>233</v>
      </c>
      <c r="C159" s="17" t="s">
        <v>347</v>
      </c>
      <c r="D159" s="23" t="s">
        <v>26</v>
      </c>
      <c r="E159" s="23" t="s">
        <v>101</v>
      </c>
      <c r="F159" s="222"/>
      <c r="G159" s="14"/>
      <c r="H159" s="14"/>
      <c r="I159" s="14"/>
      <c r="J159" s="14"/>
      <c r="K159" s="14"/>
      <c r="L159" s="14"/>
      <c r="M159" s="14"/>
      <c r="N159" s="14"/>
      <c r="O159" s="14"/>
      <c r="P159" s="8"/>
      <c r="Q159" s="14"/>
      <c r="R159" s="197">
        <f>'Parameters, country spec'!N28</f>
        <v>7.7842176173985381E-2</v>
      </c>
    </row>
    <row r="160" spans="1:18" x14ac:dyDescent="0.35">
      <c r="A160" s="83"/>
      <c r="B160" s="17" t="s">
        <v>348</v>
      </c>
      <c r="C160" s="84" t="s">
        <v>349</v>
      </c>
      <c r="D160" s="23" t="s">
        <v>26</v>
      </c>
      <c r="E160" s="23" t="s">
        <v>101</v>
      </c>
      <c r="F160" s="222">
        <f t="shared" si="36"/>
        <v>3.718834864960316E-4</v>
      </c>
      <c r="G160" s="82">
        <f t="shared" ref="G160:N160" si="37">AVERAGE(G150:G158)</f>
        <v>1.1773657262463566E-4</v>
      </c>
      <c r="H160" s="82">
        <f t="shared" si="37"/>
        <v>9.3366507803009054E-7</v>
      </c>
      <c r="I160" s="82">
        <f t="shared" si="37"/>
        <v>2.2765001294681699E-4</v>
      </c>
      <c r="J160" s="82">
        <f t="shared" si="37"/>
        <v>2.2765001294681701E-5</v>
      </c>
      <c r="K160" s="82">
        <f t="shared" si="37"/>
        <v>1.3112299698059106E-6</v>
      </c>
      <c r="L160" s="82">
        <f t="shared" si="37"/>
        <v>0</v>
      </c>
      <c r="M160" s="82">
        <f t="shared" si="37"/>
        <v>6.9393876147519674E-8</v>
      </c>
      <c r="N160" s="82">
        <f t="shared" si="37"/>
        <v>1.4176107059137113E-6</v>
      </c>
      <c r="O160" s="82"/>
      <c r="P160" s="81"/>
      <c r="Q160" s="82"/>
      <c r="R160" s="197">
        <f>'Parameters, country spec'!N29</f>
        <v>6.7735219250121048E-2</v>
      </c>
    </row>
    <row r="161" spans="1:18" x14ac:dyDescent="0.35">
      <c r="A161" s="195"/>
      <c r="B161" s="25" t="s">
        <v>350</v>
      </c>
      <c r="C161" s="26"/>
      <c r="D161" s="103"/>
      <c r="E161" s="103"/>
      <c r="F161" s="46">
        <f>SUMPRODUCT(F150:F160,$R$150:$R$160)</f>
        <v>3.6611134044834569E-4</v>
      </c>
      <c r="G161" s="46">
        <f t="shared" ref="G161:O161" si="38">SUMPRODUCT(G150:G160,$R$150:$R$160)</f>
        <v>1.3952458419801584E-4</v>
      </c>
      <c r="H161" s="46">
        <f t="shared" si="38"/>
        <v>9.0478204513443396E-7</v>
      </c>
      <c r="I161" s="46">
        <f t="shared" si="38"/>
        <v>2.0119154317810902E-4</v>
      </c>
      <c r="J161" s="46">
        <f t="shared" si="38"/>
        <v>2.0119154317810905E-5</v>
      </c>
      <c r="K161" s="46">
        <f t="shared" si="38"/>
        <v>8.1035608447670267E-7</v>
      </c>
      <c r="L161" s="46">
        <f t="shared" si="38"/>
        <v>0</v>
      </c>
      <c r="M161" s="46">
        <f t="shared" si="38"/>
        <v>1.1383292292997715E-8</v>
      </c>
      <c r="N161" s="46">
        <f t="shared" si="38"/>
        <v>1.3248810989148767E-6</v>
      </c>
      <c r="O161" s="46">
        <f t="shared" si="38"/>
        <v>0</v>
      </c>
      <c r="P161" s="30">
        <f>SUMPRODUCT(P150:P160,R150:R160)</f>
        <v>1.3266424554971091E-6</v>
      </c>
      <c r="Q161" s="46">
        <f>SUMPRODUCT(Q150:Q160,$R$150:$R$160)</f>
        <v>8.9801377809375228E-7</v>
      </c>
      <c r="R161" s="198"/>
    </row>
    <row r="162" spans="1:18" x14ac:dyDescent="0.35">
      <c r="A162" s="22" t="s">
        <v>336</v>
      </c>
      <c r="B162" s="17" t="s">
        <v>218</v>
      </c>
      <c r="C162" s="17" t="s">
        <v>337</v>
      </c>
      <c r="D162" s="23" t="s">
        <v>27</v>
      </c>
      <c r="E162" s="23" t="s">
        <v>102</v>
      </c>
      <c r="F162" s="223">
        <f>SUM(G162:Q162)</f>
        <v>8.2882825999999992E-4</v>
      </c>
      <c r="G162" s="201">
        <v>1.8000000000000001E-4</v>
      </c>
      <c r="H162" s="202">
        <v>9.9999999999999995E-7</v>
      </c>
      <c r="I162" s="205">
        <v>5.8699999999999996E-4</v>
      </c>
      <c r="J162" s="205">
        <v>5.8699999999999997E-5</v>
      </c>
      <c r="K162" s="205">
        <v>6.5899999999999996E-7</v>
      </c>
      <c r="L162" s="205"/>
      <c r="M162" s="205">
        <v>9.2599999999999999E-9</v>
      </c>
      <c r="N162" s="205">
        <v>1.46E-6</v>
      </c>
      <c r="O162" s="205"/>
      <c r="P162" s="14"/>
      <c r="Q162" s="204"/>
      <c r="R162" s="208">
        <f>'Parameters, country spec'!O19</f>
        <v>0.30763475488022607</v>
      </c>
    </row>
    <row r="163" spans="1:18" x14ac:dyDescent="0.35">
      <c r="A163" s="22" t="s">
        <v>338</v>
      </c>
      <c r="B163" s="17" t="s">
        <v>222</v>
      </c>
      <c r="C163" s="17" t="s">
        <v>337</v>
      </c>
      <c r="D163" s="23" t="s">
        <v>27</v>
      </c>
      <c r="E163" s="23" t="s">
        <v>102</v>
      </c>
      <c r="F163" s="221">
        <f t="shared" ref="F163:F172" si="39">SUM(G163:Q163)</f>
        <v>0</v>
      </c>
      <c r="G163" s="100"/>
      <c r="H163" s="101"/>
      <c r="I163" s="102"/>
      <c r="J163" s="102"/>
      <c r="K163" s="102"/>
      <c r="L163" s="102"/>
      <c r="M163" s="102"/>
      <c r="N163" s="102"/>
      <c r="O163" s="102"/>
      <c r="P163" s="14"/>
      <c r="Q163" s="14"/>
      <c r="R163" s="197">
        <f>'Parameters, country spec'!O20</f>
        <v>8.4790139584359644E-2</v>
      </c>
    </row>
    <row r="164" spans="1:18" x14ac:dyDescent="0.35">
      <c r="A164" s="22" t="s">
        <v>339</v>
      </c>
      <c r="B164" s="17" t="s">
        <v>226</v>
      </c>
      <c r="C164" s="17" t="s">
        <v>337</v>
      </c>
      <c r="D164" s="23" t="s">
        <v>27</v>
      </c>
      <c r="E164" s="23" t="s">
        <v>102</v>
      </c>
      <c r="F164" s="221">
        <f t="shared" si="39"/>
        <v>7.7130299999999998E-4</v>
      </c>
      <c r="G164" s="100">
        <v>1.4999999999999999E-4</v>
      </c>
      <c r="H164" s="101">
        <v>9.9999999999999995E-7</v>
      </c>
      <c r="I164" s="102">
        <v>5.62E-4</v>
      </c>
      <c r="J164" s="102">
        <v>5.6199999999999997E-5</v>
      </c>
      <c r="K164" s="102">
        <v>6.4300000000000003E-7</v>
      </c>
      <c r="L164" s="102"/>
      <c r="M164" s="102">
        <v>0</v>
      </c>
      <c r="N164" s="102">
        <v>1.46E-6</v>
      </c>
      <c r="O164" s="102"/>
      <c r="P164" s="14"/>
      <c r="Q164" s="14"/>
      <c r="R164" s="197">
        <f>'Parameters, country spec'!O21</f>
        <v>1.77320656507646E-2</v>
      </c>
    </row>
    <row r="165" spans="1:18" x14ac:dyDescent="0.35">
      <c r="A165" s="22" t="s">
        <v>340</v>
      </c>
      <c r="B165" s="17" t="s">
        <v>227</v>
      </c>
      <c r="C165" s="17" t="s">
        <v>337</v>
      </c>
      <c r="D165" s="23" t="s">
        <v>27</v>
      </c>
      <c r="E165" s="23" t="s">
        <v>102</v>
      </c>
      <c r="F165" s="221">
        <f t="shared" si="39"/>
        <v>6.9834925999999996E-4</v>
      </c>
      <c r="G165" s="100">
        <v>1.3999999999999999E-4</v>
      </c>
      <c r="H165" s="101">
        <v>9.9999999999999995E-7</v>
      </c>
      <c r="I165" s="102">
        <v>5.04E-4</v>
      </c>
      <c r="J165" s="102">
        <v>5.0399999999999999E-5</v>
      </c>
      <c r="K165" s="102">
        <v>1.48E-6</v>
      </c>
      <c r="L165" s="102"/>
      <c r="M165" s="102">
        <v>9.2599999999999999E-9</v>
      </c>
      <c r="N165" s="102">
        <v>1.46E-6</v>
      </c>
      <c r="O165" s="102"/>
      <c r="P165" s="14"/>
      <c r="Q165" s="14"/>
      <c r="R165" s="197">
        <f>'Parameters, country spec'!O22</f>
        <v>0</v>
      </c>
    </row>
    <row r="166" spans="1:18" x14ac:dyDescent="0.35">
      <c r="A166" s="22" t="s">
        <v>341</v>
      </c>
      <c r="B166" s="17" t="s">
        <v>228</v>
      </c>
      <c r="C166" s="17" t="s">
        <v>337</v>
      </c>
      <c r="D166" s="23" t="s">
        <v>27</v>
      </c>
      <c r="E166" s="23" t="s">
        <v>102</v>
      </c>
      <c r="F166" s="221">
        <f t="shared" si="39"/>
        <v>9.6202008999999992E-4</v>
      </c>
      <c r="G166" s="100">
        <v>2.0000000000000001E-4</v>
      </c>
      <c r="H166" s="101">
        <v>9.9999999999999995E-7</v>
      </c>
      <c r="I166" s="102">
        <v>6.8999999999999997E-4</v>
      </c>
      <c r="J166" s="102">
        <v>6.8999999999999997E-5</v>
      </c>
      <c r="K166" s="102">
        <v>5.5700000000000002E-7</v>
      </c>
      <c r="L166" s="102"/>
      <c r="M166" s="102">
        <v>3.0899999999999999E-9</v>
      </c>
      <c r="N166" s="102">
        <v>1.46E-6</v>
      </c>
      <c r="O166" s="102"/>
      <c r="P166" s="14"/>
      <c r="Q166" s="14"/>
      <c r="R166" s="197">
        <f>'Parameters, country spec'!O23</f>
        <v>0.13212925363733041</v>
      </c>
    </row>
    <row r="167" spans="1:18" x14ac:dyDescent="0.35">
      <c r="A167" s="22" t="s">
        <v>342</v>
      </c>
      <c r="B167" s="17" t="s">
        <v>229</v>
      </c>
      <c r="C167" s="17" t="s">
        <v>343</v>
      </c>
      <c r="D167" s="23" t="s">
        <v>27</v>
      </c>
      <c r="E167" s="23" t="s">
        <v>102</v>
      </c>
      <c r="F167" s="221">
        <f t="shared" si="39"/>
        <v>2.0718159999999998E-4</v>
      </c>
      <c r="G167" s="100">
        <v>0</v>
      </c>
      <c r="H167" s="101">
        <v>9.9999999999999995E-7</v>
      </c>
      <c r="I167" s="102">
        <v>1.85E-4</v>
      </c>
      <c r="J167" s="102">
        <v>1.8499999999999999E-5</v>
      </c>
      <c r="K167" s="102">
        <v>1.1999999999999999E-6</v>
      </c>
      <c r="L167" s="102"/>
      <c r="M167" s="102">
        <v>2.1600000000000002E-8</v>
      </c>
      <c r="N167" s="102">
        <v>1.46E-6</v>
      </c>
      <c r="O167" s="102"/>
      <c r="P167" s="14"/>
      <c r="Q167" s="14"/>
      <c r="R167" s="197">
        <f>'Parameters, country spec'!O24</f>
        <v>1.3715568697676599E-3</v>
      </c>
    </row>
    <row r="168" spans="1:18" x14ac:dyDescent="0.35">
      <c r="A168" s="22" t="s">
        <v>344</v>
      </c>
      <c r="B168" s="17" t="s">
        <v>230</v>
      </c>
      <c r="C168" s="17" t="s">
        <v>343</v>
      </c>
      <c r="D168" s="23" t="s">
        <v>27</v>
      </c>
      <c r="E168" s="23" t="s">
        <v>102</v>
      </c>
      <c r="F168" s="221">
        <f t="shared" si="39"/>
        <v>2.3970699999999997E-4</v>
      </c>
      <c r="G168" s="100">
        <v>8.6000000000000007E-6</v>
      </c>
      <c r="H168" s="101">
        <v>9.9999999999999995E-7</v>
      </c>
      <c r="I168" s="102">
        <v>2.0699999999999999E-4</v>
      </c>
      <c r="J168" s="102">
        <v>2.0699999999999998E-5</v>
      </c>
      <c r="K168" s="102">
        <v>9.47E-7</v>
      </c>
      <c r="L168" s="102"/>
      <c r="M168" s="102">
        <v>0</v>
      </c>
      <c r="N168" s="102">
        <v>1.46E-6</v>
      </c>
      <c r="O168" s="102"/>
      <c r="P168" s="14"/>
      <c r="Q168" s="14"/>
      <c r="R168" s="197">
        <f>'Parameters, country spec'!O25</f>
        <v>1.3473208286461219E-3</v>
      </c>
    </row>
    <row r="169" spans="1:18" x14ac:dyDescent="0.35">
      <c r="B169" s="18" t="s">
        <v>231</v>
      </c>
      <c r="C169" s="17" t="s">
        <v>345</v>
      </c>
      <c r="D169" s="23" t="str">
        <f>'Off-farm feed'!$D$77</f>
        <v>France, Germany, Poland</v>
      </c>
      <c r="E169" s="23" t="s">
        <v>82</v>
      </c>
      <c r="F169" s="222">
        <f>'Off-farm feed'!$E$77</f>
        <v>6.732045566157569E-4</v>
      </c>
      <c r="G169" s="222">
        <f>'Off-farm feed'!$F$77</f>
        <v>1.946970439026595E-4</v>
      </c>
      <c r="H169" s="222">
        <f>'Off-farm feed'!$G$77</f>
        <v>5.3103448275862083E-7</v>
      </c>
      <c r="I169" s="222">
        <f>'Off-farm feed'!$H$77</f>
        <v>4.2751561806777074E-4</v>
      </c>
      <c r="J169" s="222">
        <f>'Off-farm feed'!$I$77</f>
        <v>4.2751561806777089E-5</v>
      </c>
      <c r="K169" s="222">
        <f>'Off-farm feed'!$J$77</f>
        <v>6.6339607025480414E-7</v>
      </c>
      <c r="L169" s="222">
        <f>'Off-farm feed'!$K$77</f>
        <v>0</v>
      </c>
      <c r="M169" s="222">
        <f>'Off-farm feed'!$L$77</f>
        <v>7.9511067188965511E-9</v>
      </c>
      <c r="N169" s="222">
        <f>'Off-farm feed'!$M$77</f>
        <v>1.2789681892721844E-6</v>
      </c>
      <c r="O169" s="222">
        <f>'Off-farm feed'!$N$77</f>
        <v>0</v>
      </c>
      <c r="P169" s="222">
        <f>'Off-farm feed'!$O$77</f>
        <v>3.9312802868423834E-6</v>
      </c>
      <c r="Q169" s="222">
        <f>'Off-farm feed'!$P$77</f>
        <v>1.8277027027027027E-6</v>
      </c>
      <c r="R169" s="197">
        <f>'Parameters, country spec'!O26</f>
        <v>7.3430139783317777E-2</v>
      </c>
    </row>
    <row r="170" spans="1:18" x14ac:dyDescent="0.35">
      <c r="B170" s="18" t="s">
        <v>346</v>
      </c>
      <c r="C170" s="17" t="s">
        <v>345</v>
      </c>
      <c r="D170" s="23" t="str">
        <f>'Off-farm feed'!$D$26</f>
        <v>Brazil, Argentina</v>
      </c>
      <c r="E170" s="23" t="s">
        <v>82</v>
      </c>
      <c r="F170" s="222">
        <f>'Off-farm feed'!$E$26</f>
        <v>1.8866346644602505E-4</v>
      </c>
      <c r="G170" s="222">
        <f>'Off-farm feed'!$F$26</f>
        <v>1.6332109719061441E-5</v>
      </c>
      <c r="H170" s="222">
        <f>'Off-farm feed'!$G$26</f>
        <v>8.7195121951219526E-7</v>
      </c>
      <c r="I170" s="222">
        <f>'Off-farm feed'!$H$26</f>
        <v>1.3333449845358202E-4</v>
      </c>
      <c r="J170" s="222">
        <f>'Off-farm feed'!$I$26</f>
        <v>1.3333449845358203E-5</v>
      </c>
      <c r="K170" s="222">
        <f>'Off-farm feed'!$J$26</f>
        <v>1.1576736579983931E-6</v>
      </c>
      <c r="L170" s="222">
        <f>'Off-farm feed'!$K$26</f>
        <v>0</v>
      </c>
      <c r="M170" s="222">
        <f>'Off-farm feed'!$L$26</f>
        <v>7.3437786087804866E-9</v>
      </c>
      <c r="N170" s="222">
        <f>'Off-farm feed'!$M$26</f>
        <v>1.1195281639512197E-6</v>
      </c>
      <c r="O170" s="222">
        <f>'Off-farm feed'!$N$26</f>
        <v>0</v>
      </c>
      <c r="P170" s="222">
        <f>'Off-farm feed'!$O$26</f>
        <v>1.3419073770114991E-5</v>
      </c>
      <c r="Q170" s="222">
        <f>'Off-farm feed'!$P$26</f>
        <v>9.087837837837838E-6</v>
      </c>
      <c r="R170" s="197">
        <f>'Parameters, country spec'!O27</f>
        <v>0.13973103889626368</v>
      </c>
    </row>
    <row r="171" spans="1:18" x14ac:dyDescent="0.35">
      <c r="B171" s="17" t="s">
        <v>233</v>
      </c>
      <c r="C171" s="17" t="s">
        <v>347</v>
      </c>
      <c r="D171" s="23" t="s">
        <v>27</v>
      </c>
      <c r="E171" s="23" t="s">
        <v>102</v>
      </c>
      <c r="F171" s="222"/>
      <c r="G171" s="14"/>
      <c r="H171" s="14"/>
      <c r="I171" s="14"/>
      <c r="J171" s="14"/>
      <c r="K171" s="14"/>
      <c r="L171" s="14"/>
      <c r="M171" s="14"/>
      <c r="N171" s="14"/>
      <c r="O171" s="14"/>
      <c r="P171" s="8"/>
      <c r="Q171" s="14"/>
      <c r="R171" s="197">
        <f>'Parameters, country spec'!O28</f>
        <v>0.13800716313225697</v>
      </c>
    </row>
    <row r="172" spans="1:18" x14ac:dyDescent="0.35">
      <c r="A172" s="83"/>
      <c r="B172" s="17" t="s">
        <v>348</v>
      </c>
      <c r="C172" s="84" t="s">
        <v>349</v>
      </c>
      <c r="D172" s="23" t="s">
        <v>27</v>
      </c>
      <c r="E172" s="23" t="s">
        <v>102</v>
      </c>
      <c r="F172" s="222">
        <f t="shared" si="39"/>
        <v>5.6762391730803548E-4</v>
      </c>
      <c r="G172" s="82">
        <f t="shared" ref="G172:N172" si="40">AVERAGE(G162:G170)</f>
        <v>1.1120364420271511E-4</v>
      </c>
      <c r="H172" s="82">
        <f t="shared" si="40"/>
        <v>9.253732127838519E-7</v>
      </c>
      <c r="I172" s="82">
        <f t="shared" si="40"/>
        <v>4.119812645651691E-4</v>
      </c>
      <c r="J172" s="82">
        <f t="shared" si="40"/>
        <v>4.1198126456516917E-5</v>
      </c>
      <c r="K172" s="82">
        <f t="shared" si="40"/>
        <v>9.1338371603164962E-7</v>
      </c>
      <c r="L172" s="82">
        <f t="shared" si="40"/>
        <v>0</v>
      </c>
      <c r="M172" s="82">
        <f t="shared" si="40"/>
        <v>7.3131106659596298E-9</v>
      </c>
      <c r="N172" s="82">
        <f t="shared" si="40"/>
        <v>1.3948120441529255E-6</v>
      </c>
      <c r="O172" s="82"/>
      <c r="P172" s="81"/>
      <c r="Q172" s="82"/>
      <c r="R172" s="197">
        <f>'Parameters, country spec'!O29</f>
        <v>0.1038265667370671</v>
      </c>
    </row>
    <row r="173" spans="1:18" x14ac:dyDescent="0.35">
      <c r="A173" s="195"/>
      <c r="B173" s="25" t="s">
        <v>350</v>
      </c>
      <c r="C173" s="26"/>
      <c r="D173" s="103"/>
      <c r="E173" s="103"/>
      <c r="F173" s="46">
        <f>SUMPRODUCT(F162:F172,$R$162:$R$172)</f>
        <v>5.3110138348726828E-4</v>
      </c>
      <c r="G173" s="46">
        <f t="shared" ref="G173:O173" si="41">SUMPRODUCT(G162:G172,$R$162:$R$172)</f>
        <v>1.1259612980644935E-4</v>
      </c>
      <c r="H173" s="46">
        <f t="shared" si="41"/>
        <v>7.1712586156856217E-7</v>
      </c>
      <c r="I173" s="46">
        <f t="shared" si="41"/>
        <v>3.7504694029631312E-4</v>
      </c>
      <c r="J173" s="46">
        <f t="shared" si="41"/>
        <v>3.7504694029631317E-5</v>
      </c>
      <c r="K173" s="46">
        <f t="shared" si="41"/>
        <v>5.9596050147853048E-7</v>
      </c>
      <c r="L173" s="46">
        <f t="shared" si="41"/>
        <v>0</v>
      </c>
      <c r="M173" s="46">
        <f t="shared" si="41"/>
        <v>5.6559027171617469E-9</v>
      </c>
      <c r="N173" s="46">
        <f t="shared" si="41"/>
        <v>1.0670800218525454E-6</v>
      </c>
      <c r="O173" s="46">
        <f t="shared" si="41"/>
        <v>0</v>
      </c>
      <c r="P173" s="30">
        <f>SUMPRODUCT(P162:P172,R162:R172)</f>
        <v>2.1637355799140076E-6</v>
      </c>
      <c r="Q173" s="46">
        <f>SUMPRODUCT(Q162:Q172,$R$162:$R$172)</f>
        <v>1.4040614873436628E-6</v>
      </c>
      <c r="R173" s="198"/>
    </row>
    <row r="174" spans="1:18" x14ac:dyDescent="0.35">
      <c r="A174" s="22" t="s">
        <v>336</v>
      </c>
      <c r="B174" s="17" t="s">
        <v>218</v>
      </c>
      <c r="C174" s="17" t="s">
        <v>337</v>
      </c>
      <c r="D174" s="23" t="s">
        <v>30</v>
      </c>
      <c r="E174" s="23" t="s">
        <v>103</v>
      </c>
      <c r="F174" s="223">
        <f>SUM(G174:Q174)</f>
        <v>4.8181926000000002E-4</v>
      </c>
      <c r="G174" s="201">
        <v>1.8000000000000001E-4</v>
      </c>
      <c r="H174" s="202">
        <v>9.9999999999999995E-7</v>
      </c>
      <c r="I174" s="205">
        <v>2.7099999999999997E-4</v>
      </c>
      <c r="J174" s="205">
        <v>2.7100000000000001E-5</v>
      </c>
      <c r="K174" s="205">
        <v>1.2100000000000001E-6</v>
      </c>
      <c r="L174" s="205"/>
      <c r="M174" s="205">
        <v>9.2599999999999999E-9</v>
      </c>
      <c r="N174" s="205">
        <v>1.5E-6</v>
      </c>
      <c r="O174" s="205"/>
      <c r="P174" s="14"/>
      <c r="Q174" s="204"/>
      <c r="R174" s="208">
        <f>'Parameters, country spec'!P19</f>
        <v>6.9755357742184998E-2</v>
      </c>
    </row>
    <row r="175" spans="1:18" x14ac:dyDescent="0.35">
      <c r="A175" s="22" t="s">
        <v>338</v>
      </c>
      <c r="B175" s="17" t="s">
        <v>222</v>
      </c>
      <c r="C175" s="17" t="s">
        <v>337</v>
      </c>
      <c r="D175" s="23" t="s">
        <v>30</v>
      </c>
      <c r="E175" s="23" t="s">
        <v>103</v>
      </c>
      <c r="F175" s="221">
        <f t="shared" ref="F175:F184" si="42">SUM(G175:Q175)</f>
        <v>4.1529099999999998E-4</v>
      </c>
      <c r="G175" s="100">
        <v>1.7000000000000001E-4</v>
      </c>
      <c r="H175" s="101">
        <v>9.9999999999999995E-7</v>
      </c>
      <c r="I175" s="102">
        <v>2.2000000000000001E-4</v>
      </c>
      <c r="J175" s="102">
        <v>2.1999999999999999E-5</v>
      </c>
      <c r="K175" s="102">
        <v>4.82E-7</v>
      </c>
      <c r="L175" s="102"/>
      <c r="M175" s="102">
        <v>3.0899999999999997E-7</v>
      </c>
      <c r="N175" s="102">
        <v>1.5E-6</v>
      </c>
      <c r="O175" s="102"/>
      <c r="P175" s="14"/>
      <c r="Q175" s="14"/>
      <c r="R175" s="197">
        <f>'Parameters, country spec'!P20</f>
        <v>0.45612129266564322</v>
      </c>
    </row>
    <row r="176" spans="1:18" x14ac:dyDescent="0.35">
      <c r="A176" s="22" t="s">
        <v>339</v>
      </c>
      <c r="B176" s="17" t="s">
        <v>226</v>
      </c>
      <c r="C176" s="17" t="s">
        <v>337</v>
      </c>
      <c r="D176" s="23" t="s">
        <v>30</v>
      </c>
      <c r="E176" s="23" t="s">
        <v>103</v>
      </c>
      <c r="F176" s="221">
        <f t="shared" si="42"/>
        <v>4.0906299999999993E-4</v>
      </c>
      <c r="G176" s="100">
        <v>1.4999999999999999E-4</v>
      </c>
      <c r="H176" s="101">
        <v>9.9999999999999995E-7</v>
      </c>
      <c r="I176" s="102">
        <v>2.31E-4</v>
      </c>
      <c r="J176" s="102">
        <v>2.3099999999999999E-5</v>
      </c>
      <c r="K176" s="102">
        <v>2.12E-6</v>
      </c>
      <c r="L176" s="102"/>
      <c r="M176" s="102">
        <v>3.4299999999999999E-7</v>
      </c>
      <c r="N176" s="102">
        <v>1.5E-6</v>
      </c>
      <c r="O176" s="102"/>
      <c r="P176" s="14"/>
      <c r="Q176" s="14"/>
      <c r="R176" s="197">
        <f>'Parameters, country spec'!P21</f>
        <v>1.4486341810785938E-2</v>
      </c>
    </row>
    <row r="177" spans="1:18" x14ac:dyDescent="0.35">
      <c r="A177" s="22" t="s">
        <v>340</v>
      </c>
      <c r="B177" s="17" t="s">
        <v>227</v>
      </c>
      <c r="C177" s="17" t="s">
        <v>337</v>
      </c>
      <c r="D177" s="23" t="s">
        <v>30</v>
      </c>
      <c r="E177" s="23" t="s">
        <v>103</v>
      </c>
      <c r="F177" s="221">
        <f t="shared" si="42"/>
        <v>3.7724239999999999E-4</v>
      </c>
      <c r="G177" s="100">
        <v>1.3999999999999999E-4</v>
      </c>
      <c r="H177" s="101">
        <v>9.9999999999999995E-7</v>
      </c>
      <c r="I177" s="102">
        <v>2.12E-4</v>
      </c>
      <c r="J177" s="102">
        <v>2.12E-5</v>
      </c>
      <c r="K177" s="102">
        <v>1.53E-6</v>
      </c>
      <c r="L177" s="102"/>
      <c r="M177" s="102">
        <v>1.24E-8</v>
      </c>
      <c r="N177" s="102">
        <v>1.5E-6</v>
      </c>
      <c r="O177" s="102"/>
      <c r="P177" s="14"/>
      <c r="Q177" s="14"/>
      <c r="R177" s="197">
        <f>'Parameters, country spec'!P22</f>
        <v>1.154218810875446E-3</v>
      </c>
    </row>
    <row r="178" spans="1:18" x14ac:dyDescent="0.35">
      <c r="A178" s="22" t="s">
        <v>341</v>
      </c>
      <c r="B178" s="17" t="s">
        <v>228</v>
      </c>
      <c r="C178" s="17" t="s">
        <v>337</v>
      </c>
      <c r="D178" s="23" t="s">
        <v>30</v>
      </c>
      <c r="E178" s="23" t="s">
        <v>103</v>
      </c>
      <c r="F178" s="221">
        <f t="shared" si="42"/>
        <v>4.9865180000000008E-4</v>
      </c>
      <c r="G178" s="100">
        <v>2.0000000000000001E-4</v>
      </c>
      <c r="H178" s="101">
        <v>9.9999999999999995E-7</v>
      </c>
      <c r="I178" s="102">
        <v>2.6800000000000001E-4</v>
      </c>
      <c r="J178" s="102">
        <v>2.6800000000000001E-5</v>
      </c>
      <c r="K178" s="102">
        <v>1.2899999999999999E-6</v>
      </c>
      <c r="L178" s="102"/>
      <c r="M178" s="102">
        <v>6.1799999999999998E-8</v>
      </c>
      <c r="N178" s="102">
        <v>1.5E-6</v>
      </c>
      <c r="O178" s="102"/>
      <c r="P178" s="14"/>
      <c r="Q178" s="14"/>
      <c r="R178" s="197">
        <f>'Parameters, country spec'!P23</f>
        <v>6.607302843520492E-2</v>
      </c>
    </row>
    <row r="179" spans="1:18" x14ac:dyDescent="0.35">
      <c r="A179" s="22" t="s">
        <v>342</v>
      </c>
      <c r="B179" s="17" t="s">
        <v>229</v>
      </c>
      <c r="C179" s="17" t="s">
        <v>343</v>
      </c>
      <c r="D179" s="23" t="s">
        <v>30</v>
      </c>
      <c r="E179" s="23" t="s">
        <v>103</v>
      </c>
      <c r="F179" s="221">
        <f t="shared" si="42"/>
        <v>1.7349010000000003E-4</v>
      </c>
      <c r="G179" s="100">
        <v>0</v>
      </c>
      <c r="H179" s="101">
        <v>9.9999999999999995E-7</v>
      </c>
      <c r="I179" s="102">
        <v>1.54E-4</v>
      </c>
      <c r="J179" s="102">
        <v>1.5400000000000002E-5</v>
      </c>
      <c r="K179" s="102">
        <v>1.55E-6</v>
      </c>
      <c r="L179" s="102"/>
      <c r="M179" s="102">
        <v>4.0100000000000002E-8</v>
      </c>
      <c r="N179" s="102">
        <v>1.5E-6</v>
      </c>
      <c r="O179" s="102"/>
      <c r="P179" s="14"/>
      <c r="Q179" s="14"/>
      <c r="R179" s="197">
        <f>'Parameters, country spec'!P24</f>
        <v>2.8132125343424525E-3</v>
      </c>
    </row>
    <row r="180" spans="1:18" x14ac:dyDescent="0.35">
      <c r="A180" s="22" t="s">
        <v>344</v>
      </c>
      <c r="B180" s="17" t="s">
        <v>230</v>
      </c>
      <c r="C180" s="17" t="s">
        <v>343</v>
      </c>
      <c r="D180" s="23" t="s">
        <v>30</v>
      </c>
      <c r="E180" s="23" t="s">
        <v>103</v>
      </c>
      <c r="F180" s="221">
        <f t="shared" si="42"/>
        <v>1.8834240000000001E-4</v>
      </c>
      <c r="G180" s="100">
        <v>8.6000000000000007E-6</v>
      </c>
      <c r="H180" s="101">
        <v>9.9999999999999995E-7</v>
      </c>
      <c r="I180" s="102">
        <v>1.5899999999999999E-4</v>
      </c>
      <c r="J180" s="102">
        <v>1.59E-5</v>
      </c>
      <c r="K180" s="102">
        <v>2.3300000000000001E-6</v>
      </c>
      <c r="L180" s="102"/>
      <c r="M180" s="102">
        <v>1.24E-8</v>
      </c>
      <c r="N180" s="102">
        <v>1.5E-6</v>
      </c>
      <c r="O180" s="102"/>
      <c r="P180" s="14"/>
      <c r="Q180" s="14"/>
      <c r="R180" s="197">
        <f>'Parameters, country spec'!P25</f>
        <v>2.763501773404974E-3</v>
      </c>
    </row>
    <row r="181" spans="1:18" x14ac:dyDescent="0.35">
      <c r="B181" s="18" t="s">
        <v>231</v>
      </c>
      <c r="C181" s="17" t="s">
        <v>345</v>
      </c>
      <c r="D181" s="23" t="str">
        <f>'Off-farm feed'!$D$77</f>
        <v>France, Germany, Poland</v>
      </c>
      <c r="E181" s="23" t="s">
        <v>82</v>
      </c>
      <c r="F181" s="222">
        <f>'Off-farm feed'!$E$77</f>
        <v>6.732045566157569E-4</v>
      </c>
      <c r="G181" s="222">
        <f>'Off-farm feed'!$F$77</f>
        <v>1.946970439026595E-4</v>
      </c>
      <c r="H181" s="222">
        <f>'Off-farm feed'!$G$77</f>
        <v>5.3103448275862083E-7</v>
      </c>
      <c r="I181" s="222">
        <f>'Off-farm feed'!$H$77</f>
        <v>4.2751561806777074E-4</v>
      </c>
      <c r="J181" s="222">
        <f>'Off-farm feed'!$I$77</f>
        <v>4.2751561806777089E-5</v>
      </c>
      <c r="K181" s="222">
        <f>'Off-farm feed'!$J$77</f>
        <v>6.6339607025480414E-7</v>
      </c>
      <c r="L181" s="222">
        <f>'Off-farm feed'!$K$77</f>
        <v>0</v>
      </c>
      <c r="M181" s="222">
        <f>'Off-farm feed'!$L$77</f>
        <v>7.9511067188965511E-9</v>
      </c>
      <c r="N181" s="222">
        <f>'Off-farm feed'!$M$77</f>
        <v>1.2789681892721844E-6</v>
      </c>
      <c r="O181" s="222">
        <f>'Off-farm feed'!$N$77</f>
        <v>0</v>
      </c>
      <c r="P181" s="222">
        <f>'Off-farm feed'!$O$77</f>
        <v>3.9312802868423834E-6</v>
      </c>
      <c r="Q181" s="222">
        <f>'Off-farm feed'!$P$77</f>
        <v>1.8277027027027027E-6</v>
      </c>
      <c r="R181" s="197">
        <f>'Parameters, country spec'!P26</f>
        <v>4.7386628229038642E-3</v>
      </c>
    </row>
    <row r="182" spans="1:18" x14ac:dyDescent="0.35">
      <c r="B182" s="18" t="s">
        <v>346</v>
      </c>
      <c r="C182" s="17" t="s">
        <v>345</v>
      </c>
      <c r="D182" s="23" t="str">
        <f>'Off-farm feed'!$D$26</f>
        <v>Brazil, Argentina</v>
      </c>
      <c r="E182" s="23" t="s">
        <v>82</v>
      </c>
      <c r="F182" s="222">
        <f>'Off-farm feed'!$E$26</f>
        <v>1.8866346644602505E-4</v>
      </c>
      <c r="G182" s="222">
        <f>'Off-farm feed'!$F$26</f>
        <v>1.6332109719061441E-5</v>
      </c>
      <c r="H182" s="222">
        <f>'Off-farm feed'!$G$26</f>
        <v>8.7195121951219526E-7</v>
      </c>
      <c r="I182" s="222">
        <f>'Off-farm feed'!$H$26</f>
        <v>1.3333449845358202E-4</v>
      </c>
      <c r="J182" s="222">
        <f>'Off-farm feed'!$I$26</f>
        <v>1.3333449845358203E-5</v>
      </c>
      <c r="K182" s="222">
        <f>'Off-farm feed'!$J$26</f>
        <v>1.1576736579983931E-6</v>
      </c>
      <c r="L182" s="222">
        <f>'Off-farm feed'!$K$26</f>
        <v>0</v>
      </c>
      <c r="M182" s="222">
        <f>'Off-farm feed'!$L$26</f>
        <v>7.3437786087804866E-9</v>
      </c>
      <c r="N182" s="222">
        <f>'Off-farm feed'!$M$26</f>
        <v>1.1195281639512197E-6</v>
      </c>
      <c r="O182" s="222">
        <f>'Off-farm feed'!$N$26</f>
        <v>0</v>
      </c>
      <c r="P182" s="222">
        <f>'Off-farm feed'!$O$26</f>
        <v>1.3419073770114991E-5</v>
      </c>
      <c r="Q182" s="222">
        <f>'Off-farm feed'!$P$26</f>
        <v>9.087837837837838E-6</v>
      </c>
      <c r="R182" s="197">
        <f>'Parameters, country spec'!P27</f>
        <v>0.11699211590575154</v>
      </c>
    </row>
    <row r="183" spans="1:18" x14ac:dyDescent="0.35">
      <c r="B183" s="17" t="s">
        <v>233</v>
      </c>
      <c r="C183" s="17" t="s">
        <v>347</v>
      </c>
      <c r="D183" s="23" t="s">
        <v>30</v>
      </c>
      <c r="E183" s="23" t="s">
        <v>103</v>
      </c>
      <c r="F183" s="222"/>
      <c r="G183" s="14"/>
      <c r="H183" s="14"/>
      <c r="I183" s="14"/>
      <c r="J183" s="14"/>
      <c r="K183" s="14"/>
      <c r="L183" s="14"/>
      <c r="M183" s="14"/>
      <c r="N183" s="14"/>
      <c r="O183" s="14"/>
      <c r="P183" s="8"/>
      <c r="Q183" s="14"/>
      <c r="R183" s="197">
        <f>'Parameters, country spec'!P28</f>
        <v>0.12350411469968688</v>
      </c>
    </row>
    <row r="184" spans="1:18" x14ac:dyDescent="0.35">
      <c r="A184" s="83"/>
      <c r="B184" s="17" t="s">
        <v>348</v>
      </c>
      <c r="C184" s="84" t="s">
        <v>349</v>
      </c>
      <c r="D184" s="23" t="s">
        <v>30</v>
      </c>
      <c r="E184" s="23" t="s">
        <v>103</v>
      </c>
      <c r="F184" s="222">
        <f t="shared" si="42"/>
        <v>3.7527800982936491E-4</v>
      </c>
      <c r="G184" s="82">
        <f t="shared" ref="G184:N184" si="43">AVERAGE(G174:G182)</f>
        <v>1.1773657262463566E-4</v>
      </c>
      <c r="H184" s="82">
        <f t="shared" si="43"/>
        <v>9.3366507803009054E-7</v>
      </c>
      <c r="I184" s="82">
        <f t="shared" si="43"/>
        <v>2.3065001294681695E-4</v>
      </c>
      <c r="J184" s="82">
        <f t="shared" si="43"/>
        <v>2.3065001294681698E-5</v>
      </c>
      <c r="K184" s="82">
        <f t="shared" si="43"/>
        <v>1.3703410809170218E-6</v>
      </c>
      <c r="L184" s="82">
        <f t="shared" si="43"/>
        <v>0</v>
      </c>
      <c r="M184" s="82">
        <f t="shared" si="43"/>
        <v>8.9250542814186322E-8</v>
      </c>
      <c r="N184" s="82">
        <f t="shared" si="43"/>
        <v>1.4331662614692671E-6</v>
      </c>
      <c r="O184" s="82"/>
      <c r="P184" s="81"/>
      <c r="Q184" s="82"/>
      <c r="R184" s="197">
        <f>'Parameters, country spec'!P29</f>
        <v>0.14159815279921578</v>
      </c>
    </row>
    <row r="185" spans="1:18" x14ac:dyDescent="0.35">
      <c r="A185" s="195"/>
      <c r="B185" s="25" t="s">
        <v>350</v>
      </c>
      <c r="C185" s="26"/>
      <c r="D185" s="103"/>
      <c r="E185" s="103"/>
      <c r="F185" s="46">
        <f>SUMPRODUCT(F174:F184,$R$174:$R$184)</f>
        <v>3.4175067347252844E-4</v>
      </c>
      <c r="G185" s="46">
        <f t="shared" ref="G185:O185" si="44">SUMPRODUCT(G174:G184,$R$174:$R$184)</f>
        <v>1.2517411077165319E-4</v>
      </c>
      <c r="H185" s="46">
        <f t="shared" si="44"/>
        <v>8.4990001565309878E-7</v>
      </c>
      <c r="I185" s="46">
        <f>SUMPRODUCT(I174:I184,$R$174:$R$184)</f>
        <v>1.9170618205291556E-4</v>
      </c>
      <c r="J185" s="46">
        <f t="shared" si="44"/>
        <v>1.9170618205291559E-5</v>
      </c>
      <c r="K185" s="46">
        <f t="shared" si="44"/>
        <v>7.6538515742935958E-7</v>
      </c>
      <c r="L185" s="46">
        <f t="shared" si="44"/>
        <v>0</v>
      </c>
      <c r="M185" s="46">
        <f t="shared" si="44"/>
        <v>1.6433548581345432E-7</v>
      </c>
      <c r="N185" s="46">
        <f t="shared" si="44"/>
        <v>1.2597206936637841E-6</v>
      </c>
      <c r="O185" s="46">
        <f t="shared" si="44"/>
        <v>0</v>
      </c>
      <c r="P185" s="30">
        <f>SUMPRODUCT(P174:P184,R174:R184)</f>
        <v>1.5885548456027981E-6</v>
      </c>
      <c r="Q185" s="46">
        <f>SUMPRODUCT(Q174:Q184,$R$174:$R$184)</f>
        <v>1.0718662445056168E-6</v>
      </c>
      <c r="R185" s="198"/>
    </row>
    <row r="186" spans="1:18" x14ac:dyDescent="0.35">
      <c r="A186" s="22" t="s">
        <v>336</v>
      </c>
      <c r="B186" s="17" t="s">
        <v>218</v>
      </c>
      <c r="C186" s="17" t="s">
        <v>337</v>
      </c>
      <c r="D186" s="23" t="s">
        <v>104</v>
      </c>
      <c r="E186" s="23" t="s">
        <v>105</v>
      </c>
      <c r="F186" s="223">
        <f>SUM(G186:Q186)</f>
        <v>8.3700497241450582E-4</v>
      </c>
      <c r="G186" s="201">
        <v>1.3527187113652022E-4</v>
      </c>
      <c r="H186" s="202">
        <v>1.1000000000000001E-6</v>
      </c>
      <c r="I186" s="205">
        <v>6.348790825230616E-4</v>
      </c>
      <c r="J186" s="205">
        <v>6.3487908252306166E-5</v>
      </c>
      <c r="K186" s="205">
        <v>1.0965445026178011E-6</v>
      </c>
      <c r="L186" s="205"/>
      <c r="M186" s="205">
        <v>0</v>
      </c>
      <c r="N186" s="205">
        <v>1.1695660000000001E-6</v>
      </c>
      <c r="O186" s="205"/>
      <c r="P186" s="14"/>
      <c r="Q186" s="204"/>
      <c r="R186" s="208">
        <f>'Parameters, country spec'!Q19</f>
        <v>1.025159863159307E-2</v>
      </c>
    </row>
    <row r="187" spans="1:18" x14ac:dyDescent="0.35">
      <c r="A187" s="22" t="s">
        <v>338</v>
      </c>
      <c r="B187" s="17" t="s">
        <v>222</v>
      </c>
      <c r="C187" s="17" t="s">
        <v>337</v>
      </c>
      <c r="D187" s="23" t="s">
        <v>104</v>
      </c>
      <c r="E187" s="23" t="s">
        <v>105</v>
      </c>
      <c r="F187" s="221">
        <f t="shared" ref="F187:F196" si="45">SUM(G187:Q187)</f>
        <v>7.7064277808378814E-4</v>
      </c>
      <c r="G187" s="100">
        <v>1.3173663927780048E-4</v>
      </c>
      <c r="H187" s="101">
        <v>1.1000000000000001E-6</v>
      </c>
      <c r="I187" s="102">
        <v>5.7807906502645948E-4</v>
      </c>
      <c r="J187" s="102">
        <v>5.7807906502645948E-5</v>
      </c>
      <c r="K187" s="102">
        <v>7.4960127688222882E-7</v>
      </c>
      <c r="L187" s="102"/>
      <c r="M187" s="102">
        <v>0</v>
      </c>
      <c r="N187" s="102">
        <v>1.1695660000000001E-6</v>
      </c>
      <c r="O187" s="102"/>
      <c r="P187" s="14"/>
      <c r="Q187" s="14"/>
      <c r="R187" s="197">
        <f>'Parameters, country spec'!Q20</f>
        <v>4.5589421610149703E-3</v>
      </c>
    </row>
    <row r="188" spans="1:18" x14ac:dyDescent="0.35">
      <c r="A188" s="22" t="s">
        <v>339</v>
      </c>
      <c r="B188" s="17" t="s">
        <v>226</v>
      </c>
      <c r="C188" s="17" t="s">
        <v>337</v>
      </c>
      <c r="D188" s="23" t="s">
        <v>104</v>
      </c>
      <c r="E188" s="23" t="s">
        <v>105</v>
      </c>
      <c r="F188" s="221">
        <f t="shared" si="45"/>
        <v>7.4080189535590966E-4</v>
      </c>
      <c r="G188" s="100">
        <v>1.1925038042019814E-4</v>
      </c>
      <c r="H188" s="101">
        <v>1.1000000000000001E-6</v>
      </c>
      <c r="I188" s="102">
        <v>5.6184338890070615E-4</v>
      </c>
      <c r="J188" s="102">
        <v>5.6184338890070617E-5</v>
      </c>
      <c r="K188" s="102">
        <v>1.2542211449347684E-6</v>
      </c>
      <c r="L188" s="102"/>
      <c r="M188" s="102">
        <v>0</v>
      </c>
      <c r="N188" s="102">
        <v>1.1695660000000001E-6</v>
      </c>
      <c r="O188" s="102"/>
      <c r="P188" s="14"/>
      <c r="Q188" s="14"/>
      <c r="R188" s="197">
        <f>'Parameters, country spec'!Q21</f>
        <v>6.1494854155573368E-2</v>
      </c>
    </row>
    <row r="189" spans="1:18" x14ac:dyDescent="0.35">
      <c r="A189" s="22" t="s">
        <v>340</v>
      </c>
      <c r="B189" s="17" t="s">
        <v>227</v>
      </c>
      <c r="C189" s="17" t="s">
        <v>337</v>
      </c>
      <c r="D189" s="23" t="s">
        <v>104</v>
      </c>
      <c r="E189" s="23" t="s">
        <v>105</v>
      </c>
      <c r="F189" s="221">
        <f t="shared" si="45"/>
        <v>6.6289501004433845E-4</v>
      </c>
      <c r="G189" s="100">
        <v>1.0503816802565812E-4</v>
      </c>
      <c r="H189" s="101">
        <v>1.1000000000000001E-6</v>
      </c>
      <c r="I189" s="102">
        <v>5.0432765635150922E-4</v>
      </c>
      <c r="J189" s="102">
        <v>5.0432765635150922E-5</v>
      </c>
      <c r="K189" s="102">
        <v>8.2685403202016689E-7</v>
      </c>
      <c r="L189" s="102"/>
      <c r="M189" s="102">
        <v>0</v>
      </c>
      <c r="N189" s="102">
        <v>1.1695660000000001E-6</v>
      </c>
      <c r="O189" s="102"/>
      <c r="P189" s="14"/>
      <c r="Q189" s="14"/>
      <c r="R189" s="197">
        <f>'Parameters, country spec'!Q22</f>
        <v>0</v>
      </c>
    </row>
    <row r="190" spans="1:18" x14ac:dyDescent="0.35">
      <c r="A190" s="22" t="s">
        <v>341</v>
      </c>
      <c r="B190" s="17" t="s">
        <v>228</v>
      </c>
      <c r="C190" s="17" t="s">
        <v>337</v>
      </c>
      <c r="D190" s="23" t="s">
        <v>104</v>
      </c>
      <c r="E190" s="23" t="s">
        <v>105</v>
      </c>
      <c r="F190" s="221">
        <f t="shared" si="45"/>
        <v>9.1657094895803305E-4</v>
      </c>
      <c r="G190" s="100">
        <v>1.5506058283512638E-4</v>
      </c>
      <c r="H190" s="101">
        <v>1.1000000000000001E-6</v>
      </c>
      <c r="I190" s="102">
        <v>6.8950683668766316E-4</v>
      </c>
      <c r="J190" s="102">
        <v>6.8950683668766316E-5</v>
      </c>
      <c r="K190" s="102">
        <v>7.832797664771855E-7</v>
      </c>
      <c r="L190" s="102"/>
      <c r="M190" s="102">
        <v>0</v>
      </c>
      <c r="N190" s="102">
        <v>1.1695660000000001E-6</v>
      </c>
      <c r="O190" s="102"/>
      <c r="P190" s="14"/>
      <c r="Q190" s="14"/>
      <c r="R190" s="197">
        <f>'Parameters, country spec'!Q23</f>
        <v>0.46551967402871186</v>
      </c>
    </row>
    <row r="191" spans="1:18" x14ac:dyDescent="0.35">
      <c r="A191" s="22" t="s">
        <v>342</v>
      </c>
      <c r="B191" s="17" t="s">
        <v>229</v>
      </c>
      <c r="C191" s="17" t="s">
        <v>343</v>
      </c>
      <c r="D191" s="23" t="s">
        <v>104</v>
      </c>
      <c r="E191" s="23" t="s">
        <v>105</v>
      </c>
      <c r="F191" s="221">
        <f t="shared" si="45"/>
        <v>2.0683180874021213E-4</v>
      </c>
      <c r="G191" s="100">
        <v>0</v>
      </c>
      <c r="H191" s="101">
        <v>1.1000000000000001E-6</v>
      </c>
      <c r="I191" s="102">
        <v>1.8457296000000002E-4</v>
      </c>
      <c r="J191" s="102">
        <v>1.8457296000000003E-5</v>
      </c>
      <c r="K191" s="102">
        <v>1.5319867402121297E-6</v>
      </c>
      <c r="L191" s="102"/>
      <c r="M191" s="102">
        <v>0</v>
      </c>
      <c r="N191" s="102">
        <v>1.1695660000000001E-6</v>
      </c>
      <c r="O191" s="102"/>
      <c r="P191" s="14"/>
      <c r="Q191" s="14"/>
      <c r="R191" s="197">
        <f>'Parameters, country spec'!Q24</f>
        <v>1.5919708830695596E-3</v>
      </c>
    </row>
    <row r="192" spans="1:18" x14ac:dyDescent="0.35">
      <c r="A192" s="22" t="s">
        <v>344</v>
      </c>
      <c r="B192" s="17" t="s">
        <v>230</v>
      </c>
      <c r="C192" s="17" t="s">
        <v>343</v>
      </c>
      <c r="D192" s="23" t="s">
        <v>104</v>
      </c>
      <c r="E192" s="23" t="s">
        <v>105</v>
      </c>
      <c r="F192" s="221">
        <f t="shared" si="45"/>
        <v>2.3870339373407735E-4</v>
      </c>
      <c r="G192" s="100">
        <v>6.6632952642360706E-6</v>
      </c>
      <c r="H192" s="101">
        <v>1.1000000000000001E-6</v>
      </c>
      <c r="I192" s="102">
        <v>2.067986173968254E-4</v>
      </c>
      <c r="J192" s="102">
        <v>2.0679861739682541E-5</v>
      </c>
      <c r="K192" s="102">
        <v>2.2920533333333338E-6</v>
      </c>
      <c r="L192" s="102"/>
      <c r="M192" s="102">
        <v>0</v>
      </c>
      <c r="N192" s="102">
        <v>1.1695660000000001E-6</v>
      </c>
      <c r="O192" s="102"/>
      <c r="P192" s="14"/>
      <c r="Q192" s="14"/>
      <c r="R192" s="197">
        <f>'Parameters, country spec'!Q25</f>
        <v>1.5638400236253252E-3</v>
      </c>
    </row>
    <row r="193" spans="1:18" x14ac:dyDescent="0.35">
      <c r="B193" s="18" t="s">
        <v>231</v>
      </c>
      <c r="C193" s="17" t="s">
        <v>345</v>
      </c>
      <c r="D193" s="23" t="str">
        <f>'Off-farm feed'!$D$77</f>
        <v>France, Germany, Poland</v>
      </c>
      <c r="E193" s="23" t="s">
        <v>82</v>
      </c>
      <c r="F193" s="222">
        <f>'Off-farm feed'!$E$77</f>
        <v>6.732045566157569E-4</v>
      </c>
      <c r="G193" s="222">
        <f>'Off-farm feed'!$F$77</f>
        <v>1.946970439026595E-4</v>
      </c>
      <c r="H193" s="222">
        <f>'Off-farm feed'!$G$77</f>
        <v>5.3103448275862083E-7</v>
      </c>
      <c r="I193" s="222">
        <f>'Off-farm feed'!$H$77</f>
        <v>4.2751561806777074E-4</v>
      </c>
      <c r="J193" s="222">
        <f>'Off-farm feed'!$I$77</f>
        <v>4.2751561806777089E-5</v>
      </c>
      <c r="K193" s="222">
        <f>'Off-farm feed'!$J$77</f>
        <v>6.6339607025480414E-7</v>
      </c>
      <c r="L193" s="222">
        <f>'Off-farm feed'!$K$77</f>
        <v>0</v>
      </c>
      <c r="M193" s="222">
        <f>'Off-farm feed'!$L$77</f>
        <v>7.9511067188965511E-9</v>
      </c>
      <c r="N193" s="222">
        <f>'Off-farm feed'!$M$77</f>
        <v>1.2789681892721844E-6</v>
      </c>
      <c r="O193" s="222">
        <f>'Off-farm feed'!$N$77</f>
        <v>0</v>
      </c>
      <c r="P193" s="222">
        <f>'Off-farm feed'!$O$77</f>
        <v>3.9312802868423834E-6</v>
      </c>
      <c r="Q193" s="222">
        <f>'Off-farm feed'!$P$77</f>
        <v>1.8277027027027027E-6</v>
      </c>
      <c r="R193" s="197">
        <f>'Parameters, country spec'!Q26</f>
        <v>0.11099895329121745</v>
      </c>
    </row>
    <row r="194" spans="1:18" x14ac:dyDescent="0.35">
      <c r="B194" s="18" t="s">
        <v>346</v>
      </c>
      <c r="C194" s="17" t="s">
        <v>345</v>
      </c>
      <c r="D194" s="23" t="str">
        <f>'Off-farm feed'!$D$26</f>
        <v>Brazil, Argentina</v>
      </c>
      <c r="E194" s="23" t="s">
        <v>82</v>
      </c>
      <c r="F194" s="222">
        <f>'Off-farm feed'!$E$26</f>
        <v>1.8866346644602505E-4</v>
      </c>
      <c r="G194" s="222">
        <f>'Off-farm feed'!$F$26</f>
        <v>1.6332109719061441E-5</v>
      </c>
      <c r="H194" s="222">
        <f>'Off-farm feed'!$G$26</f>
        <v>8.7195121951219526E-7</v>
      </c>
      <c r="I194" s="222">
        <f>'Off-farm feed'!$H$26</f>
        <v>1.3333449845358202E-4</v>
      </c>
      <c r="J194" s="222">
        <f>'Off-farm feed'!$I$26</f>
        <v>1.3333449845358203E-5</v>
      </c>
      <c r="K194" s="222">
        <f>'Off-farm feed'!$J$26</f>
        <v>1.1576736579983931E-6</v>
      </c>
      <c r="L194" s="222">
        <f>'Off-farm feed'!$K$26</f>
        <v>0</v>
      </c>
      <c r="M194" s="222">
        <f>'Off-farm feed'!$L$26</f>
        <v>7.3437786087804866E-9</v>
      </c>
      <c r="N194" s="222">
        <f>'Off-farm feed'!$M$26</f>
        <v>1.1195281639512197E-6</v>
      </c>
      <c r="O194" s="222">
        <f>'Off-farm feed'!$N$26</f>
        <v>0</v>
      </c>
      <c r="P194" s="222">
        <f>'Off-farm feed'!$O$26</f>
        <v>1.3419073770114991E-5</v>
      </c>
      <c r="Q194" s="222">
        <f>'Off-farm feed'!$P$26</f>
        <v>9.087837837837838E-6</v>
      </c>
      <c r="R194" s="197">
        <f>'Parameters, country spec'!Q27</f>
        <v>7.913829557911492E-2</v>
      </c>
    </row>
    <row r="195" spans="1:18" x14ac:dyDescent="0.35">
      <c r="B195" s="17" t="s">
        <v>233</v>
      </c>
      <c r="C195" s="17" t="s">
        <v>347</v>
      </c>
      <c r="D195" s="23" t="s">
        <v>104</v>
      </c>
      <c r="E195" s="23" t="s">
        <v>105</v>
      </c>
      <c r="F195" s="222"/>
      <c r="G195" s="14"/>
      <c r="H195" s="14"/>
      <c r="I195" s="14"/>
      <c r="J195" s="14"/>
      <c r="K195" s="14"/>
      <c r="L195" s="14"/>
      <c r="M195" s="14"/>
      <c r="N195" s="14"/>
      <c r="O195" s="14"/>
      <c r="P195" s="8"/>
      <c r="Q195" s="14"/>
      <c r="R195" s="197">
        <f>'Parameters, country spec'!Q28</f>
        <v>0.18367698350882727</v>
      </c>
    </row>
    <row r="196" spans="1:18" x14ac:dyDescent="0.35">
      <c r="A196" s="83"/>
      <c r="B196" s="17" t="s">
        <v>348</v>
      </c>
      <c r="C196" s="84" t="s">
        <v>349</v>
      </c>
      <c r="D196" s="23" t="s">
        <v>104</v>
      </c>
      <c r="E196" s="23" t="s">
        <v>105</v>
      </c>
      <c r="F196" s="222">
        <f t="shared" si="45"/>
        <v>5.7856143731057198E-4</v>
      </c>
      <c r="G196" s="82">
        <f t="shared" ref="G196:N196" si="46">AVERAGE(G186:G194)</f>
        <v>9.600556562014004E-5</v>
      </c>
      <c r="H196" s="82">
        <f t="shared" si="46"/>
        <v>1.0114428558078684E-6</v>
      </c>
      <c r="I196" s="82">
        <f t="shared" si="46"/>
        <v>4.356508581563975E-4</v>
      </c>
      <c r="J196" s="82">
        <f t="shared" si="46"/>
        <v>4.3565085815639758E-5</v>
      </c>
      <c r="K196" s="82">
        <f t="shared" si="46"/>
        <v>1.1506233916367569E-6</v>
      </c>
      <c r="L196" s="82">
        <f t="shared" si="46"/>
        <v>0</v>
      </c>
      <c r="M196" s="82">
        <f t="shared" si="46"/>
        <v>1.6994317030752262E-9</v>
      </c>
      <c r="N196" s="82">
        <f t="shared" si="46"/>
        <v>1.1761620392470449E-6</v>
      </c>
      <c r="O196" s="82"/>
      <c r="P196" s="81"/>
      <c r="Q196" s="82"/>
      <c r="R196" s="197">
        <f>'Parameters, country spec'!Q29</f>
        <v>8.1204887737252207E-2</v>
      </c>
    </row>
    <row r="197" spans="1:18" x14ac:dyDescent="0.35">
      <c r="A197" s="195"/>
      <c r="B197" s="25" t="s">
        <v>350</v>
      </c>
      <c r="C197" s="26"/>
      <c r="D197" s="103"/>
      <c r="E197" s="103"/>
      <c r="F197" s="46">
        <f>SUMPRODUCT(F186:F196,$R$186:$R$196)</f>
        <v>6.2167135578996863E-4</v>
      </c>
      <c r="G197" s="46">
        <f t="shared" ref="G197:O197" si="47">SUMPRODUCT(G186:G196,$R$186:$R$196)</f>
        <v>1.1221457429066237E-4</v>
      </c>
      <c r="H197" s="46">
        <f t="shared" si="47"/>
        <v>8.0956207651854649E-7</v>
      </c>
      <c r="I197" s="46">
        <f t="shared" si="47"/>
        <v>4.5867329450244933E-4</v>
      </c>
      <c r="J197" s="46">
        <f t="shared" si="47"/>
        <v>4.5867329450244937E-5</v>
      </c>
      <c r="K197" s="46">
        <f t="shared" si="47"/>
        <v>7.211311268529498E-7</v>
      </c>
      <c r="L197" s="46">
        <f t="shared" si="47"/>
        <v>0</v>
      </c>
      <c r="M197" s="46">
        <f t="shared" si="47"/>
        <v>1.6017408061788861E-9</v>
      </c>
      <c r="N197" s="46">
        <f t="shared" si="47"/>
        <v>9.6346289516969431E-7</v>
      </c>
      <c r="O197" s="46">
        <f t="shared" si="47"/>
        <v>0</v>
      </c>
      <c r="P197" s="30">
        <f>SUMPRODUCT(P186:P196,R186:R196)</f>
        <v>1.4983306233512099E-6</v>
      </c>
      <c r="Q197" s="46">
        <f>SUMPRODUCT(Q186:Q196,$R$186:$R$196)</f>
        <v>9.2206908391340466E-7</v>
      </c>
      <c r="R197" s="198"/>
    </row>
    <row r="198" spans="1:18" x14ac:dyDescent="0.35">
      <c r="A198" s="22" t="s">
        <v>336</v>
      </c>
      <c r="B198" s="17" t="s">
        <v>218</v>
      </c>
      <c r="C198" s="17" t="s">
        <v>337</v>
      </c>
      <c r="D198" s="23" t="s">
        <v>106</v>
      </c>
      <c r="E198" s="23" t="s">
        <v>107</v>
      </c>
      <c r="F198" s="223">
        <f>SUM(G198:Q198)</f>
        <v>8.3700497241450582E-4</v>
      </c>
      <c r="G198" s="201">
        <v>1.3527187113652022E-4</v>
      </c>
      <c r="H198" s="202">
        <v>1.1000000000000001E-6</v>
      </c>
      <c r="I198" s="205">
        <v>6.348790825230616E-4</v>
      </c>
      <c r="J198" s="205">
        <v>6.3487908252306166E-5</v>
      </c>
      <c r="K198" s="205">
        <v>1.0965445026178011E-6</v>
      </c>
      <c r="L198" s="205"/>
      <c r="M198" s="205">
        <v>0</v>
      </c>
      <c r="N198" s="205">
        <v>1.1695660000000001E-6</v>
      </c>
      <c r="O198" s="205"/>
      <c r="P198" s="14"/>
      <c r="Q198" s="204"/>
      <c r="R198" s="208">
        <f>'Parameters, country spec'!R19</f>
        <v>4.5682814724964139E-2</v>
      </c>
    </row>
    <row r="199" spans="1:18" x14ac:dyDescent="0.35">
      <c r="A199" s="22" t="s">
        <v>338</v>
      </c>
      <c r="B199" s="17" t="s">
        <v>222</v>
      </c>
      <c r="C199" s="17" t="s">
        <v>337</v>
      </c>
      <c r="D199" s="23" t="s">
        <v>106</v>
      </c>
      <c r="E199" s="23" t="s">
        <v>107</v>
      </c>
      <c r="F199" s="221">
        <f t="shared" ref="F199:F208" si="48">SUM(G199:Q199)</f>
        <v>7.7064277808378814E-4</v>
      </c>
      <c r="G199" s="100">
        <v>1.3173663927780048E-4</v>
      </c>
      <c r="H199" s="101">
        <v>1.1000000000000001E-6</v>
      </c>
      <c r="I199" s="102">
        <v>5.7807906502645948E-4</v>
      </c>
      <c r="J199" s="102">
        <v>5.7807906502645948E-5</v>
      </c>
      <c r="K199" s="102">
        <v>7.4960127688222882E-7</v>
      </c>
      <c r="L199" s="102"/>
      <c r="M199" s="102">
        <v>0</v>
      </c>
      <c r="N199" s="102">
        <v>1.1695660000000001E-6</v>
      </c>
      <c r="O199" s="102"/>
      <c r="P199" s="14"/>
      <c r="Q199" s="14"/>
      <c r="R199" s="197">
        <f>'Parameters, country spec'!R20</f>
        <v>5.9441183997229891E-2</v>
      </c>
    </row>
    <row r="200" spans="1:18" x14ac:dyDescent="0.35">
      <c r="A200" s="22" t="s">
        <v>339</v>
      </c>
      <c r="B200" s="17" t="s">
        <v>226</v>
      </c>
      <c r="C200" s="17" t="s">
        <v>337</v>
      </c>
      <c r="D200" s="23" t="s">
        <v>106</v>
      </c>
      <c r="E200" s="23" t="s">
        <v>107</v>
      </c>
      <c r="F200" s="221">
        <f t="shared" si="48"/>
        <v>7.4080189535590966E-4</v>
      </c>
      <c r="G200" s="100">
        <v>1.1925038042019814E-4</v>
      </c>
      <c r="H200" s="101">
        <v>1.1000000000000001E-6</v>
      </c>
      <c r="I200" s="102">
        <v>5.6184338890070615E-4</v>
      </c>
      <c r="J200" s="102">
        <v>5.6184338890070617E-5</v>
      </c>
      <c r="K200" s="102">
        <v>1.2542211449347684E-6</v>
      </c>
      <c r="L200" s="102"/>
      <c r="M200" s="102">
        <v>0</v>
      </c>
      <c r="N200" s="102">
        <v>1.1695660000000001E-6</v>
      </c>
      <c r="O200" s="102"/>
      <c r="P200" s="14"/>
      <c r="Q200" s="14"/>
      <c r="R200" s="197">
        <f>'Parameters, country spec'!R21</f>
        <v>4.5477381822612843E-2</v>
      </c>
    </row>
    <row r="201" spans="1:18" x14ac:dyDescent="0.35">
      <c r="A201" s="22" t="s">
        <v>340</v>
      </c>
      <c r="B201" s="17" t="s">
        <v>227</v>
      </c>
      <c r="C201" s="17" t="s">
        <v>337</v>
      </c>
      <c r="D201" s="23" t="s">
        <v>106</v>
      </c>
      <c r="E201" s="23" t="s">
        <v>107</v>
      </c>
      <c r="F201" s="221">
        <f t="shared" si="48"/>
        <v>6.6289501004433845E-4</v>
      </c>
      <c r="G201" s="100">
        <v>1.0503816802565812E-4</v>
      </c>
      <c r="H201" s="101">
        <v>1.1000000000000001E-6</v>
      </c>
      <c r="I201" s="102">
        <v>5.0432765635150922E-4</v>
      </c>
      <c r="J201" s="102">
        <v>5.0432765635150922E-5</v>
      </c>
      <c r="K201" s="102">
        <v>8.2685403202016689E-7</v>
      </c>
      <c r="L201" s="102"/>
      <c r="M201" s="102">
        <v>0</v>
      </c>
      <c r="N201" s="102">
        <v>1.1695660000000001E-6</v>
      </c>
      <c r="O201" s="102"/>
      <c r="P201" s="14"/>
      <c r="Q201" s="14"/>
      <c r="R201" s="197">
        <f>'Parameters, country spec'!R22</f>
        <v>0</v>
      </c>
    </row>
    <row r="202" spans="1:18" x14ac:dyDescent="0.35">
      <c r="A202" s="22" t="s">
        <v>341</v>
      </c>
      <c r="B202" s="17" t="s">
        <v>228</v>
      </c>
      <c r="C202" s="17" t="s">
        <v>337</v>
      </c>
      <c r="D202" s="23" t="s">
        <v>106</v>
      </c>
      <c r="E202" s="23" t="s">
        <v>107</v>
      </c>
      <c r="F202" s="221">
        <f t="shared" si="48"/>
        <v>9.1657094895803305E-4</v>
      </c>
      <c r="G202" s="100">
        <v>1.5506058283512638E-4</v>
      </c>
      <c r="H202" s="101">
        <v>1.1000000000000001E-6</v>
      </c>
      <c r="I202" s="102">
        <v>6.8950683668766316E-4</v>
      </c>
      <c r="J202" s="102">
        <v>6.8950683668766316E-5</v>
      </c>
      <c r="K202" s="102">
        <v>7.832797664771855E-7</v>
      </c>
      <c r="L202" s="102"/>
      <c r="M202" s="102">
        <v>0</v>
      </c>
      <c r="N202" s="102">
        <v>1.1695660000000001E-6</v>
      </c>
      <c r="O202" s="102"/>
      <c r="P202" s="14"/>
      <c r="Q202" s="14"/>
      <c r="R202" s="197">
        <f>'Parameters, country spec'!R23</f>
        <v>0.43548695456925512</v>
      </c>
    </row>
    <row r="203" spans="1:18" x14ac:dyDescent="0.35">
      <c r="A203" s="22" t="s">
        <v>342</v>
      </c>
      <c r="B203" s="17" t="s">
        <v>229</v>
      </c>
      <c r="C203" s="17" t="s">
        <v>343</v>
      </c>
      <c r="D203" s="23" t="s">
        <v>106</v>
      </c>
      <c r="E203" s="23" t="s">
        <v>107</v>
      </c>
      <c r="F203" s="221">
        <f t="shared" si="48"/>
        <v>2.0683180874021213E-4</v>
      </c>
      <c r="G203" s="100">
        <v>0</v>
      </c>
      <c r="H203" s="101">
        <v>1.1000000000000001E-6</v>
      </c>
      <c r="I203" s="102">
        <v>1.8457296000000002E-4</v>
      </c>
      <c r="J203" s="102">
        <v>1.8457296000000003E-5</v>
      </c>
      <c r="K203" s="102">
        <v>1.5319867402121297E-6</v>
      </c>
      <c r="L203" s="102"/>
      <c r="M203" s="102">
        <v>0</v>
      </c>
      <c r="N203" s="102">
        <v>1.1695660000000001E-6</v>
      </c>
      <c r="O203" s="102"/>
      <c r="P203" s="14"/>
      <c r="Q203" s="14"/>
      <c r="R203" s="197">
        <f>'Parameters, country spec'!R24</f>
        <v>1.8993498179632567E-2</v>
      </c>
    </row>
    <row r="204" spans="1:18" x14ac:dyDescent="0.35">
      <c r="A204" s="22" t="s">
        <v>344</v>
      </c>
      <c r="B204" s="17" t="s">
        <v>230</v>
      </c>
      <c r="C204" s="17" t="s">
        <v>343</v>
      </c>
      <c r="D204" s="23" t="s">
        <v>106</v>
      </c>
      <c r="E204" s="23" t="s">
        <v>107</v>
      </c>
      <c r="F204" s="221">
        <f t="shared" si="48"/>
        <v>2.3870339373407735E-4</v>
      </c>
      <c r="G204" s="100">
        <v>6.6632952642360706E-6</v>
      </c>
      <c r="H204" s="101">
        <v>1.1000000000000001E-6</v>
      </c>
      <c r="I204" s="102">
        <v>2.067986173968254E-4</v>
      </c>
      <c r="J204" s="102">
        <v>2.0679861739682541E-5</v>
      </c>
      <c r="K204" s="102">
        <v>2.2920533333333338E-6</v>
      </c>
      <c r="L204" s="102"/>
      <c r="M204" s="102">
        <v>0</v>
      </c>
      <c r="N204" s="102">
        <v>1.1695660000000001E-6</v>
      </c>
      <c r="O204" s="102"/>
      <c r="P204" s="14"/>
      <c r="Q204" s="14"/>
      <c r="R204" s="197">
        <f>'Parameters, country spec'!R25</f>
        <v>1.8657874314571762E-2</v>
      </c>
    </row>
    <row r="205" spans="1:18" x14ac:dyDescent="0.35">
      <c r="B205" s="18" t="s">
        <v>231</v>
      </c>
      <c r="C205" s="17" t="s">
        <v>345</v>
      </c>
      <c r="D205" s="23" t="str">
        <f>'Off-farm feed'!$D$77</f>
        <v>France, Germany, Poland</v>
      </c>
      <c r="E205" s="23" t="s">
        <v>82</v>
      </c>
      <c r="F205" s="222">
        <f>'Off-farm feed'!$E$77</f>
        <v>6.732045566157569E-4</v>
      </c>
      <c r="G205" s="222">
        <f>'Off-farm feed'!$F$77</f>
        <v>1.946970439026595E-4</v>
      </c>
      <c r="H205" s="222">
        <f>'Off-farm feed'!$G$77</f>
        <v>5.3103448275862083E-7</v>
      </c>
      <c r="I205" s="222">
        <f>'Off-farm feed'!$H$77</f>
        <v>4.2751561806777074E-4</v>
      </c>
      <c r="J205" s="222">
        <f>'Off-farm feed'!$I$77</f>
        <v>4.2751561806777089E-5</v>
      </c>
      <c r="K205" s="222">
        <f>'Off-farm feed'!$J$77</f>
        <v>6.6339607025480414E-7</v>
      </c>
      <c r="L205" s="222">
        <f>'Off-farm feed'!$K$77</f>
        <v>0</v>
      </c>
      <c r="M205" s="222">
        <f>'Off-farm feed'!$L$77</f>
        <v>7.9511067188965511E-9</v>
      </c>
      <c r="N205" s="222">
        <f>'Off-farm feed'!$M$77</f>
        <v>1.2789681892721844E-6</v>
      </c>
      <c r="O205" s="222">
        <f>'Off-farm feed'!$N$77</f>
        <v>0</v>
      </c>
      <c r="P205" s="222">
        <f>'Off-farm feed'!$O$77</f>
        <v>3.9312802868423834E-6</v>
      </c>
      <c r="Q205" s="222">
        <f>'Off-farm feed'!$P$77</f>
        <v>1.8277027027027027E-6</v>
      </c>
      <c r="R205" s="197">
        <f>'Parameters, country spec'!R26</f>
        <v>3.7283067343651423E-2</v>
      </c>
    </row>
    <row r="206" spans="1:18" x14ac:dyDescent="0.35">
      <c r="B206" s="18" t="s">
        <v>346</v>
      </c>
      <c r="C206" s="17" t="s">
        <v>345</v>
      </c>
      <c r="D206" s="23" t="str">
        <f>'Off-farm feed'!$D$26</f>
        <v>Brazil, Argentina</v>
      </c>
      <c r="E206" s="23" t="s">
        <v>82</v>
      </c>
      <c r="F206" s="222">
        <f>'Off-farm feed'!$E$26</f>
        <v>1.8866346644602505E-4</v>
      </c>
      <c r="G206" s="222">
        <f>'Off-farm feed'!$F$26</f>
        <v>1.6332109719061441E-5</v>
      </c>
      <c r="H206" s="222">
        <f>'Off-farm feed'!$G$26</f>
        <v>8.7195121951219526E-7</v>
      </c>
      <c r="I206" s="222">
        <f>'Off-farm feed'!$H$26</f>
        <v>1.3333449845358202E-4</v>
      </c>
      <c r="J206" s="222">
        <f>'Off-farm feed'!$I$26</f>
        <v>1.3333449845358203E-5</v>
      </c>
      <c r="K206" s="222">
        <f>'Off-farm feed'!$J$26</f>
        <v>1.1576736579983931E-6</v>
      </c>
      <c r="L206" s="222">
        <f>'Off-farm feed'!$K$26</f>
        <v>0</v>
      </c>
      <c r="M206" s="222">
        <f>'Off-farm feed'!$L$26</f>
        <v>7.3437786087804866E-9</v>
      </c>
      <c r="N206" s="222">
        <f>'Off-farm feed'!$M$26</f>
        <v>1.1195281639512197E-6</v>
      </c>
      <c r="O206" s="222">
        <f>'Off-farm feed'!$N$26</f>
        <v>0</v>
      </c>
      <c r="P206" s="222">
        <f>'Off-farm feed'!$O$26</f>
        <v>1.3419073770114991E-5</v>
      </c>
      <c r="Q206" s="222">
        <f>'Off-farm feed'!$P$26</f>
        <v>9.087837837837838E-6</v>
      </c>
      <c r="R206" s="197">
        <f>'Parameters, country spec'!R27</f>
        <v>0.14137030319659935</v>
      </c>
    </row>
    <row r="207" spans="1:18" x14ac:dyDescent="0.35">
      <c r="B207" s="17" t="s">
        <v>233</v>
      </c>
      <c r="C207" s="17" t="s">
        <v>347</v>
      </c>
      <c r="D207" s="23" t="s">
        <v>106</v>
      </c>
      <c r="E207" s="23" t="s">
        <v>107</v>
      </c>
      <c r="F207" s="222"/>
      <c r="G207" s="14"/>
      <c r="H207" s="14"/>
      <c r="I207" s="14"/>
      <c r="J207" s="14"/>
      <c r="K207" s="14"/>
      <c r="L207" s="14"/>
      <c r="M207" s="14"/>
      <c r="N207" s="14"/>
      <c r="O207" s="14"/>
      <c r="P207" s="8"/>
      <c r="Q207" s="14"/>
      <c r="R207" s="197">
        <f>'Parameters, country spec'!R28</f>
        <v>0.11217476738724967</v>
      </c>
    </row>
    <row r="208" spans="1:18" x14ac:dyDescent="0.35">
      <c r="A208" s="83"/>
      <c r="B208" s="17" t="s">
        <v>348</v>
      </c>
      <c r="C208" s="84" t="s">
        <v>349</v>
      </c>
      <c r="D208" s="23" t="s">
        <v>106</v>
      </c>
      <c r="E208" s="23" t="s">
        <v>107</v>
      </c>
      <c r="F208" s="222">
        <f t="shared" si="48"/>
        <v>5.7856143731057198E-4</v>
      </c>
      <c r="G208" s="82">
        <f t="shared" ref="G208:N208" si="49">AVERAGE(G198:G206)</f>
        <v>9.600556562014004E-5</v>
      </c>
      <c r="H208" s="82">
        <f t="shared" si="49"/>
        <v>1.0114428558078684E-6</v>
      </c>
      <c r="I208" s="82">
        <f t="shared" si="49"/>
        <v>4.356508581563975E-4</v>
      </c>
      <c r="J208" s="82">
        <f t="shared" si="49"/>
        <v>4.3565085815639758E-5</v>
      </c>
      <c r="K208" s="82">
        <f t="shared" si="49"/>
        <v>1.1506233916367569E-6</v>
      </c>
      <c r="L208" s="82">
        <f t="shared" si="49"/>
        <v>0</v>
      </c>
      <c r="M208" s="82">
        <f t="shared" si="49"/>
        <v>1.6994317030752262E-9</v>
      </c>
      <c r="N208" s="82">
        <f t="shared" si="49"/>
        <v>1.1761620392470449E-6</v>
      </c>
      <c r="O208" s="82"/>
      <c r="P208" s="81"/>
      <c r="Q208" s="82"/>
      <c r="R208" s="197">
        <f>'Parameters, country spec'!R29</f>
        <v>8.5432154464233287E-2</v>
      </c>
    </row>
    <row r="209" spans="1:18" x14ac:dyDescent="0.35">
      <c r="A209" s="195"/>
      <c r="B209" s="25" t="s">
        <v>350</v>
      </c>
      <c r="C209" s="26"/>
      <c r="D209" s="103"/>
      <c r="E209" s="103"/>
      <c r="F209" s="46">
        <f>SUMPRODUCT(F198:F208,$R$198:$R$208)</f>
        <v>6.264695339601717E-4</v>
      </c>
      <c r="G209" s="46">
        <f t="shared" ref="G209:O209" si="50">SUMPRODUCT(G198:G208,$R$198:$R$208)</f>
        <v>1.0485430125588484E-4</v>
      </c>
      <c r="H209" s="46">
        <f t="shared" si="50"/>
        <v>9.1559002331579039E-7</v>
      </c>
      <c r="I209" s="46">
        <f t="shared" si="50"/>
        <v>4.6855849860409258E-4</v>
      </c>
      <c r="J209" s="46">
        <f t="shared" si="50"/>
        <v>4.6855849860409258E-5</v>
      </c>
      <c r="K209" s="46">
        <f t="shared" si="50"/>
        <v>8.5135422284985492E-7</v>
      </c>
      <c r="L209" s="46">
        <f t="shared" si="50"/>
        <v>0</v>
      </c>
      <c r="M209" s="46">
        <f t="shared" si="50"/>
        <v>1.4798199675477154E-9</v>
      </c>
      <c r="N209" s="46">
        <f t="shared" si="50"/>
        <v>1.0359387049864297E-6</v>
      </c>
      <c r="O209" s="46">
        <f t="shared" si="50"/>
        <v>0</v>
      </c>
      <c r="P209" s="30">
        <f>SUMPRODUCT(P198:P208,R198:R208)</f>
        <v>2.0436287151798038E-6</v>
      </c>
      <c r="Q209" s="46">
        <f>SUMPRODUCT(Q198:Q208,$R$198:$R$208)</f>
        <v>1.3528927534857017E-6</v>
      </c>
      <c r="R209" s="198"/>
    </row>
    <row r="210" spans="1:18" x14ac:dyDescent="0.35">
      <c r="A210" s="22" t="s">
        <v>336</v>
      </c>
      <c r="B210" s="17" t="s">
        <v>218</v>
      </c>
      <c r="C210" s="17" t="s">
        <v>337</v>
      </c>
      <c r="D210" s="23" t="s">
        <v>108</v>
      </c>
      <c r="E210" s="23" t="s">
        <v>109</v>
      </c>
      <c r="F210" s="223">
        <f>SUM(G210:Q210)</f>
        <v>8.3700497241450582E-4</v>
      </c>
      <c r="G210" s="201">
        <v>1.3527187113652022E-4</v>
      </c>
      <c r="H210" s="202">
        <v>1.1000000000000001E-6</v>
      </c>
      <c r="I210" s="205">
        <v>6.348790825230616E-4</v>
      </c>
      <c r="J210" s="205">
        <v>6.3487908252306166E-5</v>
      </c>
      <c r="K210" s="205">
        <v>1.0965445026178011E-6</v>
      </c>
      <c r="L210" s="205"/>
      <c r="M210" s="205">
        <v>0</v>
      </c>
      <c r="N210" s="205">
        <v>1.1695660000000001E-6</v>
      </c>
      <c r="O210" s="205"/>
      <c r="P210" s="14"/>
      <c r="Q210" s="204"/>
      <c r="R210" s="208">
        <f>'Parameters, country spec'!S19</f>
        <v>0.16759238515757716</v>
      </c>
    </row>
    <row r="211" spans="1:18" x14ac:dyDescent="0.35">
      <c r="A211" s="22" t="s">
        <v>338</v>
      </c>
      <c r="B211" s="17" t="s">
        <v>222</v>
      </c>
      <c r="C211" s="17" t="s">
        <v>337</v>
      </c>
      <c r="D211" s="23" t="s">
        <v>108</v>
      </c>
      <c r="E211" s="23" t="s">
        <v>109</v>
      </c>
      <c r="F211" s="221">
        <f t="shared" ref="F211:F220" si="51">SUM(G211:Q211)</f>
        <v>7.7064277808378814E-4</v>
      </c>
      <c r="G211" s="100">
        <v>1.3173663927780048E-4</v>
      </c>
      <c r="H211" s="101">
        <v>1.1000000000000001E-6</v>
      </c>
      <c r="I211" s="102">
        <v>5.7807906502645948E-4</v>
      </c>
      <c r="J211" s="102">
        <v>5.7807906502645948E-5</v>
      </c>
      <c r="K211" s="102">
        <v>7.4960127688222882E-7</v>
      </c>
      <c r="L211" s="102"/>
      <c r="M211" s="102">
        <v>0</v>
      </c>
      <c r="N211" s="102">
        <v>1.1695660000000001E-6</v>
      </c>
      <c r="O211" s="102"/>
      <c r="P211" s="14"/>
      <c r="Q211" s="14"/>
      <c r="R211" s="197">
        <f>'Parameters, country spec'!S20</f>
        <v>0.30877372872298287</v>
      </c>
    </row>
    <row r="212" spans="1:18" x14ac:dyDescent="0.35">
      <c r="A212" s="22" t="s">
        <v>339</v>
      </c>
      <c r="B212" s="17" t="s">
        <v>226</v>
      </c>
      <c r="C212" s="17" t="s">
        <v>337</v>
      </c>
      <c r="D212" s="23" t="s">
        <v>108</v>
      </c>
      <c r="E212" s="23" t="s">
        <v>109</v>
      </c>
      <c r="F212" s="221">
        <f t="shared" si="51"/>
        <v>7.4080189535590966E-4</v>
      </c>
      <c r="G212" s="100">
        <v>1.1925038042019814E-4</v>
      </c>
      <c r="H212" s="101">
        <v>1.1000000000000001E-6</v>
      </c>
      <c r="I212" s="102">
        <v>5.6184338890070615E-4</v>
      </c>
      <c r="J212" s="102">
        <v>5.6184338890070617E-5</v>
      </c>
      <c r="K212" s="102">
        <v>1.2542211449347684E-6</v>
      </c>
      <c r="L212" s="102"/>
      <c r="M212" s="102">
        <v>0</v>
      </c>
      <c r="N212" s="102">
        <v>1.1695660000000001E-6</v>
      </c>
      <c r="O212" s="102"/>
      <c r="P212" s="14"/>
      <c r="Q212" s="14"/>
      <c r="R212" s="197">
        <f>'Parameters, country spec'!S21</f>
        <v>6.9416678407666198E-3</v>
      </c>
    </row>
    <row r="213" spans="1:18" x14ac:dyDescent="0.35">
      <c r="A213" s="22" t="s">
        <v>340</v>
      </c>
      <c r="B213" s="17" t="s">
        <v>227</v>
      </c>
      <c r="C213" s="17" t="s">
        <v>337</v>
      </c>
      <c r="D213" s="23" t="s">
        <v>108</v>
      </c>
      <c r="E213" s="23" t="s">
        <v>109</v>
      </c>
      <c r="F213" s="221">
        <f t="shared" si="51"/>
        <v>6.6289501004433845E-4</v>
      </c>
      <c r="G213" s="100">
        <v>1.0503816802565812E-4</v>
      </c>
      <c r="H213" s="101">
        <v>1.1000000000000001E-6</v>
      </c>
      <c r="I213" s="102">
        <v>5.0432765635150922E-4</v>
      </c>
      <c r="J213" s="102">
        <v>5.0432765635150922E-5</v>
      </c>
      <c r="K213" s="102">
        <v>8.2685403202016689E-7</v>
      </c>
      <c r="L213" s="102"/>
      <c r="M213" s="102">
        <v>0</v>
      </c>
      <c r="N213" s="102">
        <v>1.1695660000000001E-6</v>
      </c>
      <c r="O213" s="102"/>
      <c r="P213" s="14"/>
      <c r="Q213" s="14"/>
      <c r="R213" s="197">
        <f>'Parameters, country spec'!S22</f>
        <v>0</v>
      </c>
    </row>
    <row r="214" spans="1:18" x14ac:dyDescent="0.35">
      <c r="A214" s="22" t="s">
        <v>341</v>
      </c>
      <c r="B214" s="17" t="s">
        <v>228</v>
      </c>
      <c r="C214" s="17" t="s">
        <v>337</v>
      </c>
      <c r="D214" s="23" t="s">
        <v>108</v>
      </c>
      <c r="E214" s="23" t="s">
        <v>109</v>
      </c>
      <c r="F214" s="221">
        <f t="shared" si="51"/>
        <v>9.1657094895803305E-4</v>
      </c>
      <c r="G214" s="100">
        <v>1.5506058283512638E-4</v>
      </c>
      <c r="H214" s="101">
        <v>1.1000000000000001E-6</v>
      </c>
      <c r="I214" s="102">
        <v>6.8950683668766316E-4</v>
      </c>
      <c r="J214" s="102">
        <v>6.8950683668766316E-5</v>
      </c>
      <c r="K214" s="102">
        <v>7.832797664771855E-7</v>
      </c>
      <c r="L214" s="102"/>
      <c r="M214" s="102">
        <v>0</v>
      </c>
      <c r="N214" s="102">
        <v>1.1695660000000001E-6</v>
      </c>
      <c r="O214" s="102"/>
      <c r="P214" s="14"/>
      <c r="Q214" s="14"/>
      <c r="R214" s="197">
        <f>'Parameters, country spec'!S23</f>
        <v>0.21985896785484657</v>
      </c>
    </row>
    <row r="215" spans="1:18" x14ac:dyDescent="0.35">
      <c r="A215" s="22" t="s">
        <v>342</v>
      </c>
      <c r="B215" s="17" t="s">
        <v>229</v>
      </c>
      <c r="C215" s="17" t="s">
        <v>343</v>
      </c>
      <c r="D215" s="23" t="s">
        <v>108</v>
      </c>
      <c r="E215" s="23" t="s">
        <v>109</v>
      </c>
      <c r="F215" s="221">
        <f t="shared" si="51"/>
        <v>2.0683180874021213E-4</v>
      </c>
      <c r="G215" s="100">
        <v>0</v>
      </c>
      <c r="H215" s="101">
        <v>1.1000000000000001E-6</v>
      </c>
      <c r="I215" s="102">
        <v>1.8457296000000002E-4</v>
      </c>
      <c r="J215" s="102">
        <v>1.8457296000000003E-5</v>
      </c>
      <c r="K215" s="102">
        <v>1.5319867402121297E-6</v>
      </c>
      <c r="L215" s="102"/>
      <c r="M215" s="102">
        <v>0</v>
      </c>
      <c r="N215" s="102">
        <v>1.1695660000000001E-6</v>
      </c>
      <c r="O215" s="102"/>
      <c r="P215" s="14"/>
      <c r="Q215" s="14"/>
      <c r="R215" s="197">
        <f>'Parameters, country spec'!S24</f>
        <v>0</v>
      </c>
    </row>
    <row r="216" spans="1:18" x14ac:dyDescent="0.35">
      <c r="A216" s="22" t="s">
        <v>344</v>
      </c>
      <c r="B216" s="17" t="s">
        <v>230</v>
      </c>
      <c r="C216" s="17" t="s">
        <v>343</v>
      </c>
      <c r="D216" s="23" t="s">
        <v>108</v>
      </c>
      <c r="E216" s="23" t="s">
        <v>109</v>
      </c>
      <c r="F216" s="221">
        <f t="shared" si="51"/>
        <v>2.3870339373407735E-4</v>
      </c>
      <c r="G216" s="100">
        <v>6.6632952642360706E-6</v>
      </c>
      <c r="H216" s="101">
        <v>1.1000000000000001E-6</v>
      </c>
      <c r="I216" s="102">
        <v>2.067986173968254E-4</v>
      </c>
      <c r="J216" s="102">
        <v>2.0679861739682541E-5</v>
      </c>
      <c r="K216" s="102">
        <v>2.2920533333333338E-6</v>
      </c>
      <c r="L216" s="102"/>
      <c r="M216" s="102">
        <v>0</v>
      </c>
      <c r="N216" s="102">
        <v>1.1695660000000001E-6</v>
      </c>
      <c r="O216" s="102"/>
      <c r="P216" s="14"/>
      <c r="Q216" s="14"/>
      <c r="R216" s="197">
        <f>'Parameters, country spec'!S25</f>
        <v>0</v>
      </c>
    </row>
    <row r="217" spans="1:18" x14ac:dyDescent="0.35">
      <c r="B217" s="18" t="s">
        <v>231</v>
      </c>
      <c r="C217" s="17" t="s">
        <v>345</v>
      </c>
      <c r="D217" s="23" t="str">
        <f>'Off-farm feed'!$D$77</f>
        <v>France, Germany, Poland</v>
      </c>
      <c r="E217" s="23" t="s">
        <v>82</v>
      </c>
      <c r="F217" s="222">
        <f>'Off-farm feed'!$E$77</f>
        <v>6.732045566157569E-4</v>
      </c>
      <c r="G217" s="222">
        <f>'Off-farm feed'!$F$77</f>
        <v>1.946970439026595E-4</v>
      </c>
      <c r="H217" s="222">
        <f>'Off-farm feed'!$G$77</f>
        <v>5.3103448275862083E-7</v>
      </c>
      <c r="I217" s="222">
        <f>'Off-farm feed'!$H$77</f>
        <v>4.2751561806777074E-4</v>
      </c>
      <c r="J217" s="222">
        <f>'Off-farm feed'!$I$77</f>
        <v>4.2751561806777089E-5</v>
      </c>
      <c r="K217" s="222">
        <f>'Off-farm feed'!$J$77</f>
        <v>6.6339607025480414E-7</v>
      </c>
      <c r="L217" s="222">
        <f>'Off-farm feed'!$K$77</f>
        <v>0</v>
      </c>
      <c r="M217" s="222">
        <f>'Off-farm feed'!$L$77</f>
        <v>7.9511067188965511E-9</v>
      </c>
      <c r="N217" s="222">
        <f>'Off-farm feed'!$M$77</f>
        <v>1.2789681892721844E-6</v>
      </c>
      <c r="O217" s="222">
        <f>'Off-farm feed'!$N$77</f>
        <v>0</v>
      </c>
      <c r="P217" s="222">
        <f>'Off-farm feed'!$O$77</f>
        <v>3.9312802868423834E-6</v>
      </c>
      <c r="Q217" s="222">
        <f>'Off-farm feed'!$P$77</f>
        <v>1.8277027027027027E-6</v>
      </c>
      <c r="R217" s="197">
        <f>'Parameters, country spec'!S26</f>
        <v>0</v>
      </c>
    </row>
    <row r="218" spans="1:18" x14ac:dyDescent="0.35">
      <c r="B218" s="18" t="s">
        <v>346</v>
      </c>
      <c r="C218" s="17" t="s">
        <v>345</v>
      </c>
      <c r="D218" s="23" t="str">
        <f>'Off-farm feed'!$D$26</f>
        <v>Brazil, Argentina</v>
      </c>
      <c r="E218" s="23" t="s">
        <v>82</v>
      </c>
      <c r="F218" s="222">
        <f>'Off-farm feed'!$E$26</f>
        <v>1.8866346644602505E-4</v>
      </c>
      <c r="G218" s="222">
        <f>'Off-farm feed'!$F$26</f>
        <v>1.6332109719061441E-5</v>
      </c>
      <c r="H218" s="222">
        <f>'Off-farm feed'!$G$26</f>
        <v>8.7195121951219526E-7</v>
      </c>
      <c r="I218" s="222">
        <f>'Off-farm feed'!$H$26</f>
        <v>1.3333449845358202E-4</v>
      </c>
      <c r="J218" s="222">
        <f>'Off-farm feed'!$I$26</f>
        <v>1.3333449845358203E-5</v>
      </c>
      <c r="K218" s="222">
        <f>'Off-farm feed'!$J$26</f>
        <v>1.1576736579983931E-6</v>
      </c>
      <c r="L218" s="222">
        <f>'Off-farm feed'!$K$26</f>
        <v>0</v>
      </c>
      <c r="M218" s="222">
        <f>'Off-farm feed'!$L$26</f>
        <v>7.3437786087804866E-9</v>
      </c>
      <c r="N218" s="222">
        <f>'Off-farm feed'!$M$26</f>
        <v>1.1195281639512197E-6</v>
      </c>
      <c r="O218" s="222">
        <f>'Off-farm feed'!$N$26</f>
        <v>0</v>
      </c>
      <c r="P218" s="222">
        <f>'Off-farm feed'!$O$26</f>
        <v>1.3419073770114991E-5</v>
      </c>
      <c r="Q218" s="222">
        <f>'Off-farm feed'!$P$26</f>
        <v>9.087837837837838E-6</v>
      </c>
      <c r="R218" s="197">
        <f>'Parameters, country spec'!S27</f>
        <v>0.20010207877950584</v>
      </c>
    </row>
    <row r="219" spans="1:18" x14ac:dyDescent="0.35">
      <c r="B219" s="17" t="s">
        <v>233</v>
      </c>
      <c r="C219" s="17" t="s">
        <v>347</v>
      </c>
      <c r="D219" s="23" t="s">
        <v>108</v>
      </c>
      <c r="E219" s="23" t="s">
        <v>109</v>
      </c>
      <c r="F219" s="222"/>
      <c r="G219" s="14"/>
      <c r="H219" s="14"/>
      <c r="I219" s="14"/>
      <c r="J219" s="14"/>
      <c r="K219" s="14"/>
      <c r="L219" s="14"/>
      <c r="M219" s="14"/>
      <c r="N219" s="14"/>
      <c r="O219" s="14"/>
      <c r="P219" s="8"/>
      <c r="Q219" s="14"/>
      <c r="R219" s="197">
        <f>'Parameters, country spec'!S28</f>
        <v>5.5344876310481586E-2</v>
      </c>
    </row>
    <row r="220" spans="1:18" x14ac:dyDescent="0.35">
      <c r="A220" s="83"/>
      <c r="B220" s="17" t="s">
        <v>348</v>
      </c>
      <c r="C220" s="84" t="s">
        <v>349</v>
      </c>
      <c r="D220" s="23" t="s">
        <v>108</v>
      </c>
      <c r="E220" s="23" t="s">
        <v>109</v>
      </c>
      <c r="F220" s="222">
        <f t="shared" si="51"/>
        <v>5.7856143731057198E-4</v>
      </c>
      <c r="G220" s="82">
        <f t="shared" ref="G220:N220" si="52">AVERAGE(G210:G218)</f>
        <v>9.600556562014004E-5</v>
      </c>
      <c r="H220" s="82">
        <f t="shared" si="52"/>
        <v>1.0114428558078684E-6</v>
      </c>
      <c r="I220" s="82">
        <f t="shared" si="52"/>
        <v>4.356508581563975E-4</v>
      </c>
      <c r="J220" s="82">
        <f t="shared" si="52"/>
        <v>4.3565085815639758E-5</v>
      </c>
      <c r="K220" s="82">
        <f t="shared" si="52"/>
        <v>1.1506233916367569E-6</v>
      </c>
      <c r="L220" s="82">
        <f t="shared" si="52"/>
        <v>0</v>
      </c>
      <c r="M220" s="82">
        <f t="shared" si="52"/>
        <v>1.6994317030752262E-9</v>
      </c>
      <c r="N220" s="82">
        <f t="shared" si="52"/>
        <v>1.1761620392470449E-6</v>
      </c>
      <c r="O220" s="82"/>
      <c r="P220" s="81"/>
      <c r="Q220" s="82"/>
      <c r="R220" s="197">
        <f>'Parameters, country spec'!S29</f>
        <v>4.1386295333839362E-2</v>
      </c>
    </row>
    <row r="221" spans="1:18" x14ac:dyDescent="0.35">
      <c r="A221" s="195"/>
      <c r="B221" s="25" t="s">
        <v>350</v>
      </c>
      <c r="C221" s="26"/>
      <c r="D221" s="103"/>
      <c r="E221" s="103"/>
      <c r="F221" s="46">
        <f>SUMPRODUCT(F210:F220,$R$210:$R$220)</f>
        <v>6.4658511365399309E-4</v>
      </c>
      <c r="G221" s="46">
        <f t="shared" ref="G221:O221" si="53">SUMPRODUCT(G210:G220,$R$210:$R$220)</f>
        <v>1.0550800887368935E-4</v>
      </c>
      <c r="H221" s="46">
        <f t="shared" si="53"/>
        <v>9.8982254889627254E-7</v>
      </c>
      <c r="I221" s="46">
        <f t="shared" si="53"/>
        <v>4.8510140515058478E-4</v>
      </c>
      <c r="J221" s="46">
        <f t="shared" si="53"/>
        <v>4.851014051505848E-5</v>
      </c>
      <c r="K221" s="46">
        <f t="shared" si="53"/>
        <v>8.7542010254789954E-7</v>
      </c>
      <c r="L221" s="46">
        <f t="shared" si="53"/>
        <v>0</v>
      </c>
      <c r="M221" s="46">
        <f t="shared" si="53"/>
        <v>1.5398385480766037E-9</v>
      </c>
      <c r="N221" s="46">
        <f t="shared" si="53"/>
        <v>1.095096825010378E-6</v>
      </c>
      <c r="O221" s="46">
        <f t="shared" si="53"/>
        <v>0</v>
      </c>
      <c r="P221" s="30">
        <f>SUMPRODUCT(P210:P220,R210:R220)</f>
        <v>2.6851845566955504E-6</v>
      </c>
      <c r="Q221" s="46">
        <f>SUMPRODUCT(Q210:Q220,$R$210:$R$220)</f>
        <v>1.8184952429624011E-6</v>
      </c>
      <c r="R221" s="198"/>
    </row>
    <row r="222" spans="1:18" x14ac:dyDescent="0.35">
      <c r="A222" s="22" t="s">
        <v>336</v>
      </c>
      <c r="B222" s="17" t="s">
        <v>218</v>
      </c>
      <c r="C222" s="17" t="s">
        <v>337</v>
      </c>
      <c r="D222" s="23" t="s">
        <v>20</v>
      </c>
      <c r="E222" s="23" t="s">
        <v>110</v>
      </c>
      <c r="F222" s="223">
        <f>SUM(G222:Q222)</f>
        <v>8.3892959999999996E-4</v>
      </c>
      <c r="G222" s="201">
        <v>1.8000000000000001E-4</v>
      </c>
      <c r="H222" s="202">
        <v>9.9999999999999995E-7</v>
      </c>
      <c r="I222" s="205">
        <v>5.9599999999999996E-4</v>
      </c>
      <c r="J222" s="205">
        <v>5.9599999999999999E-5</v>
      </c>
      <c r="K222" s="205">
        <v>7.3799999999999996E-7</v>
      </c>
      <c r="L222" s="205"/>
      <c r="M222" s="205">
        <v>2.1600000000000002E-8</v>
      </c>
      <c r="N222" s="205">
        <v>1.57E-6</v>
      </c>
      <c r="O222" s="205"/>
      <c r="P222" s="14"/>
      <c r="Q222" s="204"/>
      <c r="R222" s="208">
        <f>'Parameters, country spec'!T19</f>
        <v>6.5976692624369268E-2</v>
      </c>
    </row>
    <row r="223" spans="1:18" x14ac:dyDescent="0.35">
      <c r="A223" s="22" t="s">
        <v>338</v>
      </c>
      <c r="B223" s="17" t="s">
        <v>222</v>
      </c>
      <c r="C223" s="17" t="s">
        <v>337</v>
      </c>
      <c r="D223" s="23" t="s">
        <v>20</v>
      </c>
      <c r="E223" s="23" t="s">
        <v>110</v>
      </c>
      <c r="F223" s="221">
        <f t="shared" ref="F223:F232" si="54">SUM(G223:Q223)</f>
        <v>8.0910399999999994E-4</v>
      </c>
      <c r="G223" s="100">
        <v>1.7000000000000001E-4</v>
      </c>
      <c r="H223" s="101">
        <v>9.9999999999999995E-7</v>
      </c>
      <c r="I223" s="102">
        <v>5.7799999999999995E-4</v>
      </c>
      <c r="J223" s="102">
        <v>5.7800000000000002E-5</v>
      </c>
      <c r="K223" s="102">
        <v>5.3600000000000004E-7</v>
      </c>
      <c r="L223" s="102"/>
      <c r="M223" s="102">
        <v>1.98E-7</v>
      </c>
      <c r="N223" s="102">
        <v>1.57E-6</v>
      </c>
      <c r="O223" s="102"/>
      <c r="P223" s="14"/>
      <c r="Q223" s="14"/>
      <c r="R223" s="197">
        <f>'Parameters, country spec'!T20</f>
        <v>0.19814107333385653</v>
      </c>
    </row>
    <row r="224" spans="1:18" x14ac:dyDescent="0.35">
      <c r="A224" s="22" t="s">
        <v>339</v>
      </c>
      <c r="B224" s="17" t="s">
        <v>226</v>
      </c>
      <c r="C224" s="17" t="s">
        <v>337</v>
      </c>
      <c r="D224" s="23" t="s">
        <v>20</v>
      </c>
      <c r="E224" s="23" t="s">
        <v>110</v>
      </c>
      <c r="F224" s="221">
        <f t="shared" si="54"/>
        <v>7.7184899999999991E-4</v>
      </c>
      <c r="G224" s="100">
        <v>1.4999999999999999E-4</v>
      </c>
      <c r="H224" s="101">
        <v>9.9999999999999995E-7</v>
      </c>
      <c r="I224" s="102">
        <v>5.62E-4</v>
      </c>
      <c r="J224" s="102">
        <v>5.6199999999999997E-5</v>
      </c>
      <c r="K224" s="102">
        <v>9.6800000000000009E-7</v>
      </c>
      <c r="L224" s="102"/>
      <c r="M224" s="102">
        <v>1.11E-7</v>
      </c>
      <c r="N224" s="102">
        <v>1.57E-6</v>
      </c>
      <c r="O224" s="102"/>
      <c r="P224" s="14"/>
      <c r="Q224" s="14"/>
      <c r="R224" s="197">
        <f>'Parameters, country spec'!T21</f>
        <v>2.1671841623166059E-3</v>
      </c>
    </row>
    <row r="225" spans="1:18" x14ac:dyDescent="0.35">
      <c r="A225" s="22" t="s">
        <v>340</v>
      </c>
      <c r="B225" s="17" t="s">
        <v>227</v>
      </c>
      <c r="C225" s="17" t="s">
        <v>337</v>
      </c>
      <c r="D225" s="23" t="s">
        <v>20</v>
      </c>
      <c r="E225" s="23" t="s">
        <v>110</v>
      </c>
      <c r="F225" s="221">
        <f t="shared" si="54"/>
        <v>6.9837999999999996E-4</v>
      </c>
      <c r="G225" s="100">
        <v>1.3999999999999999E-4</v>
      </c>
      <c r="H225" s="101">
        <v>9.9999999999999995E-7</v>
      </c>
      <c r="I225" s="102">
        <v>5.04E-4</v>
      </c>
      <c r="J225" s="102">
        <v>5.0399999999999999E-5</v>
      </c>
      <c r="K225" s="102">
        <v>1.4100000000000001E-6</v>
      </c>
      <c r="L225" s="102"/>
      <c r="M225" s="102">
        <v>0</v>
      </c>
      <c r="N225" s="102">
        <v>1.57E-6</v>
      </c>
      <c r="O225" s="102"/>
      <c r="P225" s="14"/>
      <c r="Q225" s="14"/>
      <c r="R225" s="197">
        <f>'Parameters, country spec'!T22</f>
        <v>8.1550834411767848E-3</v>
      </c>
    </row>
    <row r="226" spans="1:18" x14ac:dyDescent="0.35">
      <c r="A226" s="22" t="s">
        <v>341</v>
      </c>
      <c r="B226" s="17" t="s">
        <v>228</v>
      </c>
      <c r="C226" s="17" t="s">
        <v>337</v>
      </c>
      <c r="D226" s="23" t="s">
        <v>20</v>
      </c>
      <c r="E226" s="23" t="s">
        <v>110</v>
      </c>
      <c r="F226" s="221">
        <f t="shared" si="54"/>
        <v>9.6220029999999985E-4</v>
      </c>
      <c r="G226" s="100">
        <v>2.0000000000000001E-4</v>
      </c>
      <c r="H226" s="101">
        <v>9.9999999999999995E-7</v>
      </c>
      <c r="I226" s="102">
        <v>6.8999999999999997E-4</v>
      </c>
      <c r="J226" s="102">
        <v>6.8999999999999997E-5</v>
      </c>
      <c r="K226" s="102">
        <v>5.8400000000000004E-7</v>
      </c>
      <c r="L226" s="102"/>
      <c r="M226" s="102">
        <v>4.6299999999999998E-8</v>
      </c>
      <c r="N226" s="102">
        <v>1.57E-6</v>
      </c>
      <c r="O226" s="102"/>
      <c r="P226" s="14"/>
      <c r="Q226" s="14"/>
      <c r="R226" s="197">
        <f>'Parameters, country spec'!T23</f>
        <v>0.22324493125110034</v>
      </c>
    </row>
    <row r="227" spans="1:18" x14ac:dyDescent="0.35">
      <c r="A227" s="22" t="s">
        <v>342</v>
      </c>
      <c r="B227" s="17" t="s">
        <v>229</v>
      </c>
      <c r="C227" s="17" t="s">
        <v>343</v>
      </c>
      <c r="D227" s="23" t="s">
        <v>20</v>
      </c>
      <c r="E227" s="23" t="s">
        <v>110</v>
      </c>
      <c r="F227" s="221">
        <f t="shared" si="54"/>
        <v>2.0703569999999999E-4</v>
      </c>
      <c r="G227" s="100">
        <v>0</v>
      </c>
      <c r="H227" s="101">
        <v>9.9999999999999995E-7</v>
      </c>
      <c r="I227" s="102">
        <v>1.85E-4</v>
      </c>
      <c r="J227" s="102">
        <v>1.8499999999999999E-5</v>
      </c>
      <c r="K227" s="102">
        <v>9.0699999999999996E-7</v>
      </c>
      <c r="L227" s="102"/>
      <c r="M227" s="102">
        <v>5.8700000000000003E-8</v>
      </c>
      <c r="N227" s="102">
        <v>1.57E-6</v>
      </c>
      <c r="O227" s="102"/>
      <c r="P227" s="14"/>
      <c r="Q227" s="14"/>
      <c r="R227" s="197">
        <f>'Parameters, country spec'!T24</f>
        <v>0</v>
      </c>
    </row>
    <row r="228" spans="1:18" x14ac:dyDescent="0.35">
      <c r="A228" s="22" t="s">
        <v>344</v>
      </c>
      <c r="B228" s="17" t="s">
        <v>230</v>
      </c>
      <c r="C228" s="17" t="s">
        <v>343</v>
      </c>
      <c r="D228" s="23" t="s">
        <v>20</v>
      </c>
      <c r="E228" s="23" t="s">
        <v>110</v>
      </c>
      <c r="F228" s="221">
        <f t="shared" si="54"/>
        <v>2.3980779999999995E-4</v>
      </c>
      <c r="G228" s="100">
        <v>8.6000000000000007E-6</v>
      </c>
      <c r="H228" s="101">
        <v>9.9999999999999995E-7</v>
      </c>
      <c r="I228" s="102">
        <v>2.0699999999999999E-4</v>
      </c>
      <c r="J228" s="102">
        <v>2.0699999999999998E-5</v>
      </c>
      <c r="K228" s="102">
        <v>9.0999999999999997E-7</v>
      </c>
      <c r="L228" s="102"/>
      <c r="M228" s="102">
        <v>2.7800000000000001E-8</v>
      </c>
      <c r="N228" s="102">
        <v>1.57E-6</v>
      </c>
      <c r="O228" s="102"/>
      <c r="P228" s="14"/>
      <c r="Q228" s="14"/>
      <c r="R228" s="197">
        <f>'Parameters, country spec'!T25</f>
        <v>0</v>
      </c>
    </row>
    <row r="229" spans="1:18" x14ac:dyDescent="0.35">
      <c r="B229" s="18" t="s">
        <v>231</v>
      </c>
      <c r="C229" s="17" t="s">
        <v>345</v>
      </c>
      <c r="D229" s="23" t="str">
        <f>'Off-farm feed'!$D$77</f>
        <v>France, Germany, Poland</v>
      </c>
      <c r="E229" s="23" t="s">
        <v>82</v>
      </c>
      <c r="F229" s="222">
        <f>'Off-farm feed'!$E$77</f>
        <v>6.732045566157569E-4</v>
      </c>
      <c r="G229" s="222">
        <f>'Off-farm feed'!$F$77</f>
        <v>1.946970439026595E-4</v>
      </c>
      <c r="H229" s="222">
        <f>'Off-farm feed'!$G$77</f>
        <v>5.3103448275862083E-7</v>
      </c>
      <c r="I229" s="222">
        <f>'Off-farm feed'!$H$77</f>
        <v>4.2751561806777074E-4</v>
      </c>
      <c r="J229" s="222">
        <f>'Off-farm feed'!$I$77</f>
        <v>4.2751561806777089E-5</v>
      </c>
      <c r="K229" s="222">
        <f>'Off-farm feed'!$J$77</f>
        <v>6.6339607025480414E-7</v>
      </c>
      <c r="L229" s="222">
        <f>'Off-farm feed'!$K$77</f>
        <v>0</v>
      </c>
      <c r="M229" s="222">
        <f>'Off-farm feed'!$L$77</f>
        <v>7.9511067188965511E-9</v>
      </c>
      <c r="N229" s="222">
        <f>'Off-farm feed'!$M$77</f>
        <v>1.2789681892721844E-6</v>
      </c>
      <c r="O229" s="222">
        <f>'Off-farm feed'!$N$77</f>
        <v>0</v>
      </c>
      <c r="P229" s="222">
        <f>'Off-farm feed'!$O$77</f>
        <v>3.9312802868423834E-6</v>
      </c>
      <c r="Q229" s="222">
        <f>'Off-farm feed'!$P$77</f>
        <v>1.8277027027027027E-6</v>
      </c>
      <c r="R229" s="197">
        <f>'Parameters, country spec'!T26</f>
        <v>0.12320054874364431</v>
      </c>
    </row>
    <row r="230" spans="1:18" x14ac:dyDescent="0.35">
      <c r="B230" s="18" t="s">
        <v>346</v>
      </c>
      <c r="C230" s="17" t="s">
        <v>345</v>
      </c>
      <c r="D230" s="23" t="str">
        <f>'Off-farm feed'!$D$26</f>
        <v>Brazil, Argentina</v>
      </c>
      <c r="E230" s="23" t="s">
        <v>82</v>
      </c>
      <c r="F230" s="222">
        <f>'Off-farm feed'!$E$26</f>
        <v>1.8866346644602505E-4</v>
      </c>
      <c r="G230" s="222">
        <f>'Off-farm feed'!$F$26</f>
        <v>1.6332109719061441E-5</v>
      </c>
      <c r="H230" s="222">
        <f>'Off-farm feed'!$G$26</f>
        <v>8.7195121951219526E-7</v>
      </c>
      <c r="I230" s="222">
        <f>'Off-farm feed'!$H$26</f>
        <v>1.3333449845358202E-4</v>
      </c>
      <c r="J230" s="222">
        <f>'Off-farm feed'!$I$26</f>
        <v>1.3333449845358203E-5</v>
      </c>
      <c r="K230" s="222">
        <f>'Off-farm feed'!$J$26</f>
        <v>1.1576736579983931E-6</v>
      </c>
      <c r="L230" s="222">
        <f>'Off-farm feed'!$K$26</f>
        <v>0</v>
      </c>
      <c r="M230" s="222">
        <f>'Off-farm feed'!$L$26</f>
        <v>7.3437786087804866E-9</v>
      </c>
      <c r="N230" s="222">
        <f>'Off-farm feed'!$M$26</f>
        <v>1.1195281639512197E-6</v>
      </c>
      <c r="O230" s="222">
        <f>'Off-farm feed'!$N$26</f>
        <v>0</v>
      </c>
      <c r="P230" s="222">
        <f>'Off-farm feed'!$O$26</f>
        <v>1.3419073770114991E-5</v>
      </c>
      <c r="Q230" s="222">
        <f>'Off-farm feed'!$P$26</f>
        <v>9.087837837837838E-6</v>
      </c>
      <c r="R230" s="197">
        <f>'Parameters, country spec'!T27</f>
        <v>0.15910748774892908</v>
      </c>
    </row>
    <row r="231" spans="1:18" x14ac:dyDescent="0.35">
      <c r="B231" s="17" t="s">
        <v>233</v>
      </c>
      <c r="C231" s="17" t="s">
        <v>347</v>
      </c>
      <c r="D231" s="23" t="s">
        <v>20</v>
      </c>
      <c r="E231" s="23" t="s">
        <v>110</v>
      </c>
      <c r="F231" s="222"/>
      <c r="G231" s="14"/>
      <c r="H231" s="14"/>
      <c r="I231" s="14"/>
      <c r="J231" s="14"/>
      <c r="K231" s="14"/>
      <c r="L231" s="14"/>
      <c r="M231" s="14"/>
      <c r="N231" s="14"/>
      <c r="O231" s="14"/>
      <c r="P231" s="8"/>
      <c r="Q231" s="14"/>
      <c r="R231" s="197">
        <f>'Parameters, country spec'!T28</f>
        <v>1.7335418632101657E-2</v>
      </c>
    </row>
    <row r="232" spans="1:18" x14ac:dyDescent="0.35">
      <c r="A232" s="83"/>
      <c r="B232" s="17" t="s">
        <v>348</v>
      </c>
      <c r="C232" s="84" t="s">
        <v>349</v>
      </c>
      <c r="D232" s="23" t="s">
        <v>20</v>
      </c>
      <c r="E232" s="23" t="s">
        <v>110</v>
      </c>
      <c r="F232" s="222">
        <f t="shared" si="54"/>
        <v>5.956565031626981E-4</v>
      </c>
      <c r="G232" s="82">
        <f t="shared" ref="G232:N232" si="55">AVERAGE(G222:G230)</f>
        <v>1.1773657262463566E-4</v>
      </c>
      <c r="H232" s="82">
        <f t="shared" si="55"/>
        <v>9.3366507803009054E-7</v>
      </c>
      <c r="I232" s="82">
        <f t="shared" si="55"/>
        <v>4.3142779072459476E-4</v>
      </c>
      <c r="J232" s="82">
        <f t="shared" si="55"/>
        <v>4.314277907245948E-5</v>
      </c>
      <c r="K232" s="82">
        <f t="shared" si="55"/>
        <v>8.7489663647257742E-7</v>
      </c>
      <c r="L232" s="82">
        <f t="shared" si="55"/>
        <v>0</v>
      </c>
      <c r="M232" s="82">
        <f t="shared" si="55"/>
        <v>5.3188320591964118E-8</v>
      </c>
      <c r="N232" s="82">
        <f t="shared" si="55"/>
        <v>1.4876107059137115E-6</v>
      </c>
      <c r="O232" s="82"/>
      <c r="P232" s="81"/>
      <c r="Q232" s="82"/>
      <c r="R232" s="197">
        <f>'Parameters, country spec'!T29</f>
        <v>0.20267158006250544</v>
      </c>
    </row>
    <row r="233" spans="1:18" x14ac:dyDescent="0.35">
      <c r="A233" s="195"/>
      <c r="B233" s="25" t="s">
        <v>350</v>
      </c>
      <c r="C233" s="26"/>
      <c r="D233" s="103"/>
      <c r="E233" s="103"/>
      <c r="F233" s="46">
        <f>SUMPRODUCT(F222:F232,$R$222:$R$232)</f>
        <v>6.7152054691534395E-4</v>
      </c>
      <c r="G233" s="46">
        <f t="shared" ref="G233:O233" si="56">SUMPRODUCT(G222:G232,$R$222:$R$232)</f>
        <v>1.42122763495066E-4</v>
      </c>
      <c r="H233" s="46">
        <f t="shared" si="56"/>
        <v>8.9107004908022007E-7</v>
      </c>
      <c r="I233" s="46">
        <f t="shared" si="56"/>
        <v>4.7453759915859744E-4</v>
      </c>
      <c r="J233" s="46">
        <f t="shared" si="56"/>
        <v>4.7453759915859752E-5</v>
      </c>
      <c r="K233" s="46">
        <f t="shared" si="56"/>
        <v>7.4210794718783102E-7</v>
      </c>
      <c r="L233" s="46">
        <f t="shared" si="56"/>
        <v>0</v>
      </c>
      <c r="M233" s="46">
        <f t="shared" si="56"/>
        <v>6.4161618690892237E-8</v>
      </c>
      <c r="N233" s="46">
        <f t="shared" si="56"/>
        <v>1.4185567034160056E-6</v>
      </c>
      <c r="O233" s="46">
        <f t="shared" si="56"/>
        <v>0</v>
      </c>
      <c r="P233" s="30">
        <f>SUMPRODUCT(P222:P232,R222:R232)</f>
        <v>2.6194110040845995E-6</v>
      </c>
      <c r="Q233" s="46">
        <f>SUMPRODUCT(Q222:Q232,$R$222:$R$232)</f>
        <v>1.6711170233612526E-6</v>
      </c>
      <c r="R233" s="198"/>
    </row>
    <row r="234" spans="1:18" x14ac:dyDescent="0.35">
      <c r="A234" s="22" t="s">
        <v>336</v>
      </c>
      <c r="B234" s="17" t="s">
        <v>218</v>
      </c>
      <c r="C234" s="17" t="s">
        <v>337</v>
      </c>
      <c r="D234" s="23" t="s">
        <v>19</v>
      </c>
      <c r="E234" s="23" t="s">
        <v>111</v>
      </c>
      <c r="F234" s="223">
        <f>SUM(G234:Q234)</f>
        <v>8.031530900000001E-4</v>
      </c>
      <c r="G234" s="201">
        <v>1.8000000000000001E-4</v>
      </c>
      <c r="H234" s="202">
        <v>9.9999999999999995E-7</v>
      </c>
      <c r="I234" s="205">
        <v>5.6300000000000002E-4</v>
      </c>
      <c r="J234" s="205">
        <v>5.63E-5</v>
      </c>
      <c r="K234" s="205">
        <v>1.33E-6</v>
      </c>
      <c r="L234" s="205"/>
      <c r="M234" s="205">
        <v>3.0899999999999999E-9</v>
      </c>
      <c r="N234" s="205">
        <v>1.5200000000000001E-6</v>
      </c>
      <c r="O234" s="205"/>
      <c r="P234" s="14"/>
      <c r="Q234" s="204"/>
      <c r="R234" s="208">
        <f>'Parameters, country spec'!U19</f>
        <v>0.16996898787594733</v>
      </c>
    </row>
    <row r="235" spans="1:18" x14ac:dyDescent="0.35">
      <c r="A235" s="22" t="s">
        <v>338</v>
      </c>
      <c r="B235" s="17" t="s">
        <v>222</v>
      </c>
      <c r="C235" s="17" t="s">
        <v>337</v>
      </c>
      <c r="D235" s="23" t="s">
        <v>19</v>
      </c>
      <c r="E235" s="23" t="s">
        <v>111</v>
      </c>
      <c r="F235" s="221">
        <f t="shared" ref="F235:F244" si="57">SUM(G235:Q235)</f>
        <v>6.5730909999999994E-4</v>
      </c>
      <c r="G235" s="100">
        <v>1.7000000000000001E-4</v>
      </c>
      <c r="H235" s="101">
        <v>9.9999999999999995E-7</v>
      </c>
      <c r="I235" s="102">
        <v>4.4000000000000002E-4</v>
      </c>
      <c r="J235" s="102">
        <v>4.3999999999999999E-5</v>
      </c>
      <c r="K235" s="102">
        <v>7.5199999999999996E-7</v>
      </c>
      <c r="L235" s="102"/>
      <c r="M235" s="102">
        <v>3.7100000000000001E-8</v>
      </c>
      <c r="N235" s="102">
        <v>1.5200000000000001E-6</v>
      </c>
      <c r="O235" s="102"/>
      <c r="P235" s="14"/>
      <c r="Q235" s="14"/>
      <c r="R235" s="197">
        <f>'Parameters, country spec'!U20</f>
        <v>0.23283885034476093</v>
      </c>
    </row>
    <row r="236" spans="1:18" x14ac:dyDescent="0.35">
      <c r="A236" s="22" t="s">
        <v>339</v>
      </c>
      <c r="B236" s="17" t="s">
        <v>226</v>
      </c>
      <c r="C236" s="17" t="s">
        <v>337</v>
      </c>
      <c r="D236" s="23" t="s">
        <v>19</v>
      </c>
      <c r="E236" s="23" t="s">
        <v>111</v>
      </c>
      <c r="F236" s="221">
        <f t="shared" si="57"/>
        <v>6.6357308999999995E-4</v>
      </c>
      <c r="G236" s="100">
        <v>1.4999999999999999E-4</v>
      </c>
      <c r="H236" s="101">
        <v>9.9999999999999995E-7</v>
      </c>
      <c r="I236" s="102">
        <v>4.6299999999999998E-4</v>
      </c>
      <c r="J236" s="102">
        <v>4.6300000000000001E-5</v>
      </c>
      <c r="K236" s="102">
        <v>1.75E-6</v>
      </c>
      <c r="L236" s="102"/>
      <c r="M236" s="102">
        <v>3.0899999999999999E-9</v>
      </c>
      <c r="N236" s="102">
        <v>1.5200000000000001E-6</v>
      </c>
      <c r="O236" s="102"/>
      <c r="P236" s="14"/>
      <c r="Q236" s="14"/>
      <c r="R236" s="197">
        <f>'Parameters, country spec'!U21</f>
        <v>5.0904696791723991E-3</v>
      </c>
    </row>
    <row r="237" spans="1:18" x14ac:dyDescent="0.35">
      <c r="A237" s="22" t="s">
        <v>340</v>
      </c>
      <c r="B237" s="17" t="s">
        <v>227</v>
      </c>
      <c r="C237" s="17" t="s">
        <v>337</v>
      </c>
      <c r="D237" s="23" t="s">
        <v>19</v>
      </c>
      <c r="E237" s="23" t="s">
        <v>111</v>
      </c>
      <c r="F237" s="221">
        <f t="shared" si="57"/>
        <v>6.1058999999999983E-4</v>
      </c>
      <c r="G237" s="100">
        <v>1.3999999999999999E-4</v>
      </c>
      <c r="H237" s="101">
        <v>9.9999999999999995E-7</v>
      </c>
      <c r="I237" s="102">
        <v>4.2400000000000001E-4</v>
      </c>
      <c r="J237" s="102">
        <v>4.2400000000000001E-5</v>
      </c>
      <c r="K237" s="102">
        <v>1.6700000000000001E-6</v>
      </c>
      <c r="L237" s="102"/>
      <c r="M237" s="102">
        <v>0</v>
      </c>
      <c r="N237" s="102">
        <v>1.5200000000000001E-6</v>
      </c>
      <c r="O237" s="102"/>
      <c r="P237" s="14"/>
      <c r="Q237" s="14"/>
      <c r="R237" s="197">
        <f>'Parameters, country spec'!U22</f>
        <v>6.6462863913214348E-2</v>
      </c>
    </row>
    <row r="238" spans="1:18" x14ac:dyDescent="0.35">
      <c r="A238" s="22" t="s">
        <v>341</v>
      </c>
      <c r="B238" s="17" t="s">
        <v>228</v>
      </c>
      <c r="C238" s="17" t="s">
        <v>337</v>
      </c>
      <c r="D238" s="23" t="s">
        <v>19</v>
      </c>
      <c r="E238" s="23" t="s">
        <v>111</v>
      </c>
      <c r="F238" s="221">
        <f t="shared" si="57"/>
        <v>7.9211309000000007E-4</v>
      </c>
      <c r="G238" s="100">
        <v>2.0000000000000001E-4</v>
      </c>
      <c r="H238" s="101">
        <v>9.9999999999999995E-7</v>
      </c>
      <c r="I238" s="102">
        <v>5.3499999999999999E-4</v>
      </c>
      <c r="J238" s="102">
        <v>5.3499999999999999E-5</v>
      </c>
      <c r="K238" s="102">
        <v>1.0899999999999999E-6</v>
      </c>
      <c r="L238" s="102"/>
      <c r="M238" s="102">
        <v>3.0899999999999999E-9</v>
      </c>
      <c r="N238" s="102">
        <v>1.5200000000000001E-6</v>
      </c>
      <c r="O238" s="102"/>
      <c r="P238" s="14"/>
      <c r="Q238" s="14"/>
      <c r="R238" s="197">
        <f>'Parameters, country spec'!U23</f>
        <v>0.26723420141656068</v>
      </c>
    </row>
    <row r="239" spans="1:18" x14ac:dyDescent="0.35">
      <c r="A239" s="22" t="s">
        <v>342</v>
      </c>
      <c r="B239" s="17" t="s">
        <v>229</v>
      </c>
      <c r="C239" s="17" t="s">
        <v>343</v>
      </c>
      <c r="D239" s="23" t="s">
        <v>19</v>
      </c>
      <c r="E239" s="23" t="s">
        <v>111</v>
      </c>
      <c r="F239" s="221">
        <f t="shared" si="57"/>
        <v>3.4353000000000004E-4</v>
      </c>
      <c r="G239" s="100">
        <v>0</v>
      </c>
      <c r="H239" s="101">
        <v>9.9999999999999995E-7</v>
      </c>
      <c r="I239" s="102">
        <v>3.0800000000000001E-4</v>
      </c>
      <c r="J239" s="102">
        <v>3.0800000000000003E-5</v>
      </c>
      <c r="K239" s="102">
        <v>2.21E-6</v>
      </c>
      <c r="L239" s="102"/>
      <c r="M239" s="102">
        <v>0</v>
      </c>
      <c r="N239" s="102">
        <v>1.5200000000000001E-6</v>
      </c>
      <c r="O239" s="102"/>
      <c r="P239" s="14"/>
      <c r="Q239" s="14"/>
      <c r="R239" s="197">
        <f>'Parameters, country spec'!U24</f>
        <v>4.1789296546899217E-3</v>
      </c>
    </row>
    <row r="240" spans="1:18" x14ac:dyDescent="0.35">
      <c r="A240" s="22" t="s">
        <v>344</v>
      </c>
      <c r="B240" s="17" t="s">
        <v>230</v>
      </c>
      <c r="C240" s="17" t="s">
        <v>343</v>
      </c>
      <c r="D240" s="23" t="s">
        <v>19</v>
      </c>
      <c r="E240" s="23" t="s">
        <v>111</v>
      </c>
      <c r="F240" s="221">
        <f t="shared" si="57"/>
        <v>3.6270000000000003E-4</v>
      </c>
      <c r="G240" s="100">
        <v>8.6000000000000007E-6</v>
      </c>
      <c r="H240" s="101">
        <v>9.9999999999999995E-7</v>
      </c>
      <c r="I240" s="102">
        <v>3.1799999999999998E-4</v>
      </c>
      <c r="J240" s="102">
        <v>3.18E-5</v>
      </c>
      <c r="K240" s="102">
        <v>1.7799999999999999E-6</v>
      </c>
      <c r="L240" s="102"/>
      <c r="M240" s="102">
        <v>0</v>
      </c>
      <c r="N240" s="102">
        <v>1.5200000000000001E-6</v>
      </c>
      <c r="O240" s="102"/>
      <c r="P240" s="14"/>
      <c r="Q240" s="14"/>
      <c r="R240" s="197">
        <f>'Parameters, country spec'!U25</f>
        <v>4.1050860427910675E-3</v>
      </c>
    </row>
    <row r="241" spans="1:18" x14ac:dyDescent="0.35">
      <c r="B241" s="18" t="s">
        <v>231</v>
      </c>
      <c r="C241" s="17" t="s">
        <v>345</v>
      </c>
      <c r="D241" s="23" t="str">
        <f>'Off-farm feed'!$D$77</f>
        <v>France, Germany, Poland</v>
      </c>
      <c r="E241" s="23" t="s">
        <v>82</v>
      </c>
      <c r="F241" s="222">
        <f>'Off-farm feed'!$E$77</f>
        <v>6.732045566157569E-4</v>
      </c>
      <c r="G241" s="222">
        <f>'Off-farm feed'!$F$77</f>
        <v>1.946970439026595E-4</v>
      </c>
      <c r="H241" s="222">
        <f>'Off-farm feed'!$G$77</f>
        <v>5.3103448275862083E-7</v>
      </c>
      <c r="I241" s="222">
        <f>'Off-farm feed'!$H$77</f>
        <v>4.2751561806777074E-4</v>
      </c>
      <c r="J241" s="222">
        <f>'Off-farm feed'!$I$77</f>
        <v>4.2751561806777089E-5</v>
      </c>
      <c r="K241" s="222">
        <f>'Off-farm feed'!$J$77</f>
        <v>6.6339607025480414E-7</v>
      </c>
      <c r="L241" s="222">
        <f>'Off-farm feed'!$K$77</f>
        <v>0</v>
      </c>
      <c r="M241" s="222">
        <f>'Off-farm feed'!$L$77</f>
        <v>7.9511067188965511E-9</v>
      </c>
      <c r="N241" s="222">
        <f>'Off-farm feed'!$M$77</f>
        <v>1.2789681892721844E-6</v>
      </c>
      <c r="O241" s="222">
        <f>'Off-farm feed'!$N$77</f>
        <v>0</v>
      </c>
      <c r="P241" s="222">
        <f>'Off-farm feed'!$O$77</f>
        <v>3.9312802868423834E-6</v>
      </c>
      <c r="Q241" s="222">
        <f>'Off-farm feed'!$P$77</f>
        <v>1.8277027027027027E-6</v>
      </c>
      <c r="R241" s="197">
        <f>'Parameters, country spec'!U26</f>
        <v>3.0119810543340508E-2</v>
      </c>
    </row>
    <row r="242" spans="1:18" x14ac:dyDescent="0.35">
      <c r="B242" s="18" t="s">
        <v>346</v>
      </c>
      <c r="C242" s="17" t="s">
        <v>345</v>
      </c>
      <c r="D242" s="23" t="str">
        <f>'Off-farm feed'!$D$26</f>
        <v>Brazil, Argentina</v>
      </c>
      <c r="E242" s="23" t="s">
        <v>82</v>
      </c>
      <c r="F242" s="222">
        <f>'Off-farm feed'!$E$26</f>
        <v>1.8866346644602505E-4</v>
      </c>
      <c r="G242" s="222">
        <f>'Off-farm feed'!$F$26</f>
        <v>1.6332109719061441E-5</v>
      </c>
      <c r="H242" s="222">
        <f>'Off-farm feed'!$G$26</f>
        <v>8.7195121951219526E-7</v>
      </c>
      <c r="I242" s="222">
        <f>'Off-farm feed'!$H$26</f>
        <v>1.3333449845358202E-4</v>
      </c>
      <c r="J242" s="222">
        <f>'Off-farm feed'!$I$26</f>
        <v>1.3333449845358203E-5</v>
      </c>
      <c r="K242" s="222">
        <f>'Off-farm feed'!$J$26</f>
        <v>1.1576736579983931E-6</v>
      </c>
      <c r="L242" s="222">
        <f>'Off-farm feed'!$K$26</f>
        <v>0</v>
      </c>
      <c r="M242" s="222">
        <f>'Off-farm feed'!$L$26</f>
        <v>7.3437786087804866E-9</v>
      </c>
      <c r="N242" s="222">
        <f>'Off-farm feed'!$M$26</f>
        <v>1.1195281639512197E-6</v>
      </c>
      <c r="O242" s="222">
        <f>'Off-farm feed'!$N$26</f>
        <v>0</v>
      </c>
      <c r="P242" s="222">
        <f>'Off-farm feed'!$O$26</f>
        <v>1.3419073770114991E-5</v>
      </c>
      <c r="Q242" s="222">
        <f>'Off-farm feed'!$P$26</f>
        <v>9.087837837837838E-6</v>
      </c>
      <c r="R242" s="197">
        <f>'Parameters, country spec'!U27</f>
        <v>0.1050568603152183</v>
      </c>
    </row>
    <row r="243" spans="1:18" x14ac:dyDescent="0.35">
      <c r="B243" s="17" t="s">
        <v>233</v>
      </c>
      <c r="C243" s="17" t="s">
        <v>347</v>
      </c>
      <c r="D243" s="23" t="s">
        <v>19</v>
      </c>
      <c r="E243" s="23" t="s">
        <v>111</v>
      </c>
      <c r="F243" s="222"/>
      <c r="G243" s="14"/>
      <c r="H243" s="14"/>
      <c r="I243" s="14"/>
      <c r="J243" s="14"/>
      <c r="K243" s="14"/>
      <c r="L243" s="14"/>
      <c r="M243" s="14"/>
      <c r="N243" s="14"/>
      <c r="O243" s="14"/>
      <c r="P243" s="8"/>
      <c r="Q243" s="14"/>
      <c r="R243" s="197">
        <f>'Parameters, country spec'!U28</f>
        <v>5.1412336687770274E-2</v>
      </c>
    </row>
    <row r="244" spans="1:18" x14ac:dyDescent="0.35">
      <c r="A244" s="83"/>
      <c r="B244" s="17" t="s">
        <v>348</v>
      </c>
      <c r="C244" s="84" t="s">
        <v>349</v>
      </c>
      <c r="D244" s="23" t="s">
        <v>19</v>
      </c>
      <c r="E244" s="23" t="s">
        <v>111</v>
      </c>
      <c r="F244" s="222">
        <f t="shared" si="57"/>
        <v>5.629522776071427E-4</v>
      </c>
      <c r="G244" s="82">
        <f t="shared" ref="G244:N244" si="58">AVERAGE(G234:G242)</f>
        <v>1.1773657262463566E-4</v>
      </c>
      <c r="H244" s="82">
        <f t="shared" si="58"/>
        <v>9.3366507803009054E-7</v>
      </c>
      <c r="I244" s="82">
        <f t="shared" si="58"/>
        <v>4.0131667961348363E-4</v>
      </c>
      <c r="J244" s="82">
        <f t="shared" si="58"/>
        <v>4.0131667961348369E-5</v>
      </c>
      <c r="K244" s="82">
        <f t="shared" si="58"/>
        <v>1.3781188586947997E-6</v>
      </c>
      <c r="L244" s="82">
        <f t="shared" si="58"/>
        <v>0</v>
      </c>
      <c r="M244" s="82">
        <f t="shared" si="58"/>
        <v>6.8516539252974484E-9</v>
      </c>
      <c r="N244" s="82">
        <f t="shared" si="58"/>
        <v>1.448721817024823E-6</v>
      </c>
      <c r="O244" s="82"/>
      <c r="P244" s="81"/>
      <c r="Q244" s="82"/>
      <c r="R244" s="197">
        <f>'Parameters, country spec'!U29</f>
        <v>6.3531603526534211E-2</v>
      </c>
    </row>
    <row r="245" spans="1:18" x14ac:dyDescent="0.35">
      <c r="A245" s="195"/>
      <c r="B245" s="25" t="s">
        <v>350</v>
      </c>
      <c r="C245" s="26"/>
      <c r="D245" s="103"/>
      <c r="E245" s="103"/>
      <c r="F245" s="46">
        <f>SUMPRODUCT(F234:F244,$R$234:$R$244)</f>
        <v>6.2398432925145006E-4</v>
      </c>
      <c r="G245" s="46">
        <f t="shared" ref="G245:O245" si="59">SUMPRODUCT(G234:G244,$R$234:$R$244)</f>
        <v>1.4878756929695205E-4</v>
      </c>
      <c r="H245" s="46">
        <f t="shared" si="59"/>
        <v>9.1679574397376238E-7</v>
      </c>
      <c r="I245" s="46">
        <f t="shared" si="59"/>
        <v>4.2662228691717192E-4</v>
      </c>
      <c r="J245" s="46">
        <f t="shared" si="59"/>
        <v>4.2662228691717187E-5</v>
      </c>
      <c r="K245" s="46">
        <f t="shared" si="59"/>
        <v>1.0580396659182278E-6</v>
      </c>
      <c r="L245" s="46">
        <f t="shared" si="59"/>
        <v>0</v>
      </c>
      <c r="M245" s="46">
        <f t="shared" si="59"/>
        <v>1.145130546616773E-8</v>
      </c>
      <c r="N245" s="46">
        <f t="shared" si="59"/>
        <v>1.3879926847597225E-6</v>
      </c>
      <c r="O245" s="46">
        <f t="shared" si="59"/>
        <v>0</v>
      </c>
      <c r="P245" s="30">
        <f>SUMPRODUCT(P234:P244,R234:R244)</f>
        <v>1.5281751760590424E-6</v>
      </c>
      <c r="Q245" s="46">
        <f>SUMPRODUCT(Q234:Q244,$R$234:$R$244)</f>
        <v>1.009789769432042E-6</v>
      </c>
      <c r="R245" s="198"/>
    </row>
    <row r="246" spans="1:18" x14ac:dyDescent="0.35">
      <c r="A246" s="22" t="s">
        <v>336</v>
      </c>
      <c r="B246" s="17" t="s">
        <v>218</v>
      </c>
      <c r="C246" s="17" t="s">
        <v>337</v>
      </c>
      <c r="D246" s="23" t="s">
        <v>112</v>
      </c>
      <c r="E246" s="23" t="s">
        <v>113</v>
      </c>
      <c r="F246" s="223">
        <f>SUM(G246:Q246)</f>
        <v>8.3700497241450582E-4</v>
      </c>
      <c r="G246" s="201">
        <v>1.3527187113652022E-4</v>
      </c>
      <c r="H246" s="202">
        <v>1.1000000000000001E-6</v>
      </c>
      <c r="I246" s="205">
        <v>6.348790825230616E-4</v>
      </c>
      <c r="J246" s="205">
        <v>6.3487908252306166E-5</v>
      </c>
      <c r="K246" s="205">
        <v>1.0965445026178011E-6</v>
      </c>
      <c r="L246" s="205"/>
      <c r="M246" s="205">
        <v>0</v>
      </c>
      <c r="N246" s="205">
        <v>1.1695660000000001E-6</v>
      </c>
      <c r="O246" s="205"/>
      <c r="P246" s="14"/>
      <c r="Q246" s="204"/>
      <c r="R246" s="208">
        <f>'Parameters, country spec'!V19</f>
        <v>4.6734825942588876E-2</v>
      </c>
    </row>
    <row r="247" spans="1:18" x14ac:dyDescent="0.35">
      <c r="A247" s="22" t="s">
        <v>338</v>
      </c>
      <c r="B247" s="17" t="s">
        <v>222</v>
      </c>
      <c r="C247" s="17" t="s">
        <v>337</v>
      </c>
      <c r="D247" s="23" t="s">
        <v>112</v>
      </c>
      <c r="E247" s="23" t="s">
        <v>113</v>
      </c>
      <c r="F247" s="221">
        <f t="shared" ref="F247:F256" si="60">SUM(G247:Q247)</f>
        <v>7.7064277808378814E-4</v>
      </c>
      <c r="G247" s="100">
        <v>1.3173663927780048E-4</v>
      </c>
      <c r="H247" s="101">
        <v>1.1000000000000001E-6</v>
      </c>
      <c r="I247" s="102">
        <v>5.7807906502645948E-4</v>
      </c>
      <c r="J247" s="102">
        <v>5.7807906502645948E-5</v>
      </c>
      <c r="K247" s="102">
        <v>7.4960127688222882E-7</v>
      </c>
      <c r="L247" s="102"/>
      <c r="M247" s="102">
        <v>0</v>
      </c>
      <c r="N247" s="102">
        <v>1.1695660000000001E-6</v>
      </c>
      <c r="O247" s="102"/>
      <c r="P247" s="14"/>
      <c r="Q247" s="14"/>
      <c r="R247" s="197">
        <f>'Parameters, country spec'!V20</f>
        <v>0.43527572351382965</v>
      </c>
    </row>
    <row r="248" spans="1:18" x14ac:dyDescent="0.35">
      <c r="A248" s="22" t="s">
        <v>339</v>
      </c>
      <c r="B248" s="17" t="s">
        <v>226</v>
      </c>
      <c r="C248" s="17" t="s">
        <v>337</v>
      </c>
      <c r="D248" s="23" t="s">
        <v>112</v>
      </c>
      <c r="E248" s="23" t="s">
        <v>113</v>
      </c>
      <c r="F248" s="221">
        <f t="shared" si="60"/>
        <v>7.4080189535590966E-4</v>
      </c>
      <c r="G248" s="100">
        <v>1.1925038042019814E-4</v>
      </c>
      <c r="H248" s="101">
        <v>1.1000000000000001E-6</v>
      </c>
      <c r="I248" s="102">
        <v>5.6184338890070615E-4</v>
      </c>
      <c r="J248" s="102">
        <v>5.6184338890070617E-5</v>
      </c>
      <c r="K248" s="102">
        <v>1.2542211449347684E-6</v>
      </c>
      <c r="L248" s="102"/>
      <c r="M248" s="102">
        <v>0</v>
      </c>
      <c r="N248" s="102">
        <v>1.1695660000000001E-6</v>
      </c>
      <c r="O248" s="102"/>
      <c r="P248" s="14"/>
      <c r="Q248" s="14"/>
      <c r="R248" s="197">
        <f>'Parameters, country spec'!V21</f>
        <v>1.3265729698578317E-2</v>
      </c>
    </row>
    <row r="249" spans="1:18" x14ac:dyDescent="0.35">
      <c r="A249" s="22" t="s">
        <v>340</v>
      </c>
      <c r="B249" s="17" t="s">
        <v>227</v>
      </c>
      <c r="C249" s="17" t="s">
        <v>337</v>
      </c>
      <c r="D249" s="23" t="s">
        <v>112</v>
      </c>
      <c r="E249" s="23" t="s">
        <v>113</v>
      </c>
      <c r="F249" s="221">
        <f t="shared" si="60"/>
        <v>6.6289501004433845E-4</v>
      </c>
      <c r="G249" s="100">
        <v>1.0503816802565812E-4</v>
      </c>
      <c r="H249" s="101">
        <v>1.1000000000000001E-6</v>
      </c>
      <c r="I249" s="102">
        <v>5.0432765635150922E-4</v>
      </c>
      <c r="J249" s="102">
        <v>5.0432765635150922E-5</v>
      </c>
      <c r="K249" s="102">
        <v>8.2685403202016689E-7</v>
      </c>
      <c r="L249" s="102"/>
      <c r="M249" s="102">
        <v>0</v>
      </c>
      <c r="N249" s="102">
        <v>1.1695660000000001E-6</v>
      </c>
      <c r="O249" s="102"/>
      <c r="P249" s="14"/>
      <c r="Q249" s="14"/>
      <c r="R249" s="197">
        <f>'Parameters, country spec'!V22</f>
        <v>2.9971473511945708E-4</v>
      </c>
    </row>
    <row r="250" spans="1:18" x14ac:dyDescent="0.35">
      <c r="A250" s="22" t="s">
        <v>341</v>
      </c>
      <c r="B250" s="17" t="s">
        <v>228</v>
      </c>
      <c r="C250" s="17" t="s">
        <v>337</v>
      </c>
      <c r="D250" s="23" t="s">
        <v>112</v>
      </c>
      <c r="E250" s="23" t="s">
        <v>113</v>
      </c>
      <c r="F250" s="221">
        <f t="shared" si="60"/>
        <v>9.1657094895803305E-4</v>
      </c>
      <c r="G250" s="100">
        <v>1.5506058283512638E-4</v>
      </c>
      <c r="H250" s="101">
        <v>1.1000000000000001E-6</v>
      </c>
      <c r="I250" s="102">
        <v>6.8950683668766316E-4</v>
      </c>
      <c r="J250" s="102">
        <v>6.8950683668766316E-5</v>
      </c>
      <c r="K250" s="102">
        <v>7.832797664771855E-7</v>
      </c>
      <c r="L250" s="102"/>
      <c r="M250" s="102">
        <v>0</v>
      </c>
      <c r="N250" s="102">
        <v>1.1695660000000001E-6</v>
      </c>
      <c r="O250" s="102"/>
      <c r="P250" s="14"/>
      <c r="Q250" s="14"/>
      <c r="R250" s="197">
        <f>'Parameters, country spec'!V23</f>
        <v>9.5453909486912653E-2</v>
      </c>
    </row>
    <row r="251" spans="1:18" x14ac:dyDescent="0.35">
      <c r="A251" s="22" t="s">
        <v>342</v>
      </c>
      <c r="B251" s="17" t="s">
        <v>229</v>
      </c>
      <c r="C251" s="17" t="s">
        <v>343</v>
      </c>
      <c r="D251" s="23" t="s">
        <v>112</v>
      </c>
      <c r="E251" s="23" t="s">
        <v>113</v>
      </c>
      <c r="F251" s="221">
        <f t="shared" si="60"/>
        <v>2.0683180874021213E-4</v>
      </c>
      <c r="G251" s="100">
        <v>0</v>
      </c>
      <c r="H251" s="101">
        <v>1.1000000000000001E-6</v>
      </c>
      <c r="I251" s="102">
        <v>1.8457296000000002E-4</v>
      </c>
      <c r="J251" s="102">
        <v>1.8457296000000003E-5</v>
      </c>
      <c r="K251" s="102">
        <v>1.5319867402121297E-6</v>
      </c>
      <c r="L251" s="102"/>
      <c r="M251" s="102">
        <v>0</v>
      </c>
      <c r="N251" s="102">
        <v>1.1695660000000001E-6</v>
      </c>
      <c r="O251" s="102"/>
      <c r="P251" s="14"/>
      <c r="Q251" s="14"/>
      <c r="R251" s="197">
        <f>'Parameters, country spec'!V24</f>
        <v>2.8702944951373129E-3</v>
      </c>
    </row>
    <row r="252" spans="1:18" x14ac:dyDescent="0.35">
      <c r="A252" s="22" t="s">
        <v>344</v>
      </c>
      <c r="B252" s="17" t="s">
        <v>230</v>
      </c>
      <c r="C252" s="17" t="s">
        <v>343</v>
      </c>
      <c r="D252" s="23" t="s">
        <v>112</v>
      </c>
      <c r="E252" s="23" t="s">
        <v>113</v>
      </c>
      <c r="F252" s="221">
        <f t="shared" si="60"/>
        <v>2.3870339373407735E-4</v>
      </c>
      <c r="G252" s="100">
        <v>6.6632952642360706E-6</v>
      </c>
      <c r="H252" s="101">
        <v>1.1000000000000001E-6</v>
      </c>
      <c r="I252" s="102">
        <v>2.067986173968254E-4</v>
      </c>
      <c r="J252" s="102">
        <v>2.0679861739682541E-5</v>
      </c>
      <c r="K252" s="102">
        <v>2.2920533333333338E-6</v>
      </c>
      <c r="L252" s="102"/>
      <c r="M252" s="102">
        <v>0</v>
      </c>
      <c r="N252" s="102">
        <v>1.1695660000000001E-6</v>
      </c>
      <c r="O252" s="102"/>
      <c r="P252" s="14"/>
      <c r="Q252" s="14"/>
      <c r="R252" s="197">
        <f>'Parameters, country spec'!V25</f>
        <v>2.8195750698575112E-3</v>
      </c>
    </row>
    <row r="253" spans="1:18" x14ac:dyDescent="0.35">
      <c r="B253" s="18" t="s">
        <v>231</v>
      </c>
      <c r="C253" s="17" t="s">
        <v>345</v>
      </c>
      <c r="D253" s="23" t="str">
        <f>'Off-farm feed'!$D$77</f>
        <v>France, Germany, Poland</v>
      </c>
      <c r="E253" s="23" t="s">
        <v>82</v>
      </c>
      <c r="F253" s="222">
        <f>'Off-farm feed'!$E$77</f>
        <v>6.732045566157569E-4</v>
      </c>
      <c r="G253" s="222">
        <f>'Off-farm feed'!$F$77</f>
        <v>1.946970439026595E-4</v>
      </c>
      <c r="H253" s="222">
        <f>'Off-farm feed'!$G$77</f>
        <v>5.3103448275862083E-7</v>
      </c>
      <c r="I253" s="222">
        <f>'Off-farm feed'!$H$77</f>
        <v>4.2751561806777074E-4</v>
      </c>
      <c r="J253" s="222">
        <f>'Off-farm feed'!$I$77</f>
        <v>4.2751561806777089E-5</v>
      </c>
      <c r="K253" s="222">
        <f>'Off-farm feed'!$J$77</f>
        <v>6.6339607025480414E-7</v>
      </c>
      <c r="L253" s="222">
        <f>'Off-farm feed'!$K$77</f>
        <v>0</v>
      </c>
      <c r="M253" s="222">
        <f>'Off-farm feed'!$L$77</f>
        <v>7.9511067188965511E-9</v>
      </c>
      <c r="N253" s="222">
        <f>'Off-farm feed'!$M$77</f>
        <v>1.2789681892721844E-6</v>
      </c>
      <c r="O253" s="222">
        <f>'Off-farm feed'!$N$77</f>
        <v>0</v>
      </c>
      <c r="P253" s="222">
        <f>'Off-farm feed'!$O$77</f>
        <v>3.9312802868423834E-6</v>
      </c>
      <c r="Q253" s="222">
        <f>'Off-farm feed'!$P$77</f>
        <v>1.8277027027027027E-6</v>
      </c>
      <c r="R253" s="197">
        <f>'Parameters, country spec'!V26</f>
        <v>6.922058423346597E-2</v>
      </c>
    </row>
    <row r="254" spans="1:18" x14ac:dyDescent="0.35">
      <c r="B254" s="18" t="s">
        <v>346</v>
      </c>
      <c r="C254" s="17" t="s">
        <v>345</v>
      </c>
      <c r="D254" s="23" t="str">
        <f>'Off-farm feed'!$D$26</f>
        <v>Brazil, Argentina</v>
      </c>
      <c r="E254" s="23" t="s">
        <v>82</v>
      </c>
      <c r="F254" s="222">
        <f>'Off-farm feed'!$E$26</f>
        <v>1.8866346644602505E-4</v>
      </c>
      <c r="G254" s="222">
        <f>'Off-farm feed'!$F$26</f>
        <v>1.6332109719061441E-5</v>
      </c>
      <c r="H254" s="222">
        <f>'Off-farm feed'!$G$26</f>
        <v>8.7195121951219526E-7</v>
      </c>
      <c r="I254" s="222">
        <f>'Off-farm feed'!$H$26</f>
        <v>1.3333449845358202E-4</v>
      </c>
      <c r="J254" s="222">
        <f>'Off-farm feed'!$I$26</f>
        <v>1.3333449845358203E-5</v>
      </c>
      <c r="K254" s="222">
        <f>'Off-farm feed'!$J$26</f>
        <v>1.1576736579983931E-6</v>
      </c>
      <c r="L254" s="222">
        <f>'Off-farm feed'!$K$26</f>
        <v>0</v>
      </c>
      <c r="M254" s="222">
        <f>'Off-farm feed'!$L$26</f>
        <v>7.3437786087804866E-9</v>
      </c>
      <c r="N254" s="222">
        <f>'Off-farm feed'!$M$26</f>
        <v>1.1195281639512197E-6</v>
      </c>
      <c r="O254" s="222">
        <f>'Off-farm feed'!$N$26</f>
        <v>0</v>
      </c>
      <c r="P254" s="222">
        <f>'Off-farm feed'!$O$26</f>
        <v>1.3419073770114991E-5</v>
      </c>
      <c r="Q254" s="222">
        <f>'Off-farm feed'!$P$26</f>
        <v>9.087837837837838E-6</v>
      </c>
      <c r="R254" s="197">
        <f>'Parameters, country spec'!V27</f>
        <v>0.18854502859832106</v>
      </c>
    </row>
    <row r="255" spans="1:18" x14ac:dyDescent="0.35">
      <c r="B255" s="17" t="s">
        <v>233</v>
      </c>
      <c r="C255" s="17" t="s">
        <v>347</v>
      </c>
      <c r="D255" s="23" t="s">
        <v>112</v>
      </c>
      <c r="E255" s="23" t="s">
        <v>113</v>
      </c>
      <c r="F255" s="222"/>
      <c r="G255" s="14"/>
      <c r="H255" s="14"/>
      <c r="I255" s="14"/>
      <c r="J255" s="14"/>
      <c r="K255" s="14"/>
      <c r="L255" s="14"/>
      <c r="M255" s="14"/>
      <c r="N255" s="14"/>
      <c r="O255" s="14"/>
      <c r="P255" s="8"/>
      <c r="Q255" s="14"/>
      <c r="R255" s="197">
        <f>'Parameters, country spec'!V28</f>
        <v>7.1006092309495256E-2</v>
      </c>
    </row>
    <row r="256" spans="1:18" x14ac:dyDescent="0.35">
      <c r="A256" s="83"/>
      <c r="B256" s="17" t="s">
        <v>348</v>
      </c>
      <c r="C256" s="84" t="s">
        <v>349</v>
      </c>
      <c r="D256" s="23" t="s">
        <v>112</v>
      </c>
      <c r="E256" s="23" t="s">
        <v>113</v>
      </c>
      <c r="F256" s="222">
        <f t="shared" si="60"/>
        <v>5.7856143731057198E-4</v>
      </c>
      <c r="G256" s="82">
        <f t="shared" ref="G256:N256" si="61">AVERAGE(G246:G254)</f>
        <v>9.600556562014004E-5</v>
      </c>
      <c r="H256" s="82">
        <f t="shared" si="61"/>
        <v>1.0114428558078684E-6</v>
      </c>
      <c r="I256" s="82">
        <f t="shared" si="61"/>
        <v>4.356508581563975E-4</v>
      </c>
      <c r="J256" s="82">
        <f t="shared" si="61"/>
        <v>4.3565085815639758E-5</v>
      </c>
      <c r="K256" s="82">
        <f t="shared" si="61"/>
        <v>1.1506233916367569E-6</v>
      </c>
      <c r="L256" s="82">
        <f t="shared" si="61"/>
        <v>0</v>
      </c>
      <c r="M256" s="82">
        <f t="shared" si="61"/>
        <v>1.6994317030752262E-9</v>
      </c>
      <c r="N256" s="82">
        <f t="shared" si="61"/>
        <v>1.1761620392470449E-6</v>
      </c>
      <c r="O256" s="82"/>
      <c r="P256" s="81"/>
      <c r="Q256" s="82"/>
      <c r="R256" s="197">
        <f>'Parameters, country spec'!V29</f>
        <v>7.4508521916693965E-2</v>
      </c>
    </row>
    <row r="257" spans="1:18" x14ac:dyDescent="0.35">
      <c r="A257" s="195"/>
      <c r="B257" s="25" t="s">
        <v>350</v>
      </c>
      <c r="C257" s="26"/>
      <c r="D257" s="103"/>
      <c r="E257" s="103"/>
      <c r="F257" s="46">
        <f>SUMPRODUCT(F246:F256,$R$246:$R$256)</f>
        <v>5.9862125127272531E-4</v>
      </c>
      <c r="G257" s="46">
        <f t="shared" ref="G257" si="62">SUMPRODUCT(G246:G256,$R$306:$R$316)</f>
        <v>1.2497403558108268E-4</v>
      </c>
      <c r="H257" s="46">
        <f t="shared" ref="H257" si="63">SUMPRODUCT(H246:H256,$R$306:$R$316)</f>
        <v>1.0120743715540607E-6</v>
      </c>
      <c r="I257" s="46">
        <f t="shared" ref="I257" si="64">SUMPRODUCT(I246:I256,$R$306:$R$316)</f>
        <v>5.3920955424332812E-4</v>
      </c>
      <c r="J257" s="46">
        <f t="shared" ref="J257" si="65">SUMPRODUCT(J246:J256,$R$306:$R$316)</f>
        <v>5.3920955424332821E-5</v>
      </c>
      <c r="K257" s="46">
        <f t="shared" ref="K257" si="66">SUMPRODUCT(K246:K256,$R$306:$R$316)</f>
        <v>8.9514984944046306E-7</v>
      </c>
      <c r="L257" s="46">
        <f t="shared" ref="L257" si="67">SUMPRODUCT(L246:L256,$R$306:$R$316)</f>
        <v>0</v>
      </c>
      <c r="M257" s="46">
        <f t="shared" ref="M257" si="68">SUMPRODUCT(M246:M256,$R$306:$R$316)</f>
        <v>2.0374743192549284E-9</v>
      </c>
      <c r="N257" s="46">
        <f t="shared" ref="N257" si="69">SUMPRODUCT(N246:N256,$R$306:$R$316)</f>
        <v>1.168206206387458E-6</v>
      </c>
      <c r="O257" s="46">
        <f t="shared" ref="O257" si="70">SUMPRODUCT(O246:O256,$R$306:$R$316)</f>
        <v>0</v>
      </c>
      <c r="P257" s="30">
        <f>SUMPRODUCT(P246:P256,R246:R256)</f>
        <v>2.8022251659900483E-6</v>
      </c>
      <c r="Q257" s="46">
        <f t="shared" ref="Q257" si="71">SUMPRODUCT(Q246:Q256,$R$306:$R$316)</f>
        <v>1.8146216216216217E-6</v>
      </c>
      <c r="R257" s="198"/>
    </row>
    <row r="258" spans="1:18" x14ac:dyDescent="0.35">
      <c r="A258" s="22" t="s">
        <v>336</v>
      </c>
      <c r="B258" s="17" t="s">
        <v>218</v>
      </c>
      <c r="C258" s="17" t="s">
        <v>337</v>
      </c>
      <c r="D258" s="23" t="s">
        <v>114</v>
      </c>
      <c r="E258" s="23" t="s">
        <v>115</v>
      </c>
      <c r="F258" s="223">
        <f>SUM(G258:Q258)</f>
        <v>8.3700497241450582E-4</v>
      </c>
      <c r="G258" s="201">
        <v>1.3527187113652022E-4</v>
      </c>
      <c r="H258" s="202">
        <v>1.1000000000000001E-6</v>
      </c>
      <c r="I258" s="205">
        <v>6.348790825230616E-4</v>
      </c>
      <c r="J258" s="205">
        <v>6.3487908252306166E-5</v>
      </c>
      <c r="K258" s="205">
        <v>1.0965445026178011E-6</v>
      </c>
      <c r="L258" s="205"/>
      <c r="M258" s="205">
        <v>0</v>
      </c>
      <c r="N258" s="205">
        <v>1.1695660000000001E-6</v>
      </c>
      <c r="O258" s="205"/>
      <c r="P258" s="14"/>
      <c r="Q258" s="204"/>
      <c r="R258" s="208">
        <f>'Parameters, country spec'!W19</f>
        <v>1.5351195497979538E-3</v>
      </c>
    </row>
    <row r="259" spans="1:18" x14ac:dyDescent="0.35">
      <c r="A259" s="22" t="s">
        <v>338</v>
      </c>
      <c r="B259" s="17" t="s">
        <v>222</v>
      </c>
      <c r="C259" s="17" t="s">
        <v>337</v>
      </c>
      <c r="D259" s="23" t="s">
        <v>114</v>
      </c>
      <c r="E259" s="23" t="s">
        <v>115</v>
      </c>
      <c r="F259" s="221">
        <f t="shared" ref="F259:F264" si="72">SUM(G259:Q259)</f>
        <v>7.7064277808378814E-4</v>
      </c>
      <c r="G259" s="100">
        <v>1.3173663927780048E-4</v>
      </c>
      <c r="H259" s="101">
        <v>1.1000000000000001E-6</v>
      </c>
      <c r="I259" s="102">
        <v>5.7807906502645948E-4</v>
      </c>
      <c r="J259" s="102">
        <v>5.7807906502645948E-5</v>
      </c>
      <c r="K259" s="102">
        <v>7.4960127688222882E-7</v>
      </c>
      <c r="L259" s="102"/>
      <c r="M259" s="102">
        <v>0</v>
      </c>
      <c r="N259" s="102">
        <v>1.1695660000000001E-6</v>
      </c>
      <c r="O259" s="102"/>
      <c r="P259" s="14"/>
      <c r="Q259" s="14"/>
      <c r="R259" s="197">
        <f>'Parameters, country spec'!W20</f>
        <v>0.39951628665125294</v>
      </c>
    </row>
    <row r="260" spans="1:18" x14ac:dyDescent="0.35">
      <c r="A260" s="22" t="s">
        <v>339</v>
      </c>
      <c r="B260" s="17" t="s">
        <v>226</v>
      </c>
      <c r="C260" s="17" t="s">
        <v>337</v>
      </c>
      <c r="D260" s="23" t="s">
        <v>114</v>
      </c>
      <c r="E260" s="23" t="s">
        <v>115</v>
      </c>
      <c r="F260" s="221">
        <f t="shared" si="72"/>
        <v>7.4080189535590966E-4</v>
      </c>
      <c r="G260" s="100">
        <v>1.1925038042019814E-4</v>
      </c>
      <c r="H260" s="101">
        <v>1.1000000000000001E-6</v>
      </c>
      <c r="I260" s="102">
        <v>5.6184338890070615E-4</v>
      </c>
      <c r="J260" s="102">
        <v>5.6184338890070617E-5</v>
      </c>
      <c r="K260" s="102">
        <v>1.2542211449347684E-6</v>
      </c>
      <c r="L260" s="102"/>
      <c r="M260" s="102">
        <v>0</v>
      </c>
      <c r="N260" s="102">
        <v>1.1695660000000001E-6</v>
      </c>
      <c r="O260" s="102"/>
      <c r="P260" s="14"/>
      <c r="Q260" s="14"/>
      <c r="R260" s="197">
        <f>'Parameters, country spec'!W21</f>
        <v>4.8828546271820782E-2</v>
      </c>
    </row>
    <row r="261" spans="1:18" x14ac:dyDescent="0.35">
      <c r="A261" s="22" t="s">
        <v>340</v>
      </c>
      <c r="B261" s="17" t="s">
        <v>227</v>
      </c>
      <c r="C261" s="17" t="s">
        <v>337</v>
      </c>
      <c r="D261" s="23" t="s">
        <v>114</v>
      </c>
      <c r="E261" s="23" t="s">
        <v>115</v>
      </c>
      <c r="F261" s="221">
        <f t="shared" si="72"/>
        <v>6.6289501004433845E-4</v>
      </c>
      <c r="G261" s="100">
        <v>1.0503816802565812E-4</v>
      </c>
      <c r="H261" s="101">
        <v>1.1000000000000001E-6</v>
      </c>
      <c r="I261" s="102">
        <v>5.0432765635150922E-4</v>
      </c>
      <c r="J261" s="102">
        <v>5.0432765635150922E-5</v>
      </c>
      <c r="K261" s="102">
        <v>8.2685403202016689E-7</v>
      </c>
      <c r="L261" s="102"/>
      <c r="M261" s="102">
        <v>0</v>
      </c>
      <c r="N261" s="102">
        <v>1.1695660000000001E-6</v>
      </c>
      <c r="O261" s="102"/>
      <c r="P261" s="14"/>
      <c r="Q261" s="14"/>
      <c r="R261" s="197">
        <f>'Parameters, country spec'!W22</f>
        <v>2.3113486819224208E-3</v>
      </c>
    </row>
    <row r="262" spans="1:18" x14ac:dyDescent="0.35">
      <c r="A262" s="22" t="s">
        <v>341</v>
      </c>
      <c r="B262" s="17" t="s">
        <v>228</v>
      </c>
      <c r="C262" s="17" t="s">
        <v>337</v>
      </c>
      <c r="D262" s="23" t="s">
        <v>114</v>
      </c>
      <c r="E262" s="23" t="s">
        <v>115</v>
      </c>
      <c r="F262" s="221">
        <f t="shared" si="72"/>
        <v>9.1657094895803305E-4</v>
      </c>
      <c r="G262" s="100">
        <v>1.5506058283512638E-4</v>
      </c>
      <c r="H262" s="101">
        <v>1.1000000000000001E-6</v>
      </c>
      <c r="I262" s="102">
        <v>6.8950683668766316E-4</v>
      </c>
      <c r="J262" s="102">
        <v>6.8950683668766316E-5</v>
      </c>
      <c r="K262" s="102">
        <v>7.832797664771855E-7</v>
      </c>
      <c r="L262" s="102"/>
      <c r="M262" s="102">
        <v>0</v>
      </c>
      <c r="N262" s="102">
        <v>1.1695660000000001E-6</v>
      </c>
      <c r="O262" s="102"/>
      <c r="P262" s="14"/>
      <c r="Q262" s="14"/>
      <c r="R262" s="197">
        <f>'Parameters, country spec'!W23</f>
        <v>7.3213245865759558E-2</v>
      </c>
    </row>
    <row r="263" spans="1:18" x14ac:dyDescent="0.35">
      <c r="A263" s="22" t="s">
        <v>342</v>
      </c>
      <c r="B263" s="17" t="s">
        <v>229</v>
      </c>
      <c r="C263" s="17" t="s">
        <v>343</v>
      </c>
      <c r="D263" s="23" t="s">
        <v>114</v>
      </c>
      <c r="E263" s="23" t="s">
        <v>115</v>
      </c>
      <c r="F263" s="221">
        <f t="shared" si="72"/>
        <v>2.0683180874021213E-4</v>
      </c>
      <c r="G263" s="100">
        <v>0</v>
      </c>
      <c r="H263" s="101">
        <v>1.1000000000000001E-6</v>
      </c>
      <c r="I263" s="102">
        <v>1.8457296000000002E-4</v>
      </c>
      <c r="J263" s="102">
        <v>1.8457296000000003E-5</v>
      </c>
      <c r="K263" s="102">
        <v>1.5319867402121297E-6</v>
      </c>
      <c r="L263" s="102"/>
      <c r="M263" s="102">
        <v>0</v>
      </c>
      <c r="N263" s="102">
        <v>1.1695660000000001E-6</v>
      </c>
      <c r="O263" s="102"/>
      <c r="P263" s="14"/>
      <c r="Q263" s="14"/>
      <c r="R263" s="197">
        <f>'Parameters, country spec'!W24</f>
        <v>3.3499690113704197E-3</v>
      </c>
    </row>
    <row r="264" spans="1:18" x14ac:dyDescent="0.35">
      <c r="A264" s="22" t="s">
        <v>344</v>
      </c>
      <c r="B264" s="17" t="s">
        <v>230</v>
      </c>
      <c r="C264" s="17" t="s">
        <v>343</v>
      </c>
      <c r="D264" s="23" t="s">
        <v>114</v>
      </c>
      <c r="E264" s="23" t="s">
        <v>115</v>
      </c>
      <c r="F264" s="221">
        <f t="shared" si="72"/>
        <v>2.3870339373407735E-4</v>
      </c>
      <c r="G264" s="100">
        <v>6.6632952642360706E-6</v>
      </c>
      <c r="H264" s="101">
        <v>1.1000000000000001E-6</v>
      </c>
      <c r="I264" s="102">
        <v>2.067986173968254E-4</v>
      </c>
      <c r="J264" s="102">
        <v>2.0679861739682541E-5</v>
      </c>
      <c r="K264" s="102">
        <v>2.2920533333333338E-6</v>
      </c>
      <c r="L264" s="102"/>
      <c r="M264" s="102">
        <v>0</v>
      </c>
      <c r="N264" s="102">
        <v>1.1695660000000001E-6</v>
      </c>
      <c r="O264" s="102"/>
      <c r="P264" s="14"/>
      <c r="Q264" s="14"/>
      <c r="R264" s="197">
        <f>'Parameters, country spec'!W25</f>
        <v>3.2907735164211826E-3</v>
      </c>
    </row>
    <row r="265" spans="1:18" x14ac:dyDescent="0.35">
      <c r="B265" s="18" t="s">
        <v>231</v>
      </c>
      <c r="C265" s="17" t="s">
        <v>345</v>
      </c>
      <c r="D265" s="23" t="str">
        <f>'Off-farm feed'!$D$77</f>
        <v>France, Germany, Poland</v>
      </c>
      <c r="E265" s="23" t="s">
        <v>82</v>
      </c>
      <c r="F265" s="222">
        <f>'Off-farm feed'!$E$77</f>
        <v>6.732045566157569E-4</v>
      </c>
      <c r="G265" s="222">
        <f>'Off-farm feed'!$F$77</f>
        <v>1.946970439026595E-4</v>
      </c>
      <c r="H265" s="222">
        <f>'Off-farm feed'!$G$77</f>
        <v>5.3103448275862083E-7</v>
      </c>
      <c r="I265" s="222">
        <f>'Off-farm feed'!$H$77</f>
        <v>4.2751561806777074E-4</v>
      </c>
      <c r="J265" s="222">
        <f>'Off-farm feed'!$I$77</f>
        <v>4.2751561806777089E-5</v>
      </c>
      <c r="K265" s="222">
        <f>'Off-farm feed'!$J$77</f>
        <v>6.6339607025480414E-7</v>
      </c>
      <c r="L265" s="222">
        <f>'Off-farm feed'!$K$77</f>
        <v>0</v>
      </c>
      <c r="M265" s="222">
        <f>'Off-farm feed'!$L$77</f>
        <v>7.9511067188965511E-9</v>
      </c>
      <c r="N265" s="222">
        <f>'Off-farm feed'!$M$77</f>
        <v>1.2789681892721844E-6</v>
      </c>
      <c r="O265" s="222">
        <f>'Off-farm feed'!$N$77</f>
        <v>0</v>
      </c>
      <c r="P265" s="222">
        <f>'Off-farm feed'!$O$77</f>
        <v>3.9312802868423834E-6</v>
      </c>
      <c r="Q265" s="222">
        <f>'Off-farm feed'!$P$77</f>
        <v>1.8277027027027027E-6</v>
      </c>
      <c r="R265" s="197">
        <f>'Parameters, country spec'!W26</f>
        <v>8.9876652423850362E-3</v>
      </c>
    </row>
    <row r="266" spans="1:18" x14ac:dyDescent="0.35">
      <c r="B266" s="18" t="s">
        <v>346</v>
      </c>
      <c r="C266" s="17" t="s">
        <v>345</v>
      </c>
      <c r="D266" s="23" t="str">
        <f>'Off-farm feed'!$D$26</f>
        <v>Brazil, Argentina</v>
      </c>
      <c r="E266" s="23" t="s">
        <v>82</v>
      </c>
      <c r="F266" s="222">
        <f>'Off-farm feed'!$E$26</f>
        <v>1.8866346644602505E-4</v>
      </c>
      <c r="G266" s="222">
        <f>'Off-farm feed'!$F$26</f>
        <v>1.6332109719061441E-5</v>
      </c>
      <c r="H266" s="222">
        <f>'Off-farm feed'!$G$26</f>
        <v>8.7195121951219526E-7</v>
      </c>
      <c r="I266" s="222">
        <f>'Off-farm feed'!$H$26</f>
        <v>1.3333449845358202E-4</v>
      </c>
      <c r="J266" s="222">
        <f>'Off-farm feed'!$I$26</f>
        <v>1.3333449845358203E-5</v>
      </c>
      <c r="K266" s="222">
        <f>'Off-farm feed'!$J$26</f>
        <v>1.1576736579983931E-6</v>
      </c>
      <c r="L266" s="222">
        <f>'Off-farm feed'!$K$26</f>
        <v>0</v>
      </c>
      <c r="M266" s="222">
        <f>'Off-farm feed'!$L$26</f>
        <v>7.3437786087804866E-9</v>
      </c>
      <c r="N266" s="222">
        <f>'Off-farm feed'!$M$26</f>
        <v>1.1195281639512197E-6</v>
      </c>
      <c r="O266" s="222">
        <f>'Off-farm feed'!$N$26</f>
        <v>0</v>
      </c>
      <c r="P266" s="222">
        <f>'Off-farm feed'!$O$26</f>
        <v>1.3419073770114991E-5</v>
      </c>
      <c r="Q266" s="222">
        <f>'Off-farm feed'!$P$26</f>
        <v>9.087837837837838E-6</v>
      </c>
      <c r="R266" s="197">
        <f>'Parameters, country spec'!W27</f>
        <v>7.662310655062049E-2</v>
      </c>
    </row>
    <row r="267" spans="1:18" x14ac:dyDescent="0.35">
      <c r="B267" s="17" t="s">
        <v>233</v>
      </c>
      <c r="C267" s="17" t="s">
        <v>347</v>
      </c>
      <c r="D267" s="23" t="s">
        <v>114</v>
      </c>
      <c r="E267" s="23" t="s">
        <v>115</v>
      </c>
      <c r="F267" s="222"/>
      <c r="G267" s="14"/>
      <c r="H267" s="14"/>
      <c r="I267" s="14"/>
      <c r="J267" s="14"/>
      <c r="K267" s="14"/>
      <c r="L267" s="14"/>
      <c r="M267" s="14"/>
      <c r="N267" s="14"/>
      <c r="O267" s="14"/>
      <c r="P267" s="8"/>
      <c r="Q267" s="14"/>
      <c r="R267" s="197">
        <f>'Parameters, country spec'!W28</f>
        <v>0.23650160713218851</v>
      </c>
    </row>
    <row r="268" spans="1:18" x14ac:dyDescent="0.35">
      <c r="A268" s="83"/>
      <c r="B268" s="17" t="s">
        <v>348</v>
      </c>
      <c r="C268" s="84" t="s">
        <v>349</v>
      </c>
      <c r="D268" s="23" t="s">
        <v>114</v>
      </c>
      <c r="E268" s="23" t="s">
        <v>115</v>
      </c>
      <c r="F268" s="222">
        <f>SUM(G268:Q268)</f>
        <v>5.7856143731057198E-4</v>
      </c>
      <c r="G268" s="82">
        <f t="shared" ref="G268:N268" si="73">AVERAGE(G258:G266)</f>
        <v>9.600556562014004E-5</v>
      </c>
      <c r="H268" s="82">
        <f t="shared" si="73"/>
        <v>1.0114428558078684E-6</v>
      </c>
      <c r="I268" s="82">
        <f t="shared" si="73"/>
        <v>4.356508581563975E-4</v>
      </c>
      <c r="J268" s="82">
        <f t="shared" si="73"/>
        <v>4.3565085815639758E-5</v>
      </c>
      <c r="K268" s="82">
        <f t="shared" si="73"/>
        <v>1.1506233916367569E-6</v>
      </c>
      <c r="L268" s="82">
        <f t="shared" si="73"/>
        <v>0</v>
      </c>
      <c r="M268" s="82">
        <f t="shared" si="73"/>
        <v>1.6994317030752262E-9</v>
      </c>
      <c r="N268" s="82">
        <f t="shared" si="73"/>
        <v>1.1761620392470449E-6</v>
      </c>
      <c r="O268" s="82"/>
      <c r="P268" s="81"/>
      <c r="Q268" s="82"/>
      <c r="R268" s="197">
        <f>'Parameters, country spec'!W29</f>
        <v>0.14584233152646073</v>
      </c>
    </row>
    <row r="269" spans="1:18" x14ac:dyDescent="0.35">
      <c r="A269" s="195"/>
      <c r="B269" s="25" t="s">
        <v>350</v>
      </c>
      <c r="C269" s="26"/>
      <c r="D269" s="103"/>
      <c r="E269" s="103"/>
      <c r="F269" s="46">
        <f>SUMPRODUCT(F258:F268,$R$258:$R$268)</f>
        <v>5.2034250509502009E-4</v>
      </c>
      <c r="G269" s="46">
        <f t="shared" ref="G269:O269" si="74">SUMPRODUCT(G258:G268,$R$258:$R$268)</f>
        <v>8.7281574321420072E-5</v>
      </c>
      <c r="H269" s="46">
        <f t="shared" si="74"/>
        <v>8.0434537416280516E-7</v>
      </c>
      <c r="I269" s="46">
        <f t="shared" si="74"/>
        <v>3.8990137201599218E-4</v>
      </c>
      <c r="J269" s="46">
        <f t="shared" si="74"/>
        <v>3.8990137201599214E-5</v>
      </c>
      <c r="K269" s="46">
        <f t="shared" si="74"/>
        <v>6.9681191133309131E-7</v>
      </c>
      <c r="L269" s="46">
        <f t="shared" si="74"/>
        <v>0</v>
      </c>
      <c r="M269" s="46">
        <f t="shared" si="74"/>
        <v>8.8201409816715026E-10</v>
      </c>
      <c r="N269" s="46">
        <f t="shared" si="74"/>
        <v>8.9107295890629813E-7</v>
      </c>
      <c r="O269" s="46">
        <f t="shared" si="74"/>
        <v>0</v>
      </c>
      <c r="P269" s="30">
        <f>SUMPRODUCT(P258:P268,R258:R268)</f>
        <v>1.0635441504902844E-6</v>
      </c>
      <c r="Q269" s="46">
        <f>SUMPRODUCT(Q258:Q268,$R$258:$R$268)</f>
        <v>7.1276514701790349E-7</v>
      </c>
      <c r="R269" s="198"/>
    </row>
    <row r="270" spans="1:18" x14ac:dyDescent="0.35">
      <c r="A270" s="22" t="s">
        <v>336</v>
      </c>
      <c r="B270" s="17" t="s">
        <v>218</v>
      </c>
      <c r="C270" s="17" t="s">
        <v>337</v>
      </c>
      <c r="D270" s="23" t="s">
        <v>174</v>
      </c>
      <c r="E270" s="23" t="s">
        <v>117</v>
      </c>
      <c r="F270" s="223">
        <f>SUM(G270:Q270)</f>
        <v>8.3700497241450582E-4</v>
      </c>
      <c r="G270" s="201">
        <v>1.3527187113652022E-4</v>
      </c>
      <c r="H270" s="202">
        <v>1.1000000000000001E-6</v>
      </c>
      <c r="I270" s="205">
        <v>6.348790825230616E-4</v>
      </c>
      <c r="J270" s="205">
        <v>6.3487908252306166E-5</v>
      </c>
      <c r="K270" s="205">
        <v>1.0965445026178011E-6</v>
      </c>
      <c r="L270" s="205"/>
      <c r="M270" s="205">
        <v>0</v>
      </c>
      <c r="N270" s="205">
        <v>1.1695660000000001E-6</v>
      </c>
      <c r="O270" s="205"/>
      <c r="P270" s="14"/>
      <c r="Q270" s="204"/>
      <c r="R270" s="208">
        <f>'Parameters, country spec'!X19</f>
        <v>3.9590008059926378E-4</v>
      </c>
    </row>
    <row r="271" spans="1:18" x14ac:dyDescent="0.35">
      <c r="A271" s="22" t="s">
        <v>338</v>
      </c>
      <c r="B271" s="17" t="s">
        <v>222</v>
      </c>
      <c r="C271" s="17" t="s">
        <v>337</v>
      </c>
      <c r="D271" s="23" t="s">
        <v>174</v>
      </c>
      <c r="E271" s="23" t="s">
        <v>117</v>
      </c>
      <c r="F271" s="221">
        <f t="shared" ref="F271:F280" si="75">SUM(G271:Q271)</f>
        <v>7.7064277808378814E-4</v>
      </c>
      <c r="G271" s="100">
        <v>1.3173663927780048E-4</v>
      </c>
      <c r="H271" s="101">
        <v>1.1000000000000001E-6</v>
      </c>
      <c r="I271" s="102">
        <v>5.7807906502645948E-4</v>
      </c>
      <c r="J271" s="102">
        <v>5.7807906502645948E-5</v>
      </c>
      <c r="K271" s="102">
        <v>7.4960127688222882E-7</v>
      </c>
      <c r="L271" s="102"/>
      <c r="M271" s="102">
        <v>0</v>
      </c>
      <c r="N271" s="102">
        <v>1.1695660000000001E-6</v>
      </c>
      <c r="O271" s="102"/>
      <c r="P271" s="14"/>
      <c r="Q271" s="14"/>
      <c r="R271" s="197">
        <f>'Parameters, country spec'!X20</f>
        <v>0.50619251501390061</v>
      </c>
    </row>
    <row r="272" spans="1:18" x14ac:dyDescent="0.35">
      <c r="A272" s="22" t="s">
        <v>339</v>
      </c>
      <c r="B272" s="17" t="s">
        <v>226</v>
      </c>
      <c r="C272" s="17" t="s">
        <v>337</v>
      </c>
      <c r="D272" s="23" t="s">
        <v>174</v>
      </c>
      <c r="E272" s="23" t="s">
        <v>117</v>
      </c>
      <c r="F272" s="221">
        <f t="shared" si="75"/>
        <v>7.4080189535590966E-4</v>
      </c>
      <c r="G272" s="100">
        <v>1.1925038042019814E-4</v>
      </c>
      <c r="H272" s="101">
        <v>1.1000000000000001E-6</v>
      </c>
      <c r="I272" s="102">
        <v>5.6184338890070615E-4</v>
      </c>
      <c r="J272" s="102">
        <v>5.6184338890070617E-5</v>
      </c>
      <c r="K272" s="102">
        <v>1.2542211449347684E-6</v>
      </c>
      <c r="L272" s="102"/>
      <c r="M272" s="102">
        <v>0</v>
      </c>
      <c r="N272" s="102">
        <v>1.1695660000000001E-6</v>
      </c>
      <c r="O272" s="102"/>
      <c r="P272" s="14"/>
      <c r="Q272" s="14"/>
      <c r="R272" s="197">
        <f>'Parameters, country spec'!X21</f>
        <v>3.0043185418315171E-2</v>
      </c>
    </row>
    <row r="273" spans="1:18" x14ac:dyDescent="0.35">
      <c r="A273" s="22" t="s">
        <v>340</v>
      </c>
      <c r="B273" s="17" t="s">
        <v>227</v>
      </c>
      <c r="C273" s="17" t="s">
        <v>337</v>
      </c>
      <c r="D273" s="23" t="s">
        <v>174</v>
      </c>
      <c r="E273" s="23" t="s">
        <v>117</v>
      </c>
      <c r="F273" s="221">
        <f t="shared" si="75"/>
        <v>6.6289501004433845E-4</v>
      </c>
      <c r="G273" s="100">
        <v>1.0503816802565812E-4</v>
      </c>
      <c r="H273" s="101">
        <v>1.1000000000000001E-6</v>
      </c>
      <c r="I273" s="102">
        <v>5.0432765635150922E-4</v>
      </c>
      <c r="J273" s="102">
        <v>5.0432765635150922E-5</v>
      </c>
      <c r="K273" s="102">
        <v>8.2685403202016689E-7</v>
      </c>
      <c r="L273" s="102"/>
      <c r="M273" s="102">
        <v>0</v>
      </c>
      <c r="N273" s="102">
        <v>1.1695660000000001E-6</v>
      </c>
      <c r="O273" s="102"/>
      <c r="P273" s="14"/>
      <c r="Q273" s="14"/>
      <c r="R273" s="197">
        <f>'Parameters, country spec'!X22</f>
        <v>1.3503018628554982E-4</v>
      </c>
    </row>
    <row r="274" spans="1:18" x14ac:dyDescent="0.35">
      <c r="A274" s="22" t="s">
        <v>341</v>
      </c>
      <c r="B274" s="17" t="s">
        <v>228</v>
      </c>
      <c r="C274" s="17" t="s">
        <v>337</v>
      </c>
      <c r="D274" s="23" t="s">
        <v>174</v>
      </c>
      <c r="E274" s="23" t="s">
        <v>117</v>
      </c>
      <c r="F274" s="221">
        <f t="shared" si="75"/>
        <v>9.1657094895803305E-4</v>
      </c>
      <c r="G274" s="100">
        <v>1.5506058283512638E-4</v>
      </c>
      <c r="H274" s="101">
        <v>1.1000000000000001E-6</v>
      </c>
      <c r="I274" s="102">
        <v>6.8950683668766316E-4</v>
      </c>
      <c r="J274" s="102">
        <v>6.8950683668766316E-5</v>
      </c>
      <c r="K274" s="102">
        <v>7.832797664771855E-7</v>
      </c>
      <c r="L274" s="102"/>
      <c r="M274" s="102">
        <v>0</v>
      </c>
      <c r="N274" s="102">
        <v>1.1695660000000001E-6</v>
      </c>
      <c r="O274" s="102"/>
      <c r="P274" s="14"/>
      <c r="Q274" s="14"/>
      <c r="R274" s="197">
        <f>'Parameters, country spec'!X23</f>
        <v>4.853698847181781E-2</v>
      </c>
    </row>
    <row r="275" spans="1:18" x14ac:dyDescent="0.35">
      <c r="A275" s="22" t="s">
        <v>342</v>
      </c>
      <c r="B275" s="17" t="s">
        <v>229</v>
      </c>
      <c r="C275" s="17" t="s">
        <v>343</v>
      </c>
      <c r="D275" s="23" t="s">
        <v>174</v>
      </c>
      <c r="E275" s="23" t="s">
        <v>117</v>
      </c>
      <c r="F275" s="221">
        <f t="shared" si="75"/>
        <v>2.0683180874021213E-4</v>
      </c>
      <c r="G275" s="100">
        <v>0</v>
      </c>
      <c r="H275" s="101">
        <v>1.1000000000000001E-6</v>
      </c>
      <c r="I275" s="102">
        <v>1.8457296000000002E-4</v>
      </c>
      <c r="J275" s="102">
        <v>1.8457296000000003E-5</v>
      </c>
      <c r="K275" s="102">
        <v>1.5319867402121297E-6</v>
      </c>
      <c r="L275" s="102"/>
      <c r="M275" s="102">
        <v>0</v>
      </c>
      <c r="N275" s="102">
        <v>1.1695660000000001E-6</v>
      </c>
      <c r="O275" s="102"/>
      <c r="P275" s="14"/>
      <c r="Q275" s="14"/>
      <c r="R275" s="197">
        <f>'Parameters, country spec'!X24</f>
        <v>1.724021675043458E-3</v>
      </c>
    </row>
    <row r="276" spans="1:18" x14ac:dyDescent="0.35">
      <c r="A276" s="22" t="s">
        <v>344</v>
      </c>
      <c r="B276" s="17" t="s">
        <v>230</v>
      </c>
      <c r="C276" s="17" t="s">
        <v>343</v>
      </c>
      <c r="D276" s="23" t="s">
        <v>174</v>
      </c>
      <c r="E276" s="23" t="s">
        <v>117</v>
      </c>
      <c r="F276" s="221">
        <f t="shared" si="75"/>
        <v>2.3870339373407735E-4</v>
      </c>
      <c r="G276" s="100">
        <v>6.6632952642360706E-6</v>
      </c>
      <c r="H276" s="101">
        <v>1.1000000000000001E-6</v>
      </c>
      <c r="I276" s="102">
        <v>2.067986173968254E-4</v>
      </c>
      <c r="J276" s="102">
        <v>2.0679861739682541E-5</v>
      </c>
      <c r="K276" s="102">
        <v>2.2920533333333338E-6</v>
      </c>
      <c r="L276" s="102"/>
      <c r="M276" s="102">
        <v>0</v>
      </c>
      <c r="N276" s="102">
        <v>1.1695660000000001E-6</v>
      </c>
      <c r="O276" s="102"/>
      <c r="P276" s="14"/>
      <c r="Q276" s="14"/>
      <c r="R276" s="197">
        <f>'Parameters, country spec'!X25</f>
        <v>1.6935574178231526E-3</v>
      </c>
    </row>
    <row r="277" spans="1:18" x14ac:dyDescent="0.35">
      <c r="B277" s="18" t="s">
        <v>231</v>
      </c>
      <c r="C277" s="17" t="s">
        <v>345</v>
      </c>
      <c r="D277" s="23" t="str">
        <f>'Off-farm feed'!$D$77</f>
        <v>France, Germany, Poland</v>
      </c>
      <c r="E277" s="23" t="s">
        <v>82</v>
      </c>
      <c r="F277" s="222">
        <f>'Off-farm feed'!$E$77</f>
        <v>6.732045566157569E-4</v>
      </c>
      <c r="G277" s="222">
        <f>'Off-farm feed'!$F$77</f>
        <v>1.946970439026595E-4</v>
      </c>
      <c r="H277" s="222">
        <f>'Off-farm feed'!$G$77</f>
        <v>5.3103448275862083E-7</v>
      </c>
      <c r="I277" s="222">
        <f>'Off-farm feed'!$H$77</f>
        <v>4.2751561806777074E-4</v>
      </c>
      <c r="J277" s="222">
        <f>'Off-farm feed'!$I$77</f>
        <v>4.2751561806777089E-5</v>
      </c>
      <c r="K277" s="222">
        <f>'Off-farm feed'!$J$77</f>
        <v>6.6339607025480414E-7</v>
      </c>
      <c r="L277" s="222">
        <f>'Off-farm feed'!$K$77</f>
        <v>0</v>
      </c>
      <c r="M277" s="222">
        <f>'Off-farm feed'!$L$77</f>
        <v>7.9511067188965511E-9</v>
      </c>
      <c r="N277" s="222">
        <f>'Off-farm feed'!$M$77</f>
        <v>1.2789681892721844E-6</v>
      </c>
      <c r="O277" s="222">
        <f>'Off-farm feed'!$N$77</f>
        <v>0</v>
      </c>
      <c r="P277" s="222">
        <f>'Off-farm feed'!$O$77</f>
        <v>3.9312802868423834E-6</v>
      </c>
      <c r="Q277" s="222">
        <f>'Off-farm feed'!$P$77</f>
        <v>1.8277027027027027E-6</v>
      </c>
      <c r="R277" s="197">
        <f>'Parameters, country spec'!X26</f>
        <v>5.1577992078972006E-2</v>
      </c>
    </row>
    <row r="278" spans="1:18" x14ac:dyDescent="0.35">
      <c r="B278" s="18" t="s">
        <v>346</v>
      </c>
      <c r="C278" s="17" t="s">
        <v>345</v>
      </c>
      <c r="D278" s="23" t="str">
        <f>'Off-farm feed'!$D$26</f>
        <v>Brazil, Argentina</v>
      </c>
      <c r="E278" s="23" t="s">
        <v>82</v>
      </c>
      <c r="F278" s="222">
        <f>'Off-farm feed'!$E$26</f>
        <v>1.8866346644602505E-4</v>
      </c>
      <c r="G278" s="222">
        <f>'Off-farm feed'!$F$26</f>
        <v>1.6332109719061441E-5</v>
      </c>
      <c r="H278" s="222">
        <f>'Off-farm feed'!$G$26</f>
        <v>8.7195121951219526E-7</v>
      </c>
      <c r="I278" s="222">
        <f>'Off-farm feed'!$H$26</f>
        <v>1.3333449845358202E-4</v>
      </c>
      <c r="J278" s="222">
        <f>'Off-farm feed'!$I$26</f>
        <v>1.3333449845358203E-5</v>
      </c>
      <c r="K278" s="222">
        <f>'Off-farm feed'!$J$26</f>
        <v>1.1576736579983931E-6</v>
      </c>
      <c r="L278" s="222">
        <f>'Off-farm feed'!$K$26</f>
        <v>0</v>
      </c>
      <c r="M278" s="222">
        <f>'Off-farm feed'!$L$26</f>
        <v>7.3437786087804866E-9</v>
      </c>
      <c r="N278" s="222">
        <f>'Off-farm feed'!$M$26</f>
        <v>1.1195281639512197E-6</v>
      </c>
      <c r="O278" s="222">
        <f>'Off-farm feed'!$N$26</f>
        <v>0</v>
      </c>
      <c r="P278" s="222">
        <f>'Off-farm feed'!$O$26</f>
        <v>1.3419073770114991E-5</v>
      </c>
      <c r="Q278" s="222">
        <f>'Off-farm feed'!$P$26</f>
        <v>9.087837837837838E-6</v>
      </c>
      <c r="R278" s="197">
        <f>'Parameters, country spec'!X27</f>
        <v>0.11486739675333682</v>
      </c>
    </row>
    <row r="279" spans="1:18" x14ac:dyDescent="0.35">
      <c r="B279" s="17" t="s">
        <v>233</v>
      </c>
      <c r="C279" s="17" t="s">
        <v>347</v>
      </c>
      <c r="D279" s="23" t="s">
        <v>174</v>
      </c>
      <c r="E279" s="23" t="s">
        <v>117</v>
      </c>
      <c r="F279" s="222"/>
      <c r="G279" s="14"/>
      <c r="H279" s="14"/>
      <c r="I279" s="14"/>
      <c r="J279" s="14"/>
      <c r="K279" s="14"/>
      <c r="L279" s="14"/>
      <c r="M279" s="14"/>
      <c r="N279" s="14"/>
      <c r="O279" s="14"/>
      <c r="P279" s="8"/>
      <c r="Q279" s="14"/>
      <c r="R279" s="197">
        <f>'Parameters, country spec'!X28</f>
        <v>0.15848397991396601</v>
      </c>
    </row>
    <row r="280" spans="1:18" x14ac:dyDescent="0.35">
      <c r="A280" s="83"/>
      <c r="B280" s="17" t="s">
        <v>348</v>
      </c>
      <c r="C280" s="84" t="s">
        <v>349</v>
      </c>
      <c r="D280" s="23" t="s">
        <v>174</v>
      </c>
      <c r="E280" s="23" t="s">
        <v>117</v>
      </c>
      <c r="F280" s="222">
        <f t="shared" si="75"/>
        <v>5.7856143731057198E-4</v>
      </c>
      <c r="G280" s="82">
        <f t="shared" ref="G280:N280" si="76">AVERAGE(G270:G278)</f>
        <v>9.600556562014004E-5</v>
      </c>
      <c r="H280" s="82">
        <f t="shared" si="76"/>
        <v>1.0114428558078684E-6</v>
      </c>
      <c r="I280" s="82">
        <f t="shared" si="76"/>
        <v>4.356508581563975E-4</v>
      </c>
      <c r="J280" s="82">
        <f t="shared" si="76"/>
        <v>4.3565085815639758E-5</v>
      </c>
      <c r="K280" s="82">
        <f t="shared" si="76"/>
        <v>1.1506233916367569E-6</v>
      </c>
      <c r="L280" s="82">
        <f t="shared" si="76"/>
        <v>0</v>
      </c>
      <c r="M280" s="82">
        <f t="shared" si="76"/>
        <v>1.6994317030752262E-9</v>
      </c>
      <c r="N280" s="82">
        <f t="shared" si="76"/>
        <v>1.1761620392470449E-6</v>
      </c>
      <c r="O280" s="82"/>
      <c r="P280" s="81"/>
      <c r="Q280" s="82"/>
      <c r="R280" s="197">
        <f>'Parameters, country spec'!X29</f>
        <v>8.6349432989940189E-2</v>
      </c>
    </row>
    <row r="281" spans="1:18" x14ac:dyDescent="0.35">
      <c r="A281" s="195"/>
      <c r="B281" s="25" t="s">
        <v>350</v>
      </c>
      <c r="C281" s="26"/>
      <c r="D281" s="103"/>
      <c r="E281" s="103"/>
      <c r="F281" s="46">
        <f>SUMPRODUCT(F270:F280,$R$270:$R$280)</f>
        <v>5.6437124249972108E-4</v>
      </c>
      <c r="G281" s="46">
        <f t="shared" ref="G281:O281" si="77">SUMPRODUCT(G270:G280,$R$270:$R$280)</f>
        <v>9.8080093578689281E-5</v>
      </c>
      <c r="H281" s="46">
        <f t="shared" si="77"/>
        <v>8.6247929421754703E-7</v>
      </c>
      <c r="I281" s="46">
        <f t="shared" si="77"/>
        <v>4.1893771602895437E-4</v>
      </c>
      <c r="J281" s="46">
        <f t="shared" si="77"/>
        <v>4.1893771602895435E-5</v>
      </c>
      <c r="K281" s="46">
        <f t="shared" si="77"/>
        <v>7.287613436866719E-7</v>
      </c>
      <c r="L281" s="46">
        <f t="shared" si="77"/>
        <v>0</v>
      </c>
      <c r="M281" s="46">
        <f t="shared" si="77"/>
        <v>1.4004078144554377E-9</v>
      </c>
      <c r="N281" s="46">
        <f t="shared" si="77"/>
        <v>9.8467311908251337E-7</v>
      </c>
      <c r="O281" s="46">
        <f t="shared" si="77"/>
        <v>0</v>
      </c>
      <c r="P281" s="30">
        <f>SUMPRODUCT(P270:P280,R270:R280)</f>
        <v>1.7441816143090692E-6</v>
      </c>
      <c r="Q281" s="46">
        <f>SUMPRODUCT(Q270:Q280,$R$270:$R$280)</f>
        <v>1.1381655100716213E-6</v>
      </c>
      <c r="R281" s="198"/>
    </row>
    <row r="282" spans="1:18" x14ac:dyDescent="0.35">
      <c r="A282" s="22" t="s">
        <v>336</v>
      </c>
      <c r="B282" s="17" t="s">
        <v>218</v>
      </c>
      <c r="C282" s="17" t="s">
        <v>337</v>
      </c>
      <c r="D282" s="23" t="s">
        <v>118</v>
      </c>
      <c r="E282" s="23" t="s">
        <v>119</v>
      </c>
      <c r="F282" s="223">
        <f>SUM(G282:Q282)</f>
        <v>8.3700497241450582E-4</v>
      </c>
      <c r="G282" s="201">
        <v>1.3527187113652022E-4</v>
      </c>
      <c r="H282" s="202">
        <v>1.1000000000000001E-6</v>
      </c>
      <c r="I282" s="205">
        <v>6.348790825230616E-4</v>
      </c>
      <c r="J282" s="205">
        <v>6.3487908252306166E-5</v>
      </c>
      <c r="K282" s="205">
        <v>1.0965445026178011E-6</v>
      </c>
      <c r="L282" s="205"/>
      <c r="M282" s="205">
        <v>0</v>
      </c>
      <c r="N282" s="205">
        <v>1.1695660000000001E-6</v>
      </c>
      <c r="O282" s="205"/>
      <c r="P282" s="14"/>
      <c r="Q282" s="204"/>
      <c r="R282" s="208">
        <f>'Parameters, country spec'!Y19</f>
        <v>0.12312551970398992</v>
      </c>
    </row>
    <row r="283" spans="1:18" x14ac:dyDescent="0.35">
      <c r="A283" s="22" t="s">
        <v>338</v>
      </c>
      <c r="B283" s="17" t="s">
        <v>222</v>
      </c>
      <c r="C283" s="17" t="s">
        <v>337</v>
      </c>
      <c r="D283" s="23" t="s">
        <v>118</v>
      </c>
      <c r="E283" s="23" t="s">
        <v>119</v>
      </c>
      <c r="F283" s="221">
        <f t="shared" ref="F283:F292" si="78">SUM(G283:Q283)</f>
        <v>7.7064277808378814E-4</v>
      </c>
      <c r="G283" s="100">
        <v>1.3173663927780048E-4</v>
      </c>
      <c r="H283" s="101">
        <v>1.1000000000000001E-6</v>
      </c>
      <c r="I283" s="102">
        <v>5.7807906502645948E-4</v>
      </c>
      <c r="J283" s="102">
        <v>5.7807906502645948E-5</v>
      </c>
      <c r="K283" s="102">
        <v>7.4960127688222882E-7</v>
      </c>
      <c r="L283" s="102"/>
      <c r="M283" s="102">
        <v>0</v>
      </c>
      <c r="N283" s="102">
        <v>1.1695660000000001E-6</v>
      </c>
      <c r="O283" s="102"/>
      <c r="P283" s="14"/>
      <c r="Q283" s="14"/>
      <c r="R283" s="197">
        <f>'Parameters, country spec'!Y20</f>
        <v>0.34829780740480182</v>
      </c>
    </row>
    <row r="284" spans="1:18" x14ac:dyDescent="0.35">
      <c r="A284" s="22" t="s">
        <v>339</v>
      </c>
      <c r="B284" s="17" t="s">
        <v>226</v>
      </c>
      <c r="C284" s="17" t="s">
        <v>337</v>
      </c>
      <c r="D284" s="23" t="s">
        <v>118</v>
      </c>
      <c r="E284" s="23" t="s">
        <v>119</v>
      </c>
      <c r="F284" s="221">
        <f t="shared" si="78"/>
        <v>7.4080189535590966E-4</v>
      </c>
      <c r="G284" s="100">
        <v>1.1925038042019814E-4</v>
      </c>
      <c r="H284" s="101">
        <v>1.1000000000000001E-6</v>
      </c>
      <c r="I284" s="102">
        <v>5.6184338890070615E-4</v>
      </c>
      <c r="J284" s="102">
        <v>5.6184338890070617E-5</v>
      </c>
      <c r="K284" s="102">
        <v>1.2542211449347684E-6</v>
      </c>
      <c r="L284" s="102"/>
      <c r="M284" s="102">
        <v>0</v>
      </c>
      <c r="N284" s="102">
        <v>1.1695660000000001E-6</v>
      </c>
      <c r="O284" s="102"/>
      <c r="P284" s="14"/>
      <c r="Q284" s="14"/>
      <c r="R284" s="197">
        <f>'Parameters, country spec'!Y21</f>
        <v>1.8139255925477018E-2</v>
      </c>
    </row>
    <row r="285" spans="1:18" x14ac:dyDescent="0.35">
      <c r="A285" s="22" t="s">
        <v>340</v>
      </c>
      <c r="B285" s="17" t="s">
        <v>227</v>
      </c>
      <c r="C285" s="17" t="s">
        <v>337</v>
      </c>
      <c r="D285" s="23" t="s">
        <v>118</v>
      </c>
      <c r="E285" s="23" t="s">
        <v>119</v>
      </c>
      <c r="F285" s="221">
        <f t="shared" si="78"/>
        <v>6.6289501004433845E-4</v>
      </c>
      <c r="G285" s="100">
        <v>1.0503816802565812E-4</v>
      </c>
      <c r="H285" s="101">
        <v>1.1000000000000001E-6</v>
      </c>
      <c r="I285" s="102">
        <v>5.0432765635150922E-4</v>
      </c>
      <c r="J285" s="102">
        <v>5.0432765635150922E-5</v>
      </c>
      <c r="K285" s="102">
        <v>8.2685403202016689E-7</v>
      </c>
      <c r="L285" s="102"/>
      <c r="M285" s="102">
        <v>0</v>
      </c>
      <c r="N285" s="102">
        <v>1.1695660000000001E-6</v>
      </c>
      <c r="O285" s="102"/>
      <c r="P285" s="14"/>
      <c r="Q285" s="14"/>
      <c r="R285" s="197">
        <f>'Parameters, country spec'!Y22</f>
        <v>8.4436144786446468E-3</v>
      </c>
    </row>
    <row r="286" spans="1:18" x14ac:dyDescent="0.35">
      <c r="A286" s="22" t="s">
        <v>341</v>
      </c>
      <c r="B286" s="17" t="s">
        <v>228</v>
      </c>
      <c r="C286" s="17" t="s">
        <v>337</v>
      </c>
      <c r="D286" s="23" t="s">
        <v>118</v>
      </c>
      <c r="E286" s="23" t="s">
        <v>119</v>
      </c>
      <c r="F286" s="221">
        <f t="shared" si="78"/>
        <v>9.1657094895803305E-4</v>
      </c>
      <c r="G286" s="100">
        <v>1.5506058283512638E-4</v>
      </c>
      <c r="H286" s="101">
        <v>1.1000000000000001E-6</v>
      </c>
      <c r="I286" s="102">
        <v>6.8950683668766316E-4</v>
      </c>
      <c r="J286" s="102">
        <v>6.8950683668766316E-5</v>
      </c>
      <c r="K286" s="102">
        <v>7.832797664771855E-7</v>
      </c>
      <c r="L286" s="102"/>
      <c r="M286" s="102">
        <v>0</v>
      </c>
      <c r="N286" s="102">
        <v>1.1695660000000001E-6</v>
      </c>
      <c r="O286" s="102"/>
      <c r="P286" s="14"/>
      <c r="Q286" s="14"/>
      <c r="R286" s="197">
        <f>'Parameters, country spec'!Y23</f>
        <v>0.24890795550816447</v>
      </c>
    </row>
    <row r="287" spans="1:18" x14ac:dyDescent="0.35">
      <c r="A287" s="22" t="s">
        <v>342</v>
      </c>
      <c r="B287" s="17" t="s">
        <v>229</v>
      </c>
      <c r="C287" s="17" t="s">
        <v>343</v>
      </c>
      <c r="D287" s="23" t="s">
        <v>118</v>
      </c>
      <c r="E287" s="23" t="s">
        <v>119</v>
      </c>
      <c r="F287" s="221">
        <f t="shared" si="78"/>
        <v>2.0683180874021213E-4</v>
      </c>
      <c r="G287" s="100">
        <v>0</v>
      </c>
      <c r="H287" s="101">
        <v>1.1000000000000001E-6</v>
      </c>
      <c r="I287" s="102">
        <v>1.8457296000000002E-4</v>
      </c>
      <c r="J287" s="102">
        <v>1.8457296000000003E-5</v>
      </c>
      <c r="K287" s="102">
        <v>1.5319867402121297E-6</v>
      </c>
      <c r="L287" s="102"/>
      <c r="M287" s="102">
        <v>0</v>
      </c>
      <c r="N287" s="102">
        <v>1.1695660000000001E-6</v>
      </c>
      <c r="O287" s="102"/>
      <c r="P287" s="14"/>
      <c r="Q287" s="14"/>
      <c r="R287" s="197">
        <f>'Parameters, country spec'!Y24</f>
        <v>0</v>
      </c>
    </row>
    <row r="288" spans="1:18" x14ac:dyDescent="0.35">
      <c r="A288" s="22" t="s">
        <v>344</v>
      </c>
      <c r="B288" s="17" t="s">
        <v>230</v>
      </c>
      <c r="C288" s="17" t="s">
        <v>343</v>
      </c>
      <c r="D288" s="23" t="s">
        <v>118</v>
      </c>
      <c r="E288" s="23" t="s">
        <v>119</v>
      </c>
      <c r="F288" s="221">
        <f t="shared" si="78"/>
        <v>2.3870339373407735E-4</v>
      </c>
      <c r="G288" s="100">
        <v>6.6632952642360706E-6</v>
      </c>
      <c r="H288" s="101">
        <v>1.1000000000000001E-6</v>
      </c>
      <c r="I288" s="102">
        <v>2.067986173968254E-4</v>
      </c>
      <c r="J288" s="102">
        <v>2.0679861739682541E-5</v>
      </c>
      <c r="K288" s="102">
        <v>2.2920533333333338E-6</v>
      </c>
      <c r="L288" s="102"/>
      <c r="M288" s="102">
        <v>0</v>
      </c>
      <c r="N288" s="102">
        <v>1.1695660000000001E-6</v>
      </c>
      <c r="O288" s="102"/>
      <c r="P288" s="14"/>
      <c r="Q288" s="14"/>
      <c r="R288" s="197">
        <f>'Parameters, country spec'!Y25</f>
        <v>0</v>
      </c>
    </row>
    <row r="289" spans="1:18" x14ac:dyDescent="0.35">
      <c r="B289" s="18" t="s">
        <v>231</v>
      </c>
      <c r="C289" s="17" t="s">
        <v>345</v>
      </c>
      <c r="D289" s="23" t="str">
        <f>'Off-farm feed'!$D$77</f>
        <v>France, Germany, Poland</v>
      </c>
      <c r="E289" s="23" t="s">
        <v>82</v>
      </c>
      <c r="F289" s="222">
        <f>'Off-farm feed'!$E$77</f>
        <v>6.732045566157569E-4</v>
      </c>
      <c r="G289" s="222">
        <f>'Off-farm feed'!$F$77</f>
        <v>1.946970439026595E-4</v>
      </c>
      <c r="H289" s="222">
        <f>'Off-farm feed'!$G$77</f>
        <v>5.3103448275862083E-7</v>
      </c>
      <c r="I289" s="222">
        <f>'Off-farm feed'!$H$77</f>
        <v>4.2751561806777074E-4</v>
      </c>
      <c r="J289" s="222">
        <f>'Off-farm feed'!$I$77</f>
        <v>4.2751561806777089E-5</v>
      </c>
      <c r="K289" s="222">
        <f>'Off-farm feed'!$J$77</f>
        <v>6.6339607025480414E-7</v>
      </c>
      <c r="L289" s="222">
        <f>'Off-farm feed'!$K$77</f>
        <v>0</v>
      </c>
      <c r="M289" s="222">
        <f>'Off-farm feed'!$L$77</f>
        <v>7.9511067188965511E-9</v>
      </c>
      <c r="N289" s="222">
        <f>'Off-farm feed'!$M$77</f>
        <v>1.2789681892721844E-6</v>
      </c>
      <c r="O289" s="222">
        <f>'Off-farm feed'!$N$77</f>
        <v>0</v>
      </c>
      <c r="P289" s="222">
        <f>'Off-farm feed'!$O$77</f>
        <v>3.9312802868423834E-6</v>
      </c>
      <c r="Q289" s="222">
        <f>'Off-farm feed'!$P$77</f>
        <v>1.8277027027027027E-6</v>
      </c>
      <c r="R289" s="197">
        <f>'Parameters, country spec'!Y26</f>
        <v>3.9614142253085551E-2</v>
      </c>
    </row>
    <row r="290" spans="1:18" x14ac:dyDescent="0.35">
      <c r="B290" s="18" t="s">
        <v>346</v>
      </c>
      <c r="C290" s="17" t="s">
        <v>345</v>
      </c>
      <c r="D290" s="23" t="str">
        <f>'Off-farm feed'!$D$26</f>
        <v>Brazil, Argentina</v>
      </c>
      <c r="E290" s="23" t="s">
        <v>82</v>
      </c>
      <c r="F290" s="222">
        <f>'Off-farm feed'!$E$26</f>
        <v>1.8866346644602505E-4</v>
      </c>
      <c r="G290" s="222">
        <f>'Off-farm feed'!$F$26</f>
        <v>1.6332109719061441E-5</v>
      </c>
      <c r="H290" s="222">
        <f>'Off-farm feed'!$G$26</f>
        <v>8.7195121951219526E-7</v>
      </c>
      <c r="I290" s="222">
        <f>'Off-farm feed'!$H$26</f>
        <v>1.3333449845358202E-4</v>
      </c>
      <c r="J290" s="222">
        <f>'Off-farm feed'!$I$26</f>
        <v>1.3333449845358203E-5</v>
      </c>
      <c r="K290" s="222">
        <f>'Off-farm feed'!$J$26</f>
        <v>1.1576736579983931E-6</v>
      </c>
      <c r="L290" s="222">
        <f>'Off-farm feed'!$K$26</f>
        <v>0</v>
      </c>
      <c r="M290" s="222">
        <f>'Off-farm feed'!$L$26</f>
        <v>7.3437786087804866E-9</v>
      </c>
      <c r="N290" s="222">
        <f>'Off-farm feed'!$M$26</f>
        <v>1.1195281639512197E-6</v>
      </c>
      <c r="O290" s="222">
        <f>'Off-farm feed'!$N$26</f>
        <v>0</v>
      </c>
      <c r="P290" s="222">
        <f>'Off-farm feed'!$O$26</f>
        <v>1.3419073770114991E-5</v>
      </c>
      <c r="Q290" s="222">
        <f>'Off-farm feed'!$P$26</f>
        <v>9.087837837837838E-6</v>
      </c>
      <c r="R290" s="197">
        <f>'Parameters, country spec'!Y27</f>
        <v>2.0594877928953675E-4</v>
      </c>
    </row>
    <row r="291" spans="1:18" x14ac:dyDescent="0.35">
      <c r="B291" s="17" t="s">
        <v>233</v>
      </c>
      <c r="C291" s="17" t="s">
        <v>347</v>
      </c>
      <c r="D291" s="23" t="s">
        <v>118</v>
      </c>
      <c r="E291" s="23" t="s">
        <v>119</v>
      </c>
      <c r="F291" s="222"/>
      <c r="G291" s="14"/>
      <c r="H291" s="14"/>
      <c r="I291" s="14"/>
      <c r="J291" s="14"/>
      <c r="K291" s="14"/>
      <c r="L291" s="14"/>
      <c r="M291" s="14"/>
      <c r="N291" s="14"/>
      <c r="O291" s="14"/>
      <c r="P291" s="8"/>
      <c r="Q291" s="14"/>
      <c r="R291" s="197">
        <f>'Parameters, country spec'!Y28</f>
        <v>0.10799112088671599</v>
      </c>
    </row>
    <row r="292" spans="1:18" x14ac:dyDescent="0.35">
      <c r="A292" s="83"/>
      <c r="B292" s="17" t="s">
        <v>348</v>
      </c>
      <c r="C292" s="84" t="s">
        <v>349</v>
      </c>
      <c r="D292" s="23" t="s">
        <v>118</v>
      </c>
      <c r="E292" s="23" t="s">
        <v>119</v>
      </c>
      <c r="F292" s="222">
        <f t="shared" si="78"/>
        <v>5.7856143731057198E-4</v>
      </c>
      <c r="G292" s="82">
        <f t="shared" ref="G292:N292" si="79">AVERAGE(G282:G290)</f>
        <v>9.600556562014004E-5</v>
      </c>
      <c r="H292" s="82">
        <f t="shared" si="79"/>
        <v>1.0114428558078684E-6</v>
      </c>
      <c r="I292" s="82">
        <f t="shared" si="79"/>
        <v>4.356508581563975E-4</v>
      </c>
      <c r="J292" s="82">
        <f t="shared" si="79"/>
        <v>4.3565085815639758E-5</v>
      </c>
      <c r="K292" s="82">
        <f t="shared" si="79"/>
        <v>1.1506233916367569E-6</v>
      </c>
      <c r="L292" s="82">
        <f t="shared" si="79"/>
        <v>0</v>
      </c>
      <c r="M292" s="82">
        <f t="shared" si="79"/>
        <v>1.6994317030752262E-9</v>
      </c>
      <c r="N292" s="82">
        <f t="shared" si="79"/>
        <v>1.1761620392470449E-6</v>
      </c>
      <c r="O292" s="82"/>
      <c r="P292" s="81"/>
      <c r="Q292" s="82"/>
      <c r="R292" s="197">
        <f>'Parameters, country spec'!Y29</f>
        <v>0.10527463505983112</v>
      </c>
    </row>
    <row r="293" spans="1:18" x14ac:dyDescent="0.35">
      <c r="A293" s="195"/>
      <c r="B293" s="25" t="s">
        <v>350</v>
      </c>
      <c r="C293" s="26"/>
      <c r="D293" s="103"/>
      <c r="E293" s="103"/>
      <c r="F293" s="46">
        <f>SUMPRODUCT(F282:F292,$R$282:$R$292)</f>
        <v>7.0626160843455655E-4</v>
      </c>
      <c r="G293" s="46">
        <f t="shared" ref="G293:O293" si="80">SUMPRODUCT(G282:G292,$R$282:$R$292)</f>
        <v>1.2200790052559829E-4</v>
      </c>
      <c r="H293" s="46">
        <f t="shared" si="80"/>
        <v>9.4930089868278483E-7</v>
      </c>
      <c r="I293" s="46">
        <f t="shared" si="80"/>
        <v>5.2841310388412692E-4</v>
      </c>
      <c r="J293" s="46">
        <f t="shared" si="80"/>
        <v>5.284131038841269E-5</v>
      </c>
      <c r="K293" s="46">
        <f t="shared" si="80"/>
        <v>7.6844367862540335E-7</v>
      </c>
      <c r="L293" s="46">
        <f t="shared" si="80"/>
        <v>0</v>
      </c>
      <c r="M293" s="46">
        <f t="shared" si="80"/>
        <v>4.9539576722203503E-10</v>
      </c>
      <c r="N293" s="46">
        <f t="shared" si="80"/>
        <v>1.0482812209909549E-6</v>
      </c>
      <c r="O293" s="46">
        <f t="shared" si="80"/>
        <v>0</v>
      </c>
      <c r="P293" s="30">
        <f>SUMPRODUCT(P282:P292,R282:R292)</f>
        <v>1.5849793838187658E-7</v>
      </c>
      <c r="Q293" s="46">
        <f>SUMPRODUCT(Q282:Q292,$R$282:$R$292)</f>
        <v>7.4274503970297766E-8</v>
      </c>
      <c r="R293" s="198"/>
    </row>
    <row r="294" spans="1:18" x14ac:dyDescent="0.35">
      <c r="A294" s="22" t="s">
        <v>336</v>
      </c>
      <c r="B294" s="17" t="s">
        <v>218</v>
      </c>
      <c r="C294" s="17" t="s">
        <v>337</v>
      </c>
      <c r="D294" s="23" t="s">
        <v>28</v>
      </c>
      <c r="E294" s="23" t="s">
        <v>120</v>
      </c>
      <c r="F294" s="223">
        <f>SUM(G294:Q294)</f>
        <v>5.1195799999999997E-4</v>
      </c>
      <c r="G294" s="201">
        <v>1.8000000000000001E-4</v>
      </c>
      <c r="H294" s="202">
        <v>9.9999999999999995E-7</v>
      </c>
      <c r="I294" s="205">
        <v>2.9799999999999998E-4</v>
      </c>
      <c r="J294" s="205">
        <v>2.9799999999999999E-5</v>
      </c>
      <c r="K294" s="205">
        <v>1.5099999999999999E-6</v>
      </c>
      <c r="L294" s="205"/>
      <c r="M294" s="205">
        <v>2.3799999999999999E-7</v>
      </c>
      <c r="N294" s="205">
        <v>1.4100000000000001E-6</v>
      </c>
      <c r="O294" s="205"/>
      <c r="P294" s="14"/>
      <c r="Q294" s="204"/>
      <c r="R294" s="208">
        <f>'Parameters, country spec'!Z19</f>
        <v>0.21894700375858384</v>
      </c>
    </row>
    <row r="295" spans="1:18" x14ac:dyDescent="0.35">
      <c r="A295" s="22" t="s">
        <v>338</v>
      </c>
      <c r="B295" s="17" t="s">
        <v>222</v>
      </c>
      <c r="C295" s="17" t="s">
        <v>337</v>
      </c>
      <c r="D295" s="23" t="s">
        <v>28</v>
      </c>
      <c r="E295" s="23" t="s">
        <v>120</v>
      </c>
      <c r="F295" s="221">
        <f t="shared" ref="F295:F304" si="81">SUM(G295:Q295)</f>
        <v>4.1554899999999997E-4</v>
      </c>
      <c r="G295" s="100">
        <v>1.7000000000000001E-4</v>
      </c>
      <c r="H295" s="101">
        <v>9.9999999999999995E-7</v>
      </c>
      <c r="I295" s="102">
        <v>2.2000000000000001E-4</v>
      </c>
      <c r="J295" s="102">
        <v>2.1999999999999999E-5</v>
      </c>
      <c r="K295" s="102">
        <v>4.1300000000000001E-7</v>
      </c>
      <c r="L295" s="102"/>
      <c r="M295" s="102">
        <v>7.2600000000000002E-7</v>
      </c>
      <c r="N295" s="102">
        <v>1.4100000000000001E-6</v>
      </c>
      <c r="O295" s="102"/>
      <c r="P295" s="14"/>
      <c r="Q295" s="14"/>
      <c r="R295" s="197">
        <f>'Parameters, country spec'!Z20</f>
        <v>0.28877148486086363</v>
      </c>
    </row>
    <row r="296" spans="1:18" x14ac:dyDescent="0.35">
      <c r="A296" s="22" t="s">
        <v>339</v>
      </c>
      <c r="B296" s="17" t="s">
        <v>226</v>
      </c>
      <c r="C296" s="17" t="s">
        <v>337</v>
      </c>
      <c r="D296" s="23" t="s">
        <v>28</v>
      </c>
      <c r="E296" s="23" t="s">
        <v>120</v>
      </c>
      <c r="F296" s="221">
        <f t="shared" si="81"/>
        <v>4.1222999999999997E-4</v>
      </c>
      <c r="G296" s="100">
        <v>1.4999999999999999E-4</v>
      </c>
      <c r="H296" s="101">
        <v>9.9999999999999995E-7</v>
      </c>
      <c r="I296" s="102">
        <v>2.31E-4</v>
      </c>
      <c r="J296" s="102">
        <v>2.3099999999999999E-5</v>
      </c>
      <c r="K296" s="102">
        <v>2.1900000000000002E-6</v>
      </c>
      <c r="L296" s="102"/>
      <c r="M296" s="102">
        <v>3.5300000000000001E-6</v>
      </c>
      <c r="N296" s="102">
        <v>1.4100000000000001E-6</v>
      </c>
      <c r="O296" s="102"/>
      <c r="P296" s="14"/>
      <c r="Q296" s="14"/>
      <c r="R296" s="197">
        <f>'Parameters, country spec'!Z21</f>
        <v>3.4137674118133308E-2</v>
      </c>
    </row>
    <row r="297" spans="1:18" x14ac:dyDescent="0.35">
      <c r="A297" s="22" t="s">
        <v>340</v>
      </c>
      <c r="B297" s="17" t="s">
        <v>227</v>
      </c>
      <c r="C297" s="17" t="s">
        <v>337</v>
      </c>
      <c r="D297" s="23" t="s">
        <v>28</v>
      </c>
      <c r="E297" s="23" t="s">
        <v>120</v>
      </c>
      <c r="F297" s="221">
        <f t="shared" si="81"/>
        <v>3.7770925999999999E-4</v>
      </c>
      <c r="G297" s="100">
        <v>1.3999999999999999E-4</v>
      </c>
      <c r="H297" s="101">
        <v>9.9999999999999995E-7</v>
      </c>
      <c r="I297" s="102">
        <v>2.12E-4</v>
      </c>
      <c r="J297" s="102">
        <v>2.12E-5</v>
      </c>
      <c r="K297" s="102">
        <v>2.0899999999999999E-6</v>
      </c>
      <c r="L297" s="102"/>
      <c r="M297" s="102">
        <v>9.2599999999999999E-9</v>
      </c>
      <c r="N297" s="102">
        <v>1.4100000000000001E-6</v>
      </c>
      <c r="O297" s="102"/>
      <c r="P297" s="14"/>
      <c r="Q297" s="14"/>
      <c r="R297" s="197">
        <f>'Parameters, country spec'!Z22</f>
        <v>9.0108782601985467E-3</v>
      </c>
    </row>
    <row r="298" spans="1:18" x14ac:dyDescent="0.35">
      <c r="A298" s="22" t="s">
        <v>341</v>
      </c>
      <c r="B298" s="17" t="s">
        <v>228</v>
      </c>
      <c r="C298" s="17" t="s">
        <v>337</v>
      </c>
      <c r="D298" s="23" t="s">
        <v>28</v>
      </c>
      <c r="E298" s="23" t="s">
        <v>120</v>
      </c>
      <c r="F298" s="221">
        <f t="shared" si="81"/>
        <v>4.9875099999999997E-4</v>
      </c>
      <c r="G298" s="100">
        <v>2.0000000000000001E-4</v>
      </c>
      <c r="H298" s="101">
        <v>9.9999999999999995E-7</v>
      </c>
      <c r="I298" s="102">
        <v>2.6800000000000001E-4</v>
      </c>
      <c r="J298" s="102">
        <v>2.6800000000000001E-5</v>
      </c>
      <c r="K298" s="102">
        <v>1.4300000000000001E-6</v>
      </c>
      <c r="L298" s="102"/>
      <c r="M298" s="102">
        <v>1.11E-7</v>
      </c>
      <c r="N298" s="102">
        <v>1.4100000000000001E-6</v>
      </c>
      <c r="O298" s="102"/>
      <c r="P298" s="14"/>
      <c r="Q298" s="14"/>
      <c r="R298" s="197">
        <f>'Parameters, country spec'!Z23</f>
        <v>0.18547053507474909</v>
      </c>
    </row>
    <row r="299" spans="1:18" x14ac:dyDescent="0.35">
      <c r="A299" s="22" t="s">
        <v>342</v>
      </c>
      <c r="B299" s="17" t="s">
        <v>229</v>
      </c>
      <c r="C299" s="17" t="s">
        <v>343</v>
      </c>
      <c r="D299" s="23" t="s">
        <v>28</v>
      </c>
      <c r="E299" s="23" t="s">
        <v>120</v>
      </c>
      <c r="F299" s="221">
        <f t="shared" si="81"/>
        <v>1.7489560000000001E-4</v>
      </c>
      <c r="G299" s="100">
        <v>0</v>
      </c>
      <c r="H299" s="101">
        <v>9.9999999999999995E-7</v>
      </c>
      <c r="I299" s="102">
        <v>1.54E-4</v>
      </c>
      <c r="J299" s="102">
        <v>1.5400000000000002E-5</v>
      </c>
      <c r="K299" s="102">
        <v>3.0299999999999998E-6</v>
      </c>
      <c r="L299" s="102"/>
      <c r="M299" s="102">
        <v>5.5600000000000002E-8</v>
      </c>
      <c r="N299" s="102">
        <v>1.4100000000000001E-6</v>
      </c>
      <c r="O299" s="102"/>
      <c r="P299" s="14"/>
      <c r="Q299" s="14"/>
      <c r="R299" s="197">
        <f>'Parameters, country spec'!Z24</f>
        <v>6.9661330661395359E-3</v>
      </c>
    </row>
    <row r="300" spans="1:18" x14ac:dyDescent="0.35">
      <c r="A300" s="22" t="s">
        <v>344</v>
      </c>
      <c r="B300" s="17" t="s">
        <v>230</v>
      </c>
      <c r="C300" s="17" t="s">
        <v>343</v>
      </c>
      <c r="D300" s="23" t="s">
        <v>28</v>
      </c>
      <c r="E300" s="23" t="s">
        <v>120</v>
      </c>
      <c r="F300" s="221">
        <f t="shared" si="81"/>
        <v>1.9007199999999998E-4</v>
      </c>
      <c r="G300" s="100">
        <v>8.6000000000000007E-6</v>
      </c>
      <c r="H300" s="101">
        <v>9.9999999999999995E-7</v>
      </c>
      <c r="I300" s="102">
        <v>1.5899999999999999E-4</v>
      </c>
      <c r="J300" s="102">
        <v>1.59E-5</v>
      </c>
      <c r="K300" s="102">
        <v>3.5099999999999999E-6</v>
      </c>
      <c r="L300" s="102"/>
      <c r="M300" s="102">
        <v>6.5199999999999996E-7</v>
      </c>
      <c r="N300" s="102">
        <v>1.4100000000000001E-6</v>
      </c>
      <c r="O300" s="102"/>
      <c r="P300" s="14"/>
      <c r="Q300" s="14"/>
      <c r="R300" s="197">
        <f>'Parameters, country spec'!Z25</f>
        <v>6.843038286368717E-3</v>
      </c>
    </row>
    <row r="301" spans="1:18" x14ac:dyDescent="0.35">
      <c r="B301" s="18" t="s">
        <v>231</v>
      </c>
      <c r="C301" s="17" t="s">
        <v>345</v>
      </c>
      <c r="D301" s="23" t="str">
        <f>'Off-farm feed'!$D$77</f>
        <v>France, Germany, Poland</v>
      </c>
      <c r="E301" s="23" t="s">
        <v>82</v>
      </c>
      <c r="F301" s="222">
        <f>'Off-farm feed'!$E$77</f>
        <v>6.732045566157569E-4</v>
      </c>
      <c r="G301" s="222">
        <f>'Off-farm feed'!$F$77</f>
        <v>1.946970439026595E-4</v>
      </c>
      <c r="H301" s="222">
        <f>'Off-farm feed'!$G$77</f>
        <v>5.3103448275862083E-7</v>
      </c>
      <c r="I301" s="222">
        <f>'Off-farm feed'!$H$77</f>
        <v>4.2751561806777074E-4</v>
      </c>
      <c r="J301" s="222">
        <f>'Off-farm feed'!$I$77</f>
        <v>4.2751561806777089E-5</v>
      </c>
      <c r="K301" s="222">
        <f>'Off-farm feed'!$J$77</f>
        <v>6.6339607025480414E-7</v>
      </c>
      <c r="L301" s="222">
        <f>'Off-farm feed'!$K$77</f>
        <v>0</v>
      </c>
      <c r="M301" s="222">
        <f>'Off-farm feed'!$L$77</f>
        <v>7.9511067188965511E-9</v>
      </c>
      <c r="N301" s="222">
        <f>'Off-farm feed'!$M$77</f>
        <v>1.2789681892721844E-6</v>
      </c>
      <c r="O301" s="222">
        <f>'Off-farm feed'!$N$77</f>
        <v>0</v>
      </c>
      <c r="P301" s="222">
        <f>'Off-farm feed'!$O$77</f>
        <v>3.9312802868423834E-6</v>
      </c>
      <c r="Q301" s="222">
        <f>'Off-farm feed'!$P$77</f>
        <v>1.8277027027027027E-6</v>
      </c>
      <c r="R301" s="197">
        <f>'Parameters, country spec'!Z26</f>
        <v>2.017458178365223E-2</v>
      </c>
    </row>
    <row r="302" spans="1:18" x14ac:dyDescent="0.35">
      <c r="B302" s="18" t="s">
        <v>346</v>
      </c>
      <c r="C302" s="17" t="s">
        <v>345</v>
      </c>
      <c r="D302" s="23" t="str">
        <f>'Off-farm feed'!$D$26</f>
        <v>Brazil, Argentina</v>
      </c>
      <c r="E302" s="23" t="s">
        <v>82</v>
      </c>
      <c r="F302" s="222">
        <f>'Off-farm feed'!$E$26</f>
        <v>1.8866346644602505E-4</v>
      </c>
      <c r="G302" s="222">
        <f>'Off-farm feed'!$F$26</f>
        <v>1.6332109719061441E-5</v>
      </c>
      <c r="H302" s="222">
        <f>'Off-farm feed'!$G$26</f>
        <v>8.7195121951219526E-7</v>
      </c>
      <c r="I302" s="222">
        <f>'Off-farm feed'!$H$26</f>
        <v>1.3333449845358202E-4</v>
      </c>
      <c r="J302" s="222">
        <f>'Off-farm feed'!$I$26</f>
        <v>1.3333449845358203E-5</v>
      </c>
      <c r="K302" s="222">
        <f>'Off-farm feed'!$J$26</f>
        <v>1.1576736579983931E-6</v>
      </c>
      <c r="L302" s="222">
        <f>'Off-farm feed'!$K$26</f>
        <v>0</v>
      </c>
      <c r="M302" s="222">
        <f>'Off-farm feed'!$L$26</f>
        <v>7.3437786087804866E-9</v>
      </c>
      <c r="N302" s="222">
        <f>'Off-farm feed'!$M$26</f>
        <v>1.1195281639512197E-6</v>
      </c>
      <c r="O302" s="222">
        <f>'Off-farm feed'!$N$26</f>
        <v>0</v>
      </c>
      <c r="P302" s="222">
        <f>'Off-farm feed'!$O$26</f>
        <v>1.3419073770114991E-5</v>
      </c>
      <c r="Q302" s="222">
        <f>'Off-farm feed'!$P$26</f>
        <v>9.087837837837838E-6</v>
      </c>
      <c r="R302" s="197">
        <f>'Parameters, country spec'!Z27</f>
        <v>0.1724593547162262</v>
      </c>
    </row>
    <row r="303" spans="1:18" x14ac:dyDescent="0.35">
      <c r="B303" s="17" t="s">
        <v>233</v>
      </c>
      <c r="C303" s="17" t="s">
        <v>347</v>
      </c>
      <c r="D303" s="23" t="s">
        <v>28</v>
      </c>
      <c r="E303" s="23" t="s">
        <v>120</v>
      </c>
      <c r="F303" s="222"/>
      <c r="G303" s="14"/>
      <c r="H303" s="14"/>
      <c r="I303" s="14"/>
      <c r="J303" s="14"/>
      <c r="K303" s="14"/>
      <c r="L303" s="14"/>
      <c r="M303" s="14"/>
      <c r="N303" s="14"/>
      <c r="O303" s="14"/>
      <c r="P303" s="8"/>
      <c r="Q303" s="14"/>
      <c r="R303" s="197">
        <f>'Parameters, country spec'!Z28</f>
        <v>2.6495909583274708E-2</v>
      </c>
    </row>
    <row r="304" spans="1:18" x14ac:dyDescent="0.35">
      <c r="A304" s="83"/>
      <c r="B304" s="17" t="s">
        <v>348</v>
      </c>
      <c r="C304" s="84" t="s">
        <v>349</v>
      </c>
      <c r="D304" s="23" t="s">
        <v>28</v>
      </c>
      <c r="E304" s="23" t="s">
        <v>120</v>
      </c>
      <c r="F304" s="222">
        <f t="shared" si="81"/>
        <v>3.7941855427380938E-4</v>
      </c>
      <c r="G304" s="82">
        <f t="shared" ref="G304:N304" si="82">AVERAGE(G294:G302)</f>
        <v>1.1773657262463566E-4</v>
      </c>
      <c r="H304" s="82">
        <f t="shared" si="82"/>
        <v>9.3366507803009054E-7</v>
      </c>
      <c r="I304" s="82">
        <f t="shared" si="82"/>
        <v>2.3365001294681697E-4</v>
      </c>
      <c r="J304" s="82">
        <f t="shared" si="82"/>
        <v>2.3365001294681702E-5</v>
      </c>
      <c r="K304" s="82">
        <f t="shared" si="82"/>
        <v>1.7771188586947996E-6</v>
      </c>
      <c r="L304" s="82">
        <f t="shared" si="82"/>
        <v>0</v>
      </c>
      <c r="M304" s="82">
        <f t="shared" si="82"/>
        <v>5.9301720948085291E-7</v>
      </c>
      <c r="N304" s="82">
        <f t="shared" si="82"/>
        <v>1.3631662614692673E-6</v>
      </c>
      <c r="O304" s="82"/>
      <c r="P304" s="81"/>
      <c r="Q304" s="82"/>
      <c r="R304" s="197">
        <f>'Parameters, country spec'!Z29</f>
        <v>3.0723406491810091E-2</v>
      </c>
    </row>
    <row r="305" spans="1:20" x14ac:dyDescent="0.35">
      <c r="A305" s="42"/>
      <c r="B305" s="43" t="s">
        <v>350</v>
      </c>
      <c r="C305" s="44"/>
      <c r="D305" s="45"/>
      <c r="E305" s="45"/>
      <c r="F305" s="46">
        <f>SUMPRODUCT(F294:F304,$R$294:$R$304)</f>
        <v>4.0236449884839597E-4</v>
      </c>
      <c r="G305" s="46">
        <f t="shared" ref="G305:O305" si="83">SUMPRODUCT(G294:G304,$R$294:$R$304)</f>
        <v>1.4239856943950498E-4</v>
      </c>
      <c r="H305" s="46">
        <f t="shared" si="83"/>
        <v>9.3992166240801578E-7</v>
      </c>
      <c r="I305" s="46">
        <f t="shared" si="83"/>
        <v>2.2923722837144472E-4</v>
      </c>
      <c r="J305" s="46">
        <f t="shared" si="83"/>
        <v>2.2923722837144477E-5</v>
      </c>
      <c r="K305" s="46">
        <f t="shared" si="83"/>
        <v>1.1214506889226004E-6</v>
      </c>
      <c r="L305" s="46">
        <f t="shared" si="83"/>
        <v>0</v>
      </c>
      <c r="M305" s="46">
        <f t="shared" si="83"/>
        <v>4.2742954498405609E-7</v>
      </c>
      <c r="N305" s="46">
        <f t="shared" si="83"/>
        <v>1.3184637781111731E-6</v>
      </c>
      <c r="O305" s="46">
        <f t="shared" si="83"/>
        <v>0</v>
      </c>
      <c r="P305" s="30">
        <f>SUMPRODUCT(P294:P304,R294:R304)</f>
        <v>2.3935567389448295E-6</v>
      </c>
      <c r="Q305" s="46">
        <f>SUMPRODUCT(Q294:Q304,$R$294:$R$304)</f>
        <v>1.6041557869310958E-6</v>
      </c>
      <c r="R305" s="198"/>
    </row>
    <row r="306" spans="1:20" x14ac:dyDescent="0.35">
      <c r="A306" s="199" t="s">
        <v>336</v>
      </c>
      <c r="B306" s="179" t="s">
        <v>218</v>
      </c>
      <c r="C306" s="179" t="s">
        <v>337</v>
      </c>
      <c r="D306" s="200" t="s">
        <v>25</v>
      </c>
      <c r="E306" s="200" t="s">
        <v>121</v>
      </c>
      <c r="F306" s="223">
        <f>SUM(G306:Q306)</f>
        <v>8.4192999999999996E-4</v>
      </c>
      <c r="G306" s="201">
        <v>1.3999999999999999E-4</v>
      </c>
      <c r="H306" s="202">
        <v>9.9999999999999995E-7</v>
      </c>
      <c r="I306" s="205">
        <v>6.3500000000000004E-4</v>
      </c>
      <c r="J306" s="205">
        <v>6.3499999999999999E-5</v>
      </c>
      <c r="K306" s="205">
        <v>1.1000000000000001E-6</v>
      </c>
      <c r="L306" s="205"/>
      <c r="M306" s="205">
        <v>0</v>
      </c>
      <c r="N306" s="205">
        <v>1.33E-6</v>
      </c>
      <c r="O306" s="205"/>
      <c r="P306" s="14"/>
      <c r="Q306" s="204"/>
      <c r="R306" s="208">
        <f>'Parameters, country spec'!AA19</f>
        <v>0</v>
      </c>
      <c r="T306" s="12">
        <v>6.9755357742184998E-2</v>
      </c>
    </row>
    <row r="307" spans="1:20" x14ac:dyDescent="0.35">
      <c r="A307" s="22" t="s">
        <v>338</v>
      </c>
      <c r="B307" s="17" t="s">
        <v>222</v>
      </c>
      <c r="C307" s="17" t="s">
        <v>337</v>
      </c>
      <c r="D307" s="23" t="s">
        <v>25</v>
      </c>
      <c r="E307" s="23" t="s">
        <v>121</v>
      </c>
      <c r="F307" s="221">
        <f t="shared" ref="F307:F316" si="84">SUM(G307:Q307)</f>
        <v>7.6903400000000004E-4</v>
      </c>
      <c r="G307" s="100">
        <v>1.2999999999999999E-4</v>
      </c>
      <c r="H307" s="101">
        <v>9.9999999999999995E-7</v>
      </c>
      <c r="I307" s="102">
        <v>5.7799999999999995E-4</v>
      </c>
      <c r="J307" s="102">
        <v>5.7800000000000002E-5</v>
      </c>
      <c r="K307" s="102">
        <v>7.5000000000000002E-7</v>
      </c>
      <c r="L307" s="102"/>
      <c r="M307" s="102">
        <v>1.54E-7</v>
      </c>
      <c r="N307" s="102">
        <v>1.33E-6</v>
      </c>
      <c r="O307" s="102"/>
      <c r="P307" s="14"/>
      <c r="Q307" s="14"/>
      <c r="R307" s="197">
        <f>'Parameters, country spec'!AA20</f>
        <v>2.9000000000000001E-2</v>
      </c>
      <c r="T307" s="12">
        <v>0.45612129266564322</v>
      </c>
    </row>
    <row r="308" spans="1:20" x14ac:dyDescent="0.35">
      <c r="A308" s="22" t="s">
        <v>339</v>
      </c>
      <c r="B308" s="17" t="s">
        <v>226</v>
      </c>
      <c r="C308" s="17" t="s">
        <v>337</v>
      </c>
      <c r="D308" s="23" t="s">
        <v>25</v>
      </c>
      <c r="E308" s="23" t="s">
        <v>121</v>
      </c>
      <c r="F308" s="221">
        <f t="shared" si="84"/>
        <v>7.4177999999999994E-4</v>
      </c>
      <c r="G308" s="100">
        <v>1.2E-4</v>
      </c>
      <c r="H308" s="101">
        <v>9.9999999999999995E-7</v>
      </c>
      <c r="I308" s="102">
        <v>5.62E-4</v>
      </c>
      <c r="J308" s="102">
        <v>5.6199999999999997E-5</v>
      </c>
      <c r="K308" s="102">
        <v>1.2500000000000001E-6</v>
      </c>
      <c r="L308" s="102"/>
      <c r="M308" s="102">
        <v>0</v>
      </c>
      <c r="N308" s="102">
        <v>1.33E-6</v>
      </c>
      <c r="O308" s="102"/>
      <c r="P308" s="14"/>
      <c r="Q308" s="14"/>
      <c r="R308" s="197">
        <f>'Parameters, country spec'!AA21</f>
        <v>4.9000000000000002E-2</v>
      </c>
      <c r="T308" s="12">
        <v>1.4486341810785938E-2</v>
      </c>
    </row>
    <row r="309" spans="1:20" x14ac:dyDescent="0.35">
      <c r="A309" s="22" t="s">
        <v>340</v>
      </c>
      <c r="B309" s="17" t="s">
        <v>227</v>
      </c>
      <c r="C309" s="17" t="s">
        <v>337</v>
      </c>
      <c r="D309" s="23" t="s">
        <v>25</v>
      </c>
      <c r="E309" s="23" t="s">
        <v>121</v>
      </c>
      <c r="F309" s="221">
        <f t="shared" si="84"/>
        <v>6.6755700000000005E-4</v>
      </c>
      <c r="G309" s="100">
        <v>1.1E-4</v>
      </c>
      <c r="H309" s="101">
        <v>9.9999999999999995E-7</v>
      </c>
      <c r="I309" s="102">
        <v>5.04E-4</v>
      </c>
      <c r="J309" s="102">
        <v>5.0399999999999999E-5</v>
      </c>
      <c r="K309" s="102">
        <v>8.2699999999999998E-7</v>
      </c>
      <c r="L309" s="102"/>
      <c r="M309" s="102">
        <v>0</v>
      </c>
      <c r="N309" s="102">
        <v>1.33E-6</v>
      </c>
      <c r="O309" s="102"/>
      <c r="P309" s="14"/>
      <c r="Q309" s="14"/>
      <c r="R309" s="197">
        <f>'Parameters, country spec'!AA22</f>
        <v>0</v>
      </c>
      <c r="T309" s="12">
        <v>1.154218810875446E-3</v>
      </c>
    </row>
    <row r="310" spans="1:20" x14ac:dyDescent="0.35">
      <c r="A310" s="22" t="s">
        <v>341</v>
      </c>
      <c r="B310" s="17" t="s">
        <v>228</v>
      </c>
      <c r="C310" s="17" t="s">
        <v>337</v>
      </c>
      <c r="D310" s="23" t="s">
        <v>25</v>
      </c>
      <c r="E310" s="23" t="s">
        <v>121</v>
      </c>
      <c r="F310" s="221">
        <f t="shared" si="84"/>
        <v>9.2211918000000004E-4</v>
      </c>
      <c r="G310" s="100">
        <v>1.6000000000000001E-4</v>
      </c>
      <c r="H310" s="101">
        <v>9.9999999999999995E-7</v>
      </c>
      <c r="I310" s="102">
        <v>6.8999999999999997E-4</v>
      </c>
      <c r="J310" s="102">
        <v>6.8999999999999997E-5</v>
      </c>
      <c r="K310" s="102">
        <v>7.8299999999999996E-7</v>
      </c>
      <c r="L310" s="102"/>
      <c r="M310" s="102">
        <v>6.1799999999999998E-9</v>
      </c>
      <c r="N310" s="102">
        <v>1.33E-6</v>
      </c>
      <c r="O310" s="102"/>
      <c r="P310" s="14"/>
      <c r="Q310" s="14"/>
      <c r="R310" s="197">
        <f>'Parameters, country spec'!AA23</f>
        <v>0.59099999999999997</v>
      </c>
      <c r="T310" s="12">
        <v>6.607302843520492E-2</v>
      </c>
    </row>
    <row r="311" spans="1:20" x14ac:dyDescent="0.35">
      <c r="A311" s="22" t="s">
        <v>342</v>
      </c>
      <c r="B311" s="17" t="s">
        <v>229</v>
      </c>
      <c r="C311" s="17" t="s">
        <v>343</v>
      </c>
      <c r="D311" s="23" t="s">
        <v>25</v>
      </c>
      <c r="E311" s="23" t="s">
        <v>121</v>
      </c>
      <c r="F311" s="221">
        <f t="shared" si="84"/>
        <v>2.0736308999999998E-4</v>
      </c>
      <c r="G311" s="100">
        <v>0</v>
      </c>
      <c r="H311" s="101">
        <v>9.9999999999999995E-7</v>
      </c>
      <c r="I311" s="102">
        <v>1.85E-4</v>
      </c>
      <c r="J311" s="102">
        <v>1.8499999999999999E-5</v>
      </c>
      <c r="K311" s="102">
        <v>1.53E-6</v>
      </c>
      <c r="L311" s="102"/>
      <c r="M311" s="102">
        <v>3.0899999999999999E-9</v>
      </c>
      <c r="N311" s="102">
        <v>1.33E-6</v>
      </c>
      <c r="O311" s="102"/>
      <c r="P311" s="14"/>
      <c r="Q311" s="14"/>
      <c r="R311" s="197">
        <f>'Parameters, country spec'!AA24</f>
        <v>0</v>
      </c>
      <c r="T311" s="12">
        <v>2.8132125343424525E-3</v>
      </c>
    </row>
    <row r="312" spans="1:20" x14ac:dyDescent="0.35">
      <c r="A312" s="22" t="s">
        <v>344</v>
      </c>
      <c r="B312" s="17" t="s">
        <v>230</v>
      </c>
      <c r="C312" s="17" t="s">
        <v>343</v>
      </c>
      <c r="D312" s="23" t="s">
        <v>25</v>
      </c>
      <c r="E312" s="23" t="s">
        <v>121</v>
      </c>
      <c r="F312" s="221">
        <f t="shared" si="84"/>
        <v>2.3902308999999998E-4</v>
      </c>
      <c r="G312" s="100">
        <v>6.7000000000000002E-6</v>
      </c>
      <c r="H312" s="101">
        <v>9.9999999999999995E-7</v>
      </c>
      <c r="I312" s="102">
        <v>2.0699999999999999E-4</v>
      </c>
      <c r="J312" s="102">
        <v>2.0699999999999998E-5</v>
      </c>
      <c r="K312" s="102">
        <v>2.2900000000000001E-6</v>
      </c>
      <c r="L312" s="102"/>
      <c r="M312" s="102">
        <v>3.0899999999999999E-9</v>
      </c>
      <c r="N312" s="102">
        <v>1.33E-6</v>
      </c>
      <c r="O312" s="102"/>
      <c r="P312" s="14"/>
      <c r="Q312" s="14"/>
      <c r="R312" s="197">
        <f>'Parameters, country spec'!AA25</f>
        <v>0</v>
      </c>
      <c r="T312" s="12">
        <v>2.763501773404974E-3</v>
      </c>
    </row>
    <row r="313" spans="1:20" x14ac:dyDescent="0.35">
      <c r="B313" s="18" t="s">
        <v>231</v>
      </c>
      <c r="C313" s="17" t="s">
        <v>345</v>
      </c>
      <c r="D313" s="23" t="str">
        <f>'Off-farm feed'!$D$77</f>
        <v>France, Germany, Poland</v>
      </c>
      <c r="E313" s="23" t="s">
        <v>82</v>
      </c>
      <c r="F313" s="222">
        <f>'Off-farm feed'!$E$77</f>
        <v>6.732045566157569E-4</v>
      </c>
      <c r="G313" s="222">
        <f>'Off-farm feed'!$F$77</f>
        <v>1.946970439026595E-4</v>
      </c>
      <c r="H313" s="222">
        <f>'Off-farm feed'!$G$77</f>
        <v>5.3103448275862083E-7</v>
      </c>
      <c r="I313" s="222">
        <f>'Off-farm feed'!$H$77</f>
        <v>4.2751561806777074E-4</v>
      </c>
      <c r="J313" s="222">
        <f>'Off-farm feed'!$I$77</f>
        <v>4.2751561806777089E-5</v>
      </c>
      <c r="K313" s="222">
        <f>'Off-farm feed'!$J$77</f>
        <v>6.6339607025480414E-7</v>
      </c>
      <c r="L313" s="222">
        <f>'Off-farm feed'!$K$77</f>
        <v>0</v>
      </c>
      <c r="M313" s="222">
        <f>'Off-farm feed'!$L$77</f>
        <v>7.9511067188965511E-9</v>
      </c>
      <c r="N313" s="222">
        <f>'Off-farm feed'!$M$77</f>
        <v>1.2789681892721844E-6</v>
      </c>
      <c r="O313" s="222">
        <f>'Off-farm feed'!$N$77</f>
        <v>0</v>
      </c>
      <c r="P313" s="222">
        <f>'Off-farm feed'!$O$77</f>
        <v>3.9312802868423834E-6</v>
      </c>
      <c r="Q313" s="222">
        <f>'Off-farm feed'!$P$77</f>
        <v>1.8277027027027027E-6</v>
      </c>
      <c r="R313" s="197">
        <f>'Parameters, country spec'!AA26</f>
        <v>6.8000000000000005E-2</v>
      </c>
      <c r="T313" s="12">
        <v>4.7386628229038642E-3</v>
      </c>
    </row>
    <row r="314" spans="1:20" x14ac:dyDescent="0.35">
      <c r="B314" s="18" t="s">
        <v>346</v>
      </c>
      <c r="C314" s="17" t="s">
        <v>345</v>
      </c>
      <c r="D314" s="23" t="str">
        <f>'Off-farm feed'!$D$26</f>
        <v>Brazil, Argentina</v>
      </c>
      <c r="E314" s="23" t="s">
        <v>82</v>
      </c>
      <c r="F314" s="222">
        <f>'Off-farm feed'!$E$26</f>
        <v>1.8866346644602505E-4</v>
      </c>
      <c r="G314" s="222">
        <f>'Off-farm feed'!$F$26</f>
        <v>1.6332109719061441E-5</v>
      </c>
      <c r="H314" s="222">
        <f>'Off-farm feed'!$G$26</f>
        <v>8.7195121951219526E-7</v>
      </c>
      <c r="I314" s="222">
        <f>'Off-farm feed'!$H$26</f>
        <v>1.3333449845358202E-4</v>
      </c>
      <c r="J314" s="222">
        <f>'Off-farm feed'!$I$26</f>
        <v>1.3333449845358203E-5</v>
      </c>
      <c r="K314" s="222">
        <f>'Off-farm feed'!$J$26</f>
        <v>1.1576736579983931E-6</v>
      </c>
      <c r="L314" s="222">
        <f>'Off-farm feed'!$K$26</f>
        <v>0</v>
      </c>
      <c r="M314" s="222">
        <f>'Off-farm feed'!$L$26</f>
        <v>7.3437786087804866E-9</v>
      </c>
      <c r="N314" s="222">
        <f>'Off-farm feed'!$M$26</f>
        <v>1.1195281639512197E-6</v>
      </c>
      <c r="O314" s="222">
        <f>'Off-farm feed'!$N$26</f>
        <v>0</v>
      </c>
      <c r="P314" s="222">
        <f>'Off-farm feed'!$O$26</f>
        <v>1.3419073770114991E-5</v>
      </c>
      <c r="Q314" s="222">
        <f>'Off-farm feed'!$P$26</f>
        <v>9.087837837837838E-6</v>
      </c>
      <c r="R314" s="197">
        <f>'Parameters, country spec'!AA27</f>
        <v>0.186</v>
      </c>
      <c r="T314" s="12">
        <v>0.11699211590575154</v>
      </c>
    </row>
    <row r="315" spans="1:20" x14ac:dyDescent="0.35">
      <c r="B315" s="17" t="s">
        <v>233</v>
      </c>
      <c r="C315" s="17" t="s">
        <v>347</v>
      </c>
      <c r="D315" s="23" t="s">
        <v>25</v>
      </c>
      <c r="E315" s="23" t="s">
        <v>121</v>
      </c>
      <c r="F315" s="222"/>
      <c r="G315" s="14"/>
      <c r="H315" s="14"/>
      <c r="I315" s="14"/>
      <c r="J315" s="14"/>
      <c r="K315" s="14"/>
      <c r="L315" s="14"/>
      <c r="M315" s="14"/>
      <c r="N315" s="14"/>
      <c r="O315" s="14"/>
      <c r="P315" s="8"/>
      <c r="Q315" s="14"/>
      <c r="R315" s="197">
        <f>'Parameters, country spec'!AA28</f>
        <v>0</v>
      </c>
      <c r="T315" s="12">
        <v>0.12350411469968688</v>
      </c>
    </row>
    <row r="316" spans="1:20" x14ac:dyDescent="0.35">
      <c r="A316" s="83"/>
      <c r="B316" s="17" t="s">
        <v>348</v>
      </c>
      <c r="C316" s="84" t="s">
        <v>349</v>
      </c>
      <c r="D316" s="23" t="s">
        <v>25</v>
      </c>
      <c r="E316" s="23" t="s">
        <v>121</v>
      </c>
      <c r="F316" s="222">
        <f t="shared" si="84"/>
        <v>5.8026760982936494E-4</v>
      </c>
      <c r="G316" s="82">
        <f t="shared" ref="G316:N316" si="85">AVERAGE(G306:G314)</f>
        <v>9.7525461513524526E-5</v>
      </c>
      <c r="H316" s="82">
        <f t="shared" si="85"/>
        <v>9.3366507803009054E-7</v>
      </c>
      <c r="I316" s="82">
        <f t="shared" si="85"/>
        <v>4.3576112405792816E-4</v>
      </c>
      <c r="J316" s="82">
        <f t="shared" si="85"/>
        <v>4.3576112405792815E-5</v>
      </c>
      <c r="K316" s="82">
        <f t="shared" si="85"/>
        <v>1.1501188586947998E-6</v>
      </c>
      <c r="L316" s="82">
        <f t="shared" si="85"/>
        <v>0</v>
      </c>
      <c r="M316" s="82">
        <f t="shared" si="85"/>
        <v>2.0183876147519672E-8</v>
      </c>
      <c r="N316" s="82">
        <f t="shared" si="85"/>
        <v>1.3009440392470449E-6</v>
      </c>
      <c r="O316" s="82"/>
      <c r="P316" s="81"/>
      <c r="Q316" s="82"/>
      <c r="R316" s="197">
        <f>'Parameters, country spec'!AA29</f>
        <v>7.7000000000000179E-2</v>
      </c>
      <c r="T316" s="12">
        <v>0.14159815279921578</v>
      </c>
    </row>
    <row r="317" spans="1:20" x14ac:dyDescent="0.35">
      <c r="A317" s="195"/>
      <c r="B317" s="25" t="s">
        <v>350</v>
      </c>
      <c r="C317" s="26"/>
      <c r="D317" s="103"/>
      <c r="E317" s="103"/>
      <c r="F317" s="30">
        <f>SUMPRODUCT(F306:F316,$R$306:$R$316)</f>
        <v>7.2917156194569324E-4</v>
      </c>
      <c r="G317" s="30">
        <f t="shared" ref="G317:O317" si="86">SUMPRODUCT(G306:G316,$R$306:$R$316)</f>
        <v>1.2799663192966768E-4</v>
      </c>
      <c r="H317" s="30">
        <f t="shared" si="86"/>
        <v>9.3918548266517169E-7</v>
      </c>
      <c r="I317" s="30">
        <f t="shared" si="86"/>
        <v>5.3951488529343518E-4</v>
      </c>
      <c r="J317" s="30">
        <f t="shared" si="86"/>
        <v>5.3951488529343517E-5</v>
      </c>
      <c r="K317" s="30">
        <f t="shared" si="86"/>
        <v>8.9475038528452748E-7</v>
      </c>
      <c r="L317" s="30">
        <f t="shared" si="86"/>
        <v>0</v>
      </c>
      <c r="M317" s="30">
        <f t="shared" si="86"/>
        <v>1.1579156541477155E-8</v>
      </c>
      <c r="N317" s="30">
        <f t="shared" si="86"/>
        <v>1.285144766387458E-6</v>
      </c>
      <c r="O317" s="30">
        <f t="shared" si="86"/>
        <v>0</v>
      </c>
      <c r="P317" s="30">
        <f>SUMPRODUCT(P306:P316,R306:R316)</f>
        <v>2.7632747807466704E-6</v>
      </c>
      <c r="Q317" s="30">
        <f>SUMPRODUCT(Q306:Q316,$R$306:$R$316)</f>
        <v>1.8146216216216217E-6</v>
      </c>
      <c r="R317" s="198"/>
    </row>
    <row r="318" spans="1:20" x14ac:dyDescent="0.35">
      <c r="A318" s="22" t="s">
        <v>336</v>
      </c>
      <c r="B318" s="17" t="s">
        <v>218</v>
      </c>
      <c r="C318" s="17" t="s">
        <v>337</v>
      </c>
      <c r="D318" s="23" t="s">
        <v>21</v>
      </c>
      <c r="E318" s="23" t="s">
        <v>122</v>
      </c>
      <c r="F318" s="223">
        <f>SUM(G318:Q318)</f>
        <v>8.3700497241450582E-4</v>
      </c>
      <c r="G318" s="100">
        <v>1.3527187113652022E-4</v>
      </c>
      <c r="H318" s="101">
        <v>1.1000000000000001E-6</v>
      </c>
      <c r="I318" s="102">
        <v>6.348790825230616E-4</v>
      </c>
      <c r="J318" s="102">
        <v>6.3487908252306166E-5</v>
      </c>
      <c r="K318" s="102">
        <v>1.0965445026178011E-6</v>
      </c>
      <c r="L318" s="102"/>
      <c r="M318" s="102">
        <v>0</v>
      </c>
      <c r="N318" s="102">
        <v>1.1695660000000001E-6</v>
      </c>
      <c r="O318" s="102"/>
      <c r="P318" s="14"/>
      <c r="Q318" s="14"/>
      <c r="R318" s="197">
        <f>'Parameters, country spec'!AB19</f>
        <v>0.24290688316534448</v>
      </c>
    </row>
    <row r="319" spans="1:20" x14ac:dyDescent="0.35">
      <c r="A319" s="22" t="s">
        <v>338</v>
      </c>
      <c r="B319" s="17" t="s">
        <v>222</v>
      </c>
      <c r="C319" s="17" t="s">
        <v>337</v>
      </c>
      <c r="D319" s="23" t="s">
        <v>21</v>
      </c>
      <c r="E319" s="23" t="s">
        <v>122</v>
      </c>
      <c r="F319" s="221">
        <f t="shared" ref="F319:F328" si="87">SUM(G319:Q319)</f>
        <v>7.7064277808378814E-4</v>
      </c>
      <c r="G319" s="100">
        <v>1.3173663927780048E-4</v>
      </c>
      <c r="H319" s="101">
        <v>1.1000000000000001E-6</v>
      </c>
      <c r="I319" s="102">
        <v>5.7807906502645948E-4</v>
      </c>
      <c r="J319" s="102">
        <v>5.7807906502645948E-5</v>
      </c>
      <c r="K319" s="102">
        <v>7.4960127688222882E-7</v>
      </c>
      <c r="L319" s="102"/>
      <c r="M319" s="102">
        <v>0</v>
      </c>
      <c r="N319" s="102">
        <v>1.1695660000000001E-6</v>
      </c>
      <c r="O319" s="102"/>
      <c r="P319" s="14"/>
      <c r="Q319" s="14"/>
      <c r="R319" s="197">
        <f>'Parameters, country spec'!AB20</f>
        <v>1.1405036092928852E-2</v>
      </c>
    </row>
    <row r="320" spans="1:20" x14ac:dyDescent="0.35">
      <c r="A320" s="22" t="s">
        <v>339</v>
      </c>
      <c r="B320" s="17" t="s">
        <v>226</v>
      </c>
      <c r="C320" s="17" t="s">
        <v>337</v>
      </c>
      <c r="D320" s="23" t="s">
        <v>21</v>
      </c>
      <c r="E320" s="23" t="s">
        <v>122</v>
      </c>
      <c r="F320" s="221">
        <f t="shared" si="87"/>
        <v>7.4080189535590966E-4</v>
      </c>
      <c r="G320" s="100">
        <v>1.1925038042019814E-4</v>
      </c>
      <c r="H320" s="101">
        <v>1.1000000000000001E-6</v>
      </c>
      <c r="I320" s="102">
        <v>5.6184338890070615E-4</v>
      </c>
      <c r="J320" s="102">
        <v>5.6184338890070617E-5</v>
      </c>
      <c r="K320" s="102">
        <v>1.2542211449347684E-6</v>
      </c>
      <c r="L320" s="102"/>
      <c r="M320" s="102">
        <v>0</v>
      </c>
      <c r="N320" s="102">
        <v>1.1695660000000001E-6</v>
      </c>
      <c r="O320" s="102"/>
      <c r="P320" s="14"/>
      <c r="Q320" s="14"/>
      <c r="R320" s="197">
        <f>'Parameters, country spec'!AB21</f>
        <v>2.6784717007595302E-2</v>
      </c>
    </row>
    <row r="321" spans="1:18" x14ac:dyDescent="0.35">
      <c r="A321" s="22" t="s">
        <v>340</v>
      </c>
      <c r="B321" s="17" t="s">
        <v>227</v>
      </c>
      <c r="C321" s="17" t="s">
        <v>337</v>
      </c>
      <c r="D321" s="23" t="s">
        <v>21</v>
      </c>
      <c r="E321" s="23" t="s">
        <v>122</v>
      </c>
      <c r="F321" s="221">
        <f t="shared" si="87"/>
        <v>6.6289501004433845E-4</v>
      </c>
      <c r="G321" s="100">
        <v>1.0503816802565812E-4</v>
      </c>
      <c r="H321" s="101">
        <v>1.1000000000000001E-6</v>
      </c>
      <c r="I321" s="102">
        <v>5.0432765635150922E-4</v>
      </c>
      <c r="J321" s="102">
        <v>5.0432765635150922E-5</v>
      </c>
      <c r="K321" s="102">
        <v>8.2685403202016689E-7</v>
      </c>
      <c r="L321" s="102"/>
      <c r="M321" s="102">
        <v>0</v>
      </c>
      <c r="N321" s="102">
        <v>1.1695660000000001E-6</v>
      </c>
      <c r="O321" s="102"/>
      <c r="P321" s="14"/>
      <c r="Q321" s="14"/>
      <c r="R321" s="197">
        <f>'Parameters, country spec'!AB22</f>
        <v>1.2703483591450424E-3</v>
      </c>
    </row>
    <row r="322" spans="1:18" x14ac:dyDescent="0.35">
      <c r="A322" s="22" t="s">
        <v>341</v>
      </c>
      <c r="B322" s="17" t="s">
        <v>228</v>
      </c>
      <c r="C322" s="17" t="s">
        <v>337</v>
      </c>
      <c r="D322" s="23" t="s">
        <v>21</v>
      </c>
      <c r="E322" s="23" t="s">
        <v>122</v>
      </c>
      <c r="F322" s="221">
        <f t="shared" si="87"/>
        <v>9.1657094895803305E-4</v>
      </c>
      <c r="G322" s="100">
        <v>1.5506058283512638E-4</v>
      </c>
      <c r="H322" s="101">
        <v>1.1000000000000001E-6</v>
      </c>
      <c r="I322" s="102">
        <v>6.8950683668766316E-4</v>
      </c>
      <c r="J322" s="102">
        <v>6.8950683668766316E-5</v>
      </c>
      <c r="K322" s="102">
        <v>7.832797664771855E-7</v>
      </c>
      <c r="L322" s="102"/>
      <c r="M322" s="102">
        <v>0</v>
      </c>
      <c r="N322" s="102">
        <v>1.1695660000000001E-6</v>
      </c>
      <c r="O322" s="102"/>
      <c r="P322" s="14"/>
      <c r="Q322" s="14"/>
      <c r="R322" s="197">
        <f>'Parameters, country spec'!AB23</f>
        <v>0.36306225085662319</v>
      </c>
    </row>
    <row r="323" spans="1:18" x14ac:dyDescent="0.35">
      <c r="A323" s="22" t="s">
        <v>342</v>
      </c>
      <c r="B323" s="17" t="s">
        <v>229</v>
      </c>
      <c r="C323" s="17" t="s">
        <v>343</v>
      </c>
      <c r="D323" s="23" t="s">
        <v>21</v>
      </c>
      <c r="E323" s="23" t="s">
        <v>122</v>
      </c>
      <c r="F323" s="221">
        <f t="shared" si="87"/>
        <v>2.0683180874021213E-4</v>
      </c>
      <c r="G323" s="100">
        <v>0</v>
      </c>
      <c r="H323" s="101">
        <v>1.1000000000000001E-6</v>
      </c>
      <c r="I323" s="102">
        <v>1.8457296000000002E-4</v>
      </c>
      <c r="J323" s="102">
        <v>1.8457296000000003E-5</v>
      </c>
      <c r="K323" s="102">
        <v>1.5319867402121297E-6</v>
      </c>
      <c r="L323" s="102"/>
      <c r="M323" s="102">
        <v>0</v>
      </c>
      <c r="N323" s="102">
        <v>1.1695660000000001E-6</v>
      </c>
      <c r="O323" s="102"/>
      <c r="P323" s="14"/>
      <c r="Q323" s="14"/>
      <c r="R323" s="197">
        <f>'Parameters, country spec'!AB24</f>
        <v>6.0909129056991628E-3</v>
      </c>
    </row>
    <row r="324" spans="1:18" x14ac:dyDescent="0.35">
      <c r="A324" s="22" t="s">
        <v>344</v>
      </c>
      <c r="B324" s="17" t="s">
        <v>230</v>
      </c>
      <c r="C324" s="17" t="s">
        <v>343</v>
      </c>
      <c r="D324" s="23" t="s">
        <v>21</v>
      </c>
      <c r="E324" s="23" t="s">
        <v>122</v>
      </c>
      <c r="F324" s="221">
        <f t="shared" si="87"/>
        <v>2.3870339373407735E-4</v>
      </c>
      <c r="G324" s="100">
        <v>6.6632952642360706E-6</v>
      </c>
      <c r="H324" s="101">
        <v>1.1000000000000001E-6</v>
      </c>
      <c r="I324" s="102">
        <v>2.067986173968254E-4</v>
      </c>
      <c r="J324" s="102">
        <v>2.0679861739682541E-5</v>
      </c>
      <c r="K324" s="102">
        <v>2.2920533333333338E-6</v>
      </c>
      <c r="L324" s="102"/>
      <c r="M324" s="102">
        <v>0</v>
      </c>
      <c r="N324" s="102">
        <v>1.1695660000000001E-6</v>
      </c>
      <c r="O324" s="102"/>
      <c r="P324" s="14"/>
      <c r="Q324" s="14"/>
      <c r="R324" s="197">
        <f>'Parameters, country spec'!AB25</f>
        <v>5.9832836689627722E-3</v>
      </c>
    </row>
    <row r="325" spans="1:18" x14ac:dyDescent="0.35">
      <c r="B325" s="18" t="s">
        <v>231</v>
      </c>
      <c r="C325" s="17" t="s">
        <v>345</v>
      </c>
      <c r="D325" s="23" t="str">
        <f>'Off-farm feed'!$D$77</f>
        <v>France, Germany, Poland</v>
      </c>
      <c r="E325" s="23" t="s">
        <v>82</v>
      </c>
      <c r="F325" s="222">
        <f>'Off-farm feed'!$E$77</f>
        <v>6.732045566157569E-4</v>
      </c>
      <c r="G325" s="222">
        <f>'Off-farm feed'!$F$77</f>
        <v>1.946970439026595E-4</v>
      </c>
      <c r="H325" s="222">
        <f>'Off-farm feed'!$G$77</f>
        <v>5.3103448275862083E-7</v>
      </c>
      <c r="I325" s="222">
        <f>'Off-farm feed'!$H$77</f>
        <v>4.2751561806777074E-4</v>
      </c>
      <c r="J325" s="222">
        <f>'Off-farm feed'!$I$77</f>
        <v>4.2751561806777089E-5</v>
      </c>
      <c r="K325" s="222">
        <f>'Off-farm feed'!$J$77</f>
        <v>6.6339607025480414E-7</v>
      </c>
      <c r="L325" s="222">
        <f>'Off-farm feed'!$K$77</f>
        <v>0</v>
      </c>
      <c r="M325" s="222">
        <f>'Off-farm feed'!$L$77</f>
        <v>7.9511067188965511E-9</v>
      </c>
      <c r="N325" s="222">
        <f>'Off-farm feed'!$M$77</f>
        <v>1.2789681892721844E-6</v>
      </c>
      <c r="O325" s="222">
        <f>'Off-farm feed'!$N$77</f>
        <v>0</v>
      </c>
      <c r="P325" s="222">
        <f>'Off-farm feed'!$O$77</f>
        <v>3.9312802868423834E-6</v>
      </c>
      <c r="Q325" s="222">
        <f>'Off-farm feed'!$P$77</f>
        <v>1.8277027027027027E-6</v>
      </c>
      <c r="R325" s="197">
        <f>'Parameters, country spec'!AB26</f>
        <v>9.4633897453147445E-2</v>
      </c>
    </row>
    <row r="326" spans="1:18" x14ac:dyDescent="0.35">
      <c r="B326" s="18" t="s">
        <v>346</v>
      </c>
      <c r="C326" s="17" t="s">
        <v>345</v>
      </c>
      <c r="D326" s="23" t="str">
        <f>'Off-farm feed'!$D$26</f>
        <v>Brazil, Argentina</v>
      </c>
      <c r="E326" s="23" t="s">
        <v>82</v>
      </c>
      <c r="F326" s="222">
        <f>'Off-farm feed'!$E$26</f>
        <v>1.8866346644602505E-4</v>
      </c>
      <c r="G326" s="222">
        <f>'Off-farm feed'!$F$26</f>
        <v>1.6332109719061441E-5</v>
      </c>
      <c r="H326" s="222">
        <f>'Off-farm feed'!$G$26</f>
        <v>8.7195121951219526E-7</v>
      </c>
      <c r="I326" s="222">
        <f>'Off-farm feed'!$H$26</f>
        <v>1.3333449845358202E-4</v>
      </c>
      <c r="J326" s="222">
        <f>'Off-farm feed'!$I$26</f>
        <v>1.3333449845358203E-5</v>
      </c>
      <c r="K326" s="222">
        <f>'Off-farm feed'!$J$26</f>
        <v>1.1576736579983931E-6</v>
      </c>
      <c r="L326" s="222">
        <f>'Off-farm feed'!$K$26</f>
        <v>0</v>
      </c>
      <c r="M326" s="222">
        <f>'Off-farm feed'!$L$26</f>
        <v>7.3437786087804866E-9</v>
      </c>
      <c r="N326" s="222">
        <f>'Off-farm feed'!$M$26</f>
        <v>1.1195281639512197E-6</v>
      </c>
      <c r="O326" s="222">
        <f>'Off-farm feed'!$N$26</f>
        <v>0</v>
      </c>
      <c r="P326" s="222">
        <f>'Off-farm feed'!$O$26</f>
        <v>1.3419073770114991E-5</v>
      </c>
      <c r="Q326" s="222">
        <f>'Off-farm feed'!$P$26</f>
        <v>9.087837837837838E-6</v>
      </c>
      <c r="R326" s="197">
        <f>'Parameters, country spec'!AB27</f>
        <v>0.1863493678947572</v>
      </c>
    </row>
    <row r="327" spans="1:18" x14ac:dyDescent="0.35">
      <c r="B327" s="17" t="s">
        <v>233</v>
      </c>
      <c r="C327" s="17" t="s">
        <v>347</v>
      </c>
      <c r="D327" s="23" t="s">
        <v>21</v>
      </c>
      <c r="E327" s="23" t="s">
        <v>122</v>
      </c>
      <c r="F327" s="222"/>
      <c r="G327" s="14"/>
      <c r="H327" s="14"/>
      <c r="I327" s="14"/>
      <c r="J327" s="14"/>
      <c r="K327" s="14"/>
      <c r="L327" s="14"/>
      <c r="M327" s="14"/>
      <c r="N327" s="14"/>
      <c r="O327" s="14"/>
      <c r="P327" s="8"/>
      <c r="Q327" s="14"/>
      <c r="R327" s="197">
        <f>'Parameters, country spec'!AB28</f>
        <v>1.2143080899157416E-2</v>
      </c>
    </row>
    <row r="328" spans="1:18" x14ac:dyDescent="0.35">
      <c r="A328" s="83"/>
      <c r="B328" s="17" t="s">
        <v>348</v>
      </c>
      <c r="C328" s="84" t="s">
        <v>349</v>
      </c>
      <c r="D328" s="23" t="s">
        <v>21</v>
      </c>
      <c r="E328" s="23" t="s">
        <v>122</v>
      </c>
      <c r="F328" s="222">
        <f t="shared" si="87"/>
        <v>5.7856143731057198E-4</v>
      </c>
      <c r="G328" s="82">
        <f t="shared" ref="G328:N328" si="88">AVERAGE(G318:G326)</f>
        <v>9.600556562014004E-5</v>
      </c>
      <c r="H328" s="82">
        <f t="shared" si="88"/>
        <v>1.0114428558078684E-6</v>
      </c>
      <c r="I328" s="82">
        <f t="shared" si="88"/>
        <v>4.356508581563975E-4</v>
      </c>
      <c r="J328" s="82">
        <f t="shared" si="88"/>
        <v>4.3565085815639758E-5</v>
      </c>
      <c r="K328" s="82">
        <f t="shared" si="88"/>
        <v>1.1506233916367569E-6</v>
      </c>
      <c r="L328" s="82">
        <f t="shared" si="88"/>
        <v>0</v>
      </c>
      <c r="M328" s="82">
        <f t="shared" si="88"/>
        <v>1.6994317030752262E-9</v>
      </c>
      <c r="N328" s="82">
        <f t="shared" si="88"/>
        <v>1.1761620392470449E-6</v>
      </c>
      <c r="O328" s="82"/>
      <c r="P328" s="81"/>
      <c r="Q328" s="82"/>
      <c r="R328" s="197">
        <f>'Parameters, country spec'!AB29</f>
        <v>4.9370221696639315E-2</v>
      </c>
    </row>
    <row r="329" spans="1:18" x14ac:dyDescent="0.35">
      <c r="A329" s="195"/>
      <c r="B329" s="25" t="s">
        <v>350</v>
      </c>
      <c r="C329" s="26"/>
      <c r="D329" s="103"/>
      <c r="E329" s="103"/>
      <c r="F329" s="30">
        <f>SUMPRODUCT(F318:F328,$R$318:$R$328)</f>
        <v>6.9567708602307821E-4</v>
      </c>
      <c r="G329" s="30">
        <f t="shared" ref="G329:O329" si="89">SUMPRODUCT(G318:G328,$R$318:$R$328)</f>
        <v>1.2023319955786734E-4</v>
      </c>
      <c r="H329" s="30">
        <f t="shared" si="89"/>
        <v>9.8593035466326995E-7</v>
      </c>
      <c r="I329" s="30">
        <f t="shared" si="89"/>
        <v>5.1600690454669607E-4</v>
      </c>
      <c r="J329" s="30">
        <f t="shared" si="89"/>
        <v>5.1600690454669608E-5</v>
      </c>
      <c r="K329" s="30">
        <f t="shared" si="89"/>
        <v>9.5229434826285148E-7</v>
      </c>
      <c r="L329" s="30">
        <f t="shared" si="89"/>
        <v>0</v>
      </c>
      <c r="M329" s="30">
        <f t="shared" si="89"/>
        <v>2.2048540395194925E-9</v>
      </c>
      <c r="N329" s="30">
        <f t="shared" si="89"/>
        <v>1.1567181498072647E-6</v>
      </c>
      <c r="O329" s="30">
        <f t="shared" si="89"/>
        <v>0</v>
      </c>
      <c r="P329" s="30">
        <f>SUMPRODUCT(P318:P328,R318:R328)</f>
        <v>2.8726682903186673E-6</v>
      </c>
      <c r="Q329" s="30">
        <f>SUMPRODUCT(Q318:Q328,$R$318:$R$328)</f>
        <v>1.8664754667535459E-6</v>
      </c>
      <c r="R329" s="196"/>
    </row>
    <row r="330" spans="1:18" x14ac:dyDescent="0.35">
      <c r="A330" s="22" t="s">
        <v>336</v>
      </c>
      <c r="B330" s="17" t="s">
        <v>218</v>
      </c>
      <c r="C330" s="17" t="s">
        <v>337</v>
      </c>
      <c r="D330" s="23" t="s">
        <v>123</v>
      </c>
      <c r="E330" s="23" t="s">
        <v>124</v>
      </c>
      <c r="F330" s="223">
        <f>SUM(G330:Q330)</f>
        <v>8.3700497241450582E-4</v>
      </c>
      <c r="G330" s="100">
        <v>1.3527187113652022E-4</v>
      </c>
      <c r="H330" s="101">
        <v>1.1000000000000001E-6</v>
      </c>
      <c r="I330" s="102">
        <v>6.348790825230616E-4</v>
      </c>
      <c r="J330" s="102">
        <v>6.3487908252306166E-5</v>
      </c>
      <c r="K330" s="102">
        <v>1.0965445026178011E-6</v>
      </c>
      <c r="L330" s="102"/>
      <c r="M330" s="102">
        <v>0</v>
      </c>
      <c r="N330" s="102">
        <v>1.1695660000000001E-6</v>
      </c>
      <c r="O330" s="102"/>
      <c r="P330" s="14"/>
      <c r="Q330" s="14"/>
      <c r="R330" s="197">
        <f>'Parameters, country spec'!AC19</f>
        <v>0.24290688316534448</v>
      </c>
    </row>
    <row r="331" spans="1:18" x14ac:dyDescent="0.35">
      <c r="A331" s="22" t="s">
        <v>338</v>
      </c>
      <c r="B331" s="17" t="s">
        <v>222</v>
      </c>
      <c r="C331" s="17" t="s">
        <v>337</v>
      </c>
      <c r="D331" s="23" t="s">
        <v>123</v>
      </c>
      <c r="E331" s="23" t="s">
        <v>124</v>
      </c>
      <c r="F331" s="221">
        <f t="shared" ref="F331:F336" si="90">SUM(G331:Q331)</f>
        <v>7.7064277808378814E-4</v>
      </c>
      <c r="G331" s="100">
        <v>1.3173663927780048E-4</v>
      </c>
      <c r="H331" s="101">
        <v>1.1000000000000001E-6</v>
      </c>
      <c r="I331" s="102">
        <v>5.7807906502645948E-4</v>
      </c>
      <c r="J331" s="102">
        <v>5.7807906502645948E-5</v>
      </c>
      <c r="K331" s="102">
        <v>7.4960127688222882E-7</v>
      </c>
      <c r="L331" s="102"/>
      <c r="M331" s="102">
        <v>0</v>
      </c>
      <c r="N331" s="102">
        <v>1.1695660000000001E-6</v>
      </c>
      <c r="O331" s="102"/>
      <c r="P331" s="14"/>
      <c r="Q331" s="14"/>
      <c r="R331" s="197">
        <f>'Parameters, country spec'!AC20</f>
        <v>1.1405036092928852E-2</v>
      </c>
    </row>
    <row r="332" spans="1:18" x14ac:dyDescent="0.35">
      <c r="A332" s="22" t="s">
        <v>339</v>
      </c>
      <c r="B332" s="17" t="s">
        <v>226</v>
      </c>
      <c r="C332" s="17" t="s">
        <v>337</v>
      </c>
      <c r="D332" s="23" t="s">
        <v>123</v>
      </c>
      <c r="E332" s="23" t="s">
        <v>124</v>
      </c>
      <c r="F332" s="221">
        <f t="shared" si="90"/>
        <v>7.4080189535590966E-4</v>
      </c>
      <c r="G332" s="100">
        <v>1.1925038042019814E-4</v>
      </c>
      <c r="H332" s="101">
        <v>1.1000000000000001E-6</v>
      </c>
      <c r="I332" s="102">
        <v>5.6184338890070615E-4</v>
      </c>
      <c r="J332" s="102">
        <v>5.6184338890070617E-5</v>
      </c>
      <c r="K332" s="102">
        <v>1.2542211449347684E-6</v>
      </c>
      <c r="L332" s="102"/>
      <c r="M332" s="102">
        <v>0</v>
      </c>
      <c r="N332" s="102">
        <v>1.1695660000000001E-6</v>
      </c>
      <c r="O332" s="102"/>
      <c r="P332" s="14"/>
      <c r="Q332" s="14"/>
      <c r="R332" s="197">
        <f>'Parameters, country spec'!AC21</f>
        <v>2.6784717007595302E-2</v>
      </c>
    </row>
    <row r="333" spans="1:18" x14ac:dyDescent="0.35">
      <c r="A333" s="22" t="s">
        <v>340</v>
      </c>
      <c r="B333" s="17" t="s">
        <v>227</v>
      </c>
      <c r="C333" s="17" t="s">
        <v>337</v>
      </c>
      <c r="D333" s="23" t="s">
        <v>123</v>
      </c>
      <c r="E333" s="23" t="s">
        <v>124</v>
      </c>
      <c r="F333" s="221">
        <f t="shared" si="90"/>
        <v>6.6289501004433845E-4</v>
      </c>
      <c r="G333" s="100">
        <v>1.0503816802565812E-4</v>
      </c>
      <c r="H333" s="101">
        <v>1.1000000000000001E-6</v>
      </c>
      <c r="I333" s="102">
        <v>5.0432765635150922E-4</v>
      </c>
      <c r="J333" s="102">
        <v>5.0432765635150922E-5</v>
      </c>
      <c r="K333" s="102">
        <v>8.2685403202016689E-7</v>
      </c>
      <c r="L333" s="102"/>
      <c r="M333" s="102">
        <v>0</v>
      </c>
      <c r="N333" s="102">
        <v>1.1695660000000001E-6</v>
      </c>
      <c r="O333" s="102"/>
      <c r="P333" s="14"/>
      <c r="Q333" s="14"/>
      <c r="R333" s="197">
        <f>'Parameters, country spec'!AC22</f>
        <v>1.2703483591450424E-3</v>
      </c>
    </row>
    <row r="334" spans="1:18" x14ac:dyDescent="0.35">
      <c r="A334" s="22" t="s">
        <v>341</v>
      </c>
      <c r="B334" s="17" t="s">
        <v>228</v>
      </c>
      <c r="C334" s="17" t="s">
        <v>337</v>
      </c>
      <c r="D334" s="23" t="s">
        <v>123</v>
      </c>
      <c r="E334" s="23" t="s">
        <v>124</v>
      </c>
      <c r="F334" s="221">
        <f t="shared" si="90"/>
        <v>9.1657094895803305E-4</v>
      </c>
      <c r="G334" s="100">
        <v>1.5506058283512638E-4</v>
      </c>
      <c r="H334" s="101">
        <v>1.1000000000000001E-6</v>
      </c>
      <c r="I334" s="102">
        <v>6.8950683668766316E-4</v>
      </c>
      <c r="J334" s="102">
        <v>6.8950683668766316E-5</v>
      </c>
      <c r="K334" s="102">
        <v>7.832797664771855E-7</v>
      </c>
      <c r="L334" s="102"/>
      <c r="M334" s="102">
        <v>0</v>
      </c>
      <c r="N334" s="102">
        <v>1.1695660000000001E-6</v>
      </c>
      <c r="O334" s="102"/>
      <c r="P334" s="14"/>
      <c r="Q334" s="14"/>
      <c r="R334" s="197">
        <f>'Parameters, country spec'!AC23</f>
        <v>0.36306225085662319</v>
      </c>
    </row>
    <row r="335" spans="1:18" x14ac:dyDescent="0.35">
      <c r="A335" s="22" t="s">
        <v>342</v>
      </c>
      <c r="B335" s="17" t="s">
        <v>229</v>
      </c>
      <c r="C335" s="17" t="s">
        <v>343</v>
      </c>
      <c r="D335" s="23" t="s">
        <v>123</v>
      </c>
      <c r="E335" s="23" t="s">
        <v>124</v>
      </c>
      <c r="F335" s="221">
        <f t="shared" si="90"/>
        <v>2.0683180874021213E-4</v>
      </c>
      <c r="G335" s="100">
        <v>0</v>
      </c>
      <c r="H335" s="101">
        <v>1.1000000000000001E-6</v>
      </c>
      <c r="I335" s="102">
        <v>1.8457296000000002E-4</v>
      </c>
      <c r="J335" s="102">
        <v>1.8457296000000003E-5</v>
      </c>
      <c r="K335" s="102">
        <v>1.5319867402121297E-6</v>
      </c>
      <c r="L335" s="102"/>
      <c r="M335" s="102">
        <v>0</v>
      </c>
      <c r="N335" s="102">
        <v>1.1695660000000001E-6</v>
      </c>
      <c r="O335" s="102"/>
      <c r="P335" s="14"/>
      <c r="Q335" s="14"/>
      <c r="R335" s="197">
        <f>'Parameters, country spec'!AC24</f>
        <v>6.0909129056991628E-3</v>
      </c>
    </row>
    <row r="336" spans="1:18" x14ac:dyDescent="0.35">
      <c r="A336" s="22" t="s">
        <v>344</v>
      </c>
      <c r="B336" s="17" t="s">
        <v>230</v>
      </c>
      <c r="C336" s="17" t="s">
        <v>343</v>
      </c>
      <c r="D336" s="23" t="s">
        <v>123</v>
      </c>
      <c r="E336" s="23" t="s">
        <v>124</v>
      </c>
      <c r="F336" s="221">
        <f t="shared" si="90"/>
        <v>2.3870339373407735E-4</v>
      </c>
      <c r="G336" s="100">
        <v>6.6632952642360706E-6</v>
      </c>
      <c r="H336" s="101">
        <v>1.1000000000000001E-6</v>
      </c>
      <c r="I336" s="102">
        <v>2.067986173968254E-4</v>
      </c>
      <c r="J336" s="102">
        <v>2.0679861739682541E-5</v>
      </c>
      <c r="K336" s="102">
        <v>2.2920533333333338E-6</v>
      </c>
      <c r="L336" s="102"/>
      <c r="M336" s="102">
        <v>0</v>
      </c>
      <c r="N336" s="102">
        <v>1.1695660000000001E-6</v>
      </c>
      <c r="O336" s="102"/>
      <c r="P336" s="14"/>
      <c r="Q336" s="14"/>
      <c r="R336" s="197">
        <f>'Parameters, country spec'!AC25</f>
        <v>5.9832836689627722E-3</v>
      </c>
    </row>
    <row r="337" spans="1:18" x14ac:dyDescent="0.35">
      <c r="B337" s="18" t="s">
        <v>231</v>
      </c>
      <c r="C337" s="17" t="s">
        <v>345</v>
      </c>
      <c r="D337" s="23" t="str">
        <f>'Off-farm feed'!$D$77</f>
        <v>France, Germany, Poland</v>
      </c>
      <c r="E337" s="23" t="s">
        <v>82</v>
      </c>
      <c r="F337" s="222">
        <f>'Off-farm feed'!$E$77</f>
        <v>6.732045566157569E-4</v>
      </c>
      <c r="G337" s="222">
        <f>'Off-farm feed'!$F$77</f>
        <v>1.946970439026595E-4</v>
      </c>
      <c r="H337" s="222">
        <f>'Off-farm feed'!$G$77</f>
        <v>5.3103448275862083E-7</v>
      </c>
      <c r="I337" s="222">
        <f>'Off-farm feed'!$H$77</f>
        <v>4.2751561806777074E-4</v>
      </c>
      <c r="J337" s="222">
        <f>'Off-farm feed'!$I$77</f>
        <v>4.2751561806777089E-5</v>
      </c>
      <c r="K337" s="222">
        <f>'Off-farm feed'!$J$77</f>
        <v>6.6339607025480414E-7</v>
      </c>
      <c r="L337" s="222">
        <f>'Off-farm feed'!$K$77</f>
        <v>0</v>
      </c>
      <c r="M337" s="222">
        <f>'Off-farm feed'!$L$77</f>
        <v>7.9511067188965511E-9</v>
      </c>
      <c r="N337" s="222">
        <f>'Off-farm feed'!$M$77</f>
        <v>1.2789681892721844E-6</v>
      </c>
      <c r="O337" s="222">
        <f>'Off-farm feed'!$N$77</f>
        <v>0</v>
      </c>
      <c r="P337" s="222">
        <f>'Off-farm feed'!$O$77</f>
        <v>3.9312802868423834E-6</v>
      </c>
      <c r="Q337" s="222">
        <f>'Off-farm feed'!$P$77</f>
        <v>1.8277027027027027E-6</v>
      </c>
      <c r="R337" s="197">
        <f>'Parameters, country spec'!AC26</f>
        <v>9.4633897453147445E-2</v>
      </c>
    </row>
    <row r="338" spans="1:18" x14ac:dyDescent="0.35">
      <c r="B338" s="18" t="s">
        <v>346</v>
      </c>
      <c r="C338" s="17" t="s">
        <v>345</v>
      </c>
      <c r="D338" s="23" t="str">
        <f>'Off-farm feed'!$D$26</f>
        <v>Brazil, Argentina</v>
      </c>
      <c r="E338" s="23" t="s">
        <v>82</v>
      </c>
      <c r="F338" s="222">
        <f>'Off-farm feed'!$E$26</f>
        <v>1.8866346644602505E-4</v>
      </c>
      <c r="G338" s="222">
        <f>'Off-farm feed'!$F$26</f>
        <v>1.6332109719061441E-5</v>
      </c>
      <c r="H338" s="222">
        <f>'Off-farm feed'!$G$26</f>
        <v>8.7195121951219526E-7</v>
      </c>
      <c r="I338" s="222">
        <f>'Off-farm feed'!$H$26</f>
        <v>1.3333449845358202E-4</v>
      </c>
      <c r="J338" s="222">
        <f>'Off-farm feed'!$I$26</f>
        <v>1.3333449845358203E-5</v>
      </c>
      <c r="K338" s="222">
        <f>'Off-farm feed'!$J$26</f>
        <v>1.1576736579983931E-6</v>
      </c>
      <c r="L338" s="222">
        <f>'Off-farm feed'!$K$26</f>
        <v>0</v>
      </c>
      <c r="M338" s="222">
        <f>'Off-farm feed'!$L$26</f>
        <v>7.3437786087804866E-9</v>
      </c>
      <c r="N338" s="222">
        <f>'Off-farm feed'!$M$26</f>
        <v>1.1195281639512197E-6</v>
      </c>
      <c r="O338" s="222">
        <f>'Off-farm feed'!$N$26</f>
        <v>0</v>
      </c>
      <c r="P338" s="222">
        <f>'Off-farm feed'!$O$26</f>
        <v>1.3419073770114991E-5</v>
      </c>
      <c r="Q338" s="222">
        <f>'Off-farm feed'!$P$26</f>
        <v>9.087837837837838E-6</v>
      </c>
      <c r="R338" s="197">
        <f>'Parameters, country spec'!AC27</f>
        <v>0.1863493678947572</v>
      </c>
    </row>
    <row r="339" spans="1:18" x14ac:dyDescent="0.35">
      <c r="B339" s="17" t="s">
        <v>233</v>
      </c>
      <c r="C339" s="17" t="s">
        <v>347</v>
      </c>
      <c r="D339" s="23" t="s">
        <v>123</v>
      </c>
      <c r="E339" s="23" t="s">
        <v>124</v>
      </c>
      <c r="F339" s="222"/>
      <c r="G339" s="14"/>
      <c r="H339" s="14"/>
      <c r="I339" s="14"/>
      <c r="J339" s="14"/>
      <c r="K339" s="14"/>
      <c r="L339" s="14"/>
      <c r="M339" s="14"/>
      <c r="N339" s="14"/>
      <c r="O339" s="14"/>
      <c r="P339" s="8"/>
      <c r="Q339" s="14"/>
      <c r="R339" s="197">
        <f>'Parameters, country spec'!AC28</f>
        <v>1.2143080899157416E-2</v>
      </c>
    </row>
    <row r="340" spans="1:18" x14ac:dyDescent="0.35">
      <c r="A340" s="83"/>
      <c r="B340" s="17" t="s">
        <v>348</v>
      </c>
      <c r="C340" s="84" t="s">
        <v>349</v>
      </c>
      <c r="D340" s="23" t="s">
        <v>123</v>
      </c>
      <c r="E340" s="23" t="s">
        <v>124</v>
      </c>
      <c r="F340" s="222">
        <f t="shared" ref="F340" si="91">SUM(G340:Q340)</f>
        <v>5.7856143731057198E-4</v>
      </c>
      <c r="G340" s="82">
        <f t="shared" ref="G340:N340" si="92">AVERAGE(G330:G338)</f>
        <v>9.600556562014004E-5</v>
      </c>
      <c r="H340" s="82">
        <f t="shared" si="92"/>
        <v>1.0114428558078684E-6</v>
      </c>
      <c r="I340" s="82">
        <f t="shared" si="92"/>
        <v>4.356508581563975E-4</v>
      </c>
      <c r="J340" s="82">
        <f t="shared" si="92"/>
        <v>4.3565085815639758E-5</v>
      </c>
      <c r="K340" s="82">
        <f t="shared" si="92"/>
        <v>1.1506233916367569E-6</v>
      </c>
      <c r="L340" s="82">
        <f t="shared" si="92"/>
        <v>0</v>
      </c>
      <c r="M340" s="82">
        <f t="shared" si="92"/>
        <v>1.6994317030752262E-9</v>
      </c>
      <c r="N340" s="82">
        <f t="shared" si="92"/>
        <v>1.1761620392470449E-6</v>
      </c>
      <c r="O340" s="82"/>
      <c r="P340" s="81"/>
      <c r="Q340" s="82"/>
      <c r="R340" s="197">
        <f>'Parameters, country spec'!AC29</f>
        <v>4.9370221696639315E-2</v>
      </c>
    </row>
    <row r="341" spans="1:18" x14ac:dyDescent="0.35">
      <c r="A341" s="195"/>
      <c r="B341" s="25" t="s">
        <v>350</v>
      </c>
      <c r="C341" s="26"/>
      <c r="D341" s="103"/>
      <c r="E341" s="103"/>
      <c r="F341" s="30">
        <f>SUMPRODUCT(F330:F340,$R$330:$R$340)</f>
        <v>6.9567708602307821E-4</v>
      </c>
      <c r="G341" s="30">
        <f>SUMPRODUCT(G330:G340,$R$330:$R$340)</f>
        <v>1.2023319955786734E-4</v>
      </c>
      <c r="H341" s="30">
        <f>SUMPRODUCT(H330:H340,$R$330:$R$340)</f>
        <v>9.8593035466326995E-7</v>
      </c>
      <c r="I341" s="30">
        <f>SUMPRODUCT(I330:I340,$R$330:$R$340)</f>
        <v>5.1600690454669607E-4</v>
      </c>
      <c r="J341" s="30"/>
      <c r="K341" s="30">
        <f>SUMPRODUCT(K330:K340,$R$330:$R$340)</f>
        <v>9.5229434826285148E-7</v>
      </c>
      <c r="L341" s="30"/>
      <c r="M341" s="30">
        <f>SUMPRODUCT(M330:M340,$R$330:$R$340)</f>
        <v>2.2048540395194925E-9</v>
      </c>
      <c r="N341" s="30">
        <f>SUMPRODUCT(N330:N340,$R$330:$R$340)</f>
        <v>1.1567181498072647E-6</v>
      </c>
      <c r="O341" s="30">
        <f>SUMPRODUCT(O330:O340,$R$330:$R$340)</f>
        <v>0</v>
      </c>
      <c r="P341" s="30">
        <f>SUMPRODUCT(P330:P340,R330:R340)</f>
        <v>2.8726682903186673E-6</v>
      </c>
      <c r="Q341" s="30">
        <f>SUMPRODUCT(Q330:Q340,$R$330:$R$340)</f>
        <v>1.8664754667535459E-6</v>
      </c>
      <c r="R341" s="198"/>
    </row>
    <row r="342" spans="1:18" x14ac:dyDescent="0.35">
      <c r="A342" s="22" t="s">
        <v>336</v>
      </c>
      <c r="B342" s="17" t="s">
        <v>218</v>
      </c>
      <c r="C342" s="17" t="s">
        <v>337</v>
      </c>
      <c r="D342" s="23" t="s">
        <v>125</v>
      </c>
      <c r="E342" s="23" t="s">
        <v>126</v>
      </c>
      <c r="F342" s="223">
        <f>SUM(G342:Q342)</f>
        <v>8.3700497241450582E-4</v>
      </c>
      <c r="G342" s="100">
        <v>1.3527187113652022E-4</v>
      </c>
      <c r="H342" s="101">
        <v>1.1000000000000001E-6</v>
      </c>
      <c r="I342" s="102">
        <v>6.348790825230616E-4</v>
      </c>
      <c r="J342" s="102">
        <v>6.3487908252306166E-5</v>
      </c>
      <c r="K342" s="102">
        <v>1.0965445026178011E-6</v>
      </c>
      <c r="L342" s="102"/>
      <c r="M342" s="102">
        <v>0</v>
      </c>
      <c r="N342" s="102">
        <v>1.1695660000000001E-6</v>
      </c>
      <c r="O342" s="102"/>
      <c r="P342" s="14"/>
      <c r="Q342" s="14"/>
      <c r="R342" s="197">
        <f>'Parameters, country spec'!AD19</f>
        <v>0.24290688316534448</v>
      </c>
    </row>
    <row r="343" spans="1:18" x14ac:dyDescent="0.35">
      <c r="A343" s="22" t="s">
        <v>338</v>
      </c>
      <c r="B343" s="17" t="s">
        <v>222</v>
      </c>
      <c r="C343" s="17" t="s">
        <v>337</v>
      </c>
      <c r="D343" s="23" t="s">
        <v>125</v>
      </c>
      <c r="E343" s="23" t="s">
        <v>126</v>
      </c>
      <c r="F343" s="221">
        <f t="shared" ref="F343:F348" si="93">SUM(G343:Q343)</f>
        <v>7.7064277808378814E-4</v>
      </c>
      <c r="G343" s="100">
        <v>1.3173663927780048E-4</v>
      </c>
      <c r="H343" s="101">
        <v>1.1000000000000001E-6</v>
      </c>
      <c r="I343" s="102">
        <v>5.7807906502645948E-4</v>
      </c>
      <c r="J343" s="102">
        <v>5.7807906502645948E-5</v>
      </c>
      <c r="K343" s="102">
        <v>7.4960127688222882E-7</v>
      </c>
      <c r="L343" s="102"/>
      <c r="M343" s="102">
        <v>0</v>
      </c>
      <c r="N343" s="102">
        <v>1.1695660000000001E-6</v>
      </c>
      <c r="O343" s="102"/>
      <c r="P343" s="14"/>
      <c r="Q343" s="14"/>
      <c r="R343" s="197">
        <f>'Parameters, country spec'!AD20</f>
        <v>1.1405036092928852E-2</v>
      </c>
    </row>
    <row r="344" spans="1:18" x14ac:dyDescent="0.35">
      <c r="A344" s="22" t="s">
        <v>339</v>
      </c>
      <c r="B344" s="17" t="s">
        <v>226</v>
      </c>
      <c r="C344" s="17" t="s">
        <v>337</v>
      </c>
      <c r="D344" s="23" t="s">
        <v>125</v>
      </c>
      <c r="E344" s="23" t="s">
        <v>126</v>
      </c>
      <c r="F344" s="221">
        <f t="shared" si="93"/>
        <v>7.4080189535590966E-4</v>
      </c>
      <c r="G344" s="100">
        <v>1.1925038042019814E-4</v>
      </c>
      <c r="H344" s="101">
        <v>1.1000000000000001E-6</v>
      </c>
      <c r="I344" s="102">
        <v>5.6184338890070615E-4</v>
      </c>
      <c r="J344" s="102">
        <v>5.6184338890070617E-5</v>
      </c>
      <c r="K344" s="102">
        <v>1.2542211449347684E-6</v>
      </c>
      <c r="L344" s="102"/>
      <c r="M344" s="102">
        <v>0</v>
      </c>
      <c r="N344" s="102">
        <v>1.1695660000000001E-6</v>
      </c>
      <c r="O344" s="102"/>
      <c r="P344" s="14"/>
      <c r="Q344" s="14"/>
      <c r="R344" s="197">
        <f>'Parameters, country spec'!AD21</f>
        <v>2.6784717007595302E-2</v>
      </c>
    </row>
    <row r="345" spans="1:18" x14ac:dyDescent="0.35">
      <c r="A345" s="22" t="s">
        <v>340</v>
      </c>
      <c r="B345" s="17" t="s">
        <v>227</v>
      </c>
      <c r="C345" s="17" t="s">
        <v>337</v>
      </c>
      <c r="D345" s="23" t="s">
        <v>125</v>
      </c>
      <c r="E345" s="23" t="s">
        <v>126</v>
      </c>
      <c r="F345" s="221">
        <f t="shared" si="93"/>
        <v>6.6289501004433845E-4</v>
      </c>
      <c r="G345" s="100">
        <v>1.0503816802565812E-4</v>
      </c>
      <c r="H345" s="101">
        <v>1.1000000000000001E-6</v>
      </c>
      <c r="I345" s="102">
        <v>5.0432765635150922E-4</v>
      </c>
      <c r="J345" s="102">
        <v>5.0432765635150922E-5</v>
      </c>
      <c r="K345" s="102">
        <v>8.2685403202016689E-7</v>
      </c>
      <c r="L345" s="102"/>
      <c r="M345" s="102">
        <v>0</v>
      </c>
      <c r="N345" s="102">
        <v>1.1695660000000001E-6</v>
      </c>
      <c r="O345" s="102"/>
      <c r="P345" s="14"/>
      <c r="Q345" s="14"/>
      <c r="R345" s="197">
        <f>'Parameters, country spec'!AD22</f>
        <v>1.2703483591450424E-3</v>
      </c>
    </row>
    <row r="346" spans="1:18" x14ac:dyDescent="0.35">
      <c r="A346" s="22" t="s">
        <v>341</v>
      </c>
      <c r="B346" s="17" t="s">
        <v>228</v>
      </c>
      <c r="C346" s="17" t="s">
        <v>337</v>
      </c>
      <c r="D346" s="23" t="s">
        <v>125</v>
      </c>
      <c r="E346" s="23" t="s">
        <v>126</v>
      </c>
      <c r="F346" s="221">
        <f t="shared" si="93"/>
        <v>9.1657094895803305E-4</v>
      </c>
      <c r="G346" s="100">
        <v>1.5506058283512638E-4</v>
      </c>
      <c r="H346" s="101">
        <v>1.1000000000000001E-6</v>
      </c>
      <c r="I346" s="102">
        <v>6.8950683668766316E-4</v>
      </c>
      <c r="J346" s="102">
        <v>6.8950683668766316E-5</v>
      </c>
      <c r="K346" s="102">
        <v>7.832797664771855E-7</v>
      </c>
      <c r="L346" s="102"/>
      <c r="M346" s="102">
        <v>0</v>
      </c>
      <c r="N346" s="102">
        <v>1.1695660000000001E-6</v>
      </c>
      <c r="O346" s="102"/>
      <c r="P346" s="14"/>
      <c r="Q346" s="14"/>
      <c r="R346" s="197">
        <f>'Parameters, country spec'!AD23</f>
        <v>0.36306225085662319</v>
      </c>
    </row>
    <row r="347" spans="1:18" x14ac:dyDescent="0.35">
      <c r="A347" s="22" t="s">
        <v>342</v>
      </c>
      <c r="B347" s="17" t="s">
        <v>229</v>
      </c>
      <c r="C347" s="17" t="s">
        <v>343</v>
      </c>
      <c r="D347" s="23" t="s">
        <v>125</v>
      </c>
      <c r="E347" s="23" t="s">
        <v>126</v>
      </c>
      <c r="F347" s="221">
        <f t="shared" si="93"/>
        <v>2.0683180874021213E-4</v>
      </c>
      <c r="G347" s="100">
        <v>0</v>
      </c>
      <c r="H347" s="101">
        <v>1.1000000000000001E-6</v>
      </c>
      <c r="I347" s="102">
        <v>1.8457296000000002E-4</v>
      </c>
      <c r="J347" s="102">
        <v>1.8457296000000003E-5</v>
      </c>
      <c r="K347" s="102">
        <v>1.5319867402121297E-6</v>
      </c>
      <c r="L347" s="102"/>
      <c r="M347" s="102">
        <v>0</v>
      </c>
      <c r="N347" s="102">
        <v>1.1695660000000001E-6</v>
      </c>
      <c r="O347" s="102"/>
      <c r="P347" s="14"/>
      <c r="Q347" s="14"/>
      <c r="R347" s="197">
        <f>'Parameters, country spec'!AD24</f>
        <v>6.0909129056991628E-3</v>
      </c>
    </row>
    <row r="348" spans="1:18" x14ac:dyDescent="0.35">
      <c r="A348" s="22" t="s">
        <v>344</v>
      </c>
      <c r="B348" s="17" t="s">
        <v>230</v>
      </c>
      <c r="C348" s="17" t="s">
        <v>343</v>
      </c>
      <c r="D348" s="23" t="s">
        <v>125</v>
      </c>
      <c r="E348" s="23" t="s">
        <v>126</v>
      </c>
      <c r="F348" s="221">
        <f t="shared" si="93"/>
        <v>2.3870339373407735E-4</v>
      </c>
      <c r="G348" s="100">
        <v>6.6632952642360706E-6</v>
      </c>
      <c r="H348" s="101">
        <v>1.1000000000000001E-6</v>
      </c>
      <c r="I348" s="102">
        <v>2.067986173968254E-4</v>
      </c>
      <c r="J348" s="102">
        <v>2.0679861739682541E-5</v>
      </c>
      <c r="K348" s="102">
        <v>2.2920533333333338E-6</v>
      </c>
      <c r="L348" s="102"/>
      <c r="M348" s="102">
        <v>0</v>
      </c>
      <c r="N348" s="102">
        <v>1.1695660000000001E-6</v>
      </c>
      <c r="O348" s="102"/>
      <c r="P348" s="14"/>
      <c r="Q348" s="14"/>
      <c r="R348" s="197">
        <f>'Parameters, country spec'!AD25</f>
        <v>5.9832836689627722E-3</v>
      </c>
    </row>
    <row r="349" spans="1:18" x14ac:dyDescent="0.35">
      <c r="B349" s="18" t="s">
        <v>231</v>
      </c>
      <c r="C349" s="17" t="s">
        <v>345</v>
      </c>
      <c r="D349" s="23" t="str">
        <f>'Off-farm feed'!$D$77</f>
        <v>France, Germany, Poland</v>
      </c>
      <c r="E349" s="23" t="s">
        <v>82</v>
      </c>
      <c r="F349" s="222">
        <f>'Off-farm feed'!$E$77</f>
        <v>6.732045566157569E-4</v>
      </c>
      <c r="G349" s="222">
        <f>'Off-farm feed'!$F$77</f>
        <v>1.946970439026595E-4</v>
      </c>
      <c r="H349" s="222">
        <f>'Off-farm feed'!$G$77</f>
        <v>5.3103448275862083E-7</v>
      </c>
      <c r="I349" s="222">
        <f>'Off-farm feed'!$H$77</f>
        <v>4.2751561806777074E-4</v>
      </c>
      <c r="J349" s="222">
        <f>'Off-farm feed'!$I$77</f>
        <v>4.2751561806777089E-5</v>
      </c>
      <c r="K349" s="222">
        <f>'Off-farm feed'!$J$77</f>
        <v>6.6339607025480414E-7</v>
      </c>
      <c r="L349" s="222">
        <f>'Off-farm feed'!$K$77</f>
        <v>0</v>
      </c>
      <c r="M349" s="222">
        <f>'Off-farm feed'!$L$77</f>
        <v>7.9511067188965511E-9</v>
      </c>
      <c r="N349" s="222">
        <f>'Off-farm feed'!$M$77</f>
        <v>1.2789681892721844E-6</v>
      </c>
      <c r="O349" s="222">
        <f>'Off-farm feed'!$N$77</f>
        <v>0</v>
      </c>
      <c r="P349" s="222">
        <f>'Off-farm feed'!$O$77</f>
        <v>3.9312802868423834E-6</v>
      </c>
      <c r="Q349" s="222">
        <f>'Off-farm feed'!$P$77</f>
        <v>1.8277027027027027E-6</v>
      </c>
      <c r="R349" s="197">
        <f>'Parameters, country spec'!AD26</f>
        <v>9.4633897453147445E-2</v>
      </c>
    </row>
    <row r="350" spans="1:18" x14ac:dyDescent="0.35">
      <c r="B350" s="18" t="s">
        <v>346</v>
      </c>
      <c r="C350" s="17" t="s">
        <v>345</v>
      </c>
      <c r="D350" s="23" t="str">
        <f>'Off-farm feed'!$D$26</f>
        <v>Brazil, Argentina</v>
      </c>
      <c r="E350" s="23" t="s">
        <v>82</v>
      </c>
      <c r="F350" s="222">
        <f>'Off-farm feed'!$E$26</f>
        <v>1.8866346644602505E-4</v>
      </c>
      <c r="G350" s="222">
        <f>'Off-farm feed'!$F$26</f>
        <v>1.6332109719061441E-5</v>
      </c>
      <c r="H350" s="222">
        <f>'Off-farm feed'!$G$26</f>
        <v>8.7195121951219526E-7</v>
      </c>
      <c r="I350" s="222">
        <f>'Off-farm feed'!$H$26</f>
        <v>1.3333449845358202E-4</v>
      </c>
      <c r="J350" s="222">
        <f>'Off-farm feed'!$I$26</f>
        <v>1.3333449845358203E-5</v>
      </c>
      <c r="K350" s="222">
        <f>'Off-farm feed'!$J$26</f>
        <v>1.1576736579983931E-6</v>
      </c>
      <c r="L350" s="222">
        <f>'Off-farm feed'!$K$26</f>
        <v>0</v>
      </c>
      <c r="M350" s="222">
        <f>'Off-farm feed'!$L$26</f>
        <v>7.3437786087804866E-9</v>
      </c>
      <c r="N350" s="222">
        <f>'Off-farm feed'!$M$26</f>
        <v>1.1195281639512197E-6</v>
      </c>
      <c r="O350" s="222">
        <f>'Off-farm feed'!$N$26</f>
        <v>0</v>
      </c>
      <c r="P350" s="222">
        <f>'Off-farm feed'!$O$26</f>
        <v>1.3419073770114991E-5</v>
      </c>
      <c r="Q350" s="222">
        <f>'Off-farm feed'!$P$26</f>
        <v>9.087837837837838E-6</v>
      </c>
      <c r="R350" s="197">
        <f>'Parameters, country spec'!AD27</f>
        <v>0.1863493678947572</v>
      </c>
    </row>
    <row r="351" spans="1:18" x14ac:dyDescent="0.35">
      <c r="B351" s="17" t="s">
        <v>233</v>
      </c>
      <c r="C351" s="17" t="s">
        <v>347</v>
      </c>
      <c r="D351" s="23" t="s">
        <v>125</v>
      </c>
      <c r="E351" s="23" t="s">
        <v>126</v>
      </c>
      <c r="F351" s="222"/>
      <c r="G351" s="14"/>
      <c r="H351" s="14"/>
      <c r="I351" s="14"/>
      <c r="J351" s="14"/>
      <c r="K351" s="14"/>
      <c r="L351" s="14"/>
      <c r="M351" s="14"/>
      <c r="N351" s="14"/>
      <c r="O351" s="14"/>
      <c r="P351" s="8"/>
      <c r="Q351" s="14"/>
      <c r="R351" s="197">
        <f>'Parameters, country spec'!AD28</f>
        <v>1.2143080899157416E-2</v>
      </c>
    </row>
    <row r="352" spans="1:18" x14ac:dyDescent="0.35">
      <c r="A352" s="83"/>
      <c r="B352" s="17" t="s">
        <v>348</v>
      </c>
      <c r="C352" s="84" t="s">
        <v>349</v>
      </c>
      <c r="D352" s="23" t="s">
        <v>125</v>
      </c>
      <c r="E352" s="23" t="s">
        <v>126</v>
      </c>
      <c r="F352" s="222">
        <f t="shared" ref="F352" si="94">SUM(G352:Q352)</f>
        <v>5.7856143731057198E-4</v>
      </c>
      <c r="G352" s="82">
        <f t="shared" ref="G352:N352" si="95">AVERAGE(G342:G350)</f>
        <v>9.600556562014004E-5</v>
      </c>
      <c r="H352" s="82">
        <f t="shared" si="95"/>
        <v>1.0114428558078684E-6</v>
      </c>
      <c r="I352" s="82">
        <f t="shared" si="95"/>
        <v>4.356508581563975E-4</v>
      </c>
      <c r="J352" s="82">
        <f t="shared" si="95"/>
        <v>4.3565085815639758E-5</v>
      </c>
      <c r="K352" s="82">
        <f t="shared" si="95"/>
        <v>1.1506233916367569E-6</v>
      </c>
      <c r="L352" s="82">
        <f t="shared" si="95"/>
        <v>0</v>
      </c>
      <c r="M352" s="82">
        <f t="shared" si="95"/>
        <v>1.6994317030752262E-9</v>
      </c>
      <c r="N352" s="82">
        <f t="shared" si="95"/>
        <v>1.1761620392470449E-6</v>
      </c>
      <c r="O352" s="82"/>
      <c r="P352" s="81"/>
      <c r="Q352" s="82"/>
      <c r="R352" s="197">
        <f>'Parameters, country spec'!AD29</f>
        <v>4.9370221696639315E-2</v>
      </c>
    </row>
    <row r="353" spans="1:18" x14ac:dyDescent="0.35">
      <c r="A353" s="195"/>
      <c r="B353" s="25" t="s">
        <v>350</v>
      </c>
      <c r="C353" s="26"/>
      <c r="D353" s="103"/>
      <c r="E353" s="103"/>
      <c r="F353" s="30">
        <f>SUMPRODUCT(F342:F352,$R$342:$R$352)</f>
        <v>6.9567708602307821E-4</v>
      </c>
      <c r="G353" s="30">
        <f>SUMPRODUCT(G342:G352,$R$342:$R$352)</f>
        <v>1.2023319955786734E-4</v>
      </c>
      <c r="H353" s="30">
        <f>SUMPRODUCT(H342:H352,$R$342:$R$352)</f>
        <v>9.8593035466326995E-7</v>
      </c>
      <c r="I353" s="30">
        <f>SUMPRODUCT(I342:I352,$R$342:$R$352)</f>
        <v>5.1600690454669607E-4</v>
      </c>
      <c r="J353" s="30"/>
      <c r="K353" s="30">
        <f>SUMPRODUCT(K342:K352,$R$342:$R$352)</f>
        <v>9.5229434826285148E-7</v>
      </c>
      <c r="L353" s="30"/>
      <c r="M353" s="30">
        <f>SUMPRODUCT(M342:M352,$R$342:$R$352)</f>
        <v>2.2048540395194925E-9</v>
      </c>
      <c r="N353" s="30">
        <f>SUMPRODUCT(N342:N352,$R$342:$R$352)</f>
        <v>1.1567181498072647E-6</v>
      </c>
      <c r="O353" s="30">
        <f>SUMPRODUCT(O342:O352,$R$342:$R$352)</f>
        <v>0</v>
      </c>
      <c r="P353" s="30">
        <f>SUMPRODUCT(P342:P352,R342:R352)</f>
        <v>2.8726682903186673E-6</v>
      </c>
      <c r="Q353" s="30">
        <f>SUMPRODUCT(Q342:Q352,$R$342:$R$352)</f>
        <v>1.8664754667535459E-6</v>
      </c>
      <c r="R353" s="198"/>
    </row>
    <row r="354" spans="1:18" x14ac:dyDescent="0.35">
      <c r="A354" s="22" t="s">
        <v>336</v>
      </c>
      <c r="B354" s="17" t="s">
        <v>218</v>
      </c>
      <c r="C354" s="17" t="s">
        <v>337</v>
      </c>
      <c r="D354" s="23" t="s">
        <v>127</v>
      </c>
      <c r="E354" s="23" t="s">
        <v>128</v>
      </c>
      <c r="F354" s="223">
        <f>SUM(G354:Q354)</f>
        <v>8.3700497241450582E-4</v>
      </c>
      <c r="G354" s="100">
        <v>1.3527187113652022E-4</v>
      </c>
      <c r="H354" s="101">
        <v>1.1000000000000001E-6</v>
      </c>
      <c r="I354" s="102">
        <v>6.348790825230616E-4</v>
      </c>
      <c r="J354" s="102">
        <v>6.3487908252306166E-5</v>
      </c>
      <c r="K354" s="102">
        <v>1.0965445026178011E-6</v>
      </c>
      <c r="L354" s="102"/>
      <c r="M354" s="102">
        <v>0</v>
      </c>
      <c r="N354" s="102">
        <v>1.1695660000000001E-6</v>
      </c>
      <c r="O354" s="102"/>
      <c r="P354" s="14"/>
      <c r="Q354" s="14"/>
      <c r="R354" s="197">
        <f>'Parameters, country spec'!AE19</f>
        <v>0.24290688316534448</v>
      </c>
    </row>
    <row r="355" spans="1:18" x14ac:dyDescent="0.35">
      <c r="A355" s="22" t="s">
        <v>338</v>
      </c>
      <c r="B355" s="17" t="s">
        <v>222</v>
      </c>
      <c r="C355" s="17" t="s">
        <v>337</v>
      </c>
      <c r="D355" s="23" t="s">
        <v>127</v>
      </c>
      <c r="E355" s="23" t="s">
        <v>128</v>
      </c>
      <c r="F355" s="221">
        <f t="shared" ref="F355:F360" si="96">SUM(G355:Q355)</f>
        <v>7.7064277808378814E-4</v>
      </c>
      <c r="G355" s="100">
        <v>1.3173663927780048E-4</v>
      </c>
      <c r="H355" s="101">
        <v>1.1000000000000001E-6</v>
      </c>
      <c r="I355" s="102">
        <v>5.7807906502645948E-4</v>
      </c>
      <c r="J355" s="102">
        <v>5.7807906502645948E-5</v>
      </c>
      <c r="K355" s="102">
        <v>7.4960127688222882E-7</v>
      </c>
      <c r="L355" s="102"/>
      <c r="M355" s="102">
        <v>0</v>
      </c>
      <c r="N355" s="102">
        <v>1.1695660000000001E-6</v>
      </c>
      <c r="O355" s="102"/>
      <c r="P355" s="14"/>
      <c r="Q355" s="14"/>
      <c r="R355" s="197">
        <f>'Parameters, country spec'!AE20</f>
        <v>1.1405036092928852E-2</v>
      </c>
    </row>
    <row r="356" spans="1:18" x14ac:dyDescent="0.35">
      <c r="A356" s="22" t="s">
        <v>339</v>
      </c>
      <c r="B356" s="17" t="s">
        <v>226</v>
      </c>
      <c r="C356" s="17" t="s">
        <v>337</v>
      </c>
      <c r="D356" s="23" t="s">
        <v>127</v>
      </c>
      <c r="E356" s="23" t="s">
        <v>128</v>
      </c>
      <c r="F356" s="221">
        <f t="shared" si="96"/>
        <v>7.4080189535590966E-4</v>
      </c>
      <c r="G356" s="100">
        <v>1.1925038042019814E-4</v>
      </c>
      <c r="H356" s="101">
        <v>1.1000000000000001E-6</v>
      </c>
      <c r="I356" s="102">
        <v>5.6184338890070615E-4</v>
      </c>
      <c r="J356" s="102">
        <v>5.6184338890070617E-5</v>
      </c>
      <c r="K356" s="102">
        <v>1.2542211449347684E-6</v>
      </c>
      <c r="L356" s="102"/>
      <c r="M356" s="102">
        <v>0</v>
      </c>
      <c r="N356" s="102">
        <v>1.1695660000000001E-6</v>
      </c>
      <c r="O356" s="102"/>
      <c r="P356" s="14"/>
      <c r="Q356" s="14"/>
      <c r="R356" s="197">
        <f>'Parameters, country spec'!AE21</f>
        <v>2.6784717007595302E-2</v>
      </c>
    </row>
    <row r="357" spans="1:18" x14ac:dyDescent="0.35">
      <c r="A357" s="22" t="s">
        <v>340</v>
      </c>
      <c r="B357" s="17" t="s">
        <v>227</v>
      </c>
      <c r="C357" s="17" t="s">
        <v>337</v>
      </c>
      <c r="D357" s="23" t="s">
        <v>127</v>
      </c>
      <c r="E357" s="23" t="s">
        <v>128</v>
      </c>
      <c r="F357" s="221">
        <f t="shared" si="96"/>
        <v>6.6289501004433845E-4</v>
      </c>
      <c r="G357" s="100">
        <v>1.0503816802565812E-4</v>
      </c>
      <c r="H357" s="101">
        <v>1.1000000000000001E-6</v>
      </c>
      <c r="I357" s="102">
        <v>5.0432765635150922E-4</v>
      </c>
      <c r="J357" s="102">
        <v>5.0432765635150922E-5</v>
      </c>
      <c r="K357" s="102">
        <v>8.2685403202016689E-7</v>
      </c>
      <c r="L357" s="102"/>
      <c r="M357" s="102">
        <v>0</v>
      </c>
      <c r="N357" s="102">
        <v>1.1695660000000001E-6</v>
      </c>
      <c r="O357" s="102"/>
      <c r="P357" s="14"/>
      <c r="Q357" s="14"/>
      <c r="R357" s="197">
        <f>'Parameters, country spec'!AE22</f>
        <v>1.2703483591450424E-3</v>
      </c>
    </row>
    <row r="358" spans="1:18" x14ac:dyDescent="0.35">
      <c r="A358" s="22" t="s">
        <v>341</v>
      </c>
      <c r="B358" s="17" t="s">
        <v>228</v>
      </c>
      <c r="C358" s="17" t="s">
        <v>337</v>
      </c>
      <c r="D358" s="23" t="s">
        <v>127</v>
      </c>
      <c r="E358" s="23" t="s">
        <v>128</v>
      </c>
      <c r="F358" s="221">
        <f t="shared" si="96"/>
        <v>9.1657094895803305E-4</v>
      </c>
      <c r="G358" s="100">
        <v>1.5506058283512638E-4</v>
      </c>
      <c r="H358" s="101">
        <v>1.1000000000000001E-6</v>
      </c>
      <c r="I358" s="102">
        <v>6.8950683668766316E-4</v>
      </c>
      <c r="J358" s="102">
        <v>6.8950683668766316E-5</v>
      </c>
      <c r="K358" s="102">
        <v>7.832797664771855E-7</v>
      </c>
      <c r="L358" s="102"/>
      <c r="M358" s="102">
        <v>0</v>
      </c>
      <c r="N358" s="102">
        <v>1.1695660000000001E-6</v>
      </c>
      <c r="O358" s="102"/>
      <c r="P358" s="14"/>
      <c r="Q358" s="14"/>
      <c r="R358" s="197">
        <f>'Parameters, country spec'!AE23</f>
        <v>0.36306225085662319</v>
      </c>
    </row>
    <row r="359" spans="1:18" x14ac:dyDescent="0.35">
      <c r="A359" s="22" t="s">
        <v>342</v>
      </c>
      <c r="B359" s="17" t="s">
        <v>229</v>
      </c>
      <c r="C359" s="17" t="s">
        <v>343</v>
      </c>
      <c r="D359" s="23" t="s">
        <v>127</v>
      </c>
      <c r="E359" s="23" t="s">
        <v>128</v>
      </c>
      <c r="F359" s="221">
        <f t="shared" si="96"/>
        <v>2.0683180874021213E-4</v>
      </c>
      <c r="G359" s="100">
        <v>0</v>
      </c>
      <c r="H359" s="101">
        <v>1.1000000000000001E-6</v>
      </c>
      <c r="I359" s="102">
        <v>1.8457296000000002E-4</v>
      </c>
      <c r="J359" s="102">
        <v>1.8457296000000003E-5</v>
      </c>
      <c r="K359" s="102">
        <v>1.5319867402121297E-6</v>
      </c>
      <c r="L359" s="102"/>
      <c r="M359" s="102">
        <v>0</v>
      </c>
      <c r="N359" s="102">
        <v>1.1695660000000001E-6</v>
      </c>
      <c r="O359" s="102"/>
      <c r="P359" s="14"/>
      <c r="Q359" s="14"/>
      <c r="R359" s="197">
        <f>'Parameters, country spec'!AE24</f>
        <v>6.0909129056991628E-3</v>
      </c>
    </row>
    <row r="360" spans="1:18" x14ac:dyDescent="0.35">
      <c r="A360" s="22" t="s">
        <v>344</v>
      </c>
      <c r="B360" s="17" t="s">
        <v>230</v>
      </c>
      <c r="C360" s="17" t="s">
        <v>343</v>
      </c>
      <c r="D360" s="23" t="s">
        <v>127</v>
      </c>
      <c r="E360" s="23" t="s">
        <v>128</v>
      </c>
      <c r="F360" s="221">
        <f t="shared" si="96"/>
        <v>2.3870339373407735E-4</v>
      </c>
      <c r="G360" s="100">
        <v>6.6632952642360706E-6</v>
      </c>
      <c r="H360" s="101">
        <v>1.1000000000000001E-6</v>
      </c>
      <c r="I360" s="102">
        <v>2.067986173968254E-4</v>
      </c>
      <c r="J360" s="102">
        <v>2.0679861739682541E-5</v>
      </c>
      <c r="K360" s="102">
        <v>2.2920533333333338E-6</v>
      </c>
      <c r="L360" s="102"/>
      <c r="M360" s="102">
        <v>0</v>
      </c>
      <c r="N360" s="102">
        <v>1.1695660000000001E-6</v>
      </c>
      <c r="O360" s="102"/>
      <c r="P360" s="14"/>
      <c r="Q360" s="14"/>
      <c r="R360" s="197">
        <f>'Parameters, country spec'!AE25</f>
        <v>5.9832836689627722E-3</v>
      </c>
    </row>
    <row r="361" spans="1:18" x14ac:dyDescent="0.35">
      <c r="B361" s="18" t="s">
        <v>231</v>
      </c>
      <c r="C361" s="17" t="s">
        <v>345</v>
      </c>
      <c r="D361" s="23" t="str">
        <f>'Off-farm feed'!$D$77</f>
        <v>France, Germany, Poland</v>
      </c>
      <c r="E361" s="23" t="s">
        <v>82</v>
      </c>
      <c r="F361" s="222">
        <f>'Off-farm feed'!$E$77</f>
        <v>6.732045566157569E-4</v>
      </c>
      <c r="G361" s="222">
        <f>'Off-farm feed'!$F$77</f>
        <v>1.946970439026595E-4</v>
      </c>
      <c r="H361" s="222">
        <f>'Off-farm feed'!$G$77</f>
        <v>5.3103448275862083E-7</v>
      </c>
      <c r="I361" s="222">
        <f>'Off-farm feed'!$H$77</f>
        <v>4.2751561806777074E-4</v>
      </c>
      <c r="J361" s="222">
        <f>'Off-farm feed'!$I$77</f>
        <v>4.2751561806777089E-5</v>
      </c>
      <c r="K361" s="222">
        <f>'Off-farm feed'!$J$77</f>
        <v>6.6339607025480414E-7</v>
      </c>
      <c r="L361" s="222">
        <f>'Off-farm feed'!$K$77</f>
        <v>0</v>
      </c>
      <c r="M361" s="222">
        <f>'Off-farm feed'!$L$77</f>
        <v>7.9511067188965511E-9</v>
      </c>
      <c r="N361" s="222">
        <f>'Off-farm feed'!$M$77</f>
        <v>1.2789681892721844E-6</v>
      </c>
      <c r="O361" s="222">
        <f>'Off-farm feed'!$N$77</f>
        <v>0</v>
      </c>
      <c r="P361" s="222">
        <f>'Off-farm feed'!$O$77</f>
        <v>3.9312802868423834E-6</v>
      </c>
      <c r="Q361" s="222">
        <f>'Off-farm feed'!$P$77</f>
        <v>1.8277027027027027E-6</v>
      </c>
      <c r="R361" s="197">
        <f>'Parameters, country spec'!AE26</f>
        <v>9.4633897453147445E-2</v>
      </c>
    </row>
    <row r="362" spans="1:18" x14ac:dyDescent="0.35">
      <c r="B362" s="18" t="s">
        <v>346</v>
      </c>
      <c r="C362" s="17" t="s">
        <v>345</v>
      </c>
      <c r="D362" s="23" t="str">
        <f>'Off-farm feed'!$D$26</f>
        <v>Brazil, Argentina</v>
      </c>
      <c r="E362" s="23" t="s">
        <v>82</v>
      </c>
      <c r="F362" s="222">
        <f>'Off-farm feed'!$E$26</f>
        <v>1.8866346644602505E-4</v>
      </c>
      <c r="G362" s="222">
        <f>'Off-farm feed'!$F$26</f>
        <v>1.6332109719061441E-5</v>
      </c>
      <c r="H362" s="222">
        <f>'Off-farm feed'!$G$26</f>
        <v>8.7195121951219526E-7</v>
      </c>
      <c r="I362" s="222">
        <f>'Off-farm feed'!$H$26</f>
        <v>1.3333449845358202E-4</v>
      </c>
      <c r="J362" s="222">
        <f>'Off-farm feed'!$I$26</f>
        <v>1.3333449845358203E-5</v>
      </c>
      <c r="K362" s="222">
        <f>'Off-farm feed'!$J$26</f>
        <v>1.1576736579983931E-6</v>
      </c>
      <c r="L362" s="222">
        <f>'Off-farm feed'!$K$26</f>
        <v>0</v>
      </c>
      <c r="M362" s="222">
        <f>'Off-farm feed'!$L$26</f>
        <v>7.3437786087804866E-9</v>
      </c>
      <c r="N362" s="222">
        <f>'Off-farm feed'!$M$26</f>
        <v>1.1195281639512197E-6</v>
      </c>
      <c r="O362" s="222">
        <f>'Off-farm feed'!$N$26</f>
        <v>0</v>
      </c>
      <c r="P362" s="222">
        <f>'Off-farm feed'!$O$26</f>
        <v>1.3419073770114991E-5</v>
      </c>
      <c r="Q362" s="222">
        <f>'Off-farm feed'!$P$26</f>
        <v>9.087837837837838E-6</v>
      </c>
      <c r="R362" s="197">
        <f>'Parameters, country spec'!AE27</f>
        <v>0.1863493678947572</v>
      </c>
    </row>
    <row r="363" spans="1:18" x14ac:dyDescent="0.35">
      <c r="B363" s="17" t="s">
        <v>233</v>
      </c>
      <c r="C363" s="17" t="s">
        <v>347</v>
      </c>
      <c r="D363" s="23" t="s">
        <v>127</v>
      </c>
      <c r="E363" s="23" t="s">
        <v>128</v>
      </c>
      <c r="F363" s="222"/>
      <c r="G363" s="14"/>
      <c r="H363" s="14"/>
      <c r="I363" s="14"/>
      <c r="J363" s="14"/>
      <c r="K363" s="14"/>
      <c r="L363" s="14"/>
      <c r="M363" s="14"/>
      <c r="N363" s="14"/>
      <c r="O363" s="14"/>
      <c r="P363" s="8"/>
      <c r="Q363" s="14"/>
      <c r="R363" s="197">
        <f>'Parameters, country spec'!AE28</f>
        <v>1.2143080899157416E-2</v>
      </c>
    </row>
    <row r="364" spans="1:18" x14ac:dyDescent="0.35">
      <c r="A364" s="83"/>
      <c r="B364" s="17" t="s">
        <v>348</v>
      </c>
      <c r="C364" s="84" t="s">
        <v>349</v>
      </c>
      <c r="D364" s="23" t="s">
        <v>127</v>
      </c>
      <c r="E364" s="23" t="s">
        <v>128</v>
      </c>
      <c r="F364" s="222">
        <f>SUM(G364:Q364)</f>
        <v>5.7856143731057198E-4</v>
      </c>
      <c r="G364" s="82">
        <f>AVERAGE(G354:G362)</f>
        <v>9.600556562014004E-5</v>
      </c>
      <c r="H364" s="82">
        <f t="shared" ref="H364:N364" si="97">AVERAGE(H354:H362)</f>
        <v>1.0114428558078684E-6</v>
      </c>
      <c r="I364" s="82">
        <f t="shared" si="97"/>
        <v>4.356508581563975E-4</v>
      </c>
      <c r="J364" s="82">
        <f t="shared" si="97"/>
        <v>4.3565085815639758E-5</v>
      </c>
      <c r="K364" s="82">
        <f t="shared" si="97"/>
        <v>1.1506233916367569E-6</v>
      </c>
      <c r="L364" s="82">
        <f t="shared" si="97"/>
        <v>0</v>
      </c>
      <c r="M364" s="82">
        <f t="shared" si="97"/>
        <v>1.6994317030752262E-9</v>
      </c>
      <c r="N364" s="82">
        <f t="shared" si="97"/>
        <v>1.1761620392470449E-6</v>
      </c>
      <c r="O364" s="82"/>
      <c r="P364" s="81"/>
      <c r="Q364" s="82"/>
      <c r="R364" s="197">
        <f>'Parameters, country spec'!AE29</f>
        <v>4.9370221696639315E-2</v>
      </c>
    </row>
    <row r="365" spans="1:18" x14ac:dyDescent="0.35">
      <c r="A365" s="195"/>
      <c r="B365" s="25" t="s">
        <v>350</v>
      </c>
      <c r="C365" s="26"/>
      <c r="D365" s="103"/>
      <c r="E365" s="103"/>
      <c r="F365" s="30">
        <f>SUMPRODUCT(F354:F364,$R$354:$R$364)</f>
        <v>6.9567708602307821E-4</v>
      </c>
      <c r="G365" s="30">
        <f>SUMPRODUCT(G354:G364,$R$354:$R$364)</f>
        <v>1.2023319955786734E-4</v>
      </c>
      <c r="H365" s="30">
        <f>SUMPRODUCT(H354:H364,$R$354:$R$364)</f>
        <v>9.8593035466326995E-7</v>
      </c>
      <c r="I365" s="30">
        <f>SUMPRODUCT(I354:I364,$R$354:$R$364)</f>
        <v>5.1600690454669607E-4</v>
      </c>
      <c r="J365" s="30"/>
      <c r="K365" s="30">
        <f>SUMPRODUCT(K354:K364,$R$354:$R$364)</f>
        <v>9.5229434826285148E-7</v>
      </c>
      <c r="L365" s="30"/>
      <c r="M365" s="30">
        <f>SUMPRODUCT(M354:M364,$R$354:$R$364)</f>
        <v>2.2048540395194925E-9</v>
      </c>
      <c r="N365" s="30">
        <f>SUMPRODUCT(N354:N364,$R$354:$R$364)</f>
        <v>1.1567181498072647E-6</v>
      </c>
      <c r="O365" s="30">
        <f>SUMPRODUCT(O354:O364,$R$354:$R$364)</f>
        <v>0</v>
      </c>
      <c r="P365" s="30">
        <f>SUMPRODUCT(P354:P364,R354:R364)</f>
        <v>2.8726682903186673E-6</v>
      </c>
      <c r="Q365" s="30">
        <f>SUMPRODUCT(Q354:Q364,$R$354:$R$364)</f>
        <v>1.8664754667535459E-6</v>
      </c>
      <c r="R365" s="19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39997558519241921"/>
  </sheetPr>
  <dimension ref="A2:M365"/>
  <sheetViews>
    <sheetView zoomScale="80" zoomScaleNormal="80" workbookViewId="0">
      <selection activeCell="D1" sqref="D1"/>
    </sheetView>
  </sheetViews>
  <sheetFormatPr defaultColWidth="8.81640625" defaultRowHeight="14.5" x14ac:dyDescent="0.35"/>
  <cols>
    <col min="1" max="1" width="8.54296875" customWidth="1"/>
    <col min="2" max="2" width="30.453125" customWidth="1"/>
    <col min="3" max="3" width="19" customWidth="1"/>
    <col min="4" max="4" width="12.81640625" customWidth="1"/>
    <col min="5" max="5" width="8.81640625" customWidth="1"/>
    <col min="6" max="12" width="15.54296875" customWidth="1"/>
  </cols>
  <sheetData>
    <row r="2" spans="1:13" ht="21" x14ac:dyDescent="0.5">
      <c r="A2" s="2" t="s">
        <v>354</v>
      </c>
      <c r="F2" t="s">
        <v>355</v>
      </c>
      <c r="L2" t="s">
        <v>328</v>
      </c>
    </row>
    <row r="3" spans="1:13" x14ac:dyDescent="0.35">
      <c r="H3" s="9"/>
      <c r="I3" s="9"/>
      <c r="J3" s="9"/>
      <c r="K3" s="9"/>
    </row>
    <row r="4" spans="1:13" x14ac:dyDescent="0.35">
      <c r="A4" s="212" t="s">
        <v>329</v>
      </c>
      <c r="B4" s="213"/>
      <c r="C4" s="213"/>
      <c r="D4" s="213"/>
      <c r="E4" s="213"/>
      <c r="F4" s="214" t="s">
        <v>49</v>
      </c>
      <c r="G4" s="214" t="s">
        <v>356</v>
      </c>
      <c r="H4" s="214" t="s">
        <v>51</v>
      </c>
      <c r="I4" s="215" t="s">
        <v>52</v>
      </c>
      <c r="J4" s="215" t="s">
        <v>53</v>
      </c>
      <c r="K4" s="215" t="s">
        <v>54</v>
      </c>
      <c r="L4" s="215" t="s">
        <v>55</v>
      </c>
      <c r="M4" s="216" t="s">
        <v>330</v>
      </c>
    </row>
    <row r="5" spans="1:13" ht="43.5" x14ac:dyDescent="0.35">
      <c r="A5" s="217" t="s">
        <v>59</v>
      </c>
      <c r="B5" s="217" t="s">
        <v>329</v>
      </c>
      <c r="C5" s="217" t="s">
        <v>331</v>
      </c>
      <c r="D5" s="217" t="s">
        <v>62</v>
      </c>
      <c r="E5" s="194" t="s">
        <v>63</v>
      </c>
      <c r="F5" s="227" t="s">
        <v>70</v>
      </c>
      <c r="G5" s="227" t="s">
        <v>357</v>
      </c>
      <c r="H5" s="227" t="s">
        <v>358</v>
      </c>
      <c r="I5" s="229" t="s">
        <v>73</v>
      </c>
      <c r="J5" s="229" t="s">
        <v>74</v>
      </c>
      <c r="K5" s="230" t="s">
        <v>75</v>
      </c>
      <c r="L5" s="230" t="s">
        <v>76</v>
      </c>
      <c r="M5" s="99"/>
    </row>
    <row r="6" spans="1:13" x14ac:dyDescent="0.35">
      <c r="A6" s="22" t="s">
        <v>336</v>
      </c>
      <c r="B6" s="17" t="s">
        <v>218</v>
      </c>
      <c r="C6" s="17" t="s">
        <v>337</v>
      </c>
      <c r="D6" s="23" t="s">
        <v>81</v>
      </c>
      <c r="E6" s="23" t="s">
        <v>82</v>
      </c>
      <c r="F6" s="24">
        <v>2.1815008726003491</v>
      </c>
      <c r="G6" s="39">
        <v>2.0506108202443279E-2</v>
      </c>
      <c r="H6" s="39">
        <v>3.0541012216404886E-3</v>
      </c>
      <c r="I6" s="28">
        <v>0</v>
      </c>
      <c r="J6" s="28">
        <v>1.1343804537521816E-7</v>
      </c>
      <c r="K6" s="28">
        <v>9.332913409296623E-16</v>
      </c>
      <c r="L6" s="28">
        <v>5.2359749444649394E-4</v>
      </c>
      <c r="M6" s="197">
        <f>'Parameters, country spec'!B19</f>
        <v>0.1388019695150714</v>
      </c>
    </row>
    <row r="7" spans="1:13" x14ac:dyDescent="0.35">
      <c r="A7" s="22" t="s">
        <v>338</v>
      </c>
      <c r="B7" s="17" t="s">
        <v>222</v>
      </c>
      <c r="C7" s="17" t="s">
        <v>337</v>
      </c>
      <c r="D7" s="23" t="s">
        <v>81</v>
      </c>
      <c r="E7" s="23" t="s">
        <v>82</v>
      </c>
      <c r="F7" s="21">
        <v>5.0505050505050502</v>
      </c>
      <c r="G7" s="39">
        <v>1.3131313131313131E-2</v>
      </c>
      <c r="H7" s="39">
        <v>2.0202020202020202E-3</v>
      </c>
      <c r="I7" s="28">
        <v>0</v>
      </c>
      <c r="J7" s="28">
        <v>3.0808080808080806E-7</v>
      </c>
      <c r="K7" s="28">
        <v>2.1607108620310969E-15</v>
      </c>
      <c r="L7" s="28">
        <v>2.5791649629730588E-5</v>
      </c>
      <c r="M7" s="197">
        <f>'Parameters, country spec'!B20</f>
        <v>0.33511299379537363</v>
      </c>
    </row>
    <row r="8" spans="1:13" x14ac:dyDescent="0.35">
      <c r="A8" s="22" t="s">
        <v>339</v>
      </c>
      <c r="B8" s="17" t="s">
        <v>226</v>
      </c>
      <c r="C8" s="17" t="s">
        <v>337</v>
      </c>
      <c r="D8" s="23" t="s">
        <v>81</v>
      </c>
      <c r="E8" s="23" t="s">
        <v>82</v>
      </c>
      <c r="F8" s="21">
        <v>1.5128936360129202</v>
      </c>
      <c r="G8" s="39">
        <v>1.9970195995370546E-2</v>
      </c>
      <c r="H8" s="39">
        <v>5.5977064532478039E-3</v>
      </c>
      <c r="I8" s="28">
        <v>0</v>
      </c>
      <c r="J8" s="28">
        <v>1.6641829996142119E-8</v>
      </c>
      <c r="K8" s="28">
        <v>6.4724729106130576E-16</v>
      </c>
      <c r="L8" s="28">
        <v>5.0991365516814952E-4</v>
      </c>
      <c r="M8" s="197">
        <f>'Parameters, country spec'!B21</f>
        <v>1.037956303452368E-2</v>
      </c>
    </row>
    <row r="9" spans="1:13" x14ac:dyDescent="0.35">
      <c r="A9" s="22" t="s">
        <v>340</v>
      </c>
      <c r="B9" s="17" t="s">
        <v>227</v>
      </c>
      <c r="C9" s="17" t="s">
        <v>337</v>
      </c>
      <c r="D9" s="23" t="s">
        <v>81</v>
      </c>
      <c r="E9" s="23" t="s">
        <v>82</v>
      </c>
      <c r="F9" s="21">
        <v>2.5461100530609335</v>
      </c>
      <c r="G9" s="39">
        <v>1.8077381376732628E-2</v>
      </c>
      <c r="H9" s="39">
        <v>3.8191650795914001E-3</v>
      </c>
      <c r="I9" s="28">
        <v>0</v>
      </c>
      <c r="J9" s="28">
        <v>1.1457495238774201E-7</v>
      </c>
      <c r="K9" s="28">
        <v>1.0892787142199158E-15</v>
      </c>
      <c r="L9" s="28">
        <v>4.6158303182478765E-4</v>
      </c>
      <c r="M9" s="197">
        <f>'Parameters, country spec'!B22</f>
        <v>2.539898270383906E-2</v>
      </c>
    </row>
    <row r="10" spans="1:13" x14ac:dyDescent="0.35">
      <c r="A10" s="22" t="s">
        <v>341</v>
      </c>
      <c r="B10" s="17" t="s">
        <v>228</v>
      </c>
      <c r="C10" s="17" t="s">
        <v>337</v>
      </c>
      <c r="D10" s="23" t="s">
        <v>81</v>
      </c>
      <c r="E10" s="23" t="s">
        <v>82</v>
      </c>
      <c r="F10" s="21">
        <v>3.3757097429734602</v>
      </c>
      <c r="G10" s="39">
        <v>2.1266971380732799E-2</v>
      </c>
      <c r="H10" s="39">
        <v>1.6878548714867299E-3</v>
      </c>
      <c r="I10" s="28">
        <v>0</v>
      </c>
      <c r="J10" s="28">
        <v>1.9579116509246066E-7</v>
      </c>
      <c r="K10" s="28">
        <v>1.4441986763239777E-15</v>
      </c>
      <c r="L10" s="28">
        <v>0</v>
      </c>
      <c r="M10" s="197">
        <f>'Parameters, country spec'!B23</f>
        <v>0.18920711272078269</v>
      </c>
    </row>
    <row r="11" spans="1:13" x14ac:dyDescent="0.35">
      <c r="A11" s="22" t="s">
        <v>342</v>
      </c>
      <c r="B11" s="17" t="s">
        <v>229</v>
      </c>
      <c r="C11" s="17" t="s">
        <v>343</v>
      </c>
      <c r="D11" s="23" t="s">
        <v>81</v>
      </c>
      <c r="E11" s="23" t="s">
        <v>82</v>
      </c>
      <c r="F11" s="21">
        <v>1.6760975086486631</v>
      </c>
      <c r="G11" s="39">
        <v>1.5922926332162302E-2</v>
      </c>
      <c r="H11" s="39">
        <v>1.1732682560540643E-3</v>
      </c>
      <c r="I11" s="28">
        <v>0</v>
      </c>
      <c r="J11" s="28">
        <v>1.5755316581297433E-7</v>
      </c>
      <c r="K11" s="28">
        <v>7.1706929436656458E-16</v>
      </c>
      <c r="L11" s="28">
        <v>4.0657175166874981E-4</v>
      </c>
      <c r="M11" s="197">
        <f>'Parameters, country spec'!B24</f>
        <v>1.8365818050205586E-3</v>
      </c>
    </row>
    <row r="12" spans="1:13" x14ac:dyDescent="0.35">
      <c r="A12" s="22" t="s">
        <v>344</v>
      </c>
      <c r="B12" s="17" t="s">
        <v>230</v>
      </c>
      <c r="C12" s="17" t="s">
        <v>343</v>
      </c>
      <c r="D12" s="23" t="s">
        <v>81</v>
      </c>
      <c r="E12" s="23" t="s">
        <v>82</v>
      </c>
      <c r="F12" s="21">
        <v>1.5363343063450607</v>
      </c>
      <c r="G12" s="39">
        <v>2.350591488707943E-2</v>
      </c>
      <c r="H12" s="39">
        <v>2.150868028883085E-3</v>
      </c>
      <c r="I12" s="28">
        <v>0</v>
      </c>
      <c r="J12" s="28">
        <v>1.1368873866953449E-7</v>
      </c>
      <c r="K12" s="28">
        <v>6.5727569623929515E-16</v>
      </c>
      <c r="L12" s="28">
        <v>6.0019375778388269E-4</v>
      </c>
      <c r="M12" s="197">
        <f>'Parameters, country spec'!B25</f>
        <v>1.8041285588900518E-3</v>
      </c>
    </row>
    <row r="13" spans="1:13" x14ac:dyDescent="0.35">
      <c r="B13" s="18" t="s">
        <v>231</v>
      </c>
      <c r="C13" s="17" t="s">
        <v>345</v>
      </c>
      <c r="D13" s="23" t="str">
        <f>'Off-farm feed'!$D$88</f>
        <v>France, Germany, Poland</v>
      </c>
      <c r="E13" s="23" t="s">
        <v>82</v>
      </c>
      <c r="F13" s="19">
        <f>'Off-farm feed'!$F$88</f>
        <v>1.5397450382845088</v>
      </c>
      <c r="G13" s="20">
        <f>'Off-farm feed'!$G$88</f>
        <v>4.1115595157230206E-2</v>
      </c>
      <c r="H13" s="20">
        <f>'Off-farm feed'!$H$88</f>
        <v>4.4751668198345796E-3</v>
      </c>
      <c r="I13" s="19">
        <f>'Off-farm feed'!$I$88</f>
        <v>2.5747126436781614E-3</v>
      </c>
      <c r="J13" s="19">
        <f>'Off-farm feed'!$J$88</f>
        <v>0.29368572248181501</v>
      </c>
      <c r="K13" s="29">
        <f>'Off-farm feed'!$K$88</f>
        <v>1.777473414827503E-10</v>
      </c>
      <c r="L13" s="29">
        <f>'Off-farm feed'!$L$88</f>
        <v>2.4996062723023757E-3</v>
      </c>
      <c r="M13" s="197">
        <f>'Parameters, country spec'!B26</f>
        <v>7.1767098590145267E-2</v>
      </c>
    </row>
    <row r="14" spans="1:13" x14ac:dyDescent="0.35">
      <c r="B14" s="18" t="s">
        <v>346</v>
      </c>
      <c r="C14" s="17" t="s">
        <v>345</v>
      </c>
      <c r="D14" s="23" t="str">
        <f>'Off-farm feed'!$D$36</f>
        <v>Brazil, Argentina</v>
      </c>
      <c r="E14" s="23" t="s">
        <v>82</v>
      </c>
      <c r="F14" s="19">
        <f>'Off-farm feed'!$F$36</f>
        <v>2.5509164954964132</v>
      </c>
      <c r="G14" s="20">
        <f>'Off-farm feed'!$G$36</f>
        <v>4.2620923125915477E-2</v>
      </c>
      <c r="H14" s="20">
        <f>'Off-farm feed'!$H$36</f>
        <v>3.2959349471355036E-3</v>
      </c>
      <c r="I14" s="19">
        <f>'Off-farm feed'!$I$36</f>
        <v>2.3780487804878048E-3</v>
      </c>
      <c r="J14" s="19">
        <f>'Off-farm feed'!$J$36</f>
        <v>0.25920846302270939</v>
      </c>
      <c r="K14" s="29">
        <f>'Off-farm feed'!$K$36</f>
        <v>6.1197957373175144E-10</v>
      </c>
      <c r="L14" s="29">
        <f>'Off-farm feed'!$L$36</f>
        <v>1.0450321677831981E-4</v>
      </c>
      <c r="M14" s="197">
        <f>'Parameters, country spec'!B27</f>
        <v>0.10081362148549573</v>
      </c>
    </row>
    <row r="15" spans="1:13" x14ac:dyDescent="0.35">
      <c r="B15" s="17" t="s">
        <v>233</v>
      </c>
      <c r="C15" s="17" t="s">
        <v>347</v>
      </c>
      <c r="D15" s="23" t="s">
        <v>81</v>
      </c>
      <c r="E15" s="23" t="s">
        <v>82</v>
      </c>
      <c r="F15" s="107"/>
      <c r="G15" s="108"/>
      <c r="H15" s="108"/>
      <c r="I15" s="116"/>
      <c r="J15" s="116"/>
      <c r="K15" s="116"/>
      <c r="L15" s="116"/>
      <c r="M15" s="197">
        <f>'Parameters, country spec'!B28</f>
        <v>9.0561398556276068E-2</v>
      </c>
    </row>
    <row r="16" spans="1:13" x14ac:dyDescent="0.35">
      <c r="A16" s="83"/>
      <c r="B16" s="17" t="s">
        <v>348</v>
      </c>
      <c r="C16" s="84" t="s">
        <v>349</v>
      </c>
      <c r="D16" s="23" t="s">
        <v>81</v>
      </c>
      <c r="E16" s="23" t="s">
        <v>82</v>
      </c>
      <c r="F16" s="109">
        <f t="shared" ref="F16:L16" si="0">AVERAGE(F6:F14)</f>
        <v>2.4410903004363735</v>
      </c>
      <c r="G16" s="109">
        <f t="shared" si="0"/>
        <v>2.4013036620997755E-2</v>
      </c>
      <c r="H16" s="109">
        <f t="shared" si="0"/>
        <v>3.0304741886750747E-3</v>
      </c>
      <c r="I16" s="226">
        <f>AVERAGE(I6:I14)</f>
        <v>5.5030682490732959E-4</v>
      </c>
      <c r="J16" s="226">
        <f t="shared" si="0"/>
        <v>6.1432800585914431E-2</v>
      </c>
      <c r="K16" s="226">
        <f t="shared" si="0"/>
        <v>8.774828492070854E-11</v>
      </c>
      <c r="L16" s="226">
        <f t="shared" si="0"/>
        <v>5.7019564773361003E-4</v>
      </c>
      <c r="M16" s="197">
        <f>'Parameters, country spec'!B29</f>
        <v>3.4316549234581904E-2</v>
      </c>
    </row>
    <row r="17" spans="1:13" x14ac:dyDescent="0.35">
      <c r="A17" s="195"/>
      <c r="B17" s="25" t="s">
        <v>350</v>
      </c>
      <c r="C17" s="26"/>
      <c r="D17" s="103"/>
      <c r="E17" s="103"/>
      <c r="F17" s="30">
        <f>SUMPRODUCT(F6:F16,M6:M16)</f>
        <v>3.1716565534311156</v>
      </c>
      <c r="G17" s="30">
        <f>SUMPRODUCT(G6:G16,M6:M16)</f>
        <v>2.0080265703046309E-2</v>
      </c>
      <c r="H17" s="30">
        <f>SUMPRODUCT(H6:H16,M6:M16)</f>
        <v>2.3388455522653892E-3</v>
      </c>
      <c r="I17" s="30">
        <f>SUMPRODUCT(I6:I16,M6:M16)</f>
        <v>4.4340399702134524E-4</v>
      </c>
      <c r="J17" s="30">
        <f>SUMPRODUCT(J6:J16,M6:M16)</f>
        <v>4.9317037412481404E-2</v>
      </c>
      <c r="K17" s="30">
        <f>SUMPRODUCT(K6:K16,M6:M16)</f>
        <v>7.7464670188213437E-11</v>
      </c>
      <c r="L17" s="30">
        <f>SUMPRODUCT(L6:L16,M6:M16)</f>
        <v>3.0965741427316262E-4</v>
      </c>
      <c r="M17" s="198"/>
    </row>
    <row r="18" spans="1:13" x14ac:dyDescent="0.35">
      <c r="A18" s="22" t="s">
        <v>336</v>
      </c>
      <c r="B18" s="17" t="s">
        <v>218</v>
      </c>
      <c r="C18" s="17" t="s">
        <v>337</v>
      </c>
      <c r="D18" s="23" t="s">
        <v>83</v>
      </c>
      <c r="E18" s="23" t="s">
        <v>84</v>
      </c>
      <c r="F18" s="24">
        <v>2.1815008726003491</v>
      </c>
      <c r="G18" s="39">
        <v>2.0506108202443279E-2</v>
      </c>
      <c r="H18" s="39">
        <v>3.0541012216404886E-3</v>
      </c>
      <c r="I18" s="28">
        <v>0</v>
      </c>
      <c r="J18" s="28">
        <v>1.1343804537521816E-7</v>
      </c>
      <c r="K18" s="28">
        <v>9.332913409296623E-16</v>
      </c>
      <c r="L18" s="28">
        <v>5.2359749444649394E-4</v>
      </c>
      <c r="M18" s="197">
        <f>'Parameters, country spec'!C19</f>
        <v>9.1606902667557069E-2</v>
      </c>
    </row>
    <row r="19" spans="1:13" x14ac:dyDescent="0.35">
      <c r="A19" s="22" t="s">
        <v>338</v>
      </c>
      <c r="B19" s="17" t="s">
        <v>222</v>
      </c>
      <c r="C19" s="17" t="s">
        <v>337</v>
      </c>
      <c r="D19" s="23" t="s">
        <v>83</v>
      </c>
      <c r="E19" s="23" t="s">
        <v>84</v>
      </c>
      <c r="F19" s="21">
        <v>5.0505050505050502</v>
      </c>
      <c r="G19" s="39">
        <v>1.3131313131313131E-2</v>
      </c>
      <c r="H19" s="39">
        <v>2.0202020202020202E-3</v>
      </c>
      <c r="I19" s="28">
        <v>0</v>
      </c>
      <c r="J19" s="28">
        <v>3.0808080808080806E-7</v>
      </c>
      <c r="K19" s="28">
        <v>2.1607108620310969E-15</v>
      </c>
      <c r="L19" s="28">
        <v>2.5791649629730588E-5</v>
      </c>
      <c r="M19" s="197">
        <f>'Parameters, country spec'!C20</f>
        <v>0.13155509047103262</v>
      </c>
    </row>
    <row r="20" spans="1:13" x14ac:dyDescent="0.35">
      <c r="A20" s="22" t="s">
        <v>339</v>
      </c>
      <c r="B20" s="17" t="s">
        <v>226</v>
      </c>
      <c r="C20" s="17" t="s">
        <v>337</v>
      </c>
      <c r="D20" s="23" t="s">
        <v>83</v>
      </c>
      <c r="E20" s="23" t="s">
        <v>84</v>
      </c>
      <c r="F20" s="21">
        <v>1.5128936360129202</v>
      </c>
      <c r="G20" s="39">
        <v>1.9970195995370546E-2</v>
      </c>
      <c r="H20" s="39">
        <v>5.5977064532478039E-3</v>
      </c>
      <c r="I20" s="28">
        <v>0</v>
      </c>
      <c r="J20" s="28">
        <v>1.6641829996142119E-8</v>
      </c>
      <c r="K20" s="28">
        <v>6.4724729106130576E-16</v>
      </c>
      <c r="L20" s="28">
        <v>5.0991365516814952E-4</v>
      </c>
      <c r="M20" s="197">
        <f>'Parameters, country spec'!C21</f>
        <v>9.289741735930411E-3</v>
      </c>
    </row>
    <row r="21" spans="1:13" x14ac:dyDescent="0.35">
      <c r="A21" s="22" t="s">
        <v>340</v>
      </c>
      <c r="B21" s="17" t="s">
        <v>227</v>
      </c>
      <c r="C21" s="17" t="s">
        <v>337</v>
      </c>
      <c r="D21" s="23" t="s">
        <v>83</v>
      </c>
      <c r="E21" s="23" t="s">
        <v>84</v>
      </c>
      <c r="F21" s="21">
        <v>2.5461100530609335</v>
      </c>
      <c r="G21" s="39">
        <v>1.8077381376732628E-2</v>
      </c>
      <c r="H21" s="39">
        <v>3.8191650795914001E-3</v>
      </c>
      <c r="I21" s="28">
        <v>0</v>
      </c>
      <c r="J21" s="28">
        <v>1.1457495238774201E-7</v>
      </c>
      <c r="K21" s="28">
        <v>1.0892787142199158E-15</v>
      </c>
      <c r="L21" s="28">
        <v>4.6158303182478765E-4</v>
      </c>
      <c r="M21" s="197">
        <f>'Parameters, country spec'!C22</f>
        <v>2.0777988939877966E-3</v>
      </c>
    </row>
    <row r="22" spans="1:13" x14ac:dyDescent="0.35">
      <c r="A22" s="22" t="s">
        <v>341</v>
      </c>
      <c r="B22" s="17" t="s">
        <v>228</v>
      </c>
      <c r="C22" s="17" t="s">
        <v>337</v>
      </c>
      <c r="D22" s="23" t="s">
        <v>83</v>
      </c>
      <c r="E22" s="23" t="s">
        <v>84</v>
      </c>
      <c r="F22" s="21">
        <v>3.3757097429734602</v>
      </c>
      <c r="G22" s="39">
        <v>2.1266971380732799E-2</v>
      </c>
      <c r="H22" s="39">
        <v>1.6878548714867299E-3</v>
      </c>
      <c r="I22" s="28">
        <v>0</v>
      </c>
      <c r="J22" s="28">
        <v>1.9579116509246066E-7</v>
      </c>
      <c r="K22" s="28">
        <v>1.4441986763239777E-15</v>
      </c>
      <c r="L22" s="28">
        <v>0</v>
      </c>
      <c r="M22" s="197">
        <f>'Parameters, country spec'!C23</f>
        <v>0.19898022259279191</v>
      </c>
    </row>
    <row r="23" spans="1:13" x14ac:dyDescent="0.35">
      <c r="A23" s="22" t="s">
        <v>342</v>
      </c>
      <c r="B23" s="17" t="s">
        <v>229</v>
      </c>
      <c r="C23" s="17" t="s">
        <v>343</v>
      </c>
      <c r="D23" s="23" t="s">
        <v>83</v>
      </c>
      <c r="E23" s="23" t="s">
        <v>84</v>
      </c>
      <c r="F23" s="21">
        <v>1.6760975086486631</v>
      </c>
      <c r="G23" s="39">
        <v>1.5922926332162302E-2</v>
      </c>
      <c r="H23" s="39">
        <v>1.1732682560540643E-3</v>
      </c>
      <c r="I23" s="28">
        <v>0</v>
      </c>
      <c r="J23" s="28">
        <v>1.5755316581297433E-7</v>
      </c>
      <c r="K23" s="28">
        <v>7.1706929436656458E-16</v>
      </c>
      <c r="L23" s="28">
        <v>4.0657175166874981E-4</v>
      </c>
      <c r="M23" s="197">
        <f>'Parameters, country spec'!C24</f>
        <v>0</v>
      </c>
    </row>
    <row r="24" spans="1:13" x14ac:dyDescent="0.35">
      <c r="A24" s="22" t="s">
        <v>344</v>
      </c>
      <c r="B24" s="17" t="s">
        <v>230</v>
      </c>
      <c r="C24" s="17" t="s">
        <v>343</v>
      </c>
      <c r="D24" s="23" t="s">
        <v>83</v>
      </c>
      <c r="E24" s="23" t="s">
        <v>84</v>
      </c>
      <c r="F24" s="21">
        <v>1.5363343063450607</v>
      </c>
      <c r="G24" s="39">
        <v>2.350591488707943E-2</v>
      </c>
      <c r="H24" s="39">
        <v>2.150868028883085E-3</v>
      </c>
      <c r="I24" s="28">
        <v>0</v>
      </c>
      <c r="J24" s="28">
        <v>1.1368873866953449E-7</v>
      </c>
      <c r="K24" s="28">
        <v>6.5727569623929515E-16</v>
      </c>
      <c r="L24" s="28">
        <v>6.0019375778388269E-4</v>
      </c>
      <c r="M24" s="197">
        <f>'Parameters, country spec'!C25</f>
        <v>0</v>
      </c>
    </row>
    <row r="25" spans="1:13" x14ac:dyDescent="0.35">
      <c r="B25" s="18" t="s">
        <v>231</v>
      </c>
      <c r="C25" s="17" t="s">
        <v>345</v>
      </c>
      <c r="D25" s="23" t="str">
        <f>'Off-farm feed'!$D$88</f>
        <v>France, Germany, Poland</v>
      </c>
      <c r="E25" s="23" t="s">
        <v>82</v>
      </c>
      <c r="F25" s="19">
        <f>'Off-farm feed'!$F$88</f>
        <v>1.5397450382845088</v>
      </c>
      <c r="G25" s="20">
        <f>'Off-farm feed'!$G$88</f>
        <v>4.1115595157230206E-2</v>
      </c>
      <c r="H25" s="20">
        <f>'Off-farm feed'!$H$88</f>
        <v>4.4751668198345796E-3</v>
      </c>
      <c r="I25" s="19">
        <f>'Off-farm feed'!$I$88</f>
        <v>2.5747126436781614E-3</v>
      </c>
      <c r="J25" s="19">
        <f>'Off-farm feed'!$J$88</f>
        <v>0.29368572248181501</v>
      </c>
      <c r="K25" s="29">
        <f>'Off-farm feed'!$K$88</f>
        <v>1.777473414827503E-10</v>
      </c>
      <c r="L25" s="29">
        <f>'Off-farm feed'!$L$88</f>
        <v>2.4996062723023757E-3</v>
      </c>
      <c r="M25" s="197">
        <f>'Parameters, country spec'!C26</f>
        <v>0.11887736478257062</v>
      </c>
    </row>
    <row r="26" spans="1:13" x14ac:dyDescent="0.35">
      <c r="B26" s="18" t="s">
        <v>346</v>
      </c>
      <c r="C26" s="17" t="s">
        <v>345</v>
      </c>
      <c r="D26" s="23" t="str">
        <f>'Off-farm feed'!$D$36</f>
        <v>Brazil, Argentina</v>
      </c>
      <c r="E26" s="23" t="s">
        <v>82</v>
      </c>
      <c r="F26" s="19">
        <f>'Off-farm feed'!$F$36</f>
        <v>2.5509164954964132</v>
      </c>
      <c r="G26" s="20">
        <f>'Off-farm feed'!$G$36</f>
        <v>4.2620923125915477E-2</v>
      </c>
      <c r="H26" s="20">
        <f>'Off-farm feed'!$H$36</f>
        <v>3.2959349471355036E-3</v>
      </c>
      <c r="I26" s="19">
        <f>'Off-farm feed'!$I$36</f>
        <v>2.3780487804878048E-3</v>
      </c>
      <c r="J26" s="19">
        <f>'Off-farm feed'!$J$36</f>
        <v>0.25920846302270939</v>
      </c>
      <c r="K26" s="29">
        <f>'Off-farm feed'!$K$36</f>
        <v>6.1197957373175144E-10</v>
      </c>
      <c r="L26" s="29">
        <f>'Off-farm feed'!$L$36</f>
        <v>1.0450321677831981E-4</v>
      </c>
      <c r="M26" s="197">
        <f>'Parameters, country spec'!C27</f>
        <v>0.14455218048244542</v>
      </c>
    </row>
    <row r="27" spans="1:13" x14ac:dyDescent="0.35">
      <c r="B27" s="17" t="s">
        <v>233</v>
      </c>
      <c r="C27" s="17" t="s">
        <v>347</v>
      </c>
      <c r="D27" s="23" t="s">
        <v>83</v>
      </c>
      <c r="E27" s="23" t="s">
        <v>84</v>
      </c>
      <c r="F27" s="107"/>
      <c r="G27" s="108"/>
      <c r="H27" s="108"/>
      <c r="I27" s="116"/>
      <c r="J27" s="116"/>
      <c r="K27" s="116"/>
      <c r="L27" s="116"/>
      <c r="M27" s="197">
        <f>'Parameters, country spec'!C28</f>
        <v>0.16248162657729212</v>
      </c>
    </row>
    <row r="28" spans="1:13" x14ac:dyDescent="0.35">
      <c r="A28" s="83"/>
      <c r="B28" s="17" t="s">
        <v>348</v>
      </c>
      <c r="C28" s="84" t="s">
        <v>349</v>
      </c>
      <c r="D28" s="23" t="s">
        <v>83</v>
      </c>
      <c r="E28" s="23" t="s">
        <v>84</v>
      </c>
      <c r="F28" s="109">
        <f t="shared" ref="F28:L28" si="1">AVERAGE(F18:F26)</f>
        <v>2.4410903004363735</v>
      </c>
      <c r="G28" s="109">
        <f t="shared" si="1"/>
        <v>2.4013036620997755E-2</v>
      </c>
      <c r="H28" s="109">
        <f t="shared" si="1"/>
        <v>3.0304741886750747E-3</v>
      </c>
      <c r="I28" s="226">
        <f>AVERAGE(I18:I26)</f>
        <v>5.5030682490732959E-4</v>
      </c>
      <c r="J28" s="226">
        <f t="shared" si="1"/>
        <v>6.1432800585914431E-2</v>
      </c>
      <c r="K28" s="226">
        <f t="shared" si="1"/>
        <v>8.774828492070854E-11</v>
      </c>
      <c r="L28" s="226">
        <f t="shared" si="1"/>
        <v>5.7019564773361003E-4</v>
      </c>
      <c r="M28" s="197">
        <f>'Parameters, country spec'!C29</f>
        <v>0.14057907179639201</v>
      </c>
    </row>
    <row r="29" spans="1:13" x14ac:dyDescent="0.35">
      <c r="A29" s="195"/>
      <c r="B29" s="25" t="s">
        <v>350</v>
      </c>
      <c r="C29" s="26"/>
      <c r="D29" s="103"/>
      <c r="E29" s="103"/>
      <c r="F29" s="30">
        <f>SUMPRODUCT(F18:F28,M18:M28)</f>
        <v>2.4502519416667861</v>
      </c>
      <c r="G29" s="30">
        <f>SUMPRODUCT(G18:G28,M18:M28)</f>
        <v>2.2485169345618342E-2</v>
      </c>
      <c r="H29" s="30">
        <f>SUMPRODUCT(H18:H28,M18:M28)</f>
        <v>2.3757829255483683E-3</v>
      </c>
      <c r="I29" s="30">
        <f>SUMPRODUCT(I18:I28,M18:M28)</f>
        <v>7.2718881331465003E-4</v>
      </c>
      <c r="J29" s="30">
        <f>SUMPRODUCT(J18:J28,M18:M28)</f>
        <v>8.1017989649098385E-2</v>
      </c>
      <c r="K29" s="30">
        <f>SUMPRODUCT(K18:K28,M18:M28)</f>
        <v>1.2192935518357607E-10</v>
      </c>
      <c r="L29" s="30">
        <f>SUMPRODUCT(L18:L28,M18:M28)</f>
        <v>4.4946455978707889E-4</v>
      </c>
      <c r="M29" s="198"/>
    </row>
    <row r="30" spans="1:13" x14ac:dyDescent="0.35">
      <c r="A30" s="22" t="s">
        <v>336</v>
      </c>
      <c r="B30" s="17" t="s">
        <v>218</v>
      </c>
      <c r="C30" s="17" t="s">
        <v>337</v>
      </c>
      <c r="D30" s="23" t="s">
        <v>85</v>
      </c>
      <c r="E30" s="23" t="s">
        <v>86</v>
      </c>
      <c r="F30" s="24">
        <v>2.1815008726003491</v>
      </c>
      <c r="G30" s="39">
        <v>2.0506108202443279E-2</v>
      </c>
      <c r="H30" s="39">
        <v>3.0541012216404886E-3</v>
      </c>
      <c r="I30" s="28">
        <v>0</v>
      </c>
      <c r="J30" s="28">
        <v>1.1343804537521816E-7</v>
      </c>
      <c r="K30" s="28">
        <v>9.332913409296623E-16</v>
      </c>
      <c r="L30" s="28">
        <v>5.2359749444649394E-4</v>
      </c>
      <c r="M30" s="197">
        <f>'Parameters, country spec'!D19</f>
        <v>0</v>
      </c>
    </row>
    <row r="31" spans="1:13" x14ac:dyDescent="0.35">
      <c r="A31" s="22" t="s">
        <v>338</v>
      </c>
      <c r="B31" s="17" t="s">
        <v>222</v>
      </c>
      <c r="C31" s="17" t="s">
        <v>337</v>
      </c>
      <c r="D31" s="23" t="s">
        <v>85</v>
      </c>
      <c r="E31" s="23" t="s">
        <v>86</v>
      </c>
      <c r="F31" s="21">
        <v>5.0505050505050502</v>
      </c>
      <c r="G31" s="39">
        <v>1.3131313131313131E-2</v>
      </c>
      <c r="H31" s="39">
        <v>2.0202020202020202E-3</v>
      </c>
      <c r="I31" s="28">
        <v>0</v>
      </c>
      <c r="J31" s="28">
        <v>3.0808080808080806E-7</v>
      </c>
      <c r="K31" s="28">
        <v>2.1607108620310969E-15</v>
      </c>
      <c r="L31" s="28">
        <v>2.5791649629730588E-5</v>
      </c>
      <c r="M31" s="197">
        <f>'Parameters, country spec'!D20</f>
        <v>0.54552951323157861</v>
      </c>
    </row>
    <row r="32" spans="1:13" x14ac:dyDescent="0.35">
      <c r="A32" s="22" t="s">
        <v>339</v>
      </c>
      <c r="B32" s="17" t="s">
        <v>226</v>
      </c>
      <c r="C32" s="17" t="s">
        <v>337</v>
      </c>
      <c r="D32" s="23" t="s">
        <v>85</v>
      </c>
      <c r="E32" s="23" t="s">
        <v>86</v>
      </c>
      <c r="F32" s="21">
        <v>1.5128936360129202</v>
      </c>
      <c r="G32" s="39">
        <v>1.9970195995370546E-2</v>
      </c>
      <c r="H32" s="39">
        <v>5.5977064532478039E-3</v>
      </c>
      <c r="I32" s="28">
        <v>0</v>
      </c>
      <c r="J32" s="28">
        <v>1.6641829996142119E-8</v>
      </c>
      <c r="K32" s="28">
        <v>6.4724729106130576E-16</v>
      </c>
      <c r="L32" s="28">
        <v>5.0991365516814952E-4</v>
      </c>
      <c r="M32" s="197">
        <f>'Parameters, country spec'!D21</f>
        <v>0</v>
      </c>
    </row>
    <row r="33" spans="1:13" x14ac:dyDescent="0.35">
      <c r="A33" s="22" t="s">
        <v>340</v>
      </c>
      <c r="B33" s="17" t="s">
        <v>227</v>
      </c>
      <c r="C33" s="17" t="s">
        <v>337</v>
      </c>
      <c r="D33" s="23" t="s">
        <v>85</v>
      </c>
      <c r="E33" s="23" t="s">
        <v>86</v>
      </c>
      <c r="F33" s="21">
        <v>2.5461100530609335</v>
      </c>
      <c r="G33" s="39">
        <v>1.8077381376732628E-2</v>
      </c>
      <c r="H33" s="39">
        <v>3.8191650795914001E-3</v>
      </c>
      <c r="I33" s="28">
        <v>0</v>
      </c>
      <c r="J33" s="28">
        <v>1.1457495238774201E-7</v>
      </c>
      <c r="K33" s="28">
        <v>1.0892787142199158E-15</v>
      </c>
      <c r="L33" s="28">
        <v>4.6158303182478765E-4</v>
      </c>
      <c r="M33" s="197">
        <f>'Parameters, country spec'!D22</f>
        <v>5.6518820446868744E-3</v>
      </c>
    </row>
    <row r="34" spans="1:13" x14ac:dyDescent="0.35">
      <c r="A34" s="22" t="s">
        <v>341</v>
      </c>
      <c r="B34" s="17" t="s">
        <v>228</v>
      </c>
      <c r="C34" s="17" t="s">
        <v>337</v>
      </c>
      <c r="D34" s="23" t="s">
        <v>85</v>
      </c>
      <c r="E34" s="23" t="s">
        <v>86</v>
      </c>
      <c r="F34" s="21">
        <v>3.3757097429734602</v>
      </c>
      <c r="G34" s="39">
        <v>2.1266971380732799E-2</v>
      </c>
      <c r="H34" s="39">
        <v>1.6878548714867299E-3</v>
      </c>
      <c r="I34" s="28">
        <v>0</v>
      </c>
      <c r="J34" s="28">
        <v>1.9579116509246066E-7</v>
      </c>
      <c r="K34" s="28">
        <v>1.4441986763239777E-15</v>
      </c>
      <c r="L34" s="28">
        <v>0</v>
      </c>
      <c r="M34" s="197">
        <f>'Parameters, country spec'!D23</f>
        <v>6.0251044055952427E-2</v>
      </c>
    </row>
    <row r="35" spans="1:13" x14ac:dyDescent="0.35">
      <c r="A35" s="22" t="s">
        <v>342</v>
      </c>
      <c r="B35" s="17" t="s">
        <v>229</v>
      </c>
      <c r="C35" s="17" t="s">
        <v>343</v>
      </c>
      <c r="D35" s="23" t="s">
        <v>85</v>
      </c>
      <c r="E35" s="23" t="s">
        <v>86</v>
      </c>
      <c r="F35" s="21">
        <v>1.6760975086486631</v>
      </c>
      <c r="G35" s="39">
        <v>1.5922926332162302E-2</v>
      </c>
      <c r="H35" s="39">
        <v>1.1732682560540643E-3</v>
      </c>
      <c r="I35" s="28">
        <v>0</v>
      </c>
      <c r="J35" s="28">
        <v>1.5755316581297433E-7</v>
      </c>
      <c r="K35" s="28">
        <v>7.1706929436656458E-16</v>
      </c>
      <c r="L35" s="28">
        <v>4.0657175166874981E-4</v>
      </c>
      <c r="M35" s="197">
        <f>'Parameters, country spec'!D24</f>
        <v>0</v>
      </c>
    </row>
    <row r="36" spans="1:13" x14ac:dyDescent="0.35">
      <c r="A36" s="22" t="s">
        <v>344</v>
      </c>
      <c r="B36" s="17" t="s">
        <v>230</v>
      </c>
      <c r="C36" s="17" t="s">
        <v>343</v>
      </c>
      <c r="D36" s="23" t="s">
        <v>85</v>
      </c>
      <c r="E36" s="23" t="s">
        <v>86</v>
      </c>
      <c r="F36" s="21">
        <v>1.5363343063450607</v>
      </c>
      <c r="G36" s="39">
        <v>2.350591488707943E-2</v>
      </c>
      <c r="H36" s="39">
        <v>2.150868028883085E-3</v>
      </c>
      <c r="I36" s="28">
        <v>0</v>
      </c>
      <c r="J36" s="28">
        <v>1.1368873866953449E-7</v>
      </c>
      <c r="K36" s="28">
        <v>6.5727569623929515E-16</v>
      </c>
      <c r="L36" s="28">
        <v>6.0019375778388269E-4</v>
      </c>
      <c r="M36" s="197">
        <f>'Parameters, country spec'!D25</f>
        <v>0</v>
      </c>
    </row>
    <row r="37" spans="1:13" x14ac:dyDescent="0.35">
      <c r="B37" s="18" t="s">
        <v>231</v>
      </c>
      <c r="C37" s="17" t="s">
        <v>345</v>
      </c>
      <c r="D37" s="23" t="str">
        <f>'Off-farm feed'!$D$88</f>
        <v>France, Germany, Poland</v>
      </c>
      <c r="E37" s="23" t="s">
        <v>82</v>
      </c>
      <c r="F37" s="19">
        <f>'Off-farm feed'!$F$88</f>
        <v>1.5397450382845088</v>
      </c>
      <c r="G37" s="20">
        <f>'Off-farm feed'!$G$88</f>
        <v>4.1115595157230206E-2</v>
      </c>
      <c r="H37" s="20">
        <f>'Off-farm feed'!$H$88</f>
        <v>4.4751668198345796E-3</v>
      </c>
      <c r="I37" s="19">
        <f>'Off-farm feed'!$I$88</f>
        <v>2.5747126436781614E-3</v>
      </c>
      <c r="J37" s="19">
        <f>'Off-farm feed'!$J$88</f>
        <v>0.29368572248181501</v>
      </c>
      <c r="K37" s="29">
        <f>'Off-farm feed'!$K$88</f>
        <v>1.777473414827503E-10</v>
      </c>
      <c r="L37" s="29">
        <f>'Off-farm feed'!$L$88</f>
        <v>2.4996062723023757E-3</v>
      </c>
      <c r="M37" s="197">
        <f>'Parameters, country spec'!D26</f>
        <v>1.9282223002705559E-3</v>
      </c>
    </row>
    <row r="38" spans="1:13" x14ac:dyDescent="0.35">
      <c r="B38" s="18" t="s">
        <v>346</v>
      </c>
      <c r="C38" s="17" t="s">
        <v>345</v>
      </c>
      <c r="D38" s="23" t="str">
        <f>'Off-farm feed'!$D$36</f>
        <v>Brazil, Argentina</v>
      </c>
      <c r="E38" s="23" t="s">
        <v>82</v>
      </c>
      <c r="F38" s="19">
        <f>'Off-farm feed'!$F$36</f>
        <v>2.5509164954964132</v>
      </c>
      <c r="G38" s="20">
        <f>'Off-farm feed'!$G$36</f>
        <v>4.2620923125915477E-2</v>
      </c>
      <c r="H38" s="20">
        <f>'Off-farm feed'!$H$36</f>
        <v>3.2959349471355036E-3</v>
      </c>
      <c r="I38" s="19">
        <f>'Off-farm feed'!$I$36</f>
        <v>2.3780487804878048E-3</v>
      </c>
      <c r="J38" s="19">
        <f>'Off-farm feed'!$J$36</f>
        <v>0.25920846302270939</v>
      </c>
      <c r="K38" s="29">
        <f>'Off-farm feed'!$K$36</f>
        <v>6.1197957373175144E-10</v>
      </c>
      <c r="L38" s="29">
        <f>'Off-farm feed'!$L$36</f>
        <v>1.0450321677831981E-4</v>
      </c>
      <c r="M38" s="197">
        <f>'Parameters, country spec'!D27</f>
        <v>4.8958214837280058E-2</v>
      </c>
    </row>
    <row r="39" spans="1:13" x14ac:dyDescent="0.35">
      <c r="B39" s="17" t="s">
        <v>233</v>
      </c>
      <c r="C39" s="17" t="s">
        <v>347</v>
      </c>
      <c r="D39" s="23" t="s">
        <v>85</v>
      </c>
      <c r="E39" s="23" t="s">
        <v>86</v>
      </c>
      <c r="F39" s="107"/>
      <c r="G39" s="108"/>
      <c r="H39" s="108"/>
      <c r="I39" s="116"/>
      <c r="J39" s="116"/>
      <c r="K39" s="116"/>
      <c r="L39" s="116"/>
      <c r="M39" s="197">
        <f>'Parameters, country spec'!D28</f>
        <v>0.12305696748386015</v>
      </c>
    </row>
    <row r="40" spans="1:13" x14ac:dyDescent="0.35">
      <c r="A40" s="83"/>
      <c r="B40" s="17" t="s">
        <v>348</v>
      </c>
      <c r="C40" s="84" t="s">
        <v>349</v>
      </c>
      <c r="D40" s="23" t="s">
        <v>85</v>
      </c>
      <c r="E40" s="23" t="s">
        <v>86</v>
      </c>
      <c r="F40" s="109">
        <f>AVERAGE(F30:F38)</f>
        <v>2.4410903004363735</v>
      </c>
      <c r="G40" s="109">
        <f t="shared" ref="G40:L40" si="2">AVERAGE(G30:G38)</f>
        <v>2.4013036620997755E-2</v>
      </c>
      <c r="H40" s="109">
        <f t="shared" si="2"/>
        <v>3.0304741886750747E-3</v>
      </c>
      <c r="I40" s="226">
        <f>AVERAGE(I30:I38)</f>
        <v>5.5030682490732959E-4</v>
      </c>
      <c r="J40" s="226">
        <f t="shared" si="2"/>
        <v>6.1432800585914431E-2</v>
      </c>
      <c r="K40" s="226">
        <f t="shared" si="2"/>
        <v>8.774828492070854E-11</v>
      </c>
      <c r="L40" s="226">
        <f t="shared" si="2"/>
        <v>5.7019564773361003E-4</v>
      </c>
      <c r="M40" s="197">
        <f>'Parameters, country spec'!D29</f>
        <v>0.21462415604637128</v>
      </c>
    </row>
    <row r="41" spans="1:13" x14ac:dyDescent="0.35">
      <c r="A41" s="195"/>
      <c r="B41" s="25" t="s">
        <v>350</v>
      </c>
      <c r="C41" s="26"/>
      <c r="D41" s="103"/>
      <c r="E41" s="103"/>
      <c r="F41" s="30">
        <f>SUMPRODUCT(F30:F40,M30:M40)</f>
        <v>3.6247541460145087</v>
      </c>
      <c r="G41" s="30">
        <f>SUMPRODUCT(G30:G40,M30:M40)</f>
        <v>1.5866749354757098E-2</v>
      </c>
      <c r="H41" s="30">
        <f>SUMPRODUCT(H30:H40,M30:M40)</f>
        <v>2.0457654863269932E-3</v>
      </c>
      <c r="I41" s="30">
        <f>SUMPRODUCT(I30:I40,M30:M40)</f>
        <v>2.3949877928727641E-4</v>
      </c>
      <c r="J41" s="30">
        <f>SUMPRODUCT(J30:J40,M30:M40)</f>
        <v>2.6441818470343881E-2</v>
      </c>
      <c r="K41" s="30">
        <f>SUMPRODUCT(K30:K40,M30:M40)</f>
        <v>4.9138337332568276E-11</v>
      </c>
      <c r="L41" s="30">
        <f>SUMPRODUCT(L30:L40,M30:M40)</f>
        <v>1.4899276608815849E-4</v>
      </c>
      <c r="M41" s="198"/>
    </row>
    <row r="42" spans="1:13" x14ac:dyDescent="0.35">
      <c r="A42" s="22" t="s">
        <v>336</v>
      </c>
      <c r="B42" s="17" t="s">
        <v>218</v>
      </c>
      <c r="C42" s="17" t="s">
        <v>337</v>
      </c>
      <c r="D42" s="23" t="s">
        <v>87</v>
      </c>
      <c r="E42" s="23" t="s">
        <v>88</v>
      </c>
      <c r="F42" s="24">
        <v>2.1815008726003491</v>
      </c>
      <c r="G42" s="39">
        <v>2.0506108202443279E-2</v>
      </c>
      <c r="H42" s="39">
        <v>3.0541012216404886E-3</v>
      </c>
      <c r="I42" s="28">
        <v>0</v>
      </c>
      <c r="J42" s="28">
        <v>1.1343804537521816E-7</v>
      </c>
      <c r="K42" s="28">
        <v>9.332913409296623E-16</v>
      </c>
      <c r="L42" s="28">
        <v>5.2359749444649394E-4</v>
      </c>
      <c r="M42" s="197">
        <f>'Parameters, country spec'!E19</f>
        <v>0.11695100775134643</v>
      </c>
    </row>
    <row r="43" spans="1:13" x14ac:dyDescent="0.35">
      <c r="A43" s="22" t="s">
        <v>338</v>
      </c>
      <c r="B43" s="17" t="s">
        <v>222</v>
      </c>
      <c r="C43" s="17" t="s">
        <v>337</v>
      </c>
      <c r="D43" s="23" t="s">
        <v>87</v>
      </c>
      <c r="E43" s="23" t="s">
        <v>88</v>
      </c>
      <c r="F43" s="21">
        <v>5.0505050505050502</v>
      </c>
      <c r="G43" s="39">
        <v>1.3131313131313131E-2</v>
      </c>
      <c r="H43" s="39">
        <v>2.0202020202020202E-3</v>
      </c>
      <c r="I43" s="28">
        <v>0</v>
      </c>
      <c r="J43" s="28">
        <v>3.0808080808080806E-7</v>
      </c>
      <c r="K43" s="28">
        <v>2.1607108620310969E-15</v>
      </c>
      <c r="L43" s="28">
        <v>2.5791649629730588E-5</v>
      </c>
      <c r="M43" s="197">
        <f>'Parameters, country spec'!E20</f>
        <v>0.4445206845179473</v>
      </c>
    </row>
    <row r="44" spans="1:13" x14ac:dyDescent="0.35">
      <c r="A44" s="22" t="s">
        <v>339</v>
      </c>
      <c r="B44" s="17" t="s">
        <v>226</v>
      </c>
      <c r="C44" s="17" t="s">
        <v>337</v>
      </c>
      <c r="D44" s="23" t="s">
        <v>87</v>
      </c>
      <c r="E44" s="23" t="s">
        <v>88</v>
      </c>
      <c r="F44" s="21">
        <v>1.5128936360129202</v>
      </c>
      <c r="G44" s="39">
        <v>1.9970195995370546E-2</v>
      </c>
      <c r="H44" s="39">
        <v>5.5977064532478039E-3</v>
      </c>
      <c r="I44" s="28">
        <v>0</v>
      </c>
      <c r="J44" s="28">
        <v>1.6641829996142119E-8</v>
      </c>
      <c r="K44" s="28">
        <v>6.4724729106130576E-16</v>
      </c>
      <c r="L44" s="28">
        <v>5.0991365516814952E-4</v>
      </c>
      <c r="M44" s="197">
        <f>'Parameters, country spec'!E21</f>
        <v>6.0948374004472276E-2</v>
      </c>
    </row>
    <row r="45" spans="1:13" x14ac:dyDescent="0.35">
      <c r="A45" s="22" t="s">
        <v>340</v>
      </c>
      <c r="B45" s="17" t="s">
        <v>227</v>
      </c>
      <c r="C45" s="17" t="s">
        <v>337</v>
      </c>
      <c r="D45" s="23" t="s">
        <v>87</v>
      </c>
      <c r="E45" s="23" t="s">
        <v>88</v>
      </c>
      <c r="F45" s="21">
        <v>2.5461100530609335</v>
      </c>
      <c r="G45" s="39">
        <v>1.8077381376732628E-2</v>
      </c>
      <c r="H45" s="39">
        <v>3.8191650795914001E-3</v>
      </c>
      <c r="I45" s="28">
        <v>0</v>
      </c>
      <c r="J45" s="28">
        <v>1.1457495238774201E-7</v>
      </c>
      <c r="K45" s="28">
        <v>1.0892787142199158E-15</v>
      </c>
      <c r="L45" s="28">
        <v>4.6158303182478765E-4</v>
      </c>
      <c r="M45" s="197">
        <f>'Parameters, country spec'!E22</f>
        <v>6.0703727508641431E-4</v>
      </c>
    </row>
    <row r="46" spans="1:13" x14ac:dyDescent="0.35">
      <c r="A46" s="22" t="s">
        <v>341</v>
      </c>
      <c r="B46" s="17" t="s">
        <v>228</v>
      </c>
      <c r="C46" s="17" t="s">
        <v>337</v>
      </c>
      <c r="D46" s="23" t="s">
        <v>87</v>
      </c>
      <c r="E46" s="23" t="s">
        <v>88</v>
      </c>
      <c r="F46" s="21">
        <v>3.3757097429734602</v>
      </c>
      <c r="G46" s="39">
        <v>2.1266971380732799E-2</v>
      </c>
      <c r="H46" s="39">
        <v>1.6878548714867299E-3</v>
      </c>
      <c r="I46" s="28">
        <v>0</v>
      </c>
      <c r="J46" s="28">
        <v>1.9579116509246066E-7</v>
      </c>
      <c r="K46" s="28">
        <v>1.4441986763239777E-15</v>
      </c>
      <c r="L46" s="28">
        <v>0</v>
      </c>
      <c r="M46" s="197">
        <f>'Parameters, country spec'!E23</f>
        <v>1.4335515592498327E-2</v>
      </c>
    </row>
    <row r="47" spans="1:13" x14ac:dyDescent="0.35">
      <c r="A47" s="22" t="s">
        <v>342</v>
      </c>
      <c r="B47" s="17" t="s">
        <v>229</v>
      </c>
      <c r="C47" s="17" t="s">
        <v>343</v>
      </c>
      <c r="D47" s="23" t="s">
        <v>87</v>
      </c>
      <c r="E47" s="23" t="s">
        <v>88</v>
      </c>
      <c r="F47" s="21">
        <v>1.6760975086486631</v>
      </c>
      <c r="G47" s="39">
        <v>1.5922926332162302E-2</v>
      </c>
      <c r="H47" s="39">
        <v>1.1732682560540643E-3</v>
      </c>
      <c r="I47" s="28">
        <v>0</v>
      </c>
      <c r="J47" s="28">
        <v>1.5755316581297433E-7</v>
      </c>
      <c r="K47" s="28">
        <v>7.1706929436656458E-16</v>
      </c>
      <c r="L47" s="28">
        <v>4.0657175166874981E-4</v>
      </c>
      <c r="M47" s="197">
        <f>'Parameters, country spec'!E24</f>
        <v>2.4245622511489488E-3</v>
      </c>
    </row>
    <row r="48" spans="1:13" x14ac:dyDescent="0.35">
      <c r="A48" s="22" t="s">
        <v>344</v>
      </c>
      <c r="B48" s="17" t="s">
        <v>230</v>
      </c>
      <c r="C48" s="17" t="s">
        <v>343</v>
      </c>
      <c r="D48" s="23" t="s">
        <v>87</v>
      </c>
      <c r="E48" s="23" t="s">
        <v>88</v>
      </c>
      <c r="F48" s="21">
        <v>1.5363343063450607</v>
      </c>
      <c r="G48" s="39">
        <v>2.350591488707943E-2</v>
      </c>
      <c r="H48" s="39">
        <v>2.150868028883085E-3</v>
      </c>
      <c r="I48" s="28">
        <v>0</v>
      </c>
      <c r="J48" s="28">
        <v>1.1368873866953449E-7</v>
      </c>
      <c r="K48" s="28">
        <v>6.5727569623929515E-16</v>
      </c>
      <c r="L48" s="28">
        <v>6.0019375778388269E-4</v>
      </c>
      <c r="M48" s="197">
        <f>'Parameters, country spec'!E25</f>
        <v>2.3817191194450719E-3</v>
      </c>
    </row>
    <row r="49" spans="1:13" x14ac:dyDescent="0.35">
      <c r="B49" s="18" t="s">
        <v>231</v>
      </c>
      <c r="C49" s="17" t="s">
        <v>345</v>
      </c>
      <c r="D49" s="23" t="str">
        <f>'Off-farm feed'!$D$88</f>
        <v>France, Germany, Poland</v>
      </c>
      <c r="E49" s="23" t="s">
        <v>82</v>
      </c>
      <c r="F49" s="19">
        <f>'Off-farm feed'!$F$88</f>
        <v>1.5397450382845088</v>
      </c>
      <c r="G49" s="20">
        <f>'Off-farm feed'!$G$88</f>
        <v>4.1115595157230206E-2</v>
      </c>
      <c r="H49" s="20">
        <f>'Off-farm feed'!$H$88</f>
        <v>4.4751668198345796E-3</v>
      </c>
      <c r="I49" s="19">
        <f>'Off-farm feed'!$I$88</f>
        <v>2.5747126436781614E-3</v>
      </c>
      <c r="J49" s="19">
        <f>'Off-farm feed'!$J$88</f>
        <v>0.29368572248181501</v>
      </c>
      <c r="K49" s="29">
        <f>'Off-farm feed'!$K$88</f>
        <v>1.777473414827503E-10</v>
      </c>
      <c r="L49" s="29">
        <f>'Off-farm feed'!$L$88</f>
        <v>2.4996062723023757E-3</v>
      </c>
      <c r="M49" s="197">
        <f>'Parameters, country spec'!E26</f>
        <v>1.1388487134632584E-2</v>
      </c>
    </row>
    <row r="50" spans="1:13" x14ac:dyDescent="0.35">
      <c r="B50" s="18" t="s">
        <v>346</v>
      </c>
      <c r="C50" s="17" t="s">
        <v>345</v>
      </c>
      <c r="D50" s="23" t="str">
        <f>'Off-farm feed'!$D$36</f>
        <v>Brazil, Argentina</v>
      </c>
      <c r="E50" s="23" t="s">
        <v>82</v>
      </c>
      <c r="F50" s="19">
        <f>'Off-farm feed'!$F$36</f>
        <v>2.5509164954964132</v>
      </c>
      <c r="G50" s="20">
        <f>'Off-farm feed'!$G$36</f>
        <v>4.2620923125915477E-2</v>
      </c>
      <c r="H50" s="20">
        <f>'Off-farm feed'!$H$36</f>
        <v>3.2959349471355036E-3</v>
      </c>
      <c r="I50" s="19">
        <f>'Off-farm feed'!$I$36</f>
        <v>2.3780487804878048E-3</v>
      </c>
      <c r="J50" s="19">
        <f>'Off-farm feed'!$J$36</f>
        <v>0.25920846302270939</v>
      </c>
      <c r="K50" s="29">
        <f>'Off-farm feed'!$K$36</f>
        <v>6.1197957373175144E-10</v>
      </c>
      <c r="L50" s="29">
        <f>'Off-farm feed'!$L$36</f>
        <v>1.0450321677831981E-4</v>
      </c>
      <c r="M50" s="197">
        <f>'Parameters, country spec'!E27</f>
        <v>0.1766138896591114</v>
      </c>
    </row>
    <row r="51" spans="1:13" x14ac:dyDescent="0.35">
      <c r="B51" s="17" t="s">
        <v>233</v>
      </c>
      <c r="C51" s="17" t="s">
        <v>347</v>
      </c>
      <c r="D51" s="23" t="s">
        <v>87</v>
      </c>
      <c r="E51" s="23" t="s">
        <v>88</v>
      </c>
      <c r="F51" s="107"/>
      <c r="G51" s="108"/>
      <c r="H51" s="108"/>
      <c r="I51" s="116"/>
      <c r="J51" s="116"/>
      <c r="K51" s="116"/>
      <c r="L51" s="116"/>
      <c r="M51" s="197">
        <f>'Parameters, country spec'!E28</f>
        <v>9.4320640710051112E-2</v>
      </c>
    </row>
    <row r="52" spans="1:13" x14ac:dyDescent="0.35">
      <c r="A52" s="83"/>
      <c r="B52" s="17" t="s">
        <v>348</v>
      </c>
      <c r="C52" s="84" t="s">
        <v>349</v>
      </c>
      <c r="D52" s="23" t="s">
        <v>87</v>
      </c>
      <c r="E52" s="23" t="s">
        <v>88</v>
      </c>
      <c r="F52" s="109">
        <f t="shared" ref="F52:L52" si="3">AVERAGE(F42:F50)</f>
        <v>2.4410903004363735</v>
      </c>
      <c r="G52" s="109">
        <f t="shared" si="3"/>
        <v>2.4013036620997755E-2</v>
      </c>
      <c r="H52" s="109">
        <f t="shared" si="3"/>
        <v>3.0304741886750747E-3</v>
      </c>
      <c r="I52" s="226">
        <f>AVERAGE(I42:I50)</f>
        <v>5.5030682490732959E-4</v>
      </c>
      <c r="J52" s="226">
        <f t="shared" si="3"/>
        <v>6.1432800585914431E-2</v>
      </c>
      <c r="K52" s="226">
        <f t="shared" si="3"/>
        <v>8.774828492070854E-11</v>
      </c>
      <c r="L52" s="226">
        <f t="shared" si="3"/>
        <v>5.7019564773361003E-4</v>
      </c>
      <c r="M52" s="197">
        <f>'Parameters, country spec'!E29</f>
        <v>7.550808198426022E-2</v>
      </c>
    </row>
    <row r="53" spans="1:13" x14ac:dyDescent="0.35">
      <c r="A53" s="195"/>
      <c r="B53" s="25" t="s">
        <v>350</v>
      </c>
      <c r="C53" s="26"/>
      <c r="D53" s="103"/>
      <c r="E53" s="103"/>
      <c r="F53" s="30">
        <f>SUMPRODUCT(F42:F52,M42:M52)</f>
        <v>3.3024368352950897</v>
      </c>
      <c r="G53" s="30">
        <f>SUMPRODUCT(G42:G52,M42:M52)</f>
        <v>1.9671808331218031E-2</v>
      </c>
      <c r="H53" s="30">
        <f>SUMPRODUCT(H42:H52,M42:M52)</f>
        <v>2.492753542152679E-3</v>
      </c>
      <c r="I53" s="30">
        <f>SUMPRODUCT(I42:I52,M42:M52)</f>
        <v>4.9087113959056278E-4</v>
      </c>
      <c r="J53" s="30">
        <f>SUMPRODUCT(J42:J52,M42:M52)</f>
        <v>5.376327866064258E-2</v>
      </c>
      <c r="K53" s="30">
        <f>SUMPRODUCT(K42:K52,M42:M52)</f>
        <v>1.1673520465944702E-10</v>
      </c>
      <c r="L53" s="30">
        <f>SUMPRODUCT(L42:L52,M42:M52)</f>
        <v>1.96451867307667E-4</v>
      </c>
      <c r="M53" s="198"/>
    </row>
    <row r="54" spans="1:13" x14ac:dyDescent="0.35">
      <c r="A54" s="22" t="s">
        <v>336</v>
      </c>
      <c r="B54" s="17" t="s">
        <v>218</v>
      </c>
      <c r="C54" s="17" t="s">
        <v>337</v>
      </c>
      <c r="D54" s="23" t="s">
        <v>89</v>
      </c>
      <c r="E54" s="23" t="s">
        <v>90</v>
      </c>
      <c r="F54" s="24">
        <v>2.1815008726003491</v>
      </c>
      <c r="G54" s="39">
        <v>2.0506108202443279E-2</v>
      </c>
      <c r="H54" s="39">
        <v>3.0541012216404886E-3</v>
      </c>
      <c r="I54" s="28">
        <v>0</v>
      </c>
      <c r="J54" s="28">
        <v>1.1343804537521816E-7</v>
      </c>
      <c r="K54" s="28">
        <v>9.332913409296623E-16</v>
      </c>
      <c r="L54" s="28">
        <v>5.2359749444649394E-4</v>
      </c>
      <c r="M54" s="197">
        <f>'Parameters, country spec'!F19</f>
        <v>0.35769369893493091</v>
      </c>
    </row>
    <row r="55" spans="1:13" x14ac:dyDescent="0.35">
      <c r="A55" s="22" t="s">
        <v>338</v>
      </c>
      <c r="B55" s="17" t="s">
        <v>222</v>
      </c>
      <c r="C55" s="17" t="s">
        <v>337</v>
      </c>
      <c r="D55" s="23" t="s">
        <v>89</v>
      </c>
      <c r="E55" s="23" t="s">
        <v>90</v>
      </c>
      <c r="F55" s="21">
        <v>5.0505050505050502</v>
      </c>
      <c r="G55" s="39">
        <v>1.3131313131313131E-2</v>
      </c>
      <c r="H55" s="39">
        <v>2.0202020202020202E-3</v>
      </c>
      <c r="I55" s="28">
        <v>0</v>
      </c>
      <c r="J55" s="28">
        <v>3.0808080808080806E-7</v>
      </c>
      <c r="K55" s="28">
        <v>2.1607108620310969E-15</v>
      </c>
      <c r="L55" s="28">
        <v>2.5791649629730588E-5</v>
      </c>
      <c r="M55" s="197">
        <f>'Parameters, country spec'!F20</f>
        <v>0.19740565028979015</v>
      </c>
    </row>
    <row r="56" spans="1:13" x14ac:dyDescent="0.35">
      <c r="A56" s="22" t="s">
        <v>339</v>
      </c>
      <c r="B56" s="17" t="s">
        <v>226</v>
      </c>
      <c r="C56" s="17" t="s">
        <v>337</v>
      </c>
      <c r="D56" s="23" t="s">
        <v>89</v>
      </c>
      <c r="E56" s="23" t="s">
        <v>90</v>
      </c>
      <c r="F56" s="21">
        <v>1.5128936360129202</v>
      </c>
      <c r="G56" s="39">
        <v>1.9970195995370546E-2</v>
      </c>
      <c r="H56" s="39">
        <v>5.5977064532478039E-3</v>
      </c>
      <c r="I56" s="28">
        <v>0</v>
      </c>
      <c r="J56" s="28">
        <v>1.6641829996142119E-8</v>
      </c>
      <c r="K56" s="28">
        <v>6.4724729106130576E-16</v>
      </c>
      <c r="L56" s="28">
        <v>5.0991365516814952E-4</v>
      </c>
      <c r="M56" s="197">
        <f>'Parameters, country spec'!F21</f>
        <v>1.3836768791199148E-3</v>
      </c>
    </row>
    <row r="57" spans="1:13" x14ac:dyDescent="0.35">
      <c r="A57" s="22" t="s">
        <v>340</v>
      </c>
      <c r="B57" s="17" t="s">
        <v>227</v>
      </c>
      <c r="C57" s="17" t="s">
        <v>337</v>
      </c>
      <c r="D57" s="23" t="s">
        <v>89</v>
      </c>
      <c r="E57" s="23" t="s">
        <v>90</v>
      </c>
      <c r="F57" s="21">
        <v>2.5461100530609335</v>
      </c>
      <c r="G57" s="39">
        <v>1.8077381376732628E-2</v>
      </c>
      <c r="H57" s="39">
        <v>3.8191650795914001E-3</v>
      </c>
      <c r="I57" s="28">
        <v>0</v>
      </c>
      <c r="J57" s="28">
        <v>1.1457495238774201E-7</v>
      </c>
      <c r="K57" s="28">
        <v>1.0892787142199158E-15</v>
      </c>
      <c r="L57" s="28">
        <v>4.6158303182478765E-4</v>
      </c>
      <c r="M57" s="197">
        <f>'Parameters, country spec'!F22</f>
        <v>0</v>
      </c>
    </row>
    <row r="58" spans="1:13" x14ac:dyDescent="0.35">
      <c r="A58" s="22" t="s">
        <v>341</v>
      </c>
      <c r="B58" s="17" t="s">
        <v>228</v>
      </c>
      <c r="C58" s="17" t="s">
        <v>337</v>
      </c>
      <c r="D58" s="23" t="s">
        <v>89</v>
      </c>
      <c r="E58" s="23" t="s">
        <v>90</v>
      </c>
      <c r="F58" s="21">
        <v>3.3757097429734602</v>
      </c>
      <c r="G58" s="39">
        <v>2.1266971380732799E-2</v>
      </c>
      <c r="H58" s="39">
        <v>1.6878548714867299E-3</v>
      </c>
      <c r="I58" s="28">
        <v>0</v>
      </c>
      <c r="J58" s="28">
        <v>1.9579116509246066E-7</v>
      </c>
      <c r="K58" s="28">
        <v>1.4441986763239777E-15</v>
      </c>
      <c r="L58" s="28">
        <v>0</v>
      </c>
      <c r="M58" s="197">
        <f>'Parameters, country spec'!F23</f>
        <v>0.1474878287151572</v>
      </c>
    </row>
    <row r="59" spans="1:13" x14ac:dyDescent="0.35">
      <c r="A59" s="22" t="s">
        <v>342</v>
      </c>
      <c r="B59" s="17" t="s">
        <v>229</v>
      </c>
      <c r="C59" s="17" t="s">
        <v>343</v>
      </c>
      <c r="D59" s="23" t="s">
        <v>89</v>
      </c>
      <c r="E59" s="23" t="s">
        <v>90</v>
      </c>
      <c r="F59" s="21">
        <v>1.6760975086486631</v>
      </c>
      <c r="G59" s="39">
        <v>1.5922926332162302E-2</v>
      </c>
      <c r="H59" s="39">
        <v>1.1732682560540643E-3</v>
      </c>
      <c r="I59" s="28">
        <v>0</v>
      </c>
      <c r="J59" s="28">
        <v>1.5755316581297433E-7</v>
      </c>
      <c r="K59" s="28">
        <v>7.1706929436656458E-16</v>
      </c>
      <c r="L59" s="28">
        <v>4.0657175166874981E-4</v>
      </c>
      <c r="M59" s="197">
        <f>'Parameters, country spec'!F24</f>
        <v>6.7657806685813464E-4</v>
      </c>
    </row>
    <row r="60" spans="1:13" x14ac:dyDescent="0.35">
      <c r="A60" s="22" t="s">
        <v>344</v>
      </c>
      <c r="B60" s="17" t="s">
        <v>230</v>
      </c>
      <c r="C60" s="17" t="s">
        <v>343</v>
      </c>
      <c r="D60" s="23" t="s">
        <v>89</v>
      </c>
      <c r="E60" s="23" t="s">
        <v>90</v>
      </c>
      <c r="F60" s="21">
        <v>1.5363343063450607</v>
      </c>
      <c r="G60" s="39">
        <v>2.350591488707943E-2</v>
      </c>
      <c r="H60" s="39">
        <v>2.150868028883085E-3</v>
      </c>
      <c r="I60" s="28">
        <v>0</v>
      </c>
      <c r="J60" s="28">
        <v>1.1368873866953449E-7</v>
      </c>
      <c r="K60" s="28">
        <v>6.5727569623929515E-16</v>
      </c>
      <c r="L60" s="28">
        <v>6.0019375778388269E-4</v>
      </c>
      <c r="M60" s="197">
        <f>'Parameters, country spec'!F25</f>
        <v>6.6462262074886422E-4</v>
      </c>
    </row>
    <row r="61" spans="1:13" x14ac:dyDescent="0.35">
      <c r="B61" s="18" t="s">
        <v>231</v>
      </c>
      <c r="C61" s="17" t="s">
        <v>345</v>
      </c>
      <c r="D61" s="23" t="str">
        <f>'Off-farm feed'!$D$88</f>
        <v>France, Germany, Poland</v>
      </c>
      <c r="E61" s="23" t="s">
        <v>82</v>
      </c>
      <c r="F61" s="19">
        <f>'Off-farm feed'!$F$88</f>
        <v>1.5397450382845088</v>
      </c>
      <c r="G61" s="20">
        <f>'Off-farm feed'!$G$88</f>
        <v>4.1115595157230206E-2</v>
      </c>
      <c r="H61" s="20">
        <f>'Off-farm feed'!$H$88</f>
        <v>4.4751668198345796E-3</v>
      </c>
      <c r="I61" s="19">
        <f>'Off-farm feed'!$I$88</f>
        <v>2.5747126436781614E-3</v>
      </c>
      <c r="J61" s="19">
        <f>'Off-farm feed'!$J$88</f>
        <v>0.29368572248181501</v>
      </c>
      <c r="K61" s="29">
        <f>'Off-farm feed'!$K$88</f>
        <v>1.777473414827503E-10</v>
      </c>
      <c r="L61" s="29">
        <f>'Off-farm feed'!$L$88</f>
        <v>2.4996062723023757E-3</v>
      </c>
      <c r="M61" s="197">
        <f>'Parameters, country spec'!F26</f>
        <v>5.1835466534919956E-3</v>
      </c>
    </row>
    <row r="62" spans="1:13" x14ac:dyDescent="0.35">
      <c r="B62" s="18" t="s">
        <v>346</v>
      </c>
      <c r="C62" s="17" t="s">
        <v>345</v>
      </c>
      <c r="D62" s="23" t="str">
        <f>'Off-farm feed'!$D$36</f>
        <v>Brazil, Argentina</v>
      </c>
      <c r="E62" s="23" t="s">
        <v>82</v>
      </c>
      <c r="F62" s="19">
        <f>'Off-farm feed'!$F$36</f>
        <v>2.5509164954964132</v>
      </c>
      <c r="G62" s="20">
        <f>'Off-farm feed'!$G$36</f>
        <v>4.2620923125915477E-2</v>
      </c>
      <c r="H62" s="20">
        <f>'Off-farm feed'!$H$36</f>
        <v>3.2959349471355036E-3</v>
      </c>
      <c r="I62" s="19">
        <f>'Off-farm feed'!$I$36</f>
        <v>2.3780487804878048E-3</v>
      </c>
      <c r="J62" s="19">
        <f>'Off-farm feed'!$J$36</f>
        <v>0.25920846302270939</v>
      </c>
      <c r="K62" s="29">
        <f>'Off-farm feed'!$K$36</f>
        <v>6.1197957373175144E-10</v>
      </c>
      <c r="L62" s="29">
        <f>'Off-farm feed'!$L$36</f>
        <v>1.0450321677831981E-4</v>
      </c>
      <c r="M62" s="197">
        <f>'Parameters, country spec'!F27</f>
        <v>0.18330244218102648</v>
      </c>
    </row>
    <row r="63" spans="1:13" x14ac:dyDescent="0.35">
      <c r="B63" s="17" t="s">
        <v>233</v>
      </c>
      <c r="C63" s="17" t="s">
        <v>347</v>
      </c>
      <c r="D63" s="23" t="s">
        <v>89</v>
      </c>
      <c r="E63" s="23" t="s">
        <v>90</v>
      </c>
      <c r="F63" s="107"/>
      <c r="G63" s="108"/>
      <c r="H63" s="108"/>
      <c r="I63" s="116"/>
      <c r="J63" s="116"/>
      <c r="K63" s="116"/>
      <c r="L63" s="116"/>
      <c r="M63" s="197">
        <f>'Parameters, country spec'!F28</f>
        <v>3.9284247584971399E-2</v>
      </c>
    </row>
    <row r="64" spans="1:13" x14ac:dyDescent="0.35">
      <c r="A64" s="83"/>
      <c r="B64" s="17" t="s">
        <v>348</v>
      </c>
      <c r="C64" s="84" t="s">
        <v>349</v>
      </c>
      <c r="D64" s="23" t="s">
        <v>89</v>
      </c>
      <c r="E64" s="23" t="s">
        <v>90</v>
      </c>
      <c r="F64" s="109">
        <f t="shared" ref="F64:L64" si="4">AVERAGE(F54:F62)</f>
        <v>2.4410903004363735</v>
      </c>
      <c r="G64" s="109">
        <f t="shared" si="4"/>
        <v>2.4013036620997755E-2</v>
      </c>
      <c r="H64" s="109">
        <f t="shared" si="4"/>
        <v>3.0304741886750747E-3</v>
      </c>
      <c r="I64" s="226">
        <f>AVERAGE(I54:I62)</f>
        <v>5.5030682490732959E-4</v>
      </c>
      <c r="J64" s="226">
        <f t="shared" si="4"/>
        <v>6.1432800585914431E-2</v>
      </c>
      <c r="K64" s="226">
        <f t="shared" si="4"/>
        <v>8.774828492070854E-11</v>
      </c>
      <c r="L64" s="226">
        <f t="shared" si="4"/>
        <v>5.7019564773361003E-4</v>
      </c>
      <c r="M64" s="197">
        <f>'Parameters, country spec'!F29</f>
        <v>6.6917708073904958E-2</v>
      </c>
    </row>
    <row r="65" spans="1:13" x14ac:dyDescent="0.35">
      <c r="A65" s="195"/>
      <c r="B65" s="25" t="s">
        <v>350</v>
      </c>
      <c r="C65" s="26"/>
      <c r="D65" s="103"/>
      <c r="E65" s="103"/>
      <c r="F65" s="30">
        <f>SUMPRODUCT(F54:F64,M54:M64)</f>
        <v>2.9183546315622197</v>
      </c>
      <c r="G65" s="30">
        <f>SUMPRODUCT(G54:G64,M54:M64)</f>
        <v>2.2750289775017047E-2</v>
      </c>
      <c r="H65" s="30">
        <f>SUMPRODUCT(H54:H64,M54:M64)</f>
        <v>2.5802813948529362E-3</v>
      </c>
      <c r="I65" s="30">
        <f>SUMPRODUCT(I54:I64,M54:M64)</f>
        <v>4.8607356365709404E-4</v>
      </c>
      <c r="J65" s="30">
        <f>SUMPRODUCT(J54:J64,M54:M64)</f>
        <v>5.3146950640736733E-2</v>
      </c>
      <c r="K65" s="30">
        <f>SUMPRODUCT(K54:K64,M54:M64)</f>
        <v>1.1897160136961991E-10</v>
      </c>
      <c r="L65" s="30">
        <f>SUMPRODUCT(L54:L64,M54:M64)</f>
        <v>2.6402718400100271E-4</v>
      </c>
      <c r="M65" s="198"/>
    </row>
    <row r="66" spans="1:13" x14ac:dyDescent="0.35">
      <c r="A66" s="22" t="s">
        <v>336</v>
      </c>
      <c r="B66" s="17" t="s">
        <v>218</v>
      </c>
      <c r="C66" s="17" t="s">
        <v>337</v>
      </c>
      <c r="D66" s="23" t="s">
        <v>170</v>
      </c>
      <c r="E66" s="23" t="s">
        <v>92</v>
      </c>
      <c r="F66" s="24">
        <v>2.1815008726003491</v>
      </c>
      <c r="G66" s="39">
        <v>2.0506108202443279E-2</v>
      </c>
      <c r="H66" s="39">
        <v>3.0541012216404886E-3</v>
      </c>
      <c r="I66" s="28">
        <v>0</v>
      </c>
      <c r="J66" s="28">
        <v>1.1343804537521816E-7</v>
      </c>
      <c r="K66" s="28">
        <v>9.332913409296623E-16</v>
      </c>
      <c r="L66" s="28">
        <v>5.2359749444649394E-4</v>
      </c>
      <c r="M66" s="197">
        <f>'Parameters, country spec'!G19</f>
        <v>0.15495238626757527</v>
      </c>
    </row>
    <row r="67" spans="1:13" x14ac:dyDescent="0.35">
      <c r="A67" s="22" t="s">
        <v>338</v>
      </c>
      <c r="B67" s="17" t="s">
        <v>222</v>
      </c>
      <c r="C67" s="17" t="s">
        <v>337</v>
      </c>
      <c r="D67" s="23" t="s">
        <v>170</v>
      </c>
      <c r="E67" s="23" t="s">
        <v>92</v>
      </c>
      <c r="F67" s="21">
        <v>5.0505050505050502</v>
      </c>
      <c r="G67" s="39">
        <v>1.3131313131313131E-2</v>
      </c>
      <c r="H67" s="39">
        <v>2.0202020202020202E-3</v>
      </c>
      <c r="I67" s="28">
        <v>0</v>
      </c>
      <c r="J67" s="28">
        <v>3.0808080808080806E-7</v>
      </c>
      <c r="K67" s="28">
        <v>2.1607108620310969E-15</v>
      </c>
      <c r="L67" s="28">
        <v>2.5791649629730588E-5</v>
      </c>
      <c r="M67" s="197">
        <f>'Parameters, country spec'!G20</f>
        <v>0.12121400591694578</v>
      </c>
    </row>
    <row r="68" spans="1:13" x14ac:dyDescent="0.35">
      <c r="A68" s="22" t="s">
        <v>339</v>
      </c>
      <c r="B68" s="17" t="s">
        <v>226</v>
      </c>
      <c r="C68" s="17" t="s">
        <v>337</v>
      </c>
      <c r="D68" s="23" t="s">
        <v>170</v>
      </c>
      <c r="E68" s="23" t="s">
        <v>92</v>
      </c>
      <c r="F68" s="21">
        <v>1.5128936360129202</v>
      </c>
      <c r="G68" s="39">
        <v>1.9970195995370546E-2</v>
      </c>
      <c r="H68" s="39">
        <v>5.5977064532478039E-3</v>
      </c>
      <c r="I68" s="28">
        <v>0</v>
      </c>
      <c r="J68" s="28">
        <v>1.6641829996142119E-8</v>
      </c>
      <c r="K68" s="28">
        <v>6.4724729106130576E-16</v>
      </c>
      <c r="L68" s="28">
        <v>5.0991365516814952E-4</v>
      </c>
      <c r="M68" s="197">
        <f>'Parameters, country spec'!G21</f>
        <v>5.0556019414445971E-2</v>
      </c>
    </row>
    <row r="69" spans="1:13" x14ac:dyDescent="0.35">
      <c r="A69" s="22" t="s">
        <v>340</v>
      </c>
      <c r="B69" s="17" t="s">
        <v>227</v>
      </c>
      <c r="C69" s="17" t="s">
        <v>337</v>
      </c>
      <c r="D69" s="23" t="s">
        <v>170</v>
      </c>
      <c r="E69" s="23" t="s">
        <v>92</v>
      </c>
      <c r="F69" s="21">
        <v>2.5461100530609335</v>
      </c>
      <c r="G69" s="39">
        <v>1.8077381376732628E-2</v>
      </c>
      <c r="H69" s="39">
        <v>3.8191650795914001E-3</v>
      </c>
      <c r="I69" s="28">
        <v>0</v>
      </c>
      <c r="J69" s="28">
        <v>1.1457495238774201E-7</v>
      </c>
      <c r="K69" s="28">
        <v>1.0892787142199158E-15</v>
      </c>
      <c r="L69" s="28">
        <v>4.6158303182478765E-4</v>
      </c>
      <c r="M69" s="197">
        <f>'Parameters, country spec'!G22</f>
        <v>0</v>
      </c>
    </row>
    <row r="70" spans="1:13" x14ac:dyDescent="0.35">
      <c r="A70" s="22" t="s">
        <v>341</v>
      </c>
      <c r="B70" s="17" t="s">
        <v>228</v>
      </c>
      <c r="C70" s="17" t="s">
        <v>337</v>
      </c>
      <c r="D70" s="23" t="s">
        <v>170</v>
      </c>
      <c r="E70" s="23" t="s">
        <v>92</v>
      </c>
      <c r="F70" s="21">
        <v>3.3757097429734602</v>
      </c>
      <c r="G70" s="39">
        <v>2.1266971380732799E-2</v>
      </c>
      <c r="H70" s="39">
        <v>1.6878548714867299E-3</v>
      </c>
      <c r="I70" s="28">
        <v>0</v>
      </c>
      <c r="J70" s="28">
        <v>1.9579116509246066E-7</v>
      </c>
      <c r="K70" s="28">
        <v>1.4441986763239777E-15</v>
      </c>
      <c r="L70" s="28">
        <v>0</v>
      </c>
      <c r="M70" s="197">
        <f>'Parameters, country spec'!G23</f>
        <v>0.40254480100475204</v>
      </c>
    </row>
    <row r="71" spans="1:13" x14ac:dyDescent="0.35">
      <c r="A71" s="22" t="s">
        <v>342</v>
      </c>
      <c r="B71" s="17" t="s">
        <v>229</v>
      </c>
      <c r="C71" s="17" t="s">
        <v>343</v>
      </c>
      <c r="D71" s="23" t="s">
        <v>170</v>
      </c>
      <c r="E71" s="23" t="s">
        <v>92</v>
      </c>
      <c r="F71" s="21">
        <v>1.6760975086486631</v>
      </c>
      <c r="G71" s="39">
        <v>1.5922926332162302E-2</v>
      </c>
      <c r="H71" s="39">
        <v>1.1732682560540643E-3</v>
      </c>
      <c r="I71" s="28">
        <v>0</v>
      </c>
      <c r="J71" s="28">
        <v>1.5755316581297433E-7</v>
      </c>
      <c r="K71" s="28">
        <v>7.1706929436656458E-16</v>
      </c>
      <c r="L71" s="28">
        <v>4.0657175166874981E-4</v>
      </c>
      <c r="M71" s="197">
        <f>'Parameters, country spec'!G24</f>
        <v>1.3122007250283157E-3</v>
      </c>
    </row>
    <row r="72" spans="1:13" x14ac:dyDescent="0.35">
      <c r="A72" s="22" t="s">
        <v>344</v>
      </c>
      <c r="B72" s="17" t="s">
        <v>230</v>
      </c>
      <c r="C72" s="17" t="s">
        <v>343</v>
      </c>
      <c r="D72" s="23" t="s">
        <v>170</v>
      </c>
      <c r="E72" s="23" t="s">
        <v>92</v>
      </c>
      <c r="F72" s="21">
        <v>1.5363343063450607</v>
      </c>
      <c r="G72" s="39">
        <v>2.350591488707943E-2</v>
      </c>
      <c r="H72" s="39">
        <v>2.150868028883085E-3</v>
      </c>
      <c r="I72" s="28">
        <v>0</v>
      </c>
      <c r="J72" s="28">
        <v>1.1368873866953449E-7</v>
      </c>
      <c r="K72" s="28">
        <v>6.5727569623929515E-16</v>
      </c>
      <c r="L72" s="28">
        <v>6.0019375778388269E-4</v>
      </c>
      <c r="M72" s="197">
        <f>'Parameters, country spec'!G25</f>
        <v>1.2890135329516415E-3</v>
      </c>
    </row>
    <row r="73" spans="1:13" x14ac:dyDescent="0.35">
      <c r="B73" s="18" t="s">
        <v>231</v>
      </c>
      <c r="C73" s="17" t="s">
        <v>345</v>
      </c>
      <c r="D73" s="23" t="str">
        <f>'Off-farm feed'!$D$88</f>
        <v>France, Germany, Poland</v>
      </c>
      <c r="E73" s="23" t="s">
        <v>82</v>
      </c>
      <c r="F73" s="19">
        <f>'Off-farm feed'!$F$88</f>
        <v>1.5397450382845088</v>
      </c>
      <c r="G73" s="20">
        <f>'Off-farm feed'!$G$88</f>
        <v>4.1115595157230206E-2</v>
      </c>
      <c r="H73" s="20">
        <f>'Off-farm feed'!$H$88</f>
        <v>4.4751668198345796E-3</v>
      </c>
      <c r="I73" s="19">
        <f>'Off-farm feed'!$I$88</f>
        <v>2.5747126436781614E-3</v>
      </c>
      <c r="J73" s="19">
        <f>'Off-farm feed'!$J$88</f>
        <v>0.29368572248181501</v>
      </c>
      <c r="K73" s="29">
        <f>'Off-farm feed'!$K$88</f>
        <v>1.777473414827503E-10</v>
      </c>
      <c r="L73" s="29">
        <f>'Off-farm feed'!$L$88</f>
        <v>2.4996062723023757E-3</v>
      </c>
      <c r="M73" s="197">
        <f>'Parameters, country spec'!G26</f>
        <v>5.5807970406811222E-2</v>
      </c>
    </row>
    <row r="74" spans="1:13" x14ac:dyDescent="0.35">
      <c r="B74" s="18" t="s">
        <v>346</v>
      </c>
      <c r="C74" s="17" t="s">
        <v>345</v>
      </c>
      <c r="D74" s="23" t="str">
        <f>'Off-farm feed'!$D$36</f>
        <v>Brazil, Argentina</v>
      </c>
      <c r="E74" s="23" t="s">
        <v>82</v>
      </c>
      <c r="F74" s="19">
        <f>'Off-farm feed'!$F$36</f>
        <v>2.5509164954964132</v>
      </c>
      <c r="G74" s="20">
        <f>'Off-farm feed'!$G$36</f>
        <v>4.2620923125915477E-2</v>
      </c>
      <c r="H74" s="20">
        <f>'Off-farm feed'!$H$36</f>
        <v>3.2959349471355036E-3</v>
      </c>
      <c r="I74" s="19">
        <f>'Off-farm feed'!$I$36</f>
        <v>2.3780487804878048E-3</v>
      </c>
      <c r="J74" s="19">
        <f>'Off-farm feed'!$J$36</f>
        <v>0.25920846302270939</v>
      </c>
      <c r="K74" s="29">
        <f>'Off-farm feed'!$K$36</f>
        <v>6.1197957373175144E-10</v>
      </c>
      <c r="L74" s="29">
        <f>'Off-farm feed'!$L$36</f>
        <v>1.0450321677831981E-4</v>
      </c>
      <c r="M74" s="197">
        <f>'Parameters, country spec'!G27</f>
        <v>9.2843535472153071E-2</v>
      </c>
    </row>
    <row r="75" spans="1:13" x14ac:dyDescent="0.35">
      <c r="B75" s="17" t="s">
        <v>233</v>
      </c>
      <c r="C75" s="17" t="s">
        <v>347</v>
      </c>
      <c r="D75" s="23" t="s">
        <v>170</v>
      </c>
      <c r="E75" s="23" t="s">
        <v>92</v>
      </c>
      <c r="F75" s="107"/>
      <c r="G75" s="108"/>
      <c r="H75" s="108"/>
      <c r="I75" s="116"/>
      <c r="J75" s="116"/>
      <c r="K75" s="116"/>
      <c r="L75" s="116"/>
      <c r="M75" s="197">
        <f>'Parameters, country spec'!G28</f>
        <v>8.2453001528588601E-2</v>
      </c>
    </row>
    <row r="76" spans="1:13" x14ac:dyDescent="0.35">
      <c r="A76" s="83"/>
      <c r="B76" s="17" t="s">
        <v>348</v>
      </c>
      <c r="C76" s="84" t="s">
        <v>349</v>
      </c>
      <c r="D76" s="23" t="s">
        <v>170</v>
      </c>
      <c r="E76" s="23" t="s">
        <v>92</v>
      </c>
      <c r="F76" s="109">
        <f t="shared" ref="F76:L76" si="5">AVERAGE(F66:F74)</f>
        <v>2.4410903004363735</v>
      </c>
      <c r="G76" s="109">
        <f t="shared" si="5"/>
        <v>2.4013036620997755E-2</v>
      </c>
      <c r="H76" s="109">
        <f t="shared" si="5"/>
        <v>3.0304741886750747E-3</v>
      </c>
      <c r="I76" s="226">
        <f>AVERAGE(I66:I74)</f>
        <v>5.5030682490732959E-4</v>
      </c>
      <c r="J76" s="226">
        <f t="shared" si="5"/>
        <v>6.1432800585914431E-2</v>
      </c>
      <c r="K76" s="226">
        <f t="shared" si="5"/>
        <v>8.774828492070854E-11</v>
      </c>
      <c r="L76" s="226">
        <f t="shared" si="5"/>
        <v>5.7019564773361003E-4</v>
      </c>
      <c r="M76" s="197">
        <f>'Parameters, country spec'!G29</f>
        <v>3.702706573074812E-2</v>
      </c>
    </row>
    <row r="77" spans="1:13" x14ac:dyDescent="0.35">
      <c r="A77" s="195"/>
      <c r="B77" s="25" t="s">
        <v>350</v>
      </c>
      <c r="C77" s="26"/>
      <c r="D77" s="103"/>
      <c r="E77" s="103"/>
      <c r="F77" s="30">
        <f>SUMPRODUCT(F66:F76,M66:M76)</f>
        <v>2.8029132964527914</v>
      </c>
      <c r="G77" s="30">
        <f>SUMPRODUCT(G66:G76,M66:M76)</f>
        <v>2.153167275463104E-2</v>
      </c>
      <c r="H77" s="30">
        <f>SUMPRODUCT(H66:H76,M66:M76)</f>
        <v>2.3528298703780304E-3</v>
      </c>
      <c r="I77" s="30">
        <f>SUMPRODUCT(I66:I76,M66:M76)</f>
        <v>3.8485219030808638E-4</v>
      </c>
      <c r="J77" s="30">
        <f>SUMPRODUCT(J66:J76,M66:M76)</f>
        <v>4.2730645516370583E-2</v>
      </c>
      <c r="K77" s="30">
        <f>SUMPRODUCT(K66:K76,M66:M76)</f>
        <v>6.9988149538106237E-11</v>
      </c>
      <c r="L77" s="30">
        <f>SUMPRODUCT(L66:L76,M66:M76)</f>
        <v>2.8165842936815963E-4</v>
      </c>
      <c r="M77" s="198"/>
    </row>
    <row r="78" spans="1:13" x14ac:dyDescent="0.35">
      <c r="A78" s="22" t="s">
        <v>336</v>
      </c>
      <c r="B78" s="17" t="s">
        <v>218</v>
      </c>
      <c r="C78" s="17" t="s">
        <v>337</v>
      </c>
      <c r="D78" s="23" t="s">
        <v>29</v>
      </c>
      <c r="E78" s="23" t="s">
        <v>93</v>
      </c>
      <c r="F78" s="24">
        <v>1.76</v>
      </c>
      <c r="G78" s="39">
        <v>2.1000000000000001E-2</v>
      </c>
      <c r="H78" s="39">
        <v>3.0999999999999999E-3</v>
      </c>
      <c r="I78" s="28">
        <v>1.7851047046833199E-4</v>
      </c>
      <c r="J78" s="28">
        <v>0.36</v>
      </c>
      <c r="K78" s="28">
        <v>7.8800000000000002E-11</v>
      </c>
      <c r="L78" s="28">
        <v>1.25E-3</v>
      </c>
      <c r="M78" s="197">
        <f>'Parameters, country spec'!H19</f>
        <v>0.3247662162385499</v>
      </c>
    </row>
    <row r="79" spans="1:13" x14ac:dyDescent="0.35">
      <c r="A79" s="22" t="s">
        <v>338</v>
      </c>
      <c r="B79" s="17" t="s">
        <v>222</v>
      </c>
      <c r="C79" s="17" t="s">
        <v>337</v>
      </c>
      <c r="D79" s="23" t="s">
        <v>29</v>
      </c>
      <c r="E79" s="23" t="s">
        <v>93</v>
      </c>
      <c r="F79" s="21">
        <v>1.46</v>
      </c>
      <c r="G79" s="39">
        <v>0.02</v>
      </c>
      <c r="H79" s="39">
        <v>5.5999999999999999E-3</v>
      </c>
      <c r="I79" s="28">
        <v>0</v>
      </c>
      <c r="J79" s="28">
        <v>0.02</v>
      </c>
      <c r="K79" s="28">
        <v>6.5799999999999995E-11</v>
      </c>
      <c r="L79" s="28">
        <v>1.2099999999999999E-3</v>
      </c>
      <c r="M79" s="197">
        <f>'Parameters, country spec'!H20</f>
        <v>1.9544149435115246E-2</v>
      </c>
    </row>
    <row r="80" spans="1:13" x14ac:dyDescent="0.35">
      <c r="A80" s="22" t="s">
        <v>339</v>
      </c>
      <c r="B80" s="17" t="s">
        <v>226</v>
      </c>
      <c r="C80" s="17" t="s">
        <v>337</v>
      </c>
      <c r="D80" s="23" t="s">
        <v>29</v>
      </c>
      <c r="E80" s="23" t="s">
        <v>93</v>
      </c>
      <c r="F80" s="21">
        <v>2.0499999999999998</v>
      </c>
      <c r="G80" s="39">
        <v>1.7999999999999999E-2</v>
      </c>
      <c r="H80" s="39">
        <v>3.8E-3</v>
      </c>
      <c r="I80" s="28">
        <v>6.6160105698511999E-5</v>
      </c>
      <c r="J80" s="28">
        <v>0.11</v>
      </c>
      <c r="K80" s="28">
        <v>9.2000000000000005E-11</v>
      </c>
      <c r="L80" s="28">
        <v>1.1000000000000001E-3</v>
      </c>
      <c r="M80" s="197">
        <f>'Parameters, country spec'!H21</f>
        <v>5.4547926099966608E-3</v>
      </c>
    </row>
    <row r="81" spans="1:13" x14ac:dyDescent="0.35">
      <c r="A81" s="22" t="s">
        <v>340</v>
      </c>
      <c r="B81" s="17" t="s">
        <v>227</v>
      </c>
      <c r="C81" s="17" t="s">
        <v>337</v>
      </c>
      <c r="D81" s="23" t="s">
        <v>29</v>
      </c>
      <c r="E81" s="23" t="s">
        <v>93</v>
      </c>
      <c r="F81" s="21">
        <v>1.67</v>
      </c>
      <c r="G81" s="39">
        <v>1.6E-2</v>
      </c>
      <c r="H81" s="39">
        <v>1.1999999999999999E-3</v>
      </c>
      <c r="I81" s="28">
        <v>1.1771521062653201E-5</v>
      </c>
      <c r="J81" s="28">
        <v>0.16</v>
      </c>
      <c r="K81" s="28">
        <v>7.5E-11</v>
      </c>
      <c r="L81" s="28">
        <v>9.68E-4</v>
      </c>
      <c r="M81" s="197">
        <f>'Parameters, country spec'!H22</f>
        <v>3.9573904033440906E-3</v>
      </c>
    </row>
    <row r="82" spans="1:13" x14ac:dyDescent="0.35">
      <c r="A82" s="22" t="s">
        <v>341</v>
      </c>
      <c r="B82" s="17" t="s">
        <v>228</v>
      </c>
      <c r="C82" s="17" t="s">
        <v>337</v>
      </c>
      <c r="D82" s="23" t="s">
        <v>29</v>
      </c>
      <c r="E82" s="23" t="s">
        <v>93</v>
      </c>
      <c r="F82" s="21">
        <v>1.31</v>
      </c>
      <c r="G82" s="39">
        <v>2.4E-2</v>
      </c>
      <c r="H82" s="39">
        <v>2.2000000000000001E-3</v>
      </c>
      <c r="I82" s="28">
        <v>6.3497346233092004E-3</v>
      </c>
      <c r="J82" s="28">
        <v>0.12</v>
      </c>
      <c r="K82" s="28">
        <v>5.8899999999999998E-11</v>
      </c>
      <c r="L82" s="28">
        <v>1.4300000000000001E-3</v>
      </c>
      <c r="M82" s="197">
        <f>'Parameters, country spec'!H23</f>
        <v>0.33524969269006805</v>
      </c>
    </row>
    <row r="83" spans="1:13" x14ac:dyDescent="0.35">
      <c r="A83" s="22" t="s">
        <v>342</v>
      </c>
      <c r="B83" s="17" t="s">
        <v>229</v>
      </c>
      <c r="C83" s="17" t="s">
        <v>343</v>
      </c>
      <c r="D83" s="23" t="s">
        <v>29</v>
      </c>
      <c r="E83" s="23" t="s">
        <v>93</v>
      </c>
      <c r="F83" s="21">
        <v>2.64</v>
      </c>
      <c r="G83" s="39">
        <v>1.7000000000000001E-2</v>
      </c>
      <c r="H83" s="39">
        <v>1.6999999999999999E-3</v>
      </c>
      <c r="I83" s="28">
        <v>0</v>
      </c>
      <c r="J83" s="28">
        <v>0.2</v>
      </c>
      <c r="K83" s="28">
        <v>1.1800000000000001E-10</v>
      </c>
      <c r="L83" s="28">
        <v>0</v>
      </c>
      <c r="M83" s="197">
        <f>'Parameters, country spec'!H24</f>
        <v>6.9591530195853583E-4</v>
      </c>
    </row>
    <row r="84" spans="1:13" x14ac:dyDescent="0.35">
      <c r="A84" s="22" t="s">
        <v>344</v>
      </c>
      <c r="B84" s="17" t="s">
        <v>230</v>
      </c>
      <c r="C84" s="17" t="s">
        <v>343</v>
      </c>
      <c r="D84" s="23" t="s">
        <v>29</v>
      </c>
      <c r="E84" s="23" t="s">
        <v>93</v>
      </c>
      <c r="F84" s="305">
        <v>2.81</v>
      </c>
      <c r="G84" s="306">
        <v>8.0000000000000002E-3</v>
      </c>
      <c r="H84" s="306">
        <v>2E-3</v>
      </c>
      <c r="I84" s="307">
        <v>0</v>
      </c>
      <c r="J84" s="307">
        <v>0.31</v>
      </c>
      <c r="K84" s="308">
        <v>1.26E-10</v>
      </c>
      <c r="L84" s="309">
        <v>6.1400000000000002E-5</v>
      </c>
      <c r="M84" s="197">
        <f>'Parameters, country spec'!H25</f>
        <v>6.8361815808324494E-4</v>
      </c>
    </row>
    <row r="85" spans="1:13" x14ac:dyDescent="0.35">
      <c r="B85" s="18" t="s">
        <v>231</v>
      </c>
      <c r="C85" s="17" t="s">
        <v>345</v>
      </c>
      <c r="D85" s="23" t="str">
        <f>'Off-farm feed'!$D$88</f>
        <v>France, Germany, Poland</v>
      </c>
      <c r="E85" s="23" t="s">
        <v>82</v>
      </c>
      <c r="F85" s="19">
        <f>'Off-farm feed'!$F$88</f>
        <v>1.5397450382845088</v>
      </c>
      <c r="G85" s="20">
        <f>'Off-farm feed'!$G$88</f>
        <v>4.1115595157230206E-2</v>
      </c>
      <c r="H85" s="20">
        <f>'Off-farm feed'!$H$88</f>
        <v>4.4751668198345796E-3</v>
      </c>
      <c r="I85" s="19">
        <f>'Off-farm feed'!$I$88</f>
        <v>2.5747126436781614E-3</v>
      </c>
      <c r="J85" s="19">
        <f>'Off-farm feed'!$J$88</f>
        <v>0.29368572248181501</v>
      </c>
      <c r="K85" s="29">
        <f>'Off-farm feed'!$K$88</f>
        <v>1.777473414827503E-10</v>
      </c>
      <c r="L85" s="29">
        <f>'Off-farm feed'!$L$88</f>
        <v>2.4996062723023757E-3</v>
      </c>
      <c r="M85" s="197">
        <f>'Parameters, country spec'!H26</f>
        <v>4.36899603839115E-2</v>
      </c>
    </row>
    <row r="86" spans="1:13" x14ac:dyDescent="0.35">
      <c r="B86" s="18" t="s">
        <v>346</v>
      </c>
      <c r="C86" s="17" t="s">
        <v>345</v>
      </c>
      <c r="D86" s="23" t="str">
        <f>'Off-farm feed'!$D$36</f>
        <v>Brazil, Argentina</v>
      </c>
      <c r="E86" s="23" t="s">
        <v>82</v>
      </c>
      <c r="F86" s="19">
        <f>'Off-farm feed'!$F$36</f>
        <v>2.5509164954964132</v>
      </c>
      <c r="G86" s="20">
        <f>'Off-farm feed'!$G$36</f>
        <v>4.2620923125915477E-2</v>
      </c>
      <c r="H86" s="20">
        <f>'Off-farm feed'!$H$36</f>
        <v>3.2959349471355036E-3</v>
      </c>
      <c r="I86" s="19">
        <f>'Off-farm feed'!$I$36</f>
        <v>2.3780487804878048E-3</v>
      </c>
      <c r="J86" s="19">
        <f>'Off-farm feed'!$J$36</f>
        <v>0.25920846302270939</v>
      </c>
      <c r="K86" s="29">
        <f>'Off-farm feed'!$K$36</f>
        <v>6.1197957373175144E-10</v>
      </c>
      <c r="L86" s="29">
        <f>'Off-farm feed'!$L$36</f>
        <v>1.0450321677831981E-4</v>
      </c>
      <c r="M86" s="197">
        <f>'Parameters, country spec'!H27</f>
        <v>0.1076444790964969</v>
      </c>
    </row>
    <row r="87" spans="1:13" x14ac:dyDescent="0.35">
      <c r="B87" s="17" t="s">
        <v>233</v>
      </c>
      <c r="C87" s="17" t="s">
        <v>347</v>
      </c>
      <c r="D87" s="23" t="s">
        <v>29</v>
      </c>
      <c r="E87" s="23" t="s">
        <v>93</v>
      </c>
      <c r="F87" s="107"/>
      <c r="G87" s="108"/>
      <c r="H87" s="108"/>
      <c r="I87" s="116"/>
      <c r="J87" s="116"/>
      <c r="K87" s="116"/>
      <c r="L87" s="116"/>
      <c r="M87" s="197">
        <f>'Parameters, country spec'!H28</f>
        <v>1.7669178559904096E-2</v>
      </c>
    </row>
    <row r="88" spans="1:13" x14ac:dyDescent="0.35">
      <c r="A88" s="83"/>
      <c r="B88" s="17" t="s">
        <v>348</v>
      </c>
      <c r="C88" s="84" t="s">
        <v>349</v>
      </c>
      <c r="D88" s="23" t="s">
        <v>29</v>
      </c>
      <c r="E88" s="23" t="s">
        <v>93</v>
      </c>
      <c r="F88" s="109">
        <f t="shared" ref="F88:L88" si="6">AVERAGE(F78:F86)</f>
        <v>1.9767401704201026</v>
      </c>
      <c r="G88" s="109">
        <f t="shared" si="6"/>
        <v>2.3081835364793964E-2</v>
      </c>
      <c r="H88" s="109">
        <f t="shared" si="6"/>
        <v>3.0412335296633422E-3</v>
      </c>
      <c r="I88" s="226">
        <f>AVERAGE(I78:I86)</f>
        <v>1.2843264605227405E-3</v>
      </c>
      <c r="J88" s="226">
        <f t="shared" si="6"/>
        <v>0.20365490950050272</v>
      </c>
      <c r="K88" s="226">
        <f t="shared" si="6"/>
        <v>1.560252128016113E-10</v>
      </c>
      <c r="L88" s="226">
        <f t="shared" si="6"/>
        <v>9.5816772100896597E-4</v>
      </c>
      <c r="M88" s="197">
        <f>'Parameters, country spec'!H29</f>
        <v>0.14064460712257179</v>
      </c>
    </row>
    <row r="89" spans="1:13" x14ac:dyDescent="0.35">
      <c r="A89" s="195"/>
      <c r="B89" s="25" t="s">
        <v>350</v>
      </c>
      <c r="C89" s="26"/>
      <c r="D89" s="103"/>
      <c r="E89" s="103"/>
      <c r="F89" s="30">
        <f>SUMPRODUCT(F78:F88,M78:M88)</f>
        <v>1.6807307681770558</v>
      </c>
      <c r="G89" s="30">
        <f>SUMPRODUCT(G78:G88,M78:M88)</f>
        <v>2.5066351631735567E-2</v>
      </c>
      <c r="H89" s="30">
        <f>SUMPRODUCT(H78:H88,M78:M88)</f>
        <v>2.8598413603635985E-3</v>
      </c>
      <c r="I89" s="30">
        <f>SUMPRODUCT(I78:I88,M78:M88)</f>
        <v>2.7362347314422533E-3</v>
      </c>
      <c r="J89" s="30">
        <f>SUMPRODUCT(J78:J88,M78:M88)</f>
        <v>0.22849744059373578</v>
      </c>
      <c r="K89" s="30">
        <f>SUMPRODUCT(K78:K88,M78:M88)</f>
        <v>1.4317679036126923E-10</v>
      </c>
      <c r="L89" s="30">
        <f>SUMPRODUCT(L78:L88,M78:M88)</f>
        <v>1.174104267622928E-3</v>
      </c>
      <c r="M89" s="198"/>
    </row>
    <row r="90" spans="1:13" x14ac:dyDescent="0.35">
      <c r="A90" s="22" t="s">
        <v>336</v>
      </c>
      <c r="B90" s="17" t="s">
        <v>218</v>
      </c>
      <c r="C90" s="17" t="s">
        <v>337</v>
      </c>
      <c r="D90" s="23" t="s">
        <v>171</v>
      </c>
      <c r="E90" s="23" t="s">
        <v>95</v>
      </c>
      <c r="F90" s="24">
        <v>2.1815008726003491</v>
      </c>
      <c r="G90" s="39">
        <v>2.0506108202443279E-2</v>
      </c>
      <c r="H90" s="39">
        <v>3.0541012216404886E-3</v>
      </c>
      <c r="I90" s="28">
        <v>0</v>
      </c>
      <c r="J90" s="28">
        <v>1.1343804537521816E-7</v>
      </c>
      <c r="K90" s="28">
        <v>9.332913409296623E-16</v>
      </c>
      <c r="L90" s="28">
        <v>5.2359749444649394E-4</v>
      </c>
      <c r="M90" s="197">
        <f>'Parameters, country spec'!I19</f>
        <v>4.6530307311594861E-2</v>
      </c>
    </row>
    <row r="91" spans="1:13" x14ac:dyDescent="0.35">
      <c r="A91" s="22" t="s">
        <v>338</v>
      </c>
      <c r="B91" s="17" t="s">
        <v>222</v>
      </c>
      <c r="C91" s="17" t="s">
        <v>337</v>
      </c>
      <c r="D91" s="23" t="s">
        <v>171</v>
      </c>
      <c r="E91" s="23" t="s">
        <v>95</v>
      </c>
      <c r="F91" s="21">
        <v>5.0505050505050502</v>
      </c>
      <c r="G91" s="39">
        <v>1.3131313131313131E-2</v>
      </c>
      <c r="H91" s="39">
        <v>2.0202020202020202E-3</v>
      </c>
      <c r="I91" s="28">
        <v>0</v>
      </c>
      <c r="J91" s="28">
        <v>3.0808080808080806E-7</v>
      </c>
      <c r="K91" s="28">
        <v>2.1607108620310969E-15</v>
      </c>
      <c r="L91" s="28">
        <v>2.5791649629730588E-5</v>
      </c>
      <c r="M91" s="197">
        <f>'Parameters, country spec'!I20</f>
        <v>9.558020970872997E-3</v>
      </c>
    </row>
    <row r="92" spans="1:13" x14ac:dyDescent="0.35">
      <c r="A92" s="22" t="s">
        <v>339</v>
      </c>
      <c r="B92" s="17" t="s">
        <v>226</v>
      </c>
      <c r="C92" s="17" t="s">
        <v>337</v>
      </c>
      <c r="D92" s="23" t="s">
        <v>171</v>
      </c>
      <c r="E92" s="23" t="s">
        <v>95</v>
      </c>
      <c r="F92" s="21">
        <v>1.5128936360129202</v>
      </c>
      <c r="G92" s="39">
        <v>1.9970195995370546E-2</v>
      </c>
      <c r="H92" s="39">
        <v>5.5977064532478039E-3</v>
      </c>
      <c r="I92" s="28">
        <v>0</v>
      </c>
      <c r="J92" s="28">
        <v>1.6641829996142119E-8</v>
      </c>
      <c r="K92" s="28">
        <v>6.4724729106130576E-16</v>
      </c>
      <c r="L92" s="28">
        <v>5.0991365516814952E-4</v>
      </c>
      <c r="M92" s="197">
        <f>'Parameters, country spec'!I21</f>
        <v>6.5141293607569762E-4</v>
      </c>
    </row>
    <row r="93" spans="1:13" x14ac:dyDescent="0.35">
      <c r="A93" s="22" t="s">
        <v>340</v>
      </c>
      <c r="B93" s="17" t="s">
        <v>227</v>
      </c>
      <c r="C93" s="17" t="s">
        <v>337</v>
      </c>
      <c r="D93" s="23" t="s">
        <v>171</v>
      </c>
      <c r="E93" s="23" t="s">
        <v>95</v>
      </c>
      <c r="F93" s="21">
        <v>2.5461100530609335</v>
      </c>
      <c r="G93" s="39">
        <v>1.8077381376732628E-2</v>
      </c>
      <c r="H93" s="39">
        <v>3.8191650795914001E-3</v>
      </c>
      <c r="I93" s="28">
        <v>0</v>
      </c>
      <c r="J93" s="28">
        <v>1.1457495238774201E-7</v>
      </c>
      <c r="K93" s="28">
        <v>1.0892787142199158E-15</v>
      </c>
      <c r="L93" s="28">
        <v>4.6158303182478765E-4</v>
      </c>
      <c r="M93" s="197">
        <f>'Parameters, country spec'!I22</f>
        <v>0</v>
      </c>
    </row>
    <row r="94" spans="1:13" x14ac:dyDescent="0.35">
      <c r="A94" s="22" t="s">
        <v>341</v>
      </c>
      <c r="B94" s="17" t="s">
        <v>228</v>
      </c>
      <c r="C94" s="17" t="s">
        <v>337</v>
      </c>
      <c r="D94" s="23" t="s">
        <v>171</v>
      </c>
      <c r="E94" s="23" t="s">
        <v>95</v>
      </c>
      <c r="F94" s="21">
        <v>3.3757097429734602</v>
      </c>
      <c r="G94" s="39">
        <v>2.1266971380732799E-2</v>
      </c>
      <c r="H94" s="39">
        <v>1.6878548714867299E-3</v>
      </c>
      <c r="I94" s="28">
        <v>0</v>
      </c>
      <c r="J94" s="28">
        <v>1.9579116509246066E-7</v>
      </c>
      <c r="K94" s="28">
        <v>1.4441986763239777E-15</v>
      </c>
      <c r="L94" s="28">
        <v>0</v>
      </c>
      <c r="M94" s="197">
        <f>'Parameters, country spec'!I23</f>
        <v>0.18877612897819573</v>
      </c>
    </row>
    <row r="95" spans="1:13" x14ac:dyDescent="0.35">
      <c r="A95" s="22" t="s">
        <v>342</v>
      </c>
      <c r="B95" s="17" t="s">
        <v>229</v>
      </c>
      <c r="C95" s="17" t="s">
        <v>343</v>
      </c>
      <c r="D95" s="23" t="s">
        <v>171</v>
      </c>
      <c r="E95" s="23" t="s">
        <v>95</v>
      </c>
      <c r="F95" s="21">
        <v>1.6760975086486631</v>
      </c>
      <c r="G95" s="39">
        <v>1.5922926332162302E-2</v>
      </c>
      <c r="H95" s="39">
        <v>1.1732682560540643E-3</v>
      </c>
      <c r="I95" s="28">
        <v>0</v>
      </c>
      <c r="J95" s="28">
        <v>1.5755316581297433E-7</v>
      </c>
      <c r="K95" s="28">
        <v>7.1706929436656458E-16</v>
      </c>
      <c r="L95" s="28">
        <v>4.0657175166874981E-4</v>
      </c>
      <c r="M95" s="197">
        <f>'Parameters, country spec'!I24</f>
        <v>4.0248082263826587E-3</v>
      </c>
    </row>
    <row r="96" spans="1:13" x14ac:dyDescent="0.35">
      <c r="A96" s="22" t="s">
        <v>344</v>
      </c>
      <c r="B96" s="17" t="s">
        <v>230</v>
      </c>
      <c r="C96" s="17" t="s">
        <v>343</v>
      </c>
      <c r="D96" s="23" t="s">
        <v>171</v>
      </c>
      <c r="E96" s="23" t="s">
        <v>95</v>
      </c>
      <c r="F96" s="21">
        <v>1.5363343063450607</v>
      </c>
      <c r="G96" s="39">
        <v>2.350591488707943E-2</v>
      </c>
      <c r="H96" s="39">
        <v>2.150868028883085E-3</v>
      </c>
      <c r="I96" s="28">
        <v>0</v>
      </c>
      <c r="J96" s="28">
        <v>1.1368873866953449E-7</v>
      </c>
      <c r="K96" s="28">
        <v>6.5727569623929515E-16</v>
      </c>
      <c r="L96" s="28">
        <v>6.0019375778388269E-4</v>
      </c>
      <c r="M96" s="197">
        <f>'Parameters, country spec'!I25</f>
        <v>3.9536880112219551E-3</v>
      </c>
    </row>
    <row r="97" spans="1:13" x14ac:dyDescent="0.35">
      <c r="B97" s="18" t="s">
        <v>231</v>
      </c>
      <c r="C97" s="17" t="s">
        <v>345</v>
      </c>
      <c r="D97" s="23" t="str">
        <f>'Off-farm feed'!$D$88</f>
        <v>France, Germany, Poland</v>
      </c>
      <c r="E97" s="23" t="s">
        <v>82</v>
      </c>
      <c r="F97" s="19">
        <f>'Off-farm feed'!$F$88</f>
        <v>1.5397450382845088</v>
      </c>
      <c r="G97" s="20">
        <f>'Off-farm feed'!$G$88</f>
        <v>4.1115595157230206E-2</v>
      </c>
      <c r="H97" s="20">
        <f>'Off-farm feed'!$H$88</f>
        <v>4.4751668198345796E-3</v>
      </c>
      <c r="I97" s="19">
        <f>'Off-farm feed'!$I$88</f>
        <v>2.5747126436781614E-3</v>
      </c>
      <c r="J97" s="19">
        <f>'Off-farm feed'!$J$88</f>
        <v>0.29368572248181501</v>
      </c>
      <c r="K97" s="29">
        <f>'Off-farm feed'!$K$88</f>
        <v>1.777473414827503E-10</v>
      </c>
      <c r="L97" s="29">
        <f>'Off-farm feed'!$L$88</f>
        <v>2.4996062723023757E-3</v>
      </c>
      <c r="M97" s="197">
        <f>'Parameters, country spec'!I26</f>
        <v>3.6707467213432814E-2</v>
      </c>
    </row>
    <row r="98" spans="1:13" x14ac:dyDescent="0.35">
      <c r="B98" s="18" t="s">
        <v>346</v>
      </c>
      <c r="C98" s="17" t="s">
        <v>345</v>
      </c>
      <c r="D98" s="23" t="str">
        <f>'Off-farm feed'!$D$36</f>
        <v>Brazil, Argentina</v>
      </c>
      <c r="E98" s="23" t="s">
        <v>82</v>
      </c>
      <c r="F98" s="19">
        <f>'Off-farm feed'!$F$36</f>
        <v>2.5509164954964132</v>
      </c>
      <c r="G98" s="20">
        <f>'Off-farm feed'!$G$36</f>
        <v>4.2620923125915477E-2</v>
      </c>
      <c r="H98" s="20">
        <f>'Off-farm feed'!$H$36</f>
        <v>3.2959349471355036E-3</v>
      </c>
      <c r="I98" s="19">
        <f>'Off-farm feed'!$I$36</f>
        <v>2.3780487804878048E-3</v>
      </c>
      <c r="J98" s="19">
        <f>'Off-farm feed'!$J$36</f>
        <v>0.25920846302270939</v>
      </c>
      <c r="K98" s="29">
        <f>'Off-farm feed'!$K$36</f>
        <v>6.1197957373175144E-10</v>
      </c>
      <c r="L98" s="29">
        <f>'Off-farm feed'!$L$36</f>
        <v>1.0450321677831981E-4</v>
      </c>
      <c r="M98" s="197">
        <f>'Parameters, country spec'!I27</f>
        <v>1.9178220823815973E-2</v>
      </c>
    </row>
    <row r="99" spans="1:13" x14ac:dyDescent="0.35">
      <c r="B99" s="17" t="s">
        <v>233</v>
      </c>
      <c r="C99" s="17" t="s">
        <v>347</v>
      </c>
      <c r="D99" s="23" t="s">
        <v>171</v>
      </c>
      <c r="E99" s="23" t="s">
        <v>95</v>
      </c>
      <c r="F99" s="107"/>
      <c r="G99" s="108"/>
      <c r="H99" s="108"/>
      <c r="I99" s="116"/>
      <c r="J99" s="116"/>
      <c r="K99" s="116"/>
      <c r="L99" s="116"/>
      <c r="M99" s="197">
        <f>'Parameters, country spec'!I28</f>
        <v>0.45814721442178435</v>
      </c>
    </row>
    <row r="100" spans="1:13" x14ac:dyDescent="0.35">
      <c r="A100" s="83"/>
      <c r="B100" s="17" t="s">
        <v>348</v>
      </c>
      <c r="C100" s="84" t="s">
        <v>349</v>
      </c>
      <c r="D100" s="23" t="s">
        <v>171</v>
      </c>
      <c r="E100" s="23" t="s">
        <v>95</v>
      </c>
      <c r="F100" s="109">
        <f t="shared" ref="F100:L100" si="7">AVERAGE(F90:F98)</f>
        <v>2.4410903004363735</v>
      </c>
      <c r="G100" s="109">
        <f t="shared" si="7"/>
        <v>2.4013036620997755E-2</v>
      </c>
      <c r="H100" s="109">
        <f t="shared" si="7"/>
        <v>3.0304741886750747E-3</v>
      </c>
      <c r="I100" s="226">
        <f>AVERAGE(I90:I98)</f>
        <v>5.5030682490732959E-4</v>
      </c>
      <c r="J100" s="226">
        <f t="shared" si="7"/>
        <v>6.1432800585914431E-2</v>
      </c>
      <c r="K100" s="226">
        <f t="shared" si="7"/>
        <v>8.774828492070854E-11</v>
      </c>
      <c r="L100" s="226">
        <f t="shared" si="7"/>
        <v>5.7019564773361003E-4</v>
      </c>
      <c r="M100" s="197">
        <f>'Parameters, country spec'!I29</f>
        <v>0.23247273110662289</v>
      </c>
    </row>
    <row r="101" spans="1:13" x14ac:dyDescent="0.35">
      <c r="A101" s="195"/>
      <c r="B101" s="25" t="s">
        <v>350</v>
      </c>
      <c r="C101" s="26"/>
      <c r="D101" s="103"/>
      <c r="E101" s="103"/>
      <c r="F101" s="30">
        <f>SUMPRODUCT(F90:F100,M90:M100)</f>
        <v>1.4737669424599531</v>
      </c>
      <c r="G101" s="30">
        <f>SUMPRODUCT(G90:G100,M90:M100)</f>
        <v>1.3173411079897675E-2</v>
      </c>
      <c r="H101" s="30">
        <f>SUMPRODUCT(H90:H100,M90:M100)</f>
        <v>1.4289013885988699E-3</v>
      </c>
      <c r="I101" s="30">
        <f>SUMPRODUCT(I90:I100,M90:M100)</f>
        <v>2.6804925512664948E-4</v>
      </c>
      <c r="J101" s="30">
        <f>SUMPRODUCT(J90:J100,M90:M100)</f>
        <v>3.0033113382142037E-2</v>
      </c>
      <c r="K101" s="30">
        <f>SUMPRODUCT(K90:K100,M90:M100)</f>
        <v>3.8660760174927333E-11</v>
      </c>
      <c r="L101" s="30">
        <f>SUMPRODUCT(L90:L100,M90:M100)</f>
        <v>2.5526452654770697E-4</v>
      </c>
      <c r="M101" s="198"/>
    </row>
    <row r="102" spans="1:13" x14ac:dyDescent="0.35">
      <c r="A102" s="22" t="s">
        <v>336</v>
      </c>
      <c r="B102" s="17" t="s">
        <v>218</v>
      </c>
      <c r="C102" s="17" t="s">
        <v>337</v>
      </c>
      <c r="D102" s="23" t="s">
        <v>96</v>
      </c>
      <c r="E102" s="23" t="s">
        <v>97</v>
      </c>
      <c r="F102" s="24">
        <v>2.1815008726003491</v>
      </c>
      <c r="G102" s="39">
        <v>2.0506108202443279E-2</v>
      </c>
      <c r="H102" s="39">
        <v>3.0541012216404886E-3</v>
      </c>
      <c r="I102" s="28">
        <v>0</v>
      </c>
      <c r="J102" s="28">
        <v>1.1343804537521816E-7</v>
      </c>
      <c r="K102" s="28">
        <v>9.332913409296623E-16</v>
      </c>
      <c r="L102" s="28">
        <v>5.2359749444649394E-4</v>
      </c>
      <c r="M102" s="197">
        <f>'Parameters, country spec'!J19</f>
        <v>0.36213948950567598</v>
      </c>
    </row>
    <row r="103" spans="1:13" x14ac:dyDescent="0.35">
      <c r="A103" s="22" t="s">
        <v>338</v>
      </c>
      <c r="B103" s="17" t="s">
        <v>222</v>
      </c>
      <c r="C103" s="17" t="s">
        <v>337</v>
      </c>
      <c r="D103" s="23" t="s">
        <v>96</v>
      </c>
      <c r="E103" s="23" t="s">
        <v>97</v>
      </c>
      <c r="F103" s="21">
        <v>5.0505050505050502</v>
      </c>
      <c r="G103" s="39">
        <v>1.3131313131313131E-2</v>
      </c>
      <c r="H103" s="39">
        <v>2.0202020202020202E-3</v>
      </c>
      <c r="I103" s="28">
        <v>0</v>
      </c>
      <c r="J103" s="28">
        <v>3.0808080808080806E-7</v>
      </c>
      <c r="K103" s="28">
        <v>2.1607108620310969E-15</v>
      </c>
      <c r="L103" s="28">
        <v>2.5791649629730588E-5</v>
      </c>
      <c r="M103" s="197">
        <f>'Parameters, country spec'!J20</f>
        <v>2.7285200595272913E-2</v>
      </c>
    </row>
    <row r="104" spans="1:13" x14ac:dyDescent="0.35">
      <c r="A104" s="22" t="s">
        <v>339</v>
      </c>
      <c r="B104" s="17" t="s">
        <v>226</v>
      </c>
      <c r="C104" s="17" t="s">
        <v>337</v>
      </c>
      <c r="D104" s="23" t="s">
        <v>96</v>
      </c>
      <c r="E104" s="23" t="s">
        <v>97</v>
      </c>
      <c r="F104" s="21">
        <v>1.5128936360129202</v>
      </c>
      <c r="G104" s="39">
        <v>1.9970195995370546E-2</v>
      </c>
      <c r="H104" s="39">
        <v>5.5977064532478039E-3</v>
      </c>
      <c r="I104" s="28">
        <v>0</v>
      </c>
      <c r="J104" s="28">
        <v>1.6641829996142119E-8</v>
      </c>
      <c r="K104" s="28">
        <v>6.4724729106130576E-16</v>
      </c>
      <c r="L104" s="28">
        <v>5.0991365516814952E-4</v>
      </c>
      <c r="M104" s="197">
        <f>'Parameters, country spec'!J21</f>
        <v>0.16949282524721104</v>
      </c>
    </row>
    <row r="105" spans="1:13" x14ac:dyDescent="0.35">
      <c r="A105" s="22" t="s">
        <v>340</v>
      </c>
      <c r="B105" s="17" t="s">
        <v>227</v>
      </c>
      <c r="C105" s="17" t="s">
        <v>337</v>
      </c>
      <c r="D105" s="23" t="s">
        <v>96</v>
      </c>
      <c r="E105" s="23" t="s">
        <v>97</v>
      </c>
      <c r="F105" s="21">
        <v>2.5461100530609335</v>
      </c>
      <c r="G105" s="39">
        <v>1.8077381376732628E-2</v>
      </c>
      <c r="H105" s="39">
        <v>3.8191650795914001E-3</v>
      </c>
      <c r="I105" s="28">
        <v>0</v>
      </c>
      <c r="J105" s="28">
        <v>1.1457495238774201E-7</v>
      </c>
      <c r="K105" s="28">
        <v>1.0892787142199158E-15</v>
      </c>
      <c r="L105" s="28">
        <v>4.6158303182478765E-4</v>
      </c>
      <c r="M105" s="197">
        <f>'Parameters, country spec'!J22</f>
        <v>3.062922099074464E-3</v>
      </c>
    </row>
    <row r="106" spans="1:13" x14ac:dyDescent="0.35">
      <c r="A106" s="22" t="s">
        <v>341</v>
      </c>
      <c r="B106" s="17" t="s">
        <v>228</v>
      </c>
      <c r="C106" s="17" t="s">
        <v>337</v>
      </c>
      <c r="D106" s="23" t="s">
        <v>96</v>
      </c>
      <c r="E106" s="23" t="s">
        <v>97</v>
      </c>
      <c r="F106" s="21">
        <v>3.3757097429734602</v>
      </c>
      <c r="G106" s="39">
        <v>2.1266971380732799E-2</v>
      </c>
      <c r="H106" s="39">
        <v>1.6878548714867299E-3</v>
      </c>
      <c r="I106" s="28">
        <v>0</v>
      </c>
      <c r="J106" s="28">
        <v>1.9579116509246066E-7</v>
      </c>
      <c r="K106" s="28">
        <v>1.4441986763239777E-15</v>
      </c>
      <c r="L106" s="28">
        <v>0</v>
      </c>
      <c r="M106" s="197">
        <f>'Parameters, country spec'!J23</f>
        <v>3.7884118812985604E-2</v>
      </c>
    </row>
    <row r="107" spans="1:13" x14ac:dyDescent="0.35">
      <c r="A107" s="22" t="s">
        <v>342</v>
      </c>
      <c r="B107" s="17" t="s">
        <v>229</v>
      </c>
      <c r="C107" s="17" t="s">
        <v>343</v>
      </c>
      <c r="D107" s="23" t="s">
        <v>96</v>
      </c>
      <c r="E107" s="23" t="s">
        <v>97</v>
      </c>
      <c r="F107" s="21">
        <v>1.6760975086486631</v>
      </c>
      <c r="G107" s="39">
        <v>1.5922926332162302E-2</v>
      </c>
      <c r="H107" s="39">
        <v>1.1732682560540643E-3</v>
      </c>
      <c r="I107" s="28">
        <v>0</v>
      </c>
      <c r="J107" s="28">
        <v>1.5755316581297433E-7</v>
      </c>
      <c r="K107" s="28">
        <v>7.1706929436656458E-16</v>
      </c>
      <c r="L107" s="28">
        <v>4.0657175166874981E-4</v>
      </c>
      <c r="M107" s="197">
        <f>'Parameters, country spec'!J24</f>
        <v>3.724796231733548E-3</v>
      </c>
    </row>
    <row r="108" spans="1:13" x14ac:dyDescent="0.35">
      <c r="A108" s="22" t="s">
        <v>344</v>
      </c>
      <c r="B108" s="17" t="s">
        <v>230</v>
      </c>
      <c r="C108" s="17" t="s">
        <v>343</v>
      </c>
      <c r="D108" s="23" t="s">
        <v>96</v>
      </c>
      <c r="E108" s="23" t="s">
        <v>97</v>
      </c>
      <c r="F108" s="21">
        <v>1.5363343063450607</v>
      </c>
      <c r="G108" s="39">
        <v>2.350591488707943E-2</v>
      </c>
      <c r="H108" s="39">
        <v>2.150868028883085E-3</v>
      </c>
      <c r="I108" s="28">
        <v>0</v>
      </c>
      <c r="J108" s="28">
        <v>1.1368873866953449E-7</v>
      </c>
      <c r="K108" s="28">
        <v>6.5727569623929515E-16</v>
      </c>
      <c r="L108" s="28">
        <v>6.0019375778388269E-4</v>
      </c>
      <c r="M108" s="197">
        <f>'Parameters, country spec'!J25</f>
        <v>3.6589773666995504E-3</v>
      </c>
    </row>
    <row r="109" spans="1:13" x14ac:dyDescent="0.35">
      <c r="B109" s="18" t="s">
        <v>231</v>
      </c>
      <c r="C109" s="17" t="s">
        <v>345</v>
      </c>
      <c r="D109" s="23" t="str">
        <f>'Off-farm feed'!$D$88</f>
        <v>France, Germany, Poland</v>
      </c>
      <c r="E109" s="23" t="s">
        <v>82</v>
      </c>
      <c r="F109" s="19">
        <f>'Off-farm feed'!$F$88</f>
        <v>1.5397450382845088</v>
      </c>
      <c r="G109" s="20">
        <f>'Off-farm feed'!$G$88</f>
        <v>4.1115595157230206E-2</v>
      </c>
      <c r="H109" s="20">
        <f>'Off-farm feed'!$H$88</f>
        <v>4.4751668198345796E-3</v>
      </c>
      <c r="I109" s="19">
        <f>'Off-farm feed'!$I$88</f>
        <v>2.5747126436781614E-3</v>
      </c>
      <c r="J109" s="19">
        <f>'Off-farm feed'!$J$88</f>
        <v>0.29368572248181501</v>
      </c>
      <c r="K109" s="29">
        <f>'Off-farm feed'!$K$88</f>
        <v>1.777473414827503E-10</v>
      </c>
      <c r="L109" s="29">
        <f>'Off-farm feed'!$L$88</f>
        <v>2.4996062723023757E-3</v>
      </c>
      <c r="M109" s="197">
        <f>'Parameters, country spec'!J26</f>
        <v>0.20053388869195857</v>
      </c>
    </row>
    <row r="110" spans="1:13" x14ac:dyDescent="0.35">
      <c r="B110" s="18" t="s">
        <v>346</v>
      </c>
      <c r="C110" s="17" t="s">
        <v>345</v>
      </c>
      <c r="D110" s="23" t="s">
        <v>359</v>
      </c>
      <c r="E110" s="23" t="s">
        <v>82</v>
      </c>
      <c r="F110" s="19">
        <v>2.0917515263070587</v>
      </c>
      <c r="G110" s="20">
        <v>3.494915696325069E-2</v>
      </c>
      <c r="H110" s="20">
        <v>2.7026666566511127E-3</v>
      </c>
      <c r="I110" s="29">
        <v>1.9499999999999999E-3</v>
      </c>
      <c r="J110" s="29">
        <v>0.21255093967862171</v>
      </c>
      <c r="K110" s="29">
        <v>5.0182325046003612E-10</v>
      </c>
      <c r="L110" s="29">
        <v>8.5692637758222242E-5</v>
      </c>
      <c r="M110" s="197">
        <f>'Parameters, country spec'!J27</f>
        <v>7.419835422837219E-2</v>
      </c>
    </row>
    <row r="111" spans="1:13" x14ac:dyDescent="0.35">
      <c r="B111" s="17" t="s">
        <v>233</v>
      </c>
      <c r="C111" s="17" t="s">
        <v>347</v>
      </c>
      <c r="D111" s="23" t="s">
        <v>96</v>
      </c>
      <c r="E111" s="23" t="s">
        <v>97</v>
      </c>
      <c r="F111" s="107"/>
      <c r="G111" s="108"/>
      <c r="H111" s="108"/>
      <c r="I111" s="116"/>
      <c r="J111" s="116"/>
      <c r="K111" s="116"/>
      <c r="L111" s="116"/>
      <c r="M111" s="197">
        <f>'Parameters, country spec'!J28</f>
        <v>7.2167353833925044E-2</v>
      </c>
    </row>
    <row r="112" spans="1:13" x14ac:dyDescent="0.35">
      <c r="A112" s="83"/>
      <c r="B112" s="17" t="s">
        <v>348</v>
      </c>
      <c r="C112" s="84" t="s">
        <v>349</v>
      </c>
      <c r="D112" s="23" t="s">
        <v>96</v>
      </c>
      <c r="E112" s="23" t="s">
        <v>97</v>
      </c>
      <c r="F112" s="109">
        <f t="shared" ref="F112:L112" si="8">AVERAGE(F102:F110)</f>
        <v>2.3900719705264453</v>
      </c>
      <c r="G112" s="109">
        <f t="shared" si="8"/>
        <v>2.3160618158479446E-2</v>
      </c>
      <c r="H112" s="109">
        <f t="shared" si="8"/>
        <v>2.9645554897323647E-3</v>
      </c>
      <c r="I112" s="226">
        <f>AVERAGE(I102:I110)</f>
        <v>5.0274584929757343E-4</v>
      </c>
      <c r="J112" s="226">
        <f t="shared" si="8"/>
        <v>5.6248631325460235E-2</v>
      </c>
      <c r="K112" s="226">
        <f t="shared" si="8"/>
        <v>7.5508693446073503E-11</v>
      </c>
      <c r="L112" s="226">
        <f t="shared" si="8"/>
        <v>5.6810558339804359E-4</v>
      </c>
      <c r="M112" s="197">
        <f>'Parameters, country spec'!J29</f>
        <v>4.5852073387090915E-2</v>
      </c>
    </row>
    <row r="113" spans="1:13" x14ac:dyDescent="0.35">
      <c r="A113" s="195"/>
      <c r="B113" s="25" t="s">
        <v>350</v>
      </c>
      <c r="C113" s="26"/>
      <c r="D113" s="103"/>
      <c r="E113" s="103"/>
      <c r="F113" s="30">
        <f>SUMPRODUCT(F102:F112,M102:M112)</f>
        <v>1.9053504685255087</v>
      </c>
      <c r="G113" s="30">
        <f>SUMPRODUCT(G102:G112,M102:M112)</f>
        <v>2.4075736831690796E-2</v>
      </c>
      <c r="H113" s="30">
        <f>SUMPRODUCT(H102:H112,M102:M112)</f>
        <v>3.4316712573148043E-3</v>
      </c>
      <c r="I113" s="30">
        <f>SUMPRODUCT(I102:I112,M102:M112)</f>
        <v>6.8405586902350825E-4</v>
      </c>
      <c r="J113" s="30">
        <f>SUMPRODUCT(J102:J112,M102:M112)</f>
        <v>7.7244047346153047E-2</v>
      </c>
      <c r="K113" s="30">
        <f>SUMPRODUCT(K102:K112,M102:M112)</f>
        <v>7.6341624808428052E-11</v>
      </c>
      <c r="L113" s="30">
        <f>SUMPRODUCT(L102:L112,M102:M112)</f>
        <v>8.1553288847469854E-4</v>
      </c>
      <c r="M113" s="198"/>
    </row>
    <row r="114" spans="1:13" x14ac:dyDescent="0.35">
      <c r="A114" s="22" t="s">
        <v>336</v>
      </c>
      <c r="B114" s="17" t="s">
        <v>218</v>
      </c>
      <c r="C114" s="17" t="s">
        <v>337</v>
      </c>
      <c r="D114" s="23" t="s">
        <v>31</v>
      </c>
      <c r="E114" s="23" t="s">
        <v>98</v>
      </c>
      <c r="F114" s="305">
        <v>1.6</v>
      </c>
      <c r="G114" s="306">
        <v>2.1000000000000001E-2</v>
      </c>
      <c r="H114" s="306">
        <v>3.0999999999999999E-3</v>
      </c>
      <c r="I114" s="307">
        <v>4.0917422935787297E-3</v>
      </c>
      <c r="J114" s="307">
        <v>0.32</v>
      </c>
      <c r="K114" s="308">
        <v>5.3000000000000003E-10</v>
      </c>
      <c r="L114" s="309">
        <v>1.25E-3</v>
      </c>
      <c r="M114" s="197">
        <f>'Parameters, country spec'!K19</f>
        <v>0.12938618407074468</v>
      </c>
    </row>
    <row r="115" spans="1:13" x14ac:dyDescent="0.35">
      <c r="A115" s="22" t="s">
        <v>338</v>
      </c>
      <c r="B115" s="17" t="s">
        <v>222</v>
      </c>
      <c r="C115" s="17" t="s">
        <v>337</v>
      </c>
      <c r="D115" s="23" t="s">
        <v>31</v>
      </c>
      <c r="E115" s="23" t="s">
        <v>98</v>
      </c>
      <c r="F115" s="21">
        <v>1.1000000000000001</v>
      </c>
      <c r="G115" s="39">
        <v>0.02</v>
      </c>
      <c r="H115" s="39">
        <v>5.5999999999999999E-3</v>
      </c>
      <c r="I115" s="28">
        <v>9.2210702520091198E-2</v>
      </c>
      <c r="J115" s="28">
        <v>0.05</v>
      </c>
      <c r="K115" s="28">
        <v>3.6700000000000003E-10</v>
      </c>
      <c r="L115" s="28">
        <v>1.2099999999999999E-3</v>
      </c>
      <c r="M115" s="197">
        <f>'Parameters, country spec'!K20</f>
        <v>0.21280975376032865</v>
      </c>
    </row>
    <row r="116" spans="1:13" x14ac:dyDescent="0.35">
      <c r="A116" s="22" t="s">
        <v>339</v>
      </c>
      <c r="B116" s="17" t="s">
        <v>226</v>
      </c>
      <c r="C116" s="17" t="s">
        <v>337</v>
      </c>
      <c r="D116" s="23" t="s">
        <v>31</v>
      </c>
      <c r="E116" s="23" t="s">
        <v>98</v>
      </c>
      <c r="F116" s="21">
        <v>2.2400000000000002</v>
      </c>
      <c r="G116" s="39">
        <v>1.7999999999999999E-2</v>
      </c>
      <c r="H116" s="39">
        <v>3.8E-3</v>
      </c>
      <c r="I116" s="28">
        <v>5.1662240094463699E-2</v>
      </c>
      <c r="J116" s="28">
        <v>0.09</v>
      </c>
      <c r="K116" s="28">
        <v>7.4300000000000002E-10</v>
      </c>
      <c r="L116" s="28">
        <v>1.1000000000000001E-3</v>
      </c>
      <c r="M116" s="197">
        <f>'Parameters, country spec'!K21</f>
        <v>1.4661663802605954E-2</v>
      </c>
    </row>
    <row r="117" spans="1:13" x14ac:dyDescent="0.35">
      <c r="A117" s="22" t="s">
        <v>340</v>
      </c>
      <c r="B117" s="17" t="s">
        <v>227</v>
      </c>
      <c r="C117" s="17" t="s">
        <v>337</v>
      </c>
      <c r="D117" s="23" t="s">
        <v>31</v>
      </c>
      <c r="E117" s="23" t="s">
        <v>98</v>
      </c>
      <c r="F117" s="21">
        <v>2.2400000000000002</v>
      </c>
      <c r="G117" s="39">
        <v>1.6E-2</v>
      </c>
      <c r="H117" s="39">
        <v>1.1999999999999999E-3</v>
      </c>
      <c r="I117" s="28">
        <v>0</v>
      </c>
      <c r="J117" s="28">
        <v>0</v>
      </c>
      <c r="K117" s="28">
        <v>7.4400000000000002E-10</v>
      </c>
      <c r="L117" s="28">
        <v>9.68E-4</v>
      </c>
      <c r="M117" s="197">
        <f>'Parameters, country spec'!K22</f>
        <v>2.2515954502451301E-3</v>
      </c>
    </row>
    <row r="118" spans="1:13" x14ac:dyDescent="0.35">
      <c r="A118" s="22" t="s">
        <v>341</v>
      </c>
      <c r="B118" s="17" t="s">
        <v>228</v>
      </c>
      <c r="C118" s="17" t="s">
        <v>337</v>
      </c>
      <c r="D118" s="23" t="s">
        <v>31</v>
      </c>
      <c r="E118" s="23" t="s">
        <v>98</v>
      </c>
      <c r="F118" s="21">
        <v>1.41</v>
      </c>
      <c r="G118" s="39">
        <v>2.4E-2</v>
      </c>
      <c r="H118" s="39">
        <v>2.2000000000000001E-3</v>
      </c>
      <c r="I118" s="28">
        <v>1.33006336197129E-3</v>
      </c>
      <c r="J118" s="28">
        <v>0.27</v>
      </c>
      <c r="K118" s="28">
        <v>4.7000000000000003E-10</v>
      </c>
      <c r="L118" s="28">
        <v>1.4300000000000001E-3</v>
      </c>
      <c r="M118" s="197">
        <f>'Parameters, country spec'!K23</f>
        <v>0.31521053769451607</v>
      </c>
    </row>
    <row r="119" spans="1:13" x14ac:dyDescent="0.35">
      <c r="A119" s="22" t="s">
        <v>342</v>
      </c>
      <c r="B119" s="17" t="s">
        <v>229</v>
      </c>
      <c r="C119" s="17" t="s">
        <v>343</v>
      </c>
      <c r="D119" s="23" t="s">
        <v>31</v>
      </c>
      <c r="E119" s="23" t="s">
        <v>98</v>
      </c>
      <c r="F119" s="21">
        <v>3.01</v>
      </c>
      <c r="G119" s="39">
        <v>1.9E-2</v>
      </c>
      <c r="H119" s="39">
        <v>1.6999999999999999E-3</v>
      </c>
      <c r="I119" s="28">
        <v>2.5706904840427799E-2</v>
      </c>
      <c r="J119" s="28">
        <v>1.01</v>
      </c>
      <c r="K119" s="28">
        <v>1.0000000000000001E-9</v>
      </c>
      <c r="L119" s="28">
        <v>0</v>
      </c>
      <c r="M119" s="197">
        <f>'Parameters, country spec'!K24</f>
        <v>0</v>
      </c>
    </row>
    <row r="120" spans="1:13" x14ac:dyDescent="0.35">
      <c r="A120" s="22" t="s">
        <v>344</v>
      </c>
      <c r="B120" s="17" t="s">
        <v>230</v>
      </c>
      <c r="C120" s="17" t="s">
        <v>343</v>
      </c>
      <c r="D120" s="23" t="s">
        <v>31</v>
      </c>
      <c r="E120" s="23" t="s">
        <v>98</v>
      </c>
      <c r="F120" s="21">
        <v>4.1100000000000003</v>
      </c>
      <c r="G120" s="39">
        <v>1.0999999999999999E-2</v>
      </c>
      <c r="H120" s="39">
        <v>2E-3</v>
      </c>
      <c r="I120" s="28">
        <v>2.7905335876353701E-2</v>
      </c>
      <c r="J120" s="28">
        <v>1.05</v>
      </c>
      <c r="K120" s="28">
        <v>1.3600000000000001E-9</v>
      </c>
      <c r="L120" s="28">
        <v>6.1400000000000002E-5</v>
      </c>
      <c r="M120" s="197">
        <f>'Parameters, country spec'!K25</f>
        <v>0</v>
      </c>
    </row>
    <row r="121" spans="1:13" x14ac:dyDescent="0.35">
      <c r="B121" s="18" t="s">
        <v>231</v>
      </c>
      <c r="C121" s="17" t="s">
        <v>345</v>
      </c>
      <c r="D121" s="23" t="str">
        <f>'Off-farm feed'!$D$88</f>
        <v>France, Germany, Poland</v>
      </c>
      <c r="E121" s="23" t="s">
        <v>82</v>
      </c>
      <c r="F121" s="19">
        <f>'Off-farm feed'!$F$88</f>
        <v>1.5397450382845088</v>
      </c>
      <c r="G121" s="20">
        <f>'Off-farm feed'!$G$88</f>
        <v>4.1115595157230206E-2</v>
      </c>
      <c r="H121" s="20">
        <f>'Off-farm feed'!$H$88</f>
        <v>4.4751668198345796E-3</v>
      </c>
      <c r="I121" s="19">
        <f>'Off-farm feed'!$I$88</f>
        <v>2.5747126436781614E-3</v>
      </c>
      <c r="J121" s="19">
        <f>'Off-farm feed'!$J$88</f>
        <v>0.29368572248181501</v>
      </c>
      <c r="K121" s="29">
        <f>'Off-farm feed'!$K$88</f>
        <v>1.777473414827503E-10</v>
      </c>
      <c r="L121" s="29">
        <f>'Off-farm feed'!$L$88</f>
        <v>2.4996062723023757E-3</v>
      </c>
      <c r="M121" s="197">
        <f>'Parameters, country spec'!K26</f>
        <v>9.7073458625180783E-2</v>
      </c>
    </row>
    <row r="122" spans="1:13" x14ac:dyDescent="0.35">
      <c r="B122" s="18" t="s">
        <v>346</v>
      </c>
      <c r="C122" s="17" t="s">
        <v>345</v>
      </c>
      <c r="D122" s="23" t="str">
        <f>'Off-farm feed'!$D$36</f>
        <v>Brazil, Argentina</v>
      </c>
      <c r="E122" s="23" t="s">
        <v>82</v>
      </c>
      <c r="F122" s="19">
        <f>'Off-farm feed'!$F$36</f>
        <v>2.5509164954964132</v>
      </c>
      <c r="G122" s="20">
        <f>'Off-farm feed'!$G$36</f>
        <v>4.2620923125915477E-2</v>
      </c>
      <c r="H122" s="20">
        <f>'Off-farm feed'!$H$36</f>
        <v>3.2959349471355036E-3</v>
      </c>
      <c r="I122" s="19">
        <f>'Off-farm feed'!$I$36</f>
        <v>2.3780487804878048E-3</v>
      </c>
      <c r="J122" s="19">
        <f>'Off-farm feed'!$J$36</f>
        <v>0.25920846302270939</v>
      </c>
      <c r="K122" s="29">
        <f>'Off-farm feed'!$K$36</f>
        <v>6.1197957373175144E-10</v>
      </c>
      <c r="L122" s="29">
        <f>'Off-farm feed'!$L$36</f>
        <v>1.0450321677831981E-4</v>
      </c>
      <c r="M122" s="197">
        <f>'Parameters, country spec'!K27</f>
        <v>8.7459166665531385E-2</v>
      </c>
    </row>
    <row r="123" spans="1:13" x14ac:dyDescent="0.35">
      <c r="B123" s="17" t="s">
        <v>233</v>
      </c>
      <c r="C123" s="17" t="s">
        <v>347</v>
      </c>
      <c r="D123" s="23" t="s">
        <v>31</v>
      </c>
      <c r="E123" s="23" t="s">
        <v>98</v>
      </c>
      <c r="F123" s="107"/>
      <c r="G123" s="108"/>
      <c r="H123" s="108"/>
      <c r="I123" s="116"/>
      <c r="J123" s="116"/>
      <c r="K123" s="116"/>
      <c r="L123" s="116"/>
      <c r="M123" s="197">
        <f>'Parameters, country spec'!K28</f>
        <v>8.0151207366747315E-2</v>
      </c>
    </row>
    <row r="124" spans="1:13" x14ac:dyDescent="0.35">
      <c r="A124" s="83"/>
      <c r="B124" s="17" t="s">
        <v>348</v>
      </c>
      <c r="C124" s="84" t="s">
        <v>349</v>
      </c>
      <c r="D124" s="23" t="s">
        <v>31</v>
      </c>
      <c r="E124" s="23" t="s">
        <v>98</v>
      </c>
      <c r="F124" s="109">
        <f t="shared" ref="F124:L124" si="9">AVERAGE(F114:F122)</f>
        <v>2.2000735037534356</v>
      </c>
      <c r="G124" s="109">
        <f t="shared" si="9"/>
        <v>2.363739092034952E-2</v>
      </c>
      <c r="H124" s="109">
        <f t="shared" si="9"/>
        <v>3.0412335296633422E-3</v>
      </c>
      <c r="I124" s="226">
        <f>AVERAGE(I114:I122)</f>
        <v>2.3095527823450267E-2</v>
      </c>
      <c r="J124" s="226">
        <f t="shared" si="9"/>
        <v>0.37143268727828044</v>
      </c>
      <c r="K124" s="226">
        <f t="shared" si="9"/>
        <v>6.6708076835716683E-10</v>
      </c>
      <c r="L124" s="226">
        <f t="shared" si="9"/>
        <v>9.5816772100896597E-4</v>
      </c>
      <c r="M124" s="197">
        <f>'Parameters, country spec'!K29</f>
        <v>6.0996432564100048E-2</v>
      </c>
    </row>
    <row r="125" spans="1:13" x14ac:dyDescent="0.35">
      <c r="A125" s="195"/>
      <c r="B125" s="25" t="s">
        <v>350</v>
      </c>
      <c r="C125" s="26"/>
      <c r="D125" s="103"/>
      <c r="E125" s="103"/>
      <c r="F125" s="30">
        <f>SUMPRODUCT(F114:F124,M114:M124)</f>
        <v>1.4302072248296795</v>
      </c>
      <c r="G125" s="30">
        <f>SUMPRODUCT(G114:G124,M114:M124)</f>
        <v>2.3998913286729113E-2</v>
      </c>
      <c r="H125" s="30">
        <f>SUMPRODUCT(H114:H124,M114:M124)</f>
        <v>3.2528952524853382E-3</v>
      </c>
      <c r="I125" s="30">
        <f>SUMPRODUCT(I114:I124,M114:M124)</f>
        <v>2.3196119433318486E-2</v>
      </c>
      <c r="J125" s="30">
        <f>SUMPRODUCT(J114:J124,M114:M124)</f>
        <v>0.21230577537084486</v>
      </c>
      <c r="K125" s="30">
        <f>SUMPRODUCT(K114:K124,M114:M124)</f>
        <v>4.1886093296025018E-10</v>
      </c>
      <c r="L125" s="30">
        <f>SUMPRODUCT(L114:L124,M114:M124)</f>
        <v>1.1985209787067975E-3</v>
      </c>
      <c r="M125" s="198"/>
    </row>
    <row r="126" spans="1:13" x14ac:dyDescent="0.35">
      <c r="A126" s="22" t="s">
        <v>336</v>
      </c>
      <c r="B126" s="17" t="s">
        <v>218</v>
      </c>
      <c r="C126" s="17" t="s">
        <v>337</v>
      </c>
      <c r="D126" s="23" t="s">
        <v>24</v>
      </c>
      <c r="E126" s="23" t="s">
        <v>99</v>
      </c>
      <c r="F126" s="24">
        <v>1.53</v>
      </c>
      <c r="G126" s="39">
        <v>2.1000000000000001E-2</v>
      </c>
      <c r="H126" s="39">
        <v>3.0999999999999999E-3</v>
      </c>
      <c r="I126" s="28">
        <v>0</v>
      </c>
      <c r="J126" s="28">
        <v>0.31</v>
      </c>
      <c r="K126" s="28">
        <v>5.0999999999999998E-11</v>
      </c>
      <c r="L126" s="28">
        <v>1.25E-3</v>
      </c>
      <c r="M126" s="197">
        <f>'Parameters, country spec'!L19</f>
        <v>0.12840126760243717</v>
      </c>
    </row>
    <row r="127" spans="1:13" x14ac:dyDescent="0.35">
      <c r="A127" s="22" t="s">
        <v>338</v>
      </c>
      <c r="B127" s="17" t="s">
        <v>222</v>
      </c>
      <c r="C127" s="17" t="s">
        <v>337</v>
      </c>
      <c r="D127" s="23" t="s">
        <v>24</v>
      </c>
      <c r="E127" s="23" t="s">
        <v>99</v>
      </c>
      <c r="F127" s="21">
        <v>1.05</v>
      </c>
      <c r="G127" s="39">
        <v>0.02</v>
      </c>
      <c r="H127" s="39">
        <v>5.5999999999999999E-3</v>
      </c>
      <c r="I127" s="28">
        <v>2.05935204037918E-3</v>
      </c>
      <c r="J127" s="28">
        <v>0.94</v>
      </c>
      <c r="K127" s="28">
        <v>3.51E-11</v>
      </c>
      <c r="L127" s="28">
        <v>1.2099999999999999E-3</v>
      </c>
      <c r="M127" s="197">
        <f>'Parameters, country spec'!L20</f>
        <v>0.19116633717197407</v>
      </c>
    </row>
    <row r="128" spans="1:13" x14ac:dyDescent="0.35">
      <c r="A128" s="22" t="s">
        <v>339</v>
      </c>
      <c r="B128" s="17" t="s">
        <v>226</v>
      </c>
      <c r="C128" s="17" t="s">
        <v>337</v>
      </c>
      <c r="D128" s="23" t="s">
        <v>24</v>
      </c>
      <c r="E128" s="23" t="s">
        <v>99</v>
      </c>
      <c r="F128" s="21">
        <v>2.31</v>
      </c>
      <c r="G128" s="39">
        <v>1.7999999999999999E-2</v>
      </c>
      <c r="H128" s="39">
        <v>3.8E-3</v>
      </c>
      <c r="I128" s="28">
        <v>2.6859932114199001E-3</v>
      </c>
      <c r="J128" s="28">
        <v>0</v>
      </c>
      <c r="K128" s="28">
        <v>7.7000000000000006E-11</v>
      </c>
      <c r="L128" s="28">
        <v>1.1000000000000001E-3</v>
      </c>
      <c r="M128" s="197">
        <f>'Parameters, country spec'!L21</f>
        <v>2.5558758775563904E-5</v>
      </c>
    </row>
    <row r="129" spans="1:13" x14ac:dyDescent="0.35">
      <c r="A129" s="22" t="s">
        <v>340</v>
      </c>
      <c r="B129" s="17" t="s">
        <v>227</v>
      </c>
      <c r="C129" s="17" t="s">
        <v>337</v>
      </c>
      <c r="D129" s="23" t="s">
        <v>24</v>
      </c>
      <c r="E129" s="23" t="s">
        <v>99</v>
      </c>
      <c r="F129" s="21">
        <v>1.99</v>
      </c>
      <c r="G129" s="39">
        <v>1.6E-2</v>
      </c>
      <c r="H129" s="39">
        <v>1.1999999999999999E-3</v>
      </c>
      <c r="I129" s="28">
        <v>0</v>
      </c>
      <c r="J129" s="28">
        <v>0</v>
      </c>
      <c r="K129" s="28">
        <v>6.6200000000000001E-11</v>
      </c>
      <c r="L129" s="28">
        <v>9.68E-4</v>
      </c>
      <c r="M129" s="197">
        <f>'Parameters, country spec'!L22</f>
        <v>2.0974185801992562E-2</v>
      </c>
    </row>
    <row r="130" spans="1:13" x14ac:dyDescent="0.35">
      <c r="A130" s="22" t="s">
        <v>341</v>
      </c>
      <c r="B130" s="17" t="s">
        <v>228</v>
      </c>
      <c r="C130" s="17" t="s">
        <v>337</v>
      </c>
      <c r="D130" s="23" t="s">
        <v>24</v>
      </c>
      <c r="E130" s="23" t="s">
        <v>99</v>
      </c>
      <c r="F130" s="21">
        <v>1.36</v>
      </c>
      <c r="G130" s="39">
        <v>2.4E-2</v>
      </c>
      <c r="H130" s="39">
        <v>2.2000000000000001E-3</v>
      </c>
      <c r="I130" s="28">
        <v>1.0074338835282899E-9</v>
      </c>
      <c r="J130" s="28">
        <v>0.26</v>
      </c>
      <c r="K130" s="28">
        <v>4.5200000000000003E-11</v>
      </c>
      <c r="L130" s="28">
        <v>1.4300000000000001E-3</v>
      </c>
      <c r="M130" s="197">
        <f>'Parameters, country spec'!L23</f>
        <v>0.42888207443270587</v>
      </c>
    </row>
    <row r="131" spans="1:13" x14ac:dyDescent="0.35">
      <c r="A131" s="22" t="s">
        <v>342</v>
      </c>
      <c r="B131" s="17" t="s">
        <v>229</v>
      </c>
      <c r="C131" s="17" t="s">
        <v>343</v>
      </c>
      <c r="D131" s="23" t="s">
        <v>24</v>
      </c>
      <c r="E131" s="23" t="s">
        <v>99</v>
      </c>
      <c r="F131" s="21">
        <v>3.13</v>
      </c>
      <c r="G131" s="39">
        <v>0.02</v>
      </c>
      <c r="H131" s="39">
        <v>1.6999999999999999E-3</v>
      </c>
      <c r="I131" s="28">
        <v>0</v>
      </c>
      <c r="J131" s="28">
        <v>1.01</v>
      </c>
      <c r="K131" s="28">
        <v>1.04E-10</v>
      </c>
      <c r="L131" s="28">
        <v>0</v>
      </c>
      <c r="M131" s="197">
        <f>'Parameters, country spec'!L24</f>
        <v>9.3450155108809542E-4</v>
      </c>
    </row>
    <row r="132" spans="1:13" x14ac:dyDescent="0.35">
      <c r="A132" s="22" t="s">
        <v>344</v>
      </c>
      <c r="B132" s="17" t="s">
        <v>230</v>
      </c>
      <c r="C132" s="17" t="s">
        <v>343</v>
      </c>
      <c r="D132" s="23" t="s">
        <v>24</v>
      </c>
      <c r="E132" s="23" t="s">
        <v>99</v>
      </c>
      <c r="F132" s="21">
        <v>2.73</v>
      </c>
      <c r="G132" s="39">
        <v>8.0000000000000002E-3</v>
      </c>
      <c r="H132" s="39">
        <v>2E-3</v>
      </c>
      <c r="I132" s="28">
        <v>0</v>
      </c>
      <c r="J132" s="28">
        <v>1.05</v>
      </c>
      <c r="K132" s="28">
        <v>9.0900000000000004E-11</v>
      </c>
      <c r="L132" s="28">
        <v>6.1400000000000002E-5</v>
      </c>
      <c r="M132" s="197">
        <f>'Parameters, country spec'!L25</f>
        <v>9.1798847805104754E-4</v>
      </c>
    </row>
    <row r="133" spans="1:13" x14ac:dyDescent="0.35">
      <c r="B133" s="18" t="s">
        <v>231</v>
      </c>
      <c r="C133" s="17" t="s">
        <v>345</v>
      </c>
      <c r="D133" s="23" t="str">
        <f>'Off-farm feed'!$D$88</f>
        <v>France, Germany, Poland</v>
      </c>
      <c r="E133" s="23" t="s">
        <v>82</v>
      </c>
      <c r="F133" s="19">
        <f>'Off-farm feed'!$F$88</f>
        <v>1.5397450382845088</v>
      </c>
      <c r="G133" s="20">
        <f>'Off-farm feed'!$G$88</f>
        <v>4.1115595157230206E-2</v>
      </c>
      <c r="H133" s="20">
        <f>'Off-farm feed'!$H$88</f>
        <v>4.4751668198345796E-3</v>
      </c>
      <c r="I133" s="19">
        <f>'Off-farm feed'!$I$88</f>
        <v>2.5747126436781614E-3</v>
      </c>
      <c r="J133" s="19">
        <f>'Off-farm feed'!$J$88</f>
        <v>0.29368572248181501</v>
      </c>
      <c r="K133" s="29">
        <f>'Off-farm feed'!$K$88</f>
        <v>1.777473414827503E-10</v>
      </c>
      <c r="L133" s="29">
        <f>'Off-farm feed'!$L$88</f>
        <v>2.4996062723023757E-3</v>
      </c>
      <c r="M133" s="197">
        <f>'Parameters, country spec'!L26</f>
        <v>9.4499576799197224E-2</v>
      </c>
    </row>
    <row r="134" spans="1:13" x14ac:dyDescent="0.35">
      <c r="B134" s="18" t="s">
        <v>346</v>
      </c>
      <c r="C134" s="17" t="s">
        <v>345</v>
      </c>
      <c r="D134" s="23" t="str">
        <f>'Off-farm feed'!$D$36</f>
        <v>Brazil, Argentina</v>
      </c>
      <c r="E134" s="23" t="s">
        <v>82</v>
      </c>
      <c r="F134" s="19">
        <f>'Off-farm feed'!$F$36</f>
        <v>2.5509164954964132</v>
      </c>
      <c r="G134" s="20">
        <f>'Off-farm feed'!$G$36</f>
        <v>4.2620923125915477E-2</v>
      </c>
      <c r="H134" s="20">
        <f>'Off-farm feed'!$H$36</f>
        <v>3.2959349471355036E-3</v>
      </c>
      <c r="I134" s="19">
        <f>'Off-farm feed'!$I$36</f>
        <v>2.3780487804878048E-3</v>
      </c>
      <c r="J134" s="19">
        <f>'Off-farm feed'!$J$36</f>
        <v>0.25920846302270939</v>
      </c>
      <c r="K134" s="29">
        <f>'Off-farm feed'!$K$36</f>
        <v>6.1197957373175144E-10</v>
      </c>
      <c r="L134" s="29">
        <f>'Off-farm feed'!$L$36</f>
        <v>1.0450321677831981E-4</v>
      </c>
      <c r="M134" s="197">
        <f>'Parameters, country spec'!L27</f>
        <v>9.0801007307611245E-2</v>
      </c>
    </row>
    <row r="135" spans="1:13" x14ac:dyDescent="0.35">
      <c r="B135" s="17" t="s">
        <v>233</v>
      </c>
      <c r="C135" s="17" t="s">
        <v>347</v>
      </c>
      <c r="D135" s="23" t="s">
        <v>24</v>
      </c>
      <c r="E135" s="23" t="s">
        <v>99</v>
      </c>
      <c r="F135" s="107"/>
      <c r="G135" s="108"/>
      <c r="H135" s="108"/>
      <c r="I135" s="116"/>
      <c r="J135" s="116"/>
      <c r="K135" s="116"/>
      <c r="L135" s="116"/>
      <c r="M135" s="197">
        <f>'Parameters, country spec'!L28</f>
        <v>1.8113105318221089E-2</v>
      </c>
    </row>
    <row r="136" spans="1:13" x14ac:dyDescent="0.35">
      <c r="A136" s="83"/>
      <c r="B136" s="17" t="s">
        <v>348</v>
      </c>
      <c r="C136" s="84" t="s">
        <v>349</v>
      </c>
      <c r="D136" s="23" t="s">
        <v>24</v>
      </c>
      <c r="E136" s="23" t="s">
        <v>99</v>
      </c>
      <c r="F136" s="109">
        <f t="shared" ref="F136:L136" si="10">AVERAGE(F126:F134)</f>
        <v>2.0211846148645467</v>
      </c>
      <c r="G136" s="109">
        <f t="shared" si="10"/>
        <v>2.3415168698127299E-2</v>
      </c>
      <c r="H136" s="109">
        <f t="shared" si="10"/>
        <v>3.0412335296633422E-3</v>
      </c>
      <c r="I136" s="226">
        <f>AVERAGE(I126:I134)</f>
        <v>1.0775675203776589E-3</v>
      </c>
      <c r="J136" s="226">
        <f t="shared" si="10"/>
        <v>0.45809935394494716</v>
      </c>
      <c r="K136" s="226">
        <f t="shared" si="10"/>
        <v>1.3990299057938905E-10</v>
      </c>
      <c r="L136" s="226">
        <f t="shared" si="10"/>
        <v>9.5816772100896597E-4</v>
      </c>
      <c r="M136" s="197">
        <f>'Parameters, country spec'!L29</f>
        <v>2.5284396777946184E-2</v>
      </c>
    </row>
    <row r="137" spans="1:13" x14ac:dyDescent="0.35">
      <c r="A137" s="195"/>
      <c r="B137" s="25" t="s">
        <v>350</v>
      </c>
      <c r="C137" s="26"/>
      <c r="D137" s="103"/>
      <c r="E137" s="103"/>
      <c r="F137" s="30">
        <f>SUMPRODUCT(F126:F136,M126:M136)</f>
        <v>1.4559224591784448</v>
      </c>
      <c r="G137" s="30">
        <f>SUMPRODUCT(G126:G136,M126:M136)</f>
        <v>2.5522471629216378E-2</v>
      </c>
      <c r="H137" s="30">
        <f>SUMPRODUCT(H126:H136,M126:M136)</f>
        <v>3.2398780963800939E-3</v>
      </c>
      <c r="I137" s="30">
        <f>SUMPRODUCT(I126:I136,M126:M136)</f>
        <v>8.8023199387213041E-4</v>
      </c>
      <c r="J137" s="30">
        <f>SUMPRODUCT(J126:J136,M126:M136)</f>
        <v>0.39579015557994984</v>
      </c>
      <c r="K137" s="30">
        <f>SUMPRODUCT(K126:K136,M126:M136)</f>
        <v>1.1011773830336292E-10</v>
      </c>
      <c r="L137" s="30">
        <f>SUMPRODUCT(L126:L136,M126:M136)</f>
        <v>1.2954291349888004E-3</v>
      </c>
      <c r="M137" s="198"/>
    </row>
    <row r="138" spans="1:13" x14ac:dyDescent="0.35">
      <c r="A138" s="22" t="s">
        <v>336</v>
      </c>
      <c r="B138" s="17" t="s">
        <v>218</v>
      </c>
      <c r="C138" s="17" t="s">
        <v>337</v>
      </c>
      <c r="D138" s="23" t="s">
        <v>22</v>
      </c>
      <c r="E138" s="23" t="s">
        <v>100</v>
      </c>
      <c r="F138" s="24">
        <v>3.52</v>
      </c>
      <c r="G138" s="39">
        <v>2.1000000000000001E-2</v>
      </c>
      <c r="H138" s="39">
        <v>3.0999999999999999E-3</v>
      </c>
      <c r="I138" s="28">
        <v>0</v>
      </c>
      <c r="J138" s="28">
        <v>0.16</v>
      </c>
      <c r="K138" s="28">
        <v>5.8100000000000004E-9</v>
      </c>
      <c r="L138" s="28">
        <v>1.25E-3</v>
      </c>
      <c r="M138" s="197">
        <f>'Parameters, country spec'!M19</f>
        <v>0.12227505038110943</v>
      </c>
    </row>
    <row r="139" spans="1:13" x14ac:dyDescent="0.35">
      <c r="A139" s="22" t="s">
        <v>338</v>
      </c>
      <c r="B139" s="17" t="s">
        <v>222</v>
      </c>
      <c r="C139" s="17" t="s">
        <v>337</v>
      </c>
      <c r="D139" s="23" t="s">
        <v>22</v>
      </c>
      <c r="E139" s="23" t="s">
        <v>100</v>
      </c>
      <c r="F139" s="21">
        <v>0.93</v>
      </c>
      <c r="G139" s="39">
        <v>0.02</v>
      </c>
      <c r="H139" s="39">
        <v>5.5999999999999999E-3</v>
      </c>
      <c r="I139" s="28">
        <v>0.28261914165931901</v>
      </c>
      <c r="J139" s="28">
        <v>0.05</v>
      </c>
      <c r="K139" s="28">
        <v>1.5300000000000001E-9</v>
      </c>
      <c r="L139" s="28">
        <v>1.2099999999999999E-3</v>
      </c>
      <c r="M139" s="197">
        <f>'Parameters, country spec'!M20</f>
        <v>0.36571383818682729</v>
      </c>
    </row>
    <row r="140" spans="1:13" x14ac:dyDescent="0.35">
      <c r="A140" s="22" t="s">
        <v>339</v>
      </c>
      <c r="B140" s="17" t="s">
        <v>226</v>
      </c>
      <c r="C140" s="17" t="s">
        <v>337</v>
      </c>
      <c r="D140" s="23" t="s">
        <v>22</v>
      </c>
      <c r="E140" s="23" t="s">
        <v>100</v>
      </c>
      <c r="F140" s="21">
        <v>7.57</v>
      </c>
      <c r="G140" s="39">
        <v>1.7999999999999999E-2</v>
      </c>
      <c r="H140" s="39">
        <v>3.8E-3</v>
      </c>
      <c r="I140" s="28">
        <v>0.100478034399725</v>
      </c>
      <c r="J140" s="28">
        <v>0</v>
      </c>
      <c r="K140" s="28">
        <v>1.2499999999999999E-8</v>
      </c>
      <c r="L140" s="28">
        <v>1.1000000000000001E-3</v>
      </c>
      <c r="M140" s="197">
        <f>'Parameters, country spec'!M21</f>
        <v>3.3230481611398861E-2</v>
      </c>
    </row>
    <row r="141" spans="1:13" x14ac:dyDescent="0.35">
      <c r="A141" s="22" t="s">
        <v>340</v>
      </c>
      <c r="B141" s="17" t="s">
        <v>227</v>
      </c>
      <c r="C141" s="17" t="s">
        <v>337</v>
      </c>
      <c r="D141" s="23" t="s">
        <v>22</v>
      </c>
      <c r="E141" s="23" t="s">
        <v>100</v>
      </c>
      <c r="F141" s="21">
        <v>4.92</v>
      </c>
      <c r="G141" s="39">
        <v>1.6E-2</v>
      </c>
      <c r="H141" s="39">
        <v>1.1999999999999999E-3</v>
      </c>
      <c r="I141" s="28">
        <v>0</v>
      </c>
      <c r="J141" s="28">
        <v>0</v>
      </c>
      <c r="K141" s="28">
        <v>8.1199999999999993E-9</v>
      </c>
      <c r="L141" s="28">
        <v>9.68E-4</v>
      </c>
      <c r="M141" s="197">
        <f>'Parameters, country spec'!M22</f>
        <v>7.3294724625475594E-3</v>
      </c>
    </row>
    <row r="142" spans="1:13" x14ac:dyDescent="0.35">
      <c r="A142" s="22" t="s">
        <v>341</v>
      </c>
      <c r="B142" s="17" t="s">
        <v>228</v>
      </c>
      <c r="C142" s="17" t="s">
        <v>337</v>
      </c>
      <c r="D142" s="23" t="s">
        <v>22</v>
      </c>
      <c r="E142" s="23" t="s">
        <v>100</v>
      </c>
      <c r="F142" s="21">
        <v>3.48</v>
      </c>
      <c r="G142" s="39">
        <v>2.4E-2</v>
      </c>
      <c r="H142" s="39">
        <v>2.2000000000000001E-3</v>
      </c>
      <c r="I142" s="28">
        <v>2.88183040755794E-2</v>
      </c>
      <c r="J142" s="28">
        <v>0.1</v>
      </c>
      <c r="K142" s="28">
        <v>5.7399999999999996E-9</v>
      </c>
      <c r="L142" s="28">
        <v>1.4300000000000001E-3</v>
      </c>
      <c r="M142" s="197">
        <f>'Parameters, country spec'!M23</f>
        <v>5.256160625309033E-3</v>
      </c>
    </row>
    <row r="143" spans="1:13" x14ac:dyDescent="0.35">
      <c r="A143" s="22" t="s">
        <v>342</v>
      </c>
      <c r="B143" s="17" t="s">
        <v>229</v>
      </c>
      <c r="C143" s="17" t="s">
        <v>343</v>
      </c>
      <c r="D143" s="23" t="s">
        <v>22</v>
      </c>
      <c r="E143" s="23" t="s">
        <v>100</v>
      </c>
      <c r="F143" s="21">
        <v>6.17</v>
      </c>
      <c r="G143" s="39">
        <v>3.9E-2</v>
      </c>
      <c r="H143" s="39">
        <v>1.6999999999999999E-3</v>
      </c>
      <c r="I143" s="28">
        <v>0.17626378095829701</v>
      </c>
      <c r="J143" s="28">
        <v>0.49</v>
      </c>
      <c r="K143" s="28">
        <v>1.02E-8</v>
      </c>
      <c r="L143" s="28">
        <v>0</v>
      </c>
      <c r="M143" s="197">
        <f>'Parameters, country spec'!M24</f>
        <v>1.0533673599513421E-3</v>
      </c>
    </row>
    <row r="144" spans="1:13" x14ac:dyDescent="0.35">
      <c r="A144" s="22" t="s">
        <v>344</v>
      </c>
      <c r="B144" s="17" t="s">
        <v>230</v>
      </c>
      <c r="C144" s="17" t="s">
        <v>343</v>
      </c>
      <c r="D144" s="23" t="s">
        <v>22</v>
      </c>
      <c r="E144" s="23" t="s">
        <v>100</v>
      </c>
      <c r="F144" s="21">
        <v>3.82</v>
      </c>
      <c r="G144" s="39">
        <v>0.01</v>
      </c>
      <c r="H144" s="39">
        <v>2E-3</v>
      </c>
      <c r="I144" s="28">
        <v>0.29659992963884502</v>
      </c>
      <c r="J144" s="28">
        <v>1.05</v>
      </c>
      <c r="K144" s="28">
        <v>6.3099999999999999E-9</v>
      </c>
      <c r="L144" s="28">
        <v>6.1400000000000002E-5</v>
      </c>
      <c r="M144" s="197">
        <f>'Parameters, country spec'!M25</f>
        <v>1.0347538734704405E-3</v>
      </c>
    </row>
    <row r="145" spans="1:13" x14ac:dyDescent="0.35">
      <c r="B145" s="18" t="s">
        <v>231</v>
      </c>
      <c r="C145" s="17" t="s">
        <v>345</v>
      </c>
      <c r="D145" s="23" t="str">
        <f>'Off-farm feed'!$D$88</f>
        <v>France, Germany, Poland</v>
      </c>
      <c r="E145" s="23" t="s">
        <v>82</v>
      </c>
      <c r="F145" s="19">
        <f>'Off-farm feed'!$F$88</f>
        <v>1.5397450382845088</v>
      </c>
      <c r="G145" s="20">
        <f>'Off-farm feed'!$G$88</f>
        <v>4.1115595157230206E-2</v>
      </c>
      <c r="H145" s="20">
        <f>'Off-farm feed'!$H$88</f>
        <v>4.4751668198345796E-3</v>
      </c>
      <c r="I145" s="19">
        <f>'Off-farm feed'!$I$88</f>
        <v>2.5747126436781614E-3</v>
      </c>
      <c r="J145" s="19">
        <f>'Off-farm feed'!$J$88</f>
        <v>0.29368572248181501</v>
      </c>
      <c r="K145" s="29">
        <f>'Off-farm feed'!$K$88</f>
        <v>1.777473414827503E-10</v>
      </c>
      <c r="L145" s="29">
        <f>'Off-farm feed'!$L$88</f>
        <v>2.4996062723023757E-3</v>
      </c>
      <c r="M145" s="197">
        <f>'Parameters, country spec'!M26</f>
        <v>1.1495502598072803E-3</v>
      </c>
    </row>
    <row r="146" spans="1:13" x14ac:dyDescent="0.35">
      <c r="B146" s="18" t="s">
        <v>346</v>
      </c>
      <c r="C146" s="17" t="s">
        <v>345</v>
      </c>
      <c r="D146" s="23" t="str">
        <f>'Off-farm feed'!$D$36</f>
        <v>Brazil, Argentina</v>
      </c>
      <c r="E146" s="23" t="s">
        <v>82</v>
      </c>
      <c r="F146" s="19">
        <f>'Off-farm feed'!$F$36</f>
        <v>2.5509164954964132</v>
      </c>
      <c r="G146" s="20">
        <f>'Off-farm feed'!$G$36</f>
        <v>4.2620923125915477E-2</v>
      </c>
      <c r="H146" s="20">
        <f>'Off-farm feed'!$H$36</f>
        <v>3.2959349471355036E-3</v>
      </c>
      <c r="I146" s="19">
        <f>'Off-farm feed'!$I$36</f>
        <v>2.3780487804878048E-3</v>
      </c>
      <c r="J146" s="19">
        <f>'Off-farm feed'!$J$36</f>
        <v>0.25920846302270939</v>
      </c>
      <c r="K146" s="29">
        <f>'Off-farm feed'!$K$36</f>
        <v>6.1197957373175144E-10</v>
      </c>
      <c r="L146" s="29">
        <f>'Off-farm feed'!$L$36</f>
        <v>1.0450321677831981E-4</v>
      </c>
      <c r="M146" s="197">
        <f>'Parameters, country spec'!M27</f>
        <v>0.20255815802791313</v>
      </c>
    </row>
    <row r="147" spans="1:13" x14ac:dyDescent="0.35">
      <c r="B147" s="17" t="s">
        <v>233</v>
      </c>
      <c r="C147" s="17" t="s">
        <v>347</v>
      </c>
      <c r="D147" s="23" t="s">
        <v>22</v>
      </c>
      <c r="E147" s="23" t="s">
        <v>100</v>
      </c>
      <c r="F147" s="107"/>
      <c r="G147" s="108"/>
      <c r="H147" s="108"/>
      <c r="I147" s="116"/>
      <c r="J147" s="116"/>
      <c r="K147" s="116"/>
      <c r="L147" s="116"/>
      <c r="M147" s="197">
        <f>'Parameters, country spec'!M28</f>
        <v>0.12768205188630527</v>
      </c>
    </row>
    <row r="148" spans="1:13" x14ac:dyDescent="0.35">
      <c r="A148" s="83"/>
      <c r="B148" s="17" t="s">
        <v>348</v>
      </c>
      <c r="C148" s="84" t="s">
        <v>349</v>
      </c>
      <c r="D148" s="23" t="s">
        <v>22</v>
      </c>
      <c r="E148" s="23" t="s">
        <v>100</v>
      </c>
      <c r="F148" s="109">
        <f t="shared" ref="F148:L148" si="11">AVERAGE(F138:F146)</f>
        <v>3.8334068370867689</v>
      </c>
      <c r="G148" s="109">
        <f t="shared" si="11"/>
        <v>2.5748502031460632E-2</v>
      </c>
      <c r="H148" s="109">
        <f t="shared" si="11"/>
        <v>3.0412335296633422E-3</v>
      </c>
      <c r="I148" s="226">
        <f>AVERAGE(I138:I146)</f>
        <v>9.8859105795103486E-2</v>
      </c>
      <c r="J148" s="226">
        <f t="shared" si="11"/>
        <v>0.26698824283383604</v>
      </c>
      <c r="K148" s="226">
        <f t="shared" si="11"/>
        <v>5.6666363239127222E-9</v>
      </c>
      <c r="L148" s="226">
        <f t="shared" si="11"/>
        <v>9.5816772100896597E-4</v>
      </c>
      <c r="M148" s="197">
        <f>'Parameters, country spec'!M29</f>
        <v>0.13271711532536037</v>
      </c>
    </row>
    <row r="149" spans="1:13" x14ac:dyDescent="0.35">
      <c r="A149" s="195"/>
      <c r="B149" s="25" t="s">
        <v>350</v>
      </c>
      <c r="C149" s="26"/>
      <c r="D149" s="103"/>
      <c r="E149" s="103"/>
      <c r="F149" s="30">
        <f>SUMPRODUCT(F138:F148,M138:M148)</f>
        <v>2.1141189307591493</v>
      </c>
      <c r="G149" s="30">
        <f>SUMPRODUCT(G138:G148,M138:M148)</f>
        <v>2.2872796809420497E-2</v>
      </c>
      <c r="H149" s="30">
        <f>SUMPRODUCT(H138:H148,M138:M148)</f>
        <v>3.6539318148802809E-3</v>
      </c>
      <c r="I149" s="30">
        <f>SUMPRODUCT(I138:I148,M138:M148)</f>
        <v>0.12094566487763933</v>
      </c>
      <c r="J149" s="30">
        <f>SUMPRODUCT(J138:J148,M138:M148)</f>
        <v>0.12825426233477055</v>
      </c>
      <c r="K149" s="30">
        <f>SUMPRODUCT(K138:K148,M138:M148)</f>
        <v>2.6685259688968332E-9</v>
      </c>
      <c r="L149" s="30">
        <f>SUMPRODUCT(L138:L148,M138:M148)</f>
        <v>7.9779251794928944E-4</v>
      </c>
      <c r="M149" s="198"/>
    </row>
    <row r="150" spans="1:13" x14ac:dyDescent="0.35">
      <c r="A150" s="22" t="s">
        <v>336</v>
      </c>
      <c r="B150" s="17" t="s">
        <v>218</v>
      </c>
      <c r="C150" s="17" t="s">
        <v>337</v>
      </c>
      <c r="D150" s="23" t="s">
        <v>26</v>
      </c>
      <c r="E150" s="23" t="s">
        <v>101</v>
      </c>
      <c r="F150" s="24">
        <v>1.81</v>
      </c>
      <c r="G150" s="39">
        <v>2.1000000000000001E-2</v>
      </c>
      <c r="H150" s="39">
        <v>3.0999999999999999E-3</v>
      </c>
      <c r="I150" s="28">
        <v>1.0452328693124401E-3</v>
      </c>
      <c r="J150" s="28">
        <v>0.15</v>
      </c>
      <c r="K150" s="28">
        <v>6.8900000000000002E-11</v>
      </c>
      <c r="L150" s="28">
        <v>1.25E-3</v>
      </c>
      <c r="M150" s="197">
        <f>'Parameters, country spec'!N19</f>
        <v>8.7418005626499207E-2</v>
      </c>
    </row>
    <row r="151" spans="1:13" x14ac:dyDescent="0.35">
      <c r="A151" s="22" t="s">
        <v>338</v>
      </c>
      <c r="B151" s="17" t="s">
        <v>222</v>
      </c>
      <c r="C151" s="17" t="s">
        <v>337</v>
      </c>
      <c r="D151" s="23" t="s">
        <v>26</v>
      </c>
      <c r="E151" s="23" t="s">
        <v>101</v>
      </c>
      <c r="F151" s="21">
        <v>1.32</v>
      </c>
      <c r="G151" s="39">
        <v>0.02</v>
      </c>
      <c r="H151" s="39">
        <v>5.5999999999999999E-3</v>
      </c>
      <c r="I151" s="28">
        <v>1.11447318385697E-3</v>
      </c>
      <c r="J151" s="28">
        <v>0.13</v>
      </c>
      <c r="K151" s="28">
        <v>5.0199999999999999E-11</v>
      </c>
      <c r="L151" s="28">
        <v>1.2099999999999999E-3</v>
      </c>
      <c r="M151" s="197">
        <f>'Parameters, country spec'!N20</f>
        <v>0.51851224834420662</v>
      </c>
    </row>
    <row r="152" spans="1:13" x14ac:dyDescent="0.35">
      <c r="A152" s="22" t="s">
        <v>339</v>
      </c>
      <c r="B152" s="17" t="s">
        <v>226</v>
      </c>
      <c r="C152" s="17" t="s">
        <v>337</v>
      </c>
      <c r="D152" s="23" t="s">
        <v>26</v>
      </c>
      <c r="E152" s="23" t="s">
        <v>101</v>
      </c>
      <c r="F152" s="21">
        <v>3.46</v>
      </c>
      <c r="G152" s="39">
        <v>1.7999999999999999E-2</v>
      </c>
      <c r="H152" s="39">
        <v>3.8E-3</v>
      </c>
      <c r="I152" s="28">
        <v>8.2864606852449292E-3</v>
      </c>
      <c r="J152" s="28">
        <v>0</v>
      </c>
      <c r="K152" s="28">
        <v>1.3200000000000001E-10</v>
      </c>
      <c r="L152" s="28">
        <v>1.1000000000000001E-3</v>
      </c>
      <c r="M152" s="197">
        <f>'Parameters, country spec'!N21</f>
        <v>4.6821690090770259E-2</v>
      </c>
    </row>
    <row r="153" spans="1:13" x14ac:dyDescent="0.35">
      <c r="A153" s="22" t="s">
        <v>340</v>
      </c>
      <c r="B153" s="17" t="s">
        <v>227</v>
      </c>
      <c r="C153" s="17" t="s">
        <v>337</v>
      </c>
      <c r="D153" s="23" t="s">
        <v>26</v>
      </c>
      <c r="E153" s="23" t="s">
        <v>101</v>
      </c>
      <c r="F153" s="21">
        <v>3</v>
      </c>
      <c r="G153" s="39">
        <v>1.6E-2</v>
      </c>
      <c r="H153" s="39">
        <v>1.1999999999999999E-3</v>
      </c>
      <c r="I153" s="28">
        <v>1.5128620488640199E-5</v>
      </c>
      <c r="J153" s="28">
        <v>7.0000000000000007E-2</v>
      </c>
      <c r="K153" s="28">
        <v>1.1399999999999999E-10</v>
      </c>
      <c r="L153" s="28">
        <v>9.68E-4</v>
      </c>
      <c r="M153" s="197">
        <f>'Parameters, country spec'!N22</f>
        <v>1.8197973513379373E-2</v>
      </c>
    </row>
    <row r="154" spans="1:13" x14ac:dyDescent="0.35">
      <c r="A154" s="22" t="s">
        <v>341</v>
      </c>
      <c r="B154" s="17" t="s">
        <v>228</v>
      </c>
      <c r="C154" s="17" t="s">
        <v>337</v>
      </c>
      <c r="D154" s="23" t="s">
        <v>26</v>
      </c>
      <c r="E154" s="23" t="s">
        <v>101</v>
      </c>
      <c r="F154" s="21">
        <v>1.84</v>
      </c>
      <c r="G154" s="39">
        <v>2.4E-2</v>
      </c>
      <c r="H154" s="39">
        <v>2.2000000000000001E-3</v>
      </c>
      <c r="I154" s="28">
        <v>1.8303202859960401E-3</v>
      </c>
      <c r="J154" s="28">
        <v>0.18</v>
      </c>
      <c r="K154" s="28">
        <v>6.9799999999999994E-11</v>
      </c>
      <c r="L154" s="28">
        <v>1.4300000000000001E-3</v>
      </c>
      <c r="M154" s="197">
        <f>'Parameters, country spec'!N23</f>
        <v>8.1866500320142158E-2</v>
      </c>
    </row>
    <row r="155" spans="1:13" x14ac:dyDescent="0.35">
      <c r="A155" s="22" t="s">
        <v>342</v>
      </c>
      <c r="B155" s="17" t="s">
        <v>229</v>
      </c>
      <c r="C155" s="17" t="s">
        <v>343</v>
      </c>
      <c r="D155" s="23" t="s">
        <v>26</v>
      </c>
      <c r="E155" s="23" t="s">
        <v>101</v>
      </c>
      <c r="F155" s="21">
        <v>4.21</v>
      </c>
      <c r="G155" s="39">
        <v>2.7E-2</v>
      </c>
      <c r="H155" s="39">
        <v>1.6999999999999999E-3</v>
      </c>
      <c r="I155" s="28">
        <v>7.7181929809216496E-2</v>
      </c>
      <c r="J155" s="28">
        <v>1.01</v>
      </c>
      <c r="K155" s="28">
        <v>1.5999999999999999E-10</v>
      </c>
      <c r="L155" s="28">
        <v>0</v>
      </c>
      <c r="M155" s="197">
        <f>'Parameters, country spec'!N24</f>
        <v>1.1994594385271529E-3</v>
      </c>
    </row>
    <row r="156" spans="1:13" x14ac:dyDescent="0.35">
      <c r="A156" s="22" t="s">
        <v>344</v>
      </c>
      <c r="B156" s="17" t="s">
        <v>230</v>
      </c>
      <c r="C156" s="17" t="s">
        <v>343</v>
      </c>
      <c r="D156" s="23" t="s">
        <v>26</v>
      </c>
      <c r="E156" s="23" t="s">
        <v>101</v>
      </c>
      <c r="F156" s="21">
        <v>5.26</v>
      </c>
      <c r="G156" s="39">
        <v>1.4E-2</v>
      </c>
      <c r="H156" s="39">
        <v>2E-3</v>
      </c>
      <c r="I156" s="28">
        <v>0.145412447441433</v>
      </c>
      <c r="J156" s="28">
        <v>1.01</v>
      </c>
      <c r="K156" s="28">
        <v>2.0000000000000001E-10</v>
      </c>
      <c r="L156" s="28">
        <v>6.1400000000000002E-5</v>
      </c>
      <c r="M156" s="197">
        <f>'Parameters, country spec'!N25</f>
        <v>1.1782644376318839E-3</v>
      </c>
    </row>
    <row r="157" spans="1:13" x14ac:dyDescent="0.35">
      <c r="B157" s="18" t="s">
        <v>231</v>
      </c>
      <c r="C157" s="17" t="s">
        <v>345</v>
      </c>
      <c r="D157" s="23" t="str">
        <f>'Off-farm feed'!$D$88</f>
        <v>France, Germany, Poland</v>
      </c>
      <c r="E157" s="23" t="s">
        <v>82</v>
      </c>
      <c r="F157" s="19">
        <f>'Off-farm feed'!$F$88</f>
        <v>1.5397450382845088</v>
      </c>
      <c r="G157" s="20">
        <f>'Off-farm feed'!$G$88</f>
        <v>4.1115595157230206E-2</v>
      </c>
      <c r="H157" s="20">
        <f>'Off-farm feed'!$H$88</f>
        <v>4.4751668198345796E-3</v>
      </c>
      <c r="I157" s="19">
        <f>'Off-farm feed'!$I$88</f>
        <v>2.5747126436781614E-3</v>
      </c>
      <c r="J157" s="19">
        <f>'Off-farm feed'!$J$88</f>
        <v>0.29368572248181501</v>
      </c>
      <c r="K157" s="29">
        <f>'Off-farm feed'!$K$88</f>
        <v>1.777473414827503E-10</v>
      </c>
      <c r="L157" s="29">
        <f>'Off-farm feed'!$L$88</f>
        <v>2.4996062723023757E-3</v>
      </c>
      <c r="M157" s="197">
        <f>'Parameters, country spec'!N26</f>
        <v>5.1767642112223974E-4</v>
      </c>
    </row>
    <row r="158" spans="1:13" x14ac:dyDescent="0.35">
      <c r="B158" s="18" t="s">
        <v>346</v>
      </c>
      <c r="C158" s="17" t="s">
        <v>345</v>
      </c>
      <c r="D158" s="23" t="str">
        <f>'Off-farm feed'!$D$36</f>
        <v>Brazil, Argentina</v>
      </c>
      <c r="E158" s="23" t="s">
        <v>82</v>
      </c>
      <c r="F158" s="19">
        <f>'Off-farm feed'!$F$36</f>
        <v>2.5509164954964132</v>
      </c>
      <c r="G158" s="20">
        <f>'Off-farm feed'!$G$36</f>
        <v>4.2620923125915477E-2</v>
      </c>
      <c r="H158" s="20">
        <f>'Off-farm feed'!$H$36</f>
        <v>3.2959349471355036E-3</v>
      </c>
      <c r="I158" s="19">
        <f>'Off-farm feed'!$I$36</f>
        <v>2.3780487804878048E-3</v>
      </c>
      <c r="J158" s="19">
        <f>'Off-farm feed'!$J$36</f>
        <v>0.25920846302270939</v>
      </c>
      <c r="K158" s="29">
        <f>'Off-farm feed'!$K$36</f>
        <v>6.1197957373175144E-10</v>
      </c>
      <c r="L158" s="29">
        <f>'Off-farm feed'!$L$36</f>
        <v>1.0450321677831981E-4</v>
      </c>
      <c r="M158" s="197">
        <f>'Parameters, country spec'!N27</f>
        <v>9.8710786383614704E-2</v>
      </c>
    </row>
    <row r="159" spans="1:13" x14ac:dyDescent="0.35">
      <c r="B159" s="17" t="s">
        <v>233</v>
      </c>
      <c r="C159" s="17" t="s">
        <v>347</v>
      </c>
      <c r="D159" s="23" t="s">
        <v>26</v>
      </c>
      <c r="E159" s="23" t="s">
        <v>101</v>
      </c>
      <c r="F159" s="107"/>
      <c r="G159" s="108"/>
      <c r="H159" s="108"/>
      <c r="I159" s="116"/>
      <c r="J159" s="116"/>
      <c r="K159" s="116"/>
      <c r="L159" s="116"/>
      <c r="M159" s="197">
        <f>'Parameters, country spec'!N28</f>
        <v>7.7842176173985381E-2</v>
      </c>
    </row>
    <row r="160" spans="1:13" x14ac:dyDescent="0.35">
      <c r="A160" s="83"/>
      <c r="B160" s="17" t="s">
        <v>348</v>
      </c>
      <c r="C160" s="84" t="s">
        <v>349</v>
      </c>
      <c r="D160" s="23" t="s">
        <v>26</v>
      </c>
      <c r="E160" s="23" t="s">
        <v>101</v>
      </c>
      <c r="F160" s="109">
        <f t="shared" ref="F160:L160" si="12">AVERAGE(F150:F158)</f>
        <v>2.7767401704201022</v>
      </c>
      <c r="G160" s="109">
        <f t="shared" si="12"/>
        <v>2.4859613142571745E-2</v>
      </c>
      <c r="H160" s="109">
        <f t="shared" si="12"/>
        <v>3.0412335296633422E-3</v>
      </c>
      <c r="I160" s="226">
        <f>AVERAGE(I150:I158)</f>
        <v>2.6648750479968276E-2</v>
      </c>
      <c r="J160" s="226">
        <f t="shared" si="12"/>
        <v>0.34476602061161377</v>
      </c>
      <c r="K160" s="226">
        <f t="shared" si="12"/>
        <v>1.7606965724605575E-10</v>
      </c>
      <c r="L160" s="226">
        <f t="shared" si="12"/>
        <v>9.5816772100896597E-4</v>
      </c>
      <c r="M160" s="197">
        <f>'Parameters, country spec'!N29</f>
        <v>6.7735219250121048E-2</v>
      </c>
    </row>
    <row r="161" spans="1:13" x14ac:dyDescent="0.35">
      <c r="A161" s="195"/>
      <c r="B161" s="25" t="s">
        <v>350</v>
      </c>
      <c r="C161" s="26"/>
      <c r="D161" s="103"/>
      <c r="E161" s="103"/>
      <c r="F161" s="30">
        <f>SUMPRODUCT(F150:F160,M150:M160)</f>
        <v>1.6618246492339936</v>
      </c>
      <c r="G161" s="30">
        <f>SUMPRODUCT(G150:G160,M150:M160)</f>
        <v>2.1265958956532341E-2</v>
      </c>
      <c r="H161" s="30">
        <f>SUMPRODUCT(H150:H160,M150:M160)</f>
        <v>4.0925859481225251E-3</v>
      </c>
      <c r="I161" s="30">
        <f>SUMPRODUCT(I150:I160,M150:M160)</f>
        <v>3.5123852893122797E-3</v>
      </c>
      <c r="J161" s="30">
        <f>SUMPRODUCT(J150:J160,M150:M160)</f>
        <v>0.14802212983933277</v>
      </c>
      <c r="K161" s="30">
        <f>SUMPRODUCT(K150:K160,M150:M160)</f>
        <v>1.1887641306531707E-10</v>
      </c>
      <c r="L161" s="30">
        <f>SUMPRODUCT(L150:L160,M150:M160)</f>
        <v>9.9944454848268304E-4</v>
      </c>
      <c r="M161" s="198"/>
    </row>
    <row r="162" spans="1:13" x14ac:dyDescent="0.35">
      <c r="A162" s="22" t="s">
        <v>336</v>
      </c>
      <c r="B162" s="17" t="s">
        <v>218</v>
      </c>
      <c r="C162" s="17" t="s">
        <v>337</v>
      </c>
      <c r="D162" s="23" t="s">
        <v>27</v>
      </c>
      <c r="E162" s="23" t="s">
        <v>102</v>
      </c>
      <c r="F162" s="24">
        <v>1.31</v>
      </c>
      <c r="G162" s="39">
        <v>2.1000000000000001E-2</v>
      </c>
      <c r="H162" s="39">
        <v>3.0999999999999999E-3</v>
      </c>
      <c r="I162" s="28">
        <v>0</v>
      </c>
      <c r="J162" s="28">
        <v>0.42</v>
      </c>
      <c r="K162" s="28">
        <v>4.6500000000000001E-11</v>
      </c>
      <c r="L162" s="28">
        <v>1.25E-3</v>
      </c>
      <c r="M162" s="197">
        <f>'Parameters, country spec'!O19</f>
        <v>0.30763475488022607</v>
      </c>
    </row>
    <row r="163" spans="1:13" x14ac:dyDescent="0.35">
      <c r="A163" s="22" t="s">
        <v>338</v>
      </c>
      <c r="B163" s="17" t="s">
        <v>222</v>
      </c>
      <c r="C163" s="17" t="s">
        <v>337</v>
      </c>
      <c r="D163" s="23" t="s">
        <v>27</v>
      </c>
      <c r="E163" s="23" t="s">
        <v>102</v>
      </c>
      <c r="F163" s="21"/>
      <c r="G163" s="39"/>
      <c r="H163" s="39"/>
      <c r="I163" s="28">
        <v>0</v>
      </c>
      <c r="J163" s="28"/>
      <c r="K163" s="28"/>
      <c r="L163" s="28"/>
      <c r="M163" s="197">
        <f>'Parameters, country spec'!O20</f>
        <v>8.4790139584359644E-2</v>
      </c>
    </row>
    <row r="164" spans="1:13" x14ac:dyDescent="0.35">
      <c r="A164" s="22" t="s">
        <v>339</v>
      </c>
      <c r="B164" s="17" t="s">
        <v>226</v>
      </c>
      <c r="C164" s="17" t="s">
        <v>337</v>
      </c>
      <c r="D164" s="23" t="s">
        <v>27</v>
      </c>
      <c r="E164" s="23" t="s">
        <v>102</v>
      </c>
      <c r="F164" s="21">
        <v>1.31</v>
      </c>
      <c r="G164" s="39">
        <v>1.7999999999999999E-2</v>
      </c>
      <c r="H164" s="39">
        <v>3.8E-3</v>
      </c>
      <c r="I164" s="28">
        <v>1.4889164731429301E-5</v>
      </c>
      <c r="J164" s="28">
        <v>0.39</v>
      </c>
      <c r="K164" s="28">
        <v>4.6299999999999998E-11</v>
      </c>
      <c r="L164" s="28">
        <v>1.1000000000000001E-3</v>
      </c>
      <c r="M164" s="197">
        <f>'Parameters, country spec'!O21</f>
        <v>1.77320656507646E-2</v>
      </c>
    </row>
    <row r="165" spans="1:13" x14ac:dyDescent="0.35">
      <c r="A165" s="22" t="s">
        <v>340</v>
      </c>
      <c r="B165" s="17" t="s">
        <v>227</v>
      </c>
      <c r="C165" s="17" t="s">
        <v>337</v>
      </c>
      <c r="D165" s="23" t="s">
        <v>27</v>
      </c>
      <c r="E165" s="23" t="s">
        <v>102</v>
      </c>
      <c r="F165" s="21">
        <v>3</v>
      </c>
      <c r="G165" s="39">
        <v>1.6E-2</v>
      </c>
      <c r="H165" s="39">
        <v>1.1999999999999999E-3</v>
      </c>
      <c r="I165" s="28">
        <v>0</v>
      </c>
      <c r="J165" s="28">
        <v>0</v>
      </c>
      <c r="K165" s="28">
        <v>1.06E-10</v>
      </c>
      <c r="L165" s="28">
        <v>9.68E-4</v>
      </c>
      <c r="M165" s="197">
        <f>'Parameters, country spec'!O22</f>
        <v>0</v>
      </c>
    </row>
    <row r="166" spans="1:13" x14ac:dyDescent="0.35">
      <c r="A166" s="22" t="s">
        <v>341</v>
      </c>
      <c r="B166" s="17" t="s">
        <v>228</v>
      </c>
      <c r="C166" s="17" t="s">
        <v>337</v>
      </c>
      <c r="D166" s="23" t="s">
        <v>27</v>
      </c>
      <c r="E166" s="23" t="s">
        <v>102</v>
      </c>
      <c r="F166" s="21">
        <v>1.0900000000000001</v>
      </c>
      <c r="G166" s="39">
        <v>2.4E-2</v>
      </c>
      <c r="H166" s="39">
        <v>2.2000000000000001E-3</v>
      </c>
      <c r="I166" s="28">
        <v>0</v>
      </c>
      <c r="J166" s="28">
        <v>0.54</v>
      </c>
      <c r="K166" s="28">
        <v>3.8799999999999998E-11</v>
      </c>
      <c r="L166" s="28">
        <v>1.4300000000000001E-3</v>
      </c>
      <c r="M166" s="197">
        <f>'Parameters, country spec'!O23</f>
        <v>0.13212925363733041</v>
      </c>
    </row>
    <row r="167" spans="1:13" x14ac:dyDescent="0.35">
      <c r="A167" s="22" t="s">
        <v>342</v>
      </c>
      <c r="B167" s="17" t="s">
        <v>229</v>
      </c>
      <c r="C167" s="17" t="s">
        <v>343</v>
      </c>
      <c r="D167" s="23" t="s">
        <v>27</v>
      </c>
      <c r="E167" s="23" t="s">
        <v>102</v>
      </c>
      <c r="F167" s="21">
        <v>2.64</v>
      </c>
      <c r="G167" s="39">
        <v>1.7000000000000001E-2</v>
      </c>
      <c r="H167" s="39">
        <v>1.6999999999999999E-3</v>
      </c>
      <c r="I167" s="28">
        <v>0</v>
      </c>
      <c r="J167" s="28">
        <v>0.36</v>
      </c>
      <c r="K167" s="28">
        <v>9.3600000000000005E-11</v>
      </c>
      <c r="L167" s="28">
        <v>0</v>
      </c>
      <c r="M167" s="197">
        <f>'Parameters, country spec'!O24</f>
        <v>1.3715568697676599E-3</v>
      </c>
    </row>
    <row r="168" spans="1:13" x14ac:dyDescent="0.35">
      <c r="A168" s="22" t="s">
        <v>344</v>
      </c>
      <c r="B168" s="17" t="s">
        <v>230</v>
      </c>
      <c r="C168" s="17" t="s">
        <v>343</v>
      </c>
      <c r="D168" s="23" t="s">
        <v>27</v>
      </c>
      <c r="E168" s="23" t="s">
        <v>102</v>
      </c>
      <c r="F168" s="306">
        <v>2.09</v>
      </c>
      <c r="G168" s="306">
        <v>6.0000000000000001E-3</v>
      </c>
      <c r="H168" s="306">
        <v>2E-3</v>
      </c>
      <c r="I168" s="307">
        <v>0</v>
      </c>
      <c r="J168" s="307">
        <v>0.52</v>
      </c>
      <c r="K168" s="308">
        <v>7.4000000000000003E-11</v>
      </c>
      <c r="L168" s="309">
        <v>6.1400000000000002E-5</v>
      </c>
      <c r="M168" s="197">
        <f>'Parameters, country spec'!O25</f>
        <v>1.3473208286461219E-3</v>
      </c>
    </row>
    <row r="169" spans="1:13" x14ac:dyDescent="0.35">
      <c r="B169" s="18" t="s">
        <v>231</v>
      </c>
      <c r="C169" s="17" t="s">
        <v>345</v>
      </c>
      <c r="D169" s="23" t="str">
        <f>'Off-farm feed'!$D$88</f>
        <v>France, Germany, Poland</v>
      </c>
      <c r="E169" s="23" t="s">
        <v>82</v>
      </c>
      <c r="F169" s="19">
        <f>'Off-farm feed'!$F$88</f>
        <v>1.5397450382845088</v>
      </c>
      <c r="G169" s="20">
        <f>'Off-farm feed'!$G$88</f>
        <v>4.1115595157230206E-2</v>
      </c>
      <c r="H169" s="20">
        <f>'Off-farm feed'!$H$88</f>
        <v>4.4751668198345796E-3</v>
      </c>
      <c r="I169" s="19">
        <f>'Off-farm feed'!$I$88</f>
        <v>2.5747126436781614E-3</v>
      </c>
      <c r="J169" s="19">
        <f>'Off-farm feed'!$J$88</f>
        <v>0.29368572248181501</v>
      </c>
      <c r="K169" s="29">
        <f>'Off-farm feed'!$K$88</f>
        <v>1.777473414827503E-10</v>
      </c>
      <c r="L169" s="29">
        <f>'Off-farm feed'!$L$88</f>
        <v>2.4996062723023757E-3</v>
      </c>
      <c r="M169" s="197">
        <f>'Parameters, country spec'!O26</f>
        <v>7.3430139783317777E-2</v>
      </c>
    </row>
    <row r="170" spans="1:13" x14ac:dyDescent="0.35">
      <c r="B170" s="18" t="s">
        <v>346</v>
      </c>
      <c r="C170" s="17" t="s">
        <v>345</v>
      </c>
      <c r="D170" s="23" t="str">
        <f>'Off-farm feed'!$D$36</f>
        <v>Brazil, Argentina</v>
      </c>
      <c r="E170" s="23" t="s">
        <v>82</v>
      </c>
      <c r="F170" s="19">
        <f>'Off-farm feed'!$F$36</f>
        <v>2.5509164954964132</v>
      </c>
      <c r="G170" s="20">
        <f>'Off-farm feed'!$G$36</f>
        <v>4.2620923125915477E-2</v>
      </c>
      <c r="H170" s="20">
        <f>'Off-farm feed'!$H$36</f>
        <v>3.2959349471355036E-3</v>
      </c>
      <c r="I170" s="19">
        <f>'Off-farm feed'!$I$36</f>
        <v>2.3780487804878048E-3</v>
      </c>
      <c r="J170" s="19">
        <f>'Off-farm feed'!$J$36</f>
        <v>0.25920846302270939</v>
      </c>
      <c r="K170" s="29">
        <f>'Off-farm feed'!$K$36</f>
        <v>6.1197957373175144E-10</v>
      </c>
      <c r="L170" s="29">
        <f>'Off-farm feed'!$L$36</f>
        <v>1.0450321677831981E-4</v>
      </c>
      <c r="M170" s="197">
        <f>'Parameters, country spec'!O27</f>
        <v>0.13973103889626368</v>
      </c>
    </row>
    <row r="171" spans="1:13" x14ac:dyDescent="0.35">
      <c r="B171" s="17" t="s">
        <v>233</v>
      </c>
      <c r="C171" s="17" t="s">
        <v>347</v>
      </c>
      <c r="D171" s="23" t="s">
        <v>27</v>
      </c>
      <c r="E171" s="23" t="s">
        <v>102</v>
      </c>
      <c r="F171" s="107"/>
      <c r="G171" s="108"/>
      <c r="H171" s="108"/>
      <c r="I171" s="116"/>
      <c r="J171" s="116"/>
      <c r="K171" s="116"/>
      <c r="L171" s="116"/>
      <c r="M171" s="197">
        <f>'Parameters, country spec'!O28</f>
        <v>0.13800716313225697</v>
      </c>
    </row>
    <row r="172" spans="1:13" x14ac:dyDescent="0.35">
      <c r="A172" s="83"/>
      <c r="B172" s="17" t="s">
        <v>348</v>
      </c>
      <c r="C172" s="84" t="s">
        <v>349</v>
      </c>
      <c r="D172" s="23" t="s">
        <v>27</v>
      </c>
      <c r="E172" s="23" t="s">
        <v>102</v>
      </c>
      <c r="F172" s="109">
        <f t="shared" ref="F172:L172" si="13">AVERAGE(F162:F170)</f>
        <v>1.9413326917226152</v>
      </c>
      <c r="G172" s="109">
        <f t="shared" si="13"/>
        <v>2.3217064785393211E-2</v>
      </c>
      <c r="H172" s="109">
        <f t="shared" si="13"/>
        <v>2.7213877208712603E-3</v>
      </c>
      <c r="I172" s="226">
        <f>AVERAGE(I162:I170)</f>
        <v>5.5196117654415496E-4</v>
      </c>
      <c r="J172" s="226">
        <f t="shared" si="13"/>
        <v>0.34786177318806555</v>
      </c>
      <c r="K172" s="226">
        <f t="shared" si="13"/>
        <v>1.4936586440181272E-10</v>
      </c>
      <c r="L172" s="226">
        <f t="shared" si="13"/>
        <v>9.2668868613508695E-4</v>
      </c>
      <c r="M172" s="197">
        <f>'Parameters, country spec'!O29</f>
        <v>0.1038265667370671</v>
      </c>
    </row>
    <row r="173" spans="1:13" x14ac:dyDescent="0.35">
      <c r="A173" s="195"/>
      <c r="B173" s="25" t="s">
        <v>350</v>
      </c>
      <c r="C173" s="26"/>
      <c r="D173" s="103"/>
      <c r="E173" s="103"/>
      <c r="F173" s="30">
        <f>SUMPRODUCT(F162:F172,M162:M172)</f>
        <v>1.2477560457495647</v>
      </c>
      <c r="G173" s="30">
        <f>SUMPRODUCT(G162:G172,M162:M172)</f>
        <v>2.1367147406403483E-2</v>
      </c>
      <c r="H173" s="30">
        <f>SUMPRODUCT(H162:H172,M162:M172)</f>
        <v>2.3884691191899698E-3</v>
      </c>
      <c r="I173" s="30">
        <f>SUMPRODUCT(I162:I172,M162:M172)</f>
        <v>5.7892098554995146E-4</v>
      </c>
      <c r="J173" s="30">
        <f>SUMPRODUCT(J162:J172,M162:M172)</f>
        <v>0.30256841201392037</v>
      </c>
      <c r="K173" s="30">
        <f>SUMPRODUCT(K162:K172,M162:M172)</f>
        <v>1.3455340388759561E-10</v>
      </c>
      <c r="L173" s="30">
        <f>SUMPRODUCT(L162:L172,M162:M172)</f>
        <v>8.8743995975873208E-4</v>
      </c>
      <c r="M173" s="198"/>
    </row>
    <row r="174" spans="1:13" x14ac:dyDescent="0.35">
      <c r="A174" s="22" t="s">
        <v>336</v>
      </c>
      <c r="B174" s="17" t="s">
        <v>218</v>
      </c>
      <c r="C174" s="17" t="s">
        <v>337</v>
      </c>
      <c r="D174" s="23" t="s">
        <v>30</v>
      </c>
      <c r="E174" s="23" t="s">
        <v>103</v>
      </c>
      <c r="F174" s="24">
        <v>2.41</v>
      </c>
      <c r="G174" s="39">
        <v>2.1000000000000001E-2</v>
      </c>
      <c r="H174" s="39">
        <v>3.0999999999999999E-3</v>
      </c>
      <c r="I174" s="28">
        <v>0</v>
      </c>
      <c r="J174" s="28">
        <v>0.16</v>
      </c>
      <c r="K174" s="28">
        <v>2.8400000000000001E-9</v>
      </c>
      <c r="L174" s="28">
        <v>1.25E-3</v>
      </c>
      <c r="M174" s="197">
        <f>'Parameters, country spec'!P19</f>
        <v>6.9755357742184998E-2</v>
      </c>
    </row>
    <row r="175" spans="1:13" x14ac:dyDescent="0.35">
      <c r="A175" s="22" t="s">
        <v>338</v>
      </c>
      <c r="B175" s="17" t="s">
        <v>222</v>
      </c>
      <c r="C175" s="17" t="s">
        <v>337</v>
      </c>
      <c r="D175" s="23" t="s">
        <v>30</v>
      </c>
      <c r="E175" s="23" t="s">
        <v>103</v>
      </c>
      <c r="F175" s="21">
        <v>0.97</v>
      </c>
      <c r="G175" s="39">
        <v>0.02</v>
      </c>
      <c r="H175" s="39">
        <v>5.5999999999999999E-3</v>
      </c>
      <c r="I175" s="28">
        <v>0.107875159755801</v>
      </c>
      <c r="J175" s="28">
        <v>0.19</v>
      </c>
      <c r="K175" s="28">
        <v>1.14E-9</v>
      </c>
      <c r="L175" s="28">
        <v>1.2099999999999999E-3</v>
      </c>
      <c r="M175" s="197">
        <f>'Parameters, country spec'!P20</f>
        <v>0.45612129266564322</v>
      </c>
    </row>
    <row r="176" spans="1:13" x14ac:dyDescent="0.35">
      <c r="A176" s="22" t="s">
        <v>339</v>
      </c>
      <c r="B176" s="17" t="s">
        <v>226</v>
      </c>
      <c r="C176" s="17" t="s">
        <v>337</v>
      </c>
      <c r="D176" s="23" t="s">
        <v>30</v>
      </c>
      <c r="E176" s="23" t="s">
        <v>103</v>
      </c>
      <c r="F176" s="21">
        <v>4.3099999999999996</v>
      </c>
      <c r="G176" s="39">
        <v>1.7999999999999999E-2</v>
      </c>
      <c r="H176" s="39">
        <v>3.8E-3</v>
      </c>
      <c r="I176" s="28">
        <v>7.4401097074734898E-2</v>
      </c>
      <c r="J176" s="28">
        <v>0</v>
      </c>
      <c r="K176" s="28">
        <v>5.0600000000000003E-9</v>
      </c>
      <c r="L176" s="28">
        <v>1.1000000000000001E-3</v>
      </c>
      <c r="M176" s="197">
        <f>'Parameters, country spec'!P21</f>
        <v>1.4486341810785938E-2</v>
      </c>
    </row>
    <row r="177" spans="1:13" x14ac:dyDescent="0.35">
      <c r="A177" s="22" t="s">
        <v>340</v>
      </c>
      <c r="B177" s="17" t="s">
        <v>227</v>
      </c>
      <c r="C177" s="17" t="s">
        <v>337</v>
      </c>
      <c r="D177" s="23" t="s">
        <v>30</v>
      </c>
      <c r="E177" s="23" t="s">
        <v>103</v>
      </c>
      <c r="F177" s="21">
        <v>3.11</v>
      </c>
      <c r="G177" s="39">
        <v>1.6E-2</v>
      </c>
      <c r="H177" s="39">
        <v>1.1999999999999999E-3</v>
      </c>
      <c r="I177" s="28">
        <v>0</v>
      </c>
      <c r="J177" s="28">
        <v>0</v>
      </c>
      <c r="K177" s="28">
        <v>3.65E-9</v>
      </c>
      <c r="L177" s="28">
        <v>9.68E-4</v>
      </c>
      <c r="M177" s="197">
        <f>'Parameters, country spec'!P22</f>
        <v>1.154218810875446E-3</v>
      </c>
    </row>
    <row r="178" spans="1:13" x14ac:dyDescent="0.35">
      <c r="A178" s="22" t="s">
        <v>341</v>
      </c>
      <c r="B178" s="17" t="s">
        <v>228</v>
      </c>
      <c r="C178" s="17" t="s">
        <v>337</v>
      </c>
      <c r="D178" s="23" t="s">
        <v>30</v>
      </c>
      <c r="E178" s="23" t="s">
        <v>103</v>
      </c>
      <c r="F178" s="21">
        <v>2.5299999999999998</v>
      </c>
      <c r="G178" s="39">
        <v>2.4E-2</v>
      </c>
      <c r="H178" s="39">
        <v>2.2000000000000001E-3</v>
      </c>
      <c r="I178" s="28">
        <v>1.6090387365381601E-2</v>
      </c>
      <c r="J178" s="28">
        <v>0.1</v>
      </c>
      <c r="K178" s="28">
        <v>2.98E-9</v>
      </c>
      <c r="L178" s="28">
        <v>1.4300000000000001E-3</v>
      </c>
      <c r="M178" s="197">
        <f>'Parameters, country spec'!P23</f>
        <v>6.607302843520492E-2</v>
      </c>
    </row>
    <row r="179" spans="1:13" x14ac:dyDescent="0.35">
      <c r="A179" s="22" t="s">
        <v>342</v>
      </c>
      <c r="B179" s="17" t="s">
        <v>229</v>
      </c>
      <c r="C179" s="17" t="s">
        <v>343</v>
      </c>
      <c r="D179" s="23" t="s">
        <v>30</v>
      </c>
      <c r="E179" s="23" t="s">
        <v>103</v>
      </c>
      <c r="F179" s="21">
        <v>3.42</v>
      </c>
      <c r="G179" s="39">
        <v>2.1999999999999999E-2</v>
      </c>
      <c r="H179" s="39">
        <v>1.6999999999999999E-3</v>
      </c>
      <c r="I179" s="28">
        <v>0</v>
      </c>
      <c r="J179" s="28">
        <v>0.49</v>
      </c>
      <c r="K179" s="28">
        <v>4.0199999999999998E-9</v>
      </c>
      <c r="L179" s="28">
        <v>0</v>
      </c>
      <c r="M179" s="197">
        <f>'Parameters, country spec'!P24</f>
        <v>2.8132125343424525E-3</v>
      </c>
    </row>
    <row r="180" spans="1:13" x14ac:dyDescent="0.35">
      <c r="A180" s="22" t="s">
        <v>344</v>
      </c>
      <c r="B180" s="17" t="s">
        <v>230</v>
      </c>
      <c r="C180" s="17" t="s">
        <v>343</v>
      </c>
      <c r="D180" s="23" t="s">
        <v>30</v>
      </c>
      <c r="E180" s="23" t="s">
        <v>103</v>
      </c>
      <c r="F180" s="21">
        <v>5.13</v>
      </c>
      <c r="G180" s="39">
        <v>1.2999999999999999E-2</v>
      </c>
      <c r="H180" s="39">
        <v>2E-3</v>
      </c>
      <c r="I180" s="28">
        <v>0</v>
      </c>
      <c r="J180" s="28">
        <v>1.05</v>
      </c>
      <c r="K180" s="28">
        <v>6.0200000000000003E-9</v>
      </c>
      <c r="L180" s="28">
        <v>6.1400000000000002E-5</v>
      </c>
      <c r="M180" s="197">
        <f>'Parameters, country spec'!P25</f>
        <v>2.763501773404974E-3</v>
      </c>
    </row>
    <row r="181" spans="1:13" x14ac:dyDescent="0.35">
      <c r="B181" s="18" t="s">
        <v>231</v>
      </c>
      <c r="C181" s="17" t="s">
        <v>345</v>
      </c>
      <c r="D181" s="23" t="str">
        <f>'Off-farm feed'!$D$88</f>
        <v>France, Germany, Poland</v>
      </c>
      <c r="E181" s="23" t="s">
        <v>82</v>
      </c>
      <c r="F181" s="19">
        <f>'Off-farm feed'!$F$88</f>
        <v>1.5397450382845088</v>
      </c>
      <c r="G181" s="20">
        <f>'Off-farm feed'!$G$88</f>
        <v>4.1115595157230206E-2</v>
      </c>
      <c r="H181" s="20">
        <f>'Off-farm feed'!$H$88</f>
        <v>4.4751668198345796E-3</v>
      </c>
      <c r="I181" s="19">
        <f>'Off-farm feed'!$I$88</f>
        <v>2.5747126436781614E-3</v>
      </c>
      <c r="J181" s="19">
        <f>'Off-farm feed'!$J$88</f>
        <v>0.29368572248181501</v>
      </c>
      <c r="K181" s="29">
        <f>'Off-farm feed'!$K$88</f>
        <v>1.777473414827503E-10</v>
      </c>
      <c r="L181" s="29">
        <f>'Off-farm feed'!$L$88</f>
        <v>2.4996062723023757E-3</v>
      </c>
      <c r="M181" s="197">
        <f>'Parameters, country spec'!P26</f>
        <v>4.7386628229038642E-3</v>
      </c>
    </row>
    <row r="182" spans="1:13" x14ac:dyDescent="0.35">
      <c r="B182" s="18" t="s">
        <v>346</v>
      </c>
      <c r="C182" s="17" t="s">
        <v>345</v>
      </c>
      <c r="D182" s="23" t="str">
        <f>'Off-farm feed'!$D$36</f>
        <v>Brazil, Argentina</v>
      </c>
      <c r="E182" s="23" t="s">
        <v>82</v>
      </c>
      <c r="F182" s="19">
        <f>'Off-farm feed'!$F$36</f>
        <v>2.5509164954964132</v>
      </c>
      <c r="G182" s="20">
        <f>'Off-farm feed'!$G$36</f>
        <v>4.2620923125915477E-2</v>
      </c>
      <c r="H182" s="20">
        <f>'Off-farm feed'!$H$36</f>
        <v>3.2959349471355036E-3</v>
      </c>
      <c r="I182" s="19">
        <f>'Off-farm feed'!$I$36</f>
        <v>2.3780487804878048E-3</v>
      </c>
      <c r="J182" s="19">
        <f>'Off-farm feed'!$J$36</f>
        <v>0.25920846302270939</v>
      </c>
      <c r="K182" s="29">
        <f>'Off-farm feed'!$K$36</f>
        <v>6.1197957373175144E-10</v>
      </c>
      <c r="L182" s="29">
        <f>'Off-farm feed'!$L$36</f>
        <v>1.0450321677831981E-4</v>
      </c>
      <c r="M182" s="197">
        <f>'Parameters, country spec'!P27</f>
        <v>0.11699211590575154</v>
      </c>
    </row>
    <row r="183" spans="1:13" x14ac:dyDescent="0.35">
      <c r="B183" s="17" t="s">
        <v>233</v>
      </c>
      <c r="C183" s="17" t="s">
        <v>347</v>
      </c>
      <c r="D183" s="23" t="s">
        <v>30</v>
      </c>
      <c r="E183" s="23" t="s">
        <v>103</v>
      </c>
      <c r="F183" s="107"/>
      <c r="G183" s="108"/>
      <c r="H183" s="108"/>
      <c r="I183" s="116"/>
      <c r="J183" s="116"/>
      <c r="K183" s="116"/>
      <c r="L183" s="116"/>
      <c r="M183" s="197">
        <f>'Parameters, country spec'!P28</f>
        <v>0.12350411469968688</v>
      </c>
    </row>
    <row r="184" spans="1:13" x14ac:dyDescent="0.35">
      <c r="A184" s="83"/>
      <c r="B184" s="17" t="s">
        <v>348</v>
      </c>
      <c r="C184" s="84" t="s">
        <v>349</v>
      </c>
      <c r="D184" s="23" t="s">
        <v>30</v>
      </c>
      <c r="E184" s="23" t="s">
        <v>103</v>
      </c>
      <c r="F184" s="109">
        <f t="shared" ref="F184:L184" si="14">AVERAGE(F174:F182)</f>
        <v>2.8856290593089913</v>
      </c>
      <c r="G184" s="109">
        <f t="shared" si="14"/>
        <v>2.4192946475905076E-2</v>
      </c>
      <c r="H184" s="109">
        <f t="shared" si="14"/>
        <v>3.0412335296633422E-3</v>
      </c>
      <c r="I184" s="226">
        <f>AVERAGE(I174:I182)</f>
        <v>2.2591045068898162E-2</v>
      </c>
      <c r="J184" s="226">
        <f t="shared" si="14"/>
        <v>0.28254379838939159</v>
      </c>
      <c r="K184" s="226">
        <f t="shared" si="14"/>
        <v>2.9444141016905002E-9</v>
      </c>
      <c r="L184" s="226">
        <f t="shared" si="14"/>
        <v>9.5816772100896597E-4</v>
      </c>
      <c r="M184" s="197">
        <f>'Parameters, country spec'!P29</f>
        <v>0.14159815279921578</v>
      </c>
    </row>
    <row r="185" spans="1:13" x14ac:dyDescent="0.35">
      <c r="A185" s="195"/>
      <c r="B185" s="25" t="s">
        <v>350</v>
      </c>
      <c r="C185" s="26"/>
      <c r="D185" s="103"/>
      <c r="E185" s="103"/>
      <c r="F185" s="30">
        <f>SUMPRODUCT(F174:F184,M174:M184)</f>
        <v>1.5818697279953082</v>
      </c>
      <c r="G185" s="30">
        <f>SUMPRODUCT(G174:G184,M174:M184)</f>
        <v>2.1156900353050435E-2</v>
      </c>
      <c r="H185" s="30">
        <f>SUMPRODUCT(H174:H184,M174:M184)</f>
        <v>3.8200618968149613E-3</v>
      </c>
      <c r="I185" s="30">
        <f>SUMPRODUCT(I174:I184,M174:M184)</f>
        <v>5.4834361564777549E-2</v>
      </c>
      <c r="J185" s="30">
        <f>SUMPRODUCT(J174:J184,M174:M184)</f>
        <v>0.18043606079390401</v>
      </c>
      <c r="K185" s="30">
        <f>SUMPRODUCT(K174:K184,M174:M184)</f>
        <v>1.5098029654660451E-9</v>
      </c>
      <c r="L185" s="30">
        <f>SUMPRODUCT(L174:L184,M174:M184)</f>
        <v>9.1055295390619526E-4</v>
      </c>
      <c r="M185" s="198"/>
    </row>
    <row r="186" spans="1:13" x14ac:dyDescent="0.35">
      <c r="A186" s="22" t="s">
        <v>336</v>
      </c>
      <c r="B186" s="17" t="s">
        <v>218</v>
      </c>
      <c r="C186" s="17" t="s">
        <v>337</v>
      </c>
      <c r="D186" s="23" t="s">
        <v>104</v>
      </c>
      <c r="E186" s="23" t="s">
        <v>105</v>
      </c>
      <c r="F186" s="24">
        <v>2.1815008726003491</v>
      </c>
      <c r="G186" s="39">
        <v>2.0506108202443279E-2</v>
      </c>
      <c r="H186" s="39">
        <v>3.0541012216404886E-3</v>
      </c>
      <c r="I186" s="28">
        <v>0</v>
      </c>
      <c r="J186" s="28">
        <v>1.1343804537521816E-7</v>
      </c>
      <c r="K186" s="28">
        <v>9.332913409296623E-16</v>
      </c>
      <c r="L186" s="28">
        <v>5.2359749444649394E-4</v>
      </c>
      <c r="M186" s="197">
        <f>'Parameters, country spec'!Q19</f>
        <v>1.025159863159307E-2</v>
      </c>
    </row>
    <row r="187" spans="1:13" x14ac:dyDescent="0.35">
      <c r="A187" s="22" t="s">
        <v>338</v>
      </c>
      <c r="B187" s="17" t="s">
        <v>222</v>
      </c>
      <c r="C187" s="17" t="s">
        <v>337</v>
      </c>
      <c r="D187" s="23" t="s">
        <v>104</v>
      </c>
      <c r="E187" s="23" t="s">
        <v>105</v>
      </c>
      <c r="F187" s="21">
        <v>5.0505050505050502</v>
      </c>
      <c r="G187" s="39">
        <v>1.3131313131313131E-2</v>
      </c>
      <c r="H187" s="39">
        <v>2.0202020202020202E-3</v>
      </c>
      <c r="I187" s="28">
        <v>0</v>
      </c>
      <c r="J187" s="28">
        <v>3.0808080808080806E-7</v>
      </c>
      <c r="K187" s="28">
        <v>2.1607108620310969E-15</v>
      </c>
      <c r="L187" s="28">
        <v>2.5791649629730588E-5</v>
      </c>
      <c r="M187" s="197">
        <f>'Parameters, country spec'!Q20</f>
        <v>4.5589421610149703E-3</v>
      </c>
    </row>
    <row r="188" spans="1:13" x14ac:dyDescent="0.35">
      <c r="A188" s="22" t="s">
        <v>339</v>
      </c>
      <c r="B188" s="17" t="s">
        <v>226</v>
      </c>
      <c r="C188" s="17" t="s">
        <v>337</v>
      </c>
      <c r="D188" s="23" t="s">
        <v>104</v>
      </c>
      <c r="E188" s="23" t="s">
        <v>105</v>
      </c>
      <c r="F188" s="21">
        <v>1.5128936360129202</v>
      </c>
      <c r="G188" s="39">
        <v>1.9970195995370546E-2</v>
      </c>
      <c r="H188" s="39">
        <v>5.5977064532478039E-3</v>
      </c>
      <c r="I188" s="28">
        <v>0</v>
      </c>
      <c r="J188" s="28">
        <v>1.6641829996142119E-8</v>
      </c>
      <c r="K188" s="28">
        <v>6.4724729106130576E-16</v>
      </c>
      <c r="L188" s="28">
        <v>5.0991365516814952E-4</v>
      </c>
      <c r="M188" s="197">
        <f>'Parameters, country spec'!Q21</f>
        <v>6.1494854155573368E-2</v>
      </c>
    </row>
    <row r="189" spans="1:13" x14ac:dyDescent="0.35">
      <c r="A189" s="22" t="s">
        <v>340</v>
      </c>
      <c r="B189" s="17" t="s">
        <v>227</v>
      </c>
      <c r="C189" s="17" t="s">
        <v>337</v>
      </c>
      <c r="D189" s="23" t="s">
        <v>104</v>
      </c>
      <c r="E189" s="23" t="s">
        <v>105</v>
      </c>
      <c r="F189" s="21">
        <v>2.5461100530609335</v>
      </c>
      <c r="G189" s="39">
        <v>1.8077381376732628E-2</v>
      </c>
      <c r="H189" s="39">
        <v>3.8191650795914001E-3</v>
      </c>
      <c r="I189" s="28">
        <v>0</v>
      </c>
      <c r="J189" s="28">
        <v>1.1457495238774201E-7</v>
      </c>
      <c r="K189" s="28">
        <v>1.0892787142199158E-15</v>
      </c>
      <c r="L189" s="28">
        <v>4.6158303182478765E-4</v>
      </c>
      <c r="M189" s="197">
        <f>'Parameters, country spec'!Q22</f>
        <v>0</v>
      </c>
    </row>
    <row r="190" spans="1:13" x14ac:dyDescent="0.35">
      <c r="A190" s="22" t="s">
        <v>341</v>
      </c>
      <c r="B190" s="17" t="s">
        <v>228</v>
      </c>
      <c r="C190" s="17" t="s">
        <v>337</v>
      </c>
      <c r="D190" s="23" t="s">
        <v>104</v>
      </c>
      <c r="E190" s="23" t="s">
        <v>105</v>
      </c>
      <c r="F190" s="21">
        <v>3.3757097429734602</v>
      </c>
      <c r="G190" s="39">
        <v>2.1266971380732799E-2</v>
      </c>
      <c r="H190" s="39">
        <v>1.6878548714867299E-3</v>
      </c>
      <c r="I190" s="28">
        <v>0</v>
      </c>
      <c r="J190" s="28">
        <v>1.9579116509246066E-7</v>
      </c>
      <c r="K190" s="28">
        <v>1.4441986763239777E-15</v>
      </c>
      <c r="L190" s="28">
        <v>0</v>
      </c>
      <c r="M190" s="197">
        <f>'Parameters, country spec'!Q23</f>
        <v>0.46551967402871186</v>
      </c>
    </row>
    <row r="191" spans="1:13" x14ac:dyDescent="0.35">
      <c r="A191" s="22" t="s">
        <v>342</v>
      </c>
      <c r="B191" s="17" t="s">
        <v>229</v>
      </c>
      <c r="C191" s="17" t="s">
        <v>343</v>
      </c>
      <c r="D191" s="23" t="s">
        <v>104</v>
      </c>
      <c r="E191" s="23" t="s">
        <v>105</v>
      </c>
      <c r="F191" s="21">
        <v>1.6760975086486631</v>
      </c>
      <c r="G191" s="39">
        <v>1.5922926332162302E-2</v>
      </c>
      <c r="H191" s="39">
        <v>1.1732682560540643E-3</v>
      </c>
      <c r="I191" s="28">
        <v>0</v>
      </c>
      <c r="J191" s="28">
        <v>1.5755316581297433E-7</v>
      </c>
      <c r="K191" s="28">
        <v>7.1706929436656458E-16</v>
      </c>
      <c r="L191" s="28">
        <v>4.0657175166874981E-4</v>
      </c>
      <c r="M191" s="197">
        <f>'Parameters, country spec'!Q24</f>
        <v>1.5919708830695596E-3</v>
      </c>
    </row>
    <row r="192" spans="1:13" x14ac:dyDescent="0.35">
      <c r="A192" s="22" t="s">
        <v>344</v>
      </c>
      <c r="B192" s="17" t="s">
        <v>230</v>
      </c>
      <c r="C192" s="17" t="s">
        <v>343</v>
      </c>
      <c r="D192" s="23" t="s">
        <v>104</v>
      </c>
      <c r="E192" s="23" t="s">
        <v>105</v>
      </c>
      <c r="F192" s="21">
        <v>1.5363343063450607</v>
      </c>
      <c r="G192" s="39">
        <v>2.350591488707943E-2</v>
      </c>
      <c r="H192" s="39">
        <v>2.150868028883085E-3</v>
      </c>
      <c r="I192" s="28">
        <v>0</v>
      </c>
      <c r="J192" s="28">
        <v>1.1368873866953449E-7</v>
      </c>
      <c r="K192" s="28">
        <v>6.5727569623929515E-16</v>
      </c>
      <c r="L192" s="28">
        <v>6.0019375778388269E-4</v>
      </c>
      <c r="M192" s="197">
        <f>'Parameters, country spec'!Q25</f>
        <v>1.5638400236253252E-3</v>
      </c>
    </row>
    <row r="193" spans="1:13" x14ac:dyDescent="0.35">
      <c r="B193" s="18" t="s">
        <v>231</v>
      </c>
      <c r="C193" s="17" t="s">
        <v>345</v>
      </c>
      <c r="D193" s="23" t="str">
        <f>'Off-farm feed'!$D$88</f>
        <v>France, Germany, Poland</v>
      </c>
      <c r="E193" s="23" t="s">
        <v>82</v>
      </c>
      <c r="F193" s="19">
        <f>'Off-farm feed'!$F$88</f>
        <v>1.5397450382845088</v>
      </c>
      <c r="G193" s="20">
        <f>'Off-farm feed'!$G$88</f>
        <v>4.1115595157230206E-2</v>
      </c>
      <c r="H193" s="20">
        <f>'Off-farm feed'!$H$88</f>
        <v>4.4751668198345796E-3</v>
      </c>
      <c r="I193" s="19">
        <f>'Off-farm feed'!$I$88</f>
        <v>2.5747126436781614E-3</v>
      </c>
      <c r="J193" s="19">
        <f>'Off-farm feed'!$J$88</f>
        <v>0.29368572248181501</v>
      </c>
      <c r="K193" s="29">
        <f>'Off-farm feed'!$K$88</f>
        <v>1.777473414827503E-10</v>
      </c>
      <c r="L193" s="29">
        <f>'Off-farm feed'!$L$88</f>
        <v>2.4996062723023757E-3</v>
      </c>
      <c r="M193" s="197">
        <f>'Parameters, country spec'!Q26</f>
        <v>0.11099895329121745</v>
      </c>
    </row>
    <row r="194" spans="1:13" x14ac:dyDescent="0.35">
      <c r="B194" s="18" t="s">
        <v>346</v>
      </c>
      <c r="C194" s="17" t="s">
        <v>345</v>
      </c>
      <c r="D194" s="23" t="str">
        <f>'Off-farm feed'!$D$36</f>
        <v>Brazil, Argentina</v>
      </c>
      <c r="E194" s="23" t="s">
        <v>82</v>
      </c>
      <c r="F194" s="19">
        <f>'Off-farm feed'!$F$36</f>
        <v>2.5509164954964132</v>
      </c>
      <c r="G194" s="20">
        <f>'Off-farm feed'!$G$36</f>
        <v>4.2620923125915477E-2</v>
      </c>
      <c r="H194" s="20">
        <f>'Off-farm feed'!$H$36</f>
        <v>3.2959349471355036E-3</v>
      </c>
      <c r="I194" s="19">
        <f>'Off-farm feed'!$I$36</f>
        <v>2.3780487804878048E-3</v>
      </c>
      <c r="J194" s="19">
        <f>'Off-farm feed'!$J$36</f>
        <v>0.25920846302270939</v>
      </c>
      <c r="K194" s="29">
        <f>'Off-farm feed'!$K$36</f>
        <v>6.1197957373175144E-10</v>
      </c>
      <c r="L194" s="29">
        <f>'Off-farm feed'!$L$36</f>
        <v>1.0450321677831981E-4</v>
      </c>
      <c r="M194" s="197">
        <f>'Parameters, country spec'!Q27</f>
        <v>7.913829557911492E-2</v>
      </c>
    </row>
    <row r="195" spans="1:13" x14ac:dyDescent="0.35">
      <c r="B195" s="17" t="s">
        <v>233</v>
      </c>
      <c r="C195" s="17" t="s">
        <v>347</v>
      </c>
      <c r="D195" s="23" t="s">
        <v>104</v>
      </c>
      <c r="E195" s="23" t="s">
        <v>105</v>
      </c>
      <c r="F195" s="107"/>
      <c r="G195" s="108"/>
      <c r="H195" s="108"/>
      <c r="I195" s="116"/>
      <c r="J195" s="116"/>
      <c r="K195" s="116"/>
      <c r="L195" s="116"/>
      <c r="M195" s="197">
        <f>'Parameters, country spec'!Q28</f>
        <v>0.18367698350882727</v>
      </c>
    </row>
    <row r="196" spans="1:13" x14ac:dyDescent="0.35">
      <c r="A196" s="83"/>
      <c r="B196" s="17" t="s">
        <v>348</v>
      </c>
      <c r="C196" s="84" t="s">
        <v>349</v>
      </c>
      <c r="D196" s="23" t="s">
        <v>104</v>
      </c>
      <c r="E196" s="23" t="s">
        <v>105</v>
      </c>
      <c r="F196" s="109">
        <f t="shared" ref="F196:L196" si="15">AVERAGE(F186:F194)</f>
        <v>2.4410903004363735</v>
      </c>
      <c r="G196" s="109">
        <f t="shared" si="15"/>
        <v>2.4013036620997755E-2</v>
      </c>
      <c r="H196" s="109">
        <f t="shared" si="15"/>
        <v>3.0304741886750747E-3</v>
      </c>
      <c r="I196" s="226">
        <f>AVERAGE(I186:I194)</f>
        <v>5.5030682490732959E-4</v>
      </c>
      <c r="J196" s="226">
        <f t="shared" si="15"/>
        <v>6.1432800585914431E-2</v>
      </c>
      <c r="K196" s="226">
        <f t="shared" si="15"/>
        <v>8.774828492070854E-11</v>
      </c>
      <c r="L196" s="226">
        <f t="shared" si="15"/>
        <v>5.7019564773361003E-4</v>
      </c>
      <c r="M196" s="197">
        <f>'Parameters, country spec'!Q29</f>
        <v>8.1204887737252207E-2</v>
      </c>
    </row>
    <row r="197" spans="1:13" x14ac:dyDescent="0.35">
      <c r="A197" s="195"/>
      <c r="B197" s="25" t="s">
        <v>350</v>
      </c>
      <c r="C197" s="26"/>
      <c r="D197" s="103"/>
      <c r="E197" s="103"/>
      <c r="F197" s="30">
        <f>SUMPRODUCT(F186:F196,M186:M196)</f>
        <v>2.2859679189490745</v>
      </c>
      <c r="G197" s="30">
        <f>SUMPRODUCT(G186:G196,M186:M196)</f>
        <v>2.1347162669998001E-2</v>
      </c>
      <c r="H197" s="30">
        <f>SUMPRODUCT(H186:H196,M186:M196)</f>
        <v>2.1793734411525842E-3</v>
      </c>
      <c r="I197" s="30">
        <f>SUMPRODUCT(I186:I196,M186:M196)</f>
        <v>5.1867273970338033E-4</v>
      </c>
      <c r="J197" s="30">
        <f>SUMPRODUCT(J186:J196,M186:M196)</f>
        <v>5.810086259440108E-2</v>
      </c>
      <c r="K197" s="30">
        <f>SUMPRODUCT(K186:K196,M186:M196)</f>
        <v>7.52871125683549E-11</v>
      </c>
      <c r="L197" s="30">
        <f>SUMPRODUCT(L186:L196,M186:M196)</f>
        <v>3.7045477715043498E-4</v>
      </c>
      <c r="M197" s="198"/>
    </row>
    <row r="198" spans="1:13" x14ac:dyDescent="0.35">
      <c r="A198" s="22" t="s">
        <v>336</v>
      </c>
      <c r="B198" s="17" t="s">
        <v>218</v>
      </c>
      <c r="C198" s="17" t="s">
        <v>337</v>
      </c>
      <c r="D198" s="23" t="s">
        <v>106</v>
      </c>
      <c r="E198" s="23" t="s">
        <v>107</v>
      </c>
      <c r="F198" s="24">
        <v>2.1815008726003491</v>
      </c>
      <c r="G198" s="39">
        <v>2.0506108202443279E-2</v>
      </c>
      <c r="H198" s="39">
        <v>3.0541012216404886E-3</v>
      </c>
      <c r="I198" s="28">
        <v>0</v>
      </c>
      <c r="J198" s="28">
        <v>1.1343804537521816E-7</v>
      </c>
      <c r="K198" s="28">
        <v>9.332913409296623E-16</v>
      </c>
      <c r="L198" s="28">
        <v>5.2359749444649394E-4</v>
      </c>
      <c r="M198" s="197">
        <f>'Parameters, country spec'!R19</f>
        <v>4.5682814724964139E-2</v>
      </c>
    </row>
    <row r="199" spans="1:13" x14ac:dyDescent="0.35">
      <c r="A199" s="22" t="s">
        <v>338</v>
      </c>
      <c r="B199" s="17" t="s">
        <v>222</v>
      </c>
      <c r="C199" s="17" t="s">
        <v>337</v>
      </c>
      <c r="D199" s="23" t="s">
        <v>106</v>
      </c>
      <c r="E199" s="23" t="s">
        <v>107</v>
      </c>
      <c r="F199" s="21">
        <v>5.0505050505050502</v>
      </c>
      <c r="G199" s="39">
        <v>1.3131313131313131E-2</v>
      </c>
      <c r="H199" s="39">
        <v>2.0202020202020202E-3</v>
      </c>
      <c r="I199" s="28">
        <v>0</v>
      </c>
      <c r="J199" s="28">
        <v>3.0808080808080806E-7</v>
      </c>
      <c r="K199" s="28">
        <v>2.1607108620310969E-15</v>
      </c>
      <c r="L199" s="28">
        <v>2.5791649629730588E-5</v>
      </c>
      <c r="M199" s="197">
        <f>'Parameters, country spec'!R20</f>
        <v>5.9441183997229891E-2</v>
      </c>
    </row>
    <row r="200" spans="1:13" x14ac:dyDescent="0.35">
      <c r="A200" s="22" t="s">
        <v>339</v>
      </c>
      <c r="B200" s="17" t="s">
        <v>226</v>
      </c>
      <c r="C200" s="17" t="s">
        <v>337</v>
      </c>
      <c r="D200" s="23" t="s">
        <v>106</v>
      </c>
      <c r="E200" s="23" t="s">
        <v>107</v>
      </c>
      <c r="F200" s="21">
        <v>1.5128936360129202</v>
      </c>
      <c r="G200" s="39">
        <v>1.9970195995370546E-2</v>
      </c>
      <c r="H200" s="39">
        <v>5.5977064532478039E-3</v>
      </c>
      <c r="I200" s="28">
        <v>0</v>
      </c>
      <c r="J200" s="28">
        <v>1.6641829996142119E-8</v>
      </c>
      <c r="K200" s="28">
        <v>6.4724729106130576E-16</v>
      </c>
      <c r="L200" s="28">
        <v>5.0991365516814952E-4</v>
      </c>
      <c r="M200" s="197">
        <f>'Parameters, country spec'!R21</f>
        <v>4.5477381822612843E-2</v>
      </c>
    </row>
    <row r="201" spans="1:13" x14ac:dyDescent="0.35">
      <c r="A201" s="22" t="s">
        <v>340</v>
      </c>
      <c r="B201" s="17" t="s">
        <v>227</v>
      </c>
      <c r="C201" s="17" t="s">
        <v>337</v>
      </c>
      <c r="D201" s="23" t="s">
        <v>106</v>
      </c>
      <c r="E201" s="23" t="s">
        <v>107</v>
      </c>
      <c r="F201" s="21">
        <v>2.5461100530609335</v>
      </c>
      <c r="G201" s="39">
        <v>1.8077381376732628E-2</v>
      </c>
      <c r="H201" s="39">
        <v>3.8191650795914001E-3</v>
      </c>
      <c r="I201" s="28">
        <v>0</v>
      </c>
      <c r="J201" s="28">
        <v>1.1457495238774201E-7</v>
      </c>
      <c r="K201" s="28">
        <v>1.0892787142199158E-15</v>
      </c>
      <c r="L201" s="28">
        <v>4.6158303182478765E-4</v>
      </c>
      <c r="M201" s="197">
        <f>'Parameters, country spec'!R22</f>
        <v>0</v>
      </c>
    </row>
    <row r="202" spans="1:13" x14ac:dyDescent="0.35">
      <c r="A202" s="22" t="s">
        <v>341</v>
      </c>
      <c r="B202" s="17" t="s">
        <v>228</v>
      </c>
      <c r="C202" s="17" t="s">
        <v>337</v>
      </c>
      <c r="D202" s="23" t="s">
        <v>106</v>
      </c>
      <c r="E202" s="23" t="s">
        <v>107</v>
      </c>
      <c r="F202" s="21">
        <v>3.3757097429734602</v>
      </c>
      <c r="G202" s="39">
        <v>2.1266971380732799E-2</v>
      </c>
      <c r="H202" s="39">
        <v>1.6878548714867299E-3</v>
      </c>
      <c r="I202" s="28">
        <v>0</v>
      </c>
      <c r="J202" s="28">
        <v>1.9579116509246066E-7</v>
      </c>
      <c r="K202" s="28">
        <v>1.4441986763239777E-15</v>
      </c>
      <c r="L202" s="28">
        <v>0</v>
      </c>
      <c r="M202" s="197">
        <f>'Parameters, country spec'!R23</f>
        <v>0.43548695456925512</v>
      </c>
    </row>
    <row r="203" spans="1:13" x14ac:dyDescent="0.35">
      <c r="A203" s="22" t="s">
        <v>342</v>
      </c>
      <c r="B203" s="17" t="s">
        <v>229</v>
      </c>
      <c r="C203" s="17" t="s">
        <v>343</v>
      </c>
      <c r="D203" s="23" t="s">
        <v>106</v>
      </c>
      <c r="E203" s="23" t="s">
        <v>107</v>
      </c>
      <c r="F203" s="21">
        <v>1.6760975086486631</v>
      </c>
      <c r="G203" s="39">
        <v>1.5922926332162302E-2</v>
      </c>
      <c r="H203" s="39">
        <v>1.1732682560540643E-3</v>
      </c>
      <c r="I203" s="28">
        <v>0</v>
      </c>
      <c r="J203" s="28">
        <v>1.5755316581297433E-7</v>
      </c>
      <c r="K203" s="28">
        <v>7.1706929436656458E-16</v>
      </c>
      <c r="L203" s="28">
        <v>4.0657175166874981E-4</v>
      </c>
      <c r="M203" s="197">
        <f>'Parameters, country spec'!R24</f>
        <v>1.8993498179632567E-2</v>
      </c>
    </row>
    <row r="204" spans="1:13" x14ac:dyDescent="0.35">
      <c r="A204" s="22" t="s">
        <v>344</v>
      </c>
      <c r="B204" s="17" t="s">
        <v>230</v>
      </c>
      <c r="C204" s="17" t="s">
        <v>343</v>
      </c>
      <c r="D204" s="23" t="s">
        <v>106</v>
      </c>
      <c r="E204" s="23" t="s">
        <v>107</v>
      </c>
      <c r="F204" s="21">
        <v>1.5363343063450607</v>
      </c>
      <c r="G204" s="39">
        <v>2.350591488707943E-2</v>
      </c>
      <c r="H204" s="39">
        <v>2.150868028883085E-3</v>
      </c>
      <c r="I204" s="28">
        <v>0</v>
      </c>
      <c r="J204" s="28">
        <v>1.1368873866953449E-7</v>
      </c>
      <c r="K204" s="28">
        <v>6.5727569623929515E-16</v>
      </c>
      <c r="L204" s="28">
        <v>6.0019375778388269E-4</v>
      </c>
      <c r="M204" s="197">
        <f>'Parameters, country spec'!R25</f>
        <v>1.8657874314571762E-2</v>
      </c>
    </row>
    <row r="205" spans="1:13" x14ac:dyDescent="0.35">
      <c r="B205" s="18" t="s">
        <v>231</v>
      </c>
      <c r="C205" s="17" t="s">
        <v>345</v>
      </c>
      <c r="D205" s="23" t="str">
        <f>'Off-farm feed'!$D$88</f>
        <v>France, Germany, Poland</v>
      </c>
      <c r="E205" s="23" t="s">
        <v>82</v>
      </c>
      <c r="F205" s="19">
        <f>'Off-farm feed'!$F$88</f>
        <v>1.5397450382845088</v>
      </c>
      <c r="G205" s="20">
        <f>'Off-farm feed'!$G$88</f>
        <v>4.1115595157230206E-2</v>
      </c>
      <c r="H205" s="20">
        <f>'Off-farm feed'!$H$88</f>
        <v>4.4751668198345796E-3</v>
      </c>
      <c r="I205" s="19">
        <f>'Off-farm feed'!$I$88</f>
        <v>2.5747126436781614E-3</v>
      </c>
      <c r="J205" s="19">
        <f>'Off-farm feed'!$J$88</f>
        <v>0.29368572248181501</v>
      </c>
      <c r="K205" s="29">
        <f>'Off-farm feed'!$K$88</f>
        <v>1.777473414827503E-10</v>
      </c>
      <c r="L205" s="29">
        <f>'Off-farm feed'!$L$88</f>
        <v>2.4996062723023757E-3</v>
      </c>
      <c r="M205" s="197">
        <f>'Parameters, country spec'!R26</f>
        <v>3.7283067343651423E-2</v>
      </c>
    </row>
    <row r="206" spans="1:13" x14ac:dyDescent="0.35">
      <c r="B206" s="18" t="s">
        <v>346</v>
      </c>
      <c r="C206" s="17" t="s">
        <v>345</v>
      </c>
      <c r="D206" s="23" t="str">
        <f>'Off-farm feed'!$D$36</f>
        <v>Brazil, Argentina</v>
      </c>
      <c r="E206" s="23" t="s">
        <v>82</v>
      </c>
      <c r="F206" s="19">
        <f>'Off-farm feed'!$F$36</f>
        <v>2.5509164954964132</v>
      </c>
      <c r="G206" s="20">
        <f>'Off-farm feed'!$G$36</f>
        <v>4.2620923125915477E-2</v>
      </c>
      <c r="H206" s="20">
        <f>'Off-farm feed'!$H$36</f>
        <v>3.2959349471355036E-3</v>
      </c>
      <c r="I206" s="19">
        <f>'Off-farm feed'!$I$36</f>
        <v>2.3780487804878048E-3</v>
      </c>
      <c r="J206" s="19">
        <f>'Off-farm feed'!$J$36</f>
        <v>0.25920846302270939</v>
      </c>
      <c r="K206" s="29">
        <f>'Off-farm feed'!$K$36</f>
        <v>6.1197957373175144E-10</v>
      </c>
      <c r="L206" s="29">
        <f>'Off-farm feed'!$L$36</f>
        <v>1.0450321677831981E-4</v>
      </c>
      <c r="M206" s="197">
        <f>'Parameters, country spec'!R27</f>
        <v>0.14137030319659935</v>
      </c>
    </row>
    <row r="207" spans="1:13" x14ac:dyDescent="0.35">
      <c r="B207" s="17" t="s">
        <v>233</v>
      </c>
      <c r="C207" s="17" t="s">
        <v>347</v>
      </c>
      <c r="D207" s="23" t="s">
        <v>106</v>
      </c>
      <c r="E207" s="23" t="s">
        <v>107</v>
      </c>
      <c r="F207" s="107"/>
      <c r="G207" s="108"/>
      <c r="H207" s="108"/>
      <c r="I207" s="116"/>
      <c r="J207" s="116"/>
      <c r="K207" s="116"/>
      <c r="L207" s="116"/>
      <c r="M207" s="197">
        <f>'Parameters, country spec'!R28</f>
        <v>0.11217476738724967</v>
      </c>
    </row>
    <row r="208" spans="1:13" x14ac:dyDescent="0.35">
      <c r="A208" s="83"/>
      <c r="B208" s="17" t="s">
        <v>348</v>
      </c>
      <c r="C208" s="84" t="s">
        <v>349</v>
      </c>
      <c r="D208" s="23" t="s">
        <v>106</v>
      </c>
      <c r="E208" s="23" t="s">
        <v>107</v>
      </c>
      <c r="F208" s="109">
        <f t="shared" ref="F208:L208" si="16">AVERAGE(F198:F206)</f>
        <v>2.4410903004363735</v>
      </c>
      <c r="G208" s="109">
        <f t="shared" si="16"/>
        <v>2.4013036620997755E-2</v>
      </c>
      <c r="H208" s="109">
        <f t="shared" si="16"/>
        <v>3.0304741886750747E-3</v>
      </c>
      <c r="I208" s="226">
        <f>AVERAGE(I198:I206)</f>
        <v>5.5030682490732959E-4</v>
      </c>
      <c r="J208" s="226">
        <f t="shared" si="16"/>
        <v>6.1432800585914431E-2</v>
      </c>
      <c r="K208" s="226">
        <f t="shared" si="16"/>
        <v>8.774828492070854E-11</v>
      </c>
      <c r="L208" s="226">
        <f t="shared" si="16"/>
        <v>5.7019564773361003E-4</v>
      </c>
      <c r="M208" s="197">
        <f>'Parameters, country spec'!R29</f>
        <v>8.5432154464233287E-2</v>
      </c>
    </row>
    <row r="209" spans="1:13" x14ac:dyDescent="0.35">
      <c r="A209" s="195"/>
      <c r="B209" s="25" t="s">
        <v>350</v>
      </c>
      <c r="C209" s="26"/>
      <c r="D209" s="103"/>
      <c r="E209" s="103"/>
      <c r="F209" s="30">
        <f>SUMPRODUCT(F198:F208,M198:M208)</f>
        <v>2.6258226445229216</v>
      </c>
      <c r="G209" s="30">
        <f>SUMPRODUCT(G198:G208,M198:M208)</f>
        <v>2.2237734629194438E-2</v>
      </c>
      <c r="H209" s="30">
        <f>SUMPRODUCT(H198:H208,M198:M208)</f>
        <v>2.203321253231041E-3</v>
      </c>
      <c r="I209" s="30">
        <f>SUMPRODUCT(I198:I208,M198:M208)</f>
        <v>4.7919255966687277E-4</v>
      </c>
      <c r="J209" s="30">
        <f>SUMPRODUCT(J198:J208,M198:M208)</f>
        <v>5.2842334716487901E-2</v>
      </c>
      <c r="K209" s="30">
        <f>SUMPRODUCT(K198:K208,M198:M208)</f>
        <v>1.0064008434096178E-10</v>
      </c>
      <c r="L209" s="30">
        <f>SUMPRODUCT(L198:L208,M198:M208)</f>
        <v>2.2424227411131154E-4</v>
      </c>
      <c r="M209" s="198"/>
    </row>
    <row r="210" spans="1:13" x14ac:dyDescent="0.35">
      <c r="A210" s="22" t="s">
        <v>336</v>
      </c>
      <c r="B210" s="17" t="s">
        <v>218</v>
      </c>
      <c r="C210" s="17" t="s">
        <v>337</v>
      </c>
      <c r="D210" s="23" t="s">
        <v>108</v>
      </c>
      <c r="E210" s="23" t="s">
        <v>109</v>
      </c>
      <c r="F210" s="24">
        <v>2.1815008726003491</v>
      </c>
      <c r="G210" s="39">
        <v>2.0506108202443279E-2</v>
      </c>
      <c r="H210" s="39">
        <v>3.0541012216404886E-3</v>
      </c>
      <c r="I210" s="28">
        <v>0</v>
      </c>
      <c r="J210" s="28">
        <v>1.1343804537521816E-7</v>
      </c>
      <c r="K210" s="28">
        <v>9.332913409296623E-16</v>
      </c>
      <c r="L210" s="28">
        <v>5.2359749444649394E-4</v>
      </c>
      <c r="M210" s="197">
        <f>'Parameters, country spec'!S19</f>
        <v>0.16759238515757716</v>
      </c>
    </row>
    <row r="211" spans="1:13" x14ac:dyDescent="0.35">
      <c r="A211" s="22" t="s">
        <v>338</v>
      </c>
      <c r="B211" s="17" t="s">
        <v>222</v>
      </c>
      <c r="C211" s="17" t="s">
        <v>337</v>
      </c>
      <c r="D211" s="23" t="s">
        <v>108</v>
      </c>
      <c r="E211" s="23" t="s">
        <v>109</v>
      </c>
      <c r="F211" s="21">
        <v>5.0505050505050502</v>
      </c>
      <c r="G211" s="39">
        <v>1.3131313131313131E-2</v>
      </c>
      <c r="H211" s="39">
        <v>2.0202020202020202E-3</v>
      </c>
      <c r="I211" s="28">
        <v>0</v>
      </c>
      <c r="J211" s="28">
        <v>3.0808080808080806E-7</v>
      </c>
      <c r="K211" s="28">
        <v>2.1607108620310969E-15</v>
      </c>
      <c r="L211" s="28">
        <v>2.5791649629730588E-5</v>
      </c>
      <c r="M211" s="197">
        <f>'Parameters, country spec'!S20</f>
        <v>0.30877372872298287</v>
      </c>
    </row>
    <row r="212" spans="1:13" x14ac:dyDescent="0.35">
      <c r="A212" s="22" t="s">
        <v>339</v>
      </c>
      <c r="B212" s="17" t="s">
        <v>226</v>
      </c>
      <c r="C212" s="17" t="s">
        <v>337</v>
      </c>
      <c r="D212" s="23" t="s">
        <v>108</v>
      </c>
      <c r="E212" s="23" t="s">
        <v>109</v>
      </c>
      <c r="F212" s="21">
        <v>1.5128936360129202</v>
      </c>
      <c r="G212" s="39">
        <v>1.9970195995370546E-2</v>
      </c>
      <c r="H212" s="39">
        <v>5.5977064532478039E-3</v>
      </c>
      <c r="I212" s="28">
        <v>0</v>
      </c>
      <c r="J212" s="28">
        <v>1.6641829996142119E-8</v>
      </c>
      <c r="K212" s="28">
        <v>6.4724729106130576E-16</v>
      </c>
      <c r="L212" s="28">
        <v>5.0991365516814952E-4</v>
      </c>
      <c r="M212" s="197">
        <f>'Parameters, country spec'!S21</f>
        <v>6.9416678407666198E-3</v>
      </c>
    </row>
    <row r="213" spans="1:13" x14ac:dyDescent="0.35">
      <c r="A213" s="22" t="s">
        <v>340</v>
      </c>
      <c r="B213" s="17" t="s">
        <v>227</v>
      </c>
      <c r="C213" s="17" t="s">
        <v>337</v>
      </c>
      <c r="D213" s="23" t="s">
        <v>108</v>
      </c>
      <c r="E213" s="23" t="s">
        <v>109</v>
      </c>
      <c r="F213" s="21">
        <v>2.5461100530609335</v>
      </c>
      <c r="G213" s="39">
        <v>1.8077381376732628E-2</v>
      </c>
      <c r="H213" s="39">
        <v>3.8191650795914001E-3</v>
      </c>
      <c r="I213" s="28">
        <v>0</v>
      </c>
      <c r="J213" s="28">
        <v>1.1457495238774201E-7</v>
      </c>
      <c r="K213" s="28">
        <v>1.0892787142199158E-15</v>
      </c>
      <c r="L213" s="28">
        <v>4.6158303182478765E-4</v>
      </c>
      <c r="M213" s="197">
        <f>'Parameters, country spec'!S22</f>
        <v>0</v>
      </c>
    </row>
    <row r="214" spans="1:13" x14ac:dyDescent="0.35">
      <c r="A214" s="22" t="s">
        <v>341</v>
      </c>
      <c r="B214" s="17" t="s">
        <v>228</v>
      </c>
      <c r="C214" s="17" t="s">
        <v>337</v>
      </c>
      <c r="D214" s="23" t="s">
        <v>108</v>
      </c>
      <c r="E214" s="23" t="s">
        <v>109</v>
      </c>
      <c r="F214" s="21">
        <v>3.3757097429734602</v>
      </c>
      <c r="G214" s="39">
        <v>2.1266971380732799E-2</v>
      </c>
      <c r="H214" s="39">
        <v>1.6878548714867299E-3</v>
      </c>
      <c r="I214" s="28">
        <v>0</v>
      </c>
      <c r="J214" s="28">
        <v>1.9579116509246066E-7</v>
      </c>
      <c r="K214" s="28">
        <v>1.4441986763239777E-15</v>
      </c>
      <c r="L214" s="28">
        <v>0</v>
      </c>
      <c r="M214" s="197">
        <f>'Parameters, country spec'!S23</f>
        <v>0.21985896785484657</v>
      </c>
    </row>
    <row r="215" spans="1:13" x14ac:dyDescent="0.35">
      <c r="A215" s="22" t="s">
        <v>342</v>
      </c>
      <c r="B215" s="17" t="s">
        <v>229</v>
      </c>
      <c r="C215" s="17" t="s">
        <v>343</v>
      </c>
      <c r="D215" s="23" t="s">
        <v>108</v>
      </c>
      <c r="E215" s="23" t="s">
        <v>109</v>
      </c>
      <c r="F215" s="21">
        <v>1.6760975086486631</v>
      </c>
      <c r="G215" s="39">
        <v>1.5922926332162302E-2</v>
      </c>
      <c r="H215" s="39">
        <v>1.1732682560540643E-3</v>
      </c>
      <c r="I215" s="28">
        <v>0</v>
      </c>
      <c r="J215" s="28">
        <v>1.5755316581297433E-7</v>
      </c>
      <c r="K215" s="28">
        <v>7.1706929436656458E-16</v>
      </c>
      <c r="L215" s="28">
        <v>4.0657175166874981E-4</v>
      </c>
      <c r="M215" s="197">
        <f>'Parameters, country spec'!S24</f>
        <v>0</v>
      </c>
    </row>
    <row r="216" spans="1:13" x14ac:dyDescent="0.35">
      <c r="A216" s="22" t="s">
        <v>344</v>
      </c>
      <c r="B216" s="17" t="s">
        <v>230</v>
      </c>
      <c r="C216" s="17" t="s">
        <v>343</v>
      </c>
      <c r="D216" s="23" t="s">
        <v>108</v>
      </c>
      <c r="E216" s="23" t="s">
        <v>109</v>
      </c>
      <c r="F216" s="21">
        <v>1.5363343063450607</v>
      </c>
      <c r="G216" s="39">
        <v>2.350591488707943E-2</v>
      </c>
      <c r="H216" s="39">
        <v>2.150868028883085E-3</v>
      </c>
      <c r="I216" s="28">
        <v>0</v>
      </c>
      <c r="J216" s="28">
        <v>1.1368873866953449E-7</v>
      </c>
      <c r="K216" s="28">
        <v>6.5727569623929515E-16</v>
      </c>
      <c r="L216" s="28">
        <v>6.0019375778388269E-4</v>
      </c>
      <c r="M216" s="197">
        <f>'Parameters, country spec'!S25</f>
        <v>0</v>
      </c>
    </row>
    <row r="217" spans="1:13" x14ac:dyDescent="0.35">
      <c r="B217" s="18" t="s">
        <v>231</v>
      </c>
      <c r="C217" s="17" t="s">
        <v>345</v>
      </c>
      <c r="D217" s="23" t="str">
        <f>'Off-farm feed'!$D$88</f>
        <v>France, Germany, Poland</v>
      </c>
      <c r="E217" s="23" t="s">
        <v>82</v>
      </c>
      <c r="F217" s="19">
        <f>'Off-farm feed'!$F$88</f>
        <v>1.5397450382845088</v>
      </c>
      <c r="G217" s="20">
        <f>'Off-farm feed'!$G$88</f>
        <v>4.1115595157230206E-2</v>
      </c>
      <c r="H217" s="20">
        <f>'Off-farm feed'!$H$88</f>
        <v>4.4751668198345796E-3</v>
      </c>
      <c r="I217" s="19">
        <f>'Off-farm feed'!$I$88</f>
        <v>2.5747126436781614E-3</v>
      </c>
      <c r="J217" s="19">
        <f>'Off-farm feed'!$J$88</f>
        <v>0.29368572248181501</v>
      </c>
      <c r="K217" s="29">
        <f>'Off-farm feed'!$K$88</f>
        <v>1.777473414827503E-10</v>
      </c>
      <c r="L217" s="29">
        <f>'Off-farm feed'!$L$88</f>
        <v>2.4996062723023757E-3</v>
      </c>
      <c r="M217" s="197">
        <f>'Parameters, country spec'!S26</f>
        <v>0</v>
      </c>
    </row>
    <row r="218" spans="1:13" x14ac:dyDescent="0.35">
      <c r="B218" s="18" t="s">
        <v>346</v>
      </c>
      <c r="C218" s="17" t="s">
        <v>345</v>
      </c>
      <c r="D218" s="23" t="str">
        <f>'Off-farm feed'!$D$36</f>
        <v>Brazil, Argentina</v>
      </c>
      <c r="E218" s="23" t="s">
        <v>82</v>
      </c>
      <c r="F218" s="19">
        <f>'Off-farm feed'!$F$36</f>
        <v>2.5509164954964132</v>
      </c>
      <c r="G218" s="20">
        <f>'Off-farm feed'!$G$36</f>
        <v>4.2620923125915477E-2</v>
      </c>
      <c r="H218" s="20">
        <f>'Off-farm feed'!$H$36</f>
        <v>3.2959349471355036E-3</v>
      </c>
      <c r="I218" s="19">
        <f>'Off-farm feed'!$I$36</f>
        <v>2.3780487804878048E-3</v>
      </c>
      <c r="J218" s="19">
        <f>'Off-farm feed'!$J$36</f>
        <v>0.25920846302270939</v>
      </c>
      <c r="K218" s="29">
        <f>'Off-farm feed'!$K$36</f>
        <v>6.1197957373175144E-10</v>
      </c>
      <c r="L218" s="29">
        <f>'Off-farm feed'!$L$36</f>
        <v>1.0450321677831981E-4</v>
      </c>
      <c r="M218" s="197">
        <f>'Parameters, country spec'!S27</f>
        <v>0.20010207877950584</v>
      </c>
    </row>
    <row r="219" spans="1:13" x14ac:dyDescent="0.35">
      <c r="B219" s="17" t="s">
        <v>233</v>
      </c>
      <c r="C219" s="17" t="s">
        <v>347</v>
      </c>
      <c r="D219" s="23" t="s">
        <v>108</v>
      </c>
      <c r="E219" s="23" t="s">
        <v>109</v>
      </c>
      <c r="F219" s="107"/>
      <c r="G219" s="108"/>
      <c r="H219" s="108"/>
      <c r="I219" s="116"/>
      <c r="J219" s="116"/>
      <c r="K219" s="116"/>
      <c r="L219" s="116"/>
      <c r="M219" s="197">
        <f>'Parameters, country spec'!S28</f>
        <v>5.5344876310481586E-2</v>
      </c>
    </row>
    <row r="220" spans="1:13" x14ac:dyDescent="0.35">
      <c r="A220" s="83"/>
      <c r="B220" s="17" t="s">
        <v>348</v>
      </c>
      <c r="C220" s="84" t="s">
        <v>349</v>
      </c>
      <c r="D220" s="23" t="s">
        <v>108</v>
      </c>
      <c r="E220" s="23" t="s">
        <v>109</v>
      </c>
      <c r="F220" s="109">
        <f t="shared" ref="F220:L220" si="17">AVERAGE(F210:F218)</f>
        <v>2.4410903004363735</v>
      </c>
      <c r="G220" s="109">
        <f t="shared" si="17"/>
        <v>2.4013036620997755E-2</v>
      </c>
      <c r="H220" s="109">
        <f t="shared" si="17"/>
        <v>3.0304741886750747E-3</v>
      </c>
      <c r="I220" s="226">
        <f>AVERAGE(I210:I218)</f>
        <v>5.5030682490732959E-4</v>
      </c>
      <c r="J220" s="226">
        <f t="shared" si="17"/>
        <v>6.1432800585914431E-2</v>
      </c>
      <c r="K220" s="226">
        <f t="shared" si="17"/>
        <v>8.774828492070854E-11</v>
      </c>
      <c r="L220" s="226">
        <f t="shared" si="17"/>
        <v>5.7019564773361003E-4</v>
      </c>
      <c r="M220" s="197">
        <f>'Parameters, country spec'!S29</f>
        <v>4.1386295333839362E-2</v>
      </c>
    </row>
    <row r="221" spans="1:13" x14ac:dyDescent="0.35">
      <c r="A221" s="195"/>
      <c r="B221" s="25" t="s">
        <v>350</v>
      </c>
      <c r="C221" s="26"/>
      <c r="D221" s="103"/>
      <c r="E221" s="103"/>
      <c r="F221" s="30">
        <f>SUMPRODUCT(F210:F220,M210:M220)</f>
        <v>3.2892196534606302</v>
      </c>
      <c r="G221" s="30">
        <f>SUMPRODUCT(G210:G220,M210:M220)</f>
        <v>2.1827978889468906E-2</v>
      </c>
      <c r="H221" s="30">
        <f>SUMPRODUCT(H210:H220,M210:M220)</f>
        <v>2.3305204018192081E-3</v>
      </c>
      <c r="I221" s="30">
        <f>SUMPRODUCT(I210:I220,M210:M220)</f>
        <v>4.9862766519452064E-4</v>
      </c>
      <c r="J221" s="30">
        <f>SUMPRODUCT(J210:J220,M210:M220)</f>
        <v>5.4410785616896315E-2</v>
      </c>
      <c r="K221" s="30">
        <f>SUMPRODUCT(K210:K220,M210:M220)</f>
        <v>1.2609110690536315E-10</v>
      </c>
      <c r="L221" s="30">
        <f>SUMPRODUCT(L210:L220,M210:M220)</f>
        <v>1.4376398439621646E-4</v>
      </c>
      <c r="M221" s="198"/>
    </row>
    <row r="222" spans="1:13" x14ac:dyDescent="0.35">
      <c r="A222" s="22" t="s">
        <v>336</v>
      </c>
      <c r="B222" s="17" t="s">
        <v>218</v>
      </c>
      <c r="C222" s="17" t="s">
        <v>337</v>
      </c>
      <c r="D222" s="23" t="s">
        <v>20</v>
      </c>
      <c r="E222" s="23" t="s">
        <v>110</v>
      </c>
      <c r="F222" s="24">
        <v>1.47</v>
      </c>
      <c r="G222" s="39">
        <v>2.1000000000000001E-2</v>
      </c>
      <c r="H222" s="39">
        <v>3.0999999999999999E-3</v>
      </c>
      <c r="I222" s="28">
        <v>0</v>
      </c>
      <c r="J222" s="28">
        <v>0.31</v>
      </c>
      <c r="K222" s="28">
        <v>3.7400000000000001E-11</v>
      </c>
      <c r="L222" s="28">
        <v>1.25E-3</v>
      </c>
      <c r="M222" s="197">
        <f>'Parameters, country spec'!T19</f>
        <v>6.5976692624369268E-2</v>
      </c>
    </row>
    <row r="223" spans="1:13" x14ac:dyDescent="0.35">
      <c r="A223" s="22" t="s">
        <v>338</v>
      </c>
      <c r="B223" s="17" t="s">
        <v>222</v>
      </c>
      <c r="C223" s="17" t="s">
        <v>337</v>
      </c>
      <c r="D223" s="23" t="s">
        <v>20</v>
      </c>
      <c r="E223" s="23" t="s">
        <v>110</v>
      </c>
      <c r="F223" s="21">
        <v>1.08</v>
      </c>
      <c r="G223" s="39">
        <v>0.02</v>
      </c>
      <c r="H223" s="39">
        <v>5.5999999999999999E-3</v>
      </c>
      <c r="I223" s="28">
        <v>1.6271234432720799E-2</v>
      </c>
      <c r="J223" s="28">
        <v>0.94</v>
      </c>
      <c r="K223" s="28">
        <v>2.76E-11</v>
      </c>
      <c r="L223" s="28">
        <v>1.2099999999999999E-3</v>
      </c>
      <c r="M223" s="197">
        <f>'Parameters, country spec'!T20</f>
        <v>0.19814107333385653</v>
      </c>
    </row>
    <row r="224" spans="1:13" x14ac:dyDescent="0.35">
      <c r="A224" s="22" t="s">
        <v>339</v>
      </c>
      <c r="B224" s="17" t="s">
        <v>226</v>
      </c>
      <c r="C224" s="17" t="s">
        <v>337</v>
      </c>
      <c r="D224" s="23" t="s">
        <v>20</v>
      </c>
      <c r="E224" s="23" t="s">
        <v>110</v>
      </c>
      <c r="F224" s="21">
        <v>1.96</v>
      </c>
      <c r="G224" s="39">
        <v>1.7999999999999999E-2</v>
      </c>
      <c r="H224" s="39">
        <v>3.8E-3</v>
      </c>
      <c r="I224" s="28">
        <v>2.4189052298800402E-3</v>
      </c>
      <c r="J224" s="28">
        <v>0.09</v>
      </c>
      <c r="K224" s="28">
        <v>5.01E-11</v>
      </c>
      <c r="L224" s="28">
        <v>1.1000000000000001E-3</v>
      </c>
      <c r="M224" s="197">
        <f>'Parameters, country spec'!T21</f>
        <v>2.1671841623166059E-3</v>
      </c>
    </row>
    <row r="225" spans="1:13" x14ac:dyDescent="0.35">
      <c r="A225" s="22" t="s">
        <v>340</v>
      </c>
      <c r="B225" s="17" t="s">
        <v>227</v>
      </c>
      <c r="C225" s="17" t="s">
        <v>337</v>
      </c>
      <c r="D225" s="23" t="s">
        <v>20</v>
      </c>
      <c r="E225" s="23" t="s">
        <v>110</v>
      </c>
      <c r="F225" s="21">
        <v>2.85</v>
      </c>
      <c r="G225" s="39">
        <v>1.6E-2</v>
      </c>
      <c r="H225" s="39">
        <v>1.1999999999999999E-3</v>
      </c>
      <c r="I225" s="28">
        <v>0</v>
      </c>
      <c r="J225" s="28">
        <v>0</v>
      </c>
      <c r="K225" s="28">
        <v>7.2700000000000005E-11</v>
      </c>
      <c r="L225" s="28">
        <v>9.68E-4</v>
      </c>
      <c r="M225" s="197">
        <f>'Parameters, country spec'!T22</f>
        <v>8.1550834411767848E-3</v>
      </c>
    </row>
    <row r="226" spans="1:13" x14ac:dyDescent="0.35">
      <c r="A226" s="22" t="s">
        <v>341</v>
      </c>
      <c r="B226" s="17" t="s">
        <v>228</v>
      </c>
      <c r="C226" s="17" t="s">
        <v>337</v>
      </c>
      <c r="D226" s="23" t="s">
        <v>20</v>
      </c>
      <c r="E226" s="23" t="s">
        <v>110</v>
      </c>
      <c r="F226" s="21">
        <v>1.1499999999999999</v>
      </c>
      <c r="G226" s="39">
        <v>2.4E-2</v>
      </c>
      <c r="H226" s="39">
        <v>2.2000000000000001E-3</v>
      </c>
      <c r="I226" s="28">
        <v>0</v>
      </c>
      <c r="J226" s="28">
        <v>0.26</v>
      </c>
      <c r="K226" s="28">
        <v>2.92E-11</v>
      </c>
      <c r="L226" s="28">
        <v>1.4300000000000001E-3</v>
      </c>
      <c r="M226" s="197">
        <f>'Parameters, country spec'!T23</f>
        <v>0.22324493125110034</v>
      </c>
    </row>
    <row r="227" spans="1:13" x14ac:dyDescent="0.35">
      <c r="A227" s="22" t="s">
        <v>342</v>
      </c>
      <c r="B227" s="17" t="s">
        <v>229</v>
      </c>
      <c r="C227" s="17" t="s">
        <v>343</v>
      </c>
      <c r="D227" s="23" t="s">
        <v>20</v>
      </c>
      <c r="E227" s="23" t="s">
        <v>110</v>
      </c>
      <c r="F227" s="21">
        <v>2</v>
      </c>
      <c r="G227" s="39">
        <v>1.2999999999999999E-2</v>
      </c>
      <c r="H227" s="39">
        <v>1.6999999999999999E-3</v>
      </c>
      <c r="I227" s="28">
        <v>0</v>
      </c>
      <c r="J227" s="28">
        <v>1.01</v>
      </c>
      <c r="K227" s="28">
        <v>5.0999999999999998E-11</v>
      </c>
      <c r="L227" s="28">
        <v>0</v>
      </c>
      <c r="M227" s="197">
        <f>'Parameters, country spec'!T24</f>
        <v>0</v>
      </c>
    </row>
    <row r="228" spans="1:13" x14ac:dyDescent="0.35">
      <c r="A228" s="22" t="s">
        <v>344</v>
      </c>
      <c r="B228" s="17" t="s">
        <v>230</v>
      </c>
      <c r="C228" s="17" t="s">
        <v>343</v>
      </c>
      <c r="D228" s="23" t="s">
        <v>20</v>
      </c>
      <c r="E228" s="23" t="s">
        <v>110</v>
      </c>
      <c r="F228" s="21">
        <v>2</v>
      </c>
      <c r="G228" s="39">
        <v>6.0000000000000001E-3</v>
      </c>
      <c r="H228" s="39">
        <v>2E-3</v>
      </c>
      <c r="I228" s="28">
        <v>0</v>
      </c>
      <c r="J228" s="28">
        <v>1.05</v>
      </c>
      <c r="K228" s="28">
        <v>5.1100000000000003E-11</v>
      </c>
      <c r="L228" s="28">
        <v>6.1400000000000002E-5</v>
      </c>
      <c r="M228" s="197">
        <f>'Parameters, country spec'!T25</f>
        <v>0</v>
      </c>
    </row>
    <row r="229" spans="1:13" x14ac:dyDescent="0.35">
      <c r="B229" s="18" t="s">
        <v>231</v>
      </c>
      <c r="C229" s="17" t="s">
        <v>345</v>
      </c>
      <c r="D229" s="23" t="str">
        <f>'Off-farm feed'!$D$88</f>
        <v>France, Germany, Poland</v>
      </c>
      <c r="E229" s="23" t="s">
        <v>82</v>
      </c>
      <c r="F229" s="19">
        <f>'Off-farm feed'!$F$88</f>
        <v>1.5397450382845088</v>
      </c>
      <c r="G229" s="20">
        <f>'Off-farm feed'!$G$88</f>
        <v>4.1115595157230206E-2</v>
      </c>
      <c r="H229" s="20">
        <f>'Off-farm feed'!$H$88</f>
        <v>4.4751668198345796E-3</v>
      </c>
      <c r="I229" s="19">
        <f>'Off-farm feed'!$I$88</f>
        <v>2.5747126436781614E-3</v>
      </c>
      <c r="J229" s="19">
        <f>'Off-farm feed'!$J$88</f>
        <v>0.29368572248181501</v>
      </c>
      <c r="K229" s="29">
        <f>'Off-farm feed'!$K$88</f>
        <v>1.777473414827503E-10</v>
      </c>
      <c r="L229" s="29">
        <f>'Off-farm feed'!$L$88</f>
        <v>2.4996062723023757E-3</v>
      </c>
      <c r="M229" s="197">
        <f>'Parameters, country spec'!T26</f>
        <v>0.12320054874364431</v>
      </c>
    </row>
    <row r="230" spans="1:13" x14ac:dyDescent="0.35">
      <c r="B230" s="18" t="s">
        <v>346</v>
      </c>
      <c r="C230" s="17" t="s">
        <v>345</v>
      </c>
      <c r="D230" s="23" t="str">
        <f>'Off-farm feed'!$D$36</f>
        <v>Brazil, Argentina</v>
      </c>
      <c r="E230" s="23" t="s">
        <v>82</v>
      </c>
      <c r="F230" s="19">
        <f>'Off-farm feed'!$F$36</f>
        <v>2.5509164954964132</v>
      </c>
      <c r="G230" s="20">
        <f>'Off-farm feed'!$G$36</f>
        <v>4.2620923125915477E-2</v>
      </c>
      <c r="H230" s="20">
        <f>'Off-farm feed'!$H$36</f>
        <v>3.2959349471355036E-3</v>
      </c>
      <c r="I230" s="19">
        <f>'Off-farm feed'!$I$36</f>
        <v>2.3780487804878048E-3</v>
      </c>
      <c r="J230" s="19">
        <f>'Off-farm feed'!$J$36</f>
        <v>0.25920846302270939</v>
      </c>
      <c r="K230" s="29">
        <f>'Off-farm feed'!$K$36</f>
        <v>6.1197957373175144E-10</v>
      </c>
      <c r="L230" s="29">
        <f>'Off-farm feed'!$L$36</f>
        <v>1.0450321677831981E-4</v>
      </c>
      <c r="M230" s="197">
        <f>'Parameters, country spec'!T27</f>
        <v>0.15910748774892908</v>
      </c>
    </row>
    <row r="231" spans="1:13" x14ac:dyDescent="0.35">
      <c r="B231" s="17" t="s">
        <v>233</v>
      </c>
      <c r="C231" s="17" t="s">
        <v>347</v>
      </c>
      <c r="D231" s="23" t="s">
        <v>20</v>
      </c>
      <c r="E231" s="23" t="s">
        <v>110</v>
      </c>
      <c r="F231" s="107"/>
      <c r="G231" s="108"/>
      <c r="H231" s="108"/>
      <c r="I231" s="116"/>
      <c r="J231" s="116"/>
      <c r="K231" s="116"/>
      <c r="L231" s="116"/>
      <c r="M231" s="197">
        <f>'Parameters, country spec'!T28</f>
        <v>1.7335418632101657E-2</v>
      </c>
    </row>
    <row r="232" spans="1:13" x14ac:dyDescent="0.35">
      <c r="A232" s="83"/>
      <c r="B232" s="17" t="s">
        <v>348</v>
      </c>
      <c r="C232" s="84" t="s">
        <v>349</v>
      </c>
      <c r="D232" s="23" t="s">
        <v>20</v>
      </c>
      <c r="E232" s="23" t="s">
        <v>110</v>
      </c>
      <c r="F232" s="109">
        <f t="shared" ref="F232:L232" si="18">AVERAGE(F222:F230)</f>
        <v>1.8445179481978802</v>
      </c>
      <c r="G232" s="109">
        <f t="shared" si="18"/>
        <v>2.2415168698127302E-2</v>
      </c>
      <c r="H232" s="109">
        <f t="shared" si="18"/>
        <v>3.0412335296633422E-3</v>
      </c>
      <c r="I232" s="226">
        <f>AVERAGE(I222:I230)</f>
        <v>2.6269890096407562E-3</v>
      </c>
      <c r="J232" s="226">
        <f t="shared" si="18"/>
        <v>0.46809935394494712</v>
      </c>
      <c r="K232" s="226">
        <f t="shared" si="18"/>
        <v>1.2320299057938908E-10</v>
      </c>
      <c r="L232" s="226">
        <f t="shared" si="18"/>
        <v>9.5816772100896597E-4</v>
      </c>
      <c r="M232" s="197">
        <f>'Parameters, country spec'!T29</f>
        <v>0.20267158006250544</v>
      </c>
    </row>
    <row r="233" spans="1:13" x14ac:dyDescent="0.35">
      <c r="A233" s="195"/>
      <c r="B233" s="25" t="s">
        <v>350</v>
      </c>
      <c r="C233" s="26"/>
      <c r="D233" s="103"/>
      <c r="E233" s="103"/>
      <c r="F233" s="30">
        <f>SUMPRODUCT(F222:F232,M222:M232)</f>
        <v>1.5645981527752544</v>
      </c>
      <c r="G233" s="30">
        <f>SUMPRODUCT(G222:G232,M222:M232)</f>
        <v>2.7265390558609826E-2</v>
      </c>
      <c r="H233" s="30">
        <f>SUMPRODUCT(H222:H232,M222:M232)</f>
        <v>3.5154005484453162E-3</v>
      </c>
      <c r="I233" s="30">
        <f>SUMPRODUCT(I222:I232,M222:M232)</f>
        <v>4.4572294592273402E-3</v>
      </c>
      <c r="J233" s="30">
        <f>SUMPRODUCT(J222:J232,M222:M232)</f>
        <v>0.43723879756027234</v>
      </c>
      <c r="K233" s="30">
        <f>SUMPRODUCT(K222:K232,M222:M232)</f>
        <v>1.5939527172107263E-10</v>
      </c>
      <c r="L233" s="30">
        <f>SUMPRODUCT(L222:L232,M222:M232)</f>
        <v>1.170513314208874E-3</v>
      </c>
      <c r="M233" s="198"/>
    </row>
    <row r="234" spans="1:13" x14ac:dyDescent="0.35">
      <c r="A234" s="22" t="s">
        <v>336</v>
      </c>
      <c r="B234" s="17" t="s">
        <v>218</v>
      </c>
      <c r="C234" s="17" t="s">
        <v>337</v>
      </c>
      <c r="D234" s="23" t="s">
        <v>19</v>
      </c>
      <c r="E234" s="23" t="s">
        <v>111</v>
      </c>
      <c r="F234" s="24">
        <v>2.64</v>
      </c>
      <c r="G234" s="39">
        <v>2.1000000000000001E-2</v>
      </c>
      <c r="H234" s="39">
        <v>3.0999999999999999E-3</v>
      </c>
      <c r="I234" s="28">
        <v>0</v>
      </c>
      <c r="J234" s="28">
        <v>0.23</v>
      </c>
      <c r="K234" s="28">
        <v>1.2E-10</v>
      </c>
      <c r="L234" s="28">
        <v>1.25E-3</v>
      </c>
      <c r="M234" s="197">
        <f>'Parameters, country spec'!U19</f>
        <v>0.16996898787594733</v>
      </c>
    </row>
    <row r="235" spans="1:13" x14ac:dyDescent="0.35">
      <c r="A235" s="22" t="s">
        <v>338</v>
      </c>
      <c r="B235" s="17" t="s">
        <v>222</v>
      </c>
      <c r="C235" s="17" t="s">
        <v>337</v>
      </c>
      <c r="D235" s="23" t="s">
        <v>19</v>
      </c>
      <c r="E235" s="23" t="s">
        <v>111</v>
      </c>
      <c r="F235" s="21">
        <v>1.52</v>
      </c>
      <c r="G235" s="39">
        <v>0.02</v>
      </c>
      <c r="H235" s="39">
        <v>5.5999999999999999E-3</v>
      </c>
      <c r="I235" s="28">
        <v>3.7403547823840698E-3</v>
      </c>
      <c r="J235" s="28">
        <v>0.13</v>
      </c>
      <c r="K235" s="28">
        <v>6.8700000000000006E-11</v>
      </c>
      <c r="L235" s="28">
        <v>1.2099999999999999E-3</v>
      </c>
      <c r="M235" s="197">
        <f>'Parameters, country spec'!U20</f>
        <v>0.23283885034476093</v>
      </c>
    </row>
    <row r="236" spans="1:13" x14ac:dyDescent="0.35">
      <c r="A236" s="22" t="s">
        <v>339</v>
      </c>
      <c r="B236" s="17" t="s">
        <v>226</v>
      </c>
      <c r="C236" s="17" t="s">
        <v>337</v>
      </c>
      <c r="D236" s="23" t="s">
        <v>19</v>
      </c>
      <c r="E236" s="23" t="s">
        <v>111</v>
      </c>
      <c r="F236" s="21">
        <v>3.56</v>
      </c>
      <c r="G236" s="39">
        <v>1.7999999999999999E-2</v>
      </c>
      <c r="H236" s="39">
        <v>3.8E-3</v>
      </c>
      <c r="I236" s="28">
        <v>8.19041835426825E-4</v>
      </c>
      <c r="J236" s="28">
        <v>0.14000000000000001</v>
      </c>
      <c r="K236" s="28">
        <v>1.6100000000000001E-10</v>
      </c>
      <c r="L236" s="28">
        <v>1.1000000000000001E-3</v>
      </c>
      <c r="M236" s="197">
        <f>'Parameters, country spec'!U21</f>
        <v>5.0904696791723991E-3</v>
      </c>
    </row>
    <row r="237" spans="1:13" x14ac:dyDescent="0.35">
      <c r="A237" s="22" t="s">
        <v>340</v>
      </c>
      <c r="B237" s="17" t="s">
        <v>227</v>
      </c>
      <c r="C237" s="17" t="s">
        <v>337</v>
      </c>
      <c r="D237" s="23" t="s">
        <v>19</v>
      </c>
      <c r="E237" s="23" t="s">
        <v>111</v>
      </c>
      <c r="F237" s="21">
        <v>3.38</v>
      </c>
      <c r="G237" s="39">
        <v>1.6E-2</v>
      </c>
      <c r="H237" s="39">
        <v>1.1999999999999999E-3</v>
      </c>
      <c r="I237" s="28">
        <v>1.87956044751104E-4</v>
      </c>
      <c r="J237" s="28">
        <v>7.0000000000000007E-2</v>
      </c>
      <c r="K237" s="28">
        <v>1.5299999999999999E-10</v>
      </c>
      <c r="L237" s="28">
        <v>9.68E-4</v>
      </c>
      <c r="M237" s="197">
        <f>'Parameters, country spec'!U22</f>
        <v>6.6462863913214348E-2</v>
      </c>
    </row>
    <row r="238" spans="1:13" x14ac:dyDescent="0.35">
      <c r="A238" s="22" t="s">
        <v>341</v>
      </c>
      <c r="B238" s="17" t="s">
        <v>228</v>
      </c>
      <c r="C238" s="17" t="s">
        <v>337</v>
      </c>
      <c r="D238" s="23" t="s">
        <v>19</v>
      </c>
      <c r="E238" s="23" t="s">
        <v>111</v>
      </c>
      <c r="F238" s="21">
        <v>2.14</v>
      </c>
      <c r="G238" s="39">
        <v>2.4E-2</v>
      </c>
      <c r="H238" s="39">
        <v>2.2000000000000001E-3</v>
      </c>
      <c r="I238" s="28">
        <v>3.9847055114357799E-4</v>
      </c>
      <c r="J238" s="28">
        <v>0.25</v>
      </c>
      <c r="K238" s="28">
        <v>9.6800000000000004E-11</v>
      </c>
      <c r="L238" s="28">
        <v>1.4300000000000001E-3</v>
      </c>
      <c r="M238" s="197">
        <f>'Parameters, country spec'!U23</f>
        <v>0.26723420141656068</v>
      </c>
    </row>
    <row r="239" spans="1:13" x14ac:dyDescent="0.35">
      <c r="A239" s="22" t="s">
        <v>342</v>
      </c>
      <c r="B239" s="17" t="s">
        <v>229</v>
      </c>
      <c r="C239" s="17" t="s">
        <v>343</v>
      </c>
      <c r="D239" s="23" t="s">
        <v>19</v>
      </c>
      <c r="E239" s="23" t="s">
        <v>111</v>
      </c>
      <c r="F239" s="21">
        <v>4.8600000000000003</v>
      </c>
      <c r="G239" s="39">
        <v>3.1E-2</v>
      </c>
      <c r="H239" s="39">
        <v>1.6999999999999999E-3</v>
      </c>
      <c r="I239" s="28">
        <v>0</v>
      </c>
      <c r="J239" s="28">
        <v>1.01</v>
      </c>
      <c r="K239" s="28">
        <v>2.1999999999999999E-10</v>
      </c>
      <c r="L239" s="28">
        <v>0</v>
      </c>
      <c r="M239" s="197">
        <f>'Parameters, country spec'!U24</f>
        <v>4.1789296546899217E-3</v>
      </c>
    </row>
    <row r="240" spans="1:13" x14ac:dyDescent="0.35">
      <c r="A240" s="22" t="s">
        <v>344</v>
      </c>
      <c r="B240" s="17" t="s">
        <v>230</v>
      </c>
      <c r="C240" s="17" t="s">
        <v>343</v>
      </c>
      <c r="D240" s="23" t="s">
        <v>19</v>
      </c>
      <c r="E240" s="23" t="s">
        <v>111</v>
      </c>
      <c r="F240" s="21">
        <v>3.93</v>
      </c>
      <c r="G240" s="39">
        <v>0.01</v>
      </c>
      <c r="H240" s="39">
        <v>2E-3</v>
      </c>
      <c r="I240" s="28">
        <v>0</v>
      </c>
      <c r="J240" s="28">
        <v>1.05</v>
      </c>
      <c r="K240" s="28">
        <v>1.7800000000000001E-10</v>
      </c>
      <c r="L240" s="28">
        <v>6.1400000000000002E-5</v>
      </c>
      <c r="M240" s="197">
        <f>'Parameters, country spec'!U25</f>
        <v>4.1050860427910675E-3</v>
      </c>
    </row>
    <row r="241" spans="1:13" x14ac:dyDescent="0.35">
      <c r="B241" s="18" t="s">
        <v>231</v>
      </c>
      <c r="C241" s="17" t="s">
        <v>345</v>
      </c>
      <c r="D241" s="23" t="str">
        <f>'Off-farm feed'!$D$88</f>
        <v>France, Germany, Poland</v>
      </c>
      <c r="E241" s="23" t="s">
        <v>82</v>
      </c>
      <c r="F241" s="19">
        <f>'Off-farm feed'!$F$88</f>
        <v>1.5397450382845088</v>
      </c>
      <c r="G241" s="20">
        <f>'Off-farm feed'!$G$88</f>
        <v>4.1115595157230206E-2</v>
      </c>
      <c r="H241" s="20">
        <f>'Off-farm feed'!$H$88</f>
        <v>4.4751668198345796E-3</v>
      </c>
      <c r="I241" s="19">
        <f>'Off-farm feed'!$I$88</f>
        <v>2.5747126436781614E-3</v>
      </c>
      <c r="J241" s="19">
        <f>'Off-farm feed'!$J$88</f>
        <v>0.29368572248181501</v>
      </c>
      <c r="K241" s="29">
        <f>'Off-farm feed'!$K$88</f>
        <v>1.777473414827503E-10</v>
      </c>
      <c r="L241" s="29">
        <f>'Off-farm feed'!$L$88</f>
        <v>2.4996062723023757E-3</v>
      </c>
      <c r="M241" s="197">
        <f>'Parameters, country spec'!U26</f>
        <v>3.0119810543340508E-2</v>
      </c>
    </row>
    <row r="242" spans="1:13" x14ac:dyDescent="0.35">
      <c r="B242" s="18" t="s">
        <v>346</v>
      </c>
      <c r="C242" s="17" t="s">
        <v>345</v>
      </c>
      <c r="D242" s="23" t="str">
        <f>'Off-farm feed'!$D$36</f>
        <v>Brazil, Argentina</v>
      </c>
      <c r="E242" s="23" t="s">
        <v>82</v>
      </c>
      <c r="F242" s="19">
        <f>'Off-farm feed'!$F$36</f>
        <v>2.5509164954964132</v>
      </c>
      <c r="G242" s="20">
        <f>'Off-farm feed'!$G$36</f>
        <v>4.2620923125915477E-2</v>
      </c>
      <c r="H242" s="20">
        <f>'Off-farm feed'!$H$36</f>
        <v>3.2959349471355036E-3</v>
      </c>
      <c r="I242" s="19">
        <f>'Off-farm feed'!$I$36</f>
        <v>2.3780487804878048E-3</v>
      </c>
      <c r="J242" s="19">
        <f>'Off-farm feed'!$J$36</f>
        <v>0.25920846302270939</v>
      </c>
      <c r="K242" s="29">
        <f>'Off-farm feed'!$K$36</f>
        <v>6.1197957373175144E-10</v>
      </c>
      <c r="L242" s="29">
        <f>'Off-farm feed'!$L$36</f>
        <v>1.0450321677831981E-4</v>
      </c>
      <c r="M242" s="197">
        <f>'Parameters, country spec'!U27</f>
        <v>0.1050568603152183</v>
      </c>
    </row>
    <row r="243" spans="1:13" x14ac:dyDescent="0.35">
      <c r="B243" s="17" t="s">
        <v>233</v>
      </c>
      <c r="C243" s="17" t="s">
        <v>347</v>
      </c>
      <c r="D243" s="23" t="s">
        <v>19</v>
      </c>
      <c r="E243" s="23" t="s">
        <v>111</v>
      </c>
      <c r="F243" s="107"/>
      <c r="G243" s="108"/>
      <c r="H243" s="108"/>
      <c r="I243" s="116"/>
      <c r="J243" s="116"/>
      <c r="K243" s="116"/>
      <c r="L243" s="116"/>
      <c r="M243" s="197">
        <f>'Parameters, country spec'!U28</f>
        <v>5.1412336687770274E-2</v>
      </c>
    </row>
    <row r="244" spans="1:13" x14ac:dyDescent="0.35">
      <c r="A244" s="83"/>
      <c r="B244" s="17" t="s">
        <v>348</v>
      </c>
      <c r="C244" s="84" t="s">
        <v>349</v>
      </c>
      <c r="D244" s="23" t="s">
        <v>19</v>
      </c>
      <c r="E244" s="23" t="s">
        <v>111</v>
      </c>
      <c r="F244" s="109">
        <f t="shared" ref="F244:L244" si="19">AVERAGE(F234:F242)</f>
        <v>2.9022957259756579</v>
      </c>
      <c r="G244" s="109">
        <f t="shared" si="19"/>
        <v>2.4859613142571745E-2</v>
      </c>
      <c r="H244" s="109">
        <f t="shared" si="19"/>
        <v>3.0412335296633422E-3</v>
      </c>
      <c r="I244" s="226">
        <f>AVERAGE(I234:I242)</f>
        <v>1.1220649597635047E-3</v>
      </c>
      <c r="J244" s="226">
        <f t="shared" si="19"/>
        <v>0.38143268727828045</v>
      </c>
      <c r="K244" s="226">
        <f t="shared" si="19"/>
        <v>1.9858076835716685E-10</v>
      </c>
      <c r="L244" s="226">
        <f t="shared" si="19"/>
        <v>9.5816772100896597E-4</v>
      </c>
      <c r="M244" s="197">
        <f>'Parameters, country spec'!U29</f>
        <v>6.3531603526534211E-2</v>
      </c>
    </row>
    <row r="245" spans="1:13" x14ac:dyDescent="0.35">
      <c r="A245" s="195"/>
      <c r="B245" s="25" t="s">
        <v>350</v>
      </c>
      <c r="C245" s="26"/>
      <c r="D245" s="103"/>
      <c r="E245" s="103"/>
      <c r="F245" s="30">
        <f>SUMPRODUCT(F234:F244,M234:M244)</f>
        <v>2.152479118063229</v>
      </c>
      <c r="G245" s="30">
        <f>SUMPRODUCT(G234:G244,M234:M244)</f>
        <v>2.3260763932701704E-2</v>
      </c>
      <c r="H245" s="30">
        <f>SUMPRODUCT(H234:H244,M234:M244)</f>
        <v>3.2073964383884943E-3</v>
      </c>
      <c r="I245" s="30">
        <f>SUMPRODUCT(I234:I244,M234:M244)</f>
        <v>1.3927130533282024E-3</v>
      </c>
      <c r="J245" s="30">
        <f>SUMPRODUCT(J234:J244,M234:M244)</f>
        <v>0.21037700950856331</v>
      </c>
      <c r="K245" s="30">
        <f>SUMPRODUCT(K234:K244,M234:M244)</f>
        <v>1.5716155538424737E-10</v>
      </c>
      <c r="L245" s="30">
        <f>SUMPRODUCT(L234:L244,M234:M244)</f>
        <v>1.0936691519512136E-3</v>
      </c>
      <c r="M245" s="198"/>
    </row>
    <row r="246" spans="1:13" x14ac:dyDescent="0.35">
      <c r="A246" s="22" t="s">
        <v>336</v>
      </c>
      <c r="B246" s="17" t="s">
        <v>218</v>
      </c>
      <c r="C246" s="17" t="s">
        <v>337</v>
      </c>
      <c r="D246" s="23" t="s">
        <v>112</v>
      </c>
      <c r="E246" s="23" t="s">
        <v>113</v>
      </c>
      <c r="F246" s="24">
        <v>2.1815008726003491</v>
      </c>
      <c r="G246" s="39">
        <v>2.0506108202443279E-2</v>
      </c>
      <c r="H246" s="39">
        <v>3.0541012216404886E-3</v>
      </c>
      <c r="I246" s="28">
        <v>0</v>
      </c>
      <c r="J246" s="28">
        <v>1.1343804537521816E-7</v>
      </c>
      <c r="K246" s="28">
        <v>9.332913409296623E-16</v>
      </c>
      <c r="L246" s="28">
        <v>5.2359749444649394E-4</v>
      </c>
      <c r="M246" s="197">
        <f>'Parameters, country spec'!V19</f>
        <v>4.6734825942588876E-2</v>
      </c>
    </row>
    <row r="247" spans="1:13" x14ac:dyDescent="0.35">
      <c r="A247" s="22" t="s">
        <v>338</v>
      </c>
      <c r="B247" s="17" t="s">
        <v>222</v>
      </c>
      <c r="C247" s="17" t="s">
        <v>337</v>
      </c>
      <c r="D247" s="23" t="s">
        <v>112</v>
      </c>
      <c r="E247" s="23" t="s">
        <v>113</v>
      </c>
      <c r="F247" s="21">
        <v>5.0505050505050502</v>
      </c>
      <c r="G247" s="39">
        <v>1.3131313131313131E-2</v>
      </c>
      <c r="H247" s="39">
        <v>2.0202020202020202E-3</v>
      </c>
      <c r="I247" s="28">
        <v>0</v>
      </c>
      <c r="J247" s="28">
        <v>3.0808080808080806E-7</v>
      </c>
      <c r="K247" s="28">
        <v>2.1607108620310969E-15</v>
      </c>
      <c r="L247" s="28">
        <v>2.5791649629730588E-5</v>
      </c>
      <c r="M247" s="197">
        <f>'Parameters, country spec'!V20</f>
        <v>0.43527572351382965</v>
      </c>
    </row>
    <row r="248" spans="1:13" x14ac:dyDescent="0.35">
      <c r="A248" s="22" t="s">
        <v>339</v>
      </c>
      <c r="B248" s="17" t="s">
        <v>226</v>
      </c>
      <c r="C248" s="17" t="s">
        <v>337</v>
      </c>
      <c r="D248" s="23" t="s">
        <v>112</v>
      </c>
      <c r="E248" s="23" t="s">
        <v>113</v>
      </c>
      <c r="F248" s="21">
        <v>1.5128936360129202</v>
      </c>
      <c r="G248" s="39">
        <v>1.9970195995370546E-2</v>
      </c>
      <c r="H248" s="39">
        <v>5.5977064532478039E-3</v>
      </c>
      <c r="I248" s="28">
        <v>0</v>
      </c>
      <c r="J248" s="28">
        <v>1.6641829996142119E-8</v>
      </c>
      <c r="K248" s="28">
        <v>6.4724729106130576E-16</v>
      </c>
      <c r="L248" s="28">
        <v>5.0991365516814952E-4</v>
      </c>
      <c r="M248" s="197">
        <f>'Parameters, country spec'!V21</f>
        <v>1.3265729698578317E-2</v>
      </c>
    </row>
    <row r="249" spans="1:13" x14ac:dyDescent="0.35">
      <c r="A249" s="22" t="s">
        <v>340</v>
      </c>
      <c r="B249" s="17" t="s">
        <v>227</v>
      </c>
      <c r="C249" s="17" t="s">
        <v>337</v>
      </c>
      <c r="D249" s="23" t="s">
        <v>112</v>
      </c>
      <c r="E249" s="23" t="s">
        <v>113</v>
      </c>
      <c r="F249" s="21">
        <v>2.5461100530609335</v>
      </c>
      <c r="G249" s="39">
        <v>1.8077381376732628E-2</v>
      </c>
      <c r="H249" s="39">
        <v>3.8191650795914001E-3</v>
      </c>
      <c r="I249" s="28">
        <v>0</v>
      </c>
      <c r="J249" s="28">
        <v>1.1457495238774201E-7</v>
      </c>
      <c r="K249" s="28">
        <v>1.0892787142199158E-15</v>
      </c>
      <c r="L249" s="28">
        <v>4.6158303182478765E-4</v>
      </c>
      <c r="M249" s="197">
        <f>'Parameters, country spec'!V22</f>
        <v>2.9971473511945708E-4</v>
      </c>
    </row>
    <row r="250" spans="1:13" x14ac:dyDescent="0.35">
      <c r="A250" s="22" t="s">
        <v>341</v>
      </c>
      <c r="B250" s="17" t="s">
        <v>228</v>
      </c>
      <c r="C250" s="17" t="s">
        <v>337</v>
      </c>
      <c r="D250" s="23" t="s">
        <v>112</v>
      </c>
      <c r="E250" s="23" t="s">
        <v>113</v>
      </c>
      <c r="F250" s="21">
        <v>3.3757097429734602</v>
      </c>
      <c r="G250" s="39">
        <v>2.1266971380732799E-2</v>
      </c>
      <c r="H250" s="39">
        <v>1.6878548714867299E-3</v>
      </c>
      <c r="I250" s="28">
        <v>0</v>
      </c>
      <c r="J250" s="28">
        <v>1.9579116509246066E-7</v>
      </c>
      <c r="K250" s="28">
        <v>1.4441986763239777E-15</v>
      </c>
      <c r="L250" s="28">
        <v>0</v>
      </c>
      <c r="M250" s="197">
        <f>'Parameters, country spec'!V23</f>
        <v>9.5453909486912653E-2</v>
      </c>
    </row>
    <row r="251" spans="1:13" x14ac:dyDescent="0.35">
      <c r="A251" s="22" t="s">
        <v>342</v>
      </c>
      <c r="B251" s="17" t="s">
        <v>229</v>
      </c>
      <c r="C251" s="17" t="s">
        <v>343</v>
      </c>
      <c r="D251" s="23" t="s">
        <v>112</v>
      </c>
      <c r="E251" s="23" t="s">
        <v>113</v>
      </c>
      <c r="F251" s="21">
        <v>1.6760975086486631</v>
      </c>
      <c r="G251" s="39">
        <v>1.5922926332162302E-2</v>
      </c>
      <c r="H251" s="39">
        <v>1.1732682560540643E-3</v>
      </c>
      <c r="I251" s="28">
        <v>0</v>
      </c>
      <c r="J251" s="28">
        <v>1.5755316581297433E-7</v>
      </c>
      <c r="K251" s="28">
        <v>7.1706929436656458E-16</v>
      </c>
      <c r="L251" s="28">
        <v>4.0657175166874981E-4</v>
      </c>
      <c r="M251" s="197">
        <f>'Parameters, country spec'!V24</f>
        <v>2.8702944951373129E-3</v>
      </c>
    </row>
    <row r="252" spans="1:13" x14ac:dyDescent="0.35">
      <c r="A252" s="22" t="s">
        <v>344</v>
      </c>
      <c r="B252" s="17" t="s">
        <v>230</v>
      </c>
      <c r="C252" s="17" t="s">
        <v>343</v>
      </c>
      <c r="D252" s="23" t="s">
        <v>112</v>
      </c>
      <c r="E252" s="23" t="s">
        <v>113</v>
      </c>
      <c r="F252" s="21">
        <v>1.5363343063450607</v>
      </c>
      <c r="G252" s="39">
        <v>2.350591488707943E-2</v>
      </c>
      <c r="H252" s="39">
        <v>2.150868028883085E-3</v>
      </c>
      <c r="I252" s="28">
        <v>0</v>
      </c>
      <c r="J252" s="28">
        <v>1.1368873866953449E-7</v>
      </c>
      <c r="K252" s="28">
        <v>6.5727569623929515E-16</v>
      </c>
      <c r="L252" s="28">
        <v>6.0019375778388269E-4</v>
      </c>
      <c r="M252" s="197">
        <f>'Parameters, country spec'!V25</f>
        <v>2.8195750698575112E-3</v>
      </c>
    </row>
    <row r="253" spans="1:13" x14ac:dyDescent="0.35">
      <c r="B253" s="18" t="s">
        <v>231</v>
      </c>
      <c r="C253" s="17" t="s">
        <v>345</v>
      </c>
      <c r="D253" s="23" t="str">
        <f>'Off-farm feed'!$D$88</f>
        <v>France, Germany, Poland</v>
      </c>
      <c r="E253" s="23" t="s">
        <v>82</v>
      </c>
      <c r="F253" s="19">
        <f>'Off-farm feed'!$F$88</f>
        <v>1.5397450382845088</v>
      </c>
      <c r="G253" s="20">
        <f>'Off-farm feed'!$G$88</f>
        <v>4.1115595157230206E-2</v>
      </c>
      <c r="H253" s="20">
        <f>'Off-farm feed'!$H$88</f>
        <v>4.4751668198345796E-3</v>
      </c>
      <c r="I253" s="19">
        <f>'Off-farm feed'!$I$88</f>
        <v>2.5747126436781614E-3</v>
      </c>
      <c r="J253" s="19">
        <f>'Off-farm feed'!$J$88</f>
        <v>0.29368572248181501</v>
      </c>
      <c r="K253" s="29">
        <f>'Off-farm feed'!$K$88</f>
        <v>1.777473414827503E-10</v>
      </c>
      <c r="L253" s="29">
        <f>'Off-farm feed'!$L$88</f>
        <v>2.4996062723023757E-3</v>
      </c>
      <c r="M253" s="197">
        <f>'Parameters, country spec'!V26</f>
        <v>6.922058423346597E-2</v>
      </c>
    </row>
    <row r="254" spans="1:13" x14ac:dyDescent="0.35">
      <c r="B254" s="18" t="s">
        <v>346</v>
      </c>
      <c r="C254" s="17" t="s">
        <v>345</v>
      </c>
      <c r="D254" s="23" t="str">
        <f>'Off-farm feed'!$D$36</f>
        <v>Brazil, Argentina</v>
      </c>
      <c r="E254" s="23" t="s">
        <v>82</v>
      </c>
      <c r="F254" s="19">
        <f>'Off-farm feed'!$F$36</f>
        <v>2.5509164954964132</v>
      </c>
      <c r="G254" s="20">
        <f>'Off-farm feed'!$G$36</f>
        <v>4.2620923125915477E-2</v>
      </c>
      <c r="H254" s="20">
        <f>'Off-farm feed'!$H$36</f>
        <v>3.2959349471355036E-3</v>
      </c>
      <c r="I254" s="19">
        <f>'Off-farm feed'!$I$36</f>
        <v>2.3780487804878048E-3</v>
      </c>
      <c r="J254" s="19">
        <f>'Off-farm feed'!$J$36</f>
        <v>0.25920846302270939</v>
      </c>
      <c r="K254" s="29">
        <f>'Off-farm feed'!$K$36</f>
        <v>6.1197957373175144E-10</v>
      </c>
      <c r="L254" s="29">
        <f>'Off-farm feed'!$L$36</f>
        <v>1.0450321677831981E-4</v>
      </c>
      <c r="M254" s="197">
        <f>'Parameters, country spec'!V27</f>
        <v>0.18854502859832106</v>
      </c>
    </row>
    <row r="255" spans="1:13" x14ac:dyDescent="0.35">
      <c r="B255" s="17" t="s">
        <v>233</v>
      </c>
      <c r="C255" s="17" t="s">
        <v>347</v>
      </c>
      <c r="D255" s="23" t="s">
        <v>112</v>
      </c>
      <c r="E255" s="23" t="s">
        <v>113</v>
      </c>
      <c r="F255" s="107"/>
      <c r="G255" s="108"/>
      <c r="H255" s="108"/>
      <c r="I255" s="116"/>
      <c r="J255" s="116"/>
      <c r="K255" s="116"/>
      <c r="L255" s="116"/>
      <c r="M255" s="197">
        <f>'Parameters, country spec'!V28</f>
        <v>7.1006092309495256E-2</v>
      </c>
    </row>
    <row r="256" spans="1:13" x14ac:dyDescent="0.35">
      <c r="A256" s="83"/>
      <c r="B256" s="17" t="s">
        <v>348</v>
      </c>
      <c r="C256" s="84" t="s">
        <v>349</v>
      </c>
      <c r="D256" s="23" t="s">
        <v>112</v>
      </c>
      <c r="E256" s="23" t="s">
        <v>113</v>
      </c>
      <c r="F256" s="109">
        <f t="shared" ref="F256:L256" si="20">AVERAGE(F246:F254)</f>
        <v>2.4410903004363735</v>
      </c>
      <c r="G256" s="109">
        <f t="shared" si="20"/>
        <v>2.4013036620997755E-2</v>
      </c>
      <c r="H256" s="109">
        <f t="shared" si="20"/>
        <v>3.0304741886750747E-3</v>
      </c>
      <c r="I256" s="226">
        <f>AVERAGE(I246:I254)</f>
        <v>5.5030682490732959E-4</v>
      </c>
      <c r="J256" s="226">
        <f t="shared" si="20"/>
        <v>6.1432800585914431E-2</v>
      </c>
      <c r="K256" s="226">
        <f t="shared" si="20"/>
        <v>8.774828492070854E-11</v>
      </c>
      <c r="L256" s="226">
        <f t="shared" si="20"/>
        <v>5.7019564773361003E-4</v>
      </c>
      <c r="M256" s="197">
        <f>'Parameters, country spec'!V29</f>
        <v>7.4508521916693965E-2</v>
      </c>
    </row>
    <row r="257" spans="1:13" x14ac:dyDescent="0.35">
      <c r="A257" s="195"/>
      <c r="B257" s="25" t="s">
        <v>350</v>
      </c>
      <c r="C257" s="26"/>
      <c r="D257" s="103"/>
      <c r="E257" s="103"/>
      <c r="F257" s="30">
        <f>SUMPRODUCT(F246:F256,M246:M256)</f>
        <v>3.4219411487696338</v>
      </c>
      <c r="G257" s="30">
        <f>SUMPRODUCT(G246:G256,M246:M256)</f>
        <v>2.1757608794752671E-2</v>
      </c>
      <c r="H257" s="30">
        <f>SUMPRODUCT(H246:H256,M246:M256)</f>
        <v>2.425026574384247E-3</v>
      </c>
      <c r="I257" s="30">
        <f>SUMPRODUCT(I246:I256,M246:M256)</f>
        <v>6.6759493687848373E-4</v>
      </c>
      <c r="J257" s="30">
        <f>SUMPRODUCT(J246:J256,M246:M256)</f>
        <v>7.3778990652141704E-2</v>
      </c>
      <c r="K257" s="30">
        <f>SUMPRODUCT(K246:K256,M246:M256)</f>
        <v>1.3422861086511028E-10</v>
      </c>
      <c r="L257" s="30">
        <f>SUMPRODUCT(L246:L256,M246:M256)</f>
        <v>2.8067091212700165E-4</v>
      </c>
      <c r="M257" s="198"/>
    </row>
    <row r="258" spans="1:13" x14ac:dyDescent="0.35">
      <c r="A258" s="22" t="s">
        <v>336</v>
      </c>
      <c r="B258" s="17" t="s">
        <v>218</v>
      </c>
      <c r="C258" s="17" t="s">
        <v>337</v>
      </c>
      <c r="D258" s="23" t="s">
        <v>114</v>
      </c>
      <c r="E258" s="23" t="s">
        <v>115</v>
      </c>
      <c r="F258" s="24">
        <v>2.1815008726003491</v>
      </c>
      <c r="G258" s="39">
        <v>2.0506108202443279E-2</v>
      </c>
      <c r="H258" s="39">
        <v>3.0541012216404886E-3</v>
      </c>
      <c r="I258" s="28">
        <v>0</v>
      </c>
      <c r="J258" s="28">
        <v>1.1343804537521816E-7</v>
      </c>
      <c r="K258" s="28">
        <v>9.332913409296623E-16</v>
      </c>
      <c r="L258" s="28">
        <v>5.2359749444649394E-4</v>
      </c>
      <c r="M258" s="197">
        <f>'Parameters, country spec'!W19</f>
        <v>1.5351195497979538E-3</v>
      </c>
    </row>
    <row r="259" spans="1:13" x14ac:dyDescent="0.35">
      <c r="A259" s="22" t="s">
        <v>338</v>
      </c>
      <c r="B259" s="17" t="s">
        <v>222</v>
      </c>
      <c r="C259" s="17" t="s">
        <v>337</v>
      </c>
      <c r="D259" s="23" t="s">
        <v>114</v>
      </c>
      <c r="E259" s="23" t="s">
        <v>115</v>
      </c>
      <c r="F259" s="21">
        <v>5.0505050505050502</v>
      </c>
      <c r="G259" s="39">
        <v>1.3131313131313131E-2</v>
      </c>
      <c r="H259" s="39">
        <v>2.0202020202020202E-3</v>
      </c>
      <c r="I259" s="28">
        <v>0</v>
      </c>
      <c r="J259" s="28">
        <v>3.0808080808080806E-7</v>
      </c>
      <c r="K259" s="28">
        <v>2.1607108620310969E-15</v>
      </c>
      <c r="L259" s="28">
        <v>2.5791649629730588E-5</v>
      </c>
      <c r="M259" s="197">
        <f>'Parameters, country spec'!W20</f>
        <v>0.39951628665125294</v>
      </c>
    </row>
    <row r="260" spans="1:13" x14ac:dyDescent="0.35">
      <c r="A260" s="22" t="s">
        <v>339</v>
      </c>
      <c r="B260" s="17" t="s">
        <v>226</v>
      </c>
      <c r="C260" s="17" t="s">
        <v>337</v>
      </c>
      <c r="D260" s="23" t="s">
        <v>114</v>
      </c>
      <c r="E260" s="23" t="s">
        <v>115</v>
      </c>
      <c r="F260" s="21">
        <v>1.5128936360129202</v>
      </c>
      <c r="G260" s="39">
        <v>1.9970195995370546E-2</v>
      </c>
      <c r="H260" s="39">
        <v>5.5977064532478039E-3</v>
      </c>
      <c r="I260" s="28">
        <v>0</v>
      </c>
      <c r="J260" s="28">
        <v>1.6641829996142119E-8</v>
      </c>
      <c r="K260" s="28">
        <v>6.4724729106130576E-16</v>
      </c>
      <c r="L260" s="28">
        <v>5.0991365516814952E-4</v>
      </c>
      <c r="M260" s="197">
        <f>'Parameters, country spec'!W21</f>
        <v>4.8828546271820782E-2</v>
      </c>
    </row>
    <row r="261" spans="1:13" x14ac:dyDescent="0.35">
      <c r="A261" s="22" t="s">
        <v>340</v>
      </c>
      <c r="B261" s="17" t="s">
        <v>227</v>
      </c>
      <c r="C261" s="17" t="s">
        <v>337</v>
      </c>
      <c r="D261" s="23" t="s">
        <v>114</v>
      </c>
      <c r="E261" s="23" t="s">
        <v>115</v>
      </c>
      <c r="F261" s="21">
        <v>2.5461100530609335</v>
      </c>
      <c r="G261" s="39">
        <v>1.8077381376732628E-2</v>
      </c>
      <c r="H261" s="39">
        <v>3.8191650795914001E-3</v>
      </c>
      <c r="I261" s="28">
        <v>0</v>
      </c>
      <c r="J261" s="28">
        <v>1.1457495238774201E-7</v>
      </c>
      <c r="K261" s="28">
        <v>1.0892787142199158E-15</v>
      </c>
      <c r="L261" s="28">
        <v>4.6158303182478765E-4</v>
      </c>
      <c r="M261" s="197">
        <f>'Parameters, country spec'!W22</f>
        <v>2.3113486819224208E-3</v>
      </c>
    </row>
    <row r="262" spans="1:13" x14ac:dyDescent="0.35">
      <c r="A262" s="22" t="s">
        <v>341</v>
      </c>
      <c r="B262" s="17" t="s">
        <v>228</v>
      </c>
      <c r="C262" s="17" t="s">
        <v>337</v>
      </c>
      <c r="D262" s="23" t="s">
        <v>114</v>
      </c>
      <c r="E262" s="23" t="s">
        <v>115</v>
      </c>
      <c r="F262" s="21">
        <v>3.3757097429734602</v>
      </c>
      <c r="G262" s="39">
        <v>2.1266971380732799E-2</v>
      </c>
      <c r="H262" s="39">
        <v>1.6878548714867299E-3</v>
      </c>
      <c r="I262" s="28">
        <v>0</v>
      </c>
      <c r="J262" s="28">
        <v>1.9579116509246066E-7</v>
      </c>
      <c r="K262" s="28">
        <v>1.4441986763239777E-15</v>
      </c>
      <c r="L262" s="28">
        <v>0</v>
      </c>
      <c r="M262" s="197">
        <f>'Parameters, country spec'!W23</f>
        <v>7.3213245865759558E-2</v>
      </c>
    </row>
    <row r="263" spans="1:13" x14ac:dyDescent="0.35">
      <c r="A263" s="22" t="s">
        <v>342</v>
      </c>
      <c r="B263" s="17" t="s">
        <v>229</v>
      </c>
      <c r="C263" s="17" t="s">
        <v>343</v>
      </c>
      <c r="D263" s="23" t="s">
        <v>114</v>
      </c>
      <c r="E263" s="23" t="s">
        <v>115</v>
      </c>
      <c r="F263" s="21">
        <v>1.6760975086486631</v>
      </c>
      <c r="G263" s="39">
        <v>1.5922926332162302E-2</v>
      </c>
      <c r="H263" s="39">
        <v>1.1732682560540643E-3</v>
      </c>
      <c r="I263" s="28">
        <v>0</v>
      </c>
      <c r="J263" s="28">
        <v>1.5755316581297433E-7</v>
      </c>
      <c r="K263" s="28">
        <v>7.1706929436656458E-16</v>
      </c>
      <c r="L263" s="28">
        <v>4.0657175166874981E-4</v>
      </c>
      <c r="M263" s="197">
        <f>'Parameters, country spec'!W24</f>
        <v>3.3499690113704197E-3</v>
      </c>
    </row>
    <row r="264" spans="1:13" x14ac:dyDescent="0.35">
      <c r="A264" s="22" t="s">
        <v>344</v>
      </c>
      <c r="B264" s="17" t="s">
        <v>230</v>
      </c>
      <c r="C264" s="17" t="s">
        <v>343</v>
      </c>
      <c r="D264" s="23" t="s">
        <v>114</v>
      </c>
      <c r="E264" s="23" t="s">
        <v>115</v>
      </c>
      <c r="F264" s="21">
        <v>1.5363343063450607</v>
      </c>
      <c r="G264" s="39">
        <v>2.350591488707943E-2</v>
      </c>
      <c r="H264" s="39">
        <v>2.150868028883085E-3</v>
      </c>
      <c r="I264" s="28">
        <v>0</v>
      </c>
      <c r="J264" s="28">
        <v>1.1368873866953449E-7</v>
      </c>
      <c r="K264" s="28">
        <v>6.5727569623929515E-16</v>
      </c>
      <c r="L264" s="28">
        <v>6.0019375778388269E-4</v>
      </c>
      <c r="M264" s="197">
        <f>'Parameters, country spec'!W25</f>
        <v>3.2907735164211826E-3</v>
      </c>
    </row>
    <row r="265" spans="1:13" x14ac:dyDescent="0.35">
      <c r="B265" s="18" t="s">
        <v>231</v>
      </c>
      <c r="C265" s="17" t="s">
        <v>345</v>
      </c>
      <c r="D265" s="23" t="str">
        <f>'Off-farm feed'!$D$88</f>
        <v>France, Germany, Poland</v>
      </c>
      <c r="E265" s="23" t="s">
        <v>82</v>
      </c>
      <c r="F265" s="19">
        <f>'Off-farm feed'!$F$88</f>
        <v>1.5397450382845088</v>
      </c>
      <c r="G265" s="20">
        <f>'Off-farm feed'!$G$88</f>
        <v>4.1115595157230206E-2</v>
      </c>
      <c r="H265" s="20">
        <f>'Off-farm feed'!$H$88</f>
        <v>4.4751668198345796E-3</v>
      </c>
      <c r="I265" s="19">
        <f>'Off-farm feed'!$I$88</f>
        <v>2.5747126436781614E-3</v>
      </c>
      <c r="J265" s="19">
        <f>'Off-farm feed'!$J$88</f>
        <v>0.29368572248181501</v>
      </c>
      <c r="K265" s="29">
        <f>'Off-farm feed'!$K$88</f>
        <v>1.777473414827503E-10</v>
      </c>
      <c r="L265" s="29">
        <f>'Off-farm feed'!$L$88</f>
        <v>2.4996062723023757E-3</v>
      </c>
      <c r="M265" s="197">
        <f>'Parameters, country spec'!W26</f>
        <v>8.9876652423850362E-3</v>
      </c>
    </row>
    <row r="266" spans="1:13" x14ac:dyDescent="0.35">
      <c r="B266" s="18" t="s">
        <v>346</v>
      </c>
      <c r="C266" s="17" t="s">
        <v>345</v>
      </c>
      <c r="D266" s="23" t="str">
        <f>'Off-farm feed'!$D$36</f>
        <v>Brazil, Argentina</v>
      </c>
      <c r="E266" s="23" t="s">
        <v>82</v>
      </c>
      <c r="F266" s="19">
        <f>'Off-farm feed'!$F$36</f>
        <v>2.5509164954964132</v>
      </c>
      <c r="G266" s="20">
        <f>'Off-farm feed'!$G$36</f>
        <v>4.2620923125915477E-2</v>
      </c>
      <c r="H266" s="20">
        <f>'Off-farm feed'!$H$36</f>
        <v>3.2959349471355036E-3</v>
      </c>
      <c r="I266" s="19">
        <f>'Off-farm feed'!$I$36</f>
        <v>2.3780487804878048E-3</v>
      </c>
      <c r="J266" s="19">
        <f>'Off-farm feed'!$J$36</f>
        <v>0.25920846302270939</v>
      </c>
      <c r="K266" s="29">
        <f>'Off-farm feed'!$K$36</f>
        <v>6.1197957373175144E-10</v>
      </c>
      <c r="L266" s="29">
        <f>'Off-farm feed'!$L$36</f>
        <v>1.0450321677831981E-4</v>
      </c>
      <c r="M266" s="197">
        <f>'Parameters, country spec'!W27</f>
        <v>7.662310655062049E-2</v>
      </c>
    </row>
    <row r="267" spans="1:13" x14ac:dyDescent="0.35">
      <c r="B267" s="17" t="s">
        <v>233</v>
      </c>
      <c r="C267" s="17" t="s">
        <v>347</v>
      </c>
      <c r="D267" s="23" t="s">
        <v>114</v>
      </c>
      <c r="E267" s="23" t="s">
        <v>115</v>
      </c>
      <c r="F267" s="107"/>
      <c r="G267" s="108"/>
      <c r="H267" s="108"/>
      <c r="I267" s="116"/>
      <c r="J267" s="116"/>
      <c r="K267" s="116"/>
      <c r="L267" s="116"/>
      <c r="M267" s="197">
        <f>'Parameters, country spec'!W28</f>
        <v>0.23650160713218851</v>
      </c>
    </row>
    <row r="268" spans="1:13" x14ac:dyDescent="0.35">
      <c r="A268" s="83"/>
      <c r="B268" s="17" t="s">
        <v>348</v>
      </c>
      <c r="C268" s="84" t="s">
        <v>349</v>
      </c>
      <c r="D268" s="23" t="s">
        <v>114</v>
      </c>
      <c r="E268" s="23" t="s">
        <v>115</v>
      </c>
      <c r="F268" s="109">
        <f t="shared" ref="F268:L268" si="21">AVERAGE(F258:F266)</f>
        <v>2.4410903004363735</v>
      </c>
      <c r="G268" s="109">
        <f t="shared" si="21"/>
        <v>2.4013036620997755E-2</v>
      </c>
      <c r="H268" s="109">
        <f t="shared" si="21"/>
        <v>3.0304741886750747E-3</v>
      </c>
      <c r="I268" s="226">
        <f>AVERAGE(I258:I266)</f>
        <v>5.5030682490732959E-4</v>
      </c>
      <c r="J268" s="226">
        <f t="shared" si="21"/>
        <v>6.1432800585914431E-2</v>
      </c>
      <c r="K268" s="226">
        <f t="shared" si="21"/>
        <v>8.774828492070854E-11</v>
      </c>
      <c r="L268" s="226">
        <f t="shared" si="21"/>
        <v>5.7019564773361003E-4</v>
      </c>
      <c r="M268" s="197">
        <f>'Parameters, country spec'!W29</f>
        <v>0.14584233152646073</v>
      </c>
    </row>
    <row r="269" spans="1:13" x14ac:dyDescent="0.35">
      <c r="A269" s="195"/>
      <c r="B269" s="25" t="s">
        <v>350</v>
      </c>
      <c r="C269" s="26"/>
      <c r="D269" s="103"/>
      <c r="E269" s="103"/>
      <c r="F269" s="30">
        <f>SUMPRODUCT(F258:F268,M258:M268)</f>
        <v>2.9239946637807837</v>
      </c>
      <c r="G269" s="30">
        <f>SUMPRODUCT(G258:G268,M258:M268)</f>
        <v>1.5119667503308329E-2</v>
      </c>
      <c r="H269" s="30">
        <f>SUMPRODUCT(H258:H268,M258:M268)</f>
        <v>1.9632665733944716E-3</v>
      </c>
      <c r="I269" s="30">
        <f>SUMPRODUCT(I258:I268,M258:M268)</f>
        <v>2.8561217082601444E-4</v>
      </c>
      <c r="J269" s="30">
        <f>SUMPRODUCT(J258:J268,M258:M268)</f>
        <v>3.1460549082085308E-2</v>
      </c>
      <c r="K269" s="30">
        <f>SUMPRODUCT(K258:K268,M258:M268)</f>
        <v>6.1287733241425734E-11</v>
      </c>
      <c r="L269" s="30">
        <f>SUMPRODUCT(L258:L268,M258:M268)</f>
        <v>1.5404194338569047E-4</v>
      </c>
      <c r="M269" s="198"/>
    </row>
    <row r="270" spans="1:13" x14ac:dyDescent="0.35">
      <c r="A270" s="22" t="s">
        <v>336</v>
      </c>
      <c r="B270" s="17" t="s">
        <v>218</v>
      </c>
      <c r="C270" s="17" t="s">
        <v>337</v>
      </c>
      <c r="D270" s="23" t="s">
        <v>174</v>
      </c>
      <c r="E270" s="23" t="s">
        <v>117</v>
      </c>
      <c r="F270" s="24">
        <v>2.1815008726003491</v>
      </c>
      <c r="G270" s="39">
        <v>2.0506108202443279E-2</v>
      </c>
      <c r="H270" s="39">
        <v>3.0541012216404886E-3</v>
      </c>
      <c r="I270" s="28">
        <v>0</v>
      </c>
      <c r="J270" s="28">
        <v>1.1343804537521816E-7</v>
      </c>
      <c r="K270" s="28">
        <v>9.332913409296623E-16</v>
      </c>
      <c r="L270" s="28">
        <v>5.2359749444649394E-4</v>
      </c>
      <c r="M270" s="197">
        <f>'Parameters, country spec'!X19</f>
        <v>3.9590008059926378E-4</v>
      </c>
    </row>
    <row r="271" spans="1:13" x14ac:dyDescent="0.35">
      <c r="A271" s="22" t="s">
        <v>338</v>
      </c>
      <c r="B271" s="17" t="s">
        <v>222</v>
      </c>
      <c r="C271" s="17" t="s">
        <v>337</v>
      </c>
      <c r="D271" s="23" t="s">
        <v>174</v>
      </c>
      <c r="E271" s="23" t="s">
        <v>117</v>
      </c>
      <c r="F271" s="21">
        <v>5.0505050505050502</v>
      </c>
      <c r="G271" s="39">
        <v>1.3131313131313131E-2</v>
      </c>
      <c r="H271" s="39">
        <v>2.0202020202020202E-3</v>
      </c>
      <c r="I271" s="28">
        <v>0</v>
      </c>
      <c r="J271" s="28">
        <v>3.0808080808080806E-7</v>
      </c>
      <c r="K271" s="28">
        <v>2.1607108620310969E-15</v>
      </c>
      <c r="L271" s="28">
        <v>2.5791649629730588E-5</v>
      </c>
      <c r="M271" s="197">
        <f>'Parameters, country spec'!X20</f>
        <v>0.50619251501390061</v>
      </c>
    </row>
    <row r="272" spans="1:13" x14ac:dyDescent="0.35">
      <c r="A272" s="22" t="s">
        <v>339</v>
      </c>
      <c r="B272" s="17" t="s">
        <v>226</v>
      </c>
      <c r="C272" s="17" t="s">
        <v>337</v>
      </c>
      <c r="D272" s="23" t="s">
        <v>174</v>
      </c>
      <c r="E272" s="23" t="s">
        <v>117</v>
      </c>
      <c r="F272" s="21">
        <v>1.5128936360129202</v>
      </c>
      <c r="G272" s="39">
        <v>1.9970195995370546E-2</v>
      </c>
      <c r="H272" s="39">
        <v>5.5977064532478039E-3</v>
      </c>
      <c r="I272" s="28">
        <v>0</v>
      </c>
      <c r="J272" s="28">
        <v>1.6641829996142119E-8</v>
      </c>
      <c r="K272" s="28">
        <v>6.4724729106130576E-16</v>
      </c>
      <c r="L272" s="28">
        <v>5.0991365516814952E-4</v>
      </c>
      <c r="M272" s="197">
        <f>'Parameters, country spec'!X21</f>
        <v>3.0043185418315171E-2</v>
      </c>
    </row>
    <row r="273" spans="1:13" x14ac:dyDescent="0.35">
      <c r="A273" s="22" t="s">
        <v>340</v>
      </c>
      <c r="B273" s="17" t="s">
        <v>227</v>
      </c>
      <c r="C273" s="17" t="s">
        <v>337</v>
      </c>
      <c r="D273" s="23" t="s">
        <v>174</v>
      </c>
      <c r="E273" s="23" t="s">
        <v>117</v>
      </c>
      <c r="F273" s="21">
        <v>2.5461100530609335</v>
      </c>
      <c r="G273" s="39">
        <v>1.8077381376732628E-2</v>
      </c>
      <c r="H273" s="39">
        <v>3.8191650795914001E-3</v>
      </c>
      <c r="I273" s="28">
        <v>0</v>
      </c>
      <c r="J273" s="28">
        <v>1.1457495238774201E-7</v>
      </c>
      <c r="K273" s="28">
        <v>1.0892787142199158E-15</v>
      </c>
      <c r="L273" s="28">
        <v>4.6158303182478765E-4</v>
      </c>
      <c r="M273" s="197">
        <f>'Parameters, country spec'!X22</f>
        <v>1.3503018628554982E-4</v>
      </c>
    </row>
    <row r="274" spans="1:13" x14ac:dyDescent="0.35">
      <c r="A274" s="22" t="s">
        <v>341</v>
      </c>
      <c r="B274" s="17" t="s">
        <v>228</v>
      </c>
      <c r="C274" s="17" t="s">
        <v>337</v>
      </c>
      <c r="D274" s="23" t="s">
        <v>174</v>
      </c>
      <c r="E274" s="23" t="s">
        <v>117</v>
      </c>
      <c r="F274" s="21">
        <v>3.3757097429734602</v>
      </c>
      <c r="G274" s="39">
        <v>2.1266971380732799E-2</v>
      </c>
      <c r="H274" s="39">
        <v>1.6878548714867299E-3</v>
      </c>
      <c r="I274" s="28">
        <v>0</v>
      </c>
      <c r="J274" s="28">
        <v>1.9579116509246066E-7</v>
      </c>
      <c r="K274" s="28">
        <v>1.4441986763239777E-15</v>
      </c>
      <c r="L274" s="28">
        <v>0</v>
      </c>
      <c r="M274" s="197">
        <f>'Parameters, country spec'!X23</f>
        <v>4.853698847181781E-2</v>
      </c>
    </row>
    <row r="275" spans="1:13" x14ac:dyDescent="0.35">
      <c r="A275" s="22" t="s">
        <v>342</v>
      </c>
      <c r="B275" s="17" t="s">
        <v>229</v>
      </c>
      <c r="C275" s="17" t="s">
        <v>343</v>
      </c>
      <c r="D275" s="23" t="s">
        <v>174</v>
      </c>
      <c r="E275" s="23" t="s">
        <v>117</v>
      </c>
      <c r="F275" s="21">
        <v>1.6760975086486631</v>
      </c>
      <c r="G275" s="39">
        <v>1.5922926332162302E-2</v>
      </c>
      <c r="H275" s="39">
        <v>1.1732682560540643E-3</v>
      </c>
      <c r="I275" s="28">
        <v>0</v>
      </c>
      <c r="J275" s="28">
        <v>1.5755316581297433E-7</v>
      </c>
      <c r="K275" s="28">
        <v>7.1706929436656458E-16</v>
      </c>
      <c r="L275" s="28">
        <v>4.0657175166874981E-4</v>
      </c>
      <c r="M275" s="197">
        <f>'Parameters, country spec'!X24</f>
        <v>1.724021675043458E-3</v>
      </c>
    </row>
    <row r="276" spans="1:13" x14ac:dyDescent="0.35">
      <c r="A276" s="22" t="s">
        <v>344</v>
      </c>
      <c r="B276" s="17" t="s">
        <v>230</v>
      </c>
      <c r="C276" s="17" t="s">
        <v>343</v>
      </c>
      <c r="D276" s="23" t="s">
        <v>174</v>
      </c>
      <c r="E276" s="23" t="s">
        <v>117</v>
      </c>
      <c r="F276" s="21">
        <v>1.5363343063450607</v>
      </c>
      <c r="G276" s="39">
        <v>2.350591488707943E-2</v>
      </c>
      <c r="H276" s="39">
        <v>2.150868028883085E-3</v>
      </c>
      <c r="I276" s="28">
        <v>0</v>
      </c>
      <c r="J276" s="28">
        <v>1.1368873866953449E-7</v>
      </c>
      <c r="K276" s="28">
        <v>6.5727569623929515E-16</v>
      </c>
      <c r="L276" s="28">
        <v>6.0019375778388269E-4</v>
      </c>
      <c r="M276" s="197">
        <f>'Parameters, country spec'!X25</f>
        <v>1.6935574178231526E-3</v>
      </c>
    </row>
    <row r="277" spans="1:13" x14ac:dyDescent="0.35">
      <c r="B277" s="18" t="s">
        <v>231</v>
      </c>
      <c r="C277" s="17" t="s">
        <v>345</v>
      </c>
      <c r="D277" s="23" t="str">
        <f>'Off-farm feed'!$D$88</f>
        <v>France, Germany, Poland</v>
      </c>
      <c r="E277" s="23" t="s">
        <v>82</v>
      </c>
      <c r="F277" s="19">
        <f>'Off-farm feed'!$F$88</f>
        <v>1.5397450382845088</v>
      </c>
      <c r="G277" s="20">
        <f>'Off-farm feed'!$G$88</f>
        <v>4.1115595157230206E-2</v>
      </c>
      <c r="H277" s="20">
        <f>'Off-farm feed'!$H$88</f>
        <v>4.4751668198345796E-3</v>
      </c>
      <c r="I277" s="19">
        <f>'Off-farm feed'!$I$88</f>
        <v>2.5747126436781614E-3</v>
      </c>
      <c r="J277" s="19">
        <f>'Off-farm feed'!$J$88</f>
        <v>0.29368572248181501</v>
      </c>
      <c r="K277" s="29">
        <f>'Off-farm feed'!$K$88</f>
        <v>1.777473414827503E-10</v>
      </c>
      <c r="L277" s="29">
        <f>'Off-farm feed'!$L$88</f>
        <v>2.4996062723023757E-3</v>
      </c>
      <c r="M277" s="197">
        <f>'Parameters, country spec'!X26</f>
        <v>5.1577992078972006E-2</v>
      </c>
    </row>
    <row r="278" spans="1:13" x14ac:dyDescent="0.35">
      <c r="B278" s="18" t="s">
        <v>346</v>
      </c>
      <c r="C278" s="17" t="s">
        <v>345</v>
      </c>
      <c r="D278" s="23" t="str">
        <f>'Off-farm feed'!$D$36</f>
        <v>Brazil, Argentina</v>
      </c>
      <c r="E278" s="23" t="s">
        <v>82</v>
      </c>
      <c r="F278" s="19">
        <f>'Off-farm feed'!$F$36</f>
        <v>2.5509164954964132</v>
      </c>
      <c r="G278" s="20">
        <f>'Off-farm feed'!$G$36</f>
        <v>4.2620923125915477E-2</v>
      </c>
      <c r="H278" s="20">
        <f>'Off-farm feed'!$H$36</f>
        <v>3.2959349471355036E-3</v>
      </c>
      <c r="I278" s="19">
        <f>'Off-farm feed'!$I$36</f>
        <v>2.3780487804878048E-3</v>
      </c>
      <c r="J278" s="19">
        <f>'Off-farm feed'!$J$36</f>
        <v>0.25920846302270939</v>
      </c>
      <c r="K278" s="29">
        <f>'Off-farm feed'!$K$36</f>
        <v>6.1197957373175144E-10</v>
      </c>
      <c r="L278" s="29">
        <f>'Off-farm feed'!$L$36</f>
        <v>1.0450321677831981E-4</v>
      </c>
      <c r="M278" s="197">
        <f>'Parameters, country spec'!X27</f>
        <v>0.11486739675333682</v>
      </c>
    </row>
    <row r="279" spans="1:13" x14ac:dyDescent="0.35">
      <c r="B279" s="17" t="s">
        <v>233</v>
      </c>
      <c r="C279" s="17" t="s">
        <v>347</v>
      </c>
      <c r="D279" s="23" t="s">
        <v>174</v>
      </c>
      <c r="E279" s="23" t="s">
        <v>117</v>
      </c>
      <c r="F279" s="107"/>
      <c r="G279" s="108"/>
      <c r="H279" s="108"/>
      <c r="I279" s="116"/>
      <c r="J279" s="116"/>
      <c r="K279" s="116"/>
      <c r="L279" s="116"/>
      <c r="M279" s="197">
        <f>'Parameters, country spec'!X28</f>
        <v>0.15848397991396601</v>
      </c>
    </row>
    <row r="280" spans="1:13" x14ac:dyDescent="0.35">
      <c r="A280" s="83"/>
      <c r="B280" s="17" t="s">
        <v>348</v>
      </c>
      <c r="C280" s="84" t="s">
        <v>349</v>
      </c>
      <c r="D280" s="23" t="s">
        <v>174</v>
      </c>
      <c r="E280" s="23" t="s">
        <v>117</v>
      </c>
      <c r="F280" s="109">
        <f t="shared" ref="F280:L280" si="22">AVERAGE(F270:F278)</f>
        <v>2.4410903004363735</v>
      </c>
      <c r="G280" s="109">
        <f t="shared" si="22"/>
        <v>2.4013036620997755E-2</v>
      </c>
      <c r="H280" s="109">
        <f t="shared" si="22"/>
        <v>3.0304741886750747E-3</v>
      </c>
      <c r="I280" s="226">
        <f>AVERAGE(I270:I278)</f>
        <v>5.5030682490732959E-4</v>
      </c>
      <c r="J280" s="226">
        <f t="shared" si="22"/>
        <v>6.1432800585914431E-2</v>
      </c>
      <c r="K280" s="226">
        <f t="shared" si="22"/>
        <v>8.774828492070854E-11</v>
      </c>
      <c r="L280" s="226">
        <f t="shared" si="22"/>
        <v>5.7019564773361003E-4</v>
      </c>
      <c r="M280" s="197">
        <f>'Parameters, country spec'!X29</f>
        <v>8.6349432989940189E-2</v>
      </c>
    </row>
    <row r="281" spans="1:13" x14ac:dyDescent="0.35">
      <c r="A281" s="195"/>
      <c r="B281" s="25" t="s">
        <v>350</v>
      </c>
      <c r="C281" s="26"/>
      <c r="D281" s="103"/>
      <c r="E281" s="103"/>
      <c r="F281" s="30">
        <f>SUMPRODUCT(F270:F280,M270:M280)</f>
        <v>3.3557465972716281</v>
      </c>
      <c r="G281" s="30">
        <f>SUMPRODUCT(G270:G280,M270:M280)</f>
        <v>1.7446921338581719E-2</v>
      </c>
      <c r="H281" s="30">
        <f>SUMPRODUCT(H270:H280,M270:M280)</f>
        <v>2.1511929605890594E-3</v>
      </c>
      <c r="I281" s="30">
        <f>SUMPRODUCT(I270:I280,M270:M280)</f>
        <v>4.5347746340958494E-4</v>
      </c>
      <c r="J281" s="30">
        <f>SUMPRODUCT(J270:J280,M270:M280)</f>
        <v>5.0227175205135061E-2</v>
      </c>
      <c r="K281" s="30">
        <f>SUMPRODUCT(K270:K280,M270:M280)</f>
        <v>8.7042552264624685E-11</v>
      </c>
      <c r="L281" s="30">
        <f>SUMPRODUCT(L270:L280,M270:M280)</f>
        <v>2.2052674737013284E-4</v>
      </c>
      <c r="M281" s="198"/>
    </row>
    <row r="282" spans="1:13" x14ac:dyDescent="0.35">
      <c r="A282" s="22" t="s">
        <v>336</v>
      </c>
      <c r="B282" s="17" t="s">
        <v>218</v>
      </c>
      <c r="C282" s="17" t="s">
        <v>337</v>
      </c>
      <c r="D282" s="23" t="s">
        <v>118</v>
      </c>
      <c r="E282" s="23" t="s">
        <v>119</v>
      </c>
      <c r="F282" s="24">
        <v>2.1815008726003491</v>
      </c>
      <c r="G282" s="39">
        <v>2.0506108202443279E-2</v>
      </c>
      <c r="H282" s="39">
        <v>3.0541012216404886E-3</v>
      </c>
      <c r="I282" s="28">
        <v>0</v>
      </c>
      <c r="J282" s="28">
        <v>1.1343804537521816E-7</v>
      </c>
      <c r="K282" s="28">
        <v>9.332913409296623E-16</v>
      </c>
      <c r="L282" s="28">
        <v>5.2359749444649394E-4</v>
      </c>
      <c r="M282" s="197">
        <f>'Parameters, country spec'!Y19</f>
        <v>0.12312551970398992</v>
      </c>
    </row>
    <row r="283" spans="1:13" x14ac:dyDescent="0.35">
      <c r="A283" s="22" t="s">
        <v>338</v>
      </c>
      <c r="B283" s="17" t="s">
        <v>222</v>
      </c>
      <c r="C283" s="17" t="s">
        <v>337</v>
      </c>
      <c r="D283" s="23" t="s">
        <v>118</v>
      </c>
      <c r="E283" s="23" t="s">
        <v>119</v>
      </c>
      <c r="F283" s="21">
        <v>5.0505050505050502</v>
      </c>
      <c r="G283" s="39">
        <v>1.3131313131313131E-2</v>
      </c>
      <c r="H283" s="39">
        <v>2.0202020202020202E-3</v>
      </c>
      <c r="I283" s="28">
        <v>0</v>
      </c>
      <c r="J283" s="28">
        <v>3.0808080808080806E-7</v>
      </c>
      <c r="K283" s="28">
        <v>2.1607108620310969E-15</v>
      </c>
      <c r="L283" s="28">
        <v>2.5791649629730588E-5</v>
      </c>
      <c r="M283" s="197">
        <f>'Parameters, country spec'!Y20</f>
        <v>0.34829780740480182</v>
      </c>
    </row>
    <row r="284" spans="1:13" x14ac:dyDescent="0.35">
      <c r="A284" s="22" t="s">
        <v>339</v>
      </c>
      <c r="B284" s="17" t="s">
        <v>226</v>
      </c>
      <c r="C284" s="17" t="s">
        <v>337</v>
      </c>
      <c r="D284" s="23" t="s">
        <v>118</v>
      </c>
      <c r="E284" s="23" t="s">
        <v>119</v>
      </c>
      <c r="F284" s="21">
        <v>1.5128936360129202</v>
      </c>
      <c r="G284" s="39">
        <v>1.9970195995370546E-2</v>
      </c>
      <c r="H284" s="39">
        <v>5.5977064532478039E-3</v>
      </c>
      <c r="I284" s="28">
        <v>0</v>
      </c>
      <c r="J284" s="28">
        <v>1.6641829996142119E-8</v>
      </c>
      <c r="K284" s="28">
        <v>6.4724729106130576E-16</v>
      </c>
      <c r="L284" s="28">
        <v>5.0991365516814952E-4</v>
      </c>
      <c r="M284" s="197">
        <f>'Parameters, country spec'!Y21</f>
        <v>1.8139255925477018E-2</v>
      </c>
    </row>
    <row r="285" spans="1:13" x14ac:dyDescent="0.35">
      <c r="A285" s="22" t="s">
        <v>340</v>
      </c>
      <c r="B285" s="17" t="s">
        <v>227</v>
      </c>
      <c r="C285" s="17" t="s">
        <v>337</v>
      </c>
      <c r="D285" s="23" t="s">
        <v>118</v>
      </c>
      <c r="E285" s="23" t="s">
        <v>119</v>
      </c>
      <c r="F285" s="21">
        <v>2.5461100530609335</v>
      </c>
      <c r="G285" s="39">
        <v>1.8077381376732628E-2</v>
      </c>
      <c r="H285" s="39">
        <v>3.8191650795914001E-3</v>
      </c>
      <c r="I285" s="28">
        <v>0</v>
      </c>
      <c r="J285" s="28">
        <v>1.1457495238774201E-7</v>
      </c>
      <c r="K285" s="28">
        <v>1.0892787142199158E-15</v>
      </c>
      <c r="L285" s="28">
        <v>4.6158303182478765E-4</v>
      </c>
      <c r="M285" s="197">
        <f>'Parameters, country spec'!Y22</f>
        <v>8.4436144786446468E-3</v>
      </c>
    </row>
    <row r="286" spans="1:13" x14ac:dyDescent="0.35">
      <c r="A286" s="22" t="s">
        <v>341</v>
      </c>
      <c r="B286" s="17" t="s">
        <v>228</v>
      </c>
      <c r="C286" s="17" t="s">
        <v>337</v>
      </c>
      <c r="D286" s="23" t="s">
        <v>118</v>
      </c>
      <c r="E286" s="23" t="s">
        <v>119</v>
      </c>
      <c r="F286" s="21">
        <v>3.3757097429734602</v>
      </c>
      <c r="G286" s="39">
        <v>2.1266971380732799E-2</v>
      </c>
      <c r="H286" s="39">
        <v>1.6878548714867299E-3</v>
      </c>
      <c r="I286" s="28">
        <v>0</v>
      </c>
      <c r="J286" s="28">
        <v>1.9579116509246066E-7</v>
      </c>
      <c r="K286" s="28">
        <v>1.4441986763239777E-15</v>
      </c>
      <c r="L286" s="28">
        <v>0</v>
      </c>
      <c r="M286" s="197">
        <f>'Parameters, country spec'!Y23</f>
        <v>0.24890795550816447</v>
      </c>
    </row>
    <row r="287" spans="1:13" x14ac:dyDescent="0.35">
      <c r="A287" s="22" t="s">
        <v>342</v>
      </c>
      <c r="B287" s="17" t="s">
        <v>229</v>
      </c>
      <c r="C287" s="17" t="s">
        <v>343</v>
      </c>
      <c r="D287" s="23" t="s">
        <v>118</v>
      </c>
      <c r="E287" s="23" t="s">
        <v>119</v>
      </c>
      <c r="F287" s="21">
        <v>1.6760975086486631</v>
      </c>
      <c r="G287" s="39">
        <v>1.5922926332162302E-2</v>
      </c>
      <c r="H287" s="39">
        <v>1.1732682560540643E-3</v>
      </c>
      <c r="I287" s="28">
        <v>0</v>
      </c>
      <c r="J287" s="28">
        <v>1.5755316581297433E-7</v>
      </c>
      <c r="K287" s="28">
        <v>7.1706929436656458E-16</v>
      </c>
      <c r="L287" s="28">
        <v>4.0657175166874981E-4</v>
      </c>
      <c r="M287" s="197">
        <f>'Parameters, country spec'!Y24</f>
        <v>0</v>
      </c>
    </row>
    <row r="288" spans="1:13" x14ac:dyDescent="0.35">
      <c r="A288" s="22" t="s">
        <v>344</v>
      </c>
      <c r="B288" s="17" t="s">
        <v>230</v>
      </c>
      <c r="C288" s="17" t="s">
        <v>343</v>
      </c>
      <c r="D288" s="23" t="s">
        <v>118</v>
      </c>
      <c r="E288" s="23" t="s">
        <v>119</v>
      </c>
      <c r="F288" s="21">
        <v>1.5363343063450607</v>
      </c>
      <c r="G288" s="39">
        <v>2.350591488707943E-2</v>
      </c>
      <c r="H288" s="39">
        <v>2.150868028883085E-3</v>
      </c>
      <c r="I288" s="28">
        <v>0</v>
      </c>
      <c r="J288" s="28">
        <v>1.1368873866953449E-7</v>
      </c>
      <c r="K288" s="28">
        <v>6.5727569623929515E-16</v>
      </c>
      <c r="L288" s="28">
        <v>6.0019375778388269E-4</v>
      </c>
      <c r="M288" s="197">
        <f>'Parameters, country spec'!Y25</f>
        <v>0</v>
      </c>
    </row>
    <row r="289" spans="1:13" x14ac:dyDescent="0.35">
      <c r="B289" s="18" t="s">
        <v>231</v>
      </c>
      <c r="C289" s="17" t="s">
        <v>345</v>
      </c>
      <c r="D289" s="23" t="str">
        <f>'Off-farm feed'!$D$88</f>
        <v>France, Germany, Poland</v>
      </c>
      <c r="E289" s="23" t="s">
        <v>82</v>
      </c>
      <c r="F289" s="19">
        <f>'Off-farm feed'!$F$88</f>
        <v>1.5397450382845088</v>
      </c>
      <c r="G289" s="20">
        <f>'Off-farm feed'!$G$88</f>
        <v>4.1115595157230206E-2</v>
      </c>
      <c r="H289" s="20">
        <f>'Off-farm feed'!$H$88</f>
        <v>4.4751668198345796E-3</v>
      </c>
      <c r="I289" s="19">
        <f>'Off-farm feed'!$I$88</f>
        <v>2.5747126436781614E-3</v>
      </c>
      <c r="J289" s="19">
        <f>'Off-farm feed'!$J$88</f>
        <v>0.29368572248181501</v>
      </c>
      <c r="K289" s="29">
        <f>'Off-farm feed'!$K$88</f>
        <v>1.777473414827503E-10</v>
      </c>
      <c r="L289" s="29">
        <f>'Off-farm feed'!$L$88</f>
        <v>2.4996062723023757E-3</v>
      </c>
      <c r="M289" s="197">
        <f>'Parameters, country spec'!Y26</f>
        <v>3.9614142253085551E-2</v>
      </c>
    </row>
    <row r="290" spans="1:13" x14ac:dyDescent="0.35">
      <c r="B290" s="18" t="s">
        <v>346</v>
      </c>
      <c r="C290" s="17" t="s">
        <v>345</v>
      </c>
      <c r="D290" s="23" t="str">
        <f>'Off-farm feed'!$D$36</f>
        <v>Brazil, Argentina</v>
      </c>
      <c r="E290" s="23" t="s">
        <v>82</v>
      </c>
      <c r="F290" s="19">
        <f>'Off-farm feed'!$F$36</f>
        <v>2.5509164954964132</v>
      </c>
      <c r="G290" s="20">
        <f>'Off-farm feed'!$G$36</f>
        <v>4.2620923125915477E-2</v>
      </c>
      <c r="H290" s="20">
        <f>'Off-farm feed'!$H$36</f>
        <v>3.2959349471355036E-3</v>
      </c>
      <c r="I290" s="19">
        <f>'Off-farm feed'!$I$36</f>
        <v>2.3780487804878048E-3</v>
      </c>
      <c r="J290" s="19">
        <f>'Off-farm feed'!$J$36</f>
        <v>0.25920846302270939</v>
      </c>
      <c r="K290" s="29">
        <f>'Off-farm feed'!$K$36</f>
        <v>6.1197957373175144E-10</v>
      </c>
      <c r="L290" s="29">
        <f>'Off-farm feed'!$L$36</f>
        <v>1.0450321677831981E-4</v>
      </c>
      <c r="M290" s="197">
        <f>'Parameters, country spec'!Y27</f>
        <v>2.0594877928953675E-4</v>
      </c>
    </row>
    <row r="291" spans="1:13" x14ac:dyDescent="0.35">
      <c r="B291" s="17" t="s">
        <v>233</v>
      </c>
      <c r="C291" s="17" t="s">
        <v>347</v>
      </c>
      <c r="D291" s="23" t="s">
        <v>118</v>
      </c>
      <c r="E291" s="23" t="s">
        <v>119</v>
      </c>
      <c r="F291" s="107"/>
      <c r="G291" s="108"/>
      <c r="H291" s="108"/>
      <c r="I291" s="116"/>
      <c r="J291" s="116"/>
      <c r="K291" s="116"/>
      <c r="L291" s="116"/>
      <c r="M291" s="197">
        <f>'Parameters, country spec'!Y28</f>
        <v>0.10799112088671599</v>
      </c>
    </row>
    <row r="292" spans="1:13" x14ac:dyDescent="0.35">
      <c r="A292" s="83"/>
      <c r="B292" s="17" t="s">
        <v>348</v>
      </c>
      <c r="C292" s="84" t="s">
        <v>349</v>
      </c>
      <c r="D292" s="23" t="s">
        <v>118</v>
      </c>
      <c r="E292" s="23" t="s">
        <v>119</v>
      </c>
      <c r="F292" s="109">
        <f t="shared" ref="F292:L292" si="23">AVERAGE(F282:F290)</f>
        <v>2.4410903004363735</v>
      </c>
      <c r="G292" s="109">
        <f t="shared" si="23"/>
        <v>2.4013036620997755E-2</v>
      </c>
      <c r="H292" s="109">
        <f t="shared" si="23"/>
        <v>3.0304741886750747E-3</v>
      </c>
      <c r="I292" s="226">
        <f>AVERAGE(I282:I290)</f>
        <v>5.5030682490732959E-4</v>
      </c>
      <c r="J292" s="226">
        <f t="shared" si="23"/>
        <v>6.1432800585914431E-2</v>
      </c>
      <c r="K292" s="226">
        <f t="shared" si="23"/>
        <v>8.774828492070854E-11</v>
      </c>
      <c r="L292" s="226">
        <f t="shared" si="23"/>
        <v>5.7019564773361003E-4</v>
      </c>
      <c r="M292" s="197">
        <f>'Parameters, country spec'!Y29</f>
        <v>0.10527463505983112</v>
      </c>
    </row>
    <row r="293" spans="1:13" x14ac:dyDescent="0.35">
      <c r="A293" s="195"/>
      <c r="B293" s="25" t="s">
        <v>350</v>
      </c>
      <c r="C293" s="26"/>
      <c r="D293" s="103"/>
      <c r="E293" s="103"/>
      <c r="F293" s="30">
        <f>SUMPRODUCT(F282:F292,M282:M292)</f>
        <v>3.2353663387687743</v>
      </c>
      <c r="G293" s="30">
        <f>SUMPRODUCT(G282:G292,M282:M292)</f>
        <v>1.7072334532336361E-2</v>
      </c>
      <c r="H293" s="30">
        <f>SUMPRODUCT(H282:H292,M282:M292)</f>
        <v>2.1305667801211781E-3</v>
      </c>
      <c r="I293" s="30">
        <f>SUMPRODUCT(I282:I292,M282:M292)</f>
        <v>1.6041813933397058E-4</v>
      </c>
      <c r="J293" s="30">
        <f>SUMPRODUCT(J282:J292,M282:M292)</f>
        <v>1.8154978591285391E-2</v>
      </c>
      <c r="K293" s="30">
        <f>SUMPRODUCT(K282:K292,M282:M292)</f>
        <v>1.6406261482330025E-11</v>
      </c>
      <c r="L293" s="30">
        <f>SUMPRODUCT(L282:L292,M282:M292)</f>
        <v>2.4566669158190092E-4</v>
      </c>
      <c r="M293" s="198"/>
    </row>
    <row r="294" spans="1:13" x14ac:dyDescent="0.35">
      <c r="A294" s="22" t="s">
        <v>336</v>
      </c>
      <c r="B294" s="17" t="s">
        <v>218</v>
      </c>
      <c r="C294" s="17" t="s">
        <v>337</v>
      </c>
      <c r="D294" s="23" t="s">
        <v>28</v>
      </c>
      <c r="E294" s="23" t="s">
        <v>120</v>
      </c>
      <c r="F294" s="24">
        <v>3</v>
      </c>
      <c r="G294" s="39">
        <v>2.1000000000000001E-2</v>
      </c>
      <c r="H294" s="39">
        <v>3.0999999999999999E-3</v>
      </c>
      <c r="I294" s="28">
        <v>8.3690230745484803E-2</v>
      </c>
      <c r="J294" s="28">
        <v>0.16</v>
      </c>
      <c r="K294" s="28">
        <v>5.8500000000000003E-9</v>
      </c>
      <c r="L294" s="28">
        <v>1.25E-3</v>
      </c>
      <c r="M294" s="197">
        <f>'Parameters, country spec'!Z19</f>
        <v>0.21894700375858384</v>
      </c>
    </row>
    <row r="295" spans="1:13" x14ac:dyDescent="0.35">
      <c r="A295" s="22" t="s">
        <v>338</v>
      </c>
      <c r="B295" s="17" t="s">
        <v>222</v>
      </c>
      <c r="C295" s="17" t="s">
        <v>337</v>
      </c>
      <c r="D295" s="23" t="s">
        <v>28</v>
      </c>
      <c r="E295" s="23" t="s">
        <v>120</v>
      </c>
      <c r="F295" s="21">
        <v>0.83</v>
      </c>
      <c r="G295" s="39">
        <v>0.02</v>
      </c>
      <c r="H295" s="39">
        <v>5.5999999999999999E-3</v>
      </c>
      <c r="I295" s="28">
        <v>0.40567118436717697</v>
      </c>
      <c r="J295" s="28">
        <v>0.05</v>
      </c>
      <c r="K295" s="28">
        <v>1.63E-9</v>
      </c>
      <c r="L295" s="28">
        <v>1.2099999999999999E-3</v>
      </c>
      <c r="M295" s="197">
        <f>'Parameters, country spec'!Z20</f>
        <v>0.28877148486086363</v>
      </c>
    </row>
    <row r="296" spans="1:13" x14ac:dyDescent="0.35">
      <c r="A296" s="22" t="s">
        <v>339</v>
      </c>
      <c r="B296" s="17" t="s">
        <v>226</v>
      </c>
      <c r="C296" s="17" t="s">
        <v>337</v>
      </c>
      <c r="D296" s="23" t="s">
        <v>28</v>
      </c>
      <c r="E296" s="23" t="s">
        <v>120</v>
      </c>
      <c r="F296" s="21">
        <v>4.45</v>
      </c>
      <c r="G296" s="39">
        <v>1.7999999999999999E-2</v>
      </c>
      <c r="H296" s="39">
        <v>3.8E-3</v>
      </c>
      <c r="I296" s="28">
        <v>1.28183392190184</v>
      </c>
      <c r="J296" s="28">
        <v>0</v>
      </c>
      <c r="K296" s="28">
        <v>8.6900000000000004E-9</v>
      </c>
      <c r="L296" s="28">
        <v>1.1000000000000001E-3</v>
      </c>
      <c r="M296" s="197">
        <f>'Parameters, country spec'!Z21</f>
        <v>3.4137674118133308E-2</v>
      </c>
    </row>
    <row r="297" spans="1:13" x14ac:dyDescent="0.35">
      <c r="A297" s="22" t="s">
        <v>340</v>
      </c>
      <c r="B297" s="17" t="s">
        <v>227</v>
      </c>
      <c r="C297" s="17" t="s">
        <v>337</v>
      </c>
      <c r="D297" s="23" t="s">
        <v>28</v>
      </c>
      <c r="E297" s="23" t="s">
        <v>120</v>
      </c>
      <c r="F297" s="21">
        <v>4.24</v>
      </c>
      <c r="G297" s="39">
        <v>1.6E-2</v>
      </c>
      <c r="H297" s="39">
        <v>1.1999999999999999E-3</v>
      </c>
      <c r="I297" s="28">
        <v>0</v>
      </c>
      <c r="J297" s="28">
        <v>0</v>
      </c>
      <c r="K297" s="28">
        <v>8.2800000000000004E-9</v>
      </c>
      <c r="L297" s="28">
        <v>9.68E-4</v>
      </c>
      <c r="M297" s="197">
        <f>'Parameters, country spec'!Z22</f>
        <v>9.0108782601985467E-3</v>
      </c>
    </row>
    <row r="298" spans="1:13" x14ac:dyDescent="0.35">
      <c r="A298" s="22" t="s">
        <v>341</v>
      </c>
      <c r="B298" s="17" t="s">
        <v>228</v>
      </c>
      <c r="C298" s="17" t="s">
        <v>337</v>
      </c>
      <c r="D298" s="23" t="s">
        <v>28</v>
      </c>
      <c r="E298" s="23" t="s">
        <v>120</v>
      </c>
      <c r="F298" s="21">
        <v>2.81</v>
      </c>
      <c r="G298" s="39">
        <v>2.4E-2</v>
      </c>
      <c r="H298" s="39">
        <v>2.2000000000000001E-3</v>
      </c>
      <c r="I298" s="28">
        <v>4.7600961702642601E-2</v>
      </c>
      <c r="J298" s="28">
        <v>0.22</v>
      </c>
      <c r="K298" s="28">
        <v>5.4899999999999999E-9</v>
      </c>
      <c r="L298" s="28">
        <v>1.4300000000000001E-3</v>
      </c>
      <c r="M298" s="197">
        <f>'Parameters, country spec'!Z23</f>
        <v>0.18547053507474909</v>
      </c>
    </row>
    <row r="299" spans="1:13" x14ac:dyDescent="0.35">
      <c r="A299" s="22" t="s">
        <v>342</v>
      </c>
      <c r="B299" s="17" t="s">
        <v>229</v>
      </c>
      <c r="C299" s="17" t="s">
        <v>343</v>
      </c>
      <c r="D299" s="23" t="s">
        <v>28</v>
      </c>
      <c r="E299" s="23" t="s">
        <v>120</v>
      </c>
      <c r="F299" s="21">
        <v>6.68</v>
      </c>
      <c r="G299" s="39">
        <v>4.2000000000000003E-2</v>
      </c>
      <c r="H299" s="39">
        <v>1.6999999999999999E-3</v>
      </c>
      <c r="I299" s="28">
        <v>9.3072167504476194E-2</v>
      </c>
      <c r="J299" s="28">
        <v>0.49</v>
      </c>
      <c r="K299" s="28">
        <v>1.3000000000000001E-8</v>
      </c>
      <c r="L299" s="28">
        <v>0</v>
      </c>
      <c r="M299" s="197">
        <f>'Parameters, country spec'!Z24</f>
        <v>6.9661330661395359E-3</v>
      </c>
    </row>
    <row r="300" spans="1:13" x14ac:dyDescent="0.35">
      <c r="A300" s="22" t="s">
        <v>344</v>
      </c>
      <c r="B300" s="17" t="s">
        <v>230</v>
      </c>
      <c r="C300" s="17" t="s">
        <v>343</v>
      </c>
      <c r="D300" s="23" t="s">
        <v>28</v>
      </c>
      <c r="E300" s="23" t="s">
        <v>120</v>
      </c>
      <c r="F300" s="21">
        <v>7.73</v>
      </c>
      <c r="G300" s="39">
        <v>0.02</v>
      </c>
      <c r="H300" s="39">
        <v>2E-3</v>
      </c>
      <c r="I300" s="28">
        <v>0.14428759821834899</v>
      </c>
      <c r="J300" s="28">
        <v>1.05</v>
      </c>
      <c r="K300" s="28">
        <v>1.51E-8</v>
      </c>
      <c r="L300" s="28">
        <v>6.1400000000000002E-5</v>
      </c>
      <c r="M300" s="197">
        <f>'Parameters, country spec'!Z25</f>
        <v>6.843038286368717E-3</v>
      </c>
    </row>
    <row r="301" spans="1:13" x14ac:dyDescent="0.35">
      <c r="B301" s="18" t="s">
        <v>231</v>
      </c>
      <c r="C301" s="17" t="s">
        <v>345</v>
      </c>
      <c r="D301" s="23" t="str">
        <f>'Off-farm feed'!$D$88</f>
        <v>France, Germany, Poland</v>
      </c>
      <c r="E301" s="23" t="s">
        <v>82</v>
      </c>
      <c r="F301" s="19">
        <f>'Off-farm feed'!$F$88</f>
        <v>1.5397450382845088</v>
      </c>
      <c r="G301" s="20">
        <f>'Off-farm feed'!$G$88</f>
        <v>4.1115595157230206E-2</v>
      </c>
      <c r="H301" s="20">
        <f>'Off-farm feed'!$H$88</f>
        <v>4.4751668198345796E-3</v>
      </c>
      <c r="I301" s="19">
        <f>'Off-farm feed'!$I$88</f>
        <v>2.5747126436781614E-3</v>
      </c>
      <c r="J301" s="19">
        <f>'Off-farm feed'!$J$88</f>
        <v>0.29368572248181501</v>
      </c>
      <c r="K301" s="29">
        <f>'Off-farm feed'!$K$88</f>
        <v>1.777473414827503E-10</v>
      </c>
      <c r="L301" s="29">
        <f>'Off-farm feed'!$L$88</f>
        <v>2.4996062723023757E-3</v>
      </c>
      <c r="M301" s="197">
        <f>'Parameters, country spec'!Z26</f>
        <v>2.017458178365223E-2</v>
      </c>
    </row>
    <row r="302" spans="1:13" x14ac:dyDescent="0.35">
      <c r="B302" s="18" t="s">
        <v>346</v>
      </c>
      <c r="C302" s="17" t="s">
        <v>345</v>
      </c>
      <c r="D302" s="23" t="str">
        <f>'Off-farm feed'!$D$36</f>
        <v>Brazil, Argentina</v>
      </c>
      <c r="E302" s="23" t="s">
        <v>82</v>
      </c>
      <c r="F302" s="19">
        <f>'Off-farm feed'!$F$36</f>
        <v>2.5509164954964132</v>
      </c>
      <c r="G302" s="20">
        <f>'Off-farm feed'!$G$36</f>
        <v>4.2620923125915477E-2</v>
      </c>
      <c r="H302" s="20">
        <f>'Off-farm feed'!$H$36</f>
        <v>3.2959349471355036E-3</v>
      </c>
      <c r="I302" s="19">
        <f>'Off-farm feed'!$I$36</f>
        <v>2.3780487804878048E-3</v>
      </c>
      <c r="J302" s="19">
        <f>'Off-farm feed'!$J$36</f>
        <v>0.25920846302270939</v>
      </c>
      <c r="K302" s="29">
        <f>'Off-farm feed'!$K$36</f>
        <v>6.1197957373175144E-10</v>
      </c>
      <c r="L302" s="29">
        <f>'Off-farm feed'!$L$36</f>
        <v>1.0450321677831981E-4</v>
      </c>
      <c r="M302" s="197">
        <f>'Parameters, country spec'!Z27</f>
        <v>0.1724593547162262</v>
      </c>
    </row>
    <row r="303" spans="1:13" x14ac:dyDescent="0.35">
      <c r="B303" s="17" t="s">
        <v>233</v>
      </c>
      <c r="C303" s="17" t="s">
        <v>347</v>
      </c>
      <c r="D303" s="23" t="s">
        <v>28</v>
      </c>
      <c r="E303" s="23" t="s">
        <v>120</v>
      </c>
      <c r="F303" s="107"/>
      <c r="G303" s="108"/>
      <c r="H303" s="108"/>
      <c r="I303" s="116"/>
      <c r="J303" s="116"/>
      <c r="K303" s="116"/>
      <c r="L303" s="116"/>
      <c r="M303" s="197">
        <f>'Parameters, country spec'!Z28</f>
        <v>2.6495909583274708E-2</v>
      </c>
    </row>
    <row r="304" spans="1:13" x14ac:dyDescent="0.35">
      <c r="A304" s="83"/>
      <c r="B304" s="17" t="s">
        <v>348</v>
      </c>
      <c r="C304" s="84" t="s">
        <v>349</v>
      </c>
      <c r="D304" s="23" t="s">
        <v>28</v>
      </c>
      <c r="E304" s="23" t="s">
        <v>120</v>
      </c>
      <c r="F304" s="109">
        <f t="shared" ref="F304:L304" si="24">AVERAGE(F294:F302)</f>
        <v>3.7589623926423252</v>
      </c>
      <c r="G304" s="109">
        <f t="shared" si="24"/>
        <v>2.7192946475905075E-2</v>
      </c>
      <c r="H304" s="109">
        <f t="shared" si="24"/>
        <v>3.0412335296633422E-3</v>
      </c>
      <c r="I304" s="226">
        <f>AVERAGE(I294:I302)</f>
        <v>0.22901209176268175</v>
      </c>
      <c r="J304" s="226">
        <f t="shared" si="24"/>
        <v>0.28032157616716941</v>
      </c>
      <c r="K304" s="226">
        <f t="shared" si="24"/>
        <v>6.5366363239127219E-9</v>
      </c>
      <c r="L304" s="226">
        <f t="shared" si="24"/>
        <v>9.5816772100896597E-4</v>
      </c>
      <c r="M304" s="197">
        <f>'Parameters, country spec'!Z29</f>
        <v>3.0723406491810091E-2</v>
      </c>
    </row>
    <row r="305" spans="1:13" x14ac:dyDescent="0.35">
      <c r="A305" s="195"/>
      <c r="B305" s="25" t="s">
        <v>350</v>
      </c>
      <c r="C305" s="26"/>
      <c r="D305" s="103"/>
      <c r="E305" s="103"/>
      <c r="F305" s="30">
        <f>SUMPRODUCT(F294:F304,M294:M304)</f>
        <v>2.2937240302803996</v>
      </c>
      <c r="G305" s="30">
        <f>SUMPRODUCT(G294:G304,M294:M304)</f>
        <v>2.5028026943813935E-2</v>
      </c>
      <c r="H305" s="30">
        <f>SUMPRODUCT(H294:H304,M294:M304)</f>
        <v>3.6220924095234702E-3</v>
      </c>
      <c r="I305" s="30">
        <f>SUMPRODUCT(I294:I304,M294:M304)</f>
        <v>0.19719121083525581</v>
      </c>
      <c r="J305" s="30">
        <f>SUMPRODUCT(J294:J304,M294:M304)</f>
        <v>0.16011255259374738</v>
      </c>
      <c r="K305" s="30">
        <f>SUMPRODUCT(K294:K304,M294:M304)</f>
        <v>3.6448821134678609E-9</v>
      </c>
      <c r="L305" s="30">
        <f>SUMPRODUCT(L294:L304,M294:M304)</f>
        <v>1.0329034956521109E-3</v>
      </c>
      <c r="M305" s="198"/>
    </row>
    <row r="306" spans="1:13" x14ac:dyDescent="0.35">
      <c r="A306" s="22" t="s">
        <v>336</v>
      </c>
      <c r="B306" s="17" t="s">
        <v>218</v>
      </c>
      <c r="C306" s="17" t="s">
        <v>337</v>
      </c>
      <c r="D306" s="23" t="s">
        <v>25</v>
      </c>
      <c r="E306" s="23" t="s">
        <v>121</v>
      </c>
      <c r="F306" s="24">
        <v>2.1800000000000002</v>
      </c>
      <c r="G306" s="39">
        <v>2.1000000000000001E-2</v>
      </c>
      <c r="H306" s="39">
        <v>1.5E-3</v>
      </c>
      <c r="I306" s="28">
        <v>0</v>
      </c>
      <c r="J306" s="28">
        <v>0.11</v>
      </c>
      <c r="K306" s="28">
        <v>1.7799999999999999E-11</v>
      </c>
      <c r="L306" s="28">
        <v>1.25E-3</v>
      </c>
      <c r="M306" s="197">
        <f>'Parameters, country spec'!AA19</f>
        <v>0</v>
      </c>
    </row>
    <row r="307" spans="1:13" x14ac:dyDescent="0.35">
      <c r="A307" s="22" t="s">
        <v>338</v>
      </c>
      <c r="B307" s="17" t="s">
        <v>222</v>
      </c>
      <c r="C307" s="17" t="s">
        <v>337</v>
      </c>
      <c r="D307" s="23" t="s">
        <v>25</v>
      </c>
      <c r="E307" s="23" t="s">
        <v>121</v>
      </c>
      <c r="F307" s="21">
        <v>1.51</v>
      </c>
      <c r="G307" s="39">
        <v>0.02</v>
      </c>
      <c r="H307" s="39">
        <v>5.5999999999999999E-3</v>
      </c>
      <c r="I307" s="28">
        <v>0</v>
      </c>
      <c r="J307" s="28">
        <v>0.02</v>
      </c>
      <c r="K307" s="28">
        <v>1.23E-11</v>
      </c>
      <c r="L307" s="28">
        <v>1.2099999999999999E-3</v>
      </c>
      <c r="M307" s="197">
        <f>'Parameters, country spec'!AA20</f>
        <v>2.9000000000000001E-2</v>
      </c>
    </row>
    <row r="308" spans="1:13" x14ac:dyDescent="0.35">
      <c r="A308" s="22" t="s">
        <v>339</v>
      </c>
      <c r="B308" s="17" t="s">
        <v>226</v>
      </c>
      <c r="C308" s="17" t="s">
        <v>337</v>
      </c>
      <c r="D308" s="23" t="s">
        <v>25</v>
      </c>
      <c r="E308" s="23" t="s">
        <v>121</v>
      </c>
      <c r="F308" s="21">
        <v>2.5499999999999998</v>
      </c>
      <c r="G308" s="39">
        <v>1.7999999999999999E-2</v>
      </c>
      <c r="H308" s="39">
        <v>3.8E-3</v>
      </c>
      <c r="I308" s="28">
        <v>3.2864863213405697E-4</v>
      </c>
      <c r="J308" s="28">
        <v>0.11</v>
      </c>
      <c r="K308" s="28">
        <v>2.0799999999999999E-11</v>
      </c>
      <c r="L308" s="28">
        <v>1.1000000000000001E-3</v>
      </c>
      <c r="M308" s="197">
        <f>'Parameters, country spec'!AA21</f>
        <v>4.9000000000000002E-2</v>
      </c>
    </row>
    <row r="309" spans="1:13" x14ac:dyDescent="0.35">
      <c r="A309" s="22" t="s">
        <v>340</v>
      </c>
      <c r="B309" s="17" t="s">
        <v>227</v>
      </c>
      <c r="C309" s="17" t="s">
        <v>337</v>
      </c>
      <c r="D309" s="23" t="s">
        <v>25</v>
      </c>
      <c r="E309" s="23" t="s">
        <v>121</v>
      </c>
      <c r="F309" s="21">
        <v>1.68</v>
      </c>
      <c r="G309" s="39">
        <v>1.6E-2</v>
      </c>
      <c r="H309" s="39">
        <v>1.1999999999999999E-3</v>
      </c>
      <c r="I309" s="28">
        <v>0</v>
      </c>
      <c r="J309" s="28">
        <v>0.16</v>
      </c>
      <c r="K309" s="28">
        <v>1.37E-11</v>
      </c>
      <c r="L309" s="28">
        <v>9.68E-4</v>
      </c>
      <c r="M309" s="197">
        <f>'Parameters, country spec'!AA22</f>
        <v>0</v>
      </c>
    </row>
    <row r="310" spans="1:13" x14ac:dyDescent="0.35">
      <c r="A310" s="22" t="s">
        <v>341</v>
      </c>
      <c r="B310" s="17" t="s">
        <v>228</v>
      </c>
      <c r="C310" s="17" t="s">
        <v>337</v>
      </c>
      <c r="D310" s="23" t="s">
        <v>25</v>
      </c>
      <c r="E310" s="23" t="s">
        <v>121</v>
      </c>
      <c r="F310" s="21">
        <v>1.54</v>
      </c>
      <c r="G310" s="39">
        <v>2.4E-2</v>
      </c>
      <c r="H310" s="39">
        <v>2.2000000000000001E-3</v>
      </c>
      <c r="I310" s="28">
        <v>0</v>
      </c>
      <c r="J310" s="28">
        <v>0.11</v>
      </c>
      <c r="K310" s="28">
        <v>1.25E-11</v>
      </c>
      <c r="L310" s="28">
        <v>1.4300000000000001E-3</v>
      </c>
      <c r="M310" s="197">
        <f>'Parameters, country spec'!AA23</f>
        <v>0.59099999999999997</v>
      </c>
    </row>
    <row r="311" spans="1:13" x14ac:dyDescent="0.35">
      <c r="A311" s="22" t="s">
        <v>342</v>
      </c>
      <c r="B311" s="17" t="s">
        <v>229</v>
      </c>
      <c r="C311" s="17" t="s">
        <v>343</v>
      </c>
      <c r="D311" s="23" t="s">
        <v>25</v>
      </c>
      <c r="E311" s="23" t="s">
        <v>121</v>
      </c>
      <c r="F311" s="21">
        <v>3.38</v>
      </c>
      <c r="G311" s="39">
        <v>2.1000000000000001E-2</v>
      </c>
      <c r="H311" s="39">
        <v>1.6999999999999999E-3</v>
      </c>
      <c r="I311" s="28">
        <v>0</v>
      </c>
      <c r="J311" s="28">
        <v>0.2</v>
      </c>
      <c r="K311" s="28">
        <v>2.7499999999999999E-11</v>
      </c>
      <c r="L311" s="28">
        <v>0</v>
      </c>
      <c r="M311" s="197">
        <f>'Parameters, country spec'!AA24</f>
        <v>0</v>
      </c>
    </row>
    <row r="312" spans="1:13" x14ac:dyDescent="0.35">
      <c r="A312" s="22" t="s">
        <v>344</v>
      </c>
      <c r="B312" s="17" t="s">
        <v>230</v>
      </c>
      <c r="C312" s="17" t="s">
        <v>343</v>
      </c>
      <c r="D312" s="23" t="s">
        <v>25</v>
      </c>
      <c r="E312" s="23" t="s">
        <v>121</v>
      </c>
      <c r="F312" s="21">
        <v>5.05</v>
      </c>
      <c r="G312" s="39">
        <v>1.2999999999999999E-2</v>
      </c>
      <c r="H312" s="39">
        <v>2E-3</v>
      </c>
      <c r="I312" s="28">
        <v>0</v>
      </c>
      <c r="J312" s="28">
        <v>0.31</v>
      </c>
      <c r="K312" s="28">
        <v>4.1199999999999997E-11</v>
      </c>
      <c r="L312" s="28">
        <v>6.1400000000000002E-5</v>
      </c>
      <c r="M312" s="197">
        <f>'Parameters, country spec'!AA25</f>
        <v>0</v>
      </c>
    </row>
    <row r="313" spans="1:13" x14ac:dyDescent="0.35">
      <c r="B313" s="18" t="s">
        <v>231</v>
      </c>
      <c r="C313" s="17" t="s">
        <v>345</v>
      </c>
      <c r="D313" s="23" t="str">
        <f>'Off-farm feed'!$D$88</f>
        <v>France, Germany, Poland</v>
      </c>
      <c r="E313" s="23" t="s">
        <v>82</v>
      </c>
      <c r="F313" s="19">
        <f>'Off-farm feed'!$F$88</f>
        <v>1.5397450382845088</v>
      </c>
      <c r="G313" s="20">
        <f>'Off-farm feed'!$G$88</f>
        <v>4.1115595157230206E-2</v>
      </c>
      <c r="H313" s="20">
        <f>'Off-farm feed'!$H$88</f>
        <v>4.4751668198345796E-3</v>
      </c>
      <c r="I313" s="19">
        <f>'Off-farm feed'!$I$88</f>
        <v>2.5747126436781614E-3</v>
      </c>
      <c r="J313" s="19">
        <f>'Off-farm feed'!$J$88</f>
        <v>0.29368572248181501</v>
      </c>
      <c r="K313" s="29">
        <f>'Off-farm feed'!$K$88</f>
        <v>1.777473414827503E-10</v>
      </c>
      <c r="L313" s="29">
        <f>'Off-farm feed'!$L$88</f>
        <v>2.4996062723023757E-3</v>
      </c>
      <c r="M313" s="197">
        <f>'Parameters, country spec'!AA26</f>
        <v>6.8000000000000005E-2</v>
      </c>
    </row>
    <row r="314" spans="1:13" x14ac:dyDescent="0.35">
      <c r="B314" s="18" t="s">
        <v>346</v>
      </c>
      <c r="C314" s="17" t="s">
        <v>345</v>
      </c>
      <c r="D314" s="23" t="str">
        <f>'Off-farm feed'!$D$36</f>
        <v>Brazil, Argentina</v>
      </c>
      <c r="E314" s="23" t="s">
        <v>82</v>
      </c>
      <c r="F314" s="19">
        <f>'Off-farm feed'!$F$36</f>
        <v>2.5509164954964132</v>
      </c>
      <c r="G314" s="20">
        <f>'Off-farm feed'!$G$36</f>
        <v>4.2620923125915477E-2</v>
      </c>
      <c r="H314" s="20">
        <f>'Off-farm feed'!$H$36</f>
        <v>3.2959349471355036E-3</v>
      </c>
      <c r="I314" s="19">
        <f>'Off-farm feed'!$I$36</f>
        <v>2.3780487804878048E-3</v>
      </c>
      <c r="J314" s="19">
        <f>'Off-farm feed'!$J$36</f>
        <v>0.25920846302270939</v>
      </c>
      <c r="K314" s="29">
        <f>'Off-farm feed'!$K$36</f>
        <v>6.1197957373175144E-10</v>
      </c>
      <c r="L314" s="29">
        <f>'Off-farm feed'!$L$36</f>
        <v>1.0450321677831981E-4</v>
      </c>
      <c r="M314" s="197">
        <f>'Parameters, country spec'!AA27</f>
        <v>0.186</v>
      </c>
    </row>
    <row r="315" spans="1:13" x14ac:dyDescent="0.35">
      <c r="B315" s="17" t="s">
        <v>233</v>
      </c>
      <c r="C315" s="17" t="s">
        <v>347</v>
      </c>
      <c r="D315" s="23" t="s">
        <v>25</v>
      </c>
      <c r="E315" s="23" t="s">
        <v>121</v>
      </c>
      <c r="F315" s="107"/>
      <c r="G315" s="108"/>
      <c r="H315" s="108"/>
      <c r="I315" s="116"/>
      <c r="J315" s="116"/>
      <c r="K315" s="116"/>
      <c r="L315" s="116"/>
      <c r="M315" s="197">
        <f>'Parameters, country spec'!AA28</f>
        <v>0</v>
      </c>
    </row>
    <row r="316" spans="1:13" x14ac:dyDescent="0.35">
      <c r="A316" s="83"/>
      <c r="B316" s="17" t="s">
        <v>348</v>
      </c>
      <c r="C316" s="84" t="s">
        <v>349</v>
      </c>
      <c r="D316" s="23" t="s">
        <v>25</v>
      </c>
      <c r="E316" s="23" t="s">
        <v>121</v>
      </c>
      <c r="F316" s="109">
        <f t="shared" ref="F316:L316" si="25">AVERAGE(F306:F314)</f>
        <v>2.4422957259756579</v>
      </c>
      <c r="G316" s="109">
        <f t="shared" si="25"/>
        <v>2.4081835364793965E-2</v>
      </c>
      <c r="H316" s="109">
        <f t="shared" si="25"/>
        <v>2.8634557518855647E-3</v>
      </c>
      <c r="I316" s="226">
        <f>AVERAGE(I306:I314)</f>
        <v>5.868233395888915E-4</v>
      </c>
      <c r="J316" s="226">
        <f t="shared" si="25"/>
        <v>0.17476602061161384</v>
      </c>
      <c r="K316" s="226">
        <f t="shared" si="25"/>
        <v>1.0394743502383353E-10</v>
      </c>
      <c r="L316" s="226">
        <f t="shared" si="25"/>
        <v>9.5816772100896597E-4</v>
      </c>
      <c r="M316" s="197">
        <f>'Parameters, country spec'!AA29</f>
        <v>7.7000000000000179E-2</v>
      </c>
    </row>
    <row r="317" spans="1:13" x14ac:dyDescent="0.35">
      <c r="A317" s="195"/>
      <c r="B317" s="25" t="s">
        <v>350</v>
      </c>
      <c r="C317" s="26"/>
      <c r="D317" s="103"/>
      <c r="E317" s="103"/>
      <c r="F317" s="30">
        <f>SUMPRODUCT(F306:F316,M306:M316)</f>
        <v>1.8461099016658056</v>
      </c>
      <c r="G317" s="30">
        <f>SUMPRODUCT(G306:G316,M306:M316)</f>
        <v>2.8223653495201076E-2</v>
      </c>
      <c r="H317" s="30">
        <f>SUMPRODUCT(H306:H316,M306:M316)</f>
        <v>2.7866413368111444E-3</v>
      </c>
      <c r="I317" s="30">
        <f>SUMPRODUCT(I306:I316,M306:M316)</f>
        <v>6.7868671306376012E-4</v>
      </c>
      <c r="J317" s="30">
        <f>SUMPRODUCT(J306:J316,M306:M316)</f>
        <v>0.15262038683808166</v>
      </c>
      <c r="K317" s="30">
        <f>SUMPRODUCT(K306:K316,M306:M316)</f>
        <v>1.4268237243176798E-10</v>
      </c>
      <c r="L317" s="30">
        <f>SUMPRODUCT(L306:L316,M306:M316)</f>
        <v>1.1973097393550196E-3</v>
      </c>
      <c r="M317" s="198"/>
    </row>
    <row r="318" spans="1:13" x14ac:dyDescent="0.35">
      <c r="A318" s="22" t="s">
        <v>336</v>
      </c>
      <c r="B318" s="17" t="s">
        <v>218</v>
      </c>
      <c r="C318" s="17" t="s">
        <v>337</v>
      </c>
      <c r="D318" s="23" t="s">
        <v>21</v>
      </c>
      <c r="E318" s="23" t="s">
        <v>122</v>
      </c>
      <c r="F318" s="24">
        <v>2.1815008726003491</v>
      </c>
      <c r="G318" s="39">
        <v>2.0506108202443279E-2</v>
      </c>
      <c r="H318" s="39">
        <v>3.0541012216404886E-3</v>
      </c>
      <c r="I318" s="28">
        <v>0</v>
      </c>
      <c r="J318" s="28">
        <v>1.1343804537521816E-7</v>
      </c>
      <c r="K318" s="28">
        <v>9.332913409296623E-16</v>
      </c>
      <c r="L318" s="28">
        <v>5.2359749444649394E-4</v>
      </c>
      <c r="M318" s="197">
        <f>'Parameters, country spec'!AB19</f>
        <v>0.24290688316534448</v>
      </c>
    </row>
    <row r="319" spans="1:13" x14ac:dyDescent="0.35">
      <c r="A319" s="22" t="s">
        <v>338</v>
      </c>
      <c r="B319" s="17" t="s">
        <v>222</v>
      </c>
      <c r="C319" s="17" t="s">
        <v>337</v>
      </c>
      <c r="D319" s="23" t="s">
        <v>21</v>
      </c>
      <c r="E319" s="23" t="s">
        <v>122</v>
      </c>
      <c r="F319" s="21">
        <v>5.0505050505050502</v>
      </c>
      <c r="G319" s="39">
        <v>1.3131313131313131E-2</v>
      </c>
      <c r="H319" s="39">
        <v>2.0202020202020202E-3</v>
      </c>
      <c r="I319" s="28">
        <v>0</v>
      </c>
      <c r="J319" s="28">
        <v>3.0808080808080806E-7</v>
      </c>
      <c r="K319" s="28">
        <v>2.1607108620310969E-15</v>
      </c>
      <c r="L319" s="28">
        <v>2.5791649629730588E-5</v>
      </c>
      <c r="M319" s="197">
        <f>'Parameters, country spec'!AB20</f>
        <v>1.1405036092928852E-2</v>
      </c>
    </row>
    <row r="320" spans="1:13" x14ac:dyDescent="0.35">
      <c r="A320" s="22" t="s">
        <v>339</v>
      </c>
      <c r="B320" s="17" t="s">
        <v>226</v>
      </c>
      <c r="C320" s="17" t="s">
        <v>337</v>
      </c>
      <c r="D320" s="23" t="s">
        <v>21</v>
      </c>
      <c r="E320" s="23" t="s">
        <v>122</v>
      </c>
      <c r="F320" s="21">
        <v>1.5128936360129202</v>
      </c>
      <c r="G320" s="39">
        <v>1.9970195995370546E-2</v>
      </c>
      <c r="H320" s="39">
        <v>5.5977064532478039E-3</v>
      </c>
      <c r="I320" s="28">
        <v>0</v>
      </c>
      <c r="J320" s="28">
        <v>1.6641829996142119E-8</v>
      </c>
      <c r="K320" s="28">
        <v>6.4724729106130576E-16</v>
      </c>
      <c r="L320" s="28">
        <v>5.0991365516814952E-4</v>
      </c>
      <c r="M320" s="197">
        <f>'Parameters, country spec'!AB21</f>
        <v>2.6784717007595302E-2</v>
      </c>
    </row>
    <row r="321" spans="1:13" x14ac:dyDescent="0.35">
      <c r="A321" s="22" t="s">
        <v>340</v>
      </c>
      <c r="B321" s="17" t="s">
        <v>227</v>
      </c>
      <c r="C321" s="17" t="s">
        <v>337</v>
      </c>
      <c r="D321" s="23" t="s">
        <v>21</v>
      </c>
      <c r="E321" s="23" t="s">
        <v>122</v>
      </c>
      <c r="F321" s="21">
        <v>2.5461100530609335</v>
      </c>
      <c r="G321" s="39">
        <v>1.8077381376732628E-2</v>
      </c>
      <c r="H321" s="39">
        <v>3.8191650795914001E-3</v>
      </c>
      <c r="I321" s="28">
        <v>0</v>
      </c>
      <c r="J321" s="28">
        <v>1.1457495238774201E-7</v>
      </c>
      <c r="K321" s="28">
        <v>1.0892787142199158E-15</v>
      </c>
      <c r="L321" s="28">
        <v>4.6158303182478765E-4</v>
      </c>
      <c r="M321" s="197">
        <f>'Parameters, country spec'!AB22</f>
        <v>1.2703483591450424E-3</v>
      </c>
    </row>
    <row r="322" spans="1:13" x14ac:dyDescent="0.35">
      <c r="A322" s="22" t="s">
        <v>341</v>
      </c>
      <c r="B322" s="17" t="s">
        <v>228</v>
      </c>
      <c r="C322" s="17" t="s">
        <v>337</v>
      </c>
      <c r="D322" s="23" t="s">
        <v>21</v>
      </c>
      <c r="E322" s="23" t="s">
        <v>122</v>
      </c>
      <c r="F322" s="21">
        <v>3.3757097429734602</v>
      </c>
      <c r="G322" s="39">
        <v>2.1266971380732799E-2</v>
      </c>
      <c r="H322" s="39">
        <v>1.6878548714867299E-3</v>
      </c>
      <c r="I322" s="28">
        <v>0</v>
      </c>
      <c r="J322" s="28">
        <v>1.9579116509246066E-7</v>
      </c>
      <c r="K322" s="28">
        <v>1.4441986763239777E-15</v>
      </c>
      <c r="L322" s="28">
        <v>0</v>
      </c>
      <c r="M322" s="197">
        <f>'Parameters, country spec'!AB23</f>
        <v>0.36306225085662319</v>
      </c>
    </row>
    <row r="323" spans="1:13" x14ac:dyDescent="0.35">
      <c r="A323" s="22" t="s">
        <v>342</v>
      </c>
      <c r="B323" s="17" t="s">
        <v>229</v>
      </c>
      <c r="C323" s="17" t="s">
        <v>343</v>
      </c>
      <c r="D323" s="23" t="s">
        <v>21</v>
      </c>
      <c r="E323" s="23" t="s">
        <v>122</v>
      </c>
      <c r="F323" s="21">
        <v>1.6760975086486631</v>
      </c>
      <c r="G323" s="39">
        <v>1.5922926332162302E-2</v>
      </c>
      <c r="H323" s="39">
        <v>1.1732682560540643E-3</v>
      </c>
      <c r="I323" s="28">
        <v>0</v>
      </c>
      <c r="J323" s="28">
        <v>1.5755316581297433E-7</v>
      </c>
      <c r="K323" s="28">
        <v>7.1706929436656458E-16</v>
      </c>
      <c r="L323" s="28">
        <v>4.0657175166874981E-4</v>
      </c>
      <c r="M323" s="197">
        <f>'Parameters, country spec'!AB24</f>
        <v>6.0909129056991628E-3</v>
      </c>
    </row>
    <row r="324" spans="1:13" x14ac:dyDescent="0.35">
      <c r="A324" s="22" t="s">
        <v>344</v>
      </c>
      <c r="B324" s="17" t="s">
        <v>230</v>
      </c>
      <c r="C324" s="17" t="s">
        <v>343</v>
      </c>
      <c r="D324" s="23" t="s">
        <v>21</v>
      </c>
      <c r="E324" s="23" t="s">
        <v>122</v>
      </c>
      <c r="F324" s="21">
        <v>1.5363343063450607</v>
      </c>
      <c r="G324" s="39">
        <v>2.350591488707943E-2</v>
      </c>
      <c r="H324" s="39">
        <v>2.150868028883085E-3</v>
      </c>
      <c r="I324" s="28">
        <v>0</v>
      </c>
      <c r="J324" s="28">
        <v>1.1368873866953449E-7</v>
      </c>
      <c r="K324" s="28">
        <v>6.5727569623929515E-16</v>
      </c>
      <c r="L324" s="28">
        <v>6.0019375778388269E-4</v>
      </c>
      <c r="M324" s="197">
        <f>'Parameters, country spec'!AB25</f>
        <v>5.9832836689627722E-3</v>
      </c>
    </row>
    <row r="325" spans="1:13" x14ac:dyDescent="0.35">
      <c r="B325" s="18" t="s">
        <v>231</v>
      </c>
      <c r="C325" s="17" t="s">
        <v>345</v>
      </c>
      <c r="D325" s="23" t="str">
        <f>'Off-farm feed'!$D$88</f>
        <v>France, Germany, Poland</v>
      </c>
      <c r="E325" s="23" t="s">
        <v>82</v>
      </c>
      <c r="F325" s="19">
        <f>'Off-farm feed'!$F$88</f>
        <v>1.5397450382845088</v>
      </c>
      <c r="G325" s="20">
        <f>'Off-farm feed'!$G$88</f>
        <v>4.1115595157230206E-2</v>
      </c>
      <c r="H325" s="20">
        <f>'Off-farm feed'!$H$88</f>
        <v>4.4751668198345796E-3</v>
      </c>
      <c r="I325" s="19">
        <f>'Off-farm feed'!$I$88</f>
        <v>2.5747126436781614E-3</v>
      </c>
      <c r="J325" s="19">
        <f>'Off-farm feed'!$J$88</f>
        <v>0.29368572248181501</v>
      </c>
      <c r="K325" s="29">
        <f>'Off-farm feed'!$K$88</f>
        <v>1.777473414827503E-10</v>
      </c>
      <c r="L325" s="29">
        <f>'Off-farm feed'!$L$88</f>
        <v>2.4996062723023757E-3</v>
      </c>
      <c r="M325" s="197">
        <f>'Parameters, country spec'!AB26</f>
        <v>9.4633897453147445E-2</v>
      </c>
    </row>
    <row r="326" spans="1:13" x14ac:dyDescent="0.35">
      <c r="B326" s="18" t="s">
        <v>346</v>
      </c>
      <c r="C326" s="17" t="s">
        <v>345</v>
      </c>
      <c r="D326" s="23" t="str">
        <f>'Off-farm feed'!$D$36</f>
        <v>Brazil, Argentina</v>
      </c>
      <c r="E326" s="23" t="s">
        <v>82</v>
      </c>
      <c r="F326" s="19">
        <f>'Off-farm feed'!$F$36</f>
        <v>2.5509164954964132</v>
      </c>
      <c r="G326" s="20">
        <f>'Off-farm feed'!$G$36</f>
        <v>4.2620923125915477E-2</v>
      </c>
      <c r="H326" s="20">
        <f>'Off-farm feed'!$H$36</f>
        <v>3.2959349471355036E-3</v>
      </c>
      <c r="I326" s="19">
        <f>'Off-farm feed'!$I$36</f>
        <v>2.3780487804878048E-3</v>
      </c>
      <c r="J326" s="19">
        <f>'Off-farm feed'!$J$36</f>
        <v>0.25920846302270939</v>
      </c>
      <c r="K326" s="29">
        <f>'Off-farm feed'!$K$36</f>
        <v>6.1197957373175144E-10</v>
      </c>
      <c r="L326" s="29">
        <f>'Off-farm feed'!$L$36</f>
        <v>1.0450321677831981E-4</v>
      </c>
      <c r="M326" s="197">
        <f>'Parameters, country spec'!AB27</f>
        <v>0.1863493678947572</v>
      </c>
    </row>
    <row r="327" spans="1:13" x14ac:dyDescent="0.35">
      <c r="B327" s="17" t="s">
        <v>233</v>
      </c>
      <c r="C327" s="17" t="s">
        <v>347</v>
      </c>
      <c r="D327" s="23" t="s">
        <v>21</v>
      </c>
      <c r="E327" s="23" t="s">
        <v>122</v>
      </c>
      <c r="F327" s="107"/>
      <c r="G327" s="108"/>
      <c r="H327" s="108"/>
      <c r="I327" s="116"/>
      <c r="J327" s="116"/>
      <c r="K327" s="116"/>
      <c r="L327" s="116"/>
      <c r="M327" s="197">
        <f>'Parameters, country spec'!AB28</f>
        <v>1.2143080899157416E-2</v>
      </c>
    </row>
    <row r="328" spans="1:13" x14ac:dyDescent="0.35">
      <c r="A328" s="83"/>
      <c r="B328" s="17" t="s">
        <v>348</v>
      </c>
      <c r="C328" s="84" t="s">
        <v>349</v>
      </c>
      <c r="D328" s="23" t="s">
        <v>21</v>
      </c>
      <c r="E328" s="23" t="s">
        <v>122</v>
      </c>
      <c r="F328" s="109">
        <f t="shared" ref="F328:L328" si="26">AVERAGE(F318:F326)</f>
        <v>2.4410903004363735</v>
      </c>
      <c r="G328" s="109">
        <f t="shared" si="26"/>
        <v>2.4013036620997755E-2</v>
      </c>
      <c r="H328" s="109">
        <f t="shared" si="26"/>
        <v>3.0304741886750747E-3</v>
      </c>
      <c r="I328" s="226">
        <f>AVERAGE(I318:I326)</f>
        <v>5.5030682490732959E-4</v>
      </c>
      <c r="J328" s="226">
        <f t="shared" si="26"/>
        <v>6.1432800585914431E-2</v>
      </c>
      <c r="K328" s="226">
        <f t="shared" si="26"/>
        <v>8.774828492070854E-11</v>
      </c>
      <c r="L328" s="226">
        <f t="shared" si="26"/>
        <v>5.7019564773361003E-4</v>
      </c>
      <c r="M328" s="197">
        <f>'Parameters, country spec'!AB29</f>
        <v>4.9370221696639315E-2</v>
      </c>
    </row>
    <row r="329" spans="1:13" x14ac:dyDescent="0.35">
      <c r="A329" s="195"/>
      <c r="B329" s="25" t="s">
        <v>350</v>
      </c>
      <c r="C329" s="26"/>
      <c r="D329" s="103"/>
      <c r="E329" s="103"/>
      <c r="F329" s="30">
        <f>SUMPRODUCT(F318:F328,M318:M328)</f>
        <v>2.6178446298992379</v>
      </c>
      <c r="G329" s="30">
        <f>SUMPRODUCT(G318:G328,M318:M328)</f>
        <v>2.6666400803189969E-2</v>
      </c>
      <c r="H329" s="30">
        <f>SUMPRODUCT(H318:H328,M318:M328)</f>
        <v>2.7398123104605413E-3</v>
      </c>
      <c r="I329" s="30">
        <f>SUMPRODUCT(I318:I328,M318:M328)</f>
        <v>7.1397174930681049E-4</v>
      </c>
      <c r="J329" s="30">
        <f>SUMPRODUCT(J318:J328,M318:M328)</f>
        <v>7.9129013150530336E-2</v>
      </c>
      <c r="K329" s="30">
        <f>SUMPRODUCT(K318:K328,M318:M328)</f>
        <v>1.3519588539616896E-10</v>
      </c>
      <c r="L329" s="30">
        <f>SUMPRODUCT(L318:L328,M318:M328)</f>
        <v>4.3196365451665675E-4</v>
      </c>
      <c r="M329" s="198"/>
    </row>
    <row r="330" spans="1:13" x14ac:dyDescent="0.35">
      <c r="A330" s="22" t="s">
        <v>336</v>
      </c>
      <c r="B330" s="17" t="s">
        <v>218</v>
      </c>
      <c r="C330" s="17" t="s">
        <v>337</v>
      </c>
      <c r="D330" s="23" t="s">
        <v>123</v>
      </c>
      <c r="E330" s="23" t="s">
        <v>124</v>
      </c>
      <c r="F330" s="24">
        <v>2.1815008726003491</v>
      </c>
      <c r="G330" s="39">
        <v>2.0506108202443279E-2</v>
      </c>
      <c r="H330" s="39">
        <v>3.0541012216404886E-3</v>
      </c>
      <c r="I330" s="28">
        <v>0</v>
      </c>
      <c r="J330" s="28">
        <v>1.1343804537521816E-7</v>
      </c>
      <c r="K330" s="28">
        <v>9.332913409296623E-16</v>
      </c>
      <c r="L330" s="28">
        <v>5.2359749444649394E-4</v>
      </c>
      <c r="M330" s="197">
        <f>'Parameters, country spec'!AC19</f>
        <v>0.24290688316534448</v>
      </c>
    </row>
    <row r="331" spans="1:13" x14ac:dyDescent="0.35">
      <c r="A331" s="22" t="s">
        <v>338</v>
      </c>
      <c r="B331" s="17" t="s">
        <v>222</v>
      </c>
      <c r="C331" s="17" t="s">
        <v>337</v>
      </c>
      <c r="D331" s="23" t="s">
        <v>123</v>
      </c>
      <c r="E331" s="23" t="s">
        <v>124</v>
      </c>
      <c r="F331" s="21">
        <v>5.0505050505050502</v>
      </c>
      <c r="G331" s="39">
        <v>1.3131313131313131E-2</v>
      </c>
      <c r="H331" s="39">
        <v>2.0202020202020202E-3</v>
      </c>
      <c r="I331" s="28">
        <v>0</v>
      </c>
      <c r="J331" s="28">
        <v>3.0808080808080806E-7</v>
      </c>
      <c r="K331" s="28">
        <v>2.1607108620310969E-15</v>
      </c>
      <c r="L331" s="28">
        <v>2.5791649629730588E-5</v>
      </c>
      <c r="M331" s="197">
        <f>'Parameters, country spec'!AC20</f>
        <v>1.1405036092928852E-2</v>
      </c>
    </row>
    <row r="332" spans="1:13" x14ac:dyDescent="0.35">
      <c r="A332" s="22" t="s">
        <v>339</v>
      </c>
      <c r="B332" s="17" t="s">
        <v>226</v>
      </c>
      <c r="C332" s="17" t="s">
        <v>337</v>
      </c>
      <c r="D332" s="23" t="s">
        <v>123</v>
      </c>
      <c r="E332" s="23" t="s">
        <v>124</v>
      </c>
      <c r="F332" s="21">
        <v>1.5128936360129202</v>
      </c>
      <c r="G332" s="39">
        <v>1.9970195995370546E-2</v>
      </c>
      <c r="H332" s="39">
        <v>5.5977064532478039E-3</v>
      </c>
      <c r="I332" s="28">
        <v>0</v>
      </c>
      <c r="J332" s="28">
        <v>1.6641829996142119E-8</v>
      </c>
      <c r="K332" s="28">
        <v>6.4724729106130576E-16</v>
      </c>
      <c r="L332" s="28">
        <v>5.0991365516814952E-4</v>
      </c>
      <c r="M332" s="197">
        <f>'Parameters, country spec'!AC21</f>
        <v>2.6784717007595302E-2</v>
      </c>
    </row>
    <row r="333" spans="1:13" x14ac:dyDescent="0.35">
      <c r="A333" s="22" t="s">
        <v>340</v>
      </c>
      <c r="B333" s="17" t="s">
        <v>227</v>
      </c>
      <c r="C333" s="17" t="s">
        <v>337</v>
      </c>
      <c r="D333" s="23" t="s">
        <v>123</v>
      </c>
      <c r="E333" s="23" t="s">
        <v>124</v>
      </c>
      <c r="F333" s="21">
        <v>2.5461100530609335</v>
      </c>
      <c r="G333" s="39">
        <v>1.8077381376732628E-2</v>
      </c>
      <c r="H333" s="39">
        <v>3.8191650795914001E-3</v>
      </c>
      <c r="I333" s="28">
        <v>0</v>
      </c>
      <c r="J333" s="28">
        <v>1.1457495238774201E-7</v>
      </c>
      <c r="K333" s="28">
        <v>1.0892787142199158E-15</v>
      </c>
      <c r="L333" s="28">
        <v>4.6158303182478765E-4</v>
      </c>
      <c r="M333" s="197">
        <f>'Parameters, country spec'!AC22</f>
        <v>1.2703483591450424E-3</v>
      </c>
    </row>
    <row r="334" spans="1:13" x14ac:dyDescent="0.35">
      <c r="A334" s="22" t="s">
        <v>341</v>
      </c>
      <c r="B334" s="17" t="s">
        <v>228</v>
      </c>
      <c r="C334" s="17" t="s">
        <v>337</v>
      </c>
      <c r="D334" s="23" t="s">
        <v>123</v>
      </c>
      <c r="E334" s="23" t="s">
        <v>124</v>
      </c>
      <c r="F334" s="21">
        <v>3.3757097429734602</v>
      </c>
      <c r="G334" s="39">
        <v>2.1266971380732799E-2</v>
      </c>
      <c r="H334" s="39">
        <v>1.6878548714867299E-3</v>
      </c>
      <c r="I334" s="28">
        <v>0</v>
      </c>
      <c r="J334" s="28">
        <v>1.9579116509246066E-7</v>
      </c>
      <c r="K334" s="28">
        <v>1.4441986763239777E-15</v>
      </c>
      <c r="L334" s="28">
        <v>0</v>
      </c>
      <c r="M334" s="197">
        <f>'Parameters, country spec'!AC23</f>
        <v>0.36306225085662319</v>
      </c>
    </row>
    <row r="335" spans="1:13" x14ac:dyDescent="0.35">
      <c r="A335" s="22" t="s">
        <v>342</v>
      </c>
      <c r="B335" s="17" t="s">
        <v>229</v>
      </c>
      <c r="C335" s="17" t="s">
        <v>343</v>
      </c>
      <c r="D335" s="23" t="s">
        <v>123</v>
      </c>
      <c r="E335" s="23" t="s">
        <v>124</v>
      </c>
      <c r="F335" s="21">
        <v>1.6760975086486631</v>
      </c>
      <c r="G335" s="39">
        <v>1.5922926332162302E-2</v>
      </c>
      <c r="H335" s="39">
        <v>1.1732682560540643E-3</v>
      </c>
      <c r="I335" s="28">
        <v>0</v>
      </c>
      <c r="J335" s="28">
        <v>1.5755316581297433E-7</v>
      </c>
      <c r="K335" s="28">
        <v>7.1706929436656458E-16</v>
      </c>
      <c r="L335" s="28">
        <v>4.0657175166874981E-4</v>
      </c>
      <c r="M335" s="197">
        <f>'Parameters, country spec'!AC24</f>
        <v>6.0909129056991628E-3</v>
      </c>
    </row>
    <row r="336" spans="1:13" x14ac:dyDescent="0.35">
      <c r="A336" s="22" t="s">
        <v>344</v>
      </c>
      <c r="B336" s="17" t="s">
        <v>230</v>
      </c>
      <c r="C336" s="17" t="s">
        <v>343</v>
      </c>
      <c r="D336" s="23" t="s">
        <v>123</v>
      </c>
      <c r="E336" s="23" t="s">
        <v>124</v>
      </c>
      <c r="F336" s="21">
        <v>1.5363343063450607</v>
      </c>
      <c r="G336" s="39">
        <v>2.350591488707943E-2</v>
      </c>
      <c r="H336" s="39">
        <v>2.150868028883085E-3</v>
      </c>
      <c r="I336" s="28">
        <v>0</v>
      </c>
      <c r="J336" s="28">
        <v>1.1368873866953449E-7</v>
      </c>
      <c r="K336" s="28">
        <v>6.5727569623929515E-16</v>
      </c>
      <c r="L336" s="28">
        <v>6.0019375778388269E-4</v>
      </c>
      <c r="M336" s="197">
        <f>'Parameters, country spec'!AC25</f>
        <v>5.9832836689627722E-3</v>
      </c>
    </row>
    <row r="337" spans="1:13" x14ac:dyDescent="0.35">
      <c r="B337" s="18" t="s">
        <v>231</v>
      </c>
      <c r="C337" s="17" t="s">
        <v>345</v>
      </c>
      <c r="D337" s="23" t="str">
        <f>'Off-farm feed'!$D$88</f>
        <v>France, Germany, Poland</v>
      </c>
      <c r="E337" s="23" t="s">
        <v>82</v>
      </c>
      <c r="F337" s="19">
        <f>'Off-farm feed'!$F$88</f>
        <v>1.5397450382845088</v>
      </c>
      <c r="G337" s="20">
        <f>'Off-farm feed'!$G$88</f>
        <v>4.1115595157230206E-2</v>
      </c>
      <c r="H337" s="20">
        <f>'Off-farm feed'!$H$88</f>
        <v>4.4751668198345796E-3</v>
      </c>
      <c r="I337" s="19">
        <f>'Off-farm feed'!$I$88</f>
        <v>2.5747126436781614E-3</v>
      </c>
      <c r="J337" s="19">
        <f>'Off-farm feed'!$J$88</f>
        <v>0.29368572248181501</v>
      </c>
      <c r="K337" s="29">
        <f>'Off-farm feed'!$K$88</f>
        <v>1.777473414827503E-10</v>
      </c>
      <c r="L337" s="29">
        <f>'Off-farm feed'!$L$88</f>
        <v>2.4996062723023757E-3</v>
      </c>
      <c r="M337" s="197">
        <f>'Parameters, country spec'!AC26</f>
        <v>9.4633897453147445E-2</v>
      </c>
    </row>
    <row r="338" spans="1:13" x14ac:dyDescent="0.35">
      <c r="B338" s="18" t="s">
        <v>346</v>
      </c>
      <c r="C338" s="17" t="s">
        <v>345</v>
      </c>
      <c r="D338" s="23" t="str">
        <f>'Off-farm feed'!$D$36</f>
        <v>Brazil, Argentina</v>
      </c>
      <c r="E338" s="23" t="s">
        <v>82</v>
      </c>
      <c r="F338" s="19">
        <f>'Off-farm feed'!$F$36</f>
        <v>2.5509164954964132</v>
      </c>
      <c r="G338" s="20">
        <f>'Off-farm feed'!$G$36</f>
        <v>4.2620923125915477E-2</v>
      </c>
      <c r="H338" s="20">
        <f>'Off-farm feed'!$H$36</f>
        <v>3.2959349471355036E-3</v>
      </c>
      <c r="I338" s="19">
        <f>'Off-farm feed'!$I$36</f>
        <v>2.3780487804878048E-3</v>
      </c>
      <c r="J338" s="19">
        <f>'Off-farm feed'!$J$36</f>
        <v>0.25920846302270939</v>
      </c>
      <c r="K338" s="29">
        <f>'Off-farm feed'!$K$36</f>
        <v>6.1197957373175144E-10</v>
      </c>
      <c r="L338" s="29">
        <f>'Off-farm feed'!$L$36</f>
        <v>1.0450321677831981E-4</v>
      </c>
      <c r="M338" s="197">
        <f>'Parameters, country spec'!AC27</f>
        <v>0.1863493678947572</v>
      </c>
    </row>
    <row r="339" spans="1:13" x14ac:dyDescent="0.35">
      <c r="B339" s="17" t="s">
        <v>233</v>
      </c>
      <c r="C339" s="17" t="s">
        <v>347</v>
      </c>
      <c r="D339" s="23" t="s">
        <v>123</v>
      </c>
      <c r="E339" s="23" t="s">
        <v>124</v>
      </c>
      <c r="F339" s="107"/>
      <c r="G339" s="108"/>
      <c r="H339" s="108"/>
      <c r="I339" s="116"/>
      <c r="J339" s="116"/>
      <c r="K339" s="116"/>
      <c r="L339" s="116"/>
      <c r="M339" s="197">
        <f>'Parameters, country spec'!AC28</f>
        <v>1.2143080899157416E-2</v>
      </c>
    </row>
    <row r="340" spans="1:13" x14ac:dyDescent="0.35">
      <c r="A340" s="83"/>
      <c r="B340" s="17" t="s">
        <v>348</v>
      </c>
      <c r="C340" s="84" t="s">
        <v>349</v>
      </c>
      <c r="D340" s="23" t="s">
        <v>123</v>
      </c>
      <c r="E340" s="23" t="s">
        <v>124</v>
      </c>
      <c r="F340" s="109">
        <f>AVERAGE(F330:F338)</f>
        <v>2.4410903004363735</v>
      </c>
      <c r="G340" s="109">
        <f t="shared" ref="G340:L340" si="27">AVERAGE(G330:G338)</f>
        <v>2.4013036620997755E-2</v>
      </c>
      <c r="H340" s="109">
        <f t="shared" si="27"/>
        <v>3.0304741886750747E-3</v>
      </c>
      <c r="I340" s="226">
        <f>AVERAGE(I330:I338)</f>
        <v>5.5030682490732959E-4</v>
      </c>
      <c r="J340" s="226">
        <f t="shared" si="27"/>
        <v>6.1432800585914431E-2</v>
      </c>
      <c r="K340" s="226">
        <f t="shared" si="27"/>
        <v>8.774828492070854E-11</v>
      </c>
      <c r="L340" s="226">
        <f t="shared" si="27"/>
        <v>5.7019564773361003E-4</v>
      </c>
      <c r="M340" s="197">
        <f>'Parameters, country spec'!AC29</f>
        <v>4.9370221696639315E-2</v>
      </c>
    </row>
    <row r="341" spans="1:13" x14ac:dyDescent="0.35">
      <c r="A341" s="195"/>
      <c r="B341" s="25" t="s">
        <v>350</v>
      </c>
      <c r="C341" s="26"/>
      <c r="D341" s="103"/>
      <c r="E341" s="103"/>
      <c r="F341" s="30">
        <f>SUMPRODUCT(F330:F340,M330:M340)</f>
        <v>2.6178446298992379</v>
      </c>
      <c r="G341" s="30">
        <f>SUMPRODUCT(G330:G340,M330:M340)</f>
        <v>2.6666400803189969E-2</v>
      </c>
      <c r="H341" s="30">
        <f>SUMPRODUCT(H330:H340,M330:M340)</f>
        <v>2.7398123104605413E-3</v>
      </c>
      <c r="I341" s="30">
        <f>SUMPRODUCT(I330:I340,M330:M340)</f>
        <v>7.1397174930681049E-4</v>
      </c>
      <c r="J341" s="30">
        <f>SUMPRODUCT(J330:J340,M330:M340)</f>
        <v>7.9129013150530336E-2</v>
      </c>
      <c r="K341" s="30">
        <f>SUMPRODUCT(K330:K340,M330:M340)</f>
        <v>1.3519588539616896E-10</v>
      </c>
      <c r="L341" s="30">
        <f>SUMPRODUCT(L330:L340,M330:M340)</f>
        <v>4.3196365451665675E-4</v>
      </c>
      <c r="M341" s="198"/>
    </row>
    <row r="342" spans="1:13" x14ac:dyDescent="0.35">
      <c r="A342" s="22" t="s">
        <v>336</v>
      </c>
      <c r="B342" s="17" t="s">
        <v>218</v>
      </c>
      <c r="C342" s="17" t="s">
        <v>337</v>
      </c>
      <c r="D342" s="23" t="s">
        <v>125</v>
      </c>
      <c r="E342" s="23" t="s">
        <v>126</v>
      </c>
      <c r="F342" s="24">
        <v>2.1815008726003491</v>
      </c>
      <c r="G342" s="39">
        <v>2.0506108202443279E-2</v>
      </c>
      <c r="H342" s="39">
        <v>3.0541012216404886E-3</v>
      </c>
      <c r="I342" s="28">
        <v>0</v>
      </c>
      <c r="J342" s="28">
        <v>1.1343804537521816E-7</v>
      </c>
      <c r="K342" s="28">
        <v>9.332913409296623E-16</v>
      </c>
      <c r="L342" s="28">
        <v>5.2359749444649394E-4</v>
      </c>
      <c r="M342" s="197">
        <f>'Parameters, country spec'!AD19</f>
        <v>0.24290688316534448</v>
      </c>
    </row>
    <row r="343" spans="1:13" x14ac:dyDescent="0.35">
      <c r="A343" s="22" t="s">
        <v>338</v>
      </c>
      <c r="B343" s="17" t="s">
        <v>222</v>
      </c>
      <c r="C343" s="17" t="s">
        <v>337</v>
      </c>
      <c r="D343" s="23" t="s">
        <v>125</v>
      </c>
      <c r="E343" s="23" t="s">
        <v>126</v>
      </c>
      <c r="F343" s="21">
        <v>5.0505050505050502</v>
      </c>
      <c r="G343" s="39">
        <v>1.3131313131313131E-2</v>
      </c>
      <c r="H343" s="39">
        <v>2.0202020202020202E-3</v>
      </c>
      <c r="I343" s="28">
        <v>0</v>
      </c>
      <c r="J343" s="28">
        <v>3.0808080808080806E-7</v>
      </c>
      <c r="K343" s="28">
        <v>2.1607108620310969E-15</v>
      </c>
      <c r="L343" s="28">
        <v>2.5791649629730588E-5</v>
      </c>
      <c r="M343" s="197">
        <f>'Parameters, country spec'!AD20</f>
        <v>1.1405036092928852E-2</v>
      </c>
    </row>
    <row r="344" spans="1:13" x14ac:dyDescent="0.35">
      <c r="A344" s="22" t="s">
        <v>339</v>
      </c>
      <c r="B344" s="17" t="s">
        <v>226</v>
      </c>
      <c r="C344" s="17" t="s">
        <v>337</v>
      </c>
      <c r="D344" s="23" t="s">
        <v>125</v>
      </c>
      <c r="E344" s="23" t="s">
        <v>126</v>
      </c>
      <c r="F344" s="21">
        <v>1.5128936360129202</v>
      </c>
      <c r="G344" s="39">
        <v>1.9970195995370546E-2</v>
      </c>
      <c r="H344" s="39">
        <v>5.5977064532478039E-3</v>
      </c>
      <c r="I344" s="28">
        <v>0</v>
      </c>
      <c r="J344" s="28">
        <v>1.6641829996142119E-8</v>
      </c>
      <c r="K344" s="28">
        <v>6.4724729106130576E-16</v>
      </c>
      <c r="L344" s="28">
        <v>5.0991365516814952E-4</v>
      </c>
      <c r="M344" s="197">
        <f>'Parameters, country spec'!AD21</f>
        <v>2.6784717007595302E-2</v>
      </c>
    </row>
    <row r="345" spans="1:13" x14ac:dyDescent="0.35">
      <c r="A345" s="22" t="s">
        <v>340</v>
      </c>
      <c r="B345" s="17" t="s">
        <v>227</v>
      </c>
      <c r="C345" s="17" t="s">
        <v>337</v>
      </c>
      <c r="D345" s="23" t="s">
        <v>125</v>
      </c>
      <c r="E345" s="23" t="s">
        <v>126</v>
      </c>
      <c r="F345" s="21">
        <v>2.5461100530609335</v>
      </c>
      <c r="G345" s="39">
        <v>1.8077381376732628E-2</v>
      </c>
      <c r="H345" s="39">
        <v>3.8191650795914001E-3</v>
      </c>
      <c r="I345" s="28">
        <v>0</v>
      </c>
      <c r="J345" s="28">
        <v>1.1457495238774201E-7</v>
      </c>
      <c r="K345" s="28">
        <v>1.0892787142199158E-15</v>
      </c>
      <c r="L345" s="28">
        <v>4.6158303182478765E-4</v>
      </c>
      <c r="M345" s="197">
        <f>'Parameters, country spec'!AD22</f>
        <v>1.2703483591450424E-3</v>
      </c>
    </row>
    <row r="346" spans="1:13" x14ac:dyDescent="0.35">
      <c r="A346" s="22" t="s">
        <v>341</v>
      </c>
      <c r="B346" s="17" t="s">
        <v>228</v>
      </c>
      <c r="C346" s="17" t="s">
        <v>337</v>
      </c>
      <c r="D346" s="23" t="s">
        <v>125</v>
      </c>
      <c r="E346" s="23" t="s">
        <v>126</v>
      </c>
      <c r="F346" s="21">
        <v>3.3757097429734602</v>
      </c>
      <c r="G346" s="39">
        <v>2.1266971380732799E-2</v>
      </c>
      <c r="H346" s="39">
        <v>1.6878548714867299E-3</v>
      </c>
      <c r="I346" s="28">
        <v>0</v>
      </c>
      <c r="J346" s="28">
        <v>1.9579116509246066E-7</v>
      </c>
      <c r="K346" s="28">
        <v>1.4441986763239777E-15</v>
      </c>
      <c r="L346" s="28">
        <v>0</v>
      </c>
      <c r="M346" s="197">
        <f>'Parameters, country spec'!AD23</f>
        <v>0.36306225085662319</v>
      </c>
    </row>
    <row r="347" spans="1:13" x14ac:dyDescent="0.35">
      <c r="A347" s="22" t="s">
        <v>342</v>
      </c>
      <c r="B347" s="17" t="s">
        <v>229</v>
      </c>
      <c r="C347" s="17" t="s">
        <v>343</v>
      </c>
      <c r="D347" s="23" t="s">
        <v>125</v>
      </c>
      <c r="E347" s="23" t="s">
        <v>126</v>
      </c>
      <c r="F347" s="21">
        <v>1.6760975086486631</v>
      </c>
      <c r="G347" s="39">
        <v>1.5922926332162302E-2</v>
      </c>
      <c r="H347" s="39">
        <v>1.1732682560540643E-3</v>
      </c>
      <c r="I347" s="28">
        <v>0</v>
      </c>
      <c r="J347" s="28">
        <v>1.5755316581297433E-7</v>
      </c>
      <c r="K347" s="28">
        <v>7.1706929436656458E-16</v>
      </c>
      <c r="L347" s="28">
        <v>4.0657175166874981E-4</v>
      </c>
      <c r="M347" s="197">
        <f>'Parameters, country spec'!AD24</f>
        <v>6.0909129056991628E-3</v>
      </c>
    </row>
    <row r="348" spans="1:13" x14ac:dyDescent="0.35">
      <c r="A348" s="22" t="s">
        <v>344</v>
      </c>
      <c r="B348" s="17" t="s">
        <v>230</v>
      </c>
      <c r="C348" s="17" t="s">
        <v>343</v>
      </c>
      <c r="D348" s="23" t="s">
        <v>125</v>
      </c>
      <c r="E348" s="23" t="s">
        <v>126</v>
      </c>
      <c r="F348" s="21">
        <v>1.5363343063450607</v>
      </c>
      <c r="G348" s="39">
        <v>2.350591488707943E-2</v>
      </c>
      <c r="H348" s="39">
        <v>2.150868028883085E-3</v>
      </c>
      <c r="I348" s="28">
        <v>0</v>
      </c>
      <c r="J348" s="28">
        <v>1.1368873866953449E-7</v>
      </c>
      <c r="K348" s="28">
        <v>6.5727569623929515E-16</v>
      </c>
      <c r="L348" s="28">
        <v>6.0019375778388269E-4</v>
      </c>
      <c r="M348" s="197">
        <f>'Parameters, country spec'!AD25</f>
        <v>5.9832836689627722E-3</v>
      </c>
    </row>
    <row r="349" spans="1:13" x14ac:dyDescent="0.35">
      <c r="B349" s="18" t="s">
        <v>231</v>
      </c>
      <c r="C349" s="17" t="s">
        <v>345</v>
      </c>
      <c r="D349" s="23" t="str">
        <f>'Off-farm feed'!$D$88</f>
        <v>France, Germany, Poland</v>
      </c>
      <c r="E349" s="23" t="s">
        <v>82</v>
      </c>
      <c r="F349" s="19">
        <f>'Off-farm feed'!$F$88</f>
        <v>1.5397450382845088</v>
      </c>
      <c r="G349" s="20">
        <f>'Off-farm feed'!$G$88</f>
        <v>4.1115595157230206E-2</v>
      </c>
      <c r="H349" s="20">
        <f>'Off-farm feed'!$H$88</f>
        <v>4.4751668198345796E-3</v>
      </c>
      <c r="I349" s="19">
        <f>'Off-farm feed'!$I$88</f>
        <v>2.5747126436781614E-3</v>
      </c>
      <c r="J349" s="19">
        <f>'Off-farm feed'!$J$88</f>
        <v>0.29368572248181501</v>
      </c>
      <c r="K349" s="29">
        <f>'Off-farm feed'!$K$88</f>
        <v>1.777473414827503E-10</v>
      </c>
      <c r="L349" s="29">
        <f>'Off-farm feed'!$L$88</f>
        <v>2.4996062723023757E-3</v>
      </c>
      <c r="M349" s="197">
        <f>'Parameters, country spec'!AD26</f>
        <v>9.4633897453147445E-2</v>
      </c>
    </row>
    <row r="350" spans="1:13" x14ac:dyDescent="0.35">
      <c r="B350" s="18" t="s">
        <v>346</v>
      </c>
      <c r="C350" s="17" t="s">
        <v>345</v>
      </c>
      <c r="D350" s="23" t="str">
        <f>'Off-farm feed'!$D$36</f>
        <v>Brazil, Argentina</v>
      </c>
      <c r="E350" s="23" t="s">
        <v>82</v>
      </c>
      <c r="F350" s="19">
        <f>'Off-farm feed'!$F$36</f>
        <v>2.5509164954964132</v>
      </c>
      <c r="G350" s="20">
        <f>'Off-farm feed'!$G$36</f>
        <v>4.2620923125915477E-2</v>
      </c>
      <c r="H350" s="20">
        <f>'Off-farm feed'!$H$36</f>
        <v>3.2959349471355036E-3</v>
      </c>
      <c r="I350" s="19">
        <f>'Off-farm feed'!$I$36</f>
        <v>2.3780487804878048E-3</v>
      </c>
      <c r="J350" s="19">
        <f>'Off-farm feed'!$J$36</f>
        <v>0.25920846302270939</v>
      </c>
      <c r="K350" s="29">
        <f>'Off-farm feed'!$K$36</f>
        <v>6.1197957373175144E-10</v>
      </c>
      <c r="L350" s="29">
        <f>'Off-farm feed'!$L$36</f>
        <v>1.0450321677831981E-4</v>
      </c>
      <c r="M350" s="197">
        <f>'Parameters, country spec'!AD27</f>
        <v>0.1863493678947572</v>
      </c>
    </row>
    <row r="351" spans="1:13" x14ac:dyDescent="0.35">
      <c r="B351" s="17" t="s">
        <v>233</v>
      </c>
      <c r="C351" s="17" t="s">
        <v>347</v>
      </c>
      <c r="D351" s="23" t="s">
        <v>125</v>
      </c>
      <c r="E351" s="23" t="s">
        <v>126</v>
      </c>
      <c r="F351" s="107"/>
      <c r="G351" s="108"/>
      <c r="H351" s="108"/>
      <c r="I351" s="116"/>
      <c r="J351" s="116"/>
      <c r="K351" s="116"/>
      <c r="L351" s="116"/>
      <c r="M351" s="197">
        <f>'Parameters, country spec'!AD28</f>
        <v>1.2143080899157416E-2</v>
      </c>
    </row>
    <row r="352" spans="1:13" x14ac:dyDescent="0.35">
      <c r="A352" s="83"/>
      <c r="B352" s="17" t="s">
        <v>348</v>
      </c>
      <c r="C352" s="84" t="s">
        <v>349</v>
      </c>
      <c r="D352" s="23" t="s">
        <v>125</v>
      </c>
      <c r="E352" s="23" t="s">
        <v>126</v>
      </c>
      <c r="F352" s="109">
        <f t="shared" ref="F352:L352" si="28">AVERAGE(F342:F350)</f>
        <v>2.4410903004363735</v>
      </c>
      <c r="G352" s="109">
        <f t="shared" si="28"/>
        <v>2.4013036620997755E-2</v>
      </c>
      <c r="H352" s="109">
        <f t="shared" si="28"/>
        <v>3.0304741886750747E-3</v>
      </c>
      <c r="I352" s="226">
        <f>AVERAGE(I342:I350)</f>
        <v>5.5030682490732959E-4</v>
      </c>
      <c r="J352" s="226">
        <f t="shared" si="28"/>
        <v>6.1432800585914431E-2</v>
      </c>
      <c r="K352" s="226">
        <f t="shared" si="28"/>
        <v>8.774828492070854E-11</v>
      </c>
      <c r="L352" s="226">
        <f t="shared" si="28"/>
        <v>5.7019564773361003E-4</v>
      </c>
      <c r="M352" s="197">
        <f>'Parameters, country spec'!AD29</f>
        <v>4.9370221696639315E-2</v>
      </c>
    </row>
    <row r="353" spans="1:13" x14ac:dyDescent="0.35">
      <c r="A353" s="195"/>
      <c r="B353" s="25" t="s">
        <v>350</v>
      </c>
      <c r="C353" s="26"/>
      <c r="D353" s="103"/>
      <c r="E353" s="103"/>
      <c r="F353" s="30">
        <f>SUMPRODUCT(F342:F352,M342:M352)</f>
        <v>2.6178446298992379</v>
      </c>
      <c r="G353" s="30">
        <f>SUMPRODUCT(G342:G352,M342:M352)</f>
        <v>2.6666400803189969E-2</v>
      </c>
      <c r="H353" s="30">
        <f>SUMPRODUCT(H342:H352,M342:M352)</f>
        <v>2.7398123104605413E-3</v>
      </c>
      <c r="I353" s="30">
        <f>SUMPRODUCT(I342:I352,M342:M352)</f>
        <v>7.1397174930681049E-4</v>
      </c>
      <c r="J353" s="30">
        <f>SUMPRODUCT(J342:J352,M342:M352)</f>
        <v>7.9129013150530336E-2</v>
      </c>
      <c r="K353" s="30">
        <f>SUMPRODUCT(K342:K352,M342:M352)</f>
        <v>1.3519588539616896E-10</v>
      </c>
      <c r="L353" s="30">
        <f>SUMPRODUCT(L342:L352,M342:M352)</f>
        <v>4.3196365451665675E-4</v>
      </c>
      <c r="M353" s="198"/>
    </row>
    <row r="354" spans="1:13" x14ac:dyDescent="0.35">
      <c r="A354" s="22" t="s">
        <v>336</v>
      </c>
      <c r="B354" s="17" t="s">
        <v>218</v>
      </c>
      <c r="C354" s="17" t="s">
        <v>337</v>
      </c>
      <c r="D354" s="23" t="s">
        <v>127</v>
      </c>
      <c r="E354" s="23" t="s">
        <v>128</v>
      </c>
      <c r="F354" s="24">
        <v>2.1815008726003491</v>
      </c>
      <c r="G354" s="39">
        <v>2.0506108202443279E-2</v>
      </c>
      <c r="H354" s="39">
        <v>3.0541012216404886E-3</v>
      </c>
      <c r="I354" s="28">
        <v>0</v>
      </c>
      <c r="J354" s="28">
        <v>1.1343804537521816E-7</v>
      </c>
      <c r="K354" s="28">
        <v>9.332913409296623E-16</v>
      </c>
      <c r="L354" s="28">
        <v>5.2359749444649394E-4</v>
      </c>
      <c r="M354" s="197">
        <f>'Parameters, country spec'!AE19</f>
        <v>0.24290688316534448</v>
      </c>
    </row>
    <row r="355" spans="1:13" x14ac:dyDescent="0.35">
      <c r="A355" s="22" t="s">
        <v>338</v>
      </c>
      <c r="B355" s="17" t="s">
        <v>222</v>
      </c>
      <c r="C355" s="17" t="s">
        <v>337</v>
      </c>
      <c r="D355" s="23" t="s">
        <v>127</v>
      </c>
      <c r="E355" s="23" t="s">
        <v>128</v>
      </c>
      <c r="F355" s="21">
        <v>5.0505050505050502</v>
      </c>
      <c r="G355" s="39">
        <v>1.3131313131313131E-2</v>
      </c>
      <c r="H355" s="39">
        <v>2.0202020202020202E-3</v>
      </c>
      <c r="I355" s="28">
        <v>0</v>
      </c>
      <c r="J355" s="28">
        <v>3.0808080808080806E-7</v>
      </c>
      <c r="K355" s="28">
        <v>2.1607108620310969E-15</v>
      </c>
      <c r="L355" s="28">
        <v>2.5791649629730588E-5</v>
      </c>
      <c r="M355" s="197">
        <f>'Parameters, country spec'!AE20</f>
        <v>1.1405036092928852E-2</v>
      </c>
    </row>
    <row r="356" spans="1:13" x14ac:dyDescent="0.35">
      <c r="A356" s="22" t="s">
        <v>339</v>
      </c>
      <c r="B356" s="17" t="s">
        <v>226</v>
      </c>
      <c r="C356" s="17" t="s">
        <v>337</v>
      </c>
      <c r="D356" s="23" t="s">
        <v>127</v>
      </c>
      <c r="E356" s="23" t="s">
        <v>128</v>
      </c>
      <c r="F356" s="21">
        <v>1.5128936360129202</v>
      </c>
      <c r="G356" s="39">
        <v>1.9970195995370546E-2</v>
      </c>
      <c r="H356" s="39">
        <v>5.5977064532478039E-3</v>
      </c>
      <c r="I356" s="28">
        <v>0</v>
      </c>
      <c r="J356" s="28">
        <v>1.6641829996142119E-8</v>
      </c>
      <c r="K356" s="28">
        <v>6.4724729106130576E-16</v>
      </c>
      <c r="L356" s="28">
        <v>5.0991365516814952E-4</v>
      </c>
      <c r="M356" s="197">
        <f>'Parameters, country spec'!AE21</f>
        <v>2.6784717007595302E-2</v>
      </c>
    </row>
    <row r="357" spans="1:13" x14ac:dyDescent="0.35">
      <c r="A357" s="22" t="s">
        <v>340</v>
      </c>
      <c r="B357" s="17" t="s">
        <v>227</v>
      </c>
      <c r="C357" s="17" t="s">
        <v>337</v>
      </c>
      <c r="D357" s="23" t="s">
        <v>127</v>
      </c>
      <c r="E357" s="23" t="s">
        <v>128</v>
      </c>
      <c r="F357" s="21">
        <v>2.5461100530609335</v>
      </c>
      <c r="G357" s="39">
        <v>1.8077381376732628E-2</v>
      </c>
      <c r="H357" s="39">
        <v>3.8191650795914001E-3</v>
      </c>
      <c r="I357" s="28">
        <v>0</v>
      </c>
      <c r="J357" s="28">
        <v>1.1457495238774201E-7</v>
      </c>
      <c r="K357" s="28">
        <v>1.0892787142199158E-15</v>
      </c>
      <c r="L357" s="28">
        <v>4.6158303182478765E-4</v>
      </c>
      <c r="M357" s="197">
        <f>'Parameters, country spec'!AE22</f>
        <v>1.2703483591450424E-3</v>
      </c>
    </row>
    <row r="358" spans="1:13" x14ac:dyDescent="0.35">
      <c r="A358" s="22" t="s">
        <v>341</v>
      </c>
      <c r="B358" s="17" t="s">
        <v>228</v>
      </c>
      <c r="C358" s="17" t="s">
        <v>337</v>
      </c>
      <c r="D358" s="23" t="s">
        <v>127</v>
      </c>
      <c r="E358" s="23" t="s">
        <v>128</v>
      </c>
      <c r="F358" s="21">
        <v>3.3757097429734602</v>
      </c>
      <c r="G358" s="39">
        <v>2.1266971380732799E-2</v>
      </c>
      <c r="H358" s="39">
        <v>1.6878548714867299E-3</v>
      </c>
      <c r="I358" s="28">
        <v>0</v>
      </c>
      <c r="J358" s="28">
        <v>1.9579116509246066E-7</v>
      </c>
      <c r="K358" s="28">
        <v>1.4441986763239777E-15</v>
      </c>
      <c r="L358" s="28">
        <v>0</v>
      </c>
      <c r="M358" s="197">
        <f>'Parameters, country spec'!AE23</f>
        <v>0.36306225085662319</v>
      </c>
    </row>
    <row r="359" spans="1:13" x14ac:dyDescent="0.35">
      <c r="A359" s="22" t="s">
        <v>342</v>
      </c>
      <c r="B359" s="17" t="s">
        <v>229</v>
      </c>
      <c r="C359" s="17" t="s">
        <v>343</v>
      </c>
      <c r="D359" s="23" t="s">
        <v>127</v>
      </c>
      <c r="E359" s="23" t="s">
        <v>128</v>
      </c>
      <c r="F359" s="21">
        <v>1.6760975086486631</v>
      </c>
      <c r="G359" s="39">
        <v>1.5922926332162302E-2</v>
      </c>
      <c r="H359" s="39">
        <v>1.1732682560540643E-3</v>
      </c>
      <c r="I359" s="28">
        <v>0</v>
      </c>
      <c r="J359" s="28">
        <v>1.5755316581297433E-7</v>
      </c>
      <c r="K359" s="28">
        <v>7.1706929436656458E-16</v>
      </c>
      <c r="L359" s="28">
        <v>4.0657175166874981E-4</v>
      </c>
      <c r="M359" s="197">
        <f>'Parameters, country spec'!AE24</f>
        <v>6.0909129056991628E-3</v>
      </c>
    </row>
    <row r="360" spans="1:13" x14ac:dyDescent="0.35">
      <c r="A360" s="22" t="s">
        <v>344</v>
      </c>
      <c r="B360" s="17" t="s">
        <v>230</v>
      </c>
      <c r="C360" s="17" t="s">
        <v>343</v>
      </c>
      <c r="D360" s="23" t="s">
        <v>127</v>
      </c>
      <c r="E360" s="23" t="s">
        <v>128</v>
      </c>
      <c r="F360" s="21">
        <v>1.5363343063450607</v>
      </c>
      <c r="G360" s="39">
        <v>2.350591488707943E-2</v>
      </c>
      <c r="H360" s="39">
        <v>2.150868028883085E-3</v>
      </c>
      <c r="I360" s="28">
        <v>0</v>
      </c>
      <c r="J360" s="28">
        <v>1.1368873866953449E-7</v>
      </c>
      <c r="K360" s="28">
        <v>6.5727569623929515E-16</v>
      </c>
      <c r="L360" s="28">
        <v>6.0019375778388269E-4</v>
      </c>
      <c r="M360" s="197">
        <f>'Parameters, country spec'!AE25</f>
        <v>5.9832836689627722E-3</v>
      </c>
    </row>
    <row r="361" spans="1:13" x14ac:dyDescent="0.35">
      <c r="B361" s="18" t="s">
        <v>231</v>
      </c>
      <c r="C361" s="17" t="s">
        <v>345</v>
      </c>
      <c r="D361" s="23" t="str">
        <f>'Off-farm feed'!$D$88</f>
        <v>France, Germany, Poland</v>
      </c>
      <c r="E361" s="23" t="s">
        <v>82</v>
      </c>
      <c r="F361" s="19">
        <f>'Off-farm feed'!$F$88</f>
        <v>1.5397450382845088</v>
      </c>
      <c r="G361" s="20">
        <f>'Off-farm feed'!$G$88</f>
        <v>4.1115595157230206E-2</v>
      </c>
      <c r="H361" s="20">
        <f>'Off-farm feed'!$H$88</f>
        <v>4.4751668198345796E-3</v>
      </c>
      <c r="I361" s="19">
        <f>'Off-farm feed'!$I$88</f>
        <v>2.5747126436781614E-3</v>
      </c>
      <c r="J361" s="19">
        <f>'Off-farm feed'!$J$88</f>
        <v>0.29368572248181501</v>
      </c>
      <c r="K361" s="29">
        <f>'Off-farm feed'!$K$88</f>
        <v>1.777473414827503E-10</v>
      </c>
      <c r="L361" s="29">
        <f>'Off-farm feed'!$L$88</f>
        <v>2.4996062723023757E-3</v>
      </c>
      <c r="M361" s="197">
        <f>'Parameters, country spec'!AE26</f>
        <v>9.4633897453147445E-2</v>
      </c>
    </row>
    <row r="362" spans="1:13" x14ac:dyDescent="0.35">
      <c r="B362" s="18" t="s">
        <v>346</v>
      </c>
      <c r="C362" s="17" t="s">
        <v>345</v>
      </c>
      <c r="D362" s="23" t="str">
        <f>'Off-farm feed'!$D$36</f>
        <v>Brazil, Argentina</v>
      </c>
      <c r="E362" s="23" t="s">
        <v>82</v>
      </c>
      <c r="F362" s="19">
        <f>'Off-farm feed'!$F$36</f>
        <v>2.5509164954964132</v>
      </c>
      <c r="G362" s="20">
        <f>'Off-farm feed'!$G$36</f>
        <v>4.2620923125915477E-2</v>
      </c>
      <c r="H362" s="20">
        <f>'Off-farm feed'!$H$36</f>
        <v>3.2959349471355036E-3</v>
      </c>
      <c r="I362" s="19">
        <f>'Off-farm feed'!$I$36</f>
        <v>2.3780487804878048E-3</v>
      </c>
      <c r="J362" s="19">
        <f>'Off-farm feed'!$J$36</f>
        <v>0.25920846302270939</v>
      </c>
      <c r="K362" s="29">
        <f>'Off-farm feed'!$K$36</f>
        <v>6.1197957373175144E-10</v>
      </c>
      <c r="L362" s="29">
        <f>'Off-farm feed'!$L$36</f>
        <v>1.0450321677831981E-4</v>
      </c>
      <c r="M362" s="197">
        <f>'Parameters, country spec'!AE27</f>
        <v>0.1863493678947572</v>
      </c>
    </row>
    <row r="363" spans="1:13" x14ac:dyDescent="0.35">
      <c r="B363" s="17" t="s">
        <v>233</v>
      </c>
      <c r="C363" s="17" t="s">
        <v>347</v>
      </c>
      <c r="D363" s="23" t="s">
        <v>127</v>
      </c>
      <c r="E363" s="23" t="s">
        <v>128</v>
      </c>
      <c r="F363" s="107"/>
      <c r="G363" s="108"/>
      <c r="H363" s="108"/>
      <c r="I363" s="116"/>
      <c r="J363" s="116"/>
      <c r="K363" s="116"/>
      <c r="L363" s="116"/>
      <c r="M363" s="197">
        <f>'Parameters, country spec'!AE28</f>
        <v>1.2143080899157416E-2</v>
      </c>
    </row>
    <row r="364" spans="1:13" x14ac:dyDescent="0.35">
      <c r="A364" s="83"/>
      <c r="B364" s="17" t="s">
        <v>348</v>
      </c>
      <c r="C364" s="84" t="s">
        <v>349</v>
      </c>
      <c r="D364" s="23" t="s">
        <v>127</v>
      </c>
      <c r="E364" s="23" t="s">
        <v>128</v>
      </c>
      <c r="F364" s="109">
        <f t="shared" ref="F364:L364" si="29">AVERAGE(F354:F362)</f>
        <v>2.4410903004363735</v>
      </c>
      <c r="G364" s="109">
        <f t="shared" si="29"/>
        <v>2.4013036620997755E-2</v>
      </c>
      <c r="H364" s="109">
        <f t="shared" si="29"/>
        <v>3.0304741886750747E-3</v>
      </c>
      <c r="I364" s="226">
        <f>AVERAGE(I354:I362)</f>
        <v>5.5030682490732959E-4</v>
      </c>
      <c r="J364" s="226">
        <f t="shared" si="29"/>
        <v>6.1432800585914431E-2</v>
      </c>
      <c r="K364" s="226">
        <f t="shared" si="29"/>
        <v>8.774828492070854E-11</v>
      </c>
      <c r="L364" s="226">
        <f t="shared" si="29"/>
        <v>5.7019564773361003E-4</v>
      </c>
      <c r="M364" s="197">
        <f>'Parameters, country spec'!AE29</f>
        <v>4.9370221696639315E-2</v>
      </c>
    </row>
    <row r="365" spans="1:13" x14ac:dyDescent="0.35">
      <c r="A365" s="195"/>
      <c r="B365" s="25" t="s">
        <v>350</v>
      </c>
      <c r="C365" s="26"/>
      <c r="D365" s="103"/>
      <c r="E365" s="103"/>
      <c r="F365" s="30">
        <f>SUMPRODUCT(F354:F364,M354:M364)</f>
        <v>2.6178446298992379</v>
      </c>
      <c r="G365" s="30">
        <f>SUMPRODUCT(G354:G364,M354:M364)</f>
        <v>2.6666400803189969E-2</v>
      </c>
      <c r="H365" s="30">
        <f>SUMPRODUCT(H354:H364,M354:M364)</f>
        <v>2.7398123104605413E-3</v>
      </c>
      <c r="I365" s="30">
        <f>SUMPRODUCT(I354:I364,M354:M364)</f>
        <v>7.1397174930681049E-4</v>
      </c>
      <c r="J365" s="30">
        <f>SUMPRODUCT(J354:J364,M354:M364)</f>
        <v>7.9129013150530336E-2</v>
      </c>
      <c r="K365" s="30">
        <f>SUMPRODUCT(K354:K364,M354:M364)</f>
        <v>1.3519588539616896E-10</v>
      </c>
      <c r="L365" s="30">
        <f>SUMPRODUCT(L354:L364,M354:M364)</f>
        <v>4.3196365451665675E-4</v>
      </c>
      <c r="M365" s="198"/>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2:F27"/>
  <sheetViews>
    <sheetView zoomScale="80" zoomScaleNormal="80" workbookViewId="0">
      <selection activeCell="B13" sqref="B13:B16"/>
    </sheetView>
  </sheetViews>
  <sheetFormatPr defaultColWidth="8.81640625" defaultRowHeight="14.5" x14ac:dyDescent="0.35"/>
  <cols>
    <col min="1" max="1" width="34.453125" customWidth="1"/>
    <col min="2" max="2" width="14.54296875" customWidth="1"/>
    <col min="3" max="3" width="14.453125" customWidth="1"/>
    <col min="4" max="4" width="14.54296875" customWidth="1"/>
    <col min="5" max="5" width="14.453125" customWidth="1"/>
  </cols>
  <sheetData>
    <row r="2" spans="1:6" ht="21" x14ac:dyDescent="0.5">
      <c r="A2" s="2" t="s">
        <v>360</v>
      </c>
    </row>
    <row r="4" spans="1:6" x14ac:dyDescent="0.35">
      <c r="A4" s="119" t="s">
        <v>361</v>
      </c>
      <c r="B4" s="218" t="s">
        <v>362</v>
      </c>
      <c r="C4" s="218" t="s">
        <v>363</v>
      </c>
      <c r="D4" s="218" t="s">
        <v>364</v>
      </c>
      <c r="E4" s="119"/>
      <c r="F4" s="119" t="s">
        <v>237</v>
      </c>
    </row>
    <row r="5" spans="1:6" x14ac:dyDescent="0.35">
      <c r="A5" s="3" t="s">
        <v>365</v>
      </c>
      <c r="B5" s="4">
        <v>0.29001600000000005</v>
      </c>
      <c r="C5" s="34">
        <v>1.1016000000000002E-4</v>
      </c>
      <c r="D5" s="34">
        <v>1.0269360000000001E-5</v>
      </c>
      <c r="E5" s="97"/>
      <c r="F5" s="97" t="s">
        <v>366</v>
      </c>
    </row>
    <row r="6" spans="1:6" x14ac:dyDescent="0.35">
      <c r="A6" s="3" t="s">
        <v>367</v>
      </c>
      <c r="B6" s="4">
        <v>9.6299999999999997E-3</v>
      </c>
      <c r="C6" s="34">
        <v>3.6659999999999876E-5</v>
      </c>
      <c r="D6" s="34">
        <v>1.5257999999999987E-5</v>
      </c>
      <c r="E6" s="97"/>
      <c r="F6" s="97" t="s">
        <v>368</v>
      </c>
    </row>
    <row r="8" spans="1:6" x14ac:dyDescent="0.35">
      <c r="A8" s="119" t="s">
        <v>361</v>
      </c>
      <c r="B8" s="218" t="s">
        <v>369</v>
      </c>
      <c r="C8" s="218" t="s">
        <v>370</v>
      </c>
      <c r="D8" s="218" t="s">
        <v>371</v>
      </c>
      <c r="E8" s="119"/>
      <c r="F8" s="119" t="s">
        <v>237</v>
      </c>
    </row>
    <row r="9" spans="1:6" x14ac:dyDescent="0.35">
      <c r="A9" s="3" t="s">
        <v>372</v>
      </c>
      <c r="B9" s="120">
        <v>2.2999999999999998</v>
      </c>
      <c r="C9" s="121">
        <v>0</v>
      </c>
      <c r="D9" s="121">
        <v>4.3624161073825508E-3</v>
      </c>
      <c r="F9" s="126" t="s">
        <v>373</v>
      </c>
    </row>
    <row r="10" spans="1:6" x14ac:dyDescent="0.35">
      <c r="A10" s="3" t="s">
        <v>374</v>
      </c>
      <c r="B10" s="122">
        <v>4.3928213588059704</v>
      </c>
      <c r="C10" s="121">
        <v>9.8666566537313431E-3</v>
      </c>
      <c r="D10" s="121">
        <v>9.948031617910448E-3</v>
      </c>
      <c r="F10" s="127" t="s">
        <v>375</v>
      </c>
    </row>
    <row r="12" spans="1:6" x14ac:dyDescent="0.35">
      <c r="A12" s="119" t="s">
        <v>376</v>
      </c>
      <c r="B12" s="119"/>
    </row>
    <row r="13" spans="1:6" x14ac:dyDescent="0.35">
      <c r="A13" s="91" t="s">
        <v>165</v>
      </c>
      <c r="B13" s="123">
        <v>1</v>
      </c>
      <c r="C13" s="123"/>
    </row>
    <row r="14" spans="1:6" x14ac:dyDescent="0.35">
      <c r="A14" s="3" t="s">
        <v>166</v>
      </c>
      <c r="B14" s="124">
        <v>29.8</v>
      </c>
      <c r="C14" s="124"/>
    </row>
    <row r="15" spans="1:6" x14ac:dyDescent="0.35">
      <c r="A15" s="3" t="s">
        <v>167</v>
      </c>
      <c r="B15" s="5">
        <v>27</v>
      </c>
      <c r="C15" s="123"/>
    </row>
    <row r="16" spans="1:6" x14ac:dyDescent="0.35">
      <c r="A16" s="3" t="s">
        <v>168</v>
      </c>
      <c r="B16" s="123">
        <v>273</v>
      </c>
      <c r="C16" s="125"/>
    </row>
    <row r="18" spans="1:2" x14ac:dyDescent="0.35">
      <c r="A18" s="119" t="s">
        <v>57</v>
      </c>
      <c r="B18" s="119"/>
    </row>
    <row r="19" spans="1:2" x14ac:dyDescent="0.35">
      <c r="A19" s="3" t="s">
        <v>377</v>
      </c>
      <c r="B19" s="110">
        <v>0.12197</v>
      </c>
    </row>
    <row r="20" spans="1:2" x14ac:dyDescent="0.35">
      <c r="A20" s="3" t="s">
        <v>378</v>
      </c>
      <c r="B20">
        <v>1</v>
      </c>
    </row>
    <row r="22" spans="1:2" x14ac:dyDescent="0.35">
      <c r="A22" s="3" t="s">
        <v>379</v>
      </c>
      <c r="B22">
        <v>0.25</v>
      </c>
    </row>
    <row r="23" spans="1:2" x14ac:dyDescent="0.35">
      <c r="A23" s="3" t="s">
        <v>380</v>
      </c>
      <c r="B23">
        <v>1</v>
      </c>
    </row>
    <row r="24" spans="1:2" x14ac:dyDescent="0.35">
      <c r="A24" s="3" t="s">
        <v>381</v>
      </c>
      <c r="B24">
        <v>2</v>
      </c>
    </row>
    <row r="25" spans="1:2" x14ac:dyDescent="0.35">
      <c r="A25" s="3" t="s">
        <v>382</v>
      </c>
      <c r="B25">
        <v>2</v>
      </c>
    </row>
    <row r="26" spans="1:2" x14ac:dyDescent="0.35">
      <c r="A26" s="3" t="s">
        <v>383</v>
      </c>
      <c r="B26">
        <v>2</v>
      </c>
    </row>
    <row r="27" spans="1:2" x14ac:dyDescent="0.35">
      <c r="A27" s="3" t="s">
        <v>384</v>
      </c>
      <c r="B27">
        <v>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F420-A685-44FF-95BC-AC63899DBFE9}">
  <sheetPr>
    <tabColor theme="4" tint="0.79998168889431442"/>
  </sheetPr>
  <dimension ref="A2:S106"/>
  <sheetViews>
    <sheetView tabSelected="1" topLeftCell="A7" zoomScale="68" zoomScaleNormal="90" workbookViewId="0">
      <selection activeCell="O24" sqref="O24"/>
    </sheetView>
  </sheetViews>
  <sheetFormatPr defaultColWidth="8.81640625" defaultRowHeight="14.5" x14ac:dyDescent="0.35"/>
  <cols>
    <col min="1" max="1" width="10.81640625" customWidth="1"/>
    <col min="2" max="2" width="18.453125" customWidth="1"/>
    <col min="3" max="3" width="11.54296875" customWidth="1"/>
    <col min="4" max="4" width="16.54296875" customWidth="1"/>
    <col min="6" max="6" width="14.54296875" customWidth="1"/>
    <col min="7" max="7" width="14.81640625" customWidth="1"/>
    <col min="8" max="8" width="11.1796875" customWidth="1"/>
    <col min="9" max="9" width="12.1796875" customWidth="1"/>
    <col min="10" max="10" width="14.453125" customWidth="1"/>
    <col min="11" max="11" width="12" customWidth="1"/>
    <col min="12" max="12" width="14.54296875" customWidth="1"/>
    <col min="13" max="13" width="14.453125" customWidth="1"/>
    <col min="14" max="14" width="15" customWidth="1"/>
    <col min="15" max="15" width="15.453125" customWidth="1"/>
    <col min="16" max="16" width="15" customWidth="1"/>
    <col min="17" max="17" width="17.54296875" customWidth="1"/>
    <col min="18" max="18" width="24.81640625" customWidth="1"/>
  </cols>
  <sheetData>
    <row r="2" spans="1:19" ht="21" x14ac:dyDescent="0.5">
      <c r="A2" s="2" t="s">
        <v>385</v>
      </c>
    </row>
    <row r="4" spans="1:19" ht="18.5" x14ac:dyDescent="0.45">
      <c r="A4" s="288" t="s">
        <v>346</v>
      </c>
      <c r="B4" s="119"/>
      <c r="C4" s="119"/>
      <c r="D4" s="119"/>
      <c r="E4" s="119"/>
      <c r="F4" s="119"/>
      <c r="G4" s="119"/>
      <c r="H4" s="119"/>
      <c r="I4" s="119"/>
      <c r="J4" s="119"/>
      <c r="K4" s="119"/>
      <c r="L4" s="119"/>
      <c r="M4" s="119"/>
      <c r="N4" s="119"/>
      <c r="O4" s="119"/>
      <c r="P4" s="119"/>
    </row>
    <row r="6" spans="1:19" ht="18.5" x14ac:dyDescent="0.45">
      <c r="A6" s="1" t="s">
        <v>386</v>
      </c>
    </row>
    <row r="8" spans="1:19" x14ac:dyDescent="0.35">
      <c r="A8" s="280" t="s">
        <v>329</v>
      </c>
      <c r="B8" s="281"/>
      <c r="C8" s="281"/>
      <c r="D8" s="281"/>
      <c r="E8" s="282" t="s">
        <v>137</v>
      </c>
      <c r="F8" s="282" t="s">
        <v>138</v>
      </c>
      <c r="G8" s="283"/>
      <c r="H8" s="282" t="s">
        <v>139</v>
      </c>
      <c r="I8" s="284"/>
      <c r="J8" s="277" t="s">
        <v>140</v>
      </c>
      <c r="K8" s="284"/>
      <c r="L8" s="284"/>
      <c r="M8" s="284"/>
      <c r="N8" s="277" t="s">
        <v>141</v>
      </c>
      <c r="O8" s="277" t="s">
        <v>142</v>
      </c>
      <c r="P8" s="277" t="s">
        <v>143</v>
      </c>
    </row>
    <row r="9" spans="1:19" ht="43.5" x14ac:dyDescent="0.35">
      <c r="A9" s="274" t="s">
        <v>59</v>
      </c>
      <c r="B9" s="274" t="s">
        <v>329</v>
      </c>
      <c r="C9" s="274" t="s">
        <v>147</v>
      </c>
      <c r="D9" s="275" t="s">
        <v>387</v>
      </c>
      <c r="E9" s="285"/>
      <c r="F9" s="53" t="s">
        <v>33</v>
      </c>
      <c r="G9" s="53" t="s">
        <v>34</v>
      </c>
      <c r="H9" s="53" t="s">
        <v>332</v>
      </c>
      <c r="I9" s="53" t="s">
        <v>333</v>
      </c>
      <c r="J9" s="53" t="s">
        <v>152</v>
      </c>
      <c r="K9" s="53" t="s">
        <v>153</v>
      </c>
      <c r="L9" s="53" t="s">
        <v>154</v>
      </c>
      <c r="M9" s="53" t="s">
        <v>155</v>
      </c>
      <c r="N9" s="53" t="s">
        <v>156</v>
      </c>
      <c r="O9" s="53"/>
      <c r="P9" s="53"/>
      <c r="R9" s="278" t="s">
        <v>388</v>
      </c>
    </row>
    <row r="10" spans="1:19" ht="18" customHeight="1" x14ac:dyDescent="0.35">
      <c r="A10" t="s">
        <v>389</v>
      </c>
      <c r="B10" t="s">
        <v>390</v>
      </c>
      <c r="C10" t="s">
        <v>169</v>
      </c>
      <c r="D10" t="s">
        <v>123</v>
      </c>
      <c r="E10" s="4">
        <f>SUMPRODUCT(E11:E14,'Parameters, general'!$B$13:$B$16)</f>
        <v>0.9762625042220614</v>
      </c>
      <c r="F10" s="4">
        <f>SUMPRODUCT(F11:F14,'Parameters, general'!$B$13:$B$16)</f>
        <v>6.3780206352419501E-3</v>
      </c>
      <c r="G10" s="4">
        <f>SUMPRODUCT(G11:G14,'Parameters, general'!$B$13:$B$16)</f>
        <v>3.01313E-2</v>
      </c>
      <c r="H10" s="4">
        <f>SUMPRODUCT(H11:H14,'Parameters, general'!$B$13:$B$16)</f>
        <v>4.3198581779485427E-2</v>
      </c>
      <c r="I10" s="4">
        <f>SUMPRODUCT(I11:I14,'Parameters, general'!$B$13:$B$16)</f>
        <v>4.3198581779485433E-3</v>
      </c>
      <c r="J10" s="4">
        <f>SUMPRODUCT(J11:J14,'Parameters, general'!$B$13:$B$16)</f>
        <v>5.168680555007258E-2</v>
      </c>
      <c r="K10" s="4">
        <f>SUMPRODUCT(K11:K14,'Parameters, general'!$B$13:$B$16)</f>
        <v>0</v>
      </c>
      <c r="L10" s="4">
        <f>SUMPRODUCT(L11:L14,'Parameters, general'!$B$13:$B$16)</f>
        <v>8.3348896151578009E-5</v>
      </c>
      <c r="M10" s="4">
        <f>SUMPRODUCT(M11:M14,'Parameters, general'!$B$13:$B$16)</f>
        <v>3.9645293683161227E-2</v>
      </c>
      <c r="N10" s="4">
        <f>SUMPRODUCT(N11:N14,'Parameters, general'!$B$13:$B$16)</f>
        <v>0.80081929549999997</v>
      </c>
      <c r="O10" s="4">
        <f>SUMPRODUCT(O11:O14,'Parameters, general'!$B$13:$B$16)</f>
        <v>0</v>
      </c>
      <c r="P10" s="4">
        <f>SUMPRODUCT(P11:P14,'Parameters, general'!$B$13:$B$16)</f>
        <v>0</v>
      </c>
      <c r="R10" s="169" t="s">
        <v>391</v>
      </c>
      <c r="S10" s="8"/>
    </row>
    <row r="11" spans="1:19" x14ac:dyDescent="0.35">
      <c r="A11" t="s">
        <v>389</v>
      </c>
      <c r="B11" t="s">
        <v>390</v>
      </c>
      <c r="C11" t="s">
        <v>165</v>
      </c>
      <c r="D11" t="s">
        <v>123</v>
      </c>
      <c r="E11" s="4">
        <f t="shared" ref="E11:E20" si="0">SUM(F11:P11)</f>
        <v>0.92073417828065618</v>
      </c>
      <c r="F11" s="4">
        <v>3.8012291590112874E-3</v>
      </c>
      <c r="G11" s="4">
        <v>2.7E-2</v>
      </c>
      <c r="H11" s="4">
        <v>0</v>
      </c>
      <c r="I11" s="4"/>
      <c r="J11" s="4">
        <v>5.0646723842195554E-2</v>
      </c>
      <c r="K11" s="4"/>
      <c r="L11" s="4">
        <v>7.5028151531290012E-5</v>
      </c>
      <c r="M11" s="4">
        <v>3.8391901627918008E-2</v>
      </c>
      <c r="N11" s="12">
        <v>0.80081929549999997</v>
      </c>
      <c r="O11" s="4"/>
      <c r="P11" s="4"/>
    </row>
    <row r="12" spans="1:19" x14ac:dyDescent="0.35">
      <c r="A12" t="s">
        <v>389</v>
      </c>
      <c r="B12" t="s">
        <v>390</v>
      </c>
      <c r="C12" t="s">
        <v>166</v>
      </c>
      <c r="D12" t="s">
        <v>123</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5">
      <c r="A13" t="s">
        <v>389</v>
      </c>
      <c r="B13" t="s">
        <v>390</v>
      </c>
      <c r="C13" t="s">
        <v>392</v>
      </c>
      <c r="D13" t="s">
        <v>123</v>
      </c>
      <c r="E13" s="4">
        <f t="shared" si="0"/>
        <v>0</v>
      </c>
      <c r="F13" s="4"/>
      <c r="G13" s="4"/>
      <c r="H13" s="4"/>
      <c r="I13" s="4"/>
      <c r="J13" s="4"/>
      <c r="K13" s="4"/>
      <c r="L13" s="4"/>
      <c r="M13" s="4"/>
      <c r="N13" s="4"/>
      <c r="O13" s="4"/>
      <c r="P13" s="4"/>
    </row>
    <row r="14" spans="1:19" x14ac:dyDescent="0.35">
      <c r="A14" t="s">
        <v>389</v>
      </c>
      <c r="B14" t="s">
        <v>390</v>
      </c>
      <c r="C14" t="s">
        <v>168</v>
      </c>
      <c r="D14" t="s">
        <v>123</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5">
      <c r="E15" s="4"/>
      <c r="F15" s="4"/>
      <c r="G15" s="4"/>
      <c r="H15" s="4"/>
      <c r="I15" s="4"/>
      <c r="J15" s="4"/>
      <c r="K15" s="4"/>
      <c r="L15" s="4"/>
      <c r="M15" s="4"/>
      <c r="N15" s="4"/>
      <c r="O15" s="4"/>
      <c r="P15" s="4"/>
    </row>
    <row r="16" spans="1:19" x14ac:dyDescent="0.35">
      <c r="A16" t="s">
        <v>389</v>
      </c>
      <c r="B16" t="s">
        <v>390</v>
      </c>
      <c r="C16" t="s">
        <v>169</v>
      </c>
      <c r="D16" t="s">
        <v>393</v>
      </c>
      <c r="E16" s="4">
        <f>SUMPRODUCT(E17:E20,'Parameters, general'!$B$13:$B$16)</f>
        <v>0.20785730445628486</v>
      </c>
      <c r="F16" s="4">
        <f>SUMPRODUCT(F17:F20,'Parameters, general'!$B$13:$B$16)</f>
        <v>2.4370510521528055E-2</v>
      </c>
      <c r="G16" s="4">
        <f>SUMPRODUCT(G17:G20,'Parameters, general'!$B$13:$B$16)</f>
        <v>3.01313E-2</v>
      </c>
      <c r="H16" s="4">
        <f>SUMPRODUCT(H17:H20,'Parameters, general'!$B$13:$B$16)</f>
        <v>4.8642220755341865E-2</v>
      </c>
      <c r="I16" s="4">
        <f>SUMPRODUCT(I17:I20,'Parameters, general'!$B$13:$B$16)</f>
        <v>4.8642220755341862E-3</v>
      </c>
      <c r="J16" s="4">
        <f>SUMPRODUCT(J17:J20,'Parameters, general'!$B$13:$B$16)</f>
        <v>5.9248812939961648E-2</v>
      </c>
      <c r="K16" s="4">
        <f>SUMPRODUCT(K17:K20,'Parameters, general'!$B$13:$B$16)</f>
        <v>0</v>
      </c>
      <c r="L16" s="4">
        <f>SUMPRODUCT(L17:L20,'Parameters, general'!$B$13:$B$16)</f>
        <v>4.1674448075789007E-4</v>
      </c>
      <c r="M16" s="4">
        <f>SUMPRODUCT(M17:M20,'Parameters, general'!$B$13:$B$16)</f>
        <v>3.9645293683161227E-2</v>
      </c>
      <c r="N16" s="4">
        <f>SUMPRODUCT(N17:N20,'Parameters, general'!$B$13:$B$16)</f>
        <v>5.3819999999999996E-4</v>
      </c>
      <c r="O16" s="4">
        <f>SUMPRODUCT(O17:O20,'Parameters, general'!$B$13:$B$16)</f>
        <v>0</v>
      </c>
      <c r="P16" s="4">
        <f>SUMPRODUCT(P17:P20,'Parameters, general'!$B$13:$B$16)</f>
        <v>0</v>
      </c>
      <c r="R16" s="169" t="s">
        <v>391</v>
      </c>
      <c r="S16" s="8"/>
    </row>
    <row r="17" spans="1:18" x14ac:dyDescent="0.35">
      <c r="A17" t="s">
        <v>389</v>
      </c>
      <c r="B17" t="s">
        <v>390</v>
      </c>
      <c r="C17" t="s">
        <v>165</v>
      </c>
      <c r="D17" t="s">
        <v>393</v>
      </c>
      <c r="E17" s="4">
        <f t="shared" si="0"/>
        <v>0.13888635752648032</v>
      </c>
      <c r="F17" s="4">
        <v>1.4524552445401365E-2</v>
      </c>
      <c r="G17" s="4">
        <v>2.7E-2</v>
      </c>
      <c r="H17" s="4">
        <v>0</v>
      </c>
      <c r="I17" s="4"/>
      <c r="J17" s="4">
        <v>5.8056562695504521E-2</v>
      </c>
      <c r="K17" s="4"/>
      <c r="L17" s="4">
        <v>3.7514075765645005E-4</v>
      </c>
      <c r="M17" s="4">
        <v>3.8391901627918008E-2</v>
      </c>
      <c r="N17" s="318">
        <v>5.3819999999999996E-4</v>
      </c>
      <c r="O17" s="4"/>
      <c r="P17" s="4"/>
    </row>
    <row r="18" spans="1:18" x14ac:dyDescent="0.35">
      <c r="A18" t="s">
        <v>389</v>
      </c>
      <c r="B18" t="s">
        <v>390</v>
      </c>
      <c r="C18" t="s">
        <v>166</v>
      </c>
      <c r="D18" t="s">
        <v>393</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5">
      <c r="A19" t="s">
        <v>389</v>
      </c>
      <c r="B19" t="s">
        <v>390</v>
      </c>
      <c r="C19" t="s">
        <v>392</v>
      </c>
      <c r="D19" t="s">
        <v>393</v>
      </c>
      <c r="E19" s="4">
        <f t="shared" si="0"/>
        <v>0</v>
      </c>
      <c r="F19" s="4"/>
      <c r="G19" s="4"/>
      <c r="H19" s="4"/>
      <c r="I19" s="4"/>
      <c r="J19" s="4"/>
      <c r="K19" s="4"/>
      <c r="L19" s="4"/>
      <c r="M19" s="4"/>
      <c r="N19" s="4"/>
      <c r="O19" s="4"/>
      <c r="P19" s="4"/>
    </row>
    <row r="20" spans="1:18" x14ac:dyDescent="0.35">
      <c r="A20" t="s">
        <v>389</v>
      </c>
      <c r="B20" t="s">
        <v>390</v>
      </c>
      <c r="C20" t="s">
        <v>168</v>
      </c>
      <c r="D20" t="s">
        <v>393</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5">
      <c r="E21" s="4"/>
      <c r="F21" s="4"/>
      <c r="G21" s="4"/>
      <c r="H21" s="4"/>
      <c r="I21" s="4"/>
      <c r="J21" s="4"/>
      <c r="K21" s="4"/>
      <c r="L21" s="4"/>
      <c r="M21" s="4"/>
      <c r="N21" s="4"/>
      <c r="O21" s="4"/>
      <c r="P21" s="4"/>
    </row>
    <row r="22" spans="1:18" x14ac:dyDescent="0.35">
      <c r="A22" t="s">
        <v>394</v>
      </c>
      <c r="B22" t="s">
        <v>346</v>
      </c>
      <c r="C22" t="s">
        <v>169</v>
      </c>
      <c r="D22" t="s">
        <v>359</v>
      </c>
      <c r="E22" s="4">
        <f>SUMPRODUCT(E23:E26,'Parameters, general'!$B$13:$B$16)</f>
        <v>0.77170772994138725</v>
      </c>
      <c r="F22" s="4">
        <f>SUMPRODUCT(F23:F26,'Parameters, general'!$B$13:$B$16)</f>
        <v>1.2186917836524699E-2</v>
      </c>
      <c r="G22" s="4">
        <f>SUMPRODUCT(G23:G26,'Parameters, general'!$B$13:$B$16)</f>
        <v>2.3884567073170736E-2</v>
      </c>
      <c r="H22" s="4">
        <f>SUMPRODUCT(H23:H26,'Parameters, general'!$B$13:$B$16)</f>
        <v>3.6400318077827891E-2</v>
      </c>
      <c r="I22" s="4">
        <f>SUMPRODUCT(I23:I26,'Parameters, general'!$B$13:$B$16)</f>
        <v>3.6400318077827896E-3</v>
      </c>
      <c r="J22" s="4">
        <f>SUMPRODUCT(J23:J26,'Parameters, general'!$B$13:$B$16)</f>
        <v>4.3968385377147715E-2</v>
      </c>
      <c r="K22" s="4">
        <f>SUMPRODUCT(K23:K26,'Parameters, general'!$B$13:$B$16)</f>
        <v>0</v>
      </c>
      <c r="L22" s="4">
        <f>SUMPRODUCT(L23:L26,'Parameters, general'!$B$13:$B$16)</f>
        <v>1.9820774084826478E-4</v>
      </c>
      <c r="M22" s="4">
        <f>SUMPRODUCT(M23:M26,'Parameters, general'!$B$13:$B$16)</f>
        <v>3.1426147431774146E-2</v>
      </c>
      <c r="N22" s="4">
        <f>SUMPRODUCT(N23:N26,'Parameters, general'!$B$13:$B$16)</f>
        <v>0.31761120248475611</v>
      </c>
      <c r="O22" s="4">
        <f>SUMPRODUCT(O23:O26,'Parameters, general'!$B$13:$B$16)</f>
        <v>4.265297238182502E-2</v>
      </c>
      <c r="P22" s="4">
        <f>SUMPRODUCT(P23:P26,'Parameters, general'!$B$13:$B$16)</f>
        <v>0.2597389797297297</v>
      </c>
    </row>
    <row r="23" spans="1:18" x14ac:dyDescent="0.35">
      <c r="A23" s="289" t="s">
        <v>394</v>
      </c>
      <c r="B23" s="162" t="s">
        <v>346</v>
      </c>
      <c r="C23" s="162" t="s">
        <v>165</v>
      </c>
      <c r="D23" s="162" t="s">
        <v>359</v>
      </c>
      <c r="E23" s="183">
        <f>SUM(F23:P23)</f>
        <v>0.7061171705997602</v>
      </c>
      <c r="F23" s="183">
        <f>$C$40*(AVERAGE(F11,F17))/$C$39</f>
        <v>7.2632670993098931E-3</v>
      </c>
      <c r="G23" s="183">
        <f t="shared" ref="G23:M23" si="1">$C$40*(AVERAGE(G11,G17))/$C$39</f>
        <v>2.1402439024390246E-2</v>
      </c>
      <c r="H23" s="183">
        <f t="shared" si="1"/>
        <v>0</v>
      </c>
      <c r="I23" s="183"/>
      <c r="J23" s="183">
        <f t="shared" si="1"/>
        <v>4.308361966433235E-2</v>
      </c>
      <c r="K23" s="183"/>
      <c r="L23" s="183">
        <f t="shared" si="1"/>
        <v>1.7842060425123844E-4</v>
      </c>
      <c r="M23" s="183">
        <f t="shared" si="1"/>
        <v>3.0432604948959403E-2</v>
      </c>
      <c r="N23" s="183">
        <f>$C$40*(AVERAGE(N11,N17))/$C$39</f>
        <v>0.31761120248475611</v>
      </c>
      <c r="O23" s="183">
        <f>C40*(C43*EF_el_CO2_BR+C44*EF_biofuels_CO2)</f>
        <v>3.5145616773760872E-2</v>
      </c>
      <c r="P23" s="290">
        <v>0.251</v>
      </c>
      <c r="R23" t="s">
        <v>395</v>
      </c>
    </row>
    <row r="24" spans="1:18" x14ac:dyDescent="0.35">
      <c r="A24" s="291" t="s">
        <v>394</v>
      </c>
      <c r="B24" t="s">
        <v>346</v>
      </c>
      <c r="C24" t="s">
        <v>166</v>
      </c>
      <c r="D24" t="s">
        <v>359</v>
      </c>
      <c r="E24" s="4">
        <f>SUM(F24:P24)</f>
        <v>4.7266553697523981E-4</v>
      </c>
      <c r="F24" s="4">
        <f t="shared" ref="F24:M24" si="2">$C$40*(AVERAGE(F12,F18))/$C$39</f>
        <v>1.5603516238625262E-5</v>
      </c>
      <c r="G24" s="4">
        <f t="shared" si="2"/>
        <v>7.5304878048780503E-5</v>
      </c>
      <c r="H24" s="4"/>
      <c r="I24" s="4"/>
      <c r="J24" s="4">
        <f t="shared" si="2"/>
        <v>1.908459074435586E-5</v>
      </c>
      <c r="K24" s="4"/>
      <c r="L24" s="4">
        <f t="shared" si="2"/>
        <v>5.9672097439024396E-7</v>
      </c>
      <c r="M24" s="4">
        <f t="shared" si="2"/>
        <v>2.3084271612619523E-5</v>
      </c>
      <c r="N24" s="4"/>
      <c r="O24" s="4">
        <f>C40*(C43*EF_el_CH4_BR+C44*EF_biofuel_CH4)</f>
        <v>1.2899155935646844E-4</v>
      </c>
      <c r="P24" s="237">
        <f>4.83/1000/23</f>
        <v>2.1000000000000001E-4</v>
      </c>
      <c r="R24" t="s">
        <v>396</v>
      </c>
    </row>
    <row r="25" spans="1:18" x14ac:dyDescent="0.35">
      <c r="A25" s="291" t="s">
        <v>394</v>
      </c>
      <c r="B25" t="s">
        <v>346</v>
      </c>
      <c r="C25" t="s">
        <v>392</v>
      </c>
      <c r="D25" t="s">
        <v>359</v>
      </c>
      <c r="E25" s="4">
        <f>SUM(F25:P25)</f>
        <v>0</v>
      </c>
      <c r="F25" s="4"/>
      <c r="G25" s="4"/>
      <c r="H25" s="4"/>
      <c r="I25" s="4"/>
      <c r="J25" s="4"/>
      <c r="K25" s="4"/>
      <c r="L25" s="4"/>
      <c r="M25" s="4"/>
      <c r="N25" s="4"/>
      <c r="O25" s="4"/>
      <c r="P25" s="237"/>
    </row>
    <row r="26" spans="1:18" x14ac:dyDescent="0.35">
      <c r="A26" s="292" t="s">
        <v>394</v>
      </c>
      <c r="B26" s="279" t="s">
        <v>346</v>
      </c>
      <c r="C26" s="279" t="s">
        <v>168</v>
      </c>
      <c r="D26" s="279" t="s">
        <v>359</v>
      </c>
      <c r="E26" s="293">
        <f>SUM(F26:P26)</f>
        <v>1.8866346644602505E-4</v>
      </c>
      <c r="F26" s="293">
        <f t="shared" ref="F26:M26" si="3">$C$40*(AVERAGE(F14,F20))/$C$39</f>
        <v>1.6332109719061441E-5</v>
      </c>
      <c r="G26" s="293">
        <f t="shared" si="3"/>
        <v>8.7195121951219526E-7</v>
      </c>
      <c r="H26" s="320">
        <f t="shared" si="3"/>
        <v>1.3333449845358202E-4</v>
      </c>
      <c r="I26" s="293">
        <f t="shared" si="3"/>
        <v>1.3333449845358203E-5</v>
      </c>
      <c r="J26" s="293">
        <f t="shared" si="3"/>
        <v>1.1576736579983931E-6</v>
      </c>
      <c r="K26" s="293"/>
      <c r="L26" s="293">
        <f t="shared" si="3"/>
        <v>7.3437786087804866E-9</v>
      </c>
      <c r="M26" s="293">
        <f t="shared" si="3"/>
        <v>1.1195281639512197E-6</v>
      </c>
      <c r="N26" s="293"/>
      <c r="O26" s="293">
        <f>C40*(C43*EF_el_N2O_BR+C44*EF_biofuel_N2O)</f>
        <v>1.3419073770114991E-5</v>
      </c>
      <c r="P26" s="294">
        <f>2.69/1000/296</f>
        <v>9.087837837837838E-6</v>
      </c>
      <c r="R26" t="s">
        <v>396</v>
      </c>
    </row>
    <row r="29" spans="1:18" ht="18.5" x14ac:dyDescent="0.45">
      <c r="A29" s="1" t="s">
        <v>397</v>
      </c>
    </row>
    <row r="31" spans="1:18" x14ac:dyDescent="0.35">
      <c r="A31" s="212" t="s">
        <v>329</v>
      </c>
      <c r="B31" s="213"/>
      <c r="C31" s="213"/>
      <c r="D31" s="213"/>
      <c r="E31" s="213"/>
      <c r="F31" s="214" t="s">
        <v>49</v>
      </c>
      <c r="G31" s="214" t="s">
        <v>356</v>
      </c>
      <c r="H31" s="214" t="s">
        <v>51</v>
      </c>
      <c r="I31" s="214" t="s">
        <v>52</v>
      </c>
      <c r="J31" s="215" t="s">
        <v>53</v>
      </c>
      <c r="K31" s="215" t="s">
        <v>54</v>
      </c>
      <c r="L31" s="215" t="s">
        <v>55</v>
      </c>
      <c r="M31" s="286"/>
      <c r="N31" s="276"/>
      <c r="O31" s="276"/>
      <c r="P31" s="287"/>
    </row>
    <row r="32" spans="1:18" ht="43.5" x14ac:dyDescent="0.35">
      <c r="A32" s="217" t="s">
        <v>59</v>
      </c>
      <c r="B32" s="217" t="s">
        <v>329</v>
      </c>
      <c r="C32" s="217" t="s">
        <v>331</v>
      </c>
      <c r="D32" s="217" t="s">
        <v>62</v>
      </c>
      <c r="E32" s="194" t="s">
        <v>63</v>
      </c>
      <c r="F32" s="227" t="s">
        <v>70</v>
      </c>
      <c r="G32" s="227" t="s">
        <v>357</v>
      </c>
      <c r="H32" s="227" t="s">
        <v>358</v>
      </c>
      <c r="I32" s="228" t="s">
        <v>73</v>
      </c>
      <c r="J32" s="229" t="s">
        <v>74</v>
      </c>
      <c r="K32" s="230" t="s">
        <v>75</v>
      </c>
      <c r="L32" s="230" t="s">
        <v>76</v>
      </c>
      <c r="M32" s="276"/>
    </row>
    <row r="33" spans="1:18" x14ac:dyDescent="0.35">
      <c r="A33" s="79" t="s">
        <v>389</v>
      </c>
      <c r="B33" s="17" t="s">
        <v>390</v>
      </c>
      <c r="C33" s="17" t="s">
        <v>398</v>
      </c>
      <c r="D33" t="s">
        <v>123</v>
      </c>
      <c r="E33" t="s">
        <v>124</v>
      </c>
      <c r="F33">
        <v>2.9987165493168924</v>
      </c>
      <c r="G33">
        <v>7.5567657042785688E-2</v>
      </c>
      <c r="H33">
        <v>6.5971764084971638E-3</v>
      </c>
      <c r="I33">
        <v>1E-3</v>
      </c>
      <c r="J33">
        <v>0.33775822794753041</v>
      </c>
      <c r="K33">
        <v>1.2385238539351947E-9</v>
      </c>
      <c r="L33">
        <v>5.4691734366476756E-5</v>
      </c>
    </row>
    <row r="34" spans="1:18" x14ac:dyDescent="0.35">
      <c r="A34" s="79" t="s">
        <v>389</v>
      </c>
      <c r="B34" s="17" t="s">
        <v>390</v>
      </c>
      <c r="C34" s="17" t="s">
        <v>398</v>
      </c>
      <c r="D34" t="s">
        <v>393</v>
      </c>
      <c r="E34" t="s">
        <v>399</v>
      </c>
      <c r="F34">
        <v>3.4374419931663649</v>
      </c>
      <c r="G34">
        <v>3.1968210536447196E-2</v>
      </c>
      <c r="H34">
        <v>1.7187209965831825E-3</v>
      </c>
      <c r="I34">
        <v>4.9999999999999992E-3</v>
      </c>
      <c r="J34">
        <v>0.31624466337130558</v>
      </c>
      <c r="K34">
        <v>3.055476859418395E-10</v>
      </c>
      <c r="L34">
        <v>2.0897792027420705E-4</v>
      </c>
    </row>
    <row r="36" spans="1:18" x14ac:dyDescent="0.35">
      <c r="A36" s="295" t="s">
        <v>394</v>
      </c>
      <c r="B36" s="296" t="s">
        <v>346</v>
      </c>
      <c r="C36" s="296" t="s">
        <v>400</v>
      </c>
      <c r="D36" s="296" t="s">
        <v>359</v>
      </c>
      <c r="E36" s="296"/>
      <c r="F36" s="298">
        <f>$C$40*AVERAGE(F33:F34)/$C$39</f>
        <v>2.5509164954964132</v>
      </c>
      <c r="G36" s="298">
        <f t="shared" ref="G36:L36" si="4">$C$40*AVERAGE(G33:G34)/$C$39</f>
        <v>4.2620923125915477E-2</v>
      </c>
      <c r="H36" s="297">
        <f t="shared" si="4"/>
        <v>3.2959349471355036E-3</v>
      </c>
      <c r="I36" s="297">
        <f t="shared" si="4"/>
        <v>2.3780487804878048E-3</v>
      </c>
      <c r="J36" s="298">
        <f t="shared" si="4"/>
        <v>0.25920846302270939</v>
      </c>
      <c r="K36" s="299">
        <f t="shared" si="4"/>
        <v>6.1197957373175144E-10</v>
      </c>
      <c r="L36" s="299">
        <f t="shared" si="4"/>
        <v>1.0450321677831981E-4</v>
      </c>
    </row>
    <row r="38" spans="1:18" x14ac:dyDescent="0.35">
      <c r="A38" s="119" t="s">
        <v>401</v>
      </c>
      <c r="B38" s="119"/>
      <c r="C38" s="119"/>
      <c r="D38" s="119"/>
      <c r="E38" s="119"/>
      <c r="F38" s="119"/>
      <c r="G38" s="119"/>
      <c r="H38" s="119"/>
      <c r="I38" s="119"/>
      <c r="J38" s="119"/>
      <c r="K38" s="119"/>
      <c r="L38" s="119"/>
      <c r="M38" s="119"/>
      <c r="N38" s="119"/>
      <c r="O38" s="119"/>
      <c r="P38" s="119"/>
    </row>
    <row r="39" spans="1:18" x14ac:dyDescent="0.35">
      <c r="A39" t="s">
        <v>402</v>
      </c>
      <c r="C39">
        <v>0.82</v>
      </c>
      <c r="R39" t="s">
        <v>403</v>
      </c>
    </row>
    <row r="40" spans="1:18" x14ac:dyDescent="0.35">
      <c r="A40" t="s">
        <v>404</v>
      </c>
      <c r="C40">
        <v>0.65</v>
      </c>
      <c r="R40" t="s">
        <v>403</v>
      </c>
    </row>
    <row r="42" spans="1:18" x14ac:dyDescent="0.35">
      <c r="A42" t="s">
        <v>405</v>
      </c>
    </row>
    <row r="43" spans="1:18" x14ac:dyDescent="0.35">
      <c r="A43" t="s">
        <v>406</v>
      </c>
      <c r="C43">
        <v>0.16600000000000001</v>
      </c>
      <c r="D43" t="s">
        <v>407</v>
      </c>
      <c r="G43" t="s">
        <v>408</v>
      </c>
      <c r="I43" s="12">
        <f>C43/(C43+C44)</f>
        <v>0.14574187884108869</v>
      </c>
      <c r="R43" t="s">
        <v>409</v>
      </c>
    </row>
    <row r="44" spans="1:18" x14ac:dyDescent="0.35">
      <c r="A44" t="s">
        <v>410</v>
      </c>
      <c r="C44">
        <v>0.97299999999999998</v>
      </c>
      <c r="D44" t="s">
        <v>407</v>
      </c>
      <c r="R44" t="s">
        <v>409</v>
      </c>
    </row>
    <row r="46" spans="1:18" x14ac:dyDescent="0.35">
      <c r="A46" t="s">
        <v>411</v>
      </c>
      <c r="R46" t="s">
        <v>412</v>
      </c>
    </row>
    <row r="49" spans="1:18" ht="18.5" x14ac:dyDescent="0.45">
      <c r="A49" s="288" t="s">
        <v>413</v>
      </c>
      <c r="B49" s="119"/>
      <c r="C49" s="119"/>
      <c r="D49" s="119"/>
      <c r="E49" s="119"/>
      <c r="F49" s="119"/>
      <c r="G49" s="119"/>
      <c r="H49" s="119"/>
      <c r="I49" s="119"/>
      <c r="J49" s="119"/>
      <c r="K49" s="119"/>
      <c r="L49" s="119"/>
      <c r="M49" s="119"/>
      <c r="N49" s="119"/>
      <c r="O49" s="119"/>
      <c r="P49" s="119"/>
    </row>
    <row r="51" spans="1:18" ht="18.5" x14ac:dyDescent="0.45">
      <c r="A51" s="1" t="s">
        <v>386</v>
      </c>
    </row>
    <row r="53" spans="1:18" x14ac:dyDescent="0.35">
      <c r="A53" s="280" t="s">
        <v>329</v>
      </c>
      <c r="B53" s="281"/>
      <c r="C53" s="281"/>
      <c r="D53" s="281"/>
      <c r="E53" s="282" t="s">
        <v>137</v>
      </c>
      <c r="F53" s="282" t="s">
        <v>138</v>
      </c>
      <c r="G53" s="283"/>
      <c r="H53" s="282" t="s">
        <v>139</v>
      </c>
      <c r="I53" s="284"/>
      <c r="J53" s="277" t="s">
        <v>140</v>
      </c>
      <c r="K53" s="284"/>
      <c r="L53" s="284"/>
      <c r="M53" s="284"/>
      <c r="N53" s="277" t="s">
        <v>141</v>
      </c>
      <c r="O53" s="277" t="s">
        <v>142</v>
      </c>
      <c r="P53" s="277" t="s">
        <v>143</v>
      </c>
    </row>
    <row r="54" spans="1:18" ht="43.5" x14ac:dyDescent="0.35">
      <c r="A54" s="274" t="s">
        <v>59</v>
      </c>
      <c r="B54" s="274" t="s">
        <v>329</v>
      </c>
      <c r="C54" s="274" t="s">
        <v>147</v>
      </c>
      <c r="D54" s="275" t="s">
        <v>387</v>
      </c>
      <c r="E54" s="285"/>
      <c r="F54" s="53" t="s">
        <v>33</v>
      </c>
      <c r="G54" s="53" t="s">
        <v>34</v>
      </c>
      <c r="H54" s="53" t="s">
        <v>332</v>
      </c>
      <c r="I54" s="53" t="s">
        <v>333</v>
      </c>
      <c r="J54" s="53" t="s">
        <v>152</v>
      </c>
      <c r="K54" s="53" t="s">
        <v>153</v>
      </c>
      <c r="L54" s="53" t="s">
        <v>154</v>
      </c>
      <c r="M54" s="53" t="s">
        <v>155</v>
      </c>
      <c r="N54" s="53" t="s">
        <v>156</v>
      </c>
      <c r="O54" s="53"/>
      <c r="P54" s="53"/>
      <c r="R54" s="278"/>
    </row>
    <row r="55" spans="1:18" x14ac:dyDescent="0.35">
      <c r="A55" t="s">
        <v>414</v>
      </c>
      <c r="B55" t="s">
        <v>415</v>
      </c>
      <c r="C55" t="s">
        <v>169</v>
      </c>
      <c r="D55" t="s">
        <v>31</v>
      </c>
      <c r="E55" s="4">
        <f>SUMPRODUCT(E56:E59,'Parameters, general'!$B$13:$B$16)</f>
        <v>0.86652859022920592</v>
      </c>
      <c r="F55" s="4">
        <f>SUMPRODUCT(F56:F59,'Parameters, general'!$B$13:$B$16)</f>
        <v>0.45006858113490861</v>
      </c>
      <c r="G55" s="4">
        <f>SUMPRODUCT(G56:G59,'Parameters, general'!$B$13:$B$16)</f>
        <v>3.01313E-2</v>
      </c>
      <c r="H55" s="4">
        <f>SUMPRODUCT(H56:H59,'Parameters, general'!$B$13:$B$16)</f>
        <v>0.24176008201732435</v>
      </c>
      <c r="I55" s="4">
        <f>SUMPRODUCT(I56:I59,'Parameters, general'!$B$13:$B$16)</f>
        <v>2.4176008201732439E-2</v>
      </c>
      <c r="J55" s="4">
        <f>SUMPRODUCT(J56:J59,'Parameters, general'!$B$13:$B$16)</f>
        <v>4.9915761667236082E-2</v>
      </c>
      <c r="K55" s="4">
        <f>SUMPRODUCT(K56:K59,'Parameters, general'!$B$13:$B$16)</f>
        <v>0</v>
      </c>
      <c r="L55" s="4">
        <f>SUMPRODUCT(L56:L59,'Parameters, general'!$B$13:$B$16)</f>
        <v>1.0835356499705141E-3</v>
      </c>
      <c r="M55" s="4">
        <f>SUMPRODUCT(M56:M59,'Parameters, general'!$B$13:$B$16)</f>
        <v>6.9393321558033794E-2</v>
      </c>
      <c r="N55" s="4">
        <f>SUMPRODUCT(N56:N59,'Parameters, general'!$B$13:$B$16)</f>
        <v>0</v>
      </c>
      <c r="O55" s="4">
        <f>SUMPRODUCT(O56:O59,'Parameters, general'!$B$13:$B$16)</f>
        <v>0</v>
      </c>
      <c r="P55" s="4">
        <f>SUMPRODUCT(P56:P59,'Parameters, general'!$B$13:$B$16)</f>
        <v>0</v>
      </c>
      <c r="R55" s="169"/>
    </row>
    <row r="56" spans="1:18" x14ac:dyDescent="0.35">
      <c r="A56" t="s">
        <v>414</v>
      </c>
      <c r="B56" t="s">
        <v>415</v>
      </c>
      <c r="C56" t="s">
        <v>165</v>
      </c>
      <c r="D56" t="s">
        <v>31</v>
      </c>
      <c r="E56" s="4">
        <f t="shared" ref="E56:E59" si="5">SUM(F56:P56)</f>
        <v>0.47425566700327737</v>
      </c>
      <c r="F56" s="4">
        <v>0.32956752885768148</v>
      </c>
      <c r="G56" s="4">
        <v>2.7E-2</v>
      </c>
      <c r="H56" s="4">
        <v>0</v>
      </c>
      <c r="I56" s="4"/>
      <c r="J56" s="4">
        <v>4.891131826833911E-2</v>
      </c>
      <c r="K56" s="4"/>
      <c r="L56" s="4">
        <v>9.7536596990677009E-4</v>
      </c>
      <c r="M56" s="4">
        <v>6.7801453907350012E-2</v>
      </c>
      <c r="N56" s="5"/>
      <c r="O56" s="4"/>
      <c r="P56" s="4"/>
    </row>
    <row r="57" spans="1:18" x14ac:dyDescent="0.35">
      <c r="A57" t="s">
        <v>414</v>
      </c>
      <c r="B57" t="s">
        <v>415</v>
      </c>
      <c r="C57" t="s">
        <v>166</v>
      </c>
      <c r="D57" t="s">
        <v>31</v>
      </c>
      <c r="E57" s="4">
        <f t="shared" si="5"/>
        <v>4.9941072237528225E-4</v>
      </c>
      <c r="F57" s="34">
        <v>3.4898905873400086E-4</v>
      </c>
      <c r="G57" s="34">
        <v>9.5000000000000005E-5</v>
      </c>
      <c r="H57" s="34"/>
      <c r="I57" s="34"/>
      <c r="J57" s="34">
        <v>2.1666064717653378E-5</v>
      </c>
      <c r="K57" s="34"/>
      <c r="L57" s="34">
        <v>3.2620746600000001E-6</v>
      </c>
      <c r="M57" s="34">
        <v>3.0493524263628008E-5</v>
      </c>
      <c r="N57" s="34"/>
      <c r="O57" s="34"/>
      <c r="P57" s="34"/>
    </row>
    <row r="58" spans="1:18" x14ac:dyDescent="0.35">
      <c r="A58" t="s">
        <v>414</v>
      </c>
      <c r="B58" t="s">
        <v>415</v>
      </c>
      <c r="C58" t="s">
        <v>392</v>
      </c>
      <c r="D58" t="s">
        <v>31</v>
      </c>
      <c r="E58" s="4">
        <f t="shared" si="5"/>
        <v>0</v>
      </c>
      <c r="F58" s="34"/>
      <c r="G58" s="34"/>
      <c r="H58" s="34"/>
      <c r="I58" s="34"/>
      <c r="J58" s="34"/>
      <c r="K58" s="34"/>
      <c r="L58" s="34"/>
      <c r="M58" s="34"/>
      <c r="N58" s="34"/>
      <c r="O58" s="34"/>
      <c r="P58" s="34"/>
    </row>
    <row r="59" spans="1:18" x14ac:dyDescent="0.35">
      <c r="A59" t="s">
        <v>414</v>
      </c>
      <c r="B59" t="s">
        <v>415</v>
      </c>
      <c r="C59" t="s">
        <v>168</v>
      </c>
      <c r="D59" t="s">
        <v>31</v>
      </c>
      <c r="E59" s="4">
        <f t="shared" si="5"/>
        <v>1.3823827241726927E-3</v>
      </c>
      <c r="F59" s="34">
        <v>4.0330101951265181E-4</v>
      </c>
      <c r="G59" s="34">
        <v>1.1000000000000001E-6</v>
      </c>
      <c r="H59" s="34">
        <v>8.8556806599752514E-4</v>
      </c>
      <c r="I59" s="34">
        <v>8.8556806599752522E-5</v>
      </c>
      <c r="J59" s="34">
        <v>1.314266191615013E-6</v>
      </c>
      <c r="K59" s="34"/>
      <c r="L59" s="34">
        <v>4.014598972799999E-8</v>
      </c>
      <c r="M59" s="34">
        <v>2.50241988142E-6</v>
      </c>
      <c r="N59" s="34"/>
      <c r="O59" s="34"/>
      <c r="P59" s="34"/>
    </row>
    <row r="60" spans="1:18" x14ac:dyDescent="0.35">
      <c r="E60" s="4"/>
      <c r="F60" s="4"/>
      <c r="G60" s="4"/>
      <c r="H60" s="4"/>
      <c r="I60" s="4"/>
      <c r="J60" s="4"/>
      <c r="K60" s="4"/>
      <c r="L60" s="4"/>
      <c r="M60" s="4"/>
      <c r="N60" s="4"/>
      <c r="O60" s="4"/>
      <c r="P60" s="4"/>
    </row>
    <row r="61" spans="1:18" x14ac:dyDescent="0.35">
      <c r="A61" t="s">
        <v>414</v>
      </c>
      <c r="B61" t="s">
        <v>415</v>
      </c>
      <c r="C61" t="s">
        <v>169</v>
      </c>
      <c r="D61" t="s">
        <v>24</v>
      </c>
      <c r="E61" s="4">
        <f>SUMPRODUCT(E62:E65,'Parameters, general'!$B$13:$B$16)</f>
        <v>0.72542566300783895</v>
      </c>
      <c r="F61" s="4">
        <f>SUMPRODUCT(F62:F65,'Parameters, general'!$B$13:$B$16)</f>
        <v>0.30299497425616784</v>
      </c>
      <c r="G61" s="4">
        <f>SUMPRODUCT(G62:G65,'Parameters, general'!$B$13:$B$16)</f>
        <v>3.01313E-2</v>
      </c>
      <c r="H61" s="4">
        <f>SUMPRODUCT(H62:H65,'Parameters, general'!$B$13:$B$16)</f>
        <v>0.24176008201732435</v>
      </c>
      <c r="I61" s="4">
        <f>SUMPRODUCT(I62:I65,'Parameters, general'!$B$13:$B$16)</f>
        <v>2.4176008201732439E-2</v>
      </c>
      <c r="J61" s="4">
        <f>SUMPRODUCT(J62:J65,'Parameters, general'!$B$13:$B$16)</f>
        <v>4.8839231914042686E-2</v>
      </c>
      <c r="K61" s="4">
        <f>SUMPRODUCT(K62:K65,'Parameters, general'!$B$13:$B$16)</f>
        <v>0</v>
      </c>
      <c r="L61" s="4">
        <f>SUMPRODUCT(L62:L65,'Parameters, general'!$B$13:$B$16)</f>
        <v>1.6669779230315599E-4</v>
      </c>
      <c r="M61" s="4">
        <f>SUMPRODUCT(M62:M65,'Parameters, general'!$B$13:$B$16)</f>
        <v>7.735736882626848E-2</v>
      </c>
      <c r="N61" s="4">
        <f>SUMPRODUCT(N62:N65,'Parameters, general'!$B$13:$B$16)</f>
        <v>0</v>
      </c>
      <c r="O61" s="4">
        <f>SUMPRODUCT(O62:O65,'Parameters, general'!$B$13:$B$16)</f>
        <v>0</v>
      </c>
      <c r="P61" s="4">
        <f>SUMPRODUCT(P62:P65,'Parameters, general'!$B$13:$B$16)</f>
        <v>0</v>
      </c>
      <c r="R61" s="169"/>
    </row>
    <row r="62" spans="1:18" x14ac:dyDescent="0.35">
      <c r="A62" t="s">
        <v>414</v>
      </c>
      <c r="B62" t="s">
        <v>415</v>
      </c>
      <c r="C62" t="s">
        <v>165</v>
      </c>
      <c r="D62" t="s">
        <v>24</v>
      </c>
      <c r="E62" s="4">
        <f t="shared" ref="E62:E65" si="6">SUM(F62:P62)</f>
        <v>0.33282969749060426</v>
      </c>
      <c r="F62" s="4">
        <v>0.18249392197894071</v>
      </c>
      <c r="G62" s="4">
        <v>2.7E-2</v>
      </c>
      <c r="H62" s="4">
        <v>0</v>
      </c>
      <c r="I62" s="4"/>
      <c r="J62" s="4">
        <v>4.7856451275928968E-2</v>
      </c>
      <c r="K62" s="4"/>
      <c r="L62" s="4">
        <v>1.5005630306258E-4</v>
      </c>
      <c r="M62" s="4">
        <v>7.5329267932672014E-2</v>
      </c>
      <c r="N62" s="5"/>
      <c r="O62" s="4"/>
      <c r="P62" s="4"/>
    </row>
    <row r="63" spans="1:18" x14ac:dyDescent="0.35">
      <c r="A63" t="s">
        <v>414</v>
      </c>
      <c r="B63" t="s">
        <v>415</v>
      </c>
      <c r="C63" t="s">
        <v>166</v>
      </c>
      <c r="D63" t="s">
        <v>24</v>
      </c>
      <c r="E63" s="4">
        <f t="shared" si="6"/>
        <v>5.0851433192470826E-4</v>
      </c>
      <c r="F63" s="34">
        <v>3.4898905873400086E-4</v>
      </c>
      <c r="G63" s="34">
        <v>9.5000000000000005E-5</v>
      </c>
      <c r="H63" s="34"/>
      <c r="I63" s="34"/>
      <c r="J63" s="34">
        <v>2.1198794209819431E-5</v>
      </c>
      <c r="K63" s="34"/>
      <c r="L63" s="34">
        <v>5.0185763999999998E-7</v>
      </c>
      <c r="M63" s="34">
        <v>4.2824621340888011E-5</v>
      </c>
      <c r="N63" s="302"/>
      <c r="O63" s="302"/>
      <c r="P63" s="302"/>
    </row>
    <row r="64" spans="1:18" x14ac:dyDescent="0.35">
      <c r="A64" t="s">
        <v>414</v>
      </c>
      <c r="B64" t="s">
        <v>415</v>
      </c>
      <c r="C64" t="s">
        <v>392</v>
      </c>
      <c r="D64" t="s">
        <v>24</v>
      </c>
      <c r="E64" s="4">
        <f t="shared" si="6"/>
        <v>0</v>
      </c>
      <c r="F64" s="302"/>
      <c r="G64" s="302"/>
      <c r="H64" s="302"/>
      <c r="I64" s="302"/>
      <c r="J64" s="302"/>
      <c r="K64" s="302"/>
      <c r="L64" s="302"/>
      <c r="M64" s="302"/>
      <c r="N64" s="302"/>
      <c r="O64" s="302"/>
      <c r="P64" s="302"/>
    </row>
    <row r="65" spans="1:18" x14ac:dyDescent="0.35">
      <c r="A65" t="s">
        <v>414</v>
      </c>
      <c r="B65" t="s">
        <v>415</v>
      </c>
      <c r="C65" t="s">
        <v>168</v>
      </c>
      <c r="D65" t="s">
        <v>24</v>
      </c>
      <c r="E65" s="4">
        <f t="shared" si="6"/>
        <v>1.3825723019262944E-3</v>
      </c>
      <c r="F65" s="34">
        <v>4.0330101951265175E-4</v>
      </c>
      <c r="G65" s="34">
        <v>1.1000000000000001E-6</v>
      </c>
      <c r="H65" s="34">
        <v>8.8556806599752514E-4</v>
      </c>
      <c r="I65" s="34">
        <v>8.8556806599752522E-5</v>
      </c>
      <c r="J65" s="34">
        <v>1.2859215042530965E-6</v>
      </c>
      <c r="K65" s="34"/>
      <c r="L65" s="34">
        <v>6.1763061119999986E-9</v>
      </c>
      <c r="M65" s="34">
        <v>2.7543120060000002E-6</v>
      </c>
      <c r="N65" s="302"/>
      <c r="O65" s="302"/>
      <c r="P65" s="302"/>
    </row>
    <row r="66" spans="1:18" x14ac:dyDescent="0.35">
      <c r="E66" s="4"/>
      <c r="F66" s="4"/>
      <c r="G66" s="4"/>
      <c r="H66" s="4"/>
      <c r="I66" s="4"/>
      <c r="J66" s="4"/>
      <c r="K66" s="4"/>
      <c r="L66" s="4"/>
      <c r="M66" s="4"/>
      <c r="N66" s="4"/>
      <c r="O66" s="4"/>
      <c r="P66" s="4"/>
    </row>
    <row r="67" spans="1:18" x14ac:dyDescent="0.35">
      <c r="A67" t="s">
        <v>414</v>
      </c>
      <c r="B67" t="s">
        <v>415</v>
      </c>
      <c r="C67" t="s">
        <v>169</v>
      </c>
      <c r="D67" t="s">
        <v>19</v>
      </c>
      <c r="E67" s="4">
        <f>SUMPRODUCT(E68:E71,'Parameters, general'!$B$13:$B$16)</f>
        <v>0.74513506580091904</v>
      </c>
      <c r="F67" s="4">
        <f>SUMPRODUCT(F68:F71,'Parameters, general'!$B$13:$B$16)</f>
        <v>0.30299497425616784</v>
      </c>
      <c r="G67" s="4">
        <f>SUMPRODUCT(G68:G71,'Parameters, general'!$B$13:$B$16)</f>
        <v>3.01313E-2</v>
      </c>
      <c r="H67" s="4">
        <f>SUMPRODUCT(H68:H71,'Parameters, general'!$B$13:$B$16)</f>
        <v>0.24176008201732432</v>
      </c>
      <c r="I67" s="4">
        <f>SUMPRODUCT(I68:I71,'Parameters, general'!$B$13:$B$16)</f>
        <v>2.4176008201732435E-2</v>
      </c>
      <c r="J67" s="4">
        <f>SUMPRODUCT(J68:J71,'Parameters, general'!$B$13:$B$16)</f>
        <v>5.7818585001554686E-2</v>
      </c>
      <c r="K67" s="4">
        <f>SUMPRODUCT(K68:K71,'Parameters, general'!$B$13:$B$16)</f>
        <v>0</v>
      </c>
      <c r="L67" s="4">
        <f>SUMPRODUCT(L68:L71,'Parameters, general'!$B$13:$B$16)</f>
        <v>8.3348896151578009E-5</v>
      </c>
      <c r="M67" s="4">
        <f>SUMPRODUCT(M68:M71,'Parameters, general'!$B$13:$B$16)</f>
        <v>8.8170767427988142E-2</v>
      </c>
      <c r="N67" s="4"/>
      <c r="O67" s="4">
        <f>SUMPRODUCT(O68:O71,'Parameters, general'!$B$13:$B$16)</f>
        <v>0</v>
      </c>
      <c r="P67" s="4">
        <f>SUMPRODUCT(P68:P71,'Parameters, general'!$B$13:$B$16)</f>
        <v>0</v>
      </c>
      <c r="R67" s="169"/>
    </row>
    <row r="68" spans="1:18" x14ac:dyDescent="0.35">
      <c r="A68" t="s">
        <v>414</v>
      </c>
      <c r="B68" t="s">
        <v>415</v>
      </c>
      <c r="C68" t="s">
        <v>165</v>
      </c>
      <c r="D68" t="s">
        <v>19</v>
      </c>
      <c r="E68" s="4">
        <f t="shared" ref="E68:E71" si="7">SUM(F68:P68)</f>
        <v>0.35179228624786635</v>
      </c>
      <c r="F68" s="4">
        <v>0.18249392197894071</v>
      </c>
      <c r="G68" s="4">
        <v>2.7E-2</v>
      </c>
      <c r="H68" s="4">
        <v>0</v>
      </c>
      <c r="I68" s="4"/>
      <c r="J68" s="4">
        <v>5.6655114905164373E-2</v>
      </c>
      <c r="K68" s="4"/>
      <c r="L68" s="4">
        <v>7.5028151531290012E-5</v>
      </c>
      <c r="M68" s="4">
        <v>8.5568221212230011E-2</v>
      </c>
      <c r="N68" s="5"/>
      <c r="O68" s="4"/>
      <c r="P68" s="4"/>
    </row>
    <row r="69" spans="1:18" x14ac:dyDescent="0.35">
      <c r="A69" t="s">
        <v>414</v>
      </c>
      <c r="B69" t="s">
        <v>415</v>
      </c>
      <c r="C69" t="s">
        <v>166</v>
      </c>
      <c r="D69" t="s">
        <v>19</v>
      </c>
      <c r="E69" s="4">
        <f t="shared" si="7"/>
        <v>5.3201630943650285E-4</v>
      </c>
      <c r="F69" s="4">
        <v>3.4898905873400081E-4</v>
      </c>
      <c r="G69" s="4">
        <v>9.5000000000000005E-5</v>
      </c>
      <c r="H69" s="4"/>
      <c r="I69" s="4"/>
      <c r="J69" s="4">
        <v>2.5096305509229163E-5</v>
      </c>
      <c r="K69" s="4"/>
      <c r="L69" s="4">
        <v>2.5092882000000005E-7</v>
      </c>
      <c r="M69" s="4">
        <v>6.2680016373272817E-5</v>
      </c>
      <c r="N69" s="4"/>
      <c r="O69" s="4"/>
      <c r="P69" s="4"/>
    </row>
    <row r="70" spans="1:18" x14ac:dyDescent="0.35">
      <c r="A70" t="s">
        <v>414</v>
      </c>
      <c r="B70" t="s">
        <v>415</v>
      </c>
      <c r="C70" t="s">
        <v>392</v>
      </c>
      <c r="D70" t="s">
        <v>19</v>
      </c>
      <c r="E70" s="4">
        <f t="shared" si="7"/>
        <v>0</v>
      </c>
      <c r="F70" s="4"/>
      <c r="G70" s="4"/>
      <c r="H70" s="4"/>
      <c r="I70" s="4"/>
      <c r="J70" s="4"/>
      <c r="K70" s="4"/>
      <c r="L70" s="4"/>
      <c r="M70" s="4"/>
      <c r="N70" s="4"/>
      <c r="O70" s="4"/>
      <c r="P70" s="4"/>
    </row>
    <row r="71" spans="1:18" x14ac:dyDescent="0.35">
      <c r="A71" t="s">
        <v>414</v>
      </c>
      <c r="B71" t="s">
        <v>415</v>
      </c>
      <c r="C71" t="s">
        <v>168</v>
      </c>
      <c r="D71" t="s">
        <v>19</v>
      </c>
      <c r="E71" s="4">
        <f t="shared" si="7"/>
        <v>1.382742467149615E-3</v>
      </c>
      <c r="F71" s="4">
        <v>4.033010195126517E-4</v>
      </c>
      <c r="G71" s="4">
        <v>1.1000000000000001E-6</v>
      </c>
      <c r="H71" s="302">
        <v>8.8556806599752503E-4</v>
      </c>
      <c r="I71" s="4">
        <v>8.8556806599752509E-5</v>
      </c>
      <c r="J71" s="4">
        <v>1.5223450264296012E-6</v>
      </c>
      <c r="K71" s="4"/>
      <c r="L71" s="4">
        <v>3.0881530559999997E-9</v>
      </c>
      <c r="M71" s="4">
        <v>2.6911418602000003E-6</v>
      </c>
      <c r="N71" s="4"/>
      <c r="O71" s="4"/>
      <c r="P71" s="4"/>
    </row>
    <row r="72" spans="1:18" x14ac:dyDescent="0.35">
      <c r="E72" s="4"/>
      <c r="F72" s="4"/>
      <c r="G72" s="4"/>
      <c r="H72" s="4"/>
      <c r="I72" s="4"/>
      <c r="J72" s="4"/>
      <c r="K72" s="4"/>
      <c r="L72" s="4"/>
      <c r="M72" s="4"/>
      <c r="N72" s="4"/>
      <c r="O72" s="4"/>
      <c r="P72" s="4"/>
    </row>
    <row r="73" spans="1:18" x14ac:dyDescent="0.35">
      <c r="A73" t="s">
        <v>416</v>
      </c>
      <c r="B73" t="s">
        <v>413</v>
      </c>
      <c r="C73" t="s">
        <v>169</v>
      </c>
      <c r="D73" t="s">
        <v>352</v>
      </c>
      <c r="E73" s="4">
        <f>SUMPRODUCT(E74:E77,'Parameters, general'!$B$13:$B$16)</f>
        <v>0.46603913502229222</v>
      </c>
      <c r="F73" s="4">
        <f>SUMPRODUCT(F74:F77,'Parameters, general'!$B$13:$B$16)</f>
        <v>0.16994045304668304</v>
      </c>
      <c r="G73" s="4">
        <f>SUMPRODUCT(G74:G77,'Parameters, general'!$B$13:$B$16)</f>
        <v>1.454614482758621E-2</v>
      </c>
      <c r="H73" s="4">
        <f>SUMPRODUCT(H74:H77,'Parameters, general'!$B$13:$B$16)</f>
        <v>0.11671176373250142</v>
      </c>
      <c r="I73" s="4">
        <f>SUMPRODUCT(I74:I77,'Parameters, general'!$B$13:$B$16)</f>
        <v>1.1671176373250144E-2</v>
      </c>
      <c r="J73" s="4">
        <f>SUMPRODUCT(J74:J77,'Parameters, general'!$B$13:$B$16)</f>
        <v>2.5195748277697338E-2</v>
      </c>
      <c r="K73" s="4"/>
      <c r="L73" s="4">
        <f>SUMPRODUCT(L74:L77,'Parameters, general'!$B$13:$B$16)</f>
        <v>2.1459945675808594E-4</v>
      </c>
      <c r="M73" s="4">
        <f>SUMPRODUCT(M74:M77,'Parameters, general'!$B$13:$B$16)</f>
        <v>3.7803452981288115E-2</v>
      </c>
      <c r="N73" s="4"/>
      <c r="O73" s="4">
        <f>SUMPRODUCT(O74:O77,'Parameters, general'!$B$13:$B$16)</f>
        <v>2.3613703053907385E-2</v>
      </c>
      <c r="P73" s="4">
        <f>SUMPRODUCT(P74:P77,'Parameters, general'!$B$13:$B$16)</f>
        <v>6.6342093272620445E-2</v>
      </c>
      <c r="R73" s="245" t="s">
        <v>417</v>
      </c>
    </row>
    <row r="74" spans="1:18" x14ac:dyDescent="0.35">
      <c r="A74" s="289" t="s">
        <v>416</v>
      </c>
      <c r="B74" s="162" t="s">
        <v>413</v>
      </c>
      <c r="C74" s="162" t="s">
        <v>165</v>
      </c>
      <c r="D74" s="162" t="s">
        <v>352</v>
      </c>
      <c r="E74" s="183">
        <f>SUM(F74:P74)</f>
        <v>0.27085685084992916</v>
      </c>
      <c r="F74" s="183">
        <f>$C$92*(AVERAGE(F56,F62,F68))/$C$91</f>
        <v>0.11176753125767681</v>
      </c>
      <c r="G74" s="183">
        <f>$C$92*(AVERAGE(G56,G62,G68))/$C$91</f>
        <v>1.3034482758620692E-2</v>
      </c>
      <c r="H74" s="183">
        <f>$C$92*(AVERAGE(H56,H62,H68))/$C$91</f>
        <v>0</v>
      </c>
      <c r="I74" s="183"/>
      <c r="J74" s="183">
        <f>$C$92*(AVERAGE(J56,J62,J68))/$C$91</f>
        <v>2.4688740026345454E-2</v>
      </c>
      <c r="K74" s="183"/>
      <c r="L74" s="183">
        <f>$C$92*(AVERAGE(L56,L62,L68))/$C$91</f>
        <v>1.931759303794134E-4</v>
      </c>
      <c r="M74" s="183">
        <f>$C$92*(AVERAGE(M56,M62,M68))/$C$91</f>
        <v>3.6802128767029069E-2</v>
      </c>
      <c r="N74" s="183"/>
      <c r="O74" s="183">
        <f>C92*(C95*AVERAGE(EF_el_CO2_FR,EF_el_CO2_DE,EF_el_CO2_PL)+C96*EF_biofuels_CO2)</f>
        <v>2.1170792109877701E-2</v>
      </c>
      <c r="P74" s="290">
        <f>63.2/1000</f>
        <v>6.3200000000000006E-2</v>
      </c>
      <c r="R74" t="s">
        <v>418</v>
      </c>
    </row>
    <row r="75" spans="1:18" x14ac:dyDescent="0.35">
      <c r="A75" s="291" t="s">
        <v>416</v>
      </c>
      <c r="B75" t="s">
        <v>413</v>
      </c>
      <c r="C75" t="s">
        <v>166</v>
      </c>
      <c r="D75" t="s">
        <v>352</v>
      </c>
      <c r="E75" s="4">
        <f>SUM(F75:P75)</f>
        <v>3.8246443678729497E-4</v>
      </c>
      <c r="F75" s="4">
        <f>$C$92*(AVERAGE(F57,F63,F69))/$C$91</f>
        <v>1.684774766302073E-4</v>
      </c>
      <c r="G75" s="4">
        <f>$C$92*(AVERAGE(G57,G63,G69))/$C$91</f>
        <v>4.5862068965517246E-5</v>
      </c>
      <c r="H75" s="4"/>
      <c r="I75" s="4"/>
      <c r="J75" s="4">
        <f>$C$92*(AVERAGE(J57,J63,J69))/$C$91</f>
        <v>1.0936279334641699E-5</v>
      </c>
      <c r="K75" s="4"/>
      <c r="L75" s="4">
        <f>$C$92*(AVERAGE(L57,L63,L69))/$C$91</f>
        <v>6.4606960551724142E-7</v>
      </c>
      <c r="M75" s="4">
        <f>$C$92*(AVERAGE(M57,M63,M69))/$C$91</f>
        <v>2.1884761697575221E-5</v>
      </c>
      <c r="N75" s="4"/>
      <c r="O75" s="4">
        <f>C92*(C95*AVERAGE(EF_el_CH4_FR,EF_el_CH4_DE,EF_el_CH4_PL)+C96*EF_biofuel_CH4)</f>
        <v>4.5962128379923281E-5</v>
      </c>
      <c r="P75" s="237">
        <f>2.04/1000/23</f>
        <v>8.8695652173913049E-5</v>
      </c>
      <c r="R75" t="s">
        <v>419</v>
      </c>
    </row>
    <row r="76" spans="1:18" x14ac:dyDescent="0.35">
      <c r="A76" s="291" t="s">
        <v>416</v>
      </c>
      <c r="B76" t="s">
        <v>413</v>
      </c>
      <c r="C76" t="s">
        <v>392</v>
      </c>
      <c r="D76" t="s">
        <v>352</v>
      </c>
      <c r="E76" s="4">
        <f>SUM(F76:P76)</f>
        <v>0</v>
      </c>
      <c r="F76" s="4"/>
      <c r="G76" s="4"/>
      <c r="H76" s="4"/>
      <c r="I76" s="4"/>
      <c r="J76" s="4"/>
      <c r="K76" s="4"/>
      <c r="L76" s="4"/>
      <c r="M76" s="4"/>
      <c r="N76" s="4"/>
      <c r="O76" s="4"/>
      <c r="P76" s="237"/>
    </row>
    <row r="77" spans="1:18" x14ac:dyDescent="0.35">
      <c r="A77" s="292" t="s">
        <v>416</v>
      </c>
      <c r="B77" s="279" t="s">
        <v>413</v>
      </c>
      <c r="C77" s="279" t="s">
        <v>168</v>
      </c>
      <c r="D77" s="279" t="s">
        <v>352</v>
      </c>
      <c r="E77" s="293">
        <f>SUM(F77:P77)</f>
        <v>6.732045566157569E-4</v>
      </c>
      <c r="F77" s="293">
        <f>$C$92*(AVERAGE(F59,F65,F71))/$C$91</f>
        <v>1.946970439026595E-4</v>
      </c>
      <c r="G77" s="293">
        <f>$C$92*(AVERAGE(G59,G65,G71))/$C$91</f>
        <v>5.3103448275862083E-7</v>
      </c>
      <c r="H77" s="319">
        <f>$C$92*(AVERAGE(H59,H65,H71))/$C$91</f>
        <v>4.2751561806777074E-4</v>
      </c>
      <c r="I77" s="320">
        <f>$C$92*(AVERAGE(I59,I65,I71))/$C$91</f>
        <v>4.2751561806777089E-5</v>
      </c>
      <c r="J77" s="293">
        <f>$C$92*(AVERAGE(J59,J65,J71))/$C$91</f>
        <v>6.6339607025480414E-7</v>
      </c>
      <c r="K77" s="293"/>
      <c r="L77" s="293">
        <f>$C$92*(AVERAGE(L59,L65,L71))/$C$91</f>
        <v>7.9511067188965511E-9</v>
      </c>
      <c r="M77" s="293">
        <f>$C$92*(AVERAGE(M59,M65,M71))/$C$91</f>
        <v>1.2789681892721844E-6</v>
      </c>
      <c r="N77" s="293"/>
      <c r="O77" s="293">
        <f>C92*(C95*AVERAGE(EF_el_N2O_FR,EF_el_N2O_DE,EF_el_N2O_PL)+C96*EF_biofuel_N2O)</f>
        <v>3.9312802868423834E-6</v>
      </c>
      <c r="P77" s="294">
        <f>0.541/1000/296</f>
        <v>1.8277027027027027E-6</v>
      </c>
      <c r="R77" t="s">
        <v>419</v>
      </c>
    </row>
    <row r="80" spans="1:18" ht="18.5" x14ac:dyDescent="0.45">
      <c r="A80" s="1" t="s">
        <v>397</v>
      </c>
    </row>
    <row r="82" spans="1:18" x14ac:dyDescent="0.35">
      <c r="A82" s="212" t="s">
        <v>329</v>
      </c>
      <c r="B82" s="213"/>
      <c r="C82" s="213"/>
      <c r="D82" s="213"/>
      <c r="E82" s="213"/>
      <c r="F82" s="214" t="s">
        <v>49</v>
      </c>
      <c r="G82" s="214" t="s">
        <v>356</v>
      </c>
      <c r="H82" s="214" t="s">
        <v>51</v>
      </c>
      <c r="I82" s="214" t="s">
        <v>52</v>
      </c>
      <c r="J82" s="215" t="s">
        <v>53</v>
      </c>
      <c r="K82" s="215" t="s">
        <v>54</v>
      </c>
      <c r="L82" s="215" t="s">
        <v>55</v>
      </c>
      <c r="M82" s="286"/>
      <c r="N82" s="276"/>
      <c r="O82" s="276"/>
      <c r="P82" s="287"/>
    </row>
    <row r="83" spans="1:18" ht="43.5" x14ac:dyDescent="0.35">
      <c r="A83" s="217" t="s">
        <v>59</v>
      </c>
      <c r="B83" s="217" t="s">
        <v>329</v>
      </c>
      <c r="C83" s="217" t="s">
        <v>331</v>
      </c>
      <c r="D83" s="217" t="s">
        <v>62</v>
      </c>
      <c r="E83" s="194" t="s">
        <v>63</v>
      </c>
      <c r="F83" s="227" t="s">
        <v>70</v>
      </c>
      <c r="G83" s="227" t="s">
        <v>357</v>
      </c>
      <c r="H83" s="227" t="s">
        <v>358</v>
      </c>
      <c r="I83" s="228" t="s">
        <v>73</v>
      </c>
      <c r="J83" s="229" t="s">
        <v>74</v>
      </c>
      <c r="K83" s="230" t="s">
        <v>75</v>
      </c>
      <c r="L83" s="230" t="s">
        <v>76</v>
      </c>
      <c r="M83" s="276"/>
    </row>
    <row r="84" spans="1:18" x14ac:dyDescent="0.35">
      <c r="A84" s="291" t="s">
        <v>416</v>
      </c>
      <c r="B84" t="s">
        <v>413</v>
      </c>
      <c r="C84" s="17" t="s">
        <v>400</v>
      </c>
      <c r="D84" t="s">
        <v>31</v>
      </c>
      <c r="E84" t="s">
        <v>98</v>
      </c>
      <c r="F84">
        <v>3.0504172970862418</v>
      </c>
      <c r="G84">
        <v>8.5168018539976825E-2</v>
      </c>
      <c r="H84">
        <v>9.2699884125144842E-3</v>
      </c>
      <c r="I84">
        <v>1.2999999999999999E-2</v>
      </c>
      <c r="J84">
        <v>0.66988842289432138</v>
      </c>
      <c r="K84">
        <v>8.7948296566190488E-10</v>
      </c>
      <c r="L84">
        <v>5.1777558497692056E-3</v>
      </c>
    </row>
    <row r="85" spans="1:18" x14ac:dyDescent="0.35">
      <c r="A85" s="291" t="s">
        <v>416</v>
      </c>
      <c r="B85" t="s">
        <v>413</v>
      </c>
      <c r="C85" s="17" t="s">
        <v>400</v>
      </c>
      <c r="D85" t="s">
        <v>24</v>
      </c>
      <c r="E85" t="s">
        <v>99</v>
      </c>
      <c r="F85">
        <v>2.9846291598268917</v>
      </c>
      <c r="G85">
        <v>8.5168018539976825E-2</v>
      </c>
      <c r="H85">
        <v>9.2699884125144842E-3</v>
      </c>
      <c r="I85">
        <v>2E-3</v>
      </c>
      <c r="J85">
        <v>0.49457909998667982</v>
      </c>
      <c r="K85">
        <v>8.6318221922557154E-11</v>
      </c>
      <c r="L85">
        <v>5.1777558497692056E-3</v>
      </c>
    </row>
    <row r="86" spans="1:18" x14ac:dyDescent="0.35">
      <c r="A86" s="291" t="s">
        <v>416</v>
      </c>
      <c r="B86" t="s">
        <v>413</v>
      </c>
      <c r="C86" s="17" t="s">
        <v>400</v>
      </c>
      <c r="D86" t="s">
        <v>19</v>
      </c>
      <c r="E86" t="s">
        <v>111</v>
      </c>
      <c r="F86">
        <v>3.5333691381405998</v>
      </c>
      <c r="G86">
        <v>8.5168018539976825E-2</v>
      </c>
      <c r="H86">
        <v>9.2699884125144842E-3</v>
      </c>
      <c r="I86">
        <v>1E-3</v>
      </c>
      <c r="J86">
        <v>0.66057946682742008</v>
      </c>
      <c r="K86">
        <v>1.3877157734405748E-10</v>
      </c>
      <c r="L86">
        <v>5.1777558497692056E-3</v>
      </c>
    </row>
    <row r="88" spans="1:18" x14ac:dyDescent="0.35">
      <c r="A88" s="301" t="s">
        <v>416</v>
      </c>
      <c r="B88" s="296" t="s">
        <v>413</v>
      </c>
      <c r="C88" s="296" t="s">
        <v>400</v>
      </c>
      <c r="D88" s="296" t="s">
        <v>352</v>
      </c>
      <c r="E88" s="296"/>
      <c r="F88" s="298">
        <f>$C$92*AVERAGE(F84:F86)/$C$91</f>
        <v>1.5397450382845088</v>
      </c>
      <c r="G88" s="298">
        <f t="shared" ref="G88:L88" si="8">$C$92*AVERAGE(G84:G86)/$C$91</f>
        <v>4.1115595157230206E-2</v>
      </c>
      <c r="H88" s="297">
        <f t="shared" si="8"/>
        <v>4.4751668198345796E-3</v>
      </c>
      <c r="I88" s="297">
        <f t="shared" si="8"/>
        <v>2.5747126436781614E-3</v>
      </c>
      <c r="J88" s="298">
        <f t="shared" si="8"/>
        <v>0.29368572248181501</v>
      </c>
      <c r="K88" s="299">
        <f t="shared" si="8"/>
        <v>1.777473414827503E-10</v>
      </c>
      <c r="L88" s="299">
        <f t="shared" si="8"/>
        <v>2.4996062723023757E-3</v>
      </c>
    </row>
    <row r="90" spans="1:18" x14ac:dyDescent="0.35">
      <c r="A90" s="119" t="s">
        <v>420</v>
      </c>
      <c r="B90" s="119"/>
      <c r="C90" s="119"/>
      <c r="D90" s="119"/>
      <c r="E90" s="119"/>
      <c r="F90" s="119"/>
      <c r="G90" s="119"/>
      <c r="H90" s="119"/>
      <c r="I90" s="119"/>
      <c r="J90" s="119"/>
      <c r="K90" s="119"/>
      <c r="L90" s="119"/>
      <c r="M90" s="119"/>
      <c r="N90" s="119"/>
      <c r="O90" s="119"/>
      <c r="P90" s="119"/>
    </row>
    <row r="91" spans="1:18" x14ac:dyDescent="0.35">
      <c r="A91" t="s">
        <v>421</v>
      </c>
      <c r="C91">
        <v>0.57999999999999996</v>
      </c>
      <c r="R91" t="s">
        <v>409</v>
      </c>
    </row>
    <row r="92" spans="1:18" x14ac:dyDescent="0.35">
      <c r="A92" t="s">
        <v>404</v>
      </c>
      <c r="C92">
        <v>0.28000000000000003</v>
      </c>
      <c r="R92" t="s">
        <v>409</v>
      </c>
    </row>
    <row r="94" spans="1:18" x14ac:dyDescent="0.35">
      <c r="A94" t="s">
        <v>405</v>
      </c>
    </row>
    <row r="95" spans="1:18" x14ac:dyDescent="0.35">
      <c r="A95" t="s">
        <v>406</v>
      </c>
      <c r="C95" s="12">
        <f>0.918*I43</f>
        <v>0.13379104477611942</v>
      </c>
      <c r="D95" t="s">
        <v>422</v>
      </c>
      <c r="R95" t="s">
        <v>423</v>
      </c>
    </row>
    <row r="96" spans="1:18" x14ac:dyDescent="0.35">
      <c r="A96" t="s">
        <v>410</v>
      </c>
      <c r="C96" s="12">
        <f>0.918*(1-I43)</f>
        <v>0.78420895522388057</v>
      </c>
      <c r="D96" t="s">
        <v>422</v>
      </c>
    </row>
    <row r="98" spans="1:18" x14ac:dyDescent="0.35">
      <c r="A98" t="s">
        <v>424</v>
      </c>
      <c r="R98" t="s">
        <v>425</v>
      </c>
    </row>
    <row r="100" spans="1:18" x14ac:dyDescent="0.35">
      <c r="A100" s="119" t="s">
        <v>426</v>
      </c>
      <c r="B100" s="119"/>
      <c r="C100" s="119"/>
      <c r="D100" s="119"/>
      <c r="E100" s="119"/>
      <c r="F100" s="119"/>
      <c r="G100" s="119"/>
      <c r="H100" s="119"/>
      <c r="I100" s="119"/>
      <c r="J100" s="119"/>
      <c r="K100" s="119"/>
      <c r="L100" s="119"/>
      <c r="M100" s="119"/>
      <c r="N100" s="119"/>
      <c r="O100" s="119"/>
      <c r="P100" s="119"/>
    </row>
    <row r="102" spans="1:18" x14ac:dyDescent="0.35">
      <c r="B102" t="s">
        <v>427</v>
      </c>
      <c r="C102" t="s">
        <v>409</v>
      </c>
    </row>
    <row r="103" spans="1:18" x14ac:dyDescent="0.35">
      <c r="A103" t="s">
        <v>428</v>
      </c>
      <c r="B103" s="4">
        <f>SUM(F73:M73)</f>
        <v>0.37608333869576438</v>
      </c>
      <c r="C103" s="4">
        <f>(0.511+2.7+265+117)/1000</f>
        <v>0.38521100000000003</v>
      </c>
      <c r="D103" t="s">
        <v>429</v>
      </c>
    </row>
    <row r="104" spans="1:18" x14ac:dyDescent="0.35">
      <c r="A104" t="s">
        <v>430</v>
      </c>
      <c r="B104" s="4">
        <f>O73</f>
        <v>2.3613703053907385E-2</v>
      </c>
      <c r="C104" s="4">
        <f>(0.401+0.181+0.289+8)/1000</f>
        <v>8.8710000000000004E-3</v>
      </c>
      <c r="D104" t="s">
        <v>431</v>
      </c>
    </row>
    <row r="105" spans="1:18" x14ac:dyDescent="0.35">
      <c r="A105" t="s">
        <v>432</v>
      </c>
      <c r="B105" s="4">
        <f>P73</f>
        <v>6.6342093272620445E-2</v>
      </c>
      <c r="C105" s="4">
        <f>(1.15+2.04+0.541+63.2)/1000</f>
        <v>6.6930999999999991E-2</v>
      </c>
      <c r="D105" t="s">
        <v>433</v>
      </c>
    </row>
    <row r="106" spans="1:18" x14ac:dyDescent="0.35">
      <c r="A106" s="245" t="s">
        <v>434</v>
      </c>
      <c r="B106" s="321">
        <f>SUM(B103:B105)</f>
        <v>0.46603913502229222</v>
      </c>
      <c r="C106" s="321">
        <f>SUM(C103:C105)</f>
        <v>0.46101300000000001</v>
      </c>
    </row>
  </sheetData>
  <phoneticPr fontId="30"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2:A4"/>
  <sheetViews>
    <sheetView workbookViewId="0">
      <selection activeCell="B8" sqref="B8"/>
    </sheetView>
  </sheetViews>
  <sheetFormatPr defaultColWidth="8.81640625" defaultRowHeight="14.5" x14ac:dyDescent="0.35"/>
  <sheetData>
    <row r="2" spans="1:1" ht="21" x14ac:dyDescent="0.5">
      <c r="A2" s="2" t="s">
        <v>435</v>
      </c>
    </row>
    <row r="4" spans="1:1" x14ac:dyDescent="0.35">
      <c r="A4" t="s">
        <v>436</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4:AD66"/>
  <sheetViews>
    <sheetView workbookViewId="0">
      <selection activeCell="B11" sqref="B11"/>
    </sheetView>
  </sheetViews>
  <sheetFormatPr defaultColWidth="8.81640625" defaultRowHeight="14.5" x14ac:dyDescent="0.35"/>
  <cols>
    <col min="1" max="1" width="31.54296875" customWidth="1"/>
    <col min="2" max="2" width="10.453125" customWidth="1"/>
    <col min="3" max="3" width="14.54296875" customWidth="1"/>
  </cols>
  <sheetData>
    <row r="4" spans="1:9" x14ac:dyDescent="0.35">
      <c r="A4" s="245" t="s">
        <v>437</v>
      </c>
    </row>
    <row r="6" spans="1:9" x14ac:dyDescent="0.35">
      <c r="B6" t="s">
        <v>427</v>
      </c>
      <c r="C6" t="s">
        <v>438</v>
      </c>
      <c r="D6" t="s">
        <v>439</v>
      </c>
      <c r="F6" t="s">
        <v>427</v>
      </c>
      <c r="H6" t="s">
        <v>440</v>
      </c>
    </row>
    <row r="7" spans="1:9" x14ac:dyDescent="0.35">
      <c r="A7" t="s">
        <v>441</v>
      </c>
      <c r="B7">
        <v>1.5</v>
      </c>
      <c r="C7" s="5">
        <v>2</v>
      </c>
      <c r="D7">
        <v>1.81</v>
      </c>
      <c r="F7">
        <v>0.38</v>
      </c>
      <c r="H7">
        <v>0.56479367835914585</v>
      </c>
      <c r="I7" t="s">
        <v>442</v>
      </c>
    </row>
    <row r="8" spans="1:9" x14ac:dyDescent="0.35">
      <c r="A8" t="s">
        <v>443</v>
      </c>
      <c r="B8" s="12">
        <v>9.2999999999999999E-2</v>
      </c>
      <c r="C8">
        <v>9.9000000000000005E-2</v>
      </c>
      <c r="D8" s="12">
        <v>0.1</v>
      </c>
      <c r="F8" s="12">
        <v>0.37</v>
      </c>
      <c r="H8">
        <v>0.33391217667112483</v>
      </c>
      <c r="I8" t="s">
        <v>444</v>
      </c>
    </row>
    <row r="9" spans="1:9" x14ac:dyDescent="0.35">
      <c r="A9" t="s">
        <v>445</v>
      </c>
      <c r="B9">
        <v>6.5000000000000002E-2</v>
      </c>
      <c r="C9">
        <v>6.2E-2</v>
      </c>
      <c r="D9">
        <v>0.19</v>
      </c>
      <c r="H9">
        <v>0.30276247653946403</v>
      </c>
      <c r="I9" t="s">
        <v>446</v>
      </c>
    </row>
    <row r="10" spans="1:9" x14ac:dyDescent="0.35">
      <c r="A10" t="s">
        <v>447</v>
      </c>
      <c r="B10" s="12">
        <v>0.113</v>
      </c>
      <c r="C10">
        <v>0.03</v>
      </c>
      <c r="D10">
        <v>0.03</v>
      </c>
      <c r="H10">
        <v>0.6529008813160988</v>
      </c>
      <c r="I10" t="s">
        <v>448</v>
      </c>
    </row>
    <row r="11" spans="1:9" x14ac:dyDescent="0.35">
      <c r="B11" s="219">
        <f>SUM(B7:B10)</f>
        <v>1.7709999999999999</v>
      </c>
      <c r="C11" s="219">
        <f>SUM(C7:C10)</f>
        <v>2.1909999999999998</v>
      </c>
      <c r="D11" s="219">
        <f>SUM(D7:D10)</f>
        <v>2.13</v>
      </c>
      <c r="H11">
        <v>0.89418313601645116</v>
      </c>
      <c r="I11" t="s">
        <v>449</v>
      </c>
    </row>
    <row r="12" spans="1:9" x14ac:dyDescent="0.35">
      <c r="B12" s="219"/>
      <c r="C12" s="219"/>
      <c r="D12" s="219"/>
      <c r="F12">
        <f>'Off-farm feed'!E73</f>
        <v>0.46603913502229222</v>
      </c>
      <c r="H12">
        <v>0.92236976297377882</v>
      </c>
      <c r="I12" t="s">
        <v>450</v>
      </c>
    </row>
    <row r="13" spans="1:9" x14ac:dyDescent="0.35">
      <c r="A13" t="s">
        <v>451</v>
      </c>
      <c r="B13" s="12">
        <v>0.41</v>
      </c>
      <c r="C13" s="12">
        <v>0.6</v>
      </c>
      <c r="D13" s="219"/>
      <c r="F13">
        <f>'Off-farm feed'!E73</f>
        <v>0.46603913502229222</v>
      </c>
      <c r="H13">
        <v>0.46452012764856349</v>
      </c>
      <c r="I13" t="s">
        <v>452</v>
      </c>
    </row>
    <row r="14" spans="1:9" x14ac:dyDescent="0.35">
      <c r="B14" s="12"/>
      <c r="C14" s="12"/>
      <c r="D14" s="12"/>
      <c r="H14">
        <v>0.80797812867215046</v>
      </c>
      <c r="I14" t="s">
        <v>453</v>
      </c>
    </row>
    <row r="15" spans="1:9" x14ac:dyDescent="0.35">
      <c r="F15">
        <f>'Off-farm feed'!E22-'Off-farm feed'!N22</f>
        <v>0.45409652745663115</v>
      </c>
      <c r="H15">
        <v>0.61608605667862248</v>
      </c>
      <c r="I15" t="s">
        <v>454</v>
      </c>
    </row>
    <row r="16" spans="1:9" x14ac:dyDescent="0.35">
      <c r="B16" s="12"/>
      <c r="C16" s="12"/>
      <c r="H16">
        <v>0.29109249843400448</v>
      </c>
      <c r="I16" t="s">
        <v>455</v>
      </c>
    </row>
    <row r="17" spans="1:14" x14ac:dyDescent="0.35">
      <c r="B17" s="12"/>
      <c r="H17">
        <v>0.59883234478360636</v>
      </c>
      <c r="I17" t="s">
        <v>456</v>
      </c>
    </row>
    <row r="18" spans="1:14" x14ac:dyDescent="0.35">
      <c r="B18" s="12"/>
      <c r="H18">
        <v>0.60649726811808224</v>
      </c>
      <c r="I18" t="s">
        <v>457</v>
      </c>
    </row>
    <row r="19" spans="1:14" x14ac:dyDescent="0.35">
      <c r="H19">
        <v>0.13968811454861746</v>
      </c>
      <c r="I19" t="s">
        <v>458</v>
      </c>
    </row>
    <row r="20" spans="1:14" x14ac:dyDescent="0.35">
      <c r="A20" t="s">
        <v>459</v>
      </c>
      <c r="H20">
        <v>0.19114026637044654</v>
      </c>
      <c r="I20" t="s">
        <v>460</v>
      </c>
    </row>
    <row r="21" spans="1:14" x14ac:dyDescent="0.35">
      <c r="A21" t="s">
        <v>461</v>
      </c>
    </row>
    <row r="25" spans="1:14" ht="21" x14ac:dyDescent="0.5">
      <c r="A25" s="2" t="s">
        <v>462</v>
      </c>
      <c r="B25" s="2"/>
      <c r="D25" t="s">
        <v>463</v>
      </c>
    </row>
    <row r="27" spans="1:14" x14ac:dyDescent="0.35">
      <c r="A27" s="131" t="s">
        <v>464</v>
      </c>
      <c r="B27" s="131"/>
      <c r="C27" s="131"/>
      <c r="D27" s="131"/>
      <c r="E27" s="131"/>
      <c r="F27" s="131"/>
      <c r="G27" s="131"/>
      <c r="H27" s="131"/>
      <c r="I27" s="131"/>
      <c r="J27" s="131"/>
      <c r="K27" s="131"/>
    </row>
    <row r="28" spans="1:14" ht="116" x14ac:dyDescent="0.35">
      <c r="A28" s="119"/>
      <c r="B28" s="119"/>
      <c r="C28" s="119"/>
      <c r="D28" s="119"/>
      <c r="E28" s="129" t="s">
        <v>465</v>
      </c>
      <c r="F28" s="129" t="s">
        <v>466</v>
      </c>
      <c r="G28" s="129" t="s">
        <v>467</v>
      </c>
      <c r="H28" s="129" t="s">
        <v>468</v>
      </c>
      <c r="I28" s="130"/>
      <c r="J28" s="119" t="s">
        <v>237</v>
      </c>
      <c r="K28" s="119"/>
    </row>
    <row r="29" spans="1:14" x14ac:dyDescent="0.35">
      <c r="A29" t="s">
        <v>469</v>
      </c>
      <c r="C29" t="s">
        <v>470</v>
      </c>
      <c r="D29">
        <v>2022</v>
      </c>
      <c r="E29" s="128">
        <v>4203.5193248785663</v>
      </c>
      <c r="F29" s="128">
        <v>462.03716957868528</v>
      </c>
      <c r="G29" s="128">
        <v>3740.4874259673343</v>
      </c>
      <c r="H29" s="128">
        <v>0.9947293325467399</v>
      </c>
      <c r="J29" t="s">
        <v>471</v>
      </c>
    </row>
    <row r="30" spans="1:14" x14ac:dyDescent="0.35">
      <c r="A30" t="s">
        <v>472</v>
      </c>
      <c r="C30" t="s">
        <v>470</v>
      </c>
      <c r="D30">
        <v>2022</v>
      </c>
      <c r="E30" s="128">
        <v>4272.4788227470117</v>
      </c>
      <c r="F30" s="128">
        <v>575.83377190166277</v>
      </c>
      <c r="G30" s="128">
        <v>3696.6450508453481</v>
      </c>
      <c r="H30" s="128">
        <v>0</v>
      </c>
      <c r="J30" t="s">
        <v>473</v>
      </c>
    </row>
    <row r="31" spans="1:14" x14ac:dyDescent="0.35">
      <c r="A31" t="s">
        <v>474</v>
      </c>
      <c r="C31" t="s">
        <v>470</v>
      </c>
      <c r="D31">
        <v>2022</v>
      </c>
      <c r="E31" s="128">
        <v>500.40797293699222</v>
      </c>
      <c r="F31" s="128">
        <v>385.61457832167878</v>
      </c>
      <c r="G31" s="128">
        <v>50.028453278551773</v>
      </c>
      <c r="H31" s="128">
        <v>64.764941336761694</v>
      </c>
      <c r="J31" s="106"/>
      <c r="K31" s="106"/>
      <c r="L31" s="106"/>
      <c r="M31" s="106"/>
      <c r="N31" s="106"/>
    </row>
    <row r="33" spans="1:30" x14ac:dyDescent="0.35">
      <c r="A33" t="s">
        <v>475</v>
      </c>
    </row>
    <row r="35" spans="1:30" x14ac:dyDescent="0.35">
      <c r="A35" s="136"/>
      <c r="B35" s="136"/>
      <c r="C35" s="136" t="s">
        <v>147</v>
      </c>
      <c r="D35" s="136"/>
      <c r="E35" s="136" t="s">
        <v>137</v>
      </c>
      <c r="F35" s="136" t="s">
        <v>138</v>
      </c>
      <c r="G35" s="135"/>
      <c r="H35" s="136" t="s">
        <v>139</v>
      </c>
      <c r="I35" s="132"/>
      <c r="J35" s="136" t="s">
        <v>140</v>
      </c>
      <c r="K35" s="132"/>
      <c r="L35" s="132"/>
      <c r="M35" s="132"/>
      <c r="N35" s="132"/>
      <c r="O35" s="132"/>
    </row>
    <row r="36" spans="1:30" ht="130.5" x14ac:dyDescent="0.35">
      <c r="A36" s="138"/>
      <c r="B36" s="142" t="s">
        <v>476</v>
      </c>
      <c r="C36" s="138"/>
      <c r="D36" s="139"/>
      <c r="E36" s="139" t="s">
        <v>477</v>
      </c>
      <c r="F36" s="134" t="s">
        <v>33</v>
      </c>
      <c r="G36" s="134" t="s">
        <v>34</v>
      </c>
      <c r="H36" s="134" t="s">
        <v>332</v>
      </c>
      <c r="I36" s="134" t="s">
        <v>333</v>
      </c>
      <c r="J36" s="134" t="s">
        <v>152</v>
      </c>
      <c r="K36" s="134" t="s">
        <v>153</v>
      </c>
      <c r="L36" s="134" t="s">
        <v>154</v>
      </c>
      <c r="M36" s="134" t="s">
        <v>155</v>
      </c>
      <c r="N36" s="134"/>
      <c r="O36" s="134" t="s">
        <v>478</v>
      </c>
    </row>
    <row r="38" spans="1:30" x14ac:dyDescent="0.35">
      <c r="A38" s="22" t="s">
        <v>341</v>
      </c>
      <c r="B38" s="17" t="s">
        <v>228</v>
      </c>
      <c r="C38" t="s">
        <v>165</v>
      </c>
      <c r="E38" s="120">
        <v>0.35472897058825098</v>
      </c>
      <c r="F38" s="20">
        <v>7.3741076533864705E-2</v>
      </c>
      <c r="G38" s="17">
        <v>2.7E-2</v>
      </c>
      <c r="H38" s="17">
        <v>0.19</v>
      </c>
      <c r="I38" s="17"/>
      <c r="J38" s="20">
        <v>2.9150294054386239E-2</v>
      </c>
      <c r="K38" s="17"/>
      <c r="L38" s="17">
        <v>0</v>
      </c>
      <c r="M38" s="20">
        <v>3.4837600000000003E-2</v>
      </c>
      <c r="O38" s="12" t="e">
        <f>E38/$E$28</f>
        <v>#VALUE!</v>
      </c>
      <c r="P38" s="14"/>
    </row>
    <row r="39" spans="1:30" x14ac:dyDescent="0.35">
      <c r="A39" s="143"/>
      <c r="B39" s="91"/>
      <c r="C39" s="3" t="s">
        <v>165</v>
      </c>
      <c r="D39" s="3"/>
      <c r="E39" s="144" t="s">
        <v>479</v>
      </c>
      <c r="F39" s="145" t="e">
        <f t="shared" ref="F39:M39" si="0">F38/$E$22</f>
        <v>#DIV/0!</v>
      </c>
      <c r="G39" s="145" t="e">
        <f t="shared" si="0"/>
        <v>#DIV/0!</v>
      </c>
      <c r="H39" s="145" t="e">
        <f t="shared" si="0"/>
        <v>#DIV/0!</v>
      </c>
      <c r="I39" s="145" t="e">
        <f t="shared" si="0"/>
        <v>#DIV/0!</v>
      </c>
      <c r="J39" s="145" t="e">
        <f t="shared" si="0"/>
        <v>#DIV/0!</v>
      </c>
      <c r="K39" s="145" t="e">
        <f t="shared" si="0"/>
        <v>#DIV/0!</v>
      </c>
      <c r="L39" s="145" t="e">
        <f t="shared" si="0"/>
        <v>#DIV/0!</v>
      </c>
      <c r="M39" s="145" t="e">
        <f t="shared" si="0"/>
        <v>#DIV/0!</v>
      </c>
      <c r="N39" s="3"/>
      <c r="O39" s="3"/>
      <c r="P39" s="140"/>
      <c r="Q39" s="3"/>
      <c r="R39" s="3"/>
      <c r="S39" s="3"/>
      <c r="T39" s="3"/>
      <c r="U39" s="3"/>
      <c r="V39" s="3"/>
      <c r="W39" s="3"/>
      <c r="X39" s="3"/>
      <c r="Y39" s="3"/>
      <c r="Z39" s="3"/>
      <c r="AA39" s="3"/>
      <c r="AB39" s="3"/>
      <c r="AC39" s="3"/>
      <c r="AD39" s="3"/>
    </row>
    <row r="40" spans="1:30" x14ac:dyDescent="0.35">
      <c r="A40" s="79" t="s">
        <v>341</v>
      </c>
      <c r="B40" s="17" t="s">
        <v>228</v>
      </c>
      <c r="C40" s="17" t="s">
        <v>480</v>
      </c>
      <c r="E40" s="146">
        <v>2.1322851393583626E-4</v>
      </c>
      <c r="F40" s="33">
        <v>9.2769916609057948E-5</v>
      </c>
      <c r="G40" s="147">
        <v>9.5000000000000005E-5</v>
      </c>
      <c r="H40" s="17"/>
      <c r="I40" s="17"/>
      <c r="J40" s="29">
        <v>1.291259732677831E-5</v>
      </c>
      <c r="K40" s="29"/>
      <c r="L40" s="29">
        <v>0</v>
      </c>
      <c r="M40" s="29">
        <v>1.2546000000000003E-5</v>
      </c>
      <c r="N40" s="17"/>
      <c r="O40" s="12" t="e">
        <f>E40*CF_GWP_CH4_fossil/$E$28</f>
        <v>#VALUE!</v>
      </c>
      <c r="P40" s="17"/>
    </row>
    <row r="41" spans="1:30" x14ac:dyDescent="0.35">
      <c r="C41" s="91" t="s">
        <v>480</v>
      </c>
      <c r="E41" s="144" t="s">
        <v>479</v>
      </c>
      <c r="F41" s="145" t="e">
        <f t="shared" ref="F41:M41" si="1">F40/$E$24</f>
        <v>#DIV/0!</v>
      </c>
      <c r="G41" s="145" t="e">
        <f t="shared" si="1"/>
        <v>#DIV/0!</v>
      </c>
      <c r="H41" s="145" t="e">
        <f t="shared" si="1"/>
        <v>#DIV/0!</v>
      </c>
      <c r="I41" s="145" t="e">
        <f t="shared" si="1"/>
        <v>#DIV/0!</v>
      </c>
      <c r="J41" s="145" t="e">
        <f t="shared" si="1"/>
        <v>#DIV/0!</v>
      </c>
      <c r="K41" s="145" t="e">
        <f t="shared" si="1"/>
        <v>#DIV/0!</v>
      </c>
      <c r="L41" s="145" t="e">
        <f t="shared" si="1"/>
        <v>#DIV/0!</v>
      </c>
      <c r="M41" s="145" t="e">
        <f t="shared" si="1"/>
        <v>#DIV/0!</v>
      </c>
      <c r="N41" s="17"/>
      <c r="O41" s="29"/>
      <c r="P41" s="17"/>
    </row>
    <row r="42" spans="1:30" x14ac:dyDescent="0.35">
      <c r="A42" s="79" t="s">
        <v>341</v>
      </c>
      <c r="B42" s="17" t="s">
        <v>228</v>
      </c>
      <c r="C42" s="17" t="s">
        <v>168</v>
      </c>
      <c r="E42" s="146">
        <v>9.1657094895803305E-4</v>
      </c>
      <c r="F42" s="33">
        <v>1.5506058283512638E-4</v>
      </c>
      <c r="G42" s="147">
        <v>1.1000000000000001E-6</v>
      </c>
      <c r="H42" s="29">
        <v>6.8950683668766316E-4</v>
      </c>
      <c r="I42" s="29">
        <v>6.8950683668766316E-5</v>
      </c>
      <c r="J42" s="29">
        <v>7.832797664771855E-7</v>
      </c>
      <c r="K42" s="29"/>
      <c r="L42" s="29">
        <v>0</v>
      </c>
      <c r="M42" s="29">
        <v>1.1695660000000001E-6</v>
      </c>
      <c r="N42" s="17"/>
      <c r="O42" s="12" t="e">
        <f>E42*CF_GWP_N2O/$E$28</f>
        <v>#VALUE!</v>
      </c>
      <c r="P42" s="17"/>
    </row>
    <row r="43" spans="1:30" x14ac:dyDescent="0.35">
      <c r="A43" s="79"/>
      <c r="B43" s="17"/>
      <c r="C43" s="91" t="s">
        <v>168</v>
      </c>
      <c r="E43" s="144" t="s">
        <v>479</v>
      </c>
      <c r="F43" s="145" t="e">
        <f t="shared" ref="F43:M43" si="2">F42/$E$26</f>
        <v>#DIV/0!</v>
      </c>
      <c r="G43" s="145" t="e">
        <f t="shared" si="2"/>
        <v>#DIV/0!</v>
      </c>
      <c r="H43" s="145" t="e">
        <f t="shared" si="2"/>
        <v>#DIV/0!</v>
      </c>
      <c r="I43" s="145" t="e">
        <f t="shared" si="2"/>
        <v>#DIV/0!</v>
      </c>
      <c r="J43" s="145" t="e">
        <f t="shared" si="2"/>
        <v>#DIV/0!</v>
      </c>
      <c r="K43" s="145" t="e">
        <f t="shared" si="2"/>
        <v>#DIV/0!</v>
      </c>
      <c r="L43" s="145" t="e">
        <f t="shared" si="2"/>
        <v>#DIV/0!</v>
      </c>
      <c r="M43" s="145" t="e">
        <f t="shared" si="2"/>
        <v>#DIV/0!</v>
      </c>
      <c r="N43" s="17"/>
      <c r="O43" s="102"/>
      <c r="P43" s="17"/>
    </row>
    <row r="44" spans="1:30" x14ac:dyDescent="0.35">
      <c r="A44" s="149"/>
      <c r="B44" s="150"/>
      <c r="C44" s="151" t="s">
        <v>169</v>
      </c>
      <c r="D44" s="150"/>
      <c r="E44" s="152">
        <f>E38+E40*CF_GWP_CH4_fossil+E42*CF_GWP_N2O</f>
        <v>0.61130704936908198</v>
      </c>
      <c r="F44" s="153"/>
      <c r="G44" s="153"/>
      <c r="H44" s="153"/>
      <c r="I44" s="153"/>
      <c r="J44" s="153"/>
      <c r="K44" s="153"/>
      <c r="L44" s="153"/>
      <c r="M44" s="153"/>
      <c r="N44" s="153"/>
      <c r="O44" s="153"/>
      <c r="P44" s="17"/>
    </row>
    <row r="45" spans="1:30" x14ac:dyDescent="0.35">
      <c r="A45" s="22" t="s">
        <v>342</v>
      </c>
      <c r="B45" s="17" t="s">
        <v>229</v>
      </c>
      <c r="C45" s="17" t="s">
        <v>165</v>
      </c>
      <c r="E45" s="120">
        <v>0.43885153790044362</v>
      </c>
      <c r="F45" s="20">
        <v>0</v>
      </c>
      <c r="G45" s="17">
        <v>2.7E-2</v>
      </c>
      <c r="H45" s="19">
        <v>0.32</v>
      </c>
      <c r="I45" s="17"/>
      <c r="J45" s="20">
        <v>5.7013937900443575E-2</v>
      </c>
      <c r="K45" s="19"/>
      <c r="L45" s="17">
        <v>0</v>
      </c>
      <c r="M45" s="20">
        <v>3.4837600000000003E-2</v>
      </c>
      <c r="N45" s="17"/>
      <c r="O45" s="12" t="e">
        <f>E45/$E$35</f>
        <v>#VALUE!</v>
      </c>
      <c r="P45" s="17"/>
    </row>
    <row r="46" spans="1:30" x14ac:dyDescent="0.35">
      <c r="A46" s="3"/>
      <c r="B46" s="3"/>
      <c r="C46" s="91" t="s">
        <v>165</v>
      </c>
      <c r="D46" s="3"/>
      <c r="E46" s="144" t="s">
        <v>479</v>
      </c>
      <c r="F46" s="145">
        <f t="shared" ref="F46:M46" si="3">F45/$E$29</f>
        <v>0</v>
      </c>
      <c r="G46" s="145">
        <f t="shared" si="3"/>
        <v>6.423189216759457E-6</v>
      </c>
      <c r="H46" s="145">
        <f t="shared" si="3"/>
        <v>7.6126687013445423E-5</v>
      </c>
      <c r="I46" s="145">
        <f t="shared" si="3"/>
        <v>0</v>
      </c>
      <c r="J46" s="145">
        <f t="shared" si="3"/>
        <v>1.3563381893597129E-5</v>
      </c>
      <c r="K46" s="145">
        <f t="shared" si="3"/>
        <v>0</v>
      </c>
      <c r="L46" s="145">
        <f t="shared" si="3"/>
        <v>0</v>
      </c>
      <c r="M46" s="145">
        <f t="shared" si="3"/>
        <v>8.2877220984362692E-6</v>
      </c>
      <c r="N46" s="91"/>
      <c r="O46" s="3"/>
      <c r="P46" s="91"/>
      <c r="Q46" s="3"/>
      <c r="R46" s="3"/>
      <c r="S46" s="3"/>
      <c r="T46" s="3"/>
      <c r="U46" s="3"/>
      <c r="V46" s="3"/>
      <c r="W46" s="3"/>
      <c r="X46" s="3"/>
      <c r="Y46" s="3"/>
      <c r="Z46" s="3"/>
      <c r="AA46" s="3"/>
      <c r="AB46" s="3"/>
      <c r="AC46" s="3"/>
      <c r="AD46" s="3"/>
    </row>
    <row r="47" spans="1:30" x14ac:dyDescent="0.35">
      <c r="A47" s="79" t="s">
        <v>342</v>
      </c>
      <c r="B47" s="17" t="s">
        <v>229</v>
      </c>
      <c r="C47" s="17" t="s">
        <v>480</v>
      </c>
      <c r="E47" s="146">
        <v>1.3280125199673234E-4</v>
      </c>
      <c r="F47" s="33">
        <v>0</v>
      </c>
      <c r="G47" s="147">
        <v>9.5000000000000005E-5</v>
      </c>
      <c r="H47" s="19"/>
      <c r="I47" s="17"/>
      <c r="J47" s="29">
        <v>2.5255251996732317E-5</v>
      </c>
      <c r="K47" s="29"/>
      <c r="L47" s="29">
        <v>0</v>
      </c>
      <c r="M47" s="29">
        <v>1.2546000000000003E-5</v>
      </c>
      <c r="N47" s="17"/>
      <c r="O47" s="12" t="e">
        <f>E47*CF_GWP_CH4_fossil/$E$35</f>
        <v>#VALUE!</v>
      </c>
      <c r="P47" s="17"/>
    </row>
    <row r="48" spans="1:30" x14ac:dyDescent="0.35">
      <c r="C48" s="91" t="s">
        <v>480</v>
      </c>
      <c r="E48" s="144" t="s">
        <v>479</v>
      </c>
      <c r="F48" s="145">
        <f t="shared" ref="F48:M48" si="4">F47/$E$31</f>
        <v>0</v>
      </c>
      <c r="G48" s="145">
        <f t="shared" si="4"/>
        <v>1.898450966766705E-7</v>
      </c>
      <c r="H48" s="145">
        <f t="shared" si="4"/>
        <v>0</v>
      </c>
      <c r="I48" s="145">
        <f t="shared" si="4"/>
        <v>0</v>
      </c>
      <c r="J48" s="145">
        <f t="shared" si="4"/>
        <v>5.0469323756982341E-8</v>
      </c>
      <c r="K48" s="145">
        <f t="shared" si="4"/>
        <v>0</v>
      </c>
      <c r="L48" s="145">
        <f t="shared" si="4"/>
        <v>0</v>
      </c>
      <c r="M48" s="145">
        <f t="shared" si="4"/>
        <v>2.5071542977952723E-8</v>
      </c>
      <c r="N48" s="17"/>
      <c r="O48" s="29"/>
      <c r="P48" s="17"/>
    </row>
    <row r="49" spans="1:18" x14ac:dyDescent="0.35">
      <c r="A49" s="79" t="s">
        <v>342</v>
      </c>
      <c r="B49" s="17" t="s">
        <v>229</v>
      </c>
      <c r="C49" s="17" t="s">
        <v>168</v>
      </c>
      <c r="E49" s="146">
        <v>2.0683180874021213E-4</v>
      </c>
      <c r="F49" s="33">
        <v>0</v>
      </c>
      <c r="G49" s="147">
        <v>1.1000000000000001E-6</v>
      </c>
      <c r="H49" s="29">
        <v>1.8457296000000002E-4</v>
      </c>
      <c r="I49" s="29">
        <v>1.8457296000000003E-5</v>
      </c>
      <c r="J49" s="29">
        <v>1.5319867402121297E-6</v>
      </c>
      <c r="K49" s="29"/>
      <c r="L49" s="29">
        <v>0</v>
      </c>
      <c r="M49" s="29">
        <v>1.1695660000000001E-6</v>
      </c>
      <c r="N49" s="17"/>
      <c r="O49" s="12" t="e">
        <f>E49*CF_GWP_N2O/$E$35</f>
        <v>#VALUE!</v>
      </c>
      <c r="P49" s="17"/>
    </row>
    <row r="50" spans="1:18" x14ac:dyDescent="0.35">
      <c r="C50" s="91" t="s">
        <v>168</v>
      </c>
      <c r="E50" s="144" t="s">
        <v>479</v>
      </c>
      <c r="F50" s="145" t="e">
        <f t="shared" ref="F50:M50" si="5">F49/$E$33</f>
        <v>#DIV/0!</v>
      </c>
      <c r="G50" s="145" t="e">
        <f t="shared" si="5"/>
        <v>#DIV/0!</v>
      </c>
      <c r="H50" s="145" t="e">
        <f t="shared" si="5"/>
        <v>#DIV/0!</v>
      </c>
      <c r="I50" s="145" t="e">
        <f t="shared" si="5"/>
        <v>#DIV/0!</v>
      </c>
      <c r="J50" s="145" t="e">
        <f t="shared" si="5"/>
        <v>#DIV/0!</v>
      </c>
      <c r="K50" s="145" t="e">
        <f t="shared" si="5"/>
        <v>#DIV/0!</v>
      </c>
      <c r="L50" s="145" t="e">
        <f t="shared" si="5"/>
        <v>#DIV/0!</v>
      </c>
      <c r="M50" s="145" t="e">
        <f t="shared" si="5"/>
        <v>#DIV/0!</v>
      </c>
      <c r="N50" s="17"/>
      <c r="O50" s="17"/>
      <c r="P50" s="17"/>
    </row>
    <row r="51" spans="1:18" x14ac:dyDescent="0.35">
      <c r="A51" s="149"/>
      <c r="B51" s="150"/>
      <c r="C51" s="151" t="s">
        <v>169</v>
      </c>
      <c r="D51" s="150"/>
      <c r="E51" s="152">
        <f>E45+E47*CF_GWP_CH4_fossil+E49*CF_GWP_N2O</f>
        <v>0.49927409899602415</v>
      </c>
      <c r="F51" s="153"/>
      <c r="G51" s="153"/>
      <c r="H51" s="153"/>
      <c r="I51" s="153"/>
      <c r="J51" s="153"/>
      <c r="K51" s="153"/>
      <c r="L51" s="153"/>
      <c r="M51" s="153"/>
      <c r="N51" s="153"/>
      <c r="O51" s="153"/>
      <c r="P51" s="17"/>
    </row>
    <row r="52" spans="1:18" x14ac:dyDescent="0.35">
      <c r="C52" s="17"/>
      <c r="E52" s="17"/>
      <c r="F52" s="17"/>
      <c r="G52" s="17"/>
      <c r="H52" s="17"/>
      <c r="I52" s="17"/>
      <c r="J52" s="17"/>
      <c r="K52" s="17"/>
      <c r="L52" s="17"/>
      <c r="M52" s="17"/>
      <c r="N52" s="17"/>
    </row>
    <row r="53" spans="1:18" ht="21" x14ac:dyDescent="0.5">
      <c r="A53" s="148" t="s">
        <v>481</v>
      </c>
    </row>
    <row r="54" spans="1:18" x14ac:dyDescent="0.35">
      <c r="C54" s="17"/>
      <c r="E54" s="17"/>
      <c r="F54" s="17"/>
      <c r="G54" s="17"/>
      <c r="H54" s="17"/>
      <c r="I54" s="17"/>
      <c r="J54" s="17"/>
      <c r="K54" s="17"/>
      <c r="L54" s="17"/>
      <c r="M54" s="17"/>
      <c r="N54" s="17"/>
    </row>
    <row r="55" spans="1:18" x14ac:dyDescent="0.35">
      <c r="A55" s="136"/>
      <c r="B55" s="136"/>
      <c r="C55" s="136" t="s">
        <v>147</v>
      </c>
      <c r="D55" s="136" t="s">
        <v>137</v>
      </c>
      <c r="E55" s="136" t="s">
        <v>137</v>
      </c>
      <c r="F55" s="136" t="s">
        <v>138</v>
      </c>
      <c r="G55" s="135"/>
      <c r="H55" s="136" t="s">
        <v>139</v>
      </c>
      <c r="I55" s="132"/>
      <c r="J55" s="136" t="s">
        <v>140</v>
      </c>
      <c r="K55" s="132"/>
      <c r="L55" s="132"/>
      <c r="M55" s="132"/>
      <c r="N55" s="133"/>
      <c r="O55" s="137"/>
      <c r="Q55" s="137"/>
      <c r="R55" s="137"/>
    </row>
    <row r="56" spans="1:18" ht="72.5" x14ac:dyDescent="0.35">
      <c r="A56" s="138"/>
      <c r="B56" s="142"/>
      <c r="C56" s="138"/>
      <c r="D56" s="139" t="s">
        <v>482</v>
      </c>
      <c r="E56" s="138"/>
      <c r="F56" s="134" t="s">
        <v>33</v>
      </c>
      <c r="G56" s="134" t="s">
        <v>34</v>
      </c>
      <c r="H56" s="134" t="s">
        <v>332</v>
      </c>
      <c r="I56" s="134" t="s">
        <v>333</v>
      </c>
      <c r="J56" s="134" t="s">
        <v>152</v>
      </c>
      <c r="K56" s="134" t="s">
        <v>153</v>
      </c>
      <c r="L56" s="134" t="s">
        <v>154</v>
      </c>
      <c r="M56" s="134" t="s">
        <v>155</v>
      </c>
      <c r="N56" s="134" t="s">
        <v>156</v>
      </c>
      <c r="O56" s="139" t="s">
        <v>335</v>
      </c>
      <c r="Q56" s="139" t="s">
        <v>388</v>
      </c>
      <c r="R56" s="139" t="s">
        <v>417</v>
      </c>
    </row>
    <row r="57" spans="1:18" x14ac:dyDescent="0.35">
      <c r="B57" s="18" t="s">
        <v>231</v>
      </c>
      <c r="C57" s="155" t="s">
        <v>165</v>
      </c>
      <c r="D57" s="156" t="e">
        <f>E57+SUM(N57:O57)</f>
        <v>#VALUE!</v>
      </c>
      <c r="E57" s="157" t="e">
        <f>F31/1000*O38</f>
        <v>#VALUE!</v>
      </c>
      <c r="F57" s="158" t="e">
        <f t="shared" ref="F57:M57" si="6">$E$41*F39</f>
        <v>#VALUE!</v>
      </c>
      <c r="G57" s="158" t="e">
        <f t="shared" si="6"/>
        <v>#VALUE!</v>
      </c>
      <c r="H57" s="158" t="e">
        <f t="shared" si="6"/>
        <v>#VALUE!</v>
      </c>
      <c r="I57" s="158" t="e">
        <f t="shared" si="6"/>
        <v>#VALUE!</v>
      </c>
      <c r="J57" s="158" t="e">
        <f t="shared" si="6"/>
        <v>#VALUE!</v>
      </c>
      <c r="K57" s="158" t="e">
        <f t="shared" si="6"/>
        <v>#VALUE!</v>
      </c>
      <c r="L57" s="158" t="e">
        <f t="shared" si="6"/>
        <v>#VALUE!</v>
      </c>
      <c r="M57" s="158" t="e">
        <f t="shared" si="6"/>
        <v>#VALUE!</v>
      </c>
      <c r="N57" s="157"/>
      <c r="O57" s="141">
        <v>6.3200000000000006E-2</v>
      </c>
      <c r="R57" t="s">
        <v>395</v>
      </c>
    </row>
    <row r="58" spans="1:18" x14ac:dyDescent="0.35">
      <c r="A58" s="118"/>
      <c r="B58" t="s">
        <v>483</v>
      </c>
      <c r="C58" t="s">
        <v>484</v>
      </c>
      <c r="E58" s="110" t="e">
        <f>F31/1000*O40</f>
        <v>#VALUE!</v>
      </c>
      <c r="F58" s="154">
        <f t="shared" ref="F58:M58" si="7">$E$42*F40</f>
        <v>8.5030210501121839E-8</v>
      </c>
      <c r="G58" s="154">
        <f t="shared" si="7"/>
        <v>8.707424015101315E-8</v>
      </c>
      <c r="H58" s="154">
        <f t="shared" si="7"/>
        <v>0</v>
      </c>
      <c r="I58" s="154">
        <f t="shared" si="7"/>
        <v>0</v>
      </c>
      <c r="J58" s="154">
        <f t="shared" si="7"/>
        <v>1.1835311585318156E-8</v>
      </c>
      <c r="K58" s="154">
        <f t="shared" si="7"/>
        <v>0</v>
      </c>
      <c r="L58" s="154">
        <f t="shared" si="7"/>
        <v>0</v>
      </c>
      <c r="M58" s="154">
        <f t="shared" si="7"/>
        <v>1.1499299125627485E-8</v>
      </c>
      <c r="N58" s="12"/>
    </row>
    <row r="59" spans="1:18" x14ac:dyDescent="0.35">
      <c r="A59" s="118"/>
      <c r="B59" s="300" t="e">
        <f>D57+D59*29+D61*273</f>
        <v>#VALUE!</v>
      </c>
      <c r="C59" s="141" t="s">
        <v>485</v>
      </c>
      <c r="D59" s="156">
        <f>E59+SUM(N59:O59)</f>
        <v>8.8702210531676909E-5</v>
      </c>
      <c r="E59" s="159">
        <f>SUM(F59:M59)</f>
        <v>6.5583577638617659E-9</v>
      </c>
      <c r="F59" s="160">
        <f t="shared" ref="F59:M59" si="8">F58/CF_GWP_CH4_fossil</f>
        <v>2.8533627684940212E-9</v>
      </c>
      <c r="G59" s="160">
        <f t="shared" si="8"/>
        <v>2.9219543674836629E-9</v>
      </c>
      <c r="H59" s="160">
        <f t="shared" si="8"/>
        <v>0</v>
      </c>
      <c r="I59" s="160">
        <f t="shared" si="8"/>
        <v>0</v>
      </c>
      <c r="J59" s="160">
        <f t="shared" si="8"/>
        <v>3.9715810688987101E-10</v>
      </c>
      <c r="K59" s="160">
        <f t="shared" si="8"/>
        <v>0</v>
      </c>
      <c r="L59" s="160">
        <f t="shared" si="8"/>
        <v>0</v>
      </c>
      <c r="M59" s="160">
        <f t="shared" si="8"/>
        <v>3.8588252099421089E-10</v>
      </c>
      <c r="N59" s="156"/>
      <c r="O59" s="141">
        <f>0.00204/23</f>
        <v>8.8695652173913049E-5</v>
      </c>
      <c r="R59" t="s">
        <v>396</v>
      </c>
    </row>
    <row r="60" spans="1:18" x14ac:dyDescent="0.35">
      <c r="C60" t="s">
        <v>486</v>
      </c>
      <c r="E60" s="12" t="e">
        <f>F31/1000*O42</f>
        <v>#VALUE!</v>
      </c>
      <c r="F60" s="20" t="e">
        <f t="shared" ref="F60:M60" si="9">$E$44*F41</f>
        <v>#DIV/0!</v>
      </c>
      <c r="G60" s="20" t="e">
        <f t="shared" si="9"/>
        <v>#DIV/0!</v>
      </c>
      <c r="H60" s="20" t="e">
        <f t="shared" si="9"/>
        <v>#DIV/0!</v>
      </c>
      <c r="I60" s="20" t="e">
        <f t="shared" si="9"/>
        <v>#DIV/0!</v>
      </c>
      <c r="J60" s="20" t="e">
        <f t="shared" si="9"/>
        <v>#DIV/0!</v>
      </c>
      <c r="K60" s="20" t="e">
        <f t="shared" si="9"/>
        <v>#DIV/0!</v>
      </c>
      <c r="L60" s="20" t="e">
        <f t="shared" si="9"/>
        <v>#DIV/0!</v>
      </c>
      <c r="M60" s="20" t="e">
        <f t="shared" si="9"/>
        <v>#DIV/0!</v>
      </c>
      <c r="N60" s="12"/>
    </row>
    <row r="61" spans="1:18" x14ac:dyDescent="0.35">
      <c r="C61" s="141" t="s">
        <v>168</v>
      </c>
      <c r="D61" s="156" t="e">
        <f>E61+SUM(N61:O61)</f>
        <v>#DIV/0!</v>
      </c>
      <c r="E61" s="161" t="e">
        <f>SUM(F61:M61)</f>
        <v>#DIV/0!</v>
      </c>
      <c r="F61" s="161" t="e">
        <f t="shared" ref="F61:M61" si="10">F60/CF_GWP_N2O</f>
        <v>#DIV/0!</v>
      </c>
      <c r="G61" s="161" t="e">
        <f t="shared" si="10"/>
        <v>#DIV/0!</v>
      </c>
      <c r="H61" s="161" t="e">
        <f t="shared" si="10"/>
        <v>#DIV/0!</v>
      </c>
      <c r="I61" s="161" t="e">
        <f t="shared" si="10"/>
        <v>#DIV/0!</v>
      </c>
      <c r="J61" s="161" t="e">
        <f t="shared" si="10"/>
        <v>#DIV/0!</v>
      </c>
      <c r="K61" s="161" t="e">
        <f t="shared" si="10"/>
        <v>#DIV/0!</v>
      </c>
      <c r="L61" s="161" t="e">
        <f t="shared" si="10"/>
        <v>#DIV/0!</v>
      </c>
      <c r="M61" s="161" t="e">
        <f t="shared" si="10"/>
        <v>#DIV/0!</v>
      </c>
      <c r="N61" s="156"/>
      <c r="O61" s="141">
        <f>0.000541/296</f>
        <v>1.8277027027027027E-6</v>
      </c>
      <c r="R61" t="s">
        <v>396</v>
      </c>
    </row>
    <row r="62" spans="1:18" ht="26" x14ac:dyDescent="0.35">
      <c r="A62" s="162"/>
      <c r="B62" s="163" t="s">
        <v>346</v>
      </c>
      <c r="C62" s="164" t="s">
        <v>165</v>
      </c>
      <c r="D62" s="165" t="e">
        <f>E62+SUM(N62:O62)</f>
        <v>#VALUE!</v>
      </c>
      <c r="E62" s="166" t="e">
        <f>AVERAGE(F29:F30)*O45/1000</f>
        <v>#VALUE!</v>
      </c>
      <c r="F62" s="167" t="e">
        <f t="shared" ref="F62:M62" si="11">$E$46*F46</f>
        <v>#VALUE!</v>
      </c>
      <c r="G62" s="167" t="e">
        <f t="shared" si="11"/>
        <v>#VALUE!</v>
      </c>
      <c r="H62" s="167" t="e">
        <f t="shared" si="11"/>
        <v>#VALUE!</v>
      </c>
      <c r="I62" s="167" t="e">
        <f t="shared" si="11"/>
        <v>#VALUE!</v>
      </c>
      <c r="J62" s="167" t="e">
        <f t="shared" si="11"/>
        <v>#VALUE!</v>
      </c>
      <c r="K62" s="167" t="e">
        <f t="shared" si="11"/>
        <v>#VALUE!</v>
      </c>
      <c r="L62" s="167" t="e">
        <f t="shared" si="11"/>
        <v>#VALUE!</v>
      </c>
      <c r="M62" s="167" t="e">
        <f t="shared" si="11"/>
        <v>#VALUE!</v>
      </c>
      <c r="N62" s="165">
        <f>0.4*0.65</f>
        <v>0.26</v>
      </c>
      <c r="O62" s="168">
        <v>0.251</v>
      </c>
      <c r="Q62" s="169" t="s">
        <v>487</v>
      </c>
      <c r="R62" t="s">
        <v>395</v>
      </c>
    </row>
    <row r="63" spans="1:18" x14ac:dyDescent="0.35">
      <c r="B63" t="s">
        <v>483</v>
      </c>
      <c r="C63" t="s">
        <v>484</v>
      </c>
      <c r="E63" s="48" t="e">
        <f>AVERAGE(F29:F30)*O47/1000</f>
        <v>#VALUE!</v>
      </c>
      <c r="F63" s="48">
        <f t="shared" ref="F63:M63" si="12">$E$47*F48</f>
        <v>0</v>
      </c>
      <c r="G63" s="48">
        <f t="shared" si="12"/>
        <v>2.5211666524102533E-11</v>
      </c>
      <c r="H63" s="48">
        <f t="shared" si="12"/>
        <v>0</v>
      </c>
      <c r="I63" s="48">
        <f t="shared" si="12"/>
        <v>0</v>
      </c>
      <c r="J63" s="48">
        <f t="shared" si="12"/>
        <v>6.7023893823556815E-12</v>
      </c>
      <c r="K63" s="48">
        <f t="shared" si="12"/>
        <v>0</v>
      </c>
      <c r="L63" s="48">
        <f t="shared" si="12"/>
        <v>0</v>
      </c>
      <c r="M63" s="48">
        <f t="shared" si="12"/>
        <v>3.3295322969620047E-12</v>
      </c>
    </row>
    <row r="64" spans="1:18" x14ac:dyDescent="0.35">
      <c r="B64" s="300" t="e">
        <f>D62+D64*29+D66*273</f>
        <v>#VALUE!</v>
      </c>
      <c r="C64" s="141" t="s">
        <v>485</v>
      </c>
      <c r="D64" s="156">
        <f>E64+SUM(N64:O64)</f>
        <v>2.1000000118267075E-4</v>
      </c>
      <c r="E64" s="159">
        <f>SUM(F64:M64)</f>
        <v>1.1826707450812154E-12</v>
      </c>
      <c r="F64" s="159">
        <f t="shared" ref="F64:M64" si="13">F63/CF_GWP_CH4_fossil</f>
        <v>0</v>
      </c>
      <c r="G64" s="159">
        <f t="shared" si="13"/>
        <v>8.4602907799001785E-13</v>
      </c>
      <c r="H64" s="159">
        <f t="shared" si="13"/>
        <v>0</v>
      </c>
      <c r="I64" s="159">
        <f t="shared" si="13"/>
        <v>0</v>
      </c>
      <c r="J64" s="159">
        <f t="shared" si="13"/>
        <v>2.2491239538106314E-13</v>
      </c>
      <c r="K64" s="159">
        <f t="shared" si="13"/>
        <v>0</v>
      </c>
      <c r="L64" s="159">
        <f t="shared" si="13"/>
        <v>0</v>
      </c>
      <c r="M64" s="159">
        <f t="shared" si="13"/>
        <v>1.1172927171013438E-13</v>
      </c>
      <c r="N64" s="141"/>
      <c r="O64" s="141">
        <f>4.83/1000/23</f>
        <v>2.1000000000000001E-4</v>
      </c>
      <c r="R64" t="s">
        <v>396</v>
      </c>
    </row>
    <row r="65" spans="3:18" x14ac:dyDescent="0.35">
      <c r="C65" t="s">
        <v>486</v>
      </c>
      <c r="E65" s="34" t="e">
        <f>AVERAGE(F29:F30)*O49/1000</f>
        <v>#VALUE!</v>
      </c>
      <c r="F65" s="34" t="e">
        <f t="shared" ref="F65:M65" si="14">$E$49*F50</f>
        <v>#DIV/0!</v>
      </c>
      <c r="G65" s="34" t="e">
        <f t="shared" si="14"/>
        <v>#DIV/0!</v>
      </c>
      <c r="H65" s="34" t="e">
        <f t="shared" si="14"/>
        <v>#DIV/0!</v>
      </c>
      <c r="I65" s="34" t="e">
        <f t="shared" si="14"/>
        <v>#DIV/0!</v>
      </c>
      <c r="J65" s="34" t="e">
        <f t="shared" si="14"/>
        <v>#DIV/0!</v>
      </c>
      <c r="K65" s="34" t="e">
        <f t="shared" si="14"/>
        <v>#DIV/0!</v>
      </c>
      <c r="L65" s="34" t="e">
        <f t="shared" si="14"/>
        <v>#DIV/0!</v>
      </c>
      <c r="M65" s="34" t="e">
        <f t="shared" si="14"/>
        <v>#DIV/0!</v>
      </c>
    </row>
    <row r="66" spans="3:18" x14ac:dyDescent="0.35">
      <c r="C66" s="141" t="s">
        <v>168</v>
      </c>
      <c r="D66" s="156" t="e">
        <f>E66+SUM(N66:O66)</f>
        <v>#DIV/0!</v>
      </c>
      <c r="E66" s="159" t="e">
        <f>SUM(F66:M66)</f>
        <v>#DIV/0!</v>
      </c>
      <c r="F66" s="161" t="e">
        <f t="shared" ref="F66:M66" si="15">F65/CF_GWP_N2O</f>
        <v>#DIV/0!</v>
      </c>
      <c r="G66" s="161" t="e">
        <f t="shared" si="15"/>
        <v>#DIV/0!</v>
      </c>
      <c r="H66" s="161" t="e">
        <f t="shared" si="15"/>
        <v>#DIV/0!</v>
      </c>
      <c r="I66" s="161" t="e">
        <f t="shared" si="15"/>
        <v>#DIV/0!</v>
      </c>
      <c r="J66" s="161" t="e">
        <f t="shared" si="15"/>
        <v>#DIV/0!</v>
      </c>
      <c r="K66" s="161" t="e">
        <f t="shared" si="15"/>
        <v>#DIV/0!</v>
      </c>
      <c r="L66" s="161" t="e">
        <f t="shared" si="15"/>
        <v>#DIV/0!</v>
      </c>
      <c r="M66" s="161" t="e">
        <f t="shared" si="15"/>
        <v>#DIV/0!</v>
      </c>
      <c r="N66" s="141"/>
      <c r="O66" s="161">
        <f>2.69/1000/296</f>
        <v>9.087837837837838E-6</v>
      </c>
      <c r="R66" t="s">
        <v>396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Props1.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3.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747</vt:i4>
      </vt:variant>
    </vt:vector>
  </HeadingPairs>
  <TitlesOfParts>
    <vt:vector size="761" baseType="lpstr">
      <vt:lpstr>README</vt:lpstr>
      <vt:lpstr>Figures</vt:lpstr>
      <vt:lpstr>Footprints, results per kg</vt:lpstr>
      <vt:lpstr>GHG detailed, results per kg</vt:lpstr>
      <vt:lpstr>Production</vt:lpstr>
      <vt:lpstr>Parameters, country spec</vt:lpstr>
      <vt:lpstr>CO2 per kg feed</vt:lpstr>
      <vt:lpstr>CH4 per kg feed</vt:lpstr>
      <vt:lpstr>N2O per kg feed</vt:lpstr>
      <vt:lpstr>EFP per kg feed</vt:lpstr>
      <vt:lpstr>Parameters, general</vt:lpstr>
      <vt:lpstr>Off-farm feed</vt:lpstr>
      <vt:lpstr>References</vt:lpstr>
      <vt:lpstr>Verification</vt:lpstr>
      <vt:lpstr>Ability_to_perceive_handling</vt:lpstr>
      <vt:lpstr>Bonefree_outof_CW_AT</vt:lpstr>
      <vt:lpstr>Bonefree_outof_CW_BE</vt:lpstr>
      <vt:lpstr>Bonefree_outof_CW_BG</vt:lpstr>
      <vt:lpstr>Bonefree_outof_CW_BR</vt:lpstr>
      <vt:lpstr>Bonefree_outof_CW_CY</vt:lpstr>
      <vt:lpstr>Bonefree_outof_CW_CZ</vt:lpstr>
      <vt:lpstr>Bonefree_outof_CW_DE</vt:lpstr>
      <vt:lpstr>Bonefree_outof_CW_DK</vt:lpstr>
      <vt:lpstr>Bonefree_outof_CW_EE</vt:lpstr>
      <vt:lpstr>Bonefree_outof_CW_ES</vt:lpstr>
      <vt:lpstr>Bonefree_outof_CW_FI</vt:lpstr>
      <vt:lpstr>Bonefree_outof_CW_FR</vt:lpstr>
      <vt:lpstr>Bonefree_outof_CW_GB</vt:lpstr>
      <vt:lpstr>Bonefree_outof_CW_GR</vt:lpstr>
      <vt:lpstr>Bonefree_outof_CW_HR</vt:lpstr>
      <vt:lpstr>Bonefree_outof_CW_HU</vt:lpstr>
      <vt:lpstr>Bonefree_outof_CW_IE</vt:lpstr>
      <vt:lpstr>Bonefree_outof_CW_IT</vt:lpstr>
      <vt:lpstr>Bonefree_outof_CW_LT</vt:lpstr>
      <vt:lpstr>Bonefree_outof_CW_LV</vt:lpstr>
      <vt:lpstr>Bonefree_outof_CW_MT</vt:lpstr>
      <vt:lpstr>Bonefree_outof_CW_NL</vt:lpstr>
      <vt:lpstr>Bonefree_outof_CW_PL</vt:lpstr>
      <vt:lpstr>Bonefree_outof_CW_PT</vt:lpstr>
      <vt:lpstr>Bonefree_outof_CW_RO</vt:lpstr>
      <vt:lpstr>Bonefree_outof_CW_SE</vt:lpstr>
      <vt:lpstr>Bonefree_outof_CW_SI</vt:lpstr>
      <vt:lpstr>Bonefree_outof_CW_SK</vt:lpstr>
      <vt:lpstr>Bonefree_outof_CW_TH</vt:lpstr>
      <vt:lpstr>Bonefree_outof_CW_US</vt:lpstr>
      <vt:lpstr>CF_GWP_CH4_fossil</vt:lpstr>
      <vt:lpstr>CF_GWP_N2O</vt:lpstr>
      <vt:lpstr>CY</vt:lpstr>
      <vt:lpstr>EF_ammonia_AT</vt:lpstr>
      <vt:lpstr>EF_ammonia_BE</vt:lpstr>
      <vt:lpstr>EF_ammonia_BG</vt:lpstr>
      <vt:lpstr>EF_ammonia_BR</vt:lpstr>
      <vt:lpstr>EF_ammonia_CY</vt:lpstr>
      <vt:lpstr>EF_ammonia_CZ</vt:lpstr>
      <vt:lpstr>EF_ammonia_DE</vt:lpstr>
      <vt:lpstr>EF_ammonia_DK</vt:lpstr>
      <vt:lpstr>EF_ammonia_EE</vt:lpstr>
      <vt:lpstr>EF_ammonia_ES</vt:lpstr>
      <vt:lpstr>EF_ammonia_FI</vt:lpstr>
      <vt:lpstr>EF_ammonia_FR</vt:lpstr>
      <vt:lpstr>EF_ammonia_GB</vt:lpstr>
      <vt:lpstr>EF_ammonia_GR</vt:lpstr>
      <vt:lpstr>EF_ammonia_HR</vt:lpstr>
      <vt:lpstr>EF_ammonia_HU</vt:lpstr>
      <vt:lpstr>EF_ammonia_IE</vt:lpstr>
      <vt:lpstr>EF_ammonia_IT</vt:lpstr>
      <vt:lpstr>EF_ammonia_LT</vt:lpstr>
      <vt:lpstr>EF_ammonia_LV</vt:lpstr>
      <vt:lpstr>EF_ammonia_MT</vt:lpstr>
      <vt:lpstr>EF_ammonia_NL</vt:lpstr>
      <vt:lpstr>EF_ammonia_PL</vt:lpstr>
      <vt:lpstr>EF_ammonia_PT</vt:lpstr>
      <vt:lpstr>EF_ammonia_RO</vt:lpstr>
      <vt:lpstr>EF_ammonia_SE</vt:lpstr>
      <vt:lpstr>EF_ammonia_SI</vt:lpstr>
      <vt:lpstr>EF_ammonia_SK</vt:lpstr>
      <vt:lpstr>EF_ammonia_TH</vt:lpstr>
      <vt:lpstr>EF_ammonia_US</vt:lpstr>
      <vt:lpstr>EF_biofuel_CH4</vt:lpstr>
      <vt:lpstr>EF_biofuel_N2O</vt:lpstr>
      <vt:lpstr>EF_biofuels_CO2</vt:lpstr>
      <vt:lpstr>EF_CH4_manure_AT</vt:lpstr>
      <vt:lpstr>EF_CH4_manure_BE</vt:lpstr>
      <vt:lpstr>EF_CH4_manure_BG</vt:lpstr>
      <vt:lpstr>EF_CH4_manure_BR</vt:lpstr>
      <vt:lpstr>EF_CH4_manure_CY</vt:lpstr>
      <vt:lpstr>EF_CH4_manure_CZ</vt:lpstr>
      <vt:lpstr>EF_CH4_manure_DE</vt:lpstr>
      <vt:lpstr>EF_CH4_manure_DK</vt:lpstr>
      <vt:lpstr>EF_CH4_manure_EE</vt:lpstr>
      <vt:lpstr>EF_CH4_manure_ES</vt:lpstr>
      <vt:lpstr>EF_CH4_manure_FI</vt:lpstr>
      <vt:lpstr>EF_CH4_manure_FR</vt:lpstr>
      <vt:lpstr>EF_CH4_manure_GB</vt:lpstr>
      <vt:lpstr>EF_CH4_manure_GR</vt:lpstr>
      <vt:lpstr>EF_CH4_manure_HR</vt:lpstr>
      <vt:lpstr>EF_CH4_manure_HU</vt:lpstr>
      <vt:lpstr>EF_CH4_manure_IE</vt:lpstr>
      <vt:lpstr>EF_CH4_manure_IT</vt:lpstr>
      <vt:lpstr>EF_CH4_manure_LT</vt:lpstr>
      <vt:lpstr>EF_CH4_manure_LV</vt:lpstr>
      <vt:lpstr>EF_CH4_manure_MT</vt:lpstr>
      <vt:lpstr>EF_CH4_manure_NL</vt:lpstr>
      <vt:lpstr>EF_CH4_manure_PL</vt:lpstr>
      <vt:lpstr>EF_CH4_manure_PT</vt:lpstr>
      <vt:lpstr>EF_CH4_manure_RO</vt:lpstr>
      <vt:lpstr>EF_CH4_manure_SE</vt:lpstr>
      <vt:lpstr>EF_CH4_manure_SI</vt:lpstr>
      <vt:lpstr>EF_CH4_manure_SK</vt:lpstr>
      <vt:lpstr>EF_CH4_manure_TH</vt:lpstr>
      <vt:lpstr>EF_CH4_manure_US</vt:lpstr>
      <vt:lpstr>EF_el_CH4_AT</vt:lpstr>
      <vt:lpstr>EF_el_CH4_BE</vt:lpstr>
      <vt:lpstr>EF_el_CH4_BG</vt:lpstr>
      <vt:lpstr>EF_el_CH4_BR</vt:lpstr>
      <vt:lpstr>EF_el_CH4_CY</vt:lpstr>
      <vt:lpstr>EF_el_CH4_CZ</vt:lpstr>
      <vt:lpstr>EF_el_CH4_DE</vt:lpstr>
      <vt:lpstr>EF_el_CH4_DK</vt:lpstr>
      <vt:lpstr>EF_el_CH4_EE</vt:lpstr>
      <vt:lpstr>EF_el_CH4_ES</vt:lpstr>
      <vt:lpstr>EF_el_CH4_FI</vt:lpstr>
      <vt:lpstr>EF_el_CH4_FR</vt:lpstr>
      <vt:lpstr>EF_el_CH4_GB</vt:lpstr>
      <vt:lpstr>EF_el_CH4_GR</vt:lpstr>
      <vt:lpstr>EF_el_CH4_HR</vt:lpstr>
      <vt:lpstr>EF_el_CH4_HU</vt:lpstr>
      <vt:lpstr>EF_el_CH4_IE</vt:lpstr>
      <vt:lpstr>EF_el_CH4_IT</vt:lpstr>
      <vt:lpstr>EF_el_CH4_LT</vt:lpstr>
      <vt:lpstr>EF_el_CH4_LV</vt:lpstr>
      <vt:lpstr>EF_el_CH4_MT</vt:lpstr>
      <vt:lpstr>EF_el_CH4_NL</vt:lpstr>
      <vt:lpstr>EF_el_CH4_PL</vt:lpstr>
      <vt:lpstr>EF_el_CH4_PT</vt:lpstr>
      <vt:lpstr>EF_el_CH4_RO</vt:lpstr>
      <vt:lpstr>EF_el_CH4_SE</vt:lpstr>
      <vt:lpstr>EF_el_CH4_SI</vt:lpstr>
      <vt:lpstr>EF_el_CH4_SK</vt:lpstr>
      <vt:lpstr>EF_el_CH4_TH</vt:lpstr>
      <vt:lpstr>EF_el_CH4_US</vt:lpstr>
      <vt:lpstr>EF_el_CO2_AT</vt:lpstr>
      <vt:lpstr>EF_el_CO2_BE</vt:lpstr>
      <vt:lpstr>EF_el_CO2_BG</vt:lpstr>
      <vt:lpstr>EF_el_CO2_BR</vt:lpstr>
      <vt:lpstr>EF_el_CO2_CY</vt:lpstr>
      <vt:lpstr>EF_el_CO2_CZ</vt:lpstr>
      <vt:lpstr>EF_el_CO2_DE</vt:lpstr>
      <vt:lpstr>EF_el_CO2_DK</vt:lpstr>
      <vt:lpstr>EF_el_CO2_EE</vt:lpstr>
      <vt:lpstr>EF_el_CO2_ES</vt:lpstr>
      <vt:lpstr>EF_el_CO2_FI</vt:lpstr>
      <vt:lpstr>EF_el_CO2_FR</vt:lpstr>
      <vt:lpstr>EF_el_CO2_GB</vt:lpstr>
      <vt:lpstr>EF_el_CO2_GR</vt:lpstr>
      <vt:lpstr>EF_el_CO2_HR</vt:lpstr>
      <vt:lpstr>EF_el_CO2_HU</vt:lpstr>
      <vt:lpstr>EF_el_CO2_IE</vt:lpstr>
      <vt:lpstr>EF_el_CO2_IT</vt:lpstr>
      <vt:lpstr>EF_el_CO2_LT</vt:lpstr>
      <vt:lpstr>EF_el_CO2_LV</vt:lpstr>
      <vt:lpstr>EF_el_CO2_MT</vt:lpstr>
      <vt:lpstr>EF_el_CO2_NL</vt:lpstr>
      <vt:lpstr>EF_el_CO2_PL</vt:lpstr>
      <vt:lpstr>EF_el_CO2_PT</vt:lpstr>
      <vt:lpstr>EF_el_CO2_RO</vt:lpstr>
      <vt:lpstr>EF_el_CO2_SE</vt:lpstr>
      <vt:lpstr>EF_el_CO2_SI</vt:lpstr>
      <vt:lpstr>EF_el_CO2_SK</vt:lpstr>
      <vt:lpstr>EF_el_CO2_TH</vt:lpstr>
      <vt:lpstr>EF_el_CO2_US</vt:lpstr>
      <vt:lpstr>EF_el_N2O_AT</vt:lpstr>
      <vt:lpstr>EF_el_N2O_BE</vt:lpstr>
      <vt:lpstr>EF_el_N2O_BG</vt:lpstr>
      <vt:lpstr>EF_el_N2O_BR</vt:lpstr>
      <vt:lpstr>EF_el_N2O_CY</vt:lpstr>
      <vt:lpstr>EF_el_N2O_CZ</vt:lpstr>
      <vt:lpstr>EF_el_N2O_DE</vt:lpstr>
      <vt:lpstr>EF_el_N2O_DK</vt:lpstr>
      <vt:lpstr>EF_el_N2O_EE</vt:lpstr>
      <vt:lpstr>EF_el_N2O_ES</vt:lpstr>
      <vt:lpstr>EF_el_N2O_FI</vt:lpstr>
      <vt:lpstr>EF_el_N2O_FR</vt:lpstr>
      <vt:lpstr>EF_el_N2O_GB</vt:lpstr>
      <vt:lpstr>EF_el_N2O_GR</vt:lpstr>
      <vt:lpstr>EF_el_N2O_HR</vt:lpstr>
      <vt:lpstr>EF_el_N2O_HU</vt:lpstr>
      <vt:lpstr>EF_el_N2O_IE</vt:lpstr>
      <vt:lpstr>EF_el_N2O_IT</vt:lpstr>
      <vt:lpstr>EF_el_N2O_LT</vt:lpstr>
      <vt:lpstr>EF_el_N2O_LV</vt:lpstr>
      <vt:lpstr>EF_el_N2O_MT</vt:lpstr>
      <vt:lpstr>EF_el_N2O_NL</vt:lpstr>
      <vt:lpstr>EF_el_N2O_PL</vt:lpstr>
      <vt:lpstr>EF_el_N2O_PT</vt:lpstr>
      <vt:lpstr>EF_el_N2O_RO</vt:lpstr>
      <vt:lpstr>EF_el_N2O_SE</vt:lpstr>
      <vt:lpstr>EF_el_N2O_SI</vt:lpstr>
      <vt:lpstr>EF_el_N2O_SK</vt:lpstr>
      <vt:lpstr>EF_el_N2O_TH</vt:lpstr>
      <vt:lpstr>EF_el_N2O_US</vt:lpstr>
      <vt:lpstr>EF_electricity</vt:lpstr>
      <vt:lpstr>EF_indirect_N2O_AT</vt:lpstr>
      <vt:lpstr>EF_indirect_N2O_BE</vt:lpstr>
      <vt:lpstr>EF_indirect_N2O_BG</vt:lpstr>
      <vt:lpstr>EF_indirect_N2O_BR</vt:lpstr>
      <vt:lpstr>EF_indirect_N2O_CY</vt:lpstr>
      <vt:lpstr>EF_indirect_N2O_CZ</vt:lpstr>
      <vt:lpstr>EF_indirect_N2O_DE</vt:lpstr>
      <vt:lpstr>EF_indirect_N2O_DK</vt:lpstr>
      <vt:lpstr>EF_indirect_N2O_EE</vt:lpstr>
      <vt:lpstr>EF_indirect_N2O_ES</vt:lpstr>
      <vt:lpstr>EF_indirect_N2O_FI</vt:lpstr>
      <vt:lpstr>EF_indirect_N2O_FR</vt:lpstr>
      <vt:lpstr>EF_indirect_N2O_GB</vt:lpstr>
      <vt:lpstr>EF_indirect_N2O_GR</vt:lpstr>
      <vt:lpstr>EF_indirect_N2O_HR</vt:lpstr>
      <vt:lpstr>EF_indirect_N2O_HU</vt:lpstr>
      <vt:lpstr>EF_indirect_N2O_IE</vt:lpstr>
      <vt:lpstr>EF_indirect_N2O_IT</vt:lpstr>
      <vt:lpstr>EF_indirect_N2O_LT</vt:lpstr>
      <vt:lpstr>EF_indirect_N2O_LV</vt:lpstr>
      <vt:lpstr>EF_indirect_N2O_MT</vt:lpstr>
      <vt:lpstr>EF_indirect_N2O_NL</vt:lpstr>
      <vt:lpstr>EF_indirect_N2O_PL</vt:lpstr>
      <vt:lpstr>EF_indirect_N2O_PT</vt:lpstr>
      <vt:lpstr>EF_indirect_N2O_RO</vt:lpstr>
      <vt:lpstr>EF_indirect_N2O_SE</vt:lpstr>
      <vt:lpstr>EF_indirect_N2O_SI</vt:lpstr>
      <vt:lpstr>EF_indirect_N2O_SK</vt:lpstr>
      <vt:lpstr>EF_indirect_N2O_TH</vt:lpstr>
      <vt:lpstr>EF_indirect_N2O_US</vt:lpstr>
      <vt:lpstr>EF_min_fert_AN_CH4</vt:lpstr>
      <vt:lpstr>EF_min_fert_AN_CO2</vt:lpstr>
      <vt:lpstr>EF_min_fert_AN_N2O</vt:lpstr>
      <vt:lpstr>EF_min_fert_BAT_CH4</vt:lpstr>
      <vt:lpstr>EF_min_fert_BAT_CO2</vt:lpstr>
      <vt:lpstr>EF_min_fert_BAT_N2O</vt:lpstr>
      <vt:lpstr>EF_N2O_diff_AT</vt:lpstr>
      <vt:lpstr>EF_N2O_diff_BE</vt:lpstr>
      <vt:lpstr>EF_N2O_diff_BG</vt:lpstr>
      <vt:lpstr>EF_N2O_diff_BR</vt:lpstr>
      <vt:lpstr>EF_N2O_diff_CY</vt:lpstr>
      <vt:lpstr>EF_N2O_diff_CZ</vt:lpstr>
      <vt:lpstr>EF_N2O_diff_DE</vt:lpstr>
      <vt:lpstr>EF_N2O_diff_DK</vt:lpstr>
      <vt:lpstr>EF_N2O_diff_EE</vt:lpstr>
      <vt:lpstr>EF_N2O_diff_ES</vt:lpstr>
      <vt:lpstr>EF_N2O_diff_FI</vt:lpstr>
      <vt:lpstr>EF_N2O_diff_FR</vt:lpstr>
      <vt:lpstr>EF_N2O_diff_GB</vt:lpstr>
      <vt:lpstr>EF_N2O_diff_GR</vt:lpstr>
      <vt:lpstr>EF_N2O_diff_HR</vt:lpstr>
      <vt:lpstr>EF_N2O_diff_HU</vt:lpstr>
      <vt:lpstr>EF_N2O_diff_IE</vt:lpstr>
      <vt:lpstr>EF_N2O_diff_IT</vt:lpstr>
      <vt:lpstr>EF_N2O_diff_LT</vt:lpstr>
      <vt:lpstr>EF_N2O_diff_LV</vt:lpstr>
      <vt:lpstr>EF_N2O_diff_MT</vt:lpstr>
      <vt:lpstr>EF_N2O_diff_NL</vt:lpstr>
      <vt:lpstr>EF_N2O_diff_PL</vt:lpstr>
      <vt:lpstr>EF_N2O_diff_PT</vt:lpstr>
      <vt:lpstr>EF_N2O_diff_RO</vt:lpstr>
      <vt:lpstr>EF_N2O_diff_SE</vt:lpstr>
      <vt:lpstr>EF_N2O_diff_SI</vt:lpstr>
      <vt:lpstr>EF_N2O_diff_SK</vt:lpstr>
      <vt:lpstr>EF_N2O_diff_TH</vt:lpstr>
      <vt:lpstr>EF_N2O_diff_US</vt:lpstr>
      <vt:lpstr>EF_N2O_manure_direct_AT</vt:lpstr>
      <vt:lpstr>EF_N2O_manure_direct_BE</vt:lpstr>
      <vt:lpstr>EF_N2O_manure_direct_BG</vt:lpstr>
      <vt:lpstr>EF_N2O_manure_direct_BR</vt:lpstr>
      <vt:lpstr>EF_N2O_manure_direct_CY</vt:lpstr>
      <vt:lpstr>EF_N2O_manure_direct_CZ</vt:lpstr>
      <vt:lpstr>EF_N2O_manure_direct_DE</vt:lpstr>
      <vt:lpstr>EF_N2O_manure_direct_DK</vt:lpstr>
      <vt:lpstr>EF_N2O_manure_direct_EE</vt:lpstr>
      <vt:lpstr>EF_N2O_manure_direct_ES</vt:lpstr>
      <vt:lpstr>EF_N2O_manure_direct_FI</vt:lpstr>
      <vt:lpstr>EF_N2O_manure_direct_FR</vt:lpstr>
      <vt:lpstr>EF_N2O_manure_direct_GB</vt:lpstr>
      <vt:lpstr>EF_N2O_manure_direct_GR</vt:lpstr>
      <vt:lpstr>EF_N2O_manure_direct_HR</vt:lpstr>
      <vt:lpstr>EF_N2O_manure_direct_HU</vt:lpstr>
      <vt:lpstr>EF_N2O_manure_direct_IE</vt:lpstr>
      <vt:lpstr>EF_N2O_manure_direct_IT</vt:lpstr>
      <vt:lpstr>EF_N2O_manure_direct_LT</vt:lpstr>
      <vt:lpstr>EF_N2O_manure_direct_LV</vt:lpstr>
      <vt:lpstr>EF_N2O_manure_direct_MT</vt:lpstr>
      <vt:lpstr>EF_N2O_manure_direct_NL</vt:lpstr>
      <vt:lpstr>EF_N2O_manure_direct_PL</vt:lpstr>
      <vt:lpstr>EF_N2O_manure_direct_PT</vt:lpstr>
      <vt:lpstr>EF_N2O_manure_direct_RO</vt:lpstr>
      <vt:lpstr>EF_N2O_manure_direct_SE</vt:lpstr>
      <vt:lpstr>EF_N2O_manure_direct_SI</vt:lpstr>
      <vt:lpstr>EF_N2O_manure_direct_SK</vt:lpstr>
      <vt:lpstr>EF_N2O_manure_direct_TH</vt:lpstr>
      <vt:lpstr>EF_N2O_manure_direct_US</vt:lpstr>
      <vt:lpstr>EF_N2O_manure_indirect_AT</vt:lpstr>
      <vt:lpstr>EF_N2O_manure_indirect_BE</vt:lpstr>
      <vt:lpstr>EF_N2O_manure_indirect_BG</vt:lpstr>
      <vt:lpstr>EF_N2O_manure_indirect_BR</vt:lpstr>
      <vt:lpstr>EF_N2O_manure_indirect_CY</vt:lpstr>
      <vt:lpstr>EF_N2O_manure_indirect_CZ</vt:lpstr>
      <vt:lpstr>EF_N2O_manure_indirect_DE</vt:lpstr>
      <vt:lpstr>EF_N2O_manure_indirect_DK</vt:lpstr>
      <vt:lpstr>EF_N2O_manure_indirect_EE</vt:lpstr>
      <vt:lpstr>EF_N2O_manure_indirect_ES</vt:lpstr>
      <vt:lpstr>EF_N2O_manure_indirect_FI</vt:lpstr>
      <vt:lpstr>EF_N2O_manure_indirect_FR</vt:lpstr>
      <vt:lpstr>EF_N2O_manure_indirect_GB</vt:lpstr>
      <vt:lpstr>EF_N2O_manure_indirect_GR</vt:lpstr>
      <vt:lpstr>EF_N2O_manure_indirect_HR</vt:lpstr>
      <vt:lpstr>EF_N2O_manure_indirect_HU</vt:lpstr>
      <vt:lpstr>EF_N2O_manure_indirect_IE</vt:lpstr>
      <vt:lpstr>EF_N2O_manure_indirect_IT</vt:lpstr>
      <vt:lpstr>EF_N2O_manure_indirect_LT</vt:lpstr>
      <vt:lpstr>EF_N2O_manure_indirect_LV</vt:lpstr>
      <vt:lpstr>EF_N2O_manure_indirect_MT</vt:lpstr>
      <vt:lpstr>EF_N2O_manure_indirect_NL</vt:lpstr>
      <vt:lpstr>EF_N2O_manure_indirect_PL</vt:lpstr>
      <vt:lpstr>EF_N2O_manure_indirect_PT</vt:lpstr>
      <vt:lpstr>EF_N2O_manure_indirect_RO</vt:lpstr>
      <vt:lpstr>EF_N2O_manure_indirect_SE</vt:lpstr>
      <vt:lpstr>EF_N2O_manure_indirect_SI</vt:lpstr>
      <vt:lpstr>EF_N2O_manure_indirect_SK</vt:lpstr>
      <vt:lpstr>EF_N2O_manure_indirect_TH</vt:lpstr>
      <vt:lpstr>EF_N2O_manure_indirect_US</vt:lpstr>
      <vt:lpstr>EF_oil_CH4</vt:lpstr>
      <vt:lpstr>EF_oil_CO2</vt:lpstr>
      <vt:lpstr>EF_oil_N2O</vt:lpstr>
      <vt:lpstr>Energy_slaughter_el_AT</vt:lpstr>
      <vt:lpstr>Energy_slaughter_el_BE</vt:lpstr>
      <vt:lpstr>Energy_slaughter_el_BG</vt:lpstr>
      <vt:lpstr>Energy_slaughter_el_BR</vt:lpstr>
      <vt:lpstr>Energy_slaughter_el_CY</vt:lpstr>
      <vt:lpstr>Energy_slaughter_el_CZ</vt:lpstr>
      <vt:lpstr>Energy_slaughter_el_DE</vt:lpstr>
      <vt:lpstr>Energy_slaughter_el_DK</vt:lpstr>
      <vt:lpstr>Energy_slaughter_el_EE</vt:lpstr>
      <vt:lpstr>Energy_slaughter_el_ES</vt:lpstr>
      <vt:lpstr>Energy_slaughter_el_FI</vt:lpstr>
      <vt:lpstr>Energy_slaughter_el_FR</vt:lpstr>
      <vt:lpstr>Energy_slaughter_el_GB</vt:lpstr>
      <vt:lpstr>Energy_slaughter_el_GR</vt:lpstr>
      <vt:lpstr>Energy_slaughter_el_HR</vt:lpstr>
      <vt:lpstr>Energy_slaughter_el_HU</vt:lpstr>
      <vt:lpstr>Energy_slaughter_el_IE</vt:lpstr>
      <vt:lpstr>Energy_slaughter_el_IT</vt:lpstr>
      <vt:lpstr>Energy_slaughter_el_LT</vt:lpstr>
      <vt:lpstr>Energy_slaughter_el_LV</vt:lpstr>
      <vt:lpstr>Energy_slaughter_el_MT</vt:lpstr>
      <vt:lpstr>Energy_slaughter_el_NL</vt:lpstr>
      <vt:lpstr>Energy_slaughter_el_PL</vt:lpstr>
      <vt:lpstr>Energy_slaughter_el_PT</vt:lpstr>
      <vt:lpstr>Energy_slaughter_el_RO</vt:lpstr>
      <vt:lpstr>Energy_slaughter_el_SE</vt:lpstr>
      <vt:lpstr>Energy_slaughter_el_SI</vt:lpstr>
      <vt:lpstr>Energy_slaughter_el_SK</vt:lpstr>
      <vt:lpstr>Energy_slaughter_el_TH</vt:lpstr>
      <vt:lpstr>Energy_slaughter_el_US</vt:lpstr>
      <vt:lpstr>Energy_slaughter_oil_AT</vt:lpstr>
      <vt:lpstr>Energy_slaughter_oil_BE</vt:lpstr>
      <vt:lpstr>Energy_slaughter_oil_BG</vt:lpstr>
      <vt:lpstr>Energy_slaughter_oil_BR</vt:lpstr>
      <vt:lpstr>Energy_slaughter_oil_CY</vt:lpstr>
      <vt:lpstr>Energy_slaughter_oil_CZ</vt:lpstr>
      <vt:lpstr>Energy_slaughter_oil_DE</vt:lpstr>
      <vt:lpstr>Energy_slaughter_oil_DK</vt:lpstr>
      <vt:lpstr>Energy_slaughter_oil_EE</vt:lpstr>
      <vt:lpstr>Energy_slaughter_oil_ES</vt:lpstr>
      <vt:lpstr>Energy_slaughter_oil_FI</vt:lpstr>
      <vt:lpstr>Energy_slaughter_oil_FR</vt:lpstr>
      <vt:lpstr>Energy_slaughter_oil_GB</vt:lpstr>
      <vt:lpstr>Energy_slaughter_oil_GR</vt:lpstr>
      <vt:lpstr>Energy_slaughter_oil_HR</vt:lpstr>
      <vt:lpstr>Energy_slaughter_oil_HU</vt:lpstr>
      <vt:lpstr>Energy_slaughter_oil_IE</vt:lpstr>
      <vt:lpstr>Energy_slaughter_oil_IT</vt:lpstr>
      <vt:lpstr>Energy_slaughter_oil_LT</vt:lpstr>
      <vt:lpstr>Energy_slaughter_oil_LV</vt:lpstr>
      <vt:lpstr>Energy_slaughter_oil_MT</vt:lpstr>
      <vt:lpstr>Energy_slaughter_oil_NL</vt:lpstr>
      <vt:lpstr>Energy_slaughter_oil_PL</vt:lpstr>
      <vt:lpstr>Energy_slaughter_oil_PT</vt:lpstr>
      <vt:lpstr>Energy_slaughter_oil_RO</vt:lpstr>
      <vt:lpstr>Energy_slaughter_oil_SE</vt:lpstr>
      <vt:lpstr>Energy_slaughter_oil_SI</vt:lpstr>
      <vt:lpstr>Energy_slaughter_oil_SK</vt:lpstr>
      <vt:lpstr>Energy_slaughter_oil_TH</vt:lpstr>
      <vt:lpstr>Energy_slaughter_oil_US</vt:lpstr>
      <vt:lpstr>Energy_stables_AT</vt:lpstr>
      <vt:lpstr>Energy_stables_BE</vt:lpstr>
      <vt:lpstr>Energy_stables_BG</vt:lpstr>
      <vt:lpstr>Energy_stables_BR</vt:lpstr>
      <vt:lpstr>Energy_stables_CY</vt:lpstr>
      <vt:lpstr>Energy_stables_CZ</vt:lpstr>
      <vt:lpstr>Energy_stables_DE</vt:lpstr>
      <vt:lpstr>Energy_stables_DK</vt:lpstr>
      <vt:lpstr>Energy_stables_EE</vt:lpstr>
      <vt:lpstr>Energy_stables_ES</vt:lpstr>
      <vt:lpstr>Energy_stables_FI</vt:lpstr>
      <vt:lpstr>Energy_stables_FR</vt:lpstr>
      <vt:lpstr>Energy_stables_GB</vt:lpstr>
      <vt:lpstr>Energy_stables_GR</vt:lpstr>
      <vt:lpstr>Energy_stables_HR</vt:lpstr>
      <vt:lpstr>Energy_stables_HU</vt:lpstr>
      <vt:lpstr>Energy_stables_IE</vt:lpstr>
      <vt:lpstr>Energy_stables_IT</vt:lpstr>
      <vt:lpstr>Energy_stables_LT</vt:lpstr>
      <vt:lpstr>Energy_stables_LV</vt:lpstr>
      <vt:lpstr>Energy_stables_MT</vt:lpstr>
      <vt:lpstr>Energy_stables_NL</vt:lpstr>
      <vt:lpstr>Energy_stables_PL</vt:lpstr>
      <vt:lpstr>Energy_stables_PT</vt:lpstr>
      <vt:lpstr>Energy_stables_RO</vt:lpstr>
      <vt:lpstr>Energy_stables_SE</vt:lpstr>
      <vt:lpstr>Energy_stables_SI</vt:lpstr>
      <vt:lpstr>Energy_stables_SK</vt:lpstr>
      <vt:lpstr>Energy_stables_TH</vt:lpstr>
      <vt:lpstr>Energy_stables_US</vt:lpstr>
      <vt:lpstr>Excreted_N_after_losses_AT</vt:lpstr>
      <vt:lpstr>Excreted_N_after_losses_BE</vt:lpstr>
      <vt:lpstr>Excreted_N_after_losses_BG</vt:lpstr>
      <vt:lpstr>Excreted_N_after_losses_BR</vt:lpstr>
      <vt:lpstr>Excreted_N_after_losses_CY</vt:lpstr>
      <vt:lpstr>Excreted_N_after_losses_CZ</vt:lpstr>
      <vt:lpstr>Excreted_N_after_losses_DE</vt:lpstr>
      <vt:lpstr>Excreted_N_after_losses_DK</vt:lpstr>
      <vt:lpstr>Excreted_N_after_losses_EE</vt:lpstr>
      <vt:lpstr>Excreted_N_after_losses_ES</vt:lpstr>
      <vt:lpstr>Excreted_N_after_losses_FI</vt:lpstr>
      <vt:lpstr>Excreted_N_after_losses_FR</vt:lpstr>
      <vt:lpstr>Excreted_N_after_losses_GB</vt:lpstr>
      <vt:lpstr>Excreted_N_after_losses_GR</vt:lpstr>
      <vt:lpstr>Excreted_N_after_losses_HR</vt:lpstr>
      <vt:lpstr>Excreted_N_after_losses_HU</vt:lpstr>
      <vt:lpstr>Excreted_N_after_losses_IE</vt:lpstr>
      <vt:lpstr>Excreted_N_after_losses_IT</vt:lpstr>
      <vt:lpstr>Excreted_N_after_losses_LT</vt:lpstr>
      <vt:lpstr>Excreted_N_after_losses_LV</vt:lpstr>
      <vt:lpstr>Excreted_N_after_losses_MT</vt:lpstr>
      <vt:lpstr>Excreted_N_after_losses_NL</vt:lpstr>
      <vt:lpstr>Excreted_N_after_losses_PL</vt:lpstr>
      <vt:lpstr>Excreted_N_after_losses_PT</vt:lpstr>
      <vt:lpstr>Excreted_N_after_losses_RO</vt:lpstr>
      <vt:lpstr>Excreted_N_after_losses_SE</vt:lpstr>
      <vt:lpstr>Excreted_N_after_losses_SI</vt:lpstr>
      <vt:lpstr>Excreted_N_after_losses_SK</vt:lpstr>
      <vt:lpstr>Excreted_N_after_losses_TH</vt:lpstr>
      <vt:lpstr>Excreted_N_after_losses_US</vt:lpstr>
      <vt:lpstr>Excreted_N_per_kg_of_bonefree_meat_AT</vt:lpstr>
      <vt:lpstr>Excreted_N_per_kg_of_bonefree_meat_BE</vt:lpstr>
      <vt:lpstr>Excreted_N_per_kg_of_bonefree_meat_BG</vt:lpstr>
      <vt:lpstr>Excreted_N_per_kg_of_bonefree_meat_BR</vt:lpstr>
      <vt:lpstr>Excreted_N_per_kg_of_bonefree_meat_CY</vt:lpstr>
      <vt:lpstr>Excreted_N_per_kg_of_bonefree_meat_CZ</vt:lpstr>
      <vt:lpstr>Excreted_N_per_kg_of_bonefree_meat_DE</vt:lpstr>
      <vt:lpstr>Excreted_N_per_kg_of_bonefree_meat_DK</vt:lpstr>
      <vt:lpstr>Excreted_N_per_kg_of_bonefree_meat_EE</vt:lpstr>
      <vt:lpstr>Excreted_N_per_kg_of_bonefree_meat_ES</vt:lpstr>
      <vt:lpstr>Excreted_N_per_kg_of_bonefree_meat_FI</vt:lpstr>
      <vt:lpstr>Excreted_N_per_kg_of_bonefree_meat_FR</vt:lpstr>
      <vt:lpstr>Excreted_N_per_kg_of_bonefree_meat_GB</vt:lpstr>
      <vt:lpstr>Excreted_N_per_kg_of_bonefree_meat_GR</vt:lpstr>
      <vt:lpstr>Excreted_N_per_kg_of_bonefree_meat_HR</vt:lpstr>
      <vt:lpstr>Excreted_N_per_kg_of_bonefree_meat_HU</vt:lpstr>
      <vt:lpstr>Excreted_N_per_kg_of_bonefree_meat_IE</vt:lpstr>
      <vt:lpstr>Excreted_N_per_kg_of_bonefree_meat_IT</vt:lpstr>
      <vt:lpstr>Excreted_N_per_kg_of_bonefree_meat_LT</vt:lpstr>
      <vt:lpstr>Excreted_N_per_kg_of_bonefree_meat_LV</vt:lpstr>
      <vt:lpstr>Excreted_N_per_kg_of_bonefree_meat_MT</vt:lpstr>
      <vt:lpstr>Excreted_N_per_kg_of_bonefree_meat_NL</vt:lpstr>
      <vt:lpstr>Excreted_N_per_kg_of_bonefree_meat_PL</vt:lpstr>
      <vt:lpstr>Excreted_N_per_kg_of_bonefree_meat_PT</vt:lpstr>
      <vt:lpstr>Excreted_N_per_kg_of_bonefree_meat_RO</vt:lpstr>
      <vt:lpstr>Excreted_N_per_kg_of_bonefree_meat_SE</vt:lpstr>
      <vt:lpstr>Excreted_N_per_kg_of_bonefree_meat_SI</vt:lpstr>
      <vt:lpstr>Excreted_N_per_kg_of_bonefree_meat_SK</vt:lpstr>
      <vt:lpstr>Excreted_N_per_kg_of_bonefree_meat_TH</vt:lpstr>
      <vt:lpstr>Excreted_N_per_kg_of_bonefree_meat_US</vt:lpstr>
      <vt:lpstr>FCR_bonefree_incl_parents_AT</vt:lpstr>
      <vt:lpstr>FCR_bonefree_incl_parents_BE</vt:lpstr>
      <vt:lpstr>FCR_bonefree_incl_parents_BG</vt:lpstr>
      <vt:lpstr>FCR_bonefree_incl_parents_BR</vt:lpstr>
      <vt:lpstr>FCR_bonefree_incl_parents_CY</vt:lpstr>
      <vt:lpstr>FCR_bonefree_incl_parents_CZ</vt:lpstr>
      <vt:lpstr>FCR_bonefree_incl_parents_DE</vt:lpstr>
      <vt:lpstr>FCR_bonefree_incl_parents_DK</vt:lpstr>
      <vt:lpstr>FCR_bonefree_incl_parents_EE</vt:lpstr>
      <vt:lpstr>FCR_bonefree_incl_parents_ES</vt:lpstr>
      <vt:lpstr>FCR_bonefree_incl_parents_FI</vt:lpstr>
      <vt:lpstr>FCR_bonefree_incl_parents_FR</vt:lpstr>
      <vt:lpstr>FCR_bonefree_incl_parents_GB</vt:lpstr>
      <vt:lpstr>FCR_bonefree_incl_parents_GR</vt:lpstr>
      <vt:lpstr>FCR_bonefree_incl_parents_HR</vt:lpstr>
      <vt:lpstr>FCR_bonefree_incl_parents_HU</vt:lpstr>
      <vt:lpstr>FCR_bonefree_incl_parents_IE</vt:lpstr>
      <vt:lpstr>FCR_bonefree_incl_parents_IT</vt:lpstr>
      <vt:lpstr>FCR_bonefree_incl_parents_LT</vt:lpstr>
      <vt:lpstr>FCR_bonefree_incl_parents_LV</vt:lpstr>
      <vt:lpstr>FCR_bonefree_incl_parents_MT</vt:lpstr>
      <vt:lpstr>FCR_bonefree_incl_parents_NL</vt:lpstr>
      <vt:lpstr>FCR_bonefree_incl_parents_PL</vt:lpstr>
      <vt:lpstr>FCR_bonefree_incl_parents_PT</vt:lpstr>
      <vt:lpstr>FCR_bonefree_incl_parents_RO</vt:lpstr>
      <vt:lpstr>FCR_bonefree_incl_parents_SE</vt:lpstr>
      <vt:lpstr>FCR_bonefree_incl_parents_SI</vt:lpstr>
      <vt:lpstr>FCR_bonefree_incl_parents_SK</vt:lpstr>
      <vt:lpstr>FCR_bonefree_incl_parents_TH</vt:lpstr>
      <vt:lpstr>FCR_bonefree_incl_parents_US</vt:lpstr>
      <vt:lpstr>Frac_AN_AT</vt:lpstr>
      <vt:lpstr>Frac_AN_BE</vt:lpstr>
      <vt:lpstr>Frac_AN_BG</vt:lpstr>
      <vt:lpstr>Frac_AN_BR</vt:lpstr>
      <vt:lpstr>Frac_AN_CY</vt:lpstr>
      <vt:lpstr>Frac_AN_CZ</vt:lpstr>
      <vt:lpstr>Frac_AN_DE</vt:lpstr>
      <vt:lpstr>Frac_AN_DK</vt:lpstr>
      <vt:lpstr>Frac_AN_EE</vt:lpstr>
      <vt:lpstr>Frac_AN_ES</vt:lpstr>
      <vt:lpstr>Frac_AN_FI</vt:lpstr>
      <vt:lpstr>Frac_AN_FR</vt:lpstr>
      <vt:lpstr>Frac_AN_GB</vt:lpstr>
      <vt:lpstr>Frac_AN_GR</vt:lpstr>
      <vt:lpstr>Frac_AN_HR</vt:lpstr>
      <vt:lpstr>Frac_AN_HU</vt:lpstr>
      <vt:lpstr>Frac_AN_IE</vt:lpstr>
      <vt:lpstr>Frac_AN_IT</vt:lpstr>
      <vt:lpstr>Frac_AN_LT</vt:lpstr>
      <vt:lpstr>Frac_AN_LV</vt:lpstr>
      <vt:lpstr>Frac_AN_MT</vt:lpstr>
      <vt:lpstr>Frac_AN_NL</vt:lpstr>
      <vt:lpstr>Frac_AN_PL</vt:lpstr>
      <vt:lpstr>Frac_AN_PT</vt:lpstr>
      <vt:lpstr>Frac_AN_RO</vt:lpstr>
      <vt:lpstr>Frac_AN_SE</vt:lpstr>
      <vt:lpstr>Frac_AN_SI</vt:lpstr>
      <vt:lpstr>Frac_AN_SK</vt:lpstr>
      <vt:lpstr>Frac_AN_TH</vt:lpstr>
      <vt:lpstr>Frac_AN_US</vt:lpstr>
      <vt:lpstr>Frac_BAT_AT</vt:lpstr>
      <vt:lpstr>Frac_BAT_BE</vt:lpstr>
      <vt:lpstr>Frac_BAT_BG</vt:lpstr>
      <vt:lpstr>Frac_BAT_BR</vt:lpstr>
      <vt:lpstr>Frac_BAT_CY</vt:lpstr>
      <vt:lpstr>Frac_BAT_CZ</vt:lpstr>
      <vt:lpstr>Frac_BAT_DE</vt:lpstr>
      <vt:lpstr>Frac_BAT_DK</vt:lpstr>
      <vt:lpstr>Frac_BAT_EE</vt:lpstr>
      <vt:lpstr>Frac_BAT_ES</vt:lpstr>
      <vt:lpstr>Frac_BAT_FI</vt:lpstr>
      <vt:lpstr>Frac_BAT_FR</vt:lpstr>
      <vt:lpstr>Frac_BAT_GB</vt:lpstr>
      <vt:lpstr>Frac_BAT_GR</vt:lpstr>
      <vt:lpstr>Frac_BAT_HR</vt:lpstr>
      <vt:lpstr>Frac_BAT_HU</vt:lpstr>
      <vt:lpstr>Frac_BAT_IE</vt:lpstr>
      <vt:lpstr>Frac_BAT_IT</vt:lpstr>
      <vt:lpstr>Frac_BAT_LT</vt:lpstr>
      <vt:lpstr>Frac_BAT_LV</vt:lpstr>
      <vt:lpstr>Frac_BAT_MT</vt:lpstr>
      <vt:lpstr>Frac_BAT_NL</vt:lpstr>
      <vt:lpstr>Frac_BAT_PL</vt:lpstr>
      <vt:lpstr>Frac_BAT_PT</vt:lpstr>
      <vt:lpstr>Frac_BAT_RO</vt:lpstr>
      <vt:lpstr>Frac_BAT_SE</vt:lpstr>
      <vt:lpstr>Frac_BAT_SI</vt:lpstr>
      <vt:lpstr>Frac_BAT_SK</vt:lpstr>
      <vt:lpstr>Frac_BAT_TH</vt:lpstr>
      <vt:lpstr>Frac_BAT_US</vt:lpstr>
      <vt:lpstr>GBughter_el_AT</vt:lpstr>
      <vt:lpstr>GRAT</vt:lpstr>
      <vt:lpstr>Labour_per_animal_AT</vt:lpstr>
      <vt:lpstr>Labour_per_animal_BE</vt:lpstr>
      <vt:lpstr>Labour_per_animal_BG</vt:lpstr>
      <vt:lpstr>Labour_per_animal_BR</vt:lpstr>
      <vt:lpstr>Labour_per_animal_CY</vt:lpstr>
      <vt:lpstr>Labour_per_animal_CZ</vt:lpstr>
      <vt:lpstr>Labour_per_animal_DE</vt:lpstr>
      <vt:lpstr>Labour_per_animal_DK</vt:lpstr>
      <vt:lpstr>Labour_per_animal_EE</vt:lpstr>
      <vt:lpstr>Labour_per_animal_ES</vt:lpstr>
      <vt:lpstr>Labour_per_animal_FI</vt:lpstr>
      <vt:lpstr>Labour_per_animal_FR</vt:lpstr>
      <vt:lpstr>Labour_per_animal_GB</vt:lpstr>
      <vt:lpstr>Labour_per_animal_GR</vt:lpstr>
      <vt:lpstr>Labour_per_animal_HR</vt:lpstr>
      <vt:lpstr>Labour_per_animal_HU</vt:lpstr>
      <vt:lpstr>Labour_per_animal_IE</vt:lpstr>
      <vt:lpstr>Labour_per_animal_IT</vt:lpstr>
      <vt:lpstr>Labour_per_animal_LT</vt:lpstr>
      <vt:lpstr>Labour_per_animal_LV</vt:lpstr>
      <vt:lpstr>Labour_per_animal_MT</vt:lpstr>
      <vt:lpstr>Labour_per_animal_NL</vt:lpstr>
      <vt:lpstr>Labour_per_animal_PL</vt:lpstr>
      <vt:lpstr>Labour_per_animal_PT</vt:lpstr>
      <vt:lpstr>Labour_per_animal_RO</vt:lpstr>
      <vt:lpstr>Labour_per_animal_SE</vt:lpstr>
      <vt:lpstr>Labour_per_animal_SI</vt:lpstr>
      <vt:lpstr>Labour_per_animal_SK</vt:lpstr>
      <vt:lpstr>Labour_per_animal_TH</vt:lpstr>
      <vt:lpstr>Labour_per_animal_US</vt:lpstr>
      <vt:lpstr>Manure_repl_factor_AT</vt:lpstr>
      <vt:lpstr>Manure_repl_factor_BE</vt:lpstr>
      <vt:lpstr>Manure_repl_factor_BG</vt:lpstr>
      <vt:lpstr>Manure_repl_factor_BR</vt:lpstr>
      <vt:lpstr>Manure_repl_factor_CY</vt:lpstr>
      <vt:lpstr>Manure_repl_factor_CZ</vt:lpstr>
      <vt:lpstr>Manure_repl_factor_DE</vt:lpstr>
      <vt:lpstr>Manure_repl_factor_DK</vt:lpstr>
      <vt:lpstr>Manure_repl_factor_EE</vt:lpstr>
      <vt:lpstr>Manure_repl_factor_ES</vt:lpstr>
      <vt:lpstr>Manure_repl_factor_FE</vt:lpstr>
      <vt:lpstr>Manure_repl_factor_FI</vt:lpstr>
      <vt:lpstr>Manure_repl_factor_FR</vt:lpstr>
      <vt:lpstr>Manure_repl_factor_GB</vt:lpstr>
      <vt:lpstr>Manure_repl_factor_GR</vt:lpstr>
      <vt:lpstr>Manure_repl_factor_HR</vt:lpstr>
      <vt:lpstr>Manure_repl_factor_HU</vt:lpstr>
      <vt:lpstr>Manure_repl_factor_IE</vt:lpstr>
      <vt:lpstr>Manure_repl_factor_IT</vt:lpstr>
      <vt:lpstr>Manure_repl_factor_LT</vt:lpstr>
      <vt:lpstr>Manure_repl_factor_LV</vt:lpstr>
      <vt:lpstr>Manure_repl_factor_MT</vt:lpstr>
      <vt:lpstr>Manure_repl_factor_NL</vt:lpstr>
      <vt:lpstr>Manure_repl_factor_PL</vt:lpstr>
      <vt:lpstr>Manure_repl_factor_PT</vt:lpstr>
      <vt:lpstr>Manure_repl_factor_RO</vt:lpstr>
      <vt:lpstr>Manure_repl_factor_SE</vt:lpstr>
      <vt:lpstr>Manure_repl_factor_SI</vt:lpstr>
      <vt:lpstr>Manure_repl_factor_SK</vt:lpstr>
      <vt:lpstr>Manure_repl_factor_TH</vt:lpstr>
      <vt:lpstr>Manure_repl_factor_US</vt:lpstr>
      <vt:lpstr>Share_biofuels_AT</vt:lpstr>
      <vt:lpstr>Share_biofuels_BE</vt:lpstr>
      <vt:lpstr>Share_biofuels_BG</vt:lpstr>
      <vt:lpstr>Share_biofuels_BR</vt:lpstr>
      <vt:lpstr>Share_biofuels_CY</vt:lpstr>
      <vt:lpstr>Share_biofuels_CZ</vt:lpstr>
      <vt:lpstr>Share_biofuels_DE</vt:lpstr>
      <vt:lpstr>Share_biofuels_DK</vt:lpstr>
      <vt:lpstr>Share_biofuels_EE</vt:lpstr>
      <vt:lpstr>Share_biofuels_ES</vt:lpstr>
      <vt:lpstr>Share_biofuels_FI</vt:lpstr>
      <vt:lpstr>Share_biofuels_FR</vt:lpstr>
      <vt:lpstr>Share_biofuels_GB</vt:lpstr>
      <vt:lpstr>Share_biofuels_GR</vt:lpstr>
      <vt:lpstr>Share_biofuels_HR</vt:lpstr>
      <vt:lpstr>Share_biofuels_HU</vt:lpstr>
      <vt:lpstr>Share_biofuels_IE</vt:lpstr>
      <vt:lpstr>Share_biofuels_IT</vt:lpstr>
      <vt:lpstr>Share_biofuels_LT</vt:lpstr>
      <vt:lpstr>Share_biofuels_LV</vt:lpstr>
      <vt:lpstr>Share_biofuels_MT</vt:lpstr>
      <vt:lpstr>Share_biofuels_NL</vt:lpstr>
      <vt:lpstr>Share_biofuels_PL</vt:lpstr>
      <vt:lpstr>Share_biofuels_PT</vt:lpstr>
      <vt:lpstr>Share_biofuels_RO</vt:lpstr>
      <vt:lpstr>Share_biofuels_SE</vt:lpstr>
      <vt:lpstr>Share_biofuels_SI</vt:lpstr>
      <vt:lpstr>Share_biofuels_SK</vt:lpstr>
      <vt:lpstr>Share_biofuels_TH</vt:lpstr>
      <vt:lpstr>Share_biofuels_US</vt:lpstr>
      <vt:lpstr>Share_heating_AT</vt:lpstr>
      <vt:lpstr>Share_heating_BE</vt:lpstr>
      <vt:lpstr>Share_heating_BG</vt:lpstr>
      <vt:lpstr>Share_heating_BR</vt:lpstr>
      <vt:lpstr>Share_heating_CY</vt:lpstr>
      <vt:lpstr>Share_heating_CZ</vt:lpstr>
      <vt:lpstr>Share_heating_DE</vt:lpstr>
      <vt:lpstr>Share_heating_DK</vt:lpstr>
      <vt:lpstr>Share_heating_EE</vt:lpstr>
      <vt:lpstr>Share_heating_ES</vt:lpstr>
      <vt:lpstr>Share_heating_FI</vt:lpstr>
      <vt:lpstr>Share_heating_FR</vt:lpstr>
      <vt:lpstr>Share_heating_GB</vt:lpstr>
      <vt:lpstr>Share_heating_GR</vt:lpstr>
      <vt:lpstr>Share_heating_HR</vt:lpstr>
      <vt:lpstr>Share_heating_HU</vt:lpstr>
      <vt:lpstr>Share_heating_IE</vt:lpstr>
      <vt:lpstr>Share_heating_IT</vt:lpstr>
      <vt:lpstr>Share_heating_LT</vt:lpstr>
      <vt:lpstr>Share_heating_LV</vt:lpstr>
      <vt:lpstr>Share_heating_MT</vt:lpstr>
      <vt:lpstr>Share_heating_NL</vt:lpstr>
      <vt:lpstr>Share_heating_PL</vt:lpstr>
      <vt:lpstr>Share_heating_PT</vt:lpstr>
      <vt:lpstr>Share_heating_RO</vt:lpstr>
      <vt:lpstr>Share_heating_SE</vt:lpstr>
      <vt:lpstr>Share_heating_SI</vt:lpstr>
      <vt:lpstr>Share_heating_SK</vt:lpstr>
      <vt:lpstr>Share_heating_TH</vt:lpstr>
      <vt:lpstr>Share_heating_US</vt:lpstr>
      <vt:lpstr>Slaughter_age_AT</vt:lpstr>
      <vt:lpstr>Slaughter_age_BE</vt:lpstr>
      <vt:lpstr>Slaughter_age_BG</vt:lpstr>
      <vt:lpstr>Slaughter_age_BR</vt:lpstr>
      <vt:lpstr>Slaughter_age_CY</vt:lpstr>
      <vt:lpstr>Slaughter_age_CZ</vt:lpstr>
      <vt:lpstr>Slaughter_age_DE</vt:lpstr>
      <vt:lpstr>Slaughter_age_DK</vt:lpstr>
      <vt:lpstr>Slaughter_age_EE</vt:lpstr>
      <vt:lpstr>Slaughter_age_ES</vt:lpstr>
      <vt:lpstr>Slaughter_age_FI</vt:lpstr>
      <vt:lpstr>Slaughter_age_FR</vt:lpstr>
      <vt:lpstr>Slaughter_age_GB</vt:lpstr>
      <vt:lpstr>Slaughter_age_GR</vt:lpstr>
      <vt:lpstr>Slaughter_age_HR</vt:lpstr>
      <vt:lpstr>Slaughter_age_HU</vt:lpstr>
      <vt:lpstr>Slaughter_age_IE</vt:lpstr>
      <vt:lpstr>Slaughter_age_IT</vt:lpstr>
      <vt:lpstr>Slaughter_age_LT</vt:lpstr>
      <vt:lpstr>Slaughter_age_LV</vt:lpstr>
      <vt:lpstr>Slaughter_age_MT</vt:lpstr>
      <vt:lpstr>Slaughter_age_NL</vt:lpstr>
      <vt:lpstr>Slaughter_age_PL</vt:lpstr>
      <vt:lpstr>Slaughter_age_PT</vt:lpstr>
      <vt:lpstr>Slaughter_age_RO</vt:lpstr>
      <vt:lpstr>Slaughter_age_SE</vt:lpstr>
      <vt:lpstr>Slaughter_age_SI</vt:lpstr>
      <vt:lpstr>Slaughter_age_SK</vt:lpstr>
      <vt:lpstr>Slaughter_age_TH</vt:lpstr>
      <vt:lpstr>Slaughter_age_US</vt:lpstr>
      <vt:lpstr>Slaughter_duration_class</vt:lpstr>
      <vt:lpstr>Water_stables_AT</vt:lpstr>
      <vt:lpstr>Water_stables_BE</vt:lpstr>
      <vt:lpstr>Water_stables_BG</vt:lpstr>
      <vt:lpstr>Water_stables_BR</vt:lpstr>
      <vt:lpstr>Water_stables_CY</vt:lpstr>
      <vt:lpstr>Water_stables_CZ</vt:lpstr>
      <vt:lpstr>Water_stables_DE</vt:lpstr>
      <vt:lpstr>Water_stables_DK</vt:lpstr>
      <vt:lpstr>Water_stables_EE</vt:lpstr>
      <vt:lpstr>Water_stables_ES</vt:lpstr>
      <vt:lpstr>Water_stables_FI</vt:lpstr>
      <vt:lpstr>Water_stables_FR</vt:lpstr>
      <vt:lpstr>Water_stables_GB</vt:lpstr>
      <vt:lpstr>Water_stables_GR</vt:lpstr>
      <vt:lpstr>Water_stables_HR</vt:lpstr>
      <vt:lpstr>Water_stables_HU</vt:lpstr>
      <vt:lpstr>Water_stables_IE</vt:lpstr>
      <vt:lpstr>Water_stables_IT</vt:lpstr>
      <vt:lpstr>Water_stables_LT</vt:lpstr>
      <vt:lpstr>Water_stables_LV</vt:lpstr>
      <vt:lpstr>Water_stables_MT</vt:lpstr>
      <vt:lpstr>Water_stables_NL</vt:lpstr>
      <vt:lpstr>Water_stables_PL</vt:lpstr>
      <vt:lpstr>Water_stables_PT</vt:lpstr>
      <vt:lpstr>Water_stables_RO</vt:lpstr>
      <vt:lpstr>Water_stables_SE</vt:lpstr>
      <vt:lpstr>Water_stables_SI</vt:lpstr>
      <vt:lpstr>Water_stables_SK</vt:lpstr>
      <vt:lpstr>Water_stables_TH</vt:lpstr>
      <vt:lpstr>Water_stables_US</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Ludvig Karlsson</cp:lastModifiedBy>
  <cp:revision/>
  <dcterms:created xsi:type="dcterms:W3CDTF">2015-06-05T18:19:34Z</dcterms:created>
  <dcterms:modified xsi:type="dcterms:W3CDTF">2024-04-05T14:15:51Z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