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velantbruksuniversitet-my.sharepoint.com/personal/elin_roos_slu_se/Documents/Dokument/SLU/Projekt 42 - Plan'eat/WP3/2 - Livestock/"/>
    </mc:Choice>
  </mc:AlternateContent>
  <xr:revisionPtr revIDLastSave="2842" documentId="8_{A6F65F5A-55A9-416A-B382-C9F1D7F0DE4B}" xr6:coauthVersionLast="47" xr6:coauthVersionMax="47" xr10:uidLastSave="{52A026C6-0C19-484D-8B07-13B6EB86F1D2}"/>
  <bookViews>
    <workbookView xWindow="-108" yWindow="-108" windowWidth="23256" windowHeight="12576" tabRatio="1000" firstSheet="3" activeTab="11" xr2:uid="{00000000-000D-0000-FFFF-FFFF00000000}"/>
  </bookViews>
  <sheets>
    <sheet name="README" sheetId="18" r:id="rId1"/>
    <sheet name="Figures" sheetId="27" r:id="rId2"/>
    <sheet name="Footprints, results per kg" sheetId="17" r:id="rId3"/>
    <sheet name="GHG detailed, results per kg" sheetId="13" r:id="rId4"/>
    <sheet name="Production" sheetId="23" r:id="rId5"/>
    <sheet name="Parameters, country spec" sheetId="4" r:id="rId6"/>
    <sheet name="Mortality &amp; FCR" sheetId="26" r:id="rId7"/>
    <sheet name="Manure" sheetId="25" r:id="rId8"/>
    <sheet name="CO2 per kg feed" sheetId="2" r:id="rId9"/>
    <sheet name="CH4 per kg feed" sheetId="15" r:id="rId10"/>
    <sheet name="N2O per kg feed" sheetId="14" r:id="rId11"/>
    <sheet name="EFP per kg feed" sheetId="16" r:id="rId12"/>
    <sheet name="Off-farm feed" sheetId="28" r:id="rId13"/>
    <sheet name="Parameters, general" sheetId="20" r:id="rId14"/>
    <sheet name="References" sheetId="21" r:id="rId15"/>
    <sheet name="Verification" sheetId="22" r:id="rId16"/>
  </sheets>
  <definedNames>
    <definedName name="_xlnm._FilterDatabase" localSheetId="1" hidden="1">Figures!$A$6:$M$6</definedName>
    <definedName name="_xlnm._FilterDatabase" localSheetId="2" hidden="1">'Footprints, results per kg'!$D$6:$U$6</definedName>
    <definedName name="Ability_to_perceive_handling">'Parameters, general'!$B$19</definedName>
    <definedName name="Boars_per_sow">'Parameters, country spec'!$L$17</definedName>
    <definedName name="Bonefree_outof_CW_DE">'Parameters, country spec'!$D$8</definedName>
    <definedName name="Bonefree_outof_CW_DK">'Parameters, country spec'!$B$8</definedName>
    <definedName name="Bonefree_outof_CW_ES">'Parameters, country spec'!$K$8</definedName>
    <definedName name="Bonefree_outof_CW_FR">'Parameters, country spec'!$C$8</definedName>
    <definedName name="Bonefree_outof_CW_GR">'Parameters, country spec'!$E$8</definedName>
    <definedName name="Bonefree_outof_CW_HU">'Parameters, country spec'!$F$8</definedName>
    <definedName name="Bonefree_outof_CW_IE">'Parameters, country spec'!$G$8</definedName>
    <definedName name="Bonefree_outof_CW_IT">'Parameters, country spec'!$H$8</definedName>
    <definedName name="Bonefree_outof_CW_NL">'Parameters, country spec'!$I$8</definedName>
    <definedName name="Bonefree_outof_CW_PL">'Parameters, country spec'!$J$8</definedName>
    <definedName name="Bonefree_outof_CW_SE">'Parameters, country spec'!$L$8</definedName>
    <definedName name="CF_GWP_CH4_fossil">'Parameters, general'!$B$14</definedName>
    <definedName name="CF_GWP_N2O">'Parameters, general'!$B$15</definedName>
    <definedName name="Crop_data">#REF!</definedName>
    <definedName name="Crop_data_codes">#REF!</definedName>
    <definedName name="EF_biofuel_CH4">'Parameters, general'!$C$6</definedName>
    <definedName name="EF_biofuel_N2O">'Parameters, general'!$D$6</definedName>
    <definedName name="EF_biofuels_CO2">'Parameters, general'!$B$6</definedName>
    <definedName name="EF_el_CH4_BR">'Parameters, general'!$B$31</definedName>
    <definedName name="EF_el_CH4_DE">'Parameters, country spec'!$D$91</definedName>
    <definedName name="EF_el_CH4_DK">'Parameters, country spec'!$B$91</definedName>
    <definedName name="EF_el_CH4_ES">'Parameters, country spec'!$K$91</definedName>
    <definedName name="EF_el_CH4_FR">'Parameters, country spec'!$C$91</definedName>
    <definedName name="EF_el_CH4_GR">'Parameters, country spec'!$E$91</definedName>
    <definedName name="EF_el_CH4_HU">'Parameters, country spec'!$F$91</definedName>
    <definedName name="EF_el_CH4_IE">'Parameters, country spec'!$G$91</definedName>
    <definedName name="EF_el_CH4_IT">'Parameters, country spec'!$H$91</definedName>
    <definedName name="EF_el_CH4_NL">'Parameters, country spec'!$I$91</definedName>
    <definedName name="EF_el_CH4_PL">'Parameters, country spec'!$J$91</definedName>
    <definedName name="EF_el_CH4_SE">'Parameters, country spec'!$L$91</definedName>
    <definedName name="EF_el_CO2_BR">'Parameters, general'!$B$30</definedName>
    <definedName name="EF_el_CO2_DE">'Parameters, country spec'!$D$90</definedName>
    <definedName name="EF_el_CO2_DK">'Parameters, country spec'!$B$90</definedName>
    <definedName name="EF_el_CO2_ES">'Parameters, country spec'!$K$90</definedName>
    <definedName name="EF_el_CO2_FR">'Parameters, country spec'!$C$90</definedName>
    <definedName name="EF_el_CO2_GR">'Parameters, country spec'!$E$90</definedName>
    <definedName name="EF_el_CO2_HU">'Parameters, country spec'!$F$90</definedName>
    <definedName name="EF_el_CO2_IE">'Parameters, country spec'!$G$90</definedName>
    <definedName name="EF_el_CO2_IT">'Parameters, country spec'!$H$90</definedName>
    <definedName name="EF_el_CO2_NL">'Parameters, country spec'!$I$90</definedName>
    <definedName name="EF_el_CO2_PL">'Parameters, country spec'!$J$90</definedName>
    <definedName name="EF_el_CO2_SE">'Parameters, country spec'!$L$90</definedName>
    <definedName name="EF_el_N2O_BR">'Parameters, general'!$B$32</definedName>
    <definedName name="EF_el_N2O_DE">'Parameters, country spec'!$D$92</definedName>
    <definedName name="EF_el_N2O_DK">'Parameters, country spec'!$B$92</definedName>
    <definedName name="EF_el_N2O_ES">'Parameters, country spec'!$K$92</definedName>
    <definedName name="EF_el_N2O_FR">'Parameters, country spec'!$C$92</definedName>
    <definedName name="EF_el_N2O_GR">'Parameters, country spec'!$E$92</definedName>
    <definedName name="EF_el_N2O_HU">'Parameters, country spec'!$F$92</definedName>
    <definedName name="EF_el_N2O_IE">'Parameters, country spec'!$G$92</definedName>
    <definedName name="EF_el_N2O_IT">'Parameters, country spec'!$H$92</definedName>
    <definedName name="EF_el_N2O_NL">'Parameters, country spec'!$I$92</definedName>
    <definedName name="EF_el_N2O_PL">'Parameters, country spec'!$J$92</definedName>
    <definedName name="EF_el_N2O_SE">'Parameters, country spec'!$L$92</definedName>
    <definedName name="EF_electricity">'Parameters, country spec'!$L$89</definedName>
    <definedName name="EF_ent_ferm_DE">'Parameters, country spec'!$D$75</definedName>
    <definedName name="EF_ent_ferm_DK">'Parameters, country spec'!$B$75</definedName>
    <definedName name="EF_ent_ferm_ES">'Parameters, country spec'!$K$75</definedName>
    <definedName name="EF_ent_ferm_FR">'Parameters, country spec'!$C$75</definedName>
    <definedName name="EF_ent_ferm_GR">'Parameters, country spec'!$E$75</definedName>
    <definedName name="EF_ent_ferm_HU">'Parameters, country spec'!$F$75</definedName>
    <definedName name="EF_ent_ferm_IE">'Parameters, country spec'!$G$75</definedName>
    <definedName name="EF_ent_ferm_IT">'Parameters, country spec'!$H$75</definedName>
    <definedName name="EF_ent_ferm_NL">'Parameters, country spec'!$I$75</definedName>
    <definedName name="EF_ent_ferm_PL">'Parameters, country spec'!$J$75</definedName>
    <definedName name="EF_ent_ferm_SE">'Parameters, country spec'!$L$75</definedName>
    <definedName name="EF_GWP_CH4_biog">'Parameters, general'!$B$16</definedName>
    <definedName name="EF_indirect_N2O_DE">'Parameters, country spec'!$D$105</definedName>
    <definedName name="EF_indirect_N2O_DK">'Parameters, country spec'!$B$105</definedName>
    <definedName name="EF_indirect_N2O_ES">'Parameters, country spec'!$K$105</definedName>
    <definedName name="EF_indirect_N2O_FR">'Parameters, country spec'!$C$105</definedName>
    <definedName name="EF_indirect_N2O_GR">'Parameters, country spec'!$E$105</definedName>
    <definedName name="EF_indirect_N2O_HU">'Parameters, country spec'!$F$105</definedName>
    <definedName name="EF_indirect_N2O_IE">'Parameters, country spec'!$G$105</definedName>
    <definedName name="EF_indirect_N2O_IT">'Parameters, country spec'!$H$105</definedName>
    <definedName name="EF_indirect_N2O_NL">'Parameters, country spec'!$I$105</definedName>
    <definedName name="EF_indirect_N2O_PL">'Parameters, country spec'!$J$105</definedName>
    <definedName name="EF_indirect_N2O_SE">'Parameters, country spec'!$L$105</definedName>
    <definedName name="EF_min_fert_AN_CH4">'Parameters, general'!$C$10</definedName>
    <definedName name="EF_min_fert_AN_CO2">'Parameters, general'!$B$10</definedName>
    <definedName name="EF_min_fert_AN_N2O">'Parameters, general'!$D$10</definedName>
    <definedName name="EF_min_fert_BAT_CH4">'Parameters, general'!$C$9</definedName>
    <definedName name="EF_min_fert_BAT_CO2">'Parameters, general'!$B$9</definedName>
    <definedName name="EF_min_fert_BAT_N2O">'Parameters, general'!$D$9</definedName>
    <definedName name="EF_N2O_diff_DE">'Parameters, country spec'!$D$104</definedName>
    <definedName name="EF_N2O_diff_DK">'Parameters, country spec'!$B$104</definedName>
    <definedName name="EF_N2O_diff_ES">'Parameters, country spec'!$K$104</definedName>
    <definedName name="EF_N2O_diff_FR">'Parameters, country spec'!$C$104</definedName>
    <definedName name="EF_N2O_diff_GR">'Parameters, country spec'!$E$104</definedName>
    <definedName name="EF_N2O_diff_HU">'Parameters, country spec'!$F$104</definedName>
    <definedName name="EF_N2O_diff_IE">'Parameters, country spec'!$G$104</definedName>
    <definedName name="EF_N2O_diff_IT">'Parameters, country spec'!$H$104</definedName>
    <definedName name="EF_N2O_diff_NL">'Parameters, country spec'!$I$104</definedName>
    <definedName name="EF_N2O_diff_PL">'Parameters, country spec'!$J$104</definedName>
    <definedName name="EF_N2O_diff_SE">'Parameters, country spec'!$L$104</definedName>
    <definedName name="EF_oil_CH4">'Parameters, general'!$C$5</definedName>
    <definedName name="EF_oil_CO2">'Parameters, general'!$B$5</definedName>
    <definedName name="EF_oil_N2O">'Parameters, general'!$D$5</definedName>
    <definedName name="Energy_slaughter_el_DE">'Parameters, country spec'!$D$85</definedName>
    <definedName name="Energy_slaughter_el_DK">'Parameters, country spec'!$B$85</definedName>
    <definedName name="Energy_slaughter_el_ES">'Parameters, country spec'!$K$85</definedName>
    <definedName name="Energy_slaughter_el_FR">'Parameters, country spec'!$C$85</definedName>
    <definedName name="Energy_slaughter_el_GR">'Parameters, country spec'!$E$85</definedName>
    <definedName name="Energy_slaughter_el_HU">'Parameters, country spec'!$F$85</definedName>
    <definedName name="Energy_slaughter_el_IE">'Parameters, country spec'!$G$85</definedName>
    <definedName name="Energy_slaughter_el_IT">'Parameters, country spec'!$H$85</definedName>
    <definedName name="Energy_slaughter_el_NL">'Parameters, country spec'!$I$85</definedName>
    <definedName name="Energy_slaughter_el_PL">'Parameters, country spec'!$J$85</definedName>
    <definedName name="Energy_slaughter_el_SE">'Parameters, country spec'!$L$85</definedName>
    <definedName name="Energy_slaughter_oil_DE">'Parameters, country spec'!$D$86</definedName>
    <definedName name="Energy_slaughter_oil_DK">'Parameters, country spec'!$B$86</definedName>
    <definedName name="Energy_slaughter_oil_ES">'Parameters, country spec'!$K$86</definedName>
    <definedName name="Energy_slaughter_oil_FR">'Parameters, country spec'!$C$86</definedName>
    <definedName name="Energy_slaughter_oil_GR">'Parameters, country spec'!$E$86</definedName>
    <definedName name="Energy_slaughter_oil_HU">'Parameters, country spec'!$F$86</definedName>
    <definedName name="Energy_slaughter_oil_IE">'Parameters, country spec'!$G$86</definedName>
    <definedName name="Energy_slaughter_oil_IT">'Parameters, country spec'!$H$86</definedName>
    <definedName name="Energy_slaughter_oil_NL">'Parameters, country spec'!$I$86</definedName>
    <definedName name="Energy_slaughter_oil_PL">'Parameters, country spec'!$J$86</definedName>
    <definedName name="Energy_slaughter_oil_SE">'Parameters, country spec'!$L$86</definedName>
    <definedName name="Energy_stables_DE">'Parameters, country spec'!$D$80</definedName>
    <definedName name="Energy_stables_DK">'Parameters, country spec'!$B$80</definedName>
    <definedName name="Energy_stables_ES">'Parameters, country spec'!$K$80</definedName>
    <definedName name="Energy_stables_FR">'Parameters, country spec'!$C$80</definedName>
    <definedName name="Energy_stables_GR">'Parameters, country spec'!$E$80</definedName>
    <definedName name="Energy_stables_HU">'Parameters, country spec'!$F$80</definedName>
    <definedName name="Energy_stables_IE">'Parameters, country spec'!$G$80</definedName>
    <definedName name="Energy_stables_IT">'Parameters, country spec'!$H$80</definedName>
    <definedName name="Energy_stables_NL">'Parameters, country spec'!$I$80</definedName>
    <definedName name="Energy_stables_PL">'Parameters, country spec'!$J$80</definedName>
    <definedName name="Energy_stables_SE">'Parameters, country spec'!$L$80</definedName>
    <definedName name="Excreted_N_after_losses_DE">Manure!$J$139</definedName>
    <definedName name="Excreted_N_after_losses_DK">Manure!$B$139</definedName>
    <definedName name="Excreted_N_after_losses_ES">Manure!$AL$139</definedName>
    <definedName name="Excreted_N_after_losses_FR">Manure!$F$139</definedName>
    <definedName name="Excreted_N_after_losses_GR">Manure!$N$139</definedName>
    <definedName name="Excreted_N_after_losses_HU">Manure!$R$139</definedName>
    <definedName name="Excreted_N_after_losses_IE">Manure!$V$139</definedName>
    <definedName name="Excreted_N_after_losses_IT">Manure!$Z$139</definedName>
    <definedName name="Excreted_N_after_losses_NL">Manure!$AD$139</definedName>
    <definedName name="Excreted_N_after_losses_PL">Manure!$AH$139</definedName>
    <definedName name="Excreted_N_after_losses_SE">Manure!$AP$139</definedName>
    <definedName name="FCR_bonefree_incl_parents_DE">'Parameters, country spec'!$D$71</definedName>
    <definedName name="FCR_bonefree_incl_parents_DK">'Parameters, country spec'!$B$71</definedName>
    <definedName name="FCR_bonefree_incl_parents_ES">'Parameters, country spec'!$K$71</definedName>
    <definedName name="FCR_bonefree_incl_parents_FR">'Parameters, country spec'!$C$71</definedName>
    <definedName name="FCR_bonefree_incl_parents_GR">'Parameters, country spec'!$E$71</definedName>
    <definedName name="FCR_bonefree_incl_parents_HU">'Parameters, country spec'!$F$71</definedName>
    <definedName name="FCR_bonefree_incl_parents_IE">'Parameters, country spec'!$G$71</definedName>
    <definedName name="FCR_bonefree_incl_parents_IT">'Parameters, country spec'!$H$71</definedName>
    <definedName name="FCR_bonefree_incl_parents_NL">'Parameters, country spec'!$I$71</definedName>
    <definedName name="FCR_bonefree_incl_parents_PL">'Parameters, country spec'!$J$71</definedName>
    <definedName name="FCR_bonefree_incl_parents_SE">'Parameters, country spec'!$L$71</definedName>
    <definedName name="Frac_AN">#REF!</definedName>
    <definedName name="Frac_AN_DE">'Parameters, country spec'!$D$99</definedName>
    <definedName name="Frac_AN_DK">'Parameters, country spec'!$B$99</definedName>
    <definedName name="Frac_AN_ES">'Parameters, country spec'!$K$99</definedName>
    <definedName name="Frac_AN_FR">'Parameters, country spec'!$C$99</definedName>
    <definedName name="Frac_AN_GR">'Parameters, country spec'!$E$99</definedName>
    <definedName name="Frac_AN_HU">'Parameters, country spec'!$F$99</definedName>
    <definedName name="Frac_AN_IE">'Parameters, country spec'!$G$99</definedName>
    <definedName name="Frac_AN_IT">'Parameters, country spec'!$H$99</definedName>
    <definedName name="Frac_AN_NL">'Parameters, country spec'!$I$99</definedName>
    <definedName name="Frac_AN_PL">'Parameters, country spec'!$J$99</definedName>
    <definedName name="Frac_AN_SE">'Parameters, country spec'!$L$99</definedName>
    <definedName name="Frac_BAT">#REF!</definedName>
    <definedName name="Frac_BAT_DE">'Parameters, country spec'!$D$98</definedName>
    <definedName name="Frac_BAT_DK">'Parameters, country spec'!$B$98</definedName>
    <definedName name="Frac_BAT_ES">'Parameters, country spec'!$K$98</definedName>
    <definedName name="Frac_BAT_FR">'Parameters, country spec'!$C$98</definedName>
    <definedName name="Frac_BAT_GR">'Parameters, country spec'!$E$98</definedName>
    <definedName name="Frac_BAT_HU">'Parameters, country spec'!$F$98</definedName>
    <definedName name="Frac_BAT_IE">'Parameters, country spec'!$G$98</definedName>
    <definedName name="Frac_BAT_IT">'Parameters, country spec'!$H$98</definedName>
    <definedName name="Frac_BAT_NL">'Parameters, country spec'!$I$98</definedName>
    <definedName name="Frac_BAT_PL">'Parameters, country spec'!$J$98</definedName>
    <definedName name="Frac_BAT_SE">'Parameters, country spec'!$L$98</definedName>
    <definedName name="GRAT">'Parameters, country spec'!$E$92</definedName>
    <definedName name="Manure_repl_factor_DE">'Parameters, country spec'!$D$108</definedName>
    <definedName name="Manure_repl_factor_DK">'Parameters, country spec'!$B$108</definedName>
    <definedName name="Manure_repl_factor_ES">'Parameters, country spec'!$K$108</definedName>
    <definedName name="Manure_repl_factor_FR">'Parameters, country spec'!$C$108</definedName>
    <definedName name="Manure_repl_factor_GR">'Parameters, country spec'!$E$108</definedName>
    <definedName name="Manure_repl_factor_HU">'Parameters, country spec'!$F$108</definedName>
    <definedName name="Manure_repl_factor_IE">'Parameters, country spec'!$G$108</definedName>
    <definedName name="Manure_repl_factor_IT">'Parameters, country spec'!$H$108</definedName>
    <definedName name="Manure_repl_factor_NL">'Parameters, country spec'!$I$108</definedName>
    <definedName name="Manure_repl_factor_PL">'Parameters, country spec'!$J$108</definedName>
    <definedName name="Manure_repl_factor_SE">'Parameters, country spec'!$L$108</definedName>
    <definedName name="NH3_per_kg_DE">Manure!$M$142</definedName>
    <definedName name="NH3_per_kg_DK">Manure!$E$142</definedName>
    <definedName name="NH3_per_kg_ES">Manure!$AO$142</definedName>
    <definedName name="NH3_per_kg_FR">Manure!$I$142</definedName>
    <definedName name="NH3_per_kg_GR">Manure!$Q$142</definedName>
    <definedName name="NH3_per_kg_HU">Manure!$U$142</definedName>
    <definedName name="NH3_per_kg_IE">Manure!$Y$142</definedName>
    <definedName name="NH3_per_kg_IT">Manure!$AC$142</definedName>
    <definedName name="NH3_per_kg_NL">Manure!$AG$142</definedName>
    <definedName name="NH3_per_kg_PL">Manure!$AK$142</definedName>
    <definedName name="NH3_per_kg_SE">Manure!$AS$142</definedName>
    <definedName name="No_boars_DE">Production!$D$7</definedName>
    <definedName name="No_boars_DK">Production!$B$7</definedName>
    <definedName name="No_boars_ES">Production!$K$7</definedName>
    <definedName name="No_boars_FR">Production!$C$7</definedName>
    <definedName name="No_boars_GR">Production!$E$7</definedName>
    <definedName name="No_boars_HU">Production!$F$7</definedName>
    <definedName name="No_boars_IE">Production!$G$7</definedName>
    <definedName name="No_boars_IT">Production!$H$7</definedName>
    <definedName name="No_boars_NL">Production!$I$7</definedName>
    <definedName name="No_boars_PL">Production!$J$7</definedName>
    <definedName name="No_boars_SE">Production!$L$7</definedName>
    <definedName name="No_fattening_pigs_DE">Production!$D$8</definedName>
    <definedName name="No_fattening_pigs_DK">Production!$B$8</definedName>
    <definedName name="No_fattening_pigs_ES">Production!$K$8</definedName>
    <definedName name="No_fattening_pigs_FR">Production!$C$8</definedName>
    <definedName name="No_fattening_pigs_GR">Production!$E$8</definedName>
    <definedName name="No_fattening_pigs_HU">Production!$F$8</definedName>
    <definedName name="No_fattening_pigs_IE">Production!$G$8</definedName>
    <definedName name="No_fattening_pigs_IT">Production!$H$8</definedName>
    <definedName name="No_fattening_pigs_NL">Production!$I$8</definedName>
    <definedName name="No_fattening_pigs_PL">Production!$J$8</definedName>
    <definedName name="No_fattening_pigs_SE">Production!$L$8</definedName>
    <definedName name="No_piglets_DE">Production!$D$9</definedName>
    <definedName name="No_piglets_DK">Production!$B$9</definedName>
    <definedName name="No_piglets_ES">Production!$K$9</definedName>
    <definedName name="No_piglets_FR">Production!$C$9</definedName>
    <definedName name="No_piglets_GR">Production!$E$9</definedName>
    <definedName name="No_piglets_HU">Production!$F$9</definedName>
    <definedName name="No_piglets_IE">Production!$G$9</definedName>
    <definedName name="No_piglets_IT">Production!$H$9</definedName>
    <definedName name="No_piglets_NL">Production!$I$9</definedName>
    <definedName name="No_piglets_PL">Production!$J$9</definedName>
    <definedName name="No_piglets_SE">Production!$L$9</definedName>
    <definedName name="No_recruit_sows_DE">Production!$D$6</definedName>
    <definedName name="No_recruit_sows_DK">Production!$B$6</definedName>
    <definedName name="No_recruit_sows_ES">Production!$K$6</definedName>
    <definedName name="No_recruit_sows_FR">Production!$C$6</definedName>
    <definedName name="No_recruit_sows_GR">Production!$E$6</definedName>
    <definedName name="No_recruit_sows_HU">Production!$F$6</definedName>
    <definedName name="No_recruit_sows_IE">Production!$G$6</definedName>
    <definedName name="No_recruit_sows_IT">Production!$H$6</definedName>
    <definedName name="No_recruit_sows_NL">Production!$I$6</definedName>
    <definedName name="No_recruit_sows_PL">Production!$J$6</definedName>
    <definedName name="No_recruit_sows_SE">Production!$L$6</definedName>
    <definedName name="No_sows_DE">Production!$D$5</definedName>
    <definedName name="No_sows_DK">Production!$B$5</definedName>
    <definedName name="No_sows_ES">Production!$K$5</definedName>
    <definedName name="No_sows_FR">Production!$C$5</definedName>
    <definedName name="No_sows_GR">Production!$E$5</definedName>
    <definedName name="No_sows_HU">Production!$F$5</definedName>
    <definedName name="No_sows_IE">Production!$G$5</definedName>
    <definedName name="No_sows_IT">Production!$H$5</definedName>
    <definedName name="No_sows_NL">Production!$I$5</definedName>
    <definedName name="No_sows_PL">Production!$J$5</definedName>
    <definedName name="No_sows_SE">Production!$L$5</definedName>
    <definedName name="Share_biofuels_DE">'Parameters, country spec'!$D$82</definedName>
    <definedName name="Share_biofuels_DK">'Parameters, country spec'!$B$82</definedName>
    <definedName name="Share_biofuels_ES">'Parameters, country spec'!$K$82</definedName>
    <definedName name="Share_biofuels_FR">'Parameters, country spec'!$C$82</definedName>
    <definedName name="Share_biofuels_GR">'Parameters, country spec'!$E$82</definedName>
    <definedName name="Share_biofuels_HU">'Parameters, country spec'!$F$82</definedName>
    <definedName name="Share_biofuels_IE">'Parameters, country spec'!$G$82</definedName>
    <definedName name="Share_biofuels_IT">'Parameters, country spec'!$H$82</definedName>
    <definedName name="Share_biofuels_NL">'Parameters, country spec'!$I$82</definedName>
    <definedName name="Share_biofuels_PL">'Parameters, country spec'!$J$82</definedName>
    <definedName name="Share_biofuels_SE">'Parameters, country spec'!$L$82</definedName>
    <definedName name="Share_heating_DE">'Parameters, country spec'!$D$81</definedName>
    <definedName name="Share_heating_DK">'Parameters, country spec'!$B$81</definedName>
    <definedName name="Share_heating_ES">'Parameters, country spec'!$K$81</definedName>
    <definedName name="Share_heating_FR">'Parameters, country spec'!$C$81</definedName>
    <definedName name="Share_heating_GR">'Parameters, country spec'!$E$81</definedName>
    <definedName name="Share_heating_HU">'Parameters, country spec'!$F$81</definedName>
    <definedName name="Share_heating_IE">'Parameters, country spec'!$G$81</definedName>
    <definedName name="Share_heating_IT">'Parameters, country spec'!$H$81</definedName>
    <definedName name="Share_heating_NL">'Parameters, country spec'!$I$81</definedName>
    <definedName name="Share_heating_PL">'Parameters, country spec'!$J$81</definedName>
    <definedName name="Share_heating_SE">'Parameters, country spec'!$L$81</definedName>
    <definedName name="Slaughter_duration_class">'Parameters, general'!$B$20</definedName>
    <definedName name="Time_fattening_days_DE">'Parameters, country spec'!$D$5</definedName>
    <definedName name="Time_fattening_days_DK">'Parameters, country spec'!$B$5</definedName>
    <definedName name="Time_fattening_days_ES">'Parameters, country spec'!$K$5</definedName>
    <definedName name="Time_fattening_days_FR">'Parameters, country spec'!$C$5</definedName>
    <definedName name="Time_fattening_days_GR">'Parameters, country spec'!$E$5</definedName>
    <definedName name="Time_fattening_days_HU">'Parameters, country spec'!$F$5</definedName>
    <definedName name="Time_fattening_days_IE">'Parameters, country spec'!$G$5</definedName>
    <definedName name="Time_fattening_days_IT">'Parameters, country spec'!$H$5</definedName>
    <definedName name="Time_fattening_days_NL">'Parameters, country spec'!$I$5</definedName>
    <definedName name="Time_fattening_days_PL">'Parameters, country spec'!$J$5</definedName>
    <definedName name="Time_fattening_days_SE">'Parameters, country spec'!$L$5</definedName>
    <definedName name="Time_piglet_system_DE">'Parameters, country spec'!$D$14</definedName>
    <definedName name="Time_piglet_system_DK">'Parameters, country spec'!$B$14</definedName>
    <definedName name="Time_piglet_system_ES">'Parameters, country spec'!$K$14</definedName>
    <definedName name="Time_piglet_system_FR">'Parameters, country spec'!$C$14</definedName>
    <definedName name="Time_piglet_system_GR">'Parameters, country spec'!$E$14</definedName>
    <definedName name="Time_piglet_system_HU">'Parameters, country spec'!$F$14</definedName>
    <definedName name="Time_piglet_system_IE">'Parameters, country spec'!$G$14</definedName>
    <definedName name="Time_piglet_system_IT">'Parameters, country spec'!$H$14</definedName>
    <definedName name="Time_piglet_system_NL">'Parameters, country spec'!$I$14</definedName>
    <definedName name="Time_piglet_system_PL">'Parameters, country spec'!$J$14</definedName>
    <definedName name="Time_piglet_system_SE">'Parameters, country spec'!$L$14</definedName>
    <definedName name="Water_stables_DE">'Parameters, country spec'!$D$111</definedName>
    <definedName name="Water_stables_DK">'Parameters, country spec'!$B$111</definedName>
    <definedName name="Water_stables_ES">'Parameters, country spec'!$K$111</definedName>
    <definedName name="Water_stables_FR">'Parameters, country spec'!$C$111</definedName>
    <definedName name="Water_stables_GR">'Parameters, country spec'!$E$111</definedName>
    <definedName name="Water_stables_HU">'Parameters, country spec'!$F$111</definedName>
    <definedName name="Water_stables_IE">'Parameters, country spec'!$G$111</definedName>
    <definedName name="Water_stables_IT">'Parameters, country spec'!$H$111</definedName>
    <definedName name="Water_stables_NL">'Parameters, country spec'!$I$111</definedName>
    <definedName name="Water_stables_PL">'Parameters, country spec'!$J$111</definedName>
    <definedName name="Water_stables_SE">'Parameters, country spec'!$L$111</definedName>
    <definedName name="Weight_ability_to_perceive_handling">'Parameters, general'!$B$23</definedName>
    <definedName name="Weight_diseases">'Parameters, general'!$B$25</definedName>
    <definedName name="Weight_mortality">'Parameters, general'!$B$24</definedName>
    <definedName name="Weight_no_of_animal">'Parameters, general'!$B$22</definedName>
    <definedName name="Weight_slaughter_duration_class">'Parameters, general'!$B$27</definedName>
    <definedName name="Weight_space">'Parameters, general'!$B$26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2" i="25" l="1"/>
  <c r="G60" i="13"/>
  <c r="G59" i="13"/>
  <c r="G58" i="13"/>
  <c r="G57" i="13"/>
  <c r="G55" i="13"/>
  <c r="G54" i="13"/>
  <c r="G53" i="13"/>
  <c r="G52" i="13"/>
  <c r="G50" i="13"/>
  <c r="G49" i="13"/>
  <c r="G48" i="13"/>
  <c r="G47" i="13"/>
  <c r="G45" i="13"/>
  <c r="G44" i="13"/>
  <c r="G43" i="13"/>
  <c r="G42" i="13"/>
  <c r="G40" i="13"/>
  <c r="G39" i="13"/>
  <c r="G38" i="13"/>
  <c r="G37" i="13"/>
  <c r="G35" i="13"/>
  <c r="G34" i="13"/>
  <c r="G33" i="13"/>
  <c r="G32" i="13"/>
  <c r="G30" i="13"/>
  <c r="G29" i="13"/>
  <c r="G28" i="13"/>
  <c r="G27" i="13"/>
  <c r="G25" i="13"/>
  <c r="G24" i="13"/>
  <c r="G23" i="13"/>
  <c r="G22" i="13"/>
  <c r="G20" i="13"/>
  <c r="G19" i="13"/>
  <c r="G18" i="13"/>
  <c r="G17" i="13"/>
  <c r="G15" i="13"/>
  <c r="G14" i="13"/>
  <c r="G13" i="13"/>
  <c r="G12" i="13"/>
  <c r="G10" i="13"/>
  <c r="G9" i="13"/>
  <c r="G8" i="13"/>
  <c r="G7" i="13"/>
  <c r="Q7" i="13"/>
  <c r="Q11" i="13" s="1"/>
  <c r="Q8" i="13"/>
  <c r="Q10" i="13"/>
  <c r="Q12" i="13"/>
  <c r="Q13" i="13"/>
  <c r="Q15" i="13"/>
  <c r="Q16" i="13"/>
  <c r="Q17" i="13"/>
  <c r="Q21" i="13" s="1"/>
  <c r="Q18" i="13"/>
  <c r="Q20" i="13"/>
  <c r="Q22" i="13"/>
  <c r="Q23" i="13"/>
  <c r="Q25" i="13"/>
  <c r="Q26" i="13"/>
  <c r="Q27" i="13"/>
  <c r="Q31" i="13" s="1"/>
  <c r="Q28" i="13"/>
  <c r="Q30" i="13"/>
  <c r="Q32" i="13"/>
  <c r="Q33" i="13"/>
  <c r="Q35" i="13"/>
  <c r="Q36" i="13"/>
  <c r="Q37" i="13"/>
  <c r="Q41" i="13" s="1"/>
  <c r="Q38" i="13"/>
  <c r="Q40" i="13"/>
  <c r="Q42" i="13"/>
  <c r="Q43" i="13"/>
  <c r="Q45" i="13"/>
  <c r="Q46" i="13"/>
  <c r="Q47" i="13"/>
  <c r="Q51" i="13" s="1"/>
  <c r="Q48" i="13"/>
  <c r="Q50" i="13"/>
  <c r="Q52" i="13"/>
  <c r="Q53" i="13"/>
  <c r="Q55" i="13"/>
  <c r="Q56" i="13"/>
  <c r="Q57" i="13"/>
  <c r="Q61" i="13" s="1"/>
  <c r="Q58" i="13"/>
  <c r="Q60" i="13"/>
  <c r="P137" i="14"/>
  <c r="P125" i="14"/>
  <c r="P113" i="14"/>
  <c r="P101" i="14"/>
  <c r="P89" i="14"/>
  <c r="P77" i="14"/>
  <c r="P65" i="14"/>
  <c r="P53" i="14"/>
  <c r="P41" i="14"/>
  <c r="P29" i="14"/>
  <c r="P17" i="14"/>
  <c r="P137" i="15"/>
  <c r="P125" i="15"/>
  <c r="P113" i="15"/>
  <c r="P101" i="15"/>
  <c r="P89" i="15"/>
  <c r="P77" i="15"/>
  <c r="P65" i="15"/>
  <c r="P53" i="15"/>
  <c r="P41" i="15"/>
  <c r="P29" i="15"/>
  <c r="F29" i="25"/>
  <c r="G29" i="25"/>
  <c r="I29" i="25"/>
  <c r="N29" i="25"/>
  <c r="AG30" i="25"/>
  <c r="AN29" i="25"/>
  <c r="AR30" i="25"/>
  <c r="B29" i="25"/>
  <c r="C29" i="25"/>
  <c r="D29" i="25"/>
  <c r="E29" i="25"/>
  <c r="H29" i="25"/>
  <c r="J29" i="25"/>
  <c r="K29" i="25"/>
  <c r="L29" i="25"/>
  <c r="M29" i="25"/>
  <c r="O29" i="25"/>
  <c r="P29" i="25"/>
  <c r="Q29" i="25"/>
  <c r="R29" i="25"/>
  <c r="S29" i="25"/>
  <c r="T29" i="25"/>
  <c r="U29" i="25"/>
  <c r="V29" i="25"/>
  <c r="W29" i="25"/>
  <c r="X29" i="25"/>
  <c r="Y29" i="25"/>
  <c r="Z29" i="25"/>
  <c r="AA29" i="25"/>
  <c r="AB29" i="25"/>
  <c r="AC29" i="25"/>
  <c r="AD29" i="25"/>
  <c r="AE29" i="25"/>
  <c r="AF29" i="25"/>
  <c r="AG29" i="25"/>
  <c r="AH29" i="25"/>
  <c r="AI29" i="25"/>
  <c r="AJ29" i="25"/>
  <c r="AK29" i="25"/>
  <c r="AL29" i="25"/>
  <c r="AM29" i="25"/>
  <c r="AO29" i="25"/>
  <c r="AP29" i="25"/>
  <c r="AQ29" i="25"/>
  <c r="AR29" i="25"/>
  <c r="AS29" i="25"/>
  <c r="B30" i="25"/>
  <c r="C30" i="25"/>
  <c r="D30" i="25"/>
  <c r="E30" i="25"/>
  <c r="F30" i="25"/>
  <c r="G30" i="25"/>
  <c r="H30" i="25"/>
  <c r="I30" i="25"/>
  <c r="J30" i="25"/>
  <c r="K30" i="25"/>
  <c r="L30" i="25"/>
  <c r="M30" i="25"/>
  <c r="N30" i="25"/>
  <c r="O30" i="25"/>
  <c r="P30" i="25"/>
  <c r="Q30" i="25"/>
  <c r="R30" i="25"/>
  <c r="S30" i="25"/>
  <c r="T30" i="25"/>
  <c r="U30" i="25"/>
  <c r="V30" i="25"/>
  <c r="W30" i="25"/>
  <c r="X30" i="25"/>
  <c r="Y30" i="25"/>
  <c r="Z30" i="25"/>
  <c r="AA30" i="25"/>
  <c r="AB30" i="25"/>
  <c r="AC30" i="25"/>
  <c r="AD30" i="25"/>
  <c r="AE30" i="25"/>
  <c r="AF30" i="25"/>
  <c r="AH30" i="25"/>
  <c r="AI30" i="25"/>
  <c r="AJ30" i="25"/>
  <c r="AK30" i="25"/>
  <c r="AL30" i="25"/>
  <c r="AM30" i="25"/>
  <c r="AN30" i="25"/>
  <c r="AO30" i="25"/>
  <c r="AP30" i="25"/>
  <c r="AQ30" i="25"/>
  <c r="AS30" i="25"/>
  <c r="AS28" i="25"/>
  <c r="AR28" i="25"/>
  <c r="AQ28" i="25"/>
  <c r="AP28" i="25"/>
  <c r="AO28" i="25"/>
  <c r="AN28" i="25"/>
  <c r="AM28" i="25"/>
  <c r="AL28" i="25"/>
  <c r="AK28" i="25"/>
  <c r="AJ28" i="25"/>
  <c r="AI28" i="25"/>
  <c r="AH28" i="25"/>
  <c r="AG28" i="25"/>
  <c r="AF28" i="25"/>
  <c r="AE28" i="25"/>
  <c r="AD28" i="25"/>
  <c r="AC28" i="25"/>
  <c r="AB28" i="25"/>
  <c r="AA28" i="25"/>
  <c r="Z28" i="25"/>
  <c r="Y28" i="25"/>
  <c r="X28" i="25"/>
  <c r="W28" i="25"/>
  <c r="V28" i="25"/>
  <c r="U28" i="25"/>
  <c r="T28" i="25"/>
  <c r="S28" i="25"/>
  <c r="R28" i="25"/>
  <c r="Q28" i="25"/>
  <c r="P28" i="25"/>
  <c r="O28" i="25"/>
  <c r="N28" i="25"/>
  <c r="M28" i="25"/>
  <c r="L28" i="25"/>
  <c r="K28" i="25"/>
  <c r="J28" i="25"/>
  <c r="I28" i="25"/>
  <c r="H28" i="25"/>
  <c r="G28" i="25"/>
  <c r="F28" i="25"/>
  <c r="E28" i="25"/>
  <c r="D28" i="25"/>
  <c r="C28" i="25"/>
  <c r="B28" i="25"/>
  <c r="B25" i="25"/>
  <c r="B24" i="25"/>
  <c r="B23" i="25"/>
  <c r="B21" i="25"/>
  <c r="C76" i="25"/>
  <c r="U47" i="25"/>
  <c r="C46" i="25"/>
  <c r="D46" i="25"/>
  <c r="E46" i="25"/>
  <c r="G46" i="25"/>
  <c r="H46" i="25"/>
  <c r="I46" i="25"/>
  <c r="K46" i="25"/>
  <c r="L46" i="25"/>
  <c r="M46" i="25"/>
  <c r="O46" i="25"/>
  <c r="P46" i="25"/>
  <c r="Q46" i="25"/>
  <c r="S46" i="25"/>
  <c r="T46" i="25"/>
  <c r="U46" i="25"/>
  <c r="W46" i="25"/>
  <c r="X46" i="25"/>
  <c r="Y46" i="25"/>
  <c r="AA46" i="25"/>
  <c r="AB46" i="25"/>
  <c r="AC46" i="25"/>
  <c r="AE46" i="25"/>
  <c r="AF46" i="25"/>
  <c r="AG46" i="25"/>
  <c r="AI46" i="25"/>
  <c r="AJ46" i="25"/>
  <c r="AK46" i="25"/>
  <c r="AM46" i="25"/>
  <c r="AN46" i="25"/>
  <c r="AO46" i="25"/>
  <c r="AP46" i="25"/>
  <c r="AQ46" i="25"/>
  <c r="AR46" i="25"/>
  <c r="AS46" i="25"/>
  <c r="C47" i="25"/>
  <c r="D47" i="25"/>
  <c r="E47" i="25"/>
  <c r="G47" i="25"/>
  <c r="H47" i="25"/>
  <c r="I47" i="25"/>
  <c r="K47" i="25"/>
  <c r="L47" i="25"/>
  <c r="M47" i="25"/>
  <c r="O47" i="25"/>
  <c r="P47" i="25"/>
  <c r="Q47" i="25"/>
  <c r="S47" i="25"/>
  <c r="T47" i="25"/>
  <c r="W47" i="25"/>
  <c r="X47" i="25"/>
  <c r="Y47" i="25"/>
  <c r="AA47" i="25"/>
  <c r="AB47" i="25"/>
  <c r="AC47" i="25"/>
  <c r="AE47" i="25"/>
  <c r="AF47" i="25"/>
  <c r="AG47" i="25"/>
  <c r="AI47" i="25"/>
  <c r="AJ47" i="25"/>
  <c r="AK47" i="25"/>
  <c r="AM47" i="25"/>
  <c r="AN47" i="25"/>
  <c r="AO47" i="25"/>
  <c r="AP47" i="25"/>
  <c r="AQ47" i="25"/>
  <c r="AR47" i="25"/>
  <c r="AS47" i="25"/>
  <c r="AS45" i="25"/>
  <c r="AR45" i="25"/>
  <c r="AQ45" i="25"/>
  <c r="AP45" i="25"/>
  <c r="AO45" i="25"/>
  <c r="AN45" i="25"/>
  <c r="AM45" i="25"/>
  <c r="AK45" i="25"/>
  <c r="AJ45" i="25"/>
  <c r="AI45" i="25"/>
  <c r="AG45" i="25"/>
  <c r="AF45" i="25"/>
  <c r="AE45" i="25"/>
  <c r="AC45" i="25"/>
  <c r="AB45" i="25"/>
  <c r="AA45" i="25"/>
  <c r="Y45" i="25"/>
  <c r="X45" i="25"/>
  <c r="W45" i="25"/>
  <c r="U45" i="25"/>
  <c r="T45" i="25"/>
  <c r="S45" i="25"/>
  <c r="Q45" i="25"/>
  <c r="P45" i="25"/>
  <c r="O45" i="25"/>
  <c r="M45" i="25"/>
  <c r="L45" i="25"/>
  <c r="K45" i="25"/>
  <c r="I45" i="25"/>
  <c r="H45" i="25"/>
  <c r="G45" i="25"/>
  <c r="E45" i="25"/>
  <c r="D45" i="25"/>
  <c r="C45" i="25"/>
  <c r="J41" i="25"/>
  <c r="J46" i="25" s="1"/>
  <c r="J21" i="25" l="1"/>
  <c r="F21" i="25"/>
  <c r="J23" i="25"/>
  <c r="J24" i="25"/>
  <c r="J25" i="25"/>
  <c r="AP21" i="25"/>
  <c r="AL21" i="25"/>
  <c r="AH21" i="25"/>
  <c r="AD21" i="25"/>
  <c r="Z21" i="25"/>
  <c r="V21" i="25"/>
  <c r="R21" i="25"/>
  <c r="N21" i="25"/>
  <c r="AL24" i="25"/>
  <c r="AM24" i="25"/>
  <c r="AN24" i="25"/>
  <c r="AO24" i="25"/>
  <c r="AL25" i="25"/>
  <c r="AM25" i="25"/>
  <c r="AN25" i="25"/>
  <c r="AO25" i="25"/>
  <c r="AO23" i="25"/>
  <c r="AN23" i="25"/>
  <c r="AM23" i="25"/>
  <c r="AL23" i="25"/>
  <c r="AH24" i="25"/>
  <c r="AI24" i="25"/>
  <c r="AJ24" i="25"/>
  <c r="AK24" i="25"/>
  <c r="AH25" i="25"/>
  <c r="AI25" i="25"/>
  <c r="AJ25" i="25"/>
  <c r="AK25" i="25"/>
  <c r="AK23" i="25"/>
  <c r="AJ23" i="25"/>
  <c r="AI23" i="25"/>
  <c r="AH23" i="25"/>
  <c r="AD24" i="25"/>
  <c r="AE24" i="25"/>
  <c r="AF24" i="25"/>
  <c r="AG24" i="25"/>
  <c r="AD25" i="25"/>
  <c r="AE25" i="25"/>
  <c r="AF25" i="25"/>
  <c r="AG25" i="25"/>
  <c r="AG23" i="25"/>
  <c r="AF23" i="25"/>
  <c r="AE23" i="25"/>
  <c r="AD23" i="25"/>
  <c r="Z24" i="25"/>
  <c r="AA24" i="25"/>
  <c r="AB24" i="25"/>
  <c r="AC24" i="25"/>
  <c r="Z25" i="25"/>
  <c r="AA25" i="25"/>
  <c r="AB25" i="25"/>
  <c r="AC25" i="25"/>
  <c r="AC23" i="25"/>
  <c r="AB23" i="25"/>
  <c r="AA23" i="25"/>
  <c r="Z23" i="25"/>
  <c r="V24" i="25"/>
  <c r="W24" i="25"/>
  <c r="X24" i="25"/>
  <c r="Y24" i="25"/>
  <c r="V25" i="25"/>
  <c r="W25" i="25"/>
  <c r="X25" i="25"/>
  <c r="Y25" i="25"/>
  <c r="Y23" i="25"/>
  <c r="X23" i="25"/>
  <c r="W23" i="25"/>
  <c r="V23" i="25"/>
  <c r="R24" i="25"/>
  <c r="S24" i="25"/>
  <c r="T24" i="25"/>
  <c r="U24" i="25"/>
  <c r="R25" i="25"/>
  <c r="S25" i="25"/>
  <c r="T25" i="25"/>
  <c r="U25" i="25"/>
  <c r="U23" i="25"/>
  <c r="T23" i="25"/>
  <c r="S23" i="25"/>
  <c r="R23" i="25"/>
  <c r="N24" i="25"/>
  <c r="O24" i="25"/>
  <c r="P24" i="25"/>
  <c r="Q24" i="25"/>
  <c r="N25" i="25"/>
  <c r="O25" i="25"/>
  <c r="P25" i="25"/>
  <c r="Q25" i="25"/>
  <c r="Q23" i="25"/>
  <c r="P23" i="25"/>
  <c r="O23" i="25"/>
  <c r="N23" i="25"/>
  <c r="K24" i="25"/>
  <c r="L24" i="25"/>
  <c r="M24" i="25"/>
  <c r="K25" i="25"/>
  <c r="L25" i="25"/>
  <c r="M25" i="25"/>
  <c r="M23" i="25"/>
  <c r="L23" i="25"/>
  <c r="K23" i="25"/>
  <c r="I24" i="25"/>
  <c r="I25" i="25"/>
  <c r="I23" i="25"/>
  <c r="H25" i="25"/>
  <c r="H24" i="25"/>
  <c r="H23" i="25"/>
  <c r="G25" i="25"/>
  <c r="G24" i="25"/>
  <c r="G23" i="25"/>
  <c r="F25" i="25"/>
  <c r="F24" i="25"/>
  <c r="F23" i="25"/>
  <c r="E24" i="25"/>
  <c r="E25" i="25"/>
  <c r="E23" i="25"/>
  <c r="D25" i="25"/>
  <c r="D24" i="25"/>
  <c r="D23" i="25"/>
  <c r="C24" i="25"/>
  <c r="C25" i="25"/>
  <c r="C23" i="25"/>
  <c r="AP23" i="25"/>
  <c r="J26" i="25" l="1"/>
  <c r="F17" i="16"/>
  <c r="H39" i="23"/>
  <c r="F15" i="4"/>
  <c r="F130" i="15"/>
  <c r="F67" i="2"/>
  <c r="F67" i="15"/>
  <c r="F67" i="14"/>
  <c r="O23" i="28" l="1" a="1"/>
  <c r="O23" i="28" s="1"/>
  <c r="J73" i="28"/>
  <c r="H73" i="28"/>
  <c r="G73" i="28"/>
  <c r="P67" i="28"/>
  <c r="O67" i="28"/>
  <c r="M67" i="28"/>
  <c r="L67" i="28"/>
  <c r="K67" i="28"/>
  <c r="J67" i="28"/>
  <c r="I67" i="28"/>
  <c r="H67" i="28"/>
  <c r="G67" i="28"/>
  <c r="F67" i="28"/>
  <c r="P61" i="28"/>
  <c r="O61" i="28"/>
  <c r="N61" i="28"/>
  <c r="M61" i="28"/>
  <c r="L61" i="28"/>
  <c r="K61" i="28"/>
  <c r="J61" i="28"/>
  <c r="I61" i="28"/>
  <c r="H61" i="28"/>
  <c r="G61" i="28"/>
  <c r="F61" i="28"/>
  <c r="P55" i="28"/>
  <c r="O55" i="28"/>
  <c r="N55" i="28"/>
  <c r="M55" i="28"/>
  <c r="L55" i="28"/>
  <c r="K55" i="28"/>
  <c r="J55" i="28"/>
  <c r="I55" i="28"/>
  <c r="H55" i="28"/>
  <c r="G55" i="28"/>
  <c r="F55" i="28"/>
  <c r="N22" i="28"/>
  <c r="K22" i="28"/>
  <c r="H22" i="28"/>
  <c r="F22" i="28"/>
  <c r="P16" i="28"/>
  <c r="O16" i="28"/>
  <c r="N16" i="28"/>
  <c r="M16" i="28"/>
  <c r="L16" i="28"/>
  <c r="K16" i="28"/>
  <c r="J16" i="28"/>
  <c r="I16" i="28"/>
  <c r="H16" i="28"/>
  <c r="G16" i="28"/>
  <c r="F16" i="28"/>
  <c r="P10" i="28"/>
  <c r="O10" i="28"/>
  <c r="N10" i="28"/>
  <c r="M10" i="28"/>
  <c r="L10" i="28"/>
  <c r="K10" i="28"/>
  <c r="J10" i="28"/>
  <c r="I10" i="28"/>
  <c r="H10" i="28"/>
  <c r="G10" i="28"/>
  <c r="F10" i="28"/>
  <c r="C106" i="28"/>
  <c r="C105" i="28"/>
  <c r="C104" i="28"/>
  <c r="C103" i="28"/>
  <c r="C95" i="28"/>
  <c r="L88" i="28"/>
  <c r="K88" i="28"/>
  <c r="J88" i="28"/>
  <c r="I88" i="28"/>
  <c r="H88" i="28"/>
  <c r="G88" i="28"/>
  <c r="F88" i="28"/>
  <c r="P77" i="28"/>
  <c r="M77" i="28"/>
  <c r="L77" i="28"/>
  <c r="J77" i="28"/>
  <c r="I77" i="28"/>
  <c r="I73" i="28" s="1"/>
  <c r="H77" i="28"/>
  <c r="G77" i="28"/>
  <c r="F77" i="28"/>
  <c r="E76" i="28"/>
  <c r="P75" i="28"/>
  <c r="M75" i="28"/>
  <c r="L75" i="28"/>
  <c r="J75" i="28"/>
  <c r="G75" i="28"/>
  <c r="F75" i="28"/>
  <c r="P74" i="28"/>
  <c r="P73" i="28" s="1"/>
  <c r="B105" i="28" s="1"/>
  <c r="M74" i="28"/>
  <c r="M73" i="28" s="1"/>
  <c r="L74" i="28"/>
  <c r="L73" i="28" s="1"/>
  <c r="J74" i="28"/>
  <c r="H74" i="28"/>
  <c r="G74" i="28"/>
  <c r="F74" i="28"/>
  <c r="F73" i="28" s="1"/>
  <c r="B103" i="28" s="1"/>
  <c r="E71" i="28"/>
  <c r="E67" i="28" s="1"/>
  <c r="E70" i="28"/>
  <c r="E69" i="28"/>
  <c r="E68" i="28"/>
  <c r="E65" i="28"/>
  <c r="E64" i="28"/>
  <c r="E63" i="28"/>
  <c r="E62" i="28"/>
  <c r="E61" i="28" s="1"/>
  <c r="E59" i="28"/>
  <c r="E55" i="28" s="1"/>
  <c r="E58" i="28"/>
  <c r="E57" i="28"/>
  <c r="E56" i="28"/>
  <c r="I43" i="28"/>
  <c r="C96" i="28" s="1"/>
  <c r="L36" i="28"/>
  <c r="K36" i="28"/>
  <c r="J36" i="28"/>
  <c r="I36" i="28"/>
  <c r="H36" i="28"/>
  <c r="G36" i="28"/>
  <c r="F36" i="28"/>
  <c r="P26" i="28"/>
  <c r="O26" i="28"/>
  <c r="M26" i="28"/>
  <c r="L26" i="28"/>
  <c r="J26" i="28"/>
  <c r="I26" i="28"/>
  <c r="I22" i="28" s="1"/>
  <c r="H26" i="28"/>
  <c r="G26" i="28"/>
  <c r="F26" i="28"/>
  <c r="E25" i="28"/>
  <c r="P24" i="28"/>
  <c r="P22" i="28" s="1"/>
  <c r="O24" i="28"/>
  <c r="M24" i="28"/>
  <c r="M22" i="28" s="1"/>
  <c r="L24" i="28"/>
  <c r="J24" i="28"/>
  <c r="G24" i="28"/>
  <c r="F24" i="28"/>
  <c r="N23" i="28"/>
  <c r="M23" i="28"/>
  <c r="L23" i="28"/>
  <c r="L22" i="28" s="1"/>
  <c r="J23" i="28"/>
  <c r="J22" i="28" s="1"/>
  <c r="H23" i="28"/>
  <c r="G23" i="28"/>
  <c r="G22" i="28" s="1"/>
  <c r="F23" i="28"/>
  <c r="E20" i="28"/>
  <c r="E19" i="28"/>
  <c r="E18" i="28"/>
  <c r="E17" i="28"/>
  <c r="E16" i="28" s="1"/>
  <c r="E14" i="28"/>
  <c r="E10" i="28" s="1"/>
  <c r="E13" i="28"/>
  <c r="E12" i="28"/>
  <c r="E11" i="28"/>
  <c r="O75" i="28" l="1"/>
  <c r="E75" i="28" s="1"/>
  <c r="O74" i="28"/>
  <c r="O77" i="28"/>
  <c r="E77" i="28" s="1"/>
  <c r="E24" i="28"/>
  <c r="E26" i="28"/>
  <c r="O22" i="28"/>
  <c r="E23" i="28"/>
  <c r="E22" i="28" s="1"/>
  <c r="B48" i="4"/>
  <c r="C48" i="4"/>
  <c r="B70" i="4"/>
  <c r="L48" i="4"/>
  <c r="K48" i="4"/>
  <c r="J48" i="4"/>
  <c r="I48" i="4"/>
  <c r="H48" i="4"/>
  <c r="G48" i="4"/>
  <c r="F48" i="4"/>
  <c r="E48" i="4"/>
  <c r="D48" i="4"/>
  <c r="R19" i="15"/>
  <c r="R20" i="15"/>
  <c r="R21" i="15"/>
  <c r="R22" i="15"/>
  <c r="R23" i="15"/>
  <c r="R24" i="15"/>
  <c r="R25" i="15"/>
  <c r="R26" i="15"/>
  <c r="R27" i="15"/>
  <c r="R28" i="15"/>
  <c r="R18" i="15"/>
  <c r="R6" i="15"/>
  <c r="Q134" i="2"/>
  <c r="Q133" i="2"/>
  <c r="O133" i="2"/>
  <c r="Q122" i="2"/>
  <c r="Q121" i="2"/>
  <c r="O121" i="2"/>
  <c r="Q110" i="2"/>
  <c r="Q109" i="2"/>
  <c r="O109" i="2"/>
  <c r="Q98" i="2"/>
  <c r="Q97" i="2"/>
  <c r="O97" i="2"/>
  <c r="Q86" i="2"/>
  <c r="Q85" i="2"/>
  <c r="O85" i="2"/>
  <c r="Q74" i="2"/>
  <c r="Q73" i="2"/>
  <c r="O73" i="2"/>
  <c r="Q62" i="2"/>
  <c r="Q61" i="2"/>
  <c r="O61" i="2"/>
  <c r="Q50" i="2"/>
  <c r="Q49" i="2"/>
  <c r="O49" i="2"/>
  <c r="Q38" i="2"/>
  <c r="Q37" i="2"/>
  <c r="O37" i="2"/>
  <c r="Q26" i="2"/>
  <c r="Q25" i="2"/>
  <c r="O25" i="2"/>
  <c r="Q13" i="2"/>
  <c r="O13" i="2"/>
  <c r="Q14" i="2"/>
  <c r="E74" i="28" l="1"/>
  <c r="E73" i="28" s="1"/>
  <c r="O73" i="28"/>
  <c r="B104" i="28" s="1"/>
  <c r="B106" i="28" s="1"/>
  <c r="L29" i="15"/>
  <c r="O29" i="15"/>
  <c r="H134" i="16"/>
  <c r="G133" i="16"/>
  <c r="F122" i="16"/>
  <c r="L110" i="16"/>
  <c r="K109" i="16"/>
  <c r="J98" i="16"/>
  <c r="I97" i="16"/>
  <c r="H86" i="16"/>
  <c r="G85" i="16"/>
  <c r="F74" i="16"/>
  <c r="L62" i="16"/>
  <c r="K61" i="16"/>
  <c r="J50" i="16"/>
  <c r="I49" i="16"/>
  <c r="H38" i="16"/>
  <c r="G37" i="16"/>
  <c r="F26" i="16"/>
  <c r="L14" i="16"/>
  <c r="K13" i="16"/>
  <c r="L121" i="16"/>
  <c r="K121" i="16"/>
  <c r="J109" i="16"/>
  <c r="I109" i="16"/>
  <c r="H97" i="16"/>
  <c r="G97" i="16"/>
  <c r="F133" i="16"/>
  <c r="L122" i="16"/>
  <c r="K110" i="16"/>
  <c r="J110" i="16"/>
  <c r="I98" i="16"/>
  <c r="H98" i="16"/>
  <c r="G134" i="16"/>
  <c r="F134" i="16"/>
  <c r="M133" i="14" l="1"/>
  <c r="M121" i="14"/>
  <c r="M109" i="14"/>
  <c r="M97" i="14"/>
  <c r="M85" i="14"/>
  <c r="M73" i="14"/>
  <c r="M61" i="14"/>
  <c r="M49" i="14"/>
  <c r="M37" i="14"/>
  <c r="M25" i="14"/>
  <c r="M13" i="14"/>
  <c r="M134" i="15"/>
  <c r="M110" i="15"/>
  <c r="M86" i="15"/>
  <c r="M62" i="15"/>
  <c r="M38" i="15"/>
  <c r="M14" i="15"/>
  <c r="M26" i="15"/>
  <c r="M122" i="15"/>
  <c r="M98" i="15"/>
  <c r="M74" i="15"/>
  <c r="M50" i="15"/>
  <c r="J134" i="14"/>
  <c r="J122" i="14"/>
  <c r="J110" i="14"/>
  <c r="J98" i="14"/>
  <c r="J86" i="14"/>
  <c r="J74" i="14"/>
  <c r="J62" i="14"/>
  <c r="J50" i="14"/>
  <c r="J38" i="14"/>
  <c r="J26" i="14"/>
  <c r="J14" i="14"/>
  <c r="M133" i="2"/>
  <c r="M85" i="2"/>
  <c r="M37" i="2"/>
  <c r="M121" i="2"/>
  <c r="M73" i="2"/>
  <c r="M25" i="2"/>
  <c r="M13" i="2"/>
  <c r="M109" i="2"/>
  <c r="M61" i="2"/>
  <c r="M97" i="2"/>
  <c r="M49" i="2"/>
  <c r="N13" i="14"/>
  <c r="N37" i="14"/>
  <c r="N133" i="14"/>
  <c r="N121" i="14"/>
  <c r="N109" i="14"/>
  <c r="N97" i="14"/>
  <c r="N85" i="14"/>
  <c r="N73" i="14"/>
  <c r="N61" i="14"/>
  <c r="N49" i="14"/>
  <c r="N25" i="14"/>
  <c r="L13" i="16"/>
  <c r="F25" i="16"/>
  <c r="G26" i="16"/>
  <c r="H37" i="16"/>
  <c r="I38" i="16"/>
  <c r="J49" i="16"/>
  <c r="K50" i="16"/>
  <c r="L61" i="16"/>
  <c r="F73" i="16"/>
  <c r="G74" i="16"/>
  <c r="H85" i="16"/>
  <c r="I86" i="16"/>
  <c r="J97" i="16"/>
  <c r="K98" i="16"/>
  <c r="L109" i="16"/>
  <c r="F121" i="16"/>
  <c r="G122" i="16"/>
  <c r="H133" i="16"/>
  <c r="I134" i="16"/>
  <c r="K122" i="15"/>
  <c r="K134" i="15"/>
  <c r="K110" i="15"/>
  <c r="K86" i="15"/>
  <c r="K62" i="15"/>
  <c r="K98" i="15"/>
  <c r="K38" i="15"/>
  <c r="K50" i="15"/>
  <c r="K14" i="15"/>
  <c r="K74" i="15"/>
  <c r="K26" i="15"/>
  <c r="N38" i="15"/>
  <c r="N62" i="15"/>
  <c r="N14" i="15"/>
  <c r="N86" i="15"/>
  <c r="N122" i="15"/>
  <c r="N98" i="15"/>
  <c r="N74" i="15"/>
  <c r="N50" i="15"/>
  <c r="N26" i="15"/>
  <c r="N134" i="15"/>
  <c r="N110" i="15"/>
  <c r="K134" i="14"/>
  <c r="K122" i="14"/>
  <c r="K110" i="14"/>
  <c r="K98" i="14"/>
  <c r="K86" i="14"/>
  <c r="K74" i="14"/>
  <c r="K62" i="14"/>
  <c r="K50" i="14"/>
  <c r="K38" i="14"/>
  <c r="K26" i="14"/>
  <c r="K14" i="14"/>
  <c r="N97" i="2"/>
  <c r="N37" i="2"/>
  <c r="N121" i="2"/>
  <c r="N73" i="2"/>
  <c r="N25" i="2"/>
  <c r="N13" i="2"/>
  <c r="N133" i="2"/>
  <c r="N109" i="2"/>
  <c r="N61" i="2"/>
  <c r="N49" i="2"/>
  <c r="N85" i="2"/>
  <c r="Q121" i="15"/>
  <c r="Q97" i="15"/>
  <c r="Q73" i="15"/>
  <c r="Q49" i="15"/>
  <c r="Q13" i="15"/>
  <c r="Q25" i="15"/>
  <c r="Q133" i="15"/>
  <c r="Q109" i="15"/>
  <c r="Q85" i="15"/>
  <c r="Q61" i="15"/>
  <c r="Q37" i="15"/>
  <c r="F14" i="16"/>
  <c r="G25" i="16"/>
  <c r="H26" i="16"/>
  <c r="I37" i="16"/>
  <c r="J38" i="16"/>
  <c r="K49" i="16"/>
  <c r="L50" i="16"/>
  <c r="F62" i="16"/>
  <c r="G73" i="16"/>
  <c r="H74" i="16"/>
  <c r="I85" i="16"/>
  <c r="J86" i="16"/>
  <c r="K97" i="16"/>
  <c r="L98" i="16"/>
  <c r="F110" i="16"/>
  <c r="G121" i="16"/>
  <c r="H122" i="16"/>
  <c r="I133" i="16"/>
  <c r="J134" i="16"/>
  <c r="I14" i="14"/>
  <c r="I134" i="14"/>
  <c r="I122" i="14"/>
  <c r="I110" i="14"/>
  <c r="I98" i="14"/>
  <c r="I86" i="14"/>
  <c r="I74" i="14"/>
  <c r="I62" i="14"/>
  <c r="I50" i="14"/>
  <c r="I38" i="14"/>
  <c r="I26" i="14"/>
  <c r="M134" i="14"/>
  <c r="M122" i="14"/>
  <c r="M110" i="14"/>
  <c r="M98" i="14"/>
  <c r="M86" i="14"/>
  <c r="M74" i="14"/>
  <c r="M62" i="14"/>
  <c r="M50" i="14"/>
  <c r="M38" i="14"/>
  <c r="M26" i="14"/>
  <c r="M14" i="14"/>
  <c r="G97" i="14"/>
  <c r="G133" i="14"/>
  <c r="G109" i="14"/>
  <c r="G121" i="14"/>
  <c r="G49" i="14"/>
  <c r="G13" i="14"/>
  <c r="G85" i="14"/>
  <c r="G25" i="14"/>
  <c r="G73" i="14"/>
  <c r="G61" i="14"/>
  <c r="G37" i="14"/>
  <c r="Q13" i="14"/>
  <c r="Q133" i="14"/>
  <c r="Q121" i="14"/>
  <c r="Q109" i="14"/>
  <c r="Q97" i="14"/>
  <c r="Q85" i="14"/>
  <c r="Q73" i="14"/>
  <c r="Q61" i="14"/>
  <c r="Q49" i="14"/>
  <c r="Q37" i="14"/>
  <c r="Q25" i="14"/>
  <c r="F13" i="16"/>
  <c r="G14" i="16"/>
  <c r="H25" i="16"/>
  <c r="I26" i="16"/>
  <c r="J37" i="16"/>
  <c r="K38" i="16"/>
  <c r="L49" i="16"/>
  <c r="F61" i="16"/>
  <c r="G62" i="16"/>
  <c r="H73" i="16"/>
  <c r="I74" i="16"/>
  <c r="J85" i="16"/>
  <c r="K86" i="16"/>
  <c r="L97" i="16"/>
  <c r="F109" i="16"/>
  <c r="G110" i="16"/>
  <c r="H121" i="16"/>
  <c r="I122" i="16"/>
  <c r="J133" i="16"/>
  <c r="K134" i="16"/>
  <c r="Q122" i="15"/>
  <c r="Q98" i="15"/>
  <c r="Q74" i="15"/>
  <c r="Q50" i="15"/>
  <c r="Q26" i="15"/>
  <c r="Q38" i="15"/>
  <c r="Q14" i="15"/>
  <c r="Q134" i="15"/>
  <c r="Q110" i="15"/>
  <c r="Q86" i="15"/>
  <c r="Q62" i="15"/>
  <c r="N14" i="14"/>
  <c r="N26" i="14"/>
  <c r="N134" i="14"/>
  <c r="N122" i="14"/>
  <c r="N110" i="14"/>
  <c r="N98" i="14"/>
  <c r="N86" i="14"/>
  <c r="N74" i="14"/>
  <c r="N62" i="14"/>
  <c r="N50" i="14"/>
  <c r="N38" i="14"/>
  <c r="G73" i="15"/>
  <c r="G133" i="15"/>
  <c r="G109" i="15"/>
  <c r="G85" i="15"/>
  <c r="G61" i="15"/>
  <c r="G49" i="15"/>
  <c r="G37" i="15"/>
  <c r="G13" i="15"/>
  <c r="G97" i="15"/>
  <c r="G121" i="15"/>
  <c r="G25" i="15"/>
  <c r="H13" i="14"/>
  <c r="H133" i="14"/>
  <c r="H121" i="14"/>
  <c r="H109" i="14"/>
  <c r="H97" i="14"/>
  <c r="H85" i="14"/>
  <c r="H73" i="14"/>
  <c r="H61" i="14"/>
  <c r="H49" i="14"/>
  <c r="H37" i="14"/>
  <c r="H25" i="14"/>
  <c r="G13" i="16"/>
  <c r="H14" i="16"/>
  <c r="I25" i="16"/>
  <c r="J26" i="16"/>
  <c r="K37" i="16"/>
  <c r="L38" i="16"/>
  <c r="F50" i="16"/>
  <c r="G61" i="16"/>
  <c r="H62" i="16"/>
  <c r="I73" i="16"/>
  <c r="J74" i="16"/>
  <c r="K85" i="16"/>
  <c r="L86" i="16"/>
  <c r="F98" i="16"/>
  <c r="G109" i="16"/>
  <c r="H110" i="16"/>
  <c r="I121" i="16"/>
  <c r="J122" i="16"/>
  <c r="K133" i="16"/>
  <c r="L134" i="16"/>
  <c r="N121" i="15"/>
  <c r="N97" i="15"/>
  <c r="N73" i="15"/>
  <c r="N49" i="15"/>
  <c r="N133" i="15"/>
  <c r="N85" i="15"/>
  <c r="N25" i="15"/>
  <c r="N13" i="15"/>
  <c r="N61" i="15"/>
  <c r="N109" i="15"/>
  <c r="N37" i="15"/>
  <c r="G109" i="2"/>
  <c r="G61" i="2"/>
  <c r="G97" i="2"/>
  <c r="G49" i="2"/>
  <c r="G133" i="2"/>
  <c r="G85" i="2"/>
  <c r="G37" i="2"/>
  <c r="G121" i="2"/>
  <c r="G73" i="2"/>
  <c r="G25" i="2"/>
  <c r="G13" i="2"/>
  <c r="H133" i="15"/>
  <c r="H109" i="15"/>
  <c r="H85" i="15"/>
  <c r="H61" i="15"/>
  <c r="H13" i="15"/>
  <c r="H25" i="15"/>
  <c r="H37" i="15"/>
  <c r="H121" i="15"/>
  <c r="H97" i="15"/>
  <c r="H73" i="15"/>
  <c r="H49" i="15"/>
  <c r="I13" i="14"/>
  <c r="I133" i="14"/>
  <c r="I121" i="14"/>
  <c r="I109" i="14"/>
  <c r="I97" i="14"/>
  <c r="I85" i="14"/>
  <c r="I73" i="14"/>
  <c r="I61" i="14"/>
  <c r="I49" i="14"/>
  <c r="I37" i="14"/>
  <c r="I25" i="14"/>
  <c r="H13" i="16"/>
  <c r="I14" i="16"/>
  <c r="J25" i="16"/>
  <c r="K26" i="16"/>
  <c r="L37" i="16"/>
  <c r="F49" i="16"/>
  <c r="G50" i="16"/>
  <c r="H61" i="16"/>
  <c r="I62" i="16"/>
  <c r="J73" i="16"/>
  <c r="K74" i="16"/>
  <c r="L85" i="16"/>
  <c r="F97" i="16"/>
  <c r="G98" i="16"/>
  <c r="H109" i="16"/>
  <c r="I110" i="16"/>
  <c r="J121" i="16"/>
  <c r="K122" i="16"/>
  <c r="L133" i="16"/>
  <c r="G110" i="2"/>
  <c r="G62" i="2"/>
  <c r="G14" i="2"/>
  <c r="G98" i="2"/>
  <c r="G50" i="2"/>
  <c r="G134" i="2"/>
  <c r="G86" i="2"/>
  <c r="G38" i="2"/>
  <c r="G122" i="2"/>
  <c r="G74" i="2"/>
  <c r="G26" i="2"/>
  <c r="G26" i="15"/>
  <c r="G14" i="15"/>
  <c r="G50" i="15"/>
  <c r="G134" i="15"/>
  <c r="G110" i="15"/>
  <c r="G86" i="15"/>
  <c r="G62" i="15"/>
  <c r="G38" i="15"/>
  <c r="G74" i="15"/>
  <c r="G122" i="15"/>
  <c r="G98" i="15"/>
  <c r="G38" i="14"/>
  <c r="G74" i="14"/>
  <c r="G50" i="14"/>
  <c r="G26" i="14"/>
  <c r="G86" i="14"/>
  <c r="G134" i="14"/>
  <c r="G110" i="14"/>
  <c r="G62" i="14"/>
  <c r="G14" i="14"/>
  <c r="G122" i="14"/>
  <c r="G98" i="14"/>
  <c r="Q134" i="14"/>
  <c r="Q122" i="14"/>
  <c r="Q110" i="14"/>
  <c r="Q98" i="14"/>
  <c r="Q86" i="14"/>
  <c r="Q74" i="14"/>
  <c r="Q62" i="14"/>
  <c r="Q50" i="14"/>
  <c r="Q38" i="14"/>
  <c r="Q26" i="14"/>
  <c r="Q14" i="14"/>
  <c r="H97" i="2"/>
  <c r="H49" i="2"/>
  <c r="H73" i="2"/>
  <c r="H13" i="2"/>
  <c r="H133" i="2"/>
  <c r="H85" i="2"/>
  <c r="H37" i="2"/>
  <c r="H121" i="2"/>
  <c r="H109" i="2"/>
  <c r="H61" i="2"/>
  <c r="H25" i="2"/>
  <c r="K37" i="15"/>
  <c r="K133" i="15"/>
  <c r="K121" i="15"/>
  <c r="K97" i="15"/>
  <c r="K73" i="15"/>
  <c r="K49" i="15"/>
  <c r="K109" i="15"/>
  <c r="K85" i="15"/>
  <c r="K25" i="15"/>
  <c r="K13" i="15"/>
  <c r="K61" i="15"/>
  <c r="J13" i="14"/>
  <c r="J133" i="14"/>
  <c r="J121" i="14"/>
  <c r="J109" i="14"/>
  <c r="J97" i="14"/>
  <c r="J85" i="14"/>
  <c r="J73" i="14"/>
  <c r="J61" i="14"/>
  <c r="J49" i="14"/>
  <c r="J37" i="14"/>
  <c r="J25" i="14"/>
  <c r="I13" i="16"/>
  <c r="J14" i="16"/>
  <c r="K25" i="16"/>
  <c r="L26" i="16"/>
  <c r="F38" i="16"/>
  <c r="G49" i="16"/>
  <c r="H50" i="16"/>
  <c r="I61" i="16"/>
  <c r="J62" i="16"/>
  <c r="K73" i="16"/>
  <c r="L74" i="16"/>
  <c r="F86" i="16"/>
  <c r="K133" i="2"/>
  <c r="K85" i="2"/>
  <c r="K37" i="2"/>
  <c r="K109" i="2"/>
  <c r="K97" i="2"/>
  <c r="K121" i="2"/>
  <c r="K73" i="2"/>
  <c r="K25" i="2"/>
  <c r="K13" i="2"/>
  <c r="K61" i="2"/>
  <c r="K49" i="2"/>
  <c r="H26" i="15"/>
  <c r="H134" i="15"/>
  <c r="H110" i="15"/>
  <c r="H86" i="15"/>
  <c r="H62" i="15"/>
  <c r="H38" i="15"/>
  <c r="H14" i="15"/>
  <c r="H122" i="15"/>
  <c r="H98" i="15"/>
  <c r="H74" i="15"/>
  <c r="H50" i="15"/>
  <c r="H14" i="14"/>
  <c r="H134" i="14"/>
  <c r="H122" i="14"/>
  <c r="H110" i="14"/>
  <c r="H98" i="14"/>
  <c r="H86" i="14"/>
  <c r="H74" i="14"/>
  <c r="H62" i="14"/>
  <c r="H50" i="14"/>
  <c r="H38" i="14"/>
  <c r="H26" i="14"/>
  <c r="I97" i="2"/>
  <c r="I49" i="2"/>
  <c r="I133" i="2"/>
  <c r="I85" i="2"/>
  <c r="I37" i="2"/>
  <c r="I121" i="2"/>
  <c r="I73" i="2"/>
  <c r="I25" i="2"/>
  <c r="I13" i="2"/>
  <c r="I109" i="2"/>
  <c r="I61" i="2"/>
  <c r="M121" i="15"/>
  <c r="M97" i="15"/>
  <c r="M73" i="15"/>
  <c r="M49" i="15"/>
  <c r="M25" i="15"/>
  <c r="M13" i="15"/>
  <c r="M133" i="15"/>
  <c r="M109" i="15"/>
  <c r="M85" i="15"/>
  <c r="M61" i="15"/>
  <c r="M37" i="15"/>
  <c r="K133" i="14"/>
  <c r="K121" i="14"/>
  <c r="K109" i="14"/>
  <c r="K97" i="14"/>
  <c r="K85" i="14"/>
  <c r="K73" i="14"/>
  <c r="K61" i="14"/>
  <c r="K49" i="14"/>
  <c r="K37" i="14"/>
  <c r="K25" i="14"/>
  <c r="K13" i="14"/>
  <c r="J13" i="16"/>
  <c r="K14" i="16"/>
  <c r="L25" i="16"/>
  <c r="F37" i="16"/>
  <c r="G38" i="16"/>
  <c r="H49" i="16"/>
  <c r="I50" i="16"/>
  <c r="J61" i="16"/>
  <c r="K62" i="16"/>
  <c r="L73" i="16"/>
  <c r="F85" i="16"/>
  <c r="G86" i="16"/>
  <c r="M62" i="2"/>
  <c r="M86" i="2"/>
  <c r="M122" i="2"/>
  <c r="M26" i="2"/>
  <c r="M14" i="2"/>
  <c r="M98" i="2"/>
  <c r="M50" i="2"/>
  <c r="M110" i="2"/>
  <c r="M134" i="2"/>
  <c r="M38" i="2"/>
  <c r="M74" i="2"/>
  <c r="N74" i="2"/>
  <c r="N98" i="2"/>
  <c r="N62" i="2"/>
  <c r="N110" i="2"/>
  <c r="N134" i="2"/>
  <c r="N38" i="2"/>
  <c r="N122" i="2"/>
  <c r="N26" i="2"/>
  <c r="N86" i="2"/>
  <c r="N50" i="2"/>
  <c r="N14" i="2"/>
  <c r="H122" i="2"/>
  <c r="H26" i="2"/>
  <c r="H50" i="2"/>
  <c r="H14" i="2"/>
  <c r="H86" i="2"/>
  <c r="H110" i="2"/>
  <c r="H62" i="2"/>
  <c r="H74" i="2"/>
  <c r="H134" i="2"/>
  <c r="H38" i="2"/>
  <c r="H98" i="2"/>
  <c r="K50" i="2"/>
  <c r="K74" i="2"/>
  <c r="K110" i="2"/>
  <c r="K134" i="2"/>
  <c r="K86" i="2"/>
  <c r="K98" i="2"/>
  <c r="K14" i="2"/>
  <c r="K38" i="2"/>
  <c r="K122" i="2"/>
  <c r="K26" i="2"/>
  <c r="K62" i="2"/>
  <c r="I134" i="2"/>
  <c r="I38" i="2"/>
  <c r="I62" i="2"/>
  <c r="I98" i="2"/>
  <c r="I26" i="2"/>
  <c r="I74" i="2"/>
  <c r="I14" i="2"/>
  <c r="I122" i="2"/>
  <c r="I50" i="2"/>
  <c r="I86" i="2"/>
  <c r="I110" i="2"/>
  <c r="O98" i="2"/>
  <c r="O74" i="2"/>
  <c r="O134" i="2"/>
  <c r="O122" i="2"/>
  <c r="O110" i="2"/>
  <c r="O26" i="2"/>
  <c r="O14" i="2"/>
  <c r="O38" i="2"/>
  <c r="O86" i="2"/>
  <c r="O62" i="2"/>
  <c r="O50" i="2"/>
  <c r="P73" i="15"/>
  <c r="P133" i="15"/>
  <c r="P13" i="15"/>
  <c r="P121" i="15"/>
  <c r="P25" i="15"/>
  <c r="P85" i="15"/>
  <c r="P37" i="15"/>
  <c r="P97" i="15"/>
  <c r="P49" i="15"/>
  <c r="P61" i="15"/>
  <c r="P109" i="15"/>
  <c r="P85" i="2"/>
  <c r="P73" i="2"/>
  <c r="P61" i="2"/>
  <c r="P49" i="2"/>
  <c r="P121" i="2"/>
  <c r="P25" i="2"/>
  <c r="P97" i="2"/>
  <c r="P133" i="2"/>
  <c r="P37" i="2"/>
  <c r="P109" i="2"/>
  <c r="P13" i="2"/>
  <c r="P133" i="14"/>
  <c r="P37" i="14"/>
  <c r="P121" i="14"/>
  <c r="P25" i="14"/>
  <c r="P109" i="14"/>
  <c r="P97" i="14"/>
  <c r="P13" i="14"/>
  <c r="P85" i="14"/>
  <c r="P73" i="14"/>
  <c r="P61" i="14"/>
  <c r="P49" i="14"/>
  <c r="P98" i="15"/>
  <c r="P86" i="15"/>
  <c r="P74" i="15"/>
  <c r="P62" i="15"/>
  <c r="P50" i="15"/>
  <c r="P134" i="15"/>
  <c r="P122" i="15"/>
  <c r="P110" i="15"/>
  <c r="P26" i="15"/>
  <c r="P38" i="15"/>
  <c r="P14" i="15"/>
  <c r="P122" i="2"/>
  <c r="P74" i="2"/>
  <c r="P26" i="2"/>
  <c r="P134" i="2"/>
  <c r="P110" i="2"/>
  <c r="P86" i="2"/>
  <c r="P62" i="2"/>
  <c r="P38" i="2"/>
  <c r="P98" i="2"/>
  <c r="P50" i="2"/>
  <c r="P14" i="2"/>
  <c r="P122" i="14"/>
  <c r="P98" i="14"/>
  <c r="P74" i="14"/>
  <c r="P50" i="14"/>
  <c r="P26" i="14"/>
  <c r="P134" i="14"/>
  <c r="P110" i="14"/>
  <c r="P86" i="14"/>
  <c r="P62" i="14"/>
  <c r="P38" i="14"/>
  <c r="P14" i="14"/>
  <c r="M72" i="16"/>
  <c r="M66" i="16"/>
  <c r="F86" i="15" l="1"/>
  <c r="F14" i="2"/>
  <c r="F50" i="15"/>
  <c r="F122" i="15"/>
  <c r="F38" i="15"/>
  <c r="F37" i="15"/>
  <c r="F110" i="15"/>
  <c r="F85" i="15"/>
  <c r="F121" i="15"/>
  <c r="Q29" i="15"/>
  <c r="F98" i="15"/>
  <c r="F134" i="15"/>
  <c r="F109" i="15"/>
  <c r="F13" i="2"/>
  <c r="F13" i="15"/>
  <c r="F61" i="15"/>
  <c r="F133" i="15"/>
  <c r="G40" i="15"/>
  <c r="F73" i="15"/>
  <c r="F62" i="15"/>
  <c r="F49" i="15"/>
  <c r="F74" i="15"/>
  <c r="F97" i="15"/>
  <c r="F7" i="2"/>
  <c r="F69" i="14"/>
  <c r="F70" i="14"/>
  <c r="F68" i="2"/>
  <c r="F69" i="2"/>
  <c r="F24" i="2"/>
  <c r="F18" i="2"/>
  <c r="H5" i="4" l="1"/>
  <c r="H9" i="4"/>
  <c r="C66" i="4"/>
  <c r="D66" i="4"/>
  <c r="E66" i="4"/>
  <c r="F66" i="4"/>
  <c r="G66" i="4"/>
  <c r="H66" i="4"/>
  <c r="I66" i="4"/>
  <c r="J66" i="4"/>
  <c r="K66" i="4"/>
  <c r="C67" i="4"/>
  <c r="D67" i="4"/>
  <c r="E67" i="4"/>
  <c r="F67" i="4"/>
  <c r="G67" i="4"/>
  <c r="H67" i="4"/>
  <c r="I67" i="4"/>
  <c r="J67" i="4"/>
  <c r="K67" i="4"/>
  <c r="C68" i="4"/>
  <c r="D68" i="4"/>
  <c r="E68" i="4"/>
  <c r="F68" i="4"/>
  <c r="G68" i="4"/>
  <c r="H68" i="4"/>
  <c r="I68" i="4"/>
  <c r="J68" i="4"/>
  <c r="K68" i="4"/>
  <c r="C69" i="4"/>
  <c r="D69" i="4"/>
  <c r="E69" i="4"/>
  <c r="F69" i="4"/>
  <c r="G69" i="4"/>
  <c r="H69" i="4"/>
  <c r="I69" i="4"/>
  <c r="J69" i="4"/>
  <c r="K69" i="4"/>
  <c r="C70" i="4"/>
  <c r="D70" i="4"/>
  <c r="E70" i="4"/>
  <c r="F70" i="4"/>
  <c r="G70" i="4"/>
  <c r="H70" i="4"/>
  <c r="I70" i="4"/>
  <c r="J70" i="4"/>
  <c r="K70" i="4"/>
  <c r="B69" i="4"/>
  <c r="B68" i="4"/>
  <c r="B67" i="4"/>
  <c r="B66" i="4"/>
  <c r="C21" i="26"/>
  <c r="D21" i="26"/>
  <c r="E21" i="26"/>
  <c r="F21" i="26"/>
  <c r="G21" i="26"/>
  <c r="H21" i="26"/>
  <c r="I21" i="26"/>
  <c r="J21" i="26"/>
  <c r="K21" i="26"/>
  <c r="L21" i="26"/>
  <c r="B21" i="26"/>
  <c r="L5" i="4"/>
  <c r="K5" i="4"/>
  <c r="J5" i="4"/>
  <c r="I5" i="4"/>
  <c r="G5" i="4"/>
  <c r="F5" i="4"/>
  <c r="E5" i="4"/>
  <c r="D5" i="4"/>
  <c r="C5" i="4"/>
  <c r="B5" i="4"/>
  <c r="C15" i="4" l="1"/>
  <c r="D15" i="4"/>
  <c r="E15" i="4"/>
  <c r="G15" i="4"/>
  <c r="H15" i="4"/>
  <c r="I15" i="4"/>
  <c r="J15" i="4"/>
  <c r="K15" i="4"/>
  <c r="L15" i="4"/>
  <c r="B15" i="4"/>
  <c r="C13" i="4"/>
  <c r="D13" i="4"/>
  <c r="E13" i="4"/>
  <c r="F13" i="4"/>
  <c r="G13" i="4"/>
  <c r="H13" i="4"/>
  <c r="I13" i="4"/>
  <c r="J13" i="4"/>
  <c r="K13" i="4"/>
  <c r="L13" i="4"/>
  <c r="B13" i="4"/>
  <c r="C6" i="4"/>
  <c r="D6" i="4"/>
  <c r="D19" i="4" s="1"/>
  <c r="E6" i="4"/>
  <c r="E19" i="4" s="1"/>
  <c r="F6" i="4"/>
  <c r="F19" i="4" s="1"/>
  <c r="G6" i="4"/>
  <c r="G19" i="4" s="1"/>
  <c r="H6" i="4"/>
  <c r="I6" i="4"/>
  <c r="J6" i="4"/>
  <c r="J19" i="4" s="1"/>
  <c r="K6" i="4"/>
  <c r="L6" i="4"/>
  <c r="B6" i="4"/>
  <c r="B19" i="4" s="1"/>
  <c r="J11" i="26"/>
  <c r="E11" i="26" s="1"/>
  <c r="J9" i="26"/>
  <c r="J7" i="26"/>
  <c r="J6" i="26"/>
  <c r="E6" i="26"/>
  <c r="E9" i="26"/>
  <c r="C12" i="26"/>
  <c r="D12" i="26"/>
  <c r="F12" i="26"/>
  <c r="G12" i="26"/>
  <c r="H12" i="26"/>
  <c r="I12" i="26"/>
  <c r="K12" i="26"/>
  <c r="C10" i="26"/>
  <c r="D10" i="26"/>
  <c r="F10" i="26"/>
  <c r="G10" i="26"/>
  <c r="H10" i="26"/>
  <c r="I10" i="26"/>
  <c r="K10" i="26"/>
  <c r="B10" i="26"/>
  <c r="C8" i="26"/>
  <c r="D8" i="26"/>
  <c r="F8" i="26"/>
  <c r="G8" i="26"/>
  <c r="H8" i="26"/>
  <c r="I8" i="26"/>
  <c r="K8" i="26"/>
  <c r="L12" i="26"/>
  <c r="L10" i="26"/>
  <c r="L8" i="26"/>
  <c r="B8" i="26"/>
  <c r="B12" i="26"/>
  <c r="L19" i="4" l="1"/>
  <c r="I19" i="4"/>
  <c r="K19" i="4"/>
  <c r="H19" i="4"/>
  <c r="C19" i="4"/>
  <c r="L16" i="4"/>
  <c r="J12" i="26"/>
  <c r="J10" i="26"/>
  <c r="E7" i="26"/>
  <c r="E10" i="26" s="1"/>
  <c r="E12" i="26"/>
  <c r="M61" i="13" l="1"/>
  <c r="M56" i="13"/>
  <c r="M51" i="13"/>
  <c r="M46" i="13"/>
  <c r="M41" i="13"/>
  <c r="M36" i="13"/>
  <c r="M31" i="13"/>
  <c r="M26" i="13"/>
  <c r="M21" i="13"/>
  <c r="M16" i="13"/>
  <c r="M11" i="13"/>
  <c r="L17" i="4" l="1"/>
  <c r="M91" i="16" l="1"/>
  <c r="M92" i="16"/>
  <c r="M93" i="16"/>
  <c r="M94" i="16"/>
  <c r="M95" i="16"/>
  <c r="M96" i="16"/>
  <c r="M97" i="16"/>
  <c r="M98" i="16"/>
  <c r="M99" i="16"/>
  <c r="M100" i="16"/>
  <c r="M90" i="16"/>
  <c r="M78" i="16"/>
  <c r="R91" i="14"/>
  <c r="R92" i="14"/>
  <c r="R93" i="14"/>
  <c r="R94" i="14"/>
  <c r="R95" i="14"/>
  <c r="R96" i="14"/>
  <c r="R97" i="14"/>
  <c r="R98" i="14"/>
  <c r="R99" i="14"/>
  <c r="R100" i="14"/>
  <c r="R90" i="14"/>
  <c r="R78" i="14"/>
  <c r="R91" i="15"/>
  <c r="R92" i="15"/>
  <c r="R93" i="15"/>
  <c r="R94" i="15"/>
  <c r="R95" i="15"/>
  <c r="R96" i="15"/>
  <c r="R97" i="15"/>
  <c r="R98" i="15"/>
  <c r="R99" i="15"/>
  <c r="R100" i="15"/>
  <c r="R90" i="15"/>
  <c r="R78" i="15"/>
  <c r="R91" i="2"/>
  <c r="R92" i="2"/>
  <c r="R93" i="2"/>
  <c r="R94" i="2"/>
  <c r="R95" i="2"/>
  <c r="R96" i="2"/>
  <c r="R97" i="2"/>
  <c r="R98" i="2"/>
  <c r="R99" i="2"/>
  <c r="R100" i="2"/>
  <c r="R90" i="2"/>
  <c r="R78" i="2"/>
  <c r="X40" i="13"/>
  <c r="X38" i="13"/>
  <c r="X37" i="13"/>
  <c r="I89" i="4"/>
  <c r="X41" i="13" l="1"/>
  <c r="L9" i="27" s="1"/>
  <c r="I104" i="4" l="1"/>
  <c r="AG8" i="25"/>
  <c r="AE8" i="25"/>
  <c r="C11" i="4"/>
  <c r="D11" i="4"/>
  <c r="E11" i="4"/>
  <c r="F11" i="4"/>
  <c r="G11" i="4"/>
  <c r="H11" i="4"/>
  <c r="I11" i="4"/>
  <c r="J11" i="4"/>
  <c r="K11" i="4"/>
  <c r="C16" i="4"/>
  <c r="D16" i="4"/>
  <c r="E16" i="4"/>
  <c r="E9" i="23" s="1"/>
  <c r="F16" i="4"/>
  <c r="F9" i="23" s="1"/>
  <c r="G16" i="4"/>
  <c r="G9" i="23" s="1"/>
  <c r="H16" i="4"/>
  <c r="H9" i="23" s="1"/>
  <c r="I16" i="4"/>
  <c r="I9" i="23" s="1"/>
  <c r="J16" i="4"/>
  <c r="J9" i="23" s="1"/>
  <c r="K16" i="4"/>
  <c r="K9" i="23" s="1"/>
  <c r="C17" i="4"/>
  <c r="D17" i="4"/>
  <c r="E17" i="4"/>
  <c r="F17" i="4"/>
  <c r="G17" i="4"/>
  <c r="H17" i="4"/>
  <c r="I17" i="4"/>
  <c r="J17" i="4"/>
  <c r="K17" i="4"/>
  <c r="C18" i="4"/>
  <c r="C12" i="23" s="1"/>
  <c r="C17" i="23" s="1"/>
  <c r="D18" i="4"/>
  <c r="D12" i="23" s="1"/>
  <c r="D17" i="23" s="1"/>
  <c r="E18" i="4"/>
  <c r="E12" i="23" s="1"/>
  <c r="F18" i="4"/>
  <c r="F12" i="23" s="1"/>
  <c r="G18" i="4"/>
  <c r="G12" i="23" s="1"/>
  <c r="H18" i="4"/>
  <c r="H12" i="23" s="1"/>
  <c r="I18" i="4"/>
  <c r="J18" i="4"/>
  <c r="J12" i="23" s="1"/>
  <c r="J17" i="23" s="1"/>
  <c r="J22" i="23" s="1"/>
  <c r="K18" i="4"/>
  <c r="K12" i="23" s="1"/>
  <c r="K17" i="23" s="1"/>
  <c r="B18" i="4"/>
  <c r="B12" i="23" s="1"/>
  <c r="B17" i="4"/>
  <c r="B16" i="4"/>
  <c r="B9" i="23" s="1"/>
  <c r="B11" i="4"/>
  <c r="C6" i="23"/>
  <c r="D6" i="23"/>
  <c r="E6" i="23"/>
  <c r="F6" i="23"/>
  <c r="G6" i="23"/>
  <c r="H6" i="23"/>
  <c r="I6" i="23"/>
  <c r="J6" i="23"/>
  <c r="K6" i="23"/>
  <c r="C7" i="23"/>
  <c r="D7" i="23"/>
  <c r="E7" i="23"/>
  <c r="F7" i="23"/>
  <c r="G7" i="23"/>
  <c r="H7" i="23"/>
  <c r="I7" i="23"/>
  <c r="J7" i="23"/>
  <c r="K7" i="23"/>
  <c r="B7" i="23"/>
  <c r="B6" i="23"/>
  <c r="L6" i="23"/>
  <c r="AP40" i="25" l="1"/>
  <c r="AP25" i="25"/>
  <c r="AP24" i="25"/>
  <c r="L8" i="23"/>
  <c r="AH40" i="25"/>
  <c r="AH45" i="25" s="1"/>
  <c r="AH42" i="25"/>
  <c r="AH47" i="25" s="1"/>
  <c r="AH41" i="25"/>
  <c r="AD40" i="25"/>
  <c r="AD45" i="25" s="1"/>
  <c r="AD42" i="25"/>
  <c r="AD47" i="25" s="1"/>
  <c r="AD41" i="25"/>
  <c r="AO42" i="25"/>
  <c r="AO41" i="25"/>
  <c r="AO40" i="25"/>
  <c r="AI42" i="25"/>
  <c r="AI130" i="25" s="1"/>
  <c r="AI40" i="25"/>
  <c r="AI41" i="25"/>
  <c r="F42" i="25"/>
  <c r="F47" i="25" s="1"/>
  <c r="F41" i="25"/>
  <c r="F46" i="25" s="1"/>
  <c r="F40" i="25"/>
  <c r="Q41" i="25"/>
  <c r="Q42" i="25"/>
  <c r="Q130" i="25" s="1"/>
  <c r="Q40" i="25"/>
  <c r="H13" i="23"/>
  <c r="H18" i="23" s="1"/>
  <c r="H23" i="23" s="1"/>
  <c r="AA41" i="25"/>
  <c r="AA40" i="25"/>
  <c r="AA128" i="25" s="1"/>
  <c r="AA42" i="25"/>
  <c r="AA130" i="25" s="1"/>
  <c r="W41" i="25"/>
  <c r="W40" i="25"/>
  <c r="W128" i="25" s="1"/>
  <c r="W42" i="25"/>
  <c r="W130" i="25" s="1"/>
  <c r="Z41" i="25"/>
  <c r="Z40" i="25"/>
  <c r="Z45" i="25" s="1"/>
  <c r="Z42" i="25"/>
  <c r="Z47" i="25" s="1"/>
  <c r="AK40" i="25"/>
  <c r="AK42" i="25"/>
  <c r="AK130" i="25" s="1"/>
  <c r="AK41" i="25"/>
  <c r="AL42" i="25"/>
  <c r="AL47" i="25" s="1"/>
  <c r="AL41" i="25"/>
  <c r="AL40" i="25"/>
  <c r="AL45" i="25" s="1"/>
  <c r="AE40" i="25"/>
  <c r="AE42" i="25"/>
  <c r="AE41" i="25"/>
  <c r="V42" i="25"/>
  <c r="V41" i="25"/>
  <c r="V46" i="25" s="1"/>
  <c r="V40" i="25"/>
  <c r="V45" i="25" s="1"/>
  <c r="AG40" i="25"/>
  <c r="AG42" i="25"/>
  <c r="AG41" i="25"/>
  <c r="B40" i="25"/>
  <c r="B45" i="25" s="1"/>
  <c r="B42" i="25"/>
  <c r="B47" i="25" s="1"/>
  <c r="B41" i="25"/>
  <c r="R40" i="25"/>
  <c r="R42" i="25"/>
  <c r="R47" i="25" s="1"/>
  <c r="R41" i="25"/>
  <c r="R46" i="25" s="1"/>
  <c r="AC40" i="25"/>
  <c r="AC128" i="25" s="1"/>
  <c r="AC42" i="25"/>
  <c r="AC130" i="25" s="1"/>
  <c r="AC41" i="25"/>
  <c r="S42" i="25"/>
  <c r="S40" i="25"/>
  <c r="S41" i="25"/>
  <c r="C42" i="25"/>
  <c r="C40" i="25"/>
  <c r="C41" i="25"/>
  <c r="O40" i="25"/>
  <c r="O42" i="25"/>
  <c r="O130" i="25" s="1"/>
  <c r="O41" i="25"/>
  <c r="E40" i="25"/>
  <c r="E42" i="25"/>
  <c r="E41" i="25"/>
  <c r="Y41" i="25"/>
  <c r="Y40" i="25"/>
  <c r="Y128" i="25" s="1"/>
  <c r="Y42" i="25"/>
  <c r="Y130" i="25" s="1"/>
  <c r="K41" i="25"/>
  <c r="K40" i="25"/>
  <c r="K42" i="25"/>
  <c r="N40" i="25"/>
  <c r="N42" i="25"/>
  <c r="N47" i="25" s="1"/>
  <c r="N41" i="25"/>
  <c r="N46" i="25" s="1"/>
  <c r="AM41" i="25"/>
  <c r="AM40" i="25"/>
  <c r="AM42" i="25"/>
  <c r="G41" i="25"/>
  <c r="G42" i="25"/>
  <c r="G130" i="25" s="1"/>
  <c r="G40" i="25"/>
  <c r="J40" i="25"/>
  <c r="J42" i="25"/>
  <c r="J47" i="25" s="1"/>
  <c r="U41" i="25"/>
  <c r="U40" i="25"/>
  <c r="U42" i="25"/>
  <c r="I13" i="23"/>
  <c r="I28" i="23" s="1"/>
  <c r="B13" i="23"/>
  <c r="B28" i="23" s="1"/>
  <c r="D13" i="23"/>
  <c r="D18" i="23" s="1"/>
  <c r="D23" i="23" s="1"/>
  <c r="J8" i="23"/>
  <c r="D8" i="23"/>
  <c r="B27" i="23"/>
  <c r="I12" i="23"/>
  <c r="I17" i="23" s="1"/>
  <c r="J13" i="23"/>
  <c r="J28" i="23" s="1"/>
  <c r="K8" i="23"/>
  <c r="G27" i="23"/>
  <c r="F27" i="23"/>
  <c r="E27" i="23"/>
  <c r="C8" i="23"/>
  <c r="K27" i="23"/>
  <c r="D9" i="23"/>
  <c r="C9" i="23"/>
  <c r="E8" i="23"/>
  <c r="I8" i="23"/>
  <c r="F13" i="23"/>
  <c r="F18" i="23" s="1"/>
  <c r="F23" i="23" s="1"/>
  <c r="G8" i="23"/>
  <c r="E13" i="23"/>
  <c r="E18" i="23" s="1"/>
  <c r="E23" i="23" s="1"/>
  <c r="J27" i="23"/>
  <c r="J32" i="23" s="1"/>
  <c r="G13" i="23"/>
  <c r="G18" i="23" s="1"/>
  <c r="G23" i="23" s="1"/>
  <c r="F17" i="23"/>
  <c r="F22" i="23" s="1"/>
  <c r="E17" i="23"/>
  <c r="E22" i="23" s="1"/>
  <c r="D27" i="23"/>
  <c r="C27" i="23"/>
  <c r="H8" i="23"/>
  <c r="H27" i="23"/>
  <c r="D22" i="23"/>
  <c r="H17" i="23"/>
  <c r="K13" i="23"/>
  <c r="C13" i="23"/>
  <c r="K22" i="23"/>
  <c r="C22" i="23"/>
  <c r="G17" i="23"/>
  <c r="F8" i="23"/>
  <c r="B17" i="23"/>
  <c r="B8" i="23"/>
  <c r="Z46" i="25" l="1"/>
  <c r="Z51" i="25" s="1"/>
  <c r="Z63" i="25" s="1"/>
  <c r="Z68" i="25" s="1"/>
  <c r="AL46" i="25"/>
  <c r="AL51" i="25" s="1"/>
  <c r="AL63" i="25" s="1"/>
  <c r="AL68" i="25" s="1"/>
  <c r="B50" i="25"/>
  <c r="B62" i="25" s="1"/>
  <c r="B67" i="25" s="1"/>
  <c r="AH46" i="25"/>
  <c r="AH51" i="25" s="1"/>
  <c r="AH63" i="25" s="1"/>
  <c r="AH68" i="25" s="1"/>
  <c r="N45" i="25"/>
  <c r="N50" i="25" s="1"/>
  <c r="N62" i="25" s="1"/>
  <c r="N67" i="25" s="1"/>
  <c r="F45" i="25"/>
  <c r="F50" i="25" s="1"/>
  <c r="F62" i="25" s="1"/>
  <c r="F67" i="25" s="1"/>
  <c r="B46" i="25"/>
  <c r="B51" i="25" s="1"/>
  <c r="V130" i="25"/>
  <c r="V47" i="25"/>
  <c r="AD46" i="25"/>
  <c r="AD51" i="25" s="1"/>
  <c r="J45" i="25"/>
  <c r="J50" i="25" s="1"/>
  <c r="J62" i="25" s="1"/>
  <c r="J67" i="25" s="1"/>
  <c r="R45" i="25"/>
  <c r="R50" i="25" s="1"/>
  <c r="R62" i="25" s="1"/>
  <c r="R67" i="25" s="1"/>
  <c r="AR23" i="25"/>
  <c r="AR41" i="25"/>
  <c r="AR24" i="25"/>
  <c r="AP50" i="25"/>
  <c r="I18" i="23"/>
  <c r="I23" i="23" s="1"/>
  <c r="I33" i="23" s="1"/>
  <c r="J18" i="23"/>
  <c r="J23" i="23" s="1"/>
  <c r="J33" i="23" s="1"/>
  <c r="J116" i="4"/>
  <c r="D28" i="23"/>
  <c r="R52" i="25"/>
  <c r="R64" i="25" s="1"/>
  <c r="R69" i="25" s="1"/>
  <c r="R76" i="25" s="1"/>
  <c r="V50" i="25"/>
  <c r="V62" i="25" s="1"/>
  <c r="V67" i="25" s="1"/>
  <c r="V74" i="25" s="1"/>
  <c r="V128" i="25"/>
  <c r="F51" i="25"/>
  <c r="I27" i="23"/>
  <c r="J51" i="25"/>
  <c r="AH52" i="25"/>
  <c r="AH130" i="25"/>
  <c r="AD52" i="25"/>
  <c r="AD64" i="25" s="1"/>
  <c r="AD69" i="25" s="1"/>
  <c r="F52" i="25"/>
  <c r="F64" i="25" s="1"/>
  <c r="F69" i="25" s="1"/>
  <c r="F130" i="25"/>
  <c r="AH50" i="25"/>
  <c r="AH62" i="25" s="1"/>
  <c r="AH67" i="25" s="1"/>
  <c r="AH84" i="25" s="1"/>
  <c r="AD50" i="25"/>
  <c r="R51" i="25"/>
  <c r="J52" i="25"/>
  <c r="K10" i="23"/>
  <c r="Z52" i="25"/>
  <c r="Z64" i="25" s="1"/>
  <c r="Z69" i="25" s="1"/>
  <c r="Z76" i="25" s="1"/>
  <c r="Z130" i="25"/>
  <c r="B52" i="25"/>
  <c r="B64" i="25" s="1"/>
  <c r="B69" i="25" s="1"/>
  <c r="B76" i="25" s="1"/>
  <c r="Z50" i="25"/>
  <c r="Z62" i="25" s="1"/>
  <c r="Z67" i="25" s="1"/>
  <c r="Z128" i="25"/>
  <c r="N52" i="25"/>
  <c r="N64" i="25" s="1"/>
  <c r="N69" i="25" s="1"/>
  <c r="N130" i="25"/>
  <c r="H28" i="23"/>
  <c r="H33" i="23" s="1"/>
  <c r="AL50" i="25"/>
  <c r="J10" i="23"/>
  <c r="N51" i="25"/>
  <c r="AL52" i="25"/>
  <c r="AL64" i="25" s="1"/>
  <c r="AL69" i="25" s="1"/>
  <c r="G14" i="23"/>
  <c r="G15" i="23" s="1"/>
  <c r="X41" i="25"/>
  <c r="X40" i="25"/>
  <c r="X42" i="25"/>
  <c r="H116" i="4"/>
  <c r="AB40" i="25"/>
  <c r="AB41" i="25"/>
  <c r="AB42" i="25"/>
  <c r="D42" i="25"/>
  <c r="E31" i="25"/>
  <c r="D41" i="25"/>
  <c r="D40" i="25"/>
  <c r="I116" i="4"/>
  <c r="AF40" i="25"/>
  <c r="AF42" i="25"/>
  <c r="AF41" i="25"/>
  <c r="F116" i="4"/>
  <c r="T42" i="25"/>
  <c r="T41" i="25"/>
  <c r="T40" i="25"/>
  <c r="D14" i="23"/>
  <c r="D15" i="23" s="1"/>
  <c r="L40" i="25"/>
  <c r="L41" i="25"/>
  <c r="L42" i="25"/>
  <c r="E116" i="4"/>
  <c r="P40" i="25"/>
  <c r="P42" i="25"/>
  <c r="P41" i="25"/>
  <c r="J14" i="23"/>
  <c r="J29" i="23" s="1"/>
  <c r="J30" i="23" s="1"/>
  <c r="AJ42" i="25"/>
  <c r="AJ41" i="25"/>
  <c r="AJ40" i="25"/>
  <c r="C14" i="23"/>
  <c r="C19" i="23" s="1"/>
  <c r="C24" i="23" s="1"/>
  <c r="H41" i="25"/>
  <c r="H40" i="25"/>
  <c r="H42" i="25"/>
  <c r="D10" i="23"/>
  <c r="I42" i="25"/>
  <c r="I130" i="25" s="1"/>
  <c r="I40" i="25"/>
  <c r="I41" i="25"/>
  <c r="M42" i="25"/>
  <c r="M40" i="25"/>
  <c r="M41" i="25"/>
  <c r="K116" i="4"/>
  <c r="AN41" i="25"/>
  <c r="AN40" i="25"/>
  <c r="AN42" i="25"/>
  <c r="K14" i="23"/>
  <c r="K29" i="23" s="1"/>
  <c r="B18" i="23"/>
  <c r="B23" i="23" s="1"/>
  <c r="B33" i="23" s="1"/>
  <c r="C116" i="4"/>
  <c r="D116" i="4"/>
  <c r="C10" i="23"/>
  <c r="E28" i="23"/>
  <c r="E33" i="23" s="1"/>
  <c r="G28" i="23"/>
  <c r="G33" i="23" s="1"/>
  <c r="F28" i="23"/>
  <c r="F33" i="23" s="1"/>
  <c r="F32" i="23"/>
  <c r="I10" i="23"/>
  <c r="E14" i="23"/>
  <c r="E29" i="23" s="1"/>
  <c r="G10" i="23"/>
  <c r="G116" i="4"/>
  <c r="E10" i="23"/>
  <c r="F10" i="23"/>
  <c r="I14" i="23"/>
  <c r="I15" i="23" s="1"/>
  <c r="B10" i="23"/>
  <c r="B116" i="4"/>
  <c r="V51" i="25"/>
  <c r="D33" i="23"/>
  <c r="H10" i="23"/>
  <c r="H14" i="23"/>
  <c r="I22" i="23"/>
  <c r="H22" i="23"/>
  <c r="E32" i="23"/>
  <c r="K32" i="23"/>
  <c r="C18" i="23"/>
  <c r="C28" i="23"/>
  <c r="K18" i="23"/>
  <c r="K28" i="23"/>
  <c r="F14" i="23"/>
  <c r="G22" i="23"/>
  <c r="D32" i="23"/>
  <c r="C32" i="23"/>
  <c r="B22" i="23"/>
  <c r="B14" i="23"/>
  <c r="N74" i="25" l="1"/>
  <c r="N84" i="25"/>
  <c r="N94" i="25"/>
  <c r="AH85" i="25"/>
  <c r="AH75" i="25"/>
  <c r="AH95" i="25"/>
  <c r="B84" i="25"/>
  <c r="B94" i="25"/>
  <c r="B74" i="25"/>
  <c r="J74" i="25"/>
  <c r="J84" i="25"/>
  <c r="J94" i="25"/>
  <c r="Z75" i="25"/>
  <c r="Z95" i="25"/>
  <c r="Z85" i="25"/>
  <c r="AD63" i="25"/>
  <c r="AD68" i="25" s="1"/>
  <c r="AD85" i="25" s="1"/>
  <c r="AD62" i="25"/>
  <c r="AD67" i="25" s="1"/>
  <c r="AD84" i="25" s="1"/>
  <c r="N63" i="25"/>
  <c r="N68" i="25" s="1"/>
  <c r="N95" i="25" s="1"/>
  <c r="V84" i="25"/>
  <c r="V94" i="25"/>
  <c r="B63" i="25"/>
  <c r="B96" i="25"/>
  <c r="R96" i="25"/>
  <c r="AH94" i="25"/>
  <c r="R86" i="25"/>
  <c r="Z96" i="25"/>
  <c r="B86" i="25"/>
  <c r="F63" i="25"/>
  <c r="F68" i="25" s="1"/>
  <c r="F75" i="25" s="1"/>
  <c r="AL62" i="25"/>
  <c r="AL67" i="25" s="1"/>
  <c r="AL94" i="25" s="1"/>
  <c r="E30" i="23"/>
  <c r="D19" i="23"/>
  <c r="D24" i="23" s="1"/>
  <c r="D25" i="23" s="1"/>
  <c r="D80" i="4" s="1"/>
  <c r="G29" i="23"/>
  <c r="G30" i="23" s="1"/>
  <c r="G19" i="23"/>
  <c r="G24" i="23" s="1"/>
  <c r="G25" i="23" s="1"/>
  <c r="G80" i="4" s="1"/>
  <c r="Z86" i="25"/>
  <c r="J15" i="23"/>
  <c r="J64" i="25"/>
  <c r="J69" i="25" s="1"/>
  <c r="J96" i="25" s="1"/>
  <c r="V63" i="25"/>
  <c r="V68" i="25" s="1"/>
  <c r="V95" i="25" s="1"/>
  <c r="J63" i="25"/>
  <c r="J68" i="25" s="1"/>
  <c r="J85" i="25" s="1"/>
  <c r="AH74" i="25"/>
  <c r="R63" i="25"/>
  <c r="R68" i="25" s="1"/>
  <c r="R95" i="25" s="1"/>
  <c r="C15" i="23"/>
  <c r="C29" i="23"/>
  <c r="C34" i="23" s="1"/>
  <c r="D29" i="23"/>
  <c r="D30" i="23" s="1"/>
  <c r="K19" i="23"/>
  <c r="K24" i="23" s="1"/>
  <c r="K34" i="23" s="1"/>
  <c r="J19" i="23"/>
  <c r="K30" i="23"/>
  <c r="K15" i="23"/>
  <c r="E15" i="23"/>
  <c r="E19" i="23"/>
  <c r="E24" i="23" s="1"/>
  <c r="E34" i="23" s="1"/>
  <c r="E35" i="23" s="1"/>
  <c r="I19" i="23"/>
  <c r="I24" i="23" s="1"/>
  <c r="I25" i="23" s="1"/>
  <c r="I80" i="4" s="1"/>
  <c r="I29" i="23"/>
  <c r="I30" i="23" s="1"/>
  <c r="N76" i="25"/>
  <c r="N86" i="25"/>
  <c r="N96" i="25"/>
  <c r="AL75" i="25"/>
  <c r="AL85" i="25"/>
  <c r="AL95" i="25"/>
  <c r="AL96" i="25"/>
  <c r="AL86" i="25"/>
  <c r="AL76" i="25"/>
  <c r="AH64" i="25"/>
  <c r="AH69" i="25" s="1"/>
  <c r="AD94" i="25"/>
  <c r="AD76" i="25"/>
  <c r="AD86" i="25"/>
  <c r="AD96" i="25"/>
  <c r="Z74" i="25"/>
  <c r="Z94" i="25"/>
  <c r="Z84" i="25"/>
  <c r="V52" i="25"/>
  <c r="R74" i="25"/>
  <c r="R84" i="25"/>
  <c r="R94" i="25"/>
  <c r="F74" i="25"/>
  <c r="F84" i="25"/>
  <c r="F94" i="25"/>
  <c r="F76" i="25"/>
  <c r="F86" i="25"/>
  <c r="F96" i="25"/>
  <c r="C23" i="23"/>
  <c r="C20" i="23"/>
  <c r="H32" i="23"/>
  <c r="G32" i="23"/>
  <c r="F15" i="23"/>
  <c r="F19" i="23"/>
  <c r="F29" i="23"/>
  <c r="F30" i="23" s="1"/>
  <c r="I32" i="23"/>
  <c r="H19" i="23"/>
  <c r="H29" i="23"/>
  <c r="H30" i="23" s="1"/>
  <c r="H15" i="23"/>
  <c r="K23" i="23"/>
  <c r="B32" i="23"/>
  <c r="B29" i="23"/>
  <c r="B30" i="23" s="1"/>
  <c r="B19" i="23"/>
  <c r="B15" i="23"/>
  <c r="AH105" i="25" l="1"/>
  <c r="AH110" i="25" s="1"/>
  <c r="AH126" i="25" s="1"/>
  <c r="AH134" i="25" s="1"/>
  <c r="AD75" i="25"/>
  <c r="Z105" i="25"/>
  <c r="Z110" i="25" s="1"/>
  <c r="Z126" i="25" s="1"/>
  <c r="Z134" i="25" s="1"/>
  <c r="N85" i="25"/>
  <c r="N104" i="25"/>
  <c r="J104" i="25"/>
  <c r="J109" i="25" s="1"/>
  <c r="B104" i="25"/>
  <c r="B68" i="25"/>
  <c r="Z106" i="25"/>
  <c r="Z111" i="25" s="1"/>
  <c r="Z127" i="25" s="1"/>
  <c r="AD95" i="25"/>
  <c r="AD105" i="25" s="1"/>
  <c r="AD110" i="25" s="1"/>
  <c r="AD126" i="25" s="1"/>
  <c r="B106" i="25"/>
  <c r="B111" i="25" s="1"/>
  <c r="B127" i="25" s="1"/>
  <c r="B130" i="25" s="1"/>
  <c r="AD74" i="25"/>
  <c r="AD104" i="25" s="1"/>
  <c r="AH104" i="25"/>
  <c r="AH109" i="25" s="1"/>
  <c r="AH120" i="25" s="1"/>
  <c r="AR51" i="25"/>
  <c r="AR63" i="25" s="1"/>
  <c r="AR68" i="25" s="1"/>
  <c r="V104" i="25"/>
  <c r="N75" i="25"/>
  <c r="R106" i="25"/>
  <c r="R111" i="25" s="1"/>
  <c r="R127" i="25" s="1"/>
  <c r="R130" i="25" s="1"/>
  <c r="AL74" i="25"/>
  <c r="F85" i="25"/>
  <c r="F95" i="25"/>
  <c r="V85" i="25"/>
  <c r="D20" i="23"/>
  <c r="G34" i="23"/>
  <c r="V75" i="25"/>
  <c r="AL84" i="25"/>
  <c r="J95" i="25"/>
  <c r="G20" i="23"/>
  <c r="S10" i="17"/>
  <c r="E71" i="4"/>
  <c r="J86" i="25"/>
  <c r="D34" i="23"/>
  <c r="D35" i="23" s="1"/>
  <c r="D39" i="23" s="1"/>
  <c r="J76" i="25"/>
  <c r="J75" i="25"/>
  <c r="R75" i="25"/>
  <c r="C30" i="23"/>
  <c r="R85" i="25"/>
  <c r="K20" i="23"/>
  <c r="J20" i="23"/>
  <c r="J24" i="23"/>
  <c r="E25" i="23"/>
  <c r="E80" i="4" s="1"/>
  <c r="E20" i="23"/>
  <c r="I20" i="23"/>
  <c r="I34" i="23"/>
  <c r="I35" i="23" s="1"/>
  <c r="E38" i="23"/>
  <c r="E39" i="23"/>
  <c r="D38" i="23"/>
  <c r="N105" i="25"/>
  <c r="N110" i="25" s="1"/>
  <c r="N126" i="25" s="1"/>
  <c r="N129" i="25" s="1"/>
  <c r="N106" i="25"/>
  <c r="N111" i="25" s="1"/>
  <c r="N122" i="25" s="1"/>
  <c r="E37" i="23"/>
  <c r="Z122" i="25"/>
  <c r="F106" i="25"/>
  <c r="F111" i="25" s="1"/>
  <c r="F127" i="25" s="1"/>
  <c r="AH121" i="25"/>
  <c r="AL106" i="25"/>
  <c r="AL105" i="25"/>
  <c r="AH96" i="25"/>
  <c r="AH86" i="25"/>
  <c r="AH76" i="25"/>
  <c r="AD106" i="25"/>
  <c r="Z135" i="25"/>
  <c r="Z104" i="25"/>
  <c r="V109" i="25"/>
  <c r="V120" i="25" s="1"/>
  <c r="V64" i="25"/>
  <c r="V69" i="25" s="1"/>
  <c r="R104" i="25"/>
  <c r="N109" i="25"/>
  <c r="J125" i="25"/>
  <c r="J120" i="25"/>
  <c r="F104" i="25"/>
  <c r="G35" i="23"/>
  <c r="B109" i="25"/>
  <c r="B120" i="25" s="1"/>
  <c r="C33" i="23"/>
  <c r="C35" i="23" s="1"/>
  <c r="C25" i="23"/>
  <c r="C80" i="4" s="1"/>
  <c r="H24" i="23"/>
  <c r="H20" i="23"/>
  <c r="K33" i="23"/>
  <c r="K35" i="23" s="1"/>
  <c r="K25" i="23"/>
  <c r="K80" i="4" s="1"/>
  <c r="F24" i="23"/>
  <c r="F20" i="23"/>
  <c r="B24" i="23"/>
  <c r="B20" i="23"/>
  <c r="AH129" i="25" l="1"/>
  <c r="Z129" i="25"/>
  <c r="Z121" i="25"/>
  <c r="R135" i="25"/>
  <c r="F105" i="25"/>
  <c r="V105" i="25"/>
  <c r="B75" i="25"/>
  <c r="B85" i="25"/>
  <c r="B95" i="25"/>
  <c r="B135" i="25"/>
  <c r="R122" i="25"/>
  <c r="B122" i="25"/>
  <c r="E113" i="4"/>
  <c r="O10" i="17" s="1"/>
  <c r="L10" i="17"/>
  <c r="J105" i="25"/>
  <c r="J110" i="25" s="1"/>
  <c r="J126" i="25" s="1"/>
  <c r="J129" i="25" s="1"/>
  <c r="AL104" i="25"/>
  <c r="AL109" i="25" s="1"/>
  <c r="AL120" i="25" s="1"/>
  <c r="D37" i="23"/>
  <c r="D113" i="4" s="1"/>
  <c r="J106" i="25"/>
  <c r="J111" i="25" s="1"/>
  <c r="J122" i="25" s="1"/>
  <c r="I71" i="4"/>
  <c r="S16" i="17"/>
  <c r="K71" i="4"/>
  <c r="S8" i="17"/>
  <c r="C71" i="4"/>
  <c r="R105" i="25"/>
  <c r="R110" i="25" s="1"/>
  <c r="R121" i="25" s="1"/>
  <c r="S12" i="17"/>
  <c r="G71" i="4"/>
  <c r="S9" i="17"/>
  <c r="D71" i="4"/>
  <c r="J34" i="23"/>
  <c r="J35" i="23" s="1"/>
  <c r="J25" i="23"/>
  <c r="J80" i="4" s="1"/>
  <c r="S14" i="17"/>
  <c r="I38" i="23"/>
  <c r="I39" i="23"/>
  <c r="I113" i="4" s="1"/>
  <c r="I37" i="23"/>
  <c r="N134" i="25"/>
  <c r="E40" i="23"/>
  <c r="S24" i="13"/>
  <c r="S26" i="13" s="1"/>
  <c r="I7" i="27" s="1"/>
  <c r="N121" i="25"/>
  <c r="N127" i="25"/>
  <c r="G38" i="23"/>
  <c r="G39" i="23"/>
  <c r="G113" i="4" s="1"/>
  <c r="G37" i="23"/>
  <c r="F122" i="25"/>
  <c r="AD121" i="25"/>
  <c r="AL110" i="25"/>
  <c r="AL126" i="25" s="1"/>
  <c r="AL111" i="25"/>
  <c r="AL127" i="25" s="1"/>
  <c r="AL130" i="25" s="1"/>
  <c r="AH125" i="25"/>
  <c r="AH128" i="25" s="1"/>
  <c r="AH106" i="25"/>
  <c r="AD129" i="25"/>
  <c r="AD134" i="25"/>
  <c r="AD111" i="25"/>
  <c r="AD127" i="25" s="1"/>
  <c r="AD130" i="25" s="1"/>
  <c r="AD109" i="25"/>
  <c r="AD120" i="25" s="1"/>
  <c r="Z109" i="25"/>
  <c r="Z120" i="25" s="1"/>
  <c r="V125" i="25"/>
  <c r="V76" i="25"/>
  <c r="V96" i="25"/>
  <c r="V86" i="25"/>
  <c r="V110" i="25"/>
  <c r="V126" i="25" s="1"/>
  <c r="R109" i="25"/>
  <c r="R120" i="25" s="1"/>
  <c r="N125" i="25"/>
  <c r="N120" i="25"/>
  <c r="J128" i="25"/>
  <c r="J133" i="25"/>
  <c r="F135" i="25"/>
  <c r="F109" i="25"/>
  <c r="F110" i="25"/>
  <c r="F126" i="25" s="1"/>
  <c r="F129" i="25" s="1"/>
  <c r="B125" i="25"/>
  <c r="F34" i="23"/>
  <c r="F35" i="23" s="1"/>
  <c r="F25" i="23"/>
  <c r="F80" i="4" s="1"/>
  <c r="K38" i="23"/>
  <c r="K39" i="23"/>
  <c r="K113" i="4" s="1"/>
  <c r="K37" i="23"/>
  <c r="H34" i="23"/>
  <c r="H35" i="23" s="1"/>
  <c r="H25" i="23"/>
  <c r="H80" i="4" s="1"/>
  <c r="C37" i="23"/>
  <c r="C39" i="23"/>
  <c r="C38" i="23"/>
  <c r="B34" i="23"/>
  <c r="B35" i="23" s="1"/>
  <c r="B25" i="23"/>
  <c r="B80" i="4" s="1"/>
  <c r="AL125" i="25" l="1"/>
  <c r="AL128" i="25" s="1"/>
  <c r="B105" i="25"/>
  <c r="B110" i="25" s="1"/>
  <c r="J127" i="25"/>
  <c r="J130" i="25" s="1"/>
  <c r="J134" i="25"/>
  <c r="B37" i="23"/>
  <c r="B39" i="23"/>
  <c r="D40" i="23"/>
  <c r="C113" i="4"/>
  <c r="S19" i="13"/>
  <c r="S21" i="13" s="1"/>
  <c r="I10" i="27" s="1"/>
  <c r="J121" i="25"/>
  <c r="R126" i="25"/>
  <c r="R129" i="25" s="1"/>
  <c r="S7" i="17"/>
  <c r="B71" i="4"/>
  <c r="F72" i="4" s="1"/>
  <c r="B72" i="4"/>
  <c r="S11" i="17"/>
  <c r="F71" i="4"/>
  <c r="S13" i="17"/>
  <c r="H71" i="4"/>
  <c r="H72" i="4"/>
  <c r="J71" i="4"/>
  <c r="J72" i="4"/>
  <c r="S15" i="17"/>
  <c r="J39" i="23"/>
  <c r="J38" i="23"/>
  <c r="J37" i="23"/>
  <c r="S44" i="13"/>
  <c r="S46" i="13" s="1"/>
  <c r="I8" i="27" s="1"/>
  <c r="I40" i="23"/>
  <c r="S54" i="13"/>
  <c r="S56" i="13" s="1"/>
  <c r="I12" i="27" s="1"/>
  <c r="G40" i="23"/>
  <c r="S34" i="13"/>
  <c r="S36" i="13" s="1"/>
  <c r="I15" i="27" s="1"/>
  <c r="S14" i="13"/>
  <c r="S16" i="13" s="1"/>
  <c r="I13" i="27" s="1"/>
  <c r="N135" i="25"/>
  <c r="W37" i="13"/>
  <c r="W40" i="13"/>
  <c r="W38" i="13"/>
  <c r="K40" i="23"/>
  <c r="AD122" i="25"/>
  <c r="V106" i="25"/>
  <c r="V111" i="25" s="1"/>
  <c r="V122" i="25" s="1"/>
  <c r="AL121" i="25"/>
  <c r="AL122" i="25"/>
  <c r="AL133" i="25"/>
  <c r="AL135" i="25"/>
  <c r="AL129" i="25"/>
  <c r="AL134" i="25"/>
  <c r="AH111" i="25"/>
  <c r="AH133" i="25"/>
  <c r="AD125" i="25"/>
  <c r="AD128" i="25" s="1"/>
  <c r="AD135" i="25"/>
  <c r="Z125" i="25"/>
  <c r="V121" i="25"/>
  <c r="V133" i="25"/>
  <c r="V129" i="25"/>
  <c r="V134" i="25"/>
  <c r="R125" i="25"/>
  <c r="N128" i="25"/>
  <c r="N133" i="25"/>
  <c r="F125" i="25"/>
  <c r="F121" i="25"/>
  <c r="F134" i="25"/>
  <c r="F120" i="25"/>
  <c r="C40" i="23"/>
  <c r="B128" i="25"/>
  <c r="B133" i="25"/>
  <c r="F38" i="23"/>
  <c r="F37" i="23"/>
  <c r="F39" i="23"/>
  <c r="F113" i="4" s="1"/>
  <c r="H38" i="23"/>
  <c r="H37" i="23"/>
  <c r="B38" i="23"/>
  <c r="B126" i="25" l="1"/>
  <c r="B134" i="25" s="1"/>
  <c r="B121" i="25"/>
  <c r="J135" i="25"/>
  <c r="J113" i="4"/>
  <c r="H113" i="4"/>
  <c r="B113" i="4"/>
  <c r="R134" i="25"/>
  <c r="H53" i="4"/>
  <c r="H54" i="4"/>
  <c r="H58" i="4"/>
  <c r="H55" i="4"/>
  <c r="H59" i="4"/>
  <c r="H51" i="4"/>
  <c r="H56" i="4"/>
  <c r="H60" i="4"/>
  <c r="H52" i="4"/>
  <c r="H57" i="4"/>
  <c r="H61" i="4"/>
  <c r="B56" i="4"/>
  <c r="B57" i="4"/>
  <c r="B53" i="4"/>
  <c r="B58" i="4"/>
  <c r="B51" i="4"/>
  <c r="B59" i="4"/>
  <c r="B61" i="4"/>
  <c r="B60" i="4"/>
  <c r="B52" i="4"/>
  <c r="B54" i="4"/>
  <c r="B55" i="4"/>
  <c r="J52" i="4"/>
  <c r="J57" i="4"/>
  <c r="J61" i="4"/>
  <c r="J53" i="4"/>
  <c r="J55" i="4"/>
  <c r="J54" i="4"/>
  <c r="J58" i="4"/>
  <c r="J59" i="4"/>
  <c r="J56" i="4"/>
  <c r="J60" i="4"/>
  <c r="J51" i="4"/>
  <c r="F55" i="4"/>
  <c r="F59" i="4"/>
  <c r="F57" i="4"/>
  <c r="F56" i="4"/>
  <c r="F60" i="4"/>
  <c r="F51" i="4"/>
  <c r="F61" i="4"/>
  <c r="F52" i="4"/>
  <c r="F53" i="4"/>
  <c r="F54" i="4"/>
  <c r="F58" i="4"/>
  <c r="E72" i="4"/>
  <c r="I72" i="4"/>
  <c r="G72" i="4"/>
  <c r="K72" i="4"/>
  <c r="D72" i="4"/>
  <c r="C72" i="4"/>
  <c r="J40" i="23"/>
  <c r="S49" i="13"/>
  <c r="S51" i="13" s="1"/>
  <c r="I11" i="27" s="1"/>
  <c r="S29" i="13"/>
  <c r="S31" i="13" s="1"/>
  <c r="I14" i="27" s="1"/>
  <c r="S39" i="13"/>
  <c r="S41" i="13" s="1"/>
  <c r="I9" i="27" s="1"/>
  <c r="B40" i="23"/>
  <c r="S9" i="13"/>
  <c r="S11" i="13" s="1"/>
  <c r="I16" i="27" s="1"/>
  <c r="W41" i="13"/>
  <c r="K9" i="27" s="1"/>
  <c r="H40" i="23"/>
  <c r="F40" i="23"/>
  <c r="V127" i="25"/>
  <c r="AH127" i="25"/>
  <c r="AH122" i="25"/>
  <c r="AD133" i="25"/>
  <c r="Z133" i="25"/>
  <c r="R128" i="25"/>
  <c r="R133" i="25"/>
  <c r="F128" i="25"/>
  <c r="F133" i="25"/>
  <c r="B129" i="25" l="1"/>
  <c r="H63" i="4"/>
  <c r="B63" i="4"/>
  <c r="K56" i="4"/>
  <c r="K60" i="4"/>
  <c r="K51" i="4"/>
  <c r="K52" i="4"/>
  <c r="K57" i="4"/>
  <c r="K61" i="4"/>
  <c r="K53" i="4"/>
  <c r="K54" i="4"/>
  <c r="K58" i="4"/>
  <c r="K55" i="4"/>
  <c r="K59" i="4"/>
  <c r="G54" i="4"/>
  <c r="G58" i="4"/>
  <c r="G55" i="4"/>
  <c r="G59" i="4"/>
  <c r="G56" i="4"/>
  <c r="G60" i="4"/>
  <c r="G51" i="4"/>
  <c r="G52" i="4"/>
  <c r="G57" i="4"/>
  <c r="G61" i="4"/>
  <c r="G53" i="4"/>
  <c r="I57" i="4"/>
  <c r="I61" i="4"/>
  <c r="I53" i="4"/>
  <c r="I54" i="4"/>
  <c r="I58" i="4"/>
  <c r="I55" i="4"/>
  <c r="I59" i="4"/>
  <c r="I56" i="4"/>
  <c r="I60" i="4"/>
  <c r="I51" i="4"/>
  <c r="I52" i="4"/>
  <c r="E55" i="4"/>
  <c r="E59" i="4"/>
  <c r="E56" i="4"/>
  <c r="E60" i="4"/>
  <c r="E51" i="4"/>
  <c r="E52" i="4"/>
  <c r="E53" i="4"/>
  <c r="E57" i="4"/>
  <c r="E61" i="4"/>
  <c r="E54" i="4"/>
  <c r="E58" i="4"/>
  <c r="C54" i="4"/>
  <c r="C56" i="4"/>
  <c r="C60" i="4"/>
  <c r="C51" i="4"/>
  <c r="C52" i="4"/>
  <c r="C57" i="4"/>
  <c r="C61" i="4"/>
  <c r="C53" i="4"/>
  <c r="C58" i="4"/>
  <c r="C55" i="4"/>
  <c r="C59" i="4"/>
  <c r="F63" i="4"/>
  <c r="D56" i="4"/>
  <c r="D60" i="4"/>
  <c r="D51" i="4"/>
  <c r="D54" i="4"/>
  <c r="D52" i="4"/>
  <c r="D57" i="4"/>
  <c r="D61" i="4"/>
  <c r="D58" i="4"/>
  <c r="D53" i="4"/>
  <c r="D55" i="4"/>
  <c r="D59" i="4"/>
  <c r="J63" i="4"/>
  <c r="V135" i="25"/>
  <c r="AH135" i="25"/>
  <c r="C63" i="4" l="1"/>
  <c r="I63" i="4"/>
  <c r="E63" i="4"/>
  <c r="K63" i="4"/>
  <c r="D63" i="4"/>
  <c r="G63" i="4"/>
  <c r="I33" i="4"/>
  <c r="L32" i="22" l="1"/>
  <c r="K16" i="22"/>
  <c r="K12" i="22"/>
  <c r="M9" i="22"/>
  <c r="K10" i="22"/>
  <c r="K9" i="22"/>
  <c r="K8" i="22"/>
  <c r="AQ8" i="25" l="1"/>
  <c r="AS8" i="25"/>
  <c r="AP8" i="25"/>
  <c r="L7" i="23"/>
  <c r="AP41" i="25" l="1"/>
  <c r="AP42" i="25"/>
  <c r="AQ41" i="25"/>
  <c r="AQ25" i="25"/>
  <c r="AQ23" i="25"/>
  <c r="AQ24" i="25"/>
  <c r="AQ42" i="25"/>
  <c r="AQ40" i="25"/>
  <c r="L18" i="4"/>
  <c r="L13" i="23" s="1"/>
  <c r="L9" i="23"/>
  <c r="AS41" i="25" s="1"/>
  <c r="L11" i="4"/>
  <c r="AS42" i="25" l="1"/>
  <c r="AS25" i="25"/>
  <c r="AS24" i="25"/>
  <c r="AS23" i="25"/>
  <c r="AS40" i="25"/>
  <c r="L12" i="23"/>
  <c r="W52" i="25"/>
  <c r="W64" i="25" s="1"/>
  <c r="W69" i="25" s="1"/>
  <c r="C52" i="25"/>
  <c r="C64" i="25" s="1"/>
  <c r="C69" i="25" s="1"/>
  <c r="W50" i="25"/>
  <c r="C51" i="25"/>
  <c r="C63" i="25" s="1"/>
  <c r="C68" i="25" s="1"/>
  <c r="S51" i="25"/>
  <c r="S63" i="25" s="1"/>
  <c r="S68" i="25" s="1"/>
  <c r="O50" i="25"/>
  <c r="G52" i="25"/>
  <c r="G64" i="25" s="1"/>
  <c r="G69" i="25" s="1"/>
  <c r="AA52" i="25"/>
  <c r="AA64" i="25" s="1"/>
  <c r="AA69" i="25" s="1"/>
  <c r="G50" i="25"/>
  <c r="AI50" i="25"/>
  <c r="O52" i="25"/>
  <c r="O64" i="25" s="1"/>
  <c r="O69" i="25" s="1"/>
  <c r="AI52" i="25"/>
  <c r="AI64" i="25" s="1"/>
  <c r="AI69" i="25" s="1"/>
  <c r="K51" i="25"/>
  <c r="K63" i="25" s="1"/>
  <c r="K68" i="25" s="1"/>
  <c r="K50" i="25"/>
  <c r="K62" i="25" s="1"/>
  <c r="K67" i="25" s="1"/>
  <c r="AQ52" i="25"/>
  <c r="AP51" i="25"/>
  <c r="AQ50" i="25"/>
  <c r="AQ51" i="25"/>
  <c r="AP52" i="25" l="1"/>
  <c r="AP64" i="25" s="1"/>
  <c r="AP69" i="25" s="1"/>
  <c r="C85" i="25"/>
  <c r="C95" i="25"/>
  <c r="C75" i="25"/>
  <c r="K84" i="25"/>
  <c r="K94" i="25"/>
  <c r="K74" i="25"/>
  <c r="AI96" i="25"/>
  <c r="AI76" i="25"/>
  <c r="AI86" i="25"/>
  <c r="O76" i="25"/>
  <c r="O96" i="25"/>
  <c r="O86" i="25"/>
  <c r="S50" i="25"/>
  <c r="S62" i="25" s="1"/>
  <c r="S67" i="25" s="1"/>
  <c r="I52" i="25"/>
  <c r="I64" i="25" s="1"/>
  <c r="I69" i="25" s="1"/>
  <c r="AC52" i="25"/>
  <c r="AC64" i="25" s="1"/>
  <c r="AC69" i="25" s="1"/>
  <c r="Q51" i="25"/>
  <c r="Q63" i="25" s="1"/>
  <c r="Q68" i="25" s="1"/>
  <c r="AO50" i="25"/>
  <c r="AO62" i="25" s="1"/>
  <c r="AO67" i="25" s="1"/>
  <c r="S95" i="25"/>
  <c r="S85" i="25"/>
  <c r="S75" i="25"/>
  <c r="W51" i="25"/>
  <c r="W63" i="25" s="1"/>
  <c r="W68" i="25" s="1"/>
  <c r="AE51" i="25"/>
  <c r="AE63" i="25" s="1"/>
  <c r="AE68" i="25" s="1"/>
  <c r="C86" i="25"/>
  <c r="C96" i="25"/>
  <c r="AA76" i="25"/>
  <c r="AA96" i="25"/>
  <c r="AA86" i="25"/>
  <c r="E51" i="25"/>
  <c r="E63" i="25" s="1"/>
  <c r="E68" i="25" s="1"/>
  <c r="O62" i="25"/>
  <c r="O67" i="25" s="1"/>
  <c r="AO52" i="25"/>
  <c r="AO64" i="25" s="1"/>
  <c r="AO69" i="25" s="1"/>
  <c r="AN50" i="25"/>
  <c r="AN62" i="25" s="1"/>
  <c r="AN67" i="25" s="1"/>
  <c r="L52" i="25"/>
  <c r="L64" i="25" s="1"/>
  <c r="L69" i="25" s="1"/>
  <c r="AJ52" i="25"/>
  <c r="AJ64" i="25" s="1"/>
  <c r="AJ69" i="25" s="1"/>
  <c r="AF50" i="25"/>
  <c r="AN52" i="25"/>
  <c r="AN64" i="25" s="1"/>
  <c r="AN69" i="25" s="1"/>
  <c r="P51" i="25"/>
  <c r="AB52" i="25"/>
  <c r="AB64" i="25" s="1"/>
  <c r="AB69" i="25" s="1"/>
  <c r="X50" i="25"/>
  <c r="X62" i="25" s="1"/>
  <c r="X67" i="25" s="1"/>
  <c r="X52" i="25"/>
  <c r="T52" i="25"/>
  <c r="T64" i="25" s="1"/>
  <c r="T69" i="25" s="1"/>
  <c r="L116" i="4"/>
  <c r="AG52" i="25"/>
  <c r="AG64" i="25" s="1"/>
  <c r="AG69" i="25" s="1"/>
  <c r="G86" i="25"/>
  <c r="G96" i="25"/>
  <c r="G76" i="25"/>
  <c r="AO51" i="25"/>
  <c r="AO63" i="25" s="1"/>
  <c r="AO68" i="25" s="1"/>
  <c r="C50" i="25"/>
  <c r="AA51" i="25"/>
  <c r="AA63" i="25" s="1"/>
  <c r="AA68" i="25" s="1"/>
  <c r="AE52" i="25"/>
  <c r="AE64" i="25" s="1"/>
  <c r="AE69" i="25" s="1"/>
  <c r="AM52" i="25"/>
  <c r="AM64" i="25" s="1"/>
  <c r="AM69" i="25" s="1"/>
  <c r="AM50" i="25"/>
  <c r="AM62" i="25" s="1"/>
  <c r="AM67" i="25" s="1"/>
  <c r="AE50" i="25"/>
  <c r="AE62" i="25" s="1"/>
  <c r="AE67" i="25" s="1"/>
  <c r="K95" i="25"/>
  <c r="K75" i="25"/>
  <c r="K85" i="25"/>
  <c r="M52" i="25"/>
  <c r="M64" i="25" s="1"/>
  <c r="M69" i="25" s="1"/>
  <c r="I50" i="25"/>
  <c r="I62" i="25" s="1"/>
  <c r="I67" i="25" s="1"/>
  <c r="M51" i="25"/>
  <c r="M63" i="25" s="1"/>
  <c r="M68" i="25" s="1"/>
  <c r="AG50" i="25"/>
  <c r="AG62" i="25" s="1"/>
  <c r="AG67" i="25" s="1"/>
  <c r="K52" i="25"/>
  <c r="K64" i="25" s="1"/>
  <c r="K69" i="25" s="1"/>
  <c r="E50" i="25"/>
  <c r="E62" i="25" s="1"/>
  <c r="E67" i="25" s="1"/>
  <c r="AM51" i="25"/>
  <c r="AM63" i="25" s="1"/>
  <c r="AM68" i="25" s="1"/>
  <c r="G62" i="25"/>
  <c r="G67" i="25" s="1"/>
  <c r="AA50" i="25"/>
  <c r="AA62" i="25" s="1"/>
  <c r="AA67" i="25" s="1"/>
  <c r="M50" i="25"/>
  <c r="M62" i="25" s="1"/>
  <c r="M67" i="25" s="1"/>
  <c r="U50" i="25"/>
  <c r="U62" i="25" s="1"/>
  <c r="U67" i="25" s="1"/>
  <c r="Y51" i="25"/>
  <c r="G51" i="25"/>
  <c r="G63" i="25" s="1"/>
  <c r="G68" i="25" s="1"/>
  <c r="W62" i="25"/>
  <c r="W67" i="25" s="1"/>
  <c r="AI51" i="25"/>
  <c r="AI63" i="25" s="1"/>
  <c r="AI68" i="25" s="1"/>
  <c r="W76" i="25"/>
  <c r="W86" i="25"/>
  <c r="W96" i="25"/>
  <c r="S52" i="25"/>
  <c r="S64" i="25" s="1"/>
  <c r="S69" i="25" s="1"/>
  <c r="AK50" i="25"/>
  <c r="AK62" i="25" s="1"/>
  <c r="AK67" i="25" s="1"/>
  <c r="O51" i="25"/>
  <c r="O63" i="25" s="1"/>
  <c r="O68" i="25" s="1"/>
  <c r="E52" i="25"/>
  <c r="E64" i="25" s="1"/>
  <c r="E69" i="25" s="1"/>
  <c r="AI62" i="25"/>
  <c r="AI67" i="25" s="1"/>
  <c r="U52" i="25"/>
  <c r="U64" i="25" s="1"/>
  <c r="U69" i="25" s="1"/>
  <c r="AK52" i="25"/>
  <c r="AK64" i="25" s="1"/>
  <c r="AK69" i="25" s="1"/>
  <c r="L27" i="23"/>
  <c r="L17" i="23"/>
  <c r="L22" i="23" s="1"/>
  <c r="L10" i="23"/>
  <c r="AQ63" i="25"/>
  <c r="AQ68" i="25" s="1"/>
  <c r="AQ85" i="25" s="1"/>
  <c r="AP62" i="25"/>
  <c r="AP67" i="25" s="1"/>
  <c r="AQ62" i="25"/>
  <c r="AQ67" i="25" s="1"/>
  <c r="AS52" i="25"/>
  <c r="AP63" i="25"/>
  <c r="AP68" i="25" s="1"/>
  <c r="AR25" i="25"/>
  <c r="AR40" i="25"/>
  <c r="AR42" i="25"/>
  <c r="AQ64" i="25"/>
  <c r="AQ69" i="25" s="1"/>
  <c r="L18" i="23"/>
  <c r="L23" i="23" s="1"/>
  <c r="L28" i="23"/>
  <c r="L14" i="23"/>
  <c r="L19" i="23" s="1"/>
  <c r="C62" i="25" l="1"/>
  <c r="C67" i="25" s="1"/>
  <c r="C74" i="25" s="1"/>
  <c r="AP86" i="25"/>
  <c r="AP106" i="25" s="1"/>
  <c r="AP111" i="25" s="1"/>
  <c r="AP127" i="25" s="1"/>
  <c r="AP130" i="25" s="1"/>
  <c r="AP76" i="25"/>
  <c r="AP96" i="25"/>
  <c r="AP75" i="25"/>
  <c r="AP95" i="25"/>
  <c r="AP94" i="25"/>
  <c r="AP84" i="25"/>
  <c r="AP74" i="25"/>
  <c r="AS31" i="25"/>
  <c r="M31" i="25"/>
  <c r="M32" i="25" s="1"/>
  <c r="U19" i="13" s="1"/>
  <c r="T19" i="13" s="1"/>
  <c r="Y31" i="25"/>
  <c r="Y32" i="25" s="1"/>
  <c r="U34" i="13" s="1"/>
  <c r="T34" i="13" s="1"/>
  <c r="E32" i="25"/>
  <c r="U9" i="13" s="1"/>
  <c r="T9" i="13" s="1"/>
  <c r="AC31" i="25"/>
  <c r="AC32" i="25" s="1"/>
  <c r="U39" i="13" s="1"/>
  <c r="K105" i="25"/>
  <c r="K110" i="25" s="1"/>
  <c r="K126" i="25" s="1"/>
  <c r="K129" i="25" s="1"/>
  <c r="W106" i="25"/>
  <c r="W111" i="25" s="1"/>
  <c r="W122" i="25" s="1"/>
  <c r="AA106" i="25"/>
  <c r="AA111" i="25" s="1"/>
  <c r="AA127" i="25" s="1"/>
  <c r="G106" i="25"/>
  <c r="G111" i="25" s="1"/>
  <c r="G127" i="25" s="1"/>
  <c r="S105" i="25"/>
  <c r="C106" i="25"/>
  <c r="O106" i="25"/>
  <c r="O111" i="25" s="1"/>
  <c r="O127" i="25" s="1"/>
  <c r="C105" i="25"/>
  <c r="C110" i="25" s="1"/>
  <c r="C121" i="25" s="1"/>
  <c r="AI106" i="25"/>
  <c r="AI111" i="25" s="1"/>
  <c r="AG31" i="25"/>
  <c r="AG32" i="25" s="1"/>
  <c r="U44" i="13" s="1"/>
  <c r="AO31" i="25"/>
  <c r="S74" i="25"/>
  <c r="S94" i="25"/>
  <c r="S84" i="25"/>
  <c r="O75" i="25"/>
  <c r="O85" i="25"/>
  <c r="O95" i="25"/>
  <c r="S86" i="25"/>
  <c r="S76" i="25"/>
  <c r="S96" i="25"/>
  <c r="T50" i="25"/>
  <c r="T62" i="25" s="1"/>
  <c r="T67" i="25" s="1"/>
  <c r="AF52" i="25"/>
  <c r="Y63" i="25"/>
  <c r="Y68" i="25" s="1"/>
  <c r="E94" i="25"/>
  <c r="E74" i="25"/>
  <c r="E84" i="25"/>
  <c r="X94" i="25"/>
  <c r="X84" i="25"/>
  <c r="X74" i="25"/>
  <c r="AJ96" i="25"/>
  <c r="AJ76" i="25"/>
  <c r="AJ86" i="25"/>
  <c r="E75" i="25"/>
  <c r="E85" i="25"/>
  <c r="E95" i="25"/>
  <c r="U86" i="25"/>
  <c r="U96" i="25"/>
  <c r="U76" i="25"/>
  <c r="AK94" i="25"/>
  <c r="AK84" i="25"/>
  <c r="AK74" i="25"/>
  <c r="K76" i="25"/>
  <c r="K86" i="25"/>
  <c r="K96" i="25"/>
  <c r="I94" i="25"/>
  <c r="I84" i="25"/>
  <c r="I74" i="25"/>
  <c r="AM84" i="25"/>
  <c r="AM94" i="25"/>
  <c r="AM74" i="25"/>
  <c r="P50" i="25"/>
  <c r="P62" i="25" s="1"/>
  <c r="P67" i="25" s="1"/>
  <c r="X64" i="25"/>
  <c r="X69" i="25" s="1"/>
  <c r="AB50" i="25"/>
  <c r="AB62" i="25" s="1"/>
  <c r="AB67" i="25" s="1"/>
  <c r="P63" i="25"/>
  <c r="P68" i="25" s="1"/>
  <c r="AN94" i="25"/>
  <c r="AN84" i="25"/>
  <c r="AN74" i="25"/>
  <c r="AE95" i="25"/>
  <c r="AE85" i="25"/>
  <c r="AE75" i="25"/>
  <c r="U31" i="25"/>
  <c r="U32" i="25" s="1"/>
  <c r="U29" i="13" s="1"/>
  <c r="AI85" i="25"/>
  <c r="AI75" i="25"/>
  <c r="AI95" i="25"/>
  <c r="M75" i="25"/>
  <c r="M85" i="25"/>
  <c r="M95" i="25"/>
  <c r="Y50" i="25"/>
  <c r="Y62" i="25" s="1"/>
  <c r="Y67" i="25" s="1"/>
  <c r="T76" i="25"/>
  <c r="T86" i="25"/>
  <c r="T96" i="25"/>
  <c r="T51" i="25"/>
  <c r="T63" i="25" s="1"/>
  <c r="T68" i="25" s="1"/>
  <c r="I96" i="25"/>
  <c r="I76" i="25"/>
  <c r="I86" i="25"/>
  <c r="U84" i="25"/>
  <c r="U74" i="25"/>
  <c r="U94" i="25"/>
  <c r="G74" i="25"/>
  <c r="G84" i="25"/>
  <c r="G94" i="25"/>
  <c r="P52" i="25"/>
  <c r="P64" i="25" s="1"/>
  <c r="P69" i="25" s="1"/>
  <c r="AB86" i="25"/>
  <c r="AB76" i="25"/>
  <c r="AB96" i="25"/>
  <c r="Q31" i="25"/>
  <c r="Q32" i="25" s="1"/>
  <c r="U24" i="13" s="1"/>
  <c r="AF51" i="25"/>
  <c r="AF63" i="25" s="1"/>
  <c r="AF68" i="25" s="1"/>
  <c r="AO94" i="25"/>
  <c r="AO74" i="25"/>
  <c r="AO84" i="25"/>
  <c r="AG51" i="25"/>
  <c r="AG63" i="25" s="1"/>
  <c r="AG68" i="25" s="1"/>
  <c r="AK96" i="25"/>
  <c r="AK86" i="25"/>
  <c r="AK76" i="25"/>
  <c r="AA84" i="25"/>
  <c r="AA94" i="25"/>
  <c r="AA74" i="25"/>
  <c r="AI84" i="25"/>
  <c r="AI94" i="25"/>
  <c r="AI74" i="25"/>
  <c r="W94" i="25"/>
  <c r="W84" i="25"/>
  <c r="W74" i="25"/>
  <c r="AM85" i="25"/>
  <c r="AM95" i="25"/>
  <c r="AM75" i="25"/>
  <c r="AE84" i="25"/>
  <c r="AE94" i="25"/>
  <c r="AE74" i="25"/>
  <c r="AM86" i="25"/>
  <c r="AM96" i="25"/>
  <c r="AM76" i="25"/>
  <c r="AJ51" i="25"/>
  <c r="AJ63" i="25" s="1"/>
  <c r="AJ68" i="25" s="1"/>
  <c r="AK31" i="25"/>
  <c r="AK32" i="25" s="1"/>
  <c r="U49" i="13" s="1"/>
  <c r="AJ50" i="25"/>
  <c r="L76" i="25"/>
  <c r="L96" i="25"/>
  <c r="L86" i="25"/>
  <c r="W95" i="25"/>
  <c r="W85" i="25"/>
  <c r="W75" i="25"/>
  <c r="AK51" i="25"/>
  <c r="AK63" i="25" s="1"/>
  <c r="AK68" i="25" s="1"/>
  <c r="Q52" i="25"/>
  <c r="Q64" i="25" s="1"/>
  <c r="Q69" i="25" s="1"/>
  <c r="AG84" i="25"/>
  <c r="AG94" i="25"/>
  <c r="AG74" i="25"/>
  <c r="Q50" i="25"/>
  <c r="Q62" i="25" s="1"/>
  <c r="Q67" i="25" s="1"/>
  <c r="AC50" i="25"/>
  <c r="L51" i="25"/>
  <c r="I31" i="25"/>
  <c r="I32" i="25" s="1"/>
  <c r="U14" i="13" s="1"/>
  <c r="AN96" i="25"/>
  <c r="AN76" i="25"/>
  <c r="AN86" i="25"/>
  <c r="D52" i="25"/>
  <c r="D64" i="25" s="1"/>
  <c r="D69" i="25" s="1"/>
  <c r="AO86" i="25"/>
  <c r="AO96" i="25"/>
  <c r="AO76" i="25"/>
  <c r="Q85" i="25"/>
  <c r="Q75" i="25"/>
  <c r="Q95" i="25"/>
  <c r="AC51" i="25"/>
  <c r="AC63" i="25" s="1"/>
  <c r="AC68" i="25" s="1"/>
  <c r="E86" i="25"/>
  <c r="E96" i="25"/>
  <c r="E76" i="25"/>
  <c r="G95" i="25"/>
  <c r="G75" i="25"/>
  <c r="G85" i="25"/>
  <c r="AE76" i="25"/>
  <c r="AE96" i="25"/>
  <c r="AE86" i="25"/>
  <c r="AG86" i="25"/>
  <c r="AG76" i="25"/>
  <c r="AG96" i="25"/>
  <c r="H52" i="25"/>
  <c r="H64" i="25" s="1"/>
  <c r="H69" i="25" s="1"/>
  <c r="M84" i="25"/>
  <c r="M74" i="25"/>
  <c r="M94" i="25"/>
  <c r="I51" i="25"/>
  <c r="I63" i="25" s="1"/>
  <c r="I68" i="25" s="1"/>
  <c r="U51" i="25"/>
  <c r="U63" i="25" s="1"/>
  <c r="U68" i="25" s="1"/>
  <c r="M86" i="25"/>
  <c r="M96" i="25"/>
  <c r="M76" i="25"/>
  <c r="Y52" i="25"/>
  <c r="Y64" i="25" s="1"/>
  <c r="Y69" i="25" s="1"/>
  <c r="AO75" i="25"/>
  <c r="AO85" i="25"/>
  <c r="AO95" i="25"/>
  <c r="H50" i="25"/>
  <c r="H62" i="25" s="1"/>
  <c r="H67" i="25" s="1"/>
  <c r="D50" i="25"/>
  <c r="H51" i="25"/>
  <c r="H63" i="25" s="1"/>
  <c r="H68" i="25" s="1"/>
  <c r="AF62" i="25"/>
  <c r="AF67" i="25" s="1"/>
  <c r="L50" i="25"/>
  <c r="L62" i="25" s="1"/>
  <c r="L67" i="25" s="1"/>
  <c r="O94" i="25"/>
  <c r="O74" i="25"/>
  <c r="O84" i="25"/>
  <c r="AC86" i="25"/>
  <c r="AC96" i="25"/>
  <c r="AC76" i="25"/>
  <c r="K104" i="25"/>
  <c r="AA85" i="25"/>
  <c r="AA75" i="25"/>
  <c r="AA95" i="25"/>
  <c r="L32" i="23"/>
  <c r="L15" i="23"/>
  <c r="L20" i="23"/>
  <c r="AQ76" i="25"/>
  <c r="AQ96" i="25"/>
  <c r="AQ86" i="25"/>
  <c r="AP85" i="25"/>
  <c r="AS51" i="25"/>
  <c r="AQ84" i="25"/>
  <c r="AQ74" i="25"/>
  <c r="AQ94" i="25"/>
  <c r="AR52" i="25"/>
  <c r="AS50" i="25"/>
  <c r="AS62" i="25" s="1"/>
  <c r="AS67" i="25" s="1"/>
  <c r="AS64" i="25"/>
  <c r="AS69" i="25" s="1"/>
  <c r="AQ75" i="25"/>
  <c r="AQ95" i="25"/>
  <c r="L33" i="23"/>
  <c r="L29" i="23"/>
  <c r="L30" i="23" s="1"/>
  <c r="AP104" i="25" l="1"/>
  <c r="C94" i="25"/>
  <c r="C84" i="25"/>
  <c r="AO32" i="25"/>
  <c r="U54" i="13" s="1"/>
  <c r="T54" i="13" s="1"/>
  <c r="W127" i="25"/>
  <c r="W135" i="25" s="1"/>
  <c r="T49" i="13"/>
  <c r="T44" i="13"/>
  <c r="T39" i="13"/>
  <c r="T29" i="13"/>
  <c r="I11" i="17" s="1"/>
  <c r="T24" i="13"/>
  <c r="T14" i="13"/>
  <c r="I8" i="17" s="1"/>
  <c r="W104" i="25"/>
  <c r="W109" i="25" s="1"/>
  <c r="W120" i="25" s="1"/>
  <c r="I106" i="25"/>
  <c r="I111" i="25" s="1"/>
  <c r="I127" i="25" s="1"/>
  <c r="S110" i="25"/>
  <c r="S126" i="25" s="1"/>
  <c r="S129" i="25" s="1"/>
  <c r="AE105" i="25"/>
  <c r="AE110" i="25" s="1"/>
  <c r="AE126" i="25" s="1"/>
  <c r="AE104" i="25"/>
  <c r="AE109" i="25" s="1"/>
  <c r="G104" i="25"/>
  <c r="G109" i="25" s="1"/>
  <c r="G120" i="25" s="1"/>
  <c r="AO106" i="25"/>
  <c r="AO111" i="25" s="1"/>
  <c r="C126" i="25"/>
  <c r="C129" i="25" s="1"/>
  <c r="AK104" i="25"/>
  <c r="AK109" i="25" s="1"/>
  <c r="AK125" i="25" s="1"/>
  <c r="AK128" i="25" s="1"/>
  <c r="Q105" i="25"/>
  <c r="Q110" i="25" s="1"/>
  <c r="Q126" i="25" s="1"/>
  <c r="Q129" i="25" s="1"/>
  <c r="AK106" i="25"/>
  <c r="AK111" i="25" s="1"/>
  <c r="AK127" i="25" s="1"/>
  <c r="I104" i="25"/>
  <c r="I109" i="25" s="1"/>
  <c r="I125" i="25" s="1"/>
  <c r="M106" i="25"/>
  <c r="M111" i="25" s="1"/>
  <c r="M127" i="25" s="1"/>
  <c r="M130" i="25" s="1"/>
  <c r="AN106" i="25"/>
  <c r="AN111" i="25" s="1"/>
  <c r="AN127" i="25" s="1"/>
  <c r="AN135" i="25" s="1"/>
  <c r="T106" i="25"/>
  <c r="T111" i="25" s="1"/>
  <c r="T127" i="25" s="1"/>
  <c r="T135" i="25" s="1"/>
  <c r="AG53" i="25"/>
  <c r="AG54" i="25" s="1"/>
  <c r="AA105" i="25"/>
  <c r="AA110" i="25" s="1"/>
  <c r="AA126" i="25" s="1"/>
  <c r="W105" i="25"/>
  <c r="W110" i="25" s="1"/>
  <c r="AM105" i="25"/>
  <c r="AM110" i="25" s="1"/>
  <c r="AM121" i="25" s="1"/>
  <c r="C111" i="25"/>
  <c r="C127" i="25" s="1"/>
  <c r="AI105" i="25"/>
  <c r="AI110" i="25" s="1"/>
  <c r="AI121" i="25" s="1"/>
  <c r="AI127" i="25"/>
  <c r="AI122" i="25"/>
  <c r="AC106" i="25"/>
  <c r="AC111" i="25" s="1"/>
  <c r="AC127" i="25" s="1"/>
  <c r="AG104" i="25"/>
  <c r="AG109" i="25" s="1"/>
  <c r="AG125" i="25" s="1"/>
  <c r="AG128" i="25" s="1"/>
  <c r="AF64" i="25"/>
  <c r="AF69" i="25" s="1"/>
  <c r="AF86" i="25" s="1"/>
  <c r="AO104" i="25"/>
  <c r="AO109" i="25" s="1"/>
  <c r="AO125" i="25" s="1"/>
  <c r="AO128" i="25" s="1"/>
  <c r="AN104" i="25"/>
  <c r="AN109" i="25" s="1"/>
  <c r="AN125" i="25" s="1"/>
  <c r="AN133" i="25" s="1"/>
  <c r="U106" i="25"/>
  <c r="U111" i="25" s="1"/>
  <c r="U127" i="25" s="1"/>
  <c r="U130" i="25" s="1"/>
  <c r="X104" i="25"/>
  <c r="X109" i="25" s="1"/>
  <c r="X125" i="25" s="1"/>
  <c r="X133" i="25" s="1"/>
  <c r="M104" i="25"/>
  <c r="M109" i="25" s="1"/>
  <c r="M125" i="25" s="1"/>
  <c r="AE106" i="25"/>
  <c r="AE111" i="25" s="1"/>
  <c r="AE127" i="25" s="1"/>
  <c r="AE130" i="25" s="1"/>
  <c r="L106" i="25"/>
  <c r="L111" i="25" s="1"/>
  <c r="L127" i="25" s="1"/>
  <c r="L135" i="25" s="1"/>
  <c r="AK53" i="25"/>
  <c r="AK54" i="25" s="1"/>
  <c r="S104" i="25"/>
  <c r="S109" i="25" s="1"/>
  <c r="S120" i="25" s="1"/>
  <c r="G105" i="25"/>
  <c r="G110" i="25" s="1"/>
  <c r="G126" i="25" s="1"/>
  <c r="G129" i="25" s="1"/>
  <c r="E105" i="25"/>
  <c r="E110" i="25" s="1"/>
  <c r="E126" i="25" s="1"/>
  <c r="E129" i="25" s="1"/>
  <c r="E104" i="25"/>
  <c r="E109" i="25" s="1"/>
  <c r="E125" i="25" s="1"/>
  <c r="O105" i="25"/>
  <c r="O110" i="25" s="1"/>
  <c r="O126" i="25" s="1"/>
  <c r="O129" i="25" s="1"/>
  <c r="AO105" i="25"/>
  <c r="AO110" i="25" s="1"/>
  <c r="AO126" i="25" s="1"/>
  <c r="AG106" i="25"/>
  <c r="AG111" i="25" s="1"/>
  <c r="AG127" i="25" s="1"/>
  <c r="AG130" i="25" s="1"/>
  <c r="E106" i="25"/>
  <c r="E111" i="25" s="1"/>
  <c r="E127" i="25" s="1"/>
  <c r="E130" i="25" s="1"/>
  <c r="AM106" i="25"/>
  <c r="AM111" i="25" s="1"/>
  <c r="AM127" i="25" s="1"/>
  <c r="AM130" i="25" s="1"/>
  <c r="AI104" i="25"/>
  <c r="AI109" i="25" s="1"/>
  <c r="AB106" i="25"/>
  <c r="AB111" i="25" s="1"/>
  <c r="AB127" i="25" s="1"/>
  <c r="AB135" i="25" s="1"/>
  <c r="U104" i="25"/>
  <c r="U109" i="25" s="1"/>
  <c r="U125" i="25" s="1"/>
  <c r="M105" i="25"/>
  <c r="M110" i="25" s="1"/>
  <c r="M126" i="25" s="1"/>
  <c r="M129" i="25" s="1"/>
  <c r="AJ106" i="25"/>
  <c r="AJ111" i="25" s="1"/>
  <c r="AJ127" i="25" s="1"/>
  <c r="AJ135" i="25" s="1"/>
  <c r="AA122" i="25"/>
  <c r="H76" i="25"/>
  <c r="H86" i="25"/>
  <c r="H96" i="25"/>
  <c r="P94" i="25"/>
  <c r="P74" i="25"/>
  <c r="P84" i="25"/>
  <c r="AB84" i="25"/>
  <c r="AB74" i="25"/>
  <c r="AB94" i="25"/>
  <c r="L74" i="25"/>
  <c r="L84" i="25"/>
  <c r="L94" i="25"/>
  <c r="I75" i="25"/>
  <c r="I95" i="25"/>
  <c r="I85" i="25"/>
  <c r="L63" i="25"/>
  <c r="L68" i="25" s="1"/>
  <c r="T75" i="25"/>
  <c r="T85" i="25"/>
  <c r="T95" i="25"/>
  <c r="K106" i="25"/>
  <c r="K109" i="25"/>
  <c r="K120" i="25" s="1"/>
  <c r="H95" i="25"/>
  <c r="H85" i="25"/>
  <c r="H75" i="25"/>
  <c r="U75" i="25"/>
  <c r="U85" i="25"/>
  <c r="U95" i="25"/>
  <c r="U53" i="25"/>
  <c r="U54" i="25" s="1"/>
  <c r="AC62" i="25"/>
  <c r="AC67" i="25" s="1"/>
  <c r="M53" i="25"/>
  <c r="M54" i="25" s="1"/>
  <c r="X96" i="25"/>
  <c r="X86" i="25"/>
  <c r="X76" i="25"/>
  <c r="D96" i="25"/>
  <c r="D86" i="25"/>
  <c r="D76" i="25"/>
  <c r="AK75" i="25"/>
  <c r="AK85" i="25"/>
  <c r="AK95" i="25"/>
  <c r="Y74" i="25"/>
  <c r="Y84" i="25"/>
  <c r="Y94" i="25"/>
  <c r="AM104" i="25"/>
  <c r="D62" i="25"/>
  <c r="D67" i="25" s="1"/>
  <c r="AJ62" i="25"/>
  <c r="AJ67" i="25" s="1"/>
  <c r="D51" i="25"/>
  <c r="D63" i="25" s="1"/>
  <c r="D68" i="25" s="1"/>
  <c r="S106" i="25"/>
  <c r="G122" i="25"/>
  <c r="AB51" i="25"/>
  <c r="AB63" i="25" s="1"/>
  <c r="AB68" i="25" s="1"/>
  <c r="I53" i="25"/>
  <c r="I54" i="25" s="1"/>
  <c r="X51" i="25"/>
  <c r="X63" i="25" s="1"/>
  <c r="X68" i="25" s="1"/>
  <c r="Q96" i="25"/>
  <c r="Q76" i="25"/>
  <c r="Q86" i="25"/>
  <c r="AA104" i="25"/>
  <c r="AG85" i="25"/>
  <c r="AG95" i="25"/>
  <c r="AG75" i="25"/>
  <c r="AF95" i="25"/>
  <c r="AF75" i="25"/>
  <c r="AF85" i="25"/>
  <c r="P95" i="25"/>
  <c r="P85" i="25"/>
  <c r="P75" i="25"/>
  <c r="Y76" i="25"/>
  <c r="Y86" i="25"/>
  <c r="Y96" i="25"/>
  <c r="P86" i="25"/>
  <c r="P96" i="25"/>
  <c r="P76" i="25"/>
  <c r="Q53" i="25"/>
  <c r="Q54" i="25" s="1"/>
  <c r="AN51" i="25"/>
  <c r="AO53" i="25" s="1"/>
  <c r="AO54" i="25" s="1"/>
  <c r="H74" i="25"/>
  <c r="H84" i="25"/>
  <c r="H94" i="25"/>
  <c r="T74" i="25"/>
  <c r="T94" i="25"/>
  <c r="T84" i="25"/>
  <c r="O104" i="25"/>
  <c r="AC85" i="25"/>
  <c r="AC75" i="25"/>
  <c r="AC95" i="25"/>
  <c r="Q74" i="25"/>
  <c r="Q94" i="25"/>
  <c r="Q84" i="25"/>
  <c r="AJ85" i="25"/>
  <c r="AJ75" i="25"/>
  <c r="AJ95" i="25"/>
  <c r="Y85" i="25"/>
  <c r="Y95" i="25"/>
  <c r="Y75" i="25"/>
  <c r="K121" i="25"/>
  <c r="O122" i="25"/>
  <c r="G135" i="25"/>
  <c r="AF84" i="25"/>
  <c r="AF94" i="25"/>
  <c r="AF74" i="25"/>
  <c r="K134" i="25"/>
  <c r="O135" i="25"/>
  <c r="AA135" i="25"/>
  <c r="AP135" i="25"/>
  <c r="AP122" i="25"/>
  <c r="AP105" i="25"/>
  <c r="AQ105" i="25"/>
  <c r="AS63" i="25"/>
  <c r="AS68" i="25" s="1"/>
  <c r="AQ106" i="25"/>
  <c r="AS94" i="25"/>
  <c r="AS84" i="25"/>
  <c r="AS74" i="25"/>
  <c r="AS76" i="25"/>
  <c r="AS96" i="25"/>
  <c r="AS86" i="25"/>
  <c r="AR50" i="25"/>
  <c r="AS53" i="25" s="1"/>
  <c r="AQ104" i="25"/>
  <c r="AR64" i="25"/>
  <c r="AR69" i="25" s="1"/>
  <c r="L24" i="23"/>
  <c r="L25" i="23" s="1"/>
  <c r="L80" i="4" s="1"/>
  <c r="E53" i="25" l="1"/>
  <c r="C104" i="25"/>
  <c r="C109" i="25" s="1"/>
  <c r="C135" i="25"/>
  <c r="C130" i="25"/>
  <c r="AF96" i="25"/>
  <c r="S134" i="25"/>
  <c r="AF76" i="25"/>
  <c r="AI126" i="25"/>
  <c r="AI129" i="25" s="1"/>
  <c r="AA121" i="25"/>
  <c r="AE122" i="25"/>
  <c r="S121" i="25"/>
  <c r="AO127" i="25"/>
  <c r="AO130" i="25" s="1"/>
  <c r="AO122" i="25"/>
  <c r="AM126" i="25"/>
  <c r="AM134" i="25" s="1"/>
  <c r="AG87" i="25"/>
  <c r="AG88" i="25" s="1"/>
  <c r="U45" i="13" s="1"/>
  <c r="AC122" i="25"/>
  <c r="C134" i="25"/>
  <c r="T104" i="25"/>
  <c r="T109" i="25" s="1"/>
  <c r="T125" i="25" s="1"/>
  <c r="T133" i="25" s="1"/>
  <c r="U120" i="25"/>
  <c r="Y106" i="25"/>
  <c r="Y111" i="25" s="1"/>
  <c r="Y127" i="25" s="1"/>
  <c r="E121" i="25"/>
  <c r="E122" i="25"/>
  <c r="Q121" i="25"/>
  <c r="AC105" i="25"/>
  <c r="I105" i="25"/>
  <c r="I110" i="25" s="1"/>
  <c r="I126" i="25" s="1"/>
  <c r="I129" i="25" s="1"/>
  <c r="AO121" i="25"/>
  <c r="T105" i="25"/>
  <c r="T110" i="25" s="1"/>
  <c r="T126" i="25" s="1"/>
  <c r="U87" i="25"/>
  <c r="U88" i="25" s="1"/>
  <c r="U30" i="13" s="1"/>
  <c r="D106" i="25"/>
  <c r="D111" i="25" s="1"/>
  <c r="D122" i="25" s="1"/>
  <c r="X106" i="25"/>
  <c r="X111" i="25" s="1"/>
  <c r="X127" i="25" s="1"/>
  <c r="X135" i="25" s="1"/>
  <c r="I87" i="25"/>
  <c r="I88" i="25" s="1"/>
  <c r="U15" i="13" s="1"/>
  <c r="Q77" i="25"/>
  <c r="Q78" i="25" s="1"/>
  <c r="AF104" i="25"/>
  <c r="AF109" i="25" s="1"/>
  <c r="AF120" i="25" s="1"/>
  <c r="W126" i="25"/>
  <c r="W129" i="25" s="1"/>
  <c r="W121" i="25"/>
  <c r="AI135" i="25"/>
  <c r="C122" i="25"/>
  <c r="Q106" i="25"/>
  <c r="Q111" i="25" s="1"/>
  <c r="Q127" i="25" s="1"/>
  <c r="I122" i="25"/>
  <c r="AJ122" i="25"/>
  <c r="AK122" i="25"/>
  <c r="AO120" i="25"/>
  <c r="I120" i="25"/>
  <c r="H104" i="25"/>
  <c r="H109" i="25" s="1"/>
  <c r="H125" i="25" s="1"/>
  <c r="H133" i="25" s="1"/>
  <c r="AF105" i="25"/>
  <c r="AF110" i="25" s="1"/>
  <c r="AF126" i="25" s="1"/>
  <c r="AK105" i="25"/>
  <c r="AK110" i="25" s="1"/>
  <c r="AK126" i="25" s="1"/>
  <c r="E54" i="25"/>
  <c r="U77" i="25"/>
  <c r="U78" i="25" s="1"/>
  <c r="AJ105" i="25"/>
  <c r="AJ110" i="25" s="1"/>
  <c r="AJ126" i="25" s="1"/>
  <c r="P106" i="25"/>
  <c r="P111" i="25" s="1"/>
  <c r="P122" i="25" s="1"/>
  <c r="AG105" i="25"/>
  <c r="AG110" i="25" s="1"/>
  <c r="AG126" i="25" s="1"/>
  <c r="E120" i="25"/>
  <c r="X120" i="25"/>
  <c r="AI120" i="25"/>
  <c r="Q87" i="25"/>
  <c r="Q88" i="25" s="1"/>
  <c r="U25" i="13" s="1"/>
  <c r="AE121" i="25"/>
  <c r="H105" i="25"/>
  <c r="H110" i="25" s="1"/>
  <c r="AG120" i="25"/>
  <c r="L104" i="25"/>
  <c r="L109" i="25" s="1"/>
  <c r="L125" i="25" s="1"/>
  <c r="L133" i="25" s="1"/>
  <c r="AB104" i="25"/>
  <c r="AB109" i="25" s="1"/>
  <c r="AB125" i="25" s="1"/>
  <c r="AB133" i="25" s="1"/>
  <c r="H106" i="25"/>
  <c r="H111" i="25" s="1"/>
  <c r="H127" i="25" s="1"/>
  <c r="H135" i="25" s="1"/>
  <c r="D75" i="25"/>
  <c r="D95" i="25"/>
  <c r="D85" i="25"/>
  <c r="AB95" i="25"/>
  <c r="AB75" i="25"/>
  <c r="AB85" i="25"/>
  <c r="M135" i="25"/>
  <c r="AG135" i="25"/>
  <c r="G134" i="25"/>
  <c r="I133" i="25"/>
  <c r="I128" i="25"/>
  <c r="AC135" i="25"/>
  <c r="P105" i="25"/>
  <c r="P110" i="25" s="1"/>
  <c r="P121" i="25" s="1"/>
  <c r="AC84" i="25"/>
  <c r="AC94" i="25"/>
  <c r="AC74" i="25"/>
  <c r="AI125" i="25"/>
  <c r="AI128" i="25" s="1"/>
  <c r="AO129" i="25"/>
  <c r="AO134" i="25"/>
  <c r="E134" i="25"/>
  <c r="AK135" i="25"/>
  <c r="G125" i="25"/>
  <c r="AE135" i="25"/>
  <c r="AO133" i="25"/>
  <c r="C125" i="25"/>
  <c r="D84" i="25"/>
  <c r="D74" i="25"/>
  <c r="D94" i="25"/>
  <c r="O134" i="25"/>
  <c r="U135" i="25"/>
  <c r="I77" i="25"/>
  <c r="I78" i="25" s="1"/>
  <c r="W125" i="25"/>
  <c r="Q104" i="25"/>
  <c r="O109" i="25"/>
  <c r="O120" i="25" s="1"/>
  <c r="AN63" i="25"/>
  <c r="AN68" i="25" s="1"/>
  <c r="AE129" i="25"/>
  <c r="AE134" i="25"/>
  <c r="S111" i="25"/>
  <c r="S127" i="25" s="1"/>
  <c r="S130" i="25" s="1"/>
  <c r="AA129" i="25"/>
  <c r="AA134" i="25"/>
  <c r="M121" i="25"/>
  <c r="AM122" i="25"/>
  <c r="AK120" i="25"/>
  <c r="AN122" i="25"/>
  <c r="M120" i="25"/>
  <c r="AC53" i="25"/>
  <c r="AC54" i="25" s="1"/>
  <c r="AM135" i="25"/>
  <c r="AK133" i="25"/>
  <c r="M128" i="25"/>
  <c r="M133" i="25"/>
  <c r="AA109" i="25"/>
  <c r="AA120" i="25" s="1"/>
  <c r="Y53" i="25"/>
  <c r="Y54" i="25" s="1"/>
  <c r="AM109" i="25"/>
  <c r="AM120" i="25" s="1"/>
  <c r="AE125" i="25"/>
  <c r="AE128" i="25" s="1"/>
  <c r="L85" i="25"/>
  <c r="M87" i="25" s="1"/>
  <c r="M88" i="25" s="1"/>
  <c r="U20" i="13" s="1"/>
  <c r="L75" i="25"/>
  <c r="L95" i="25"/>
  <c r="E128" i="25"/>
  <c r="E133" i="25"/>
  <c r="P104" i="25"/>
  <c r="P109" i="25" s="1"/>
  <c r="P120" i="25" s="1"/>
  <c r="Y104" i="25"/>
  <c r="Y109" i="25" s="1"/>
  <c r="Y120" i="25" s="1"/>
  <c r="AE120" i="25"/>
  <c r="K125" i="25"/>
  <c r="U128" i="25"/>
  <c r="U133" i="25"/>
  <c r="E135" i="25"/>
  <c r="Q134" i="25"/>
  <c r="X75" i="25"/>
  <c r="Y77" i="25" s="1"/>
  <c r="Y78" i="25" s="1"/>
  <c r="X85" i="25"/>
  <c r="Y87" i="25" s="1"/>
  <c r="Y88" i="25" s="1"/>
  <c r="U35" i="13" s="1"/>
  <c r="X95" i="25"/>
  <c r="M134" i="25"/>
  <c r="S125" i="25"/>
  <c r="U105" i="25"/>
  <c r="W60" i="13"/>
  <c r="W58" i="13"/>
  <c r="W57" i="13"/>
  <c r="C120" i="25"/>
  <c r="Y105" i="25"/>
  <c r="Y110" i="25" s="1"/>
  <c r="Y121" i="25" s="1"/>
  <c r="T122" i="25"/>
  <c r="AJ74" i="25"/>
  <c r="AK77" i="25" s="1"/>
  <c r="AK78" i="25" s="1"/>
  <c r="AJ94" i="25"/>
  <c r="AJ84" i="25"/>
  <c r="AK87" i="25" s="1"/>
  <c r="AK88" i="25" s="1"/>
  <c r="U50" i="13" s="1"/>
  <c r="K111" i="25"/>
  <c r="K127" i="25" s="1"/>
  <c r="K130" i="25" s="1"/>
  <c r="I135" i="25"/>
  <c r="AG133" i="25"/>
  <c r="M122" i="25"/>
  <c r="AB122" i="25"/>
  <c r="AG122" i="25"/>
  <c r="O121" i="25"/>
  <c r="G121" i="25"/>
  <c r="L122" i="25"/>
  <c r="AN120" i="25"/>
  <c r="U122" i="25"/>
  <c r="AR62" i="25"/>
  <c r="AR67" i="25" s="1"/>
  <c r="AR84" i="25" s="1"/>
  <c r="AS95" i="25"/>
  <c r="AS85" i="25"/>
  <c r="AS75" i="25"/>
  <c r="AQ109" i="25"/>
  <c r="AQ125" i="25" s="1"/>
  <c r="AQ128" i="25" s="1"/>
  <c r="AQ110" i="25"/>
  <c r="AQ126" i="25" s="1"/>
  <c r="AR96" i="25"/>
  <c r="AR86" i="25"/>
  <c r="AR76" i="25"/>
  <c r="AP109" i="25"/>
  <c r="AQ111" i="25"/>
  <c r="AQ127" i="25" s="1"/>
  <c r="AQ130" i="25" s="1"/>
  <c r="AS106" i="25"/>
  <c r="AS104" i="25"/>
  <c r="AP110" i="25"/>
  <c r="AP126" i="25" s="1"/>
  <c r="L34" i="23"/>
  <c r="AP120" i="25" l="1"/>
  <c r="AP125" i="25"/>
  <c r="AP128" i="25" s="1"/>
  <c r="AF106" i="25"/>
  <c r="AF111" i="25" s="1"/>
  <c r="AF127" i="25" s="1"/>
  <c r="AF135" i="25" s="1"/>
  <c r="AI134" i="25"/>
  <c r="AG77" i="25"/>
  <c r="AG78" i="25" s="1"/>
  <c r="AM129" i="25"/>
  <c r="AO135" i="25"/>
  <c r="AF125" i="25"/>
  <c r="AF133" i="25" s="1"/>
  <c r="W61" i="13"/>
  <c r="K17" i="27" s="1"/>
  <c r="D104" i="25"/>
  <c r="D109" i="25" s="1"/>
  <c r="D120" i="25" s="1"/>
  <c r="D127" i="25"/>
  <c r="D135" i="25" s="1"/>
  <c r="AR75" i="25"/>
  <c r="AR85" i="25"/>
  <c r="AS87" i="25" s="1"/>
  <c r="AC110" i="25"/>
  <c r="AC126" i="25" s="1"/>
  <c r="AC134" i="25" s="1"/>
  <c r="K122" i="25"/>
  <c r="E87" i="25"/>
  <c r="E88" i="25" s="1"/>
  <c r="U10" i="13" s="1"/>
  <c r="W134" i="25"/>
  <c r="H126" i="25"/>
  <c r="H134" i="25" s="1"/>
  <c r="H121" i="25"/>
  <c r="L105" i="25"/>
  <c r="L110" i="25" s="1"/>
  <c r="L121" i="25" s="1"/>
  <c r="M77" i="25"/>
  <c r="M78" i="25" s="1"/>
  <c r="L120" i="25"/>
  <c r="T121" i="25"/>
  <c r="AB105" i="25"/>
  <c r="AB110" i="25" s="1"/>
  <c r="AB126" i="25" s="1"/>
  <c r="X105" i="25"/>
  <c r="X110" i="25" s="1"/>
  <c r="X121" i="25" s="1"/>
  <c r="AC77" i="25"/>
  <c r="AC78" i="25" s="1"/>
  <c r="AG121" i="25"/>
  <c r="H120" i="25"/>
  <c r="X122" i="25"/>
  <c r="AC87" i="25"/>
  <c r="AC88" i="25" s="1"/>
  <c r="U40" i="13" s="1"/>
  <c r="AF121" i="25"/>
  <c r="Y126" i="25"/>
  <c r="Y134" i="25" s="1"/>
  <c r="P127" i="25"/>
  <c r="P135" i="25" s="1"/>
  <c r="S122" i="25"/>
  <c r="Y125" i="25"/>
  <c r="Y133" i="25" s="1"/>
  <c r="AJ104" i="25"/>
  <c r="K128" i="25"/>
  <c r="K133" i="25"/>
  <c r="AM125" i="25"/>
  <c r="AM128" i="25" s="1"/>
  <c r="S135" i="25"/>
  <c r="T134" i="25"/>
  <c r="AC104" i="25"/>
  <c r="Q109" i="25"/>
  <c r="Q125" i="25" s="1"/>
  <c r="K135" i="25"/>
  <c r="S128" i="25"/>
  <c r="S133" i="25"/>
  <c r="Y122" i="25"/>
  <c r="AN85" i="25"/>
  <c r="AO87" i="25" s="1"/>
  <c r="AO88" i="25" s="1"/>
  <c r="U55" i="13" s="1"/>
  <c r="AN95" i="25"/>
  <c r="AN75" i="25"/>
  <c r="AO77" i="25" s="1"/>
  <c r="AO78" i="25" s="1"/>
  <c r="E77" i="25"/>
  <c r="E78" i="25" s="1"/>
  <c r="I112" i="25"/>
  <c r="I113" i="25" s="1"/>
  <c r="I142" i="25" s="1"/>
  <c r="V15" i="13" s="1"/>
  <c r="P126" i="25"/>
  <c r="AJ121" i="25"/>
  <c r="H122" i="25"/>
  <c r="AK121" i="25"/>
  <c r="D105" i="25"/>
  <c r="Q135" i="25"/>
  <c r="AG129" i="25"/>
  <c r="AG134" i="25"/>
  <c r="AF129" i="25"/>
  <c r="AF134" i="25"/>
  <c r="Y135" i="25"/>
  <c r="AA125" i="25"/>
  <c r="G128" i="25"/>
  <c r="G133" i="25"/>
  <c r="AJ129" i="25"/>
  <c r="AJ134" i="25"/>
  <c r="AK129" i="25"/>
  <c r="AK134" i="25"/>
  <c r="C128" i="25"/>
  <c r="C133" i="25"/>
  <c r="AI133" i="25"/>
  <c r="I134" i="25"/>
  <c r="W133" i="25"/>
  <c r="U110" i="25"/>
  <c r="U126" i="25" s="1"/>
  <c r="U129" i="25" s="1"/>
  <c r="P125" i="25"/>
  <c r="P133" i="25" s="1"/>
  <c r="T120" i="25"/>
  <c r="AE133" i="25"/>
  <c r="O125" i="25"/>
  <c r="Q122" i="25"/>
  <c r="AB120" i="25"/>
  <c r="I121" i="25"/>
  <c r="AR74" i="25"/>
  <c r="AR94" i="25"/>
  <c r="AQ121" i="25"/>
  <c r="AQ120" i="25"/>
  <c r="AS109" i="25"/>
  <c r="AS125" i="25" s="1"/>
  <c r="AS128" i="25" s="1"/>
  <c r="AQ133" i="25"/>
  <c r="AP129" i="25"/>
  <c r="AP134" i="25"/>
  <c r="AR95" i="25"/>
  <c r="AQ129" i="25"/>
  <c r="AQ134" i="25"/>
  <c r="AQ135" i="25"/>
  <c r="AS105" i="25"/>
  <c r="AQ122" i="25"/>
  <c r="AR106" i="25"/>
  <c r="AS111" i="25"/>
  <c r="AS127" i="25" s="1"/>
  <c r="AS130" i="25" s="1"/>
  <c r="AP121" i="25"/>
  <c r="L35" i="23"/>
  <c r="AR105" i="25" l="1"/>
  <c r="L72" i="4"/>
  <c r="L71" i="4"/>
  <c r="S17" i="17"/>
  <c r="AS32" i="25"/>
  <c r="AF122" i="25"/>
  <c r="AG112" i="25"/>
  <c r="AG113" i="25" s="1"/>
  <c r="AG142" i="25" s="1"/>
  <c r="V45" i="13" s="1"/>
  <c r="AS77" i="25"/>
  <c r="AS78" i="25" s="1"/>
  <c r="AC129" i="25"/>
  <c r="AS88" i="25"/>
  <c r="U60" i="13" s="1"/>
  <c r="T15" i="13"/>
  <c r="M112" i="25"/>
  <c r="M113" i="25" s="1"/>
  <c r="M142" i="25" s="1"/>
  <c r="V20" i="13" s="1"/>
  <c r="L126" i="25"/>
  <c r="Y129" i="25"/>
  <c r="AC121" i="25"/>
  <c r="Y112" i="25"/>
  <c r="Y113" i="25" s="1"/>
  <c r="Y142" i="25" s="1"/>
  <c r="V35" i="13" s="1"/>
  <c r="X126" i="25"/>
  <c r="X134" i="25" s="1"/>
  <c r="Y136" i="25" s="1"/>
  <c r="V139" i="25" s="1"/>
  <c r="U121" i="25"/>
  <c r="AB121" i="25"/>
  <c r="I136" i="25"/>
  <c r="F139" i="25" s="1"/>
  <c r="Q128" i="25"/>
  <c r="Q133" i="25"/>
  <c r="D125" i="25"/>
  <c r="D133" i="25" s="1"/>
  <c r="U134" i="25"/>
  <c r="U136" i="25" s="1"/>
  <c r="R139" i="25" s="1"/>
  <c r="AM133" i="25"/>
  <c r="AB129" i="25"/>
  <c r="AB134" i="25"/>
  <c r="Q112" i="25"/>
  <c r="Q113" i="25" s="1"/>
  <c r="Q142" i="25" s="1"/>
  <c r="V25" i="13" s="1"/>
  <c r="P134" i="25"/>
  <c r="AC109" i="25"/>
  <c r="AC120" i="25" s="1"/>
  <c r="O128" i="25"/>
  <c r="O133" i="25"/>
  <c r="AA133" i="25"/>
  <c r="AG136" i="25"/>
  <c r="AD139" i="25" s="1"/>
  <c r="U112" i="25"/>
  <c r="U113" i="25" s="1"/>
  <c r="U142" i="25" s="1"/>
  <c r="V30" i="13" s="1"/>
  <c r="AN105" i="25"/>
  <c r="AJ109" i="25"/>
  <c r="AJ120" i="25" s="1"/>
  <c r="D110" i="25"/>
  <c r="D126" i="25" s="1"/>
  <c r="Q120" i="25"/>
  <c r="AS54" i="25"/>
  <c r="AR104" i="25"/>
  <c r="AR109" i="25" s="1"/>
  <c r="AR125" i="25" s="1"/>
  <c r="AR133" i="25" s="1"/>
  <c r="AP133" i="25"/>
  <c r="L38" i="23"/>
  <c r="L37" i="23"/>
  <c r="L39" i="23"/>
  <c r="AS120" i="25"/>
  <c r="AR111" i="25"/>
  <c r="AR127" i="25" s="1"/>
  <c r="AR135" i="25" s="1"/>
  <c r="AS110" i="25"/>
  <c r="AS126" i="25" s="1"/>
  <c r="AS122" i="25"/>
  <c r="AS135" i="25"/>
  <c r="AS133" i="25"/>
  <c r="L113" i="4" l="1"/>
  <c r="AR110" i="25"/>
  <c r="AR121" i="25" s="1"/>
  <c r="L54" i="4"/>
  <c r="L56" i="4"/>
  <c r="L60" i="4"/>
  <c r="L58" i="4"/>
  <c r="L52" i="4"/>
  <c r="L57" i="4"/>
  <c r="L61" i="4"/>
  <c r="L53" i="4"/>
  <c r="L55" i="4"/>
  <c r="L59" i="4"/>
  <c r="L51" i="4"/>
  <c r="T45" i="13"/>
  <c r="S59" i="13"/>
  <c r="S61" i="13" s="1"/>
  <c r="I17" i="27" s="1"/>
  <c r="X129" i="25"/>
  <c r="L134" i="25"/>
  <c r="M136" i="25" s="1"/>
  <c r="J139" i="25" s="1"/>
  <c r="T35" i="13"/>
  <c r="T30" i="13"/>
  <c r="T25" i="13"/>
  <c r="T20" i="13"/>
  <c r="T21" i="13" s="1"/>
  <c r="J10" i="27" s="1"/>
  <c r="U59" i="13"/>
  <c r="Q136" i="25"/>
  <c r="N139" i="25" s="1"/>
  <c r="M10" i="17" s="1"/>
  <c r="AN110" i="25"/>
  <c r="AN121" i="25" s="1"/>
  <c r="E112" i="25"/>
  <c r="E113" i="25" s="1"/>
  <c r="D121" i="25"/>
  <c r="AC125" i="25"/>
  <c r="AC112" i="25"/>
  <c r="AC113" i="25" s="1"/>
  <c r="AC142" i="25" s="1"/>
  <c r="V40" i="13" s="1"/>
  <c r="D134" i="25"/>
  <c r="E136" i="25" s="1"/>
  <c r="B139" i="25" s="1"/>
  <c r="AJ125" i="25"/>
  <c r="AJ133" i="25" s="1"/>
  <c r="AK136" i="25" s="1"/>
  <c r="AH139" i="25" s="1"/>
  <c r="AK112" i="25"/>
  <c r="AK113" i="25" s="1"/>
  <c r="AK142" i="25" s="1"/>
  <c r="V50" i="13" s="1"/>
  <c r="L40" i="23"/>
  <c r="AR120" i="25"/>
  <c r="AS129" i="25"/>
  <c r="AS134" i="25"/>
  <c r="AS121" i="25"/>
  <c r="AR122" i="25"/>
  <c r="J10" i="13" l="1"/>
  <c r="H7" i="13"/>
  <c r="V10" i="13"/>
  <c r="T10" i="13" s="1"/>
  <c r="L63" i="4"/>
  <c r="T59" i="13"/>
  <c r="T50" i="13"/>
  <c r="T40" i="13"/>
  <c r="AC133" i="25"/>
  <c r="AC136" i="25" s="1"/>
  <c r="Z139" i="25" s="1"/>
  <c r="AN126" i="25"/>
  <c r="AO112" i="25"/>
  <c r="AO113" i="25" s="1"/>
  <c r="AO142" i="25" s="1"/>
  <c r="AR126" i="25"/>
  <c r="AS112" i="25"/>
  <c r="AS113" i="25" s="1"/>
  <c r="AS142" i="25" s="1"/>
  <c r="AR129" i="25" l="1"/>
  <c r="AR134" i="25"/>
  <c r="V55" i="13"/>
  <c r="AN129" i="25"/>
  <c r="AN134" i="25"/>
  <c r="AO136" i="25" s="1"/>
  <c r="AL139" i="25" s="1"/>
  <c r="V60" i="13"/>
  <c r="AS136" i="25"/>
  <c r="AP139" i="25" s="1"/>
  <c r="T60" i="13" l="1"/>
  <c r="T61" i="13" s="1"/>
  <c r="J17" i="27" s="1"/>
  <c r="T55" i="13"/>
  <c r="T56" i="13" s="1"/>
  <c r="L124" i="16"/>
  <c r="K124" i="16"/>
  <c r="J124" i="16"/>
  <c r="I124" i="16"/>
  <c r="H124" i="16"/>
  <c r="G124" i="16"/>
  <c r="F124" i="16"/>
  <c r="L112" i="16"/>
  <c r="K112" i="16"/>
  <c r="J112" i="16"/>
  <c r="I112" i="16"/>
  <c r="H112" i="16"/>
  <c r="G112" i="16"/>
  <c r="F112" i="16"/>
  <c r="L100" i="16"/>
  <c r="K100" i="16"/>
  <c r="J100" i="16"/>
  <c r="I100" i="16"/>
  <c r="H100" i="16"/>
  <c r="G100" i="16"/>
  <c r="F100" i="16"/>
  <c r="F101" i="16" s="1"/>
  <c r="L88" i="16"/>
  <c r="K88" i="16"/>
  <c r="J88" i="16"/>
  <c r="I88" i="16"/>
  <c r="H88" i="16"/>
  <c r="G88" i="16"/>
  <c r="F88" i="16"/>
  <c r="L76" i="16"/>
  <c r="K76" i="16"/>
  <c r="J76" i="16"/>
  <c r="I76" i="16"/>
  <c r="H76" i="16"/>
  <c r="G76" i="16"/>
  <c r="F76" i="16"/>
  <c r="L64" i="16"/>
  <c r="K64" i="16"/>
  <c r="J64" i="16"/>
  <c r="I64" i="16"/>
  <c r="H64" i="16"/>
  <c r="G64" i="16"/>
  <c r="F64" i="16"/>
  <c r="L52" i="16"/>
  <c r="K52" i="16"/>
  <c r="J52" i="16"/>
  <c r="I52" i="16"/>
  <c r="H52" i="16"/>
  <c r="G52" i="16"/>
  <c r="F52" i="16"/>
  <c r="L40" i="16"/>
  <c r="K40" i="16"/>
  <c r="J40" i="16"/>
  <c r="I40" i="16"/>
  <c r="H40" i="16"/>
  <c r="G40" i="16"/>
  <c r="F40" i="16"/>
  <c r="L28" i="16"/>
  <c r="K28" i="16"/>
  <c r="J28" i="16"/>
  <c r="I28" i="16"/>
  <c r="H28" i="16"/>
  <c r="G28" i="16"/>
  <c r="F28" i="16"/>
  <c r="L16" i="16"/>
  <c r="K16" i="16"/>
  <c r="J16" i="16"/>
  <c r="I16" i="16"/>
  <c r="H16" i="16"/>
  <c r="G16" i="16"/>
  <c r="F16" i="16"/>
  <c r="L136" i="16"/>
  <c r="K136" i="16"/>
  <c r="J136" i="16"/>
  <c r="I136" i="16"/>
  <c r="H136" i="16"/>
  <c r="G136" i="16"/>
  <c r="F136" i="16"/>
  <c r="M126" i="16"/>
  <c r="M127" i="16"/>
  <c r="M128" i="16"/>
  <c r="M129" i="16"/>
  <c r="M130" i="16"/>
  <c r="M131" i="16"/>
  <c r="M132" i="16"/>
  <c r="M133" i="16"/>
  <c r="M134" i="16"/>
  <c r="M135" i="16"/>
  <c r="M136" i="16"/>
  <c r="M124" i="16"/>
  <c r="M123" i="16"/>
  <c r="M122" i="16"/>
  <c r="M121" i="16"/>
  <c r="M120" i="16"/>
  <c r="M119" i="16"/>
  <c r="M118" i="16"/>
  <c r="M117" i="16"/>
  <c r="M116" i="16"/>
  <c r="M115" i="16"/>
  <c r="M114" i="16"/>
  <c r="M112" i="16"/>
  <c r="M111" i="16"/>
  <c r="M110" i="16"/>
  <c r="M109" i="16"/>
  <c r="M108" i="16"/>
  <c r="M107" i="16"/>
  <c r="M106" i="16"/>
  <c r="M105" i="16"/>
  <c r="M104" i="16"/>
  <c r="M103" i="16"/>
  <c r="M102" i="16"/>
  <c r="M88" i="16"/>
  <c r="M87" i="16"/>
  <c r="M86" i="16"/>
  <c r="M85" i="16"/>
  <c r="M84" i="16"/>
  <c r="M83" i="16"/>
  <c r="M82" i="16"/>
  <c r="M81" i="16"/>
  <c r="M80" i="16"/>
  <c r="M79" i="16"/>
  <c r="M76" i="16"/>
  <c r="M75" i="16"/>
  <c r="M74" i="16"/>
  <c r="M73" i="16"/>
  <c r="M71" i="16"/>
  <c r="M70" i="16"/>
  <c r="M69" i="16"/>
  <c r="M68" i="16"/>
  <c r="M67" i="16"/>
  <c r="M64" i="16"/>
  <c r="M63" i="16"/>
  <c r="M62" i="16"/>
  <c r="M61" i="16"/>
  <c r="M60" i="16"/>
  <c r="M59" i="16"/>
  <c r="M58" i="16"/>
  <c r="M57" i="16"/>
  <c r="M56" i="16"/>
  <c r="M55" i="16"/>
  <c r="M54" i="16"/>
  <c r="M52" i="16"/>
  <c r="M51" i="16"/>
  <c r="M50" i="16"/>
  <c r="M49" i="16"/>
  <c r="M48" i="16"/>
  <c r="M47" i="16"/>
  <c r="M46" i="16"/>
  <c r="M45" i="16"/>
  <c r="M44" i="16"/>
  <c r="M43" i="16"/>
  <c r="M42" i="16"/>
  <c r="M40" i="16"/>
  <c r="M39" i="16"/>
  <c r="M38" i="16"/>
  <c r="M37" i="16"/>
  <c r="M36" i="16"/>
  <c r="M35" i="16"/>
  <c r="M34" i="16"/>
  <c r="M33" i="16"/>
  <c r="M32" i="16"/>
  <c r="M31" i="16"/>
  <c r="M30" i="16"/>
  <c r="M28" i="16"/>
  <c r="M27" i="16"/>
  <c r="M26" i="16"/>
  <c r="M25" i="16"/>
  <c r="M24" i="16"/>
  <c r="M23" i="16"/>
  <c r="M22" i="16"/>
  <c r="M21" i="16"/>
  <c r="M20" i="16"/>
  <c r="M19" i="16"/>
  <c r="M18" i="16"/>
  <c r="M16" i="16"/>
  <c r="M15" i="16"/>
  <c r="M14" i="16"/>
  <c r="M13" i="16"/>
  <c r="M12" i="16"/>
  <c r="M11" i="16"/>
  <c r="M10" i="16"/>
  <c r="M9" i="16"/>
  <c r="M8" i="16"/>
  <c r="M7" i="16"/>
  <c r="M6" i="16"/>
  <c r="X55" i="13"/>
  <c r="W55" i="13"/>
  <c r="X53" i="13"/>
  <c r="W53" i="13"/>
  <c r="X52" i="13"/>
  <c r="W52" i="13"/>
  <c r="X50" i="13"/>
  <c r="W50" i="13"/>
  <c r="X48" i="13"/>
  <c r="W48" i="13"/>
  <c r="X47" i="13"/>
  <c r="W47" i="13"/>
  <c r="X45" i="13"/>
  <c r="W45" i="13"/>
  <c r="X43" i="13"/>
  <c r="W43" i="13"/>
  <c r="X42" i="13"/>
  <c r="W42" i="13"/>
  <c r="F77" i="16" l="1"/>
  <c r="F53" i="16"/>
  <c r="F41" i="16"/>
  <c r="W46" i="13"/>
  <c r="K8" i="27" s="1"/>
  <c r="X46" i="13"/>
  <c r="L8" i="27" s="1"/>
  <c r="W51" i="13"/>
  <c r="K11" i="27" s="1"/>
  <c r="X51" i="13"/>
  <c r="L11" i="27" s="1"/>
  <c r="W56" i="13"/>
  <c r="K12" i="27" s="1"/>
  <c r="X56" i="13"/>
  <c r="L12" i="27" s="1"/>
  <c r="L137" i="16"/>
  <c r="R17" i="17" s="1"/>
  <c r="I41" i="16"/>
  <c r="O9" i="17" s="1"/>
  <c r="H101" i="16"/>
  <c r="G77" i="16"/>
  <c r="M12" i="17" s="1"/>
  <c r="I125" i="16"/>
  <c r="O16" i="17" s="1"/>
  <c r="K137" i="16"/>
  <c r="H53" i="16"/>
  <c r="H113" i="16"/>
  <c r="H17" i="16"/>
  <c r="I89" i="16"/>
  <c r="O13" i="17" s="1"/>
  <c r="I29" i="16"/>
  <c r="O8" i="17" s="1"/>
  <c r="F137" i="16"/>
  <c r="K17" i="16"/>
  <c r="K29" i="16"/>
  <c r="H41" i="16"/>
  <c r="L53" i="16"/>
  <c r="R10" i="17" s="1"/>
  <c r="J65" i="16"/>
  <c r="K77" i="16"/>
  <c r="J89" i="16"/>
  <c r="J101" i="16"/>
  <c r="I113" i="16"/>
  <c r="O15" i="17" s="1"/>
  <c r="J125" i="16"/>
  <c r="G137" i="16"/>
  <c r="M17" i="17" s="1"/>
  <c r="L17" i="16"/>
  <c r="R7" i="17" s="1"/>
  <c r="K65" i="16"/>
  <c r="L77" i="16"/>
  <c r="R12" i="17" s="1"/>
  <c r="K89" i="16"/>
  <c r="K101" i="16"/>
  <c r="J113" i="16"/>
  <c r="K125" i="16"/>
  <c r="H137" i="16"/>
  <c r="J29" i="16"/>
  <c r="G41" i="16"/>
  <c r="M9" i="17" s="1"/>
  <c r="G53" i="16"/>
  <c r="L65" i="16"/>
  <c r="R11" i="17" s="1"/>
  <c r="L89" i="16"/>
  <c r="R13" i="17" s="1"/>
  <c r="L101" i="16"/>
  <c r="R14" i="17" s="1"/>
  <c r="K113" i="16"/>
  <c r="L125" i="16"/>
  <c r="R16" i="17" s="1"/>
  <c r="I137" i="16"/>
  <c r="O17" i="17" s="1"/>
  <c r="H89" i="16"/>
  <c r="L113" i="16"/>
  <c r="R15" i="17" s="1"/>
  <c r="F125" i="16"/>
  <c r="J137" i="16"/>
  <c r="G17" i="16"/>
  <c r="M7" i="17" s="1"/>
  <c r="L29" i="16"/>
  <c r="R8" i="17" s="1"/>
  <c r="F65" i="16"/>
  <c r="F89" i="16"/>
  <c r="F113" i="16"/>
  <c r="H125" i="16"/>
  <c r="F29" i="16"/>
  <c r="J41" i="16"/>
  <c r="I53" i="16"/>
  <c r="G65" i="16"/>
  <c r="M11" i="17" s="1"/>
  <c r="H77" i="16"/>
  <c r="G89" i="16"/>
  <c r="M13" i="17" s="1"/>
  <c r="G101" i="16"/>
  <c r="M14" i="17" s="1"/>
  <c r="G125" i="16"/>
  <c r="M16" i="17" s="1"/>
  <c r="I17" i="16"/>
  <c r="O7" i="17" s="1"/>
  <c r="H29" i="16"/>
  <c r="K41" i="16"/>
  <c r="J53" i="16"/>
  <c r="H65" i="16"/>
  <c r="I77" i="16"/>
  <c r="O12" i="17" s="1"/>
  <c r="G113" i="16"/>
  <c r="M15" i="17" s="1"/>
  <c r="J17" i="16"/>
  <c r="G29" i="16"/>
  <c r="M8" i="17" s="1"/>
  <c r="L41" i="16"/>
  <c r="R9" i="17" s="1"/>
  <c r="K53" i="16"/>
  <c r="I65" i="16"/>
  <c r="O11" i="17" s="1"/>
  <c r="J77" i="16"/>
  <c r="I101" i="16"/>
  <c r="O14" i="17" s="1"/>
  <c r="X35" i="13"/>
  <c r="W35" i="13"/>
  <c r="X33" i="13"/>
  <c r="W33" i="13"/>
  <c r="X32" i="13"/>
  <c r="W32" i="13"/>
  <c r="X30" i="13"/>
  <c r="W30" i="13"/>
  <c r="X28" i="13"/>
  <c r="W28" i="13"/>
  <c r="X27" i="13"/>
  <c r="W27" i="13"/>
  <c r="X25" i="13"/>
  <c r="W25" i="13"/>
  <c r="X23" i="13"/>
  <c r="W23" i="13"/>
  <c r="X22" i="13"/>
  <c r="W22" i="13"/>
  <c r="X20" i="13"/>
  <c r="W20" i="13"/>
  <c r="X18" i="13"/>
  <c r="W18" i="13"/>
  <c r="X17" i="13"/>
  <c r="W17" i="13"/>
  <c r="X15" i="13"/>
  <c r="W15" i="13"/>
  <c r="X13" i="13"/>
  <c r="W13" i="13"/>
  <c r="X12" i="13"/>
  <c r="W12" i="13"/>
  <c r="X10" i="13"/>
  <c r="W10" i="13"/>
  <c r="X8" i="13"/>
  <c r="W8" i="13"/>
  <c r="X7" i="13"/>
  <c r="W7" i="13"/>
  <c r="X57" i="13"/>
  <c r="W36" i="13" l="1"/>
  <c r="K15" i="27" s="1"/>
  <c r="X36" i="13"/>
  <c r="L15" i="27" s="1"/>
  <c r="W31" i="13"/>
  <c r="K14" i="27" s="1"/>
  <c r="X31" i="13"/>
  <c r="L14" i="27" s="1"/>
  <c r="W26" i="13"/>
  <c r="K7" i="27" s="1"/>
  <c r="X26" i="13"/>
  <c r="L7" i="27" s="1"/>
  <c r="W21" i="13"/>
  <c r="K10" i="27" s="1"/>
  <c r="X21" i="13"/>
  <c r="L10" i="27" s="1"/>
  <c r="W16" i="13"/>
  <c r="K13" i="27" s="1"/>
  <c r="X16" i="13"/>
  <c r="L13" i="27" s="1"/>
  <c r="W11" i="13"/>
  <c r="K16" i="27" s="1"/>
  <c r="X11" i="13"/>
  <c r="L16" i="27" l="1"/>
  <c r="F132" i="14"/>
  <c r="F131" i="14"/>
  <c r="F130" i="14"/>
  <c r="F129" i="14"/>
  <c r="F128" i="14"/>
  <c r="F127" i="14"/>
  <c r="F126" i="14"/>
  <c r="F120" i="14"/>
  <c r="F119" i="14"/>
  <c r="F118" i="14"/>
  <c r="F117" i="14"/>
  <c r="F116" i="14"/>
  <c r="F115" i="14"/>
  <c r="F114" i="14"/>
  <c r="F108" i="14"/>
  <c r="F107" i="14"/>
  <c r="F106" i="14"/>
  <c r="F105" i="14"/>
  <c r="F104" i="14"/>
  <c r="F103" i="14"/>
  <c r="F102" i="14"/>
  <c r="F96" i="14"/>
  <c r="F95" i="14"/>
  <c r="F94" i="14"/>
  <c r="F93" i="14"/>
  <c r="F92" i="14"/>
  <c r="F91" i="14"/>
  <c r="F90" i="14"/>
  <c r="F84" i="14"/>
  <c r="F83" i="14"/>
  <c r="F82" i="14"/>
  <c r="F81" i="14"/>
  <c r="F80" i="14"/>
  <c r="F79" i="14"/>
  <c r="F78" i="14"/>
  <c r="F72" i="14"/>
  <c r="F71" i="14"/>
  <c r="F68" i="14"/>
  <c r="F66" i="14"/>
  <c r="F60" i="14"/>
  <c r="F59" i="14"/>
  <c r="F58" i="14"/>
  <c r="F57" i="14"/>
  <c r="F56" i="14"/>
  <c r="F55" i="14"/>
  <c r="F54" i="14"/>
  <c r="F48" i="14"/>
  <c r="F47" i="14"/>
  <c r="F46" i="14"/>
  <c r="F45" i="14"/>
  <c r="F44" i="14"/>
  <c r="F43" i="14"/>
  <c r="F42" i="14"/>
  <c r="F36" i="14"/>
  <c r="F35" i="14"/>
  <c r="F34" i="14"/>
  <c r="F33" i="14"/>
  <c r="F32" i="14"/>
  <c r="F31" i="14"/>
  <c r="F30" i="14"/>
  <c r="F24" i="14"/>
  <c r="F23" i="14"/>
  <c r="F22" i="14"/>
  <c r="F21" i="14"/>
  <c r="F20" i="14"/>
  <c r="F19" i="14"/>
  <c r="F18" i="14"/>
  <c r="F12" i="14"/>
  <c r="F11" i="14"/>
  <c r="F10" i="14"/>
  <c r="F9" i="14"/>
  <c r="F8" i="14"/>
  <c r="F7" i="14"/>
  <c r="F6" i="14"/>
  <c r="F120" i="15"/>
  <c r="F119" i="15"/>
  <c r="F118" i="15"/>
  <c r="F117" i="15"/>
  <c r="F116" i="15"/>
  <c r="F115" i="15"/>
  <c r="F114" i="15"/>
  <c r="F108" i="15"/>
  <c r="F107" i="15"/>
  <c r="F106" i="15"/>
  <c r="F105" i="15"/>
  <c r="F104" i="15"/>
  <c r="F103" i="15"/>
  <c r="F102" i="15"/>
  <c r="F96" i="15"/>
  <c r="F95" i="15"/>
  <c r="F94" i="15"/>
  <c r="F93" i="15"/>
  <c r="F92" i="15"/>
  <c r="F91" i="15"/>
  <c r="F90" i="15"/>
  <c r="F84" i="15"/>
  <c r="F83" i="15"/>
  <c r="F82" i="15"/>
  <c r="F81" i="15"/>
  <c r="F80" i="15"/>
  <c r="F79" i="15"/>
  <c r="F78" i="15"/>
  <c r="F72" i="15"/>
  <c r="F71" i="15"/>
  <c r="F70" i="15"/>
  <c r="F69" i="15"/>
  <c r="F68" i="15"/>
  <c r="F66" i="15"/>
  <c r="F60" i="15"/>
  <c r="F59" i="15"/>
  <c r="F58" i="15"/>
  <c r="F57" i="15"/>
  <c r="F56" i="15"/>
  <c r="F55" i="15"/>
  <c r="F54" i="15"/>
  <c r="F48" i="15"/>
  <c r="F47" i="15"/>
  <c r="F46" i="15"/>
  <c r="F45" i="15"/>
  <c r="F44" i="15"/>
  <c r="F43" i="15"/>
  <c r="F42" i="15"/>
  <c r="F36" i="15"/>
  <c r="F35" i="15"/>
  <c r="F34" i="15"/>
  <c r="F33" i="15"/>
  <c r="F32" i="15"/>
  <c r="F31" i="15"/>
  <c r="F30" i="15"/>
  <c r="F24" i="15"/>
  <c r="F23" i="15"/>
  <c r="F22" i="15"/>
  <c r="F21" i="15"/>
  <c r="F20" i="15"/>
  <c r="F19" i="15"/>
  <c r="F18" i="15"/>
  <c r="F12" i="15"/>
  <c r="F11" i="15"/>
  <c r="F10" i="15"/>
  <c r="F9" i="15"/>
  <c r="F8" i="15"/>
  <c r="F7" i="15"/>
  <c r="F6" i="15"/>
  <c r="F120" i="2"/>
  <c r="F119" i="2"/>
  <c r="F118" i="2"/>
  <c r="F117" i="2"/>
  <c r="F116" i="2"/>
  <c r="F115" i="2"/>
  <c r="F114" i="2"/>
  <c r="F108" i="2"/>
  <c r="F107" i="2"/>
  <c r="F106" i="2"/>
  <c r="F105" i="2"/>
  <c r="F104" i="2"/>
  <c r="F103" i="2"/>
  <c r="F102" i="2"/>
  <c r="F96" i="2"/>
  <c r="F95" i="2"/>
  <c r="F94" i="2"/>
  <c r="F93" i="2"/>
  <c r="F92" i="2"/>
  <c r="F91" i="2"/>
  <c r="F90" i="2"/>
  <c r="F84" i="2"/>
  <c r="F83" i="2"/>
  <c r="F82" i="2"/>
  <c r="F81" i="2"/>
  <c r="F80" i="2"/>
  <c r="F79" i="2"/>
  <c r="F78" i="2"/>
  <c r="F72" i="2"/>
  <c r="F71" i="2"/>
  <c r="F70" i="2"/>
  <c r="F66" i="2"/>
  <c r="F60" i="2"/>
  <c r="F59" i="2"/>
  <c r="F58" i="2"/>
  <c r="F57" i="2"/>
  <c r="F56" i="2"/>
  <c r="F55" i="2"/>
  <c r="F54" i="2"/>
  <c r="F48" i="2"/>
  <c r="F47" i="2"/>
  <c r="F46" i="2"/>
  <c r="F45" i="2"/>
  <c r="F44" i="2"/>
  <c r="F43" i="2"/>
  <c r="F42" i="2"/>
  <c r="F36" i="2"/>
  <c r="F35" i="2"/>
  <c r="F34" i="2"/>
  <c r="F33" i="2"/>
  <c r="F32" i="2"/>
  <c r="F31" i="2"/>
  <c r="F30" i="2"/>
  <c r="F23" i="2"/>
  <c r="F22" i="2"/>
  <c r="F21" i="2"/>
  <c r="F20" i="2"/>
  <c r="F19" i="2"/>
  <c r="F12" i="2"/>
  <c r="F11" i="2"/>
  <c r="F10" i="2"/>
  <c r="F9" i="2"/>
  <c r="F8" i="2"/>
  <c r="F6" i="2"/>
  <c r="F132" i="15"/>
  <c r="F131" i="15"/>
  <c r="F129" i="15"/>
  <c r="F128" i="15"/>
  <c r="F127" i="15"/>
  <c r="F126" i="15"/>
  <c r="F127" i="2"/>
  <c r="F128" i="2"/>
  <c r="F129" i="2"/>
  <c r="F130" i="2"/>
  <c r="F131" i="2"/>
  <c r="F132" i="2"/>
  <c r="F126" i="2"/>
  <c r="X60" i="13" l="1"/>
  <c r="X58" i="13"/>
  <c r="X61" i="13" l="1"/>
  <c r="L17" i="27" s="1"/>
  <c r="R136" i="14"/>
  <c r="R135" i="14"/>
  <c r="R134" i="14"/>
  <c r="R133" i="14"/>
  <c r="R132" i="14"/>
  <c r="R131" i="14"/>
  <c r="R130" i="14"/>
  <c r="R129" i="14"/>
  <c r="R128" i="14"/>
  <c r="R127" i="14"/>
  <c r="R126" i="14"/>
  <c r="R124" i="14"/>
  <c r="R123" i="14"/>
  <c r="R122" i="14"/>
  <c r="R121" i="14"/>
  <c r="R120" i="14"/>
  <c r="R119" i="14"/>
  <c r="R118" i="14"/>
  <c r="R117" i="14"/>
  <c r="R116" i="14"/>
  <c r="R115" i="14"/>
  <c r="R114" i="14"/>
  <c r="R112" i="14"/>
  <c r="R111" i="14"/>
  <c r="R110" i="14"/>
  <c r="R109" i="14"/>
  <c r="R108" i="14"/>
  <c r="R107" i="14"/>
  <c r="R106" i="14"/>
  <c r="R105" i="14"/>
  <c r="R104" i="14"/>
  <c r="R103" i="14"/>
  <c r="R102" i="14"/>
  <c r="R88" i="14"/>
  <c r="R87" i="14"/>
  <c r="R86" i="14"/>
  <c r="R85" i="14"/>
  <c r="R84" i="14"/>
  <c r="R83" i="14"/>
  <c r="R82" i="14"/>
  <c r="R81" i="14"/>
  <c r="R80" i="14"/>
  <c r="R79" i="14"/>
  <c r="R76" i="14"/>
  <c r="R75" i="14"/>
  <c r="R74" i="14"/>
  <c r="R73" i="14"/>
  <c r="R72" i="14"/>
  <c r="R71" i="14"/>
  <c r="R70" i="14"/>
  <c r="R69" i="14"/>
  <c r="R68" i="14"/>
  <c r="R67" i="14"/>
  <c r="R66" i="14"/>
  <c r="R64" i="14"/>
  <c r="R63" i="14"/>
  <c r="R62" i="14"/>
  <c r="R61" i="14"/>
  <c r="R60" i="14"/>
  <c r="R59" i="14"/>
  <c r="R58" i="14"/>
  <c r="R57" i="14"/>
  <c r="R56" i="14"/>
  <c r="R55" i="14"/>
  <c r="R54" i="14"/>
  <c r="R52" i="14"/>
  <c r="R51" i="14"/>
  <c r="R50" i="14"/>
  <c r="R49" i="14"/>
  <c r="R48" i="14"/>
  <c r="R47" i="14"/>
  <c r="R46" i="14"/>
  <c r="R45" i="14"/>
  <c r="R44" i="14"/>
  <c r="R43" i="14"/>
  <c r="R42" i="14"/>
  <c r="R40" i="14"/>
  <c r="R39" i="14"/>
  <c r="R38" i="14"/>
  <c r="R37" i="14"/>
  <c r="R36" i="14"/>
  <c r="R35" i="14"/>
  <c r="R34" i="14"/>
  <c r="R33" i="14"/>
  <c r="R32" i="14"/>
  <c r="R31" i="14"/>
  <c r="R30" i="14"/>
  <c r="R28" i="14"/>
  <c r="R27" i="14"/>
  <c r="R26" i="14"/>
  <c r="R25" i="14"/>
  <c r="R24" i="14"/>
  <c r="R23" i="14"/>
  <c r="R22" i="14"/>
  <c r="R21" i="14"/>
  <c r="R20" i="14"/>
  <c r="R19" i="14"/>
  <c r="R18" i="14"/>
  <c r="R16" i="14"/>
  <c r="R15" i="14"/>
  <c r="R14" i="14"/>
  <c r="R13" i="14"/>
  <c r="R12" i="14"/>
  <c r="R11" i="14"/>
  <c r="R10" i="14"/>
  <c r="R9" i="14"/>
  <c r="R8" i="14"/>
  <c r="R7" i="14"/>
  <c r="R6" i="14"/>
  <c r="R116" i="15"/>
  <c r="R117" i="15"/>
  <c r="R118" i="15"/>
  <c r="R119" i="15"/>
  <c r="R120" i="15"/>
  <c r="R121" i="15"/>
  <c r="R122" i="15"/>
  <c r="R123" i="15"/>
  <c r="R124" i="15"/>
  <c r="R115" i="15"/>
  <c r="R114" i="15"/>
  <c r="R104" i="15"/>
  <c r="R105" i="15"/>
  <c r="R106" i="15"/>
  <c r="R107" i="15"/>
  <c r="R108" i="15"/>
  <c r="R109" i="15"/>
  <c r="R110" i="15"/>
  <c r="R111" i="15"/>
  <c r="R112" i="15"/>
  <c r="R103" i="15"/>
  <c r="R102" i="15"/>
  <c r="R80" i="15"/>
  <c r="R81" i="15"/>
  <c r="R82" i="15"/>
  <c r="R83" i="15"/>
  <c r="R84" i="15"/>
  <c r="R85" i="15"/>
  <c r="R86" i="15"/>
  <c r="R87" i="15"/>
  <c r="R88" i="15"/>
  <c r="R79" i="15"/>
  <c r="R68" i="15"/>
  <c r="R69" i="15"/>
  <c r="R70" i="15"/>
  <c r="R71" i="15"/>
  <c r="R72" i="15"/>
  <c r="R73" i="15"/>
  <c r="R74" i="15"/>
  <c r="R75" i="15"/>
  <c r="R76" i="15"/>
  <c r="R67" i="15"/>
  <c r="R66" i="15"/>
  <c r="R56" i="15"/>
  <c r="R57" i="15"/>
  <c r="R58" i="15"/>
  <c r="R59" i="15"/>
  <c r="R60" i="15"/>
  <c r="R61" i="15"/>
  <c r="R62" i="15"/>
  <c r="R63" i="15"/>
  <c r="R64" i="15"/>
  <c r="R55" i="15"/>
  <c r="R54" i="15"/>
  <c r="R44" i="15"/>
  <c r="R45" i="15"/>
  <c r="R46" i="15"/>
  <c r="R47" i="15"/>
  <c r="R48" i="15"/>
  <c r="R49" i="15"/>
  <c r="R50" i="15"/>
  <c r="R51" i="15"/>
  <c r="R52" i="15"/>
  <c r="R43" i="15"/>
  <c r="R42" i="15"/>
  <c r="R32" i="15"/>
  <c r="R33" i="15"/>
  <c r="R34" i="15"/>
  <c r="R35" i="15"/>
  <c r="R36" i="15"/>
  <c r="R37" i="15"/>
  <c r="R38" i="15"/>
  <c r="R39" i="15"/>
  <c r="R40" i="15"/>
  <c r="R31" i="15"/>
  <c r="R30" i="15"/>
  <c r="R7" i="15"/>
  <c r="R8" i="15"/>
  <c r="R9" i="15"/>
  <c r="R10" i="15"/>
  <c r="R11" i="15"/>
  <c r="R12" i="15"/>
  <c r="R13" i="15"/>
  <c r="R14" i="15"/>
  <c r="R15" i="15"/>
  <c r="R16" i="15"/>
  <c r="R115" i="2"/>
  <c r="R116" i="2"/>
  <c r="R117" i="2"/>
  <c r="R118" i="2"/>
  <c r="R119" i="2"/>
  <c r="R120" i="2"/>
  <c r="R121" i="2"/>
  <c r="R122" i="2"/>
  <c r="R123" i="2"/>
  <c r="R124" i="2"/>
  <c r="R114" i="2"/>
  <c r="R103" i="2"/>
  <c r="R104" i="2"/>
  <c r="R105" i="2"/>
  <c r="R106" i="2"/>
  <c r="R107" i="2"/>
  <c r="R108" i="2"/>
  <c r="R109" i="2"/>
  <c r="R110" i="2"/>
  <c r="R111" i="2"/>
  <c r="R112" i="2"/>
  <c r="R102" i="2"/>
  <c r="R79" i="2"/>
  <c r="R80" i="2"/>
  <c r="R81" i="2"/>
  <c r="R82" i="2"/>
  <c r="R83" i="2"/>
  <c r="R84" i="2"/>
  <c r="R85" i="2"/>
  <c r="R86" i="2"/>
  <c r="R87" i="2"/>
  <c r="R88" i="2"/>
  <c r="R67" i="2"/>
  <c r="R68" i="2"/>
  <c r="R69" i="2"/>
  <c r="R70" i="2"/>
  <c r="R71" i="2"/>
  <c r="R72" i="2"/>
  <c r="R73" i="2"/>
  <c r="R74" i="2"/>
  <c r="R75" i="2"/>
  <c r="R76" i="2"/>
  <c r="R66" i="2"/>
  <c r="R55" i="2"/>
  <c r="R56" i="2"/>
  <c r="R57" i="2"/>
  <c r="R58" i="2"/>
  <c r="R59" i="2"/>
  <c r="R60" i="2"/>
  <c r="R61" i="2"/>
  <c r="R62" i="2"/>
  <c r="R63" i="2"/>
  <c r="R64" i="2"/>
  <c r="R54" i="2"/>
  <c r="R43" i="2"/>
  <c r="R44" i="2"/>
  <c r="R45" i="2"/>
  <c r="R46" i="2"/>
  <c r="R47" i="2"/>
  <c r="R48" i="2"/>
  <c r="R49" i="2"/>
  <c r="R50" i="2"/>
  <c r="R51" i="2"/>
  <c r="R52" i="2"/>
  <c r="R42" i="2"/>
  <c r="R30" i="2"/>
  <c r="R31" i="2"/>
  <c r="R32" i="2"/>
  <c r="R33" i="2"/>
  <c r="R34" i="2"/>
  <c r="R35" i="2"/>
  <c r="R36" i="2"/>
  <c r="R37" i="2"/>
  <c r="R38" i="2"/>
  <c r="R39" i="2"/>
  <c r="R40" i="2"/>
  <c r="R19" i="2"/>
  <c r="R20" i="2"/>
  <c r="R21" i="2"/>
  <c r="R22" i="2"/>
  <c r="R23" i="2"/>
  <c r="R24" i="2"/>
  <c r="R25" i="2"/>
  <c r="R26" i="2"/>
  <c r="R27" i="2"/>
  <c r="R28" i="2"/>
  <c r="R18" i="2"/>
  <c r="R7" i="2"/>
  <c r="R8" i="2"/>
  <c r="R9" i="2"/>
  <c r="R10" i="2"/>
  <c r="R11" i="2"/>
  <c r="R12" i="2"/>
  <c r="R13" i="2"/>
  <c r="R14" i="2"/>
  <c r="R15" i="2"/>
  <c r="R16" i="2"/>
  <c r="R6" i="2"/>
  <c r="P29" i="2" l="1"/>
  <c r="J29" i="15"/>
  <c r="I29" i="15"/>
  <c r="I17" i="15"/>
  <c r="O17" i="15"/>
  <c r="L17" i="15"/>
  <c r="J17" i="15"/>
  <c r="P17" i="15"/>
  <c r="P113" i="2"/>
  <c r="P41" i="2"/>
  <c r="P101" i="2"/>
  <c r="P53" i="2"/>
  <c r="P125" i="2"/>
  <c r="P65" i="2"/>
  <c r="P77" i="2"/>
  <c r="P89" i="2"/>
  <c r="P137" i="2"/>
  <c r="O89" i="15"/>
  <c r="P38" i="13" s="1"/>
  <c r="Q101" i="2"/>
  <c r="O101" i="2"/>
  <c r="Q77" i="15"/>
  <c r="Q113" i="15"/>
  <c r="R48" i="13" s="1"/>
  <c r="Q17" i="15"/>
  <c r="O53" i="14"/>
  <c r="Q17" i="14"/>
  <c r="Q41" i="14"/>
  <c r="O101" i="14"/>
  <c r="O125" i="14"/>
  <c r="Q41" i="15"/>
  <c r="O101" i="15"/>
  <c r="Q101" i="15"/>
  <c r="R43" i="13" s="1"/>
  <c r="O77" i="2"/>
  <c r="O125" i="15"/>
  <c r="Q125" i="15"/>
  <c r="Q65" i="14"/>
  <c r="Q41" i="2"/>
  <c r="O41" i="2"/>
  <c r="O113" i="15"/>
  <c r="O77" i="15"/>
  <c r="O65" i="14"/>
  <c r="Q29" i="14"/>
  <c r="Q89" i="2"/>
  <c r="R37" i="13" s="1"/>
  <c r="Q53" i="2"/>
  <c r="O53" i="2"/>
  <c r="O125" i="2"/>
  <c r="Q125" i="2"/>
  <c r="Q101" i="14"/>
  <c r="O29" i="2"/>
  <c r="Q53" i="15"/>
  <c r="O53" i="15"/>
  <c r="O89" i="2"/>
  <c r="P37" i="13" s="1"/>
  <c r="O77" i="14"/>
  <c r="Q77" i="14"/>
  <c r="O65" i="15"/>
  <c r="Q65" i="15"/>
  <c r="Q89" i="15"/>
  <c r="R38" i="13" s="1"/>
  <c r="Q65" i="2"/>
  <c r="O65" i="2"/>
  <c r="Q53" i="14"/>
  <c r="O113" i="14"/>
  <c r="Q113" i="14"/>
  <c r="Q77" i="2"/>
  <c r="O41" i="15"/>
  <c r="Q125" i="14"/>
  <c r="O41" i="14"/>
  <c r="O17" i="14"/>
  <c r="O89" i="14"/>
  <c r="P40" i="13" s="1"/>
  <c r="Q89" i="14"/>
  <c r="R40" i="13" s="1"/>
  <c r="Q29" i="2"/>
  <c r="O113" i="2"/>
  <c r="Q113" i="2"/>
  <c r="Q137" i="14"/>
  <c r="O137" i="14"/>
  <c r="O29" i="14"/>
  <c r="B89" i="4"/>
  <c r="C89" i="4"/>
  <c r="D89" i="4"/>
  <c r="E89" i="4"/>
  <c r="F89" i="4"/>
  <c r="G89" i="4"/>
  <c r="H89" i="4"/>
  <c r="J89" i="4"/>
  <c r="K89" i="4"/>
  <c r="L89" i="4"/>
  <c r="P41" i="13" l="1"/>
  <c r="G9" i="27" s="1"/>
  <c r="R41" i="13"/>
  <c r="H9" i="27" s="1"/>
  <c r="F14" i="14" l="1"/>
  <c r="F74" i="14"/>
  <c r="F110" i="14"/>
  <c r="F98" i="14"/>
  <c r="F122" i="14"/>
  <c r="F86" i="14"/>
  <c r="F134" i="14"/>
  <c r="F50" i="14"/>
  <c r="F62" i="14"/>
  <c r="F38" i="14"/>
  <c r="F26" i="14"/>
  <c r="J124" i="14"/>
  <c r="J125" i="14" s="1"/>
  <c r="J88" i="14"/>
  <c r="J89" i="14" s="1"/>
  <c r="J136" i="14"/>
  <c r="J137" i="14" s="1"/>
  <c r="J52" i="14"/>
  <c r="J53" i="14" s="1"/>
  <c r="J112" i="14"/>
  <c r="J113" i="14" s="1"/>
  <c r="J16" i="14"/>
  <c r="J17" i="14" s="1"/>
  <c r="J64" i="14"/>
  <c r="J65" i="14" s="1"/>
  <c r="G136" i="2"/>
  <c r="G100" i="2"/>
  <c r="J40" i="14"/>
  <c r="J41" i="14" s="1"/>
  <c r="J28" i="14"/>
  <c r="J29" i="14" s="1"/>
  <c r="J100" i="14"/>
  <c r="J101" i="14" s="1"/>
  <c r="J76" i="14"/>
  <c r="J77" i="14" s="1"/>
  <c r="R136" i="15"/>
  <c r="R135" i="15"/>
  <c r="R134" i="15"/>
  <c r="R133" i="15"/>
  <c r="R132" i="15"/>
  <c r="R131" i="15"/>
  <c r="R130" i="15"/>
  <c r="R129" i="15"/>
  <c r="R128" i="15"/>
  <c r="R127" i="15"/>
  <c r="R126" i="15"/>
  <c r="B33" i="4"/>
  <c r="C33" i="4"/>
  <c r="D33" i="4"/>
  <c r="E33" i="4"/>
  <c r="F33" i="4"/>
  <c r="G33" i="4"/>
  <c r="H33" i="4"/>
  <c r="J33" i="4"/>
  <c r="K33" i="4"/>
  <c r="B104" i="4"/>
  <c r="C104" i="4"/>
  <c r="D104" i="4"/>
  <c r="E104" i="4"/>
  <c r="F104" i="4"/>
  <c r="G104" i="4"/>
  <c r="H104" i="4"/>
  <c r="J104" i="4"/>
  <c r="K104" i="4"/>
  <c r="L33" i="4"/>
  <c r="L104" i="4"/>
  <c r="H136" i="2" l="1"/>
  <c r="F85" i="2"/>
  <c r="F109" i="2"/>
  <c r="F133" i="2"/>
  <c r="F121" i="2"/>
  <c r="F97" i="2"/>
  <c r="F73" i="2"/>
  <c r="F37" i="2"/>
  <c r="F49" i="2"/>
  <c r="F134" i="2"/>
  <c r="F25" i="2"/>
  <c r="F61" i="2"/>
  <c r="F13" i="14"/>
  <c r="F26" i="15"/>
  <c r="F37" i="14"/>
  <c r="F25" i="14"/>
  <c r="F133" i="14"/>
  <c r="F49" i="14"/>
  <c r="F73" i="14"/>
  <c r="F109" i="14"/>
  <c r="F97" i="14"/>
  <c r="F121" i="14"/>
  <c r="F61" i="14"/>
  <c r="F85" i="14"/>
  <c r="F25" i="15"/>
  <c r="F14" i="15"/>
  <c r="H100" i="2"/>
  <c r="H101" i="2" s="1"/>
  <c r="F98" i="2"/>
  <c r="G40" i="2"/>
  <c r="G41" i="2" s="1"/>
  <c r="F38" i="2"/>
  <c r="G76" i="2"/>
  <c r="G77" i="2" s="1"/>
  <c r="F74" i="2"/>
  <c r="G112" i="2"/>
  <c r="F110" i="2"/>
  <c r="G88" i="2"/>
  <c r="G89" i="2" s="1"/>
  <c r="H37" i="13" s="1"/>
  <c r="F86" i="2"/>
  <c r="G52" i="2"/>
  <c r="G53" i="2" s="1"/>
  <c r="F50" i="2"/>
  <c r="G124" i="2"/>
  <c r="G125" i="2" s="1"/>
  <c r="F122" i="2"/>
  <c r="G28" i="2"/>
  <c r="G29" i="2" s="1"/>
  <c r="H12" i="13" s="1"/>
  <c r="F26" i="2"/>
  <c r="K100" i="2"/>
  <c r="K101" i="2" s="1"/>
  <c r="G101" i="2"/>
  <c r="I100" i="2"/>
  <c r="G64" i="2"/>
  <c r="F62" i="2"/>
  <c r="I137" i="15"/>
  <c r="G136" i="15"/>
  <c r="G137" i="15" s="1"/>
  <c r="K136" i="2"/>
  <c r="J137" i="15"/>
  <c r="H136" i="15"/>
  <c r="H137" i="15" s="1"/>
  <c r="M76" i="14"/>
  <c r="M77" i="14" s="1"/>
  <c r="N76" i="2"/>
  <c r="N77" i="2" s="1"/>
  <c r="M52" i="2"/>
  <c r="M53" i="2" s="1"/>
  <c r="J113" i="15"/>
  <c r="I64" i="14"/>
  <c r="I65" i="14" s="1"/>
  <c r="K64" i="15"/>
  <c r="K65" i="15" s="1"/>
  <c r="K100" i="15"/>
  <c r="K101" i="15" s="1"/>
  <c r="M40" i="14"/>
  <c r="M41" i="14" s="1"/>
  <c r="M28" i="14"/>
  <c r="M29" i="14" s="1"/>
  <c r="I76" i="2"/>
  <c r="I77" i="2" s="1"/>
  <c r="I28" i="2"/>
  <c r="I29" i="2" s="1"/>
  <c r="H64" i="15"/>
  <c r="H65" i="15" s="1"/>
  <c r="H40" i="15"/>
  <c r="N136" i="2"/>
  <c r="I125" i="15"/>
  <c r="M88" i="2"/>
  <c r="M89" i="2" s="1"/>
  <c r="N37" i="13" s="1"/>
  <c r="H112" i="14"/>
  <c r="H113" i="14" s="1"/>
  <c r="M76" i="15"/>
  <c r="M77" i="15" s="1"/>
  <c r="G124" i="14"/>
  <c r="J65" i="15"/>
  <c r="J125" i="15"/>
  <c r="N124" i="14"/>
  <c r="N125" i="14" s="1"/>
  <c r="N40" i="15"/>
  <c r="N41" i="15" s="1"/>
  <c r="G52" i="15"/>
  <c r="L113" i="14"/>
  <c r="L101" i="14"/>
  <c r="K88" i="14"/>
  <c r="K89" i="14" s="1"/>
  <c r="L40" i="13" s="1"/>
  <c r="K136" i="14"/>
  <c r="K137" i="14" s="1"/>
  <c r="K52" i="14"/>
  <c r="K53" i="14" s="1"/>
  <c r="H52" i="2"/>
  <c r="H53" i="2" s="1"/>
  <c r="H124" i="14"/>
  <c r="H125" i="14" s="1"/>
  <c r="I76" i="14"/>
  <c r="I77" i="14" s="1"/>
  <c r="L41" i="15"/>
  <c r="L137" i="15"/>
  <c r="K28" i="15"/>
  <c r="K29" i="15" s="1"/>
  <c r="M112" i="14"/>
  <c r="M113" i="14" s="1"/>
  <c r="M100" i="14"/>
  <c r="M101" i="14" s="1"/>
  <c r="I88" i="2"/>
  <c r="I89" i="2" s="1"/>
  <c r="J37" i="13" s="1"/>
  <c r="I64" i="2"/>
  <c r="I65" i="2" s="1"/>
  <c r="H124" i="15"/>
  <c r="H125" i="15" s="1"/>
  <c r="I65" i="15"/>
  <c r="I41" i="15"/>
  <c r="M40" i="2"/>
  <c r="M41" i="2" s="1"/>
  <c r="K124" i="2"/>
  <c r="K125" i="2" s="1"/>
  <c r="K40" i="2"/>
  <c r="K41" i="2" s="1"/>
  <c r="H64" i="14"/>
  <c r="H65" i="14" s="1"/>
  <c r="H88" i="14"/>
  <c r="H89" i="14" s="1"/>
  <c r="I40" i="13" s="1"/>
  <c r="M16" i="15"/>
  <c r="M17" i="15" s="1"/>
  <c r="J89" i="15"/>
  <c r="G64" i="15"/>
  <c r="G28" i="15"/>
  <c r="G29" i="15" s="1"/>
  <c r="L89" i="14"/>
  <c r="L137" i="14"/>
  <c r="H28" i="2"/>
  <c r="H29" i="2" s="1"/>
  <c r="L125" i="15"/>
  <c r="I113" i="15"/>
  <c r="K88" i="2"/>
  <c r="K89" i="2" s="1"/>
  <c r="L37" i="13" s="1"/>
  <c r="L125" i="14"/>
  <c r="I100" i="14"/>
  <c r="I101" i="14" s="1"/>
  <c r="I16" i="14"/>
  <c r="I17" i="14" s="1"/>
  <c r="L89" i="15"/>
  <c r="L65" i="15"/>
  <c r="L101" i="15"/>
  <c r="K76" i="15"/>
  <c r="K77" i="15" s="1"/>
  <c r="M124" i="14"/>
  <c r="M125" i="14" s="1"/>
  <c r="I124" i="2"/>
  <c r="I125" i="2" s="1"/>
  <c r="I40" i="2"/>
  <c r="I41" i="2" s="1"/>
  <c r="H112" i="15"/>
  <c r="H113" i="15" s="1"/>
  <c r="N112" i="2"/>
  <c r="N113" i="2" s="1"/>
  <c r="N88" i="2"/>
  <c r="N89" i="2" s="1"/>
  <c r="O37" i="13" s="1"/>
  <c r="N28" i="2"/>
  <c r="N29" i="2" s="1"/>
  <c r="I89" i="15"/>
  <c r="M100" i="2"/>
  <c r="M101" i="2" s="1"/>
  <c r="H28" i="14"/>
  <c r="H29" i="14" s="1"/>
  <c r="M40" i="15"/>
  <c r="M41" i="15" s="1"/>
  <c r="J101" i="15"/>
  <c r="G76" i="15"/>
  <c r="K16" i="14"/>
  <c r="K17" i="14" s="1"/>
  <c r="K64" i="14"/>
  <c r="K65" i="14" s="1"/>
  <c r="H88" i="2"/>
  <c r="H89" i="2" s="1"/>
  <c r="I37" i="13" s="1"/>
  <c r="H64" i="2"/>
  <c r="H65" i="2" s="1"/>
  <c r="I40" i="14"/>
  <c r="I41" i="14" s="1"/>
  <c r="K16" i="15"/>
  <c r="K17" i="15" s="1"/>
  <c r="K52" i="15"/>
  <c r="K53" i="15" s="1"/>
  <c r="K124" i="15"/>
  <c r="K125" i="15" s="1"/>
  <c r="M88" i="14"/>
  <c r="M89" i="14" s="1"/>
  <c r="N40" i="13" s="1"/>
  <c r="M136" i="14"/>
  <c r="M137" i="14" s="1"/>
  <c r="I136" i="2"/>
  <c r="H52" i="15"/>
  <c r="H53" i="15" s="1"/>
  <c r="H28" i="15"/>
  <c r="H29" i="15" s="1"/>
  <c r="N52" i="2"/>
  <c r="N53" i="2" s="1"/>
  <c r="N124" i="2"/>
  <c r="N125" i="2" s="1"/>
  <c r="I77" i="15"/>
  <c r="I101" i="15"/>
  <c r="M64" i="2"/>
  <c r="M65" i="2" s="1"/>
  <c r="H76" i="14"/>
  <c r="H77" i="14" s="1"/>
  <c r="M88" i="15"/>
  <c r="M89" i="15" s="1"/>
  <c r="N38" i="13" s="1"/>
  <c r="G16" i="14"/>
  <c r="J77" i="15"/>
  <c r="J53" i="15"/>
  <c r="N16" i="14"/>
  <c r="N17" i="14" s="1"/>
  <c r="N52" i="15"/>
  <c r="N53" i="15" s="1"/>
  <c r="N28" i="15"/>
  <c r="N29" i="15" s="1"/>
  <c r="N124" i="15"/>
  <c r="N125" i="15" s="1"/>
  <c r="N136" i="15"/>
  <c r="N137" i="15" s="1"/>
  <c r="G112" i="15"/>
  <c r="G16" i="15"/>
  <c r="K40" i="14"/>
  <c r="K41" i="14" s="1"/>
  <c r="K28" i="14"/>
  <c r="K29" i="14" s="1"/>
  <c r="H124" i="2"/>
  <c r="H125" i="2" s="1"/>
  <c r="H40" i="2"/>
  <c r="H41" i="2" s="1"/>
  <c r="H88" i="15"/>
  <c r="H89" i="15" s="1"/>
  <c r="I38" i="13" s="1"/>
  <c r="J41" i="15"/>
  <c r="N88" i="14"/>
  <c r="N89" i="14" s="1"/>
  <c r="O40" i="13" s="1"/>
  <c r="N64" i="15"/>
  <c r="N65" i="15" s="1"/>
  <c r="I88" i="14"/>
  <c r="I89" i="14" s="1"/>
  <c r="J40" i="13" s="1"/>
  <c r="K40" i="13" s="1"/>
  <c r="K41" i="13" s="1"/>
  <c r="I136" i="14"/>
  <c r="I137" i="14" s="1"/>
  <c r="I52" i="14"/>
  <c r="I53" i="14" s="1"/>
  <c r="K40" i="15"/>
  <c r="K41" i="15" s="1"/>
  <c r="K136" i="15"/>
  <c r="K137" i="15" s="1"/>
  <c r="H76" i="15"/>
  <c r="H77" i="15" s="1"/>
  <c r="H100" i="15"/>
  <c r="H101" i="15" s="1"/>
  <c r="M112" i="2"/>
  <c r="M113" i="2" s="1"/>
  <c r="K64" i="2"/>
  <c r="K65" i="2" s="1"/>
  <c r="K112" i="2"/>
  <c r="K113" i="2" s="1"/>
  <c r="H100" i="14"/>
  <c r="H101" i="14" s="1"/>
  <c r="H16" i="14"/>
  <c r="H17" i="14" s="1"/>
  <c r="M52" i="15"/>
  <c r="M53" i="15" s="1"/>
  <c r="M64" i="15"/>
  <c r="M65" i="15" s="1"/>
  <c r="M136" i="15"/>
  <c r="M137" i="15" s="1"/>
  <c r="G40" i="14"/>
  <c r="G28" i="14"/>
  <c r="G29" i="14" s="1"/>
  <c r="N40" i="14"/>
  <c r="N41" i="14" s="1"/>
  <c r="N28" i="14"/>
  <c r="N29" i="14" s="1"/>
  <c r="N76" i="15"/>
  <c r="N77" i="15" s="1"/>
  <c r="N112" i="15"/>
  <c r="N113" i="15" s="1"/>
  <c r="G124" i="15"/>
  <c r="L17" i="14"/>
  <c r="L65" i="14"/>
  <c r="K76" i="14"/>
  <c r="K77" i="14" s="1"/>
  <c r="H76" i="2"/>
  <c r="H77" i="2" s="1"/>
  <c r="L113" i="15"/>
  <c r="M52" i="14"/>
  <c r="M53" i="14" s="1"/>
  <c r="M124" i="2"/>
  <c r="M125" i="2" s="1"/>
  <c r="M124" i="15"/>
  <c r="M125" i="15" s="1"/>
  <c r="G64" i="14"/>
  <c r="N64" i="14"/>
  <c r="N65" i="14" s="1"/>
  <c r="N88" i="15"/>
  <c r="N89" i="15" s="1"/>
  <c r="O38" i="13" s="1"/>
  <c r="I112" i="14"/>
  <c r="I113" i="14" s="1"/>
  <c r="K88" i="15"/>
  <c r="K89" i="15" s="1"/>
  <c r="L38" i="13" s="1"/>
  <c r="I112" i="2"/>
  <c r="I113" i="2" s="1"/>
  <c r="N40" i="2"/>
  <c r="N41" i="2" s="1"/>
  <c r="I53" i="15"/>
  <c r="M76" i="2"/>
  <c r="M77" i="2" s="1"/>
  <c r="M136" i="2"/>
  <c r="K52" i="2"/>
  <c r="K53" i="2" s="1"/>
  <c r="H40" i="14"/>
  <c r="H41" i="14" s="1"/>
  <c r="G136" i="14"/>
  <c r="G52" i="14"/>
  <c r="G76" i="14"/>
  <c r="N52" i="14"/>
  <c r="N53" i="14" s="1"/>
  <c r="N76" i="14"/>
  <c r="N77" i="14" s="1"/>
  <c r="G88" i="15"/>
  <c r="L41" i="14"/>
  <c r="L29" i="14"/>
  <c r="K112" i="14"/>
  <c r="K113" i="14" s="1"/>
  <c r="K100" i="14"/>
  <c r="K101" i="14" s="1"/>
  <c r="I28" i="14"/>
  <c r="I29" i="14" s="1"/>
  <c r="G88" i="14"/>
  <c r="N136" i="14"/>
  <c r="I124" i="14"/>
  <c r="I125" i="14" s="1"/>
  <c r="J55" i="13" s="1"/>
  <c r="L77" i="15"/>
  <c r="L53" i="15"/>
  <c r="K112" i="15"/>
  <c r="K113" i="15" s="1"/>
  <c r="M16" i="14"/>
  <c r="M17" i="14" s="1"/>
  <c r="M64" i="14"/>
  <c r="M65" i="14" s="1"/>
  <c r="I52" i="2"/>
  <c r="I53" i="2" s="1"/>
  <c r="H16" i="15"/>
  <c r="H17" i="15" s="1"/>
  <c r="N64" i="2"/>
  <c r="N65" i="2" s="1"/>
  <c r="N100" i="2"/>
  <c r="N101" i="2" s="1"/>
  <c r="M28" i="2"/>
  <c r="M29" i="2" s="1"/>
  <c r="K76" i="2"/>
  <c r="K77" i="2" s="1"/>
  <c r="K28" i="2"/>
  <c r="K29" i="2" s="1"/>
  <c r="H136" i="14"/>
  <c r="H52" i="14"/>
  <c r="H53" i="14" s="1"/>
  <c r="M100" i="15"/>
  <c r="M101" i="15" s="1"/>
  <c r="M28" i="15"/>
  <c r="M29" i="15" s="1"/>
  <c r="M112" i="15"/>
  <c r="M113" i="15" s="1"/>
  <c r="G112" i="14"/>
  <c r="G100" i="14"/>
  <c r="N112" i="14"/>
  <c r="N113" i="14" s="1"/>
  <c r="N100" i="14"/>
  <c r="N101" i="14" s="1"/>
  <c r="N16" i="15"/>
  <c r="N17" i="15" s="1"/>
  <c r="N100" i="15"/>
  <c r="N101" i="15" s="1"/>
  <c r="G100" i="15"/>
  <c r="L53" i="14"/>
  <c r="L77" i="14"/>
  <c r="K124" i="14"/>
  <c r="K125" i="14" s="1"/>
  <c r="H112" i="2"/>
  <c r="H113" i="2" s="1"/>
  <c r="O137" i="15"/>
  <c r="Q137" i="15"/>
  <c r="R127" i="2"/>
  <c r="R128" i="2"/>
  <c r="R129" i="2"/>
  <c r="R130" i="2"/>
  <c r="R131" i="2"/>
  <c r="R132" i="2"/>
  <c r="R133" i="2"/>
  <c r="R134" i="2"/>
  <c r="R135" i="2"/>
  <c r="R136" i="2"/>
  <c r="R126" i="2"/>
  <c r="F52" i="15" l="1"/>
  <c r="H41" i="15"/>
  <c r="F40" i="15"/>
  <c r="P17" i="2"/>
  <c r="I41" i="13"/>
  <c r="C9" i="27" s="1"/>
  <c r="L41" i="13"/>
  <c r="E9" i="27" s="1"/>
  <c r="N41" i="13"/>
  <c r="O41" i="13"/>
  <c r="F9" i="27" s="1"/>
  <c r="J41" i="13"/>
  <c r="D9" i="27" s="1"/>
  <c r="H42" i="13"/>
  <c r="F136" i="2"/>
  <c r="F137" i="2" s="1"/>
  <c r="F100" i="2"/>
  <c r="F101" i="2" s="1"/>
  <c r="F124" i="2"/>
  <c r="F125" i="2" s="1"/>
  <c r="F28" i="14"/>
  <c r="F29" i="14" s="1"/>
  <c r="F52" i="2"/>
  <c r="F53" i="2" s="1"/>
  <c r="F76" i="2"/>
  <c r="F77" i="2" s="1"/>
  <c r="F40" i="2"/>
  <c r="F41" i="2" s="1"/>
  <c r="F28" i="2"/>
  <c r="F29" i="2" s="1"/>
  <c r="I101" i="2"/>
  <c r="F88" i="2"/>
  <c r="F89" i="2" s="1"/>
  <c r="F136" i="15"/>
  <c r="F137" i="15" s="1"/>
  <c r="G101" i="15"/>
  <c r="F100" i="15"/>
  <c r="F101" i="15" s="1"/>
  <c r="F28" i="15"/>
  <c r="F29" i="15" s="1"/>
  <c r="G77" i="14"/>
  <c r="F76" i="14"/>
  <c r="F77" i="14" s="1"/>
  <c r="G65" i="14"/>
  <c r="F64" i="14"/>
  <c r="F65" i="14" s="1"/>
  <c r="G125" i="15"/>
  <c r="F124" i="15"/>
  <c r="F125" i="15" s="1"/>
  <c r="G41" i="15"/>
  <c r="F41" i="15"/>
  <c r="G65" i="15"/>
  <c r="F64" i="15"/>
  <c r="F65" i="15" s="1"/>
  <c r="G53" i="14"/>
  <c r="F52" i="14"/>
  <c r="F53" i="14" s="1"/>
  <c r="G17" i="14"/>
  <c r="F16" i="14"/>
  <c r="F17" i="14" s="1"/>
  <c r="G53" i="15"/>
  <c r="F53" i="15"/>
  <c r="G113" i="2"/>
  <c r="F112" i="2"/>
  <c r="F113" i="2" s="1"/>
  <c r="G137" i="2"/>
  <c r="G137" i="14"/>
  <c r="F136" i="14"/>
  <c r="F137" i="14" s="1"/>
  <c r="G89" i="14"/>
  <c r="H40" i="13" s="1"/>
  <c r="F88" i="14"/>
  <c r="F89" i="14" s="1"/>
  <c r="G41" i="14"/>
  <c r="F40" i="14"/>
  <c r="F41" i="14" s="1"/>
  <c r="G77" i="15"/>
  <c r="F76" i="15"/>
  <c r="F77" i="15" s="1"/>
  <c r="G65" i="2"/>
  <c r="F64" i="2"/>
  <c r="F65" i="2" s="1"/>
  <c r="G101" i="14"/>
  <c r="F100" i="14"/>
  <c r="F101" i="14" s="1"/>
  <c r="G89" i="15"/>
  <c r="H38" i="13" s="1"/>
  <c r="F88" i="15"/>
  <c r="F89" i="15" s="1"/>
  <c r="G17" i="15"/>
  <c r="F16" i="15"/>
  <c r="F17" i="15" s="1"/>
  <c r="G113" i="14"/>
  <c r="F112" i="14"/>
  <c r="F113" i="14" s="1"/>
  <c r="G113" i="15"/>
  <c r="F112" i="15"/>
  <c r="F113" i="15" s="1"/>
  <c r="G125" i="14"/>
  <c r="F124" i="14"/>
  <c r="F125" i="14" s="1"/>
  <c r="N137" i="14"/>
  <c r="H137" i="14"/>
  <c r="H137" i="2"/>
  <c r="I137" i="2"/>
  <c r="O137" i="2"/>
  <c r="Q137" i="2"/>
  <c r="M137" i="2"/>
  <c r="K137" i="2"/>
  <c r="N137" i="2"/>
  <c r="L16" i="2"/>
  <c r="L17" i="2" s="1"/>
  <c r="J16" i="2"/>
  <c r="J17" i="2" s="1"/>
  <c r="G16" i="2"/>
  <c r="G17" i="2" s="1"/>
  <c r="O17" i="2"/>
  <c r="I16" i="2"/>
  <c r="I17" i="2" s="1"/>
  <c r="N16" i="2"/>
  <c r="N17" i="2" s="1"/>
  <c r="K16" i="2"/>
  <c r="K17" i="2" s="1"/>
  <c r="M16" i="2"/>
  <c r="M17" i="2" s="1"/>
  <c r="H16" i="2"/>
  <c r="H17" i="2" s="1"/>
  <c r="Q17" i="2"/>
  <c r="AA16" i="13" l="1"/>
  <c r="AA21" i="13"/>
  <c r="H41" i="13"/>
  <c r="B9" i="27" s="1"/>
  <c r="AA56" i="13"/>
  <c r="AA31" i="13"/>
  <c r="AA41" i="13"/>
  <c r="AA46" i="13"/>
  <c r="AA61" i="13"/>
  <c r="AA36" i="13"/>
  <c r="AA51" i="13"/>
  <c r="AA26" i="13"/>
  <c r="F16" i="2"/>
  <c r="F17" i="2" l="1"/>
  <c r="AA11" i="13" s="1"/>
  <c r="I9" i="17"/>
  <c r="J12" i="27" l="1"/>
  <c r="I16" i="17"/>
  <c r="T46" i="13"/>
  <c r="J8" i="27" s="1"/>
  <c r="I14" i="17"/>
  <c r="H13" i="17"/>
  <c r="T41" i="13"/>
  <c r="J9" i="27" s="1"/>
  <c r="M9" i="27" s="1"/>
  <c r="I13" i="17"/>
  <c r="T11" i="13"/>
  <c r="J16" i="27" s="1"/>
  <c r="I7" i="17"/>
  <c r="I15" i="17" l="1"/>
  <c r="T51" i="13"/>
  <c r="J11" i="27" s="1"/>
  <c r="T36" i="13"/>
  <c r="J15" i="27" s="1"/>
  <c r="I12" i="17"/>
  <c r="T31" i="13"/>
  <c r="J14" i="27" s="1"/>
  <c r="I10" i="17"/>
  <c r="T26" i="13"/>
  <c r="J7" i="27" s="1"/>
  <c r="T16" i="13"/>
  <c r="J13" i="27" s="1"/>
  <c r="P9" i="17" l="1"/>
  <c r="L9" i="17"/>
  <c r="Q9" i="17"/>
  <c r="N9" i="17"/>
  <c r="P18" i="13"/>
  <c r="R18" i="13"/>
  <c r="P20" i="13"/>
  <c r="P17" i="13"/>
  <c r="R17" i="13"/>
  <c r="R20" i="13"/>
  <c r="I18" i="13"/>
  <c r="L20" i="13"/>
  <c r="I20" i="13"/>
  <c r="L18" i="13"/>
  <c r="N18" i="13"/>
  <c r="L17" i="13"/>
  <c r="I17" i="13"/>
  <c r="N20" i="13"/>
  <c r="O20" i="13"/>
  <c r="J17" i="13"/>
  <c r="N17" i="13"/>
  <c r="O17" i="13"/>
  <c r="O18" i="13"/>
  <c r="N7" i="17"/>
  <c r="L7" i="17"/>
  <c r="Q7" i="17"/>
  <c r="P7" i="17"/>
  <c r="P8" i="13"/>
  <c r="R8" i="13"/>
  <c r="P10" i="13"/>
  <c r="R10" i="13"/>
  <c r="O10" i="13"/>
  <c r="I10" i="13"/>
  <c r="I8" i="13"/>
  <c r="L10" i="13"/>
  <c r="N10" i="13"/>
  <c r="O8" i="13"/>
  <c r="L8" i="13"/>
  <c r="N8" i="13"/>
  <c r="R7" i="13"/>
  <c r="O7" i="13"/>
  <c r="P7" i="13"/>
  <c r="I7" i="13"/>
  <c r="L7" i="13"/>
  <c r="N7" i="13"/>
  <c r="J7" i="13"/>
  <c r="I11" i="13" l="1"/>
  <c r="C16" i="27" s="1"/>
  <c r="N21" i="13"/>
  <c r="R11" i="13"/>
  <c r="H16" i="27" s="1"/>
  <c r="I21" i="13"/>
  <c r="C10" i="27" s="1"/>
  <c r="R21" i="13"/>
  <c r="H10" i="27" s="1"/>
  <c r="P21" i="13"/>
  <c r="G10" i="27" s="1"/>
  <c r="P11" i="13"/>
  <c r="G16" i="27" s="1"/>
  <c r="L21" i="13"/>
  <c r="E10" i="27" s="1"/>
  <c r="O21" i="13"/>
  <c r="F10" i="27" s="1"/>
  <c r="O11" i="13"/>
  <c r="F16" i="27" s="1"/>
  <c r="N11" i="13"/>
  <c r="L11" i="13"/>
  <c r="E16" i="27" s="1"/>
  <c r="P13" i="13"/>
  <c r="J42" i="13"/>
  <c r="I45" i="13"/>
  <c r="I43" i="13"/>
  <c r="L14" i="17"/>
  <c r="O42" i="13"/>
  <c r="P43" i="13"/>
  <c r="O43" i="13"/>
  <c r="N45" i="13"/>
  <c r="Q14" i="17"/>
  <c r="N42" i="13"/>
  <c r="R45" i="13"/>
  <c r="P14" i="17"/>
  <c r="I42" i="13"/>
  <c r="L45" i="13"/>
  <c r="P42" i="13"/>
  <c r="N14" i="17"/>
  <c r="N43" i="13"/>
  <c r="L43" i="13"/>
  <c r="P45" i="13"/>
  <c r="L42" i="13"/>
  <c r="O45" i="13"/>
  <c r="R42" i="13"/>
  <c r="P16" i="17"/>
  <c r="L16" i="17"/>
  <c r="Q16" i="17"/>
  <c r="N16" i="17"/>
  <c r="R52" i="13"/>
  <c r="P53" i="13"/>
  <c r="P52" i="13"/>
  <c r="P55" i="13"/>
  <c r="R55" i="13"/>
  <c r="R53" i="13"/>
  <c r="O55" i="13"/>
  <c r="L53" i="13"/>
  <c r="O53" i="13"/>
  <c r="J52" i="13"/>
  <c r="J56" i="13" s="1"/>
  <c r="I53" i="13"/>
  <c r="L55" i="13"/>
  <c r="I52" i="13"/>
  <c r="L52" i="13"/>
  <c r="I55" i="13"/>
  <c r="N52" i="13"/>
  <c r="N55" i="13"/>
  <c r="N53" i="13"/>
  <c r="O52" i="13"/>
  <c r="Q13" i="17"/>
  <c r="L13" i="17"/>
  <c r="N13" i="17"/>
  <c r="P13" i="17"/>
  <c r="K10" i="13"/>
  <c r="K11" i="13" s="1"/>
  <c r="H10" i="13"/>
  <c r="H8" i="13"/>
  <c r="J20" i="13"/>
  <c r="K20" i="13" s="1"/>
  <c r="K21" i="13" s="1"/>
  <c r="H17" i="13"/>
  <c r="H18" i="13"/>
  <c r="H9" i="17" s="1"/>
  <c r="H20" i="13"/>
  <c r="I46" i="13" l="1"/>
  <c r="C8" i="27" s="1"/>
  <c r="R56" i="13"/>
  <c r="H12" i="27" s="1"/>
  <c r="I56" i="13"/>
  <c r="C12" i="27" s="1"/>
  <c r="L56" i="13"/>
  <c r="E12" i="27" s="1"/>
  <c r="N56" i="13"/>
  <c r="O56" i="13"/>
  <c r="F12" i="27" s="1"/>
  <c r="P56" i="13"/>
  <c r="G12" i="27" s="1"/>
  <c r="L46" i="13"/>
  <c r="E8" i="27" s="1"/>
  <c r="O46" i="13"/>
  <c r="F8" i="27" s="1"/>
  <c r="N46" i="13"/>
  <c r="P46" i="13"/>
  <c r="G8" i="27" s="1"/>
  <c r="R46" i="13"/>
  <c r="H8" i="27" s="1"/>
  <c r="J21" i="13"/>
  <c r="D10" i="27" s="1"/>
  <c r="H21" i="13"/>
  <c r="B10" i="27" s="1"/>
  <c r="H11" i="13"/>
  <c r="J11" i="13"/>
  <c r="D16" i="27" s="1"/>
  <c r="G14" i="17"/>
  <c r="G7" i="17"/>
  <c r="J7" i="17"/>
  <c r="H7" i="17"/>
  <c r="J9" i="17"/>
  <c r="G9" i="17"/>
  <c r="L13" i="13"/>
  <c r="L15" i="13"/>
  <c r="O15" i="13"/>
  <c r="P15" i="13"/>
  <c r="I12" i="13"/>
  <c r="L8" i="17"/>
  <c r="N8" i="17"/>
  <c r="R12" i="13"/>
  <c r="I15" i="13"/>
  <c r="P12" i="13"/>
  <c r="N13" i="13"/>
  <c r="P8" i="17"/>
  <c r="O13" i="13"/>
  <c r="I13" i="13"/>
  <c r="Q8" i="17"/>
  <c r="N15" i="13"/>
  <c r="R15" i="13"/>
  <c r="N12" i="13"/>
  <c r="O12" i="13"/>
  <c r="R13" i="13"/>
  <c r="L12" i="13"/>
  <c r="J12" i="13"/>
  <c r="J15" i="13"/>
  <c r="K15" i="13" s="1"/>
  <c r="K16" i="13" s="1"/>
  <c r="P10" i="17"/>
  <c r="L22" i="13"/>
  <c r="O23" i="13"/>
  <c r="N22" i="13"/>
  <c r="I22" i="13"/>
  <c r="R23" i="13"/>
  <c r="O22" i="13"/>
  <c r="I25" i="13"/>
  <c r="O25" i="13"/>
  <c r="Q10" i="17"/>
  <c r="N25" i="13"/>
  <c r="R22" i="13"/>
  <c r="I23" i="13"/>
  <c r="J22" i="13"/>
  <c r="P25" i="13"/>
  <c r="P22" i="13"/>
  <c r="N10" i="17"/>
  <c r="R25" i="13"/>
  <c r="L23" i="13"/>
  <c r="N23" i="13"/>
  <c r="P23" i="13"/>
  <c r="L25" i="13"/>
  <c r="Q12" i="17"/>
  <c r="P12" i="17"/>
  <c r="N12" i="17"/>
  <c r="L12" i="17"/>
  <c r="P32" i="13"/>
  <c r="R33" i="13"/>
  <c r="P35" i="13"/>
  <c r="P33" i="13"/>
  <c r="R32" i="13"/>
  <c r="R35" i="13"/>
  <c r="I35" i="13"/>
  <c r="L35" i="13"/>
  <c r="N32" i="13"/>
  <c r="I32" i="13"/>
  <c r="O32" i="13"/>
  <c r="I33" i="13"/>
  <c r="L32" i="13"/>
  <c r="N33" i="13"/>
  <c r="L33" i="13"/>
  <c r="N35" i="13"/>
  <c r="J32" i="13"/>
  <c r="O33" i="13"/>
  <c r="O35" i="13"/>
  <c r="P27" i="13"/>
  <c r="N27" i="13"/>
  <c r="R28" i="13"/>
  <c r="L11" i="17"/>
  <c r="L27" i="13"/>
  <c r="J27" i="13"/>
  <c r="O27" i="13"/>
  <c r="N11" i="17"/>
  <c r="L30" i="13"/>
  <c r="L28" i="13"/>
  <c r="Q11" i="17"/>
  <c r="I30" i="13"/>
  <c r="P11" i="17"/>
  <c r="R27" i="13"/>
  <c r="I27" i="13"/>
  <c r="O28" i="13"/>
  <c r="R30" i="13"/>
  <c r="P30" i="13"/>
  <c r="P28" i="13"/>
  <c r="O30" i="13"/>
  <c r="N28" i="13"/>
  <c r="I28" i="13"/>
  <c r="N30" i="13"/>
  <c r="P47" i="13"/>
  <c r="I47" i="13"/>
  <c r="I50" i="13"/>
  <c r="J47" i="13"/>
  <c r="R50" i="13"/>
  <c r="Q15" i="17"/>
  <c r="P48" i="13"/>
  <c r="N47" i="13"/>
  <c r="I48" i="13"/>
  <c r="N48" i="13"/>
  <c r="L15" i="17"/>
  <c r="O50" i="13"/>
  <c r="P15" i="17"/>
  <c r="L47" i="13"/>
  <c r="N15" i="17"/>
  <c r="P50" i="13"/>
  <c r="O48" i="13"/>
  <c r="L50" i="13"/>
  <c r="O47" i="13"/>
  <c r="L48" i="13"/>
  <c r="N50" i="13"/>
  <c r="R47" i="13"/>
  <c r="H52" i="13"/>
  <c r="K55" i="13"/>
  <c r="K56" i="13" s="1"/>
  <c r="D12" i="27" s="1"/>
  <c r="H53" i="13"/>
  <c r="H55" i="13"/>
  <c r="H43" i="13"/>
  <c r="H45" i="13"/>
  <c r="J45" i="13"/>
  <c r="K45" i="13" s="1"/>
  <c r="K46" i="13" s="1"/>
  <c r="R51" i="13" l="1"/>
  <c r="H11" i="27" s="1"/>
  <c r="M10" i="27"/>
  <c r="B16" i="27"/>
  <c r="M16" i="27" s="1"/>
  <c r="G11" i="13"/>
  <c r="O51" i="13"/>
  <c r="F11" i="27" s="1"/>
  <c r="H56" i="13"/>
  <c r="B12" i="27" s="1"/>
  <c r="M12" i="27" s="1"/>
  <c r="N16" i="13"/>
  <c r="L51" i="13"/>
  <c r="E11" i="27" s="1"/>
  <c r="R31" i="13"/>
  <c r="H14" i="27" s="1"/>
  <c r="L31" i="13"/>
  <c r="E14" i="27" s="1"/>
  <c r="J46" i="13"/>
  <c r="D8" i="27" s="1"/>
  <c r="I51" i="13"/>
  <c r="C11" i="27" s="1"/>
  <c r="P51" i="13"/>
  <c r="G11" i="27" s="1"/>
  <c r="N51" i="13"/>
  <c r="H46" i="13"/>
  <c r="B8" i="27" s="1"/>
  <c r="R36" i="13"/>
  <c r="H15" i="27" s="1"/>
  <c r="N36" i="13"/>
  <c r="P36" i="13"/>
  <c r="G15" i="27" s="1"/>
  <c r="R26" i="13"/>
  <c r="H7" i="27" s="1"/>
  <c r="L36" i="13"/>
  <c r="E15" i="27" s="1"/>
  <c r="O36" i="13"/>
  <c r="F15" i="27" s="1"/>
  <c r="I36" i="13"/>
  <c r="C15" i="27" s="1"/>
  <c r="N31" i="13"/>
  <c r="P31" i="13"/>
  <c r="G14" i="27" s="1"/>
  <c r="Z11" i="13"/>
  <c r="I31" i="13"/>
  <c r="C14" i="27" s="1"/>
  <c r="O31" i="13"/>
  <c r="F14" i="27" s="1"/>
  <c r="O26" i="13"/>
  <c r="F7" i="27" s="1"/>
  <c r="N26" i="13"/>
  <c r="I26" i="13"/>
  <c r="C7" i="27" s="1"/>
  <c r="P26" i="13"/>
  <c r="G7" i="27" s="1"/>
  <c r="L26" i="13"/>
  <c r="E7" i="27" s="1"/>
  <c r="L16" i="13"/>
  <c r="E13" i="27" s="1"/>
  <c r="J16" i="13"/>
  <c r="D13" i="27" s="1"/>
  <c r="I16" i="13"/>
  <c r="C13" i="27" s="1"/>
  <c r="P16" i="13"/>
  <c r="G13" i="27" s="1"/>
  <c r="O16" i="13"/>
  <c r="F13" i="27" s="1"/>
  <c r="J16" i="17"/>
  <c r="R16" i="13"/>
  <c r="H13" i="27" s="1"/>
  <c r="J14" i="17"/>
  <c r="H14" i="17"/>
  <c r="G8" i="17"/>
  <c r="H16" i="17"/>
  <c r="G16" i="17"/>
  <c r="H13" i="13"/>
  <c r="H15" i="13"/>
  <c r="J50" i="13"/>
  <c r="K50" i="13" s="1"/>
  <c r="K51" i="13" s="1"/>
  <c r="H47" i="13"/>
  <c r="H50" i="13"/>
  <c r="H48" i="13"/>
  <c r="H27" i="13"/>
  <c r="H28" i="13"/>
  <c r="H30" i="13"/>
  <c r="J30" i="13"/>
  <c r="K30" i="13" s="1"/>
  <c r="K31" i="13" s="1"/>
  <c r="H32" i="13"/>
  <c r="H35" i="13"/>
  <c r="J35" i="13"/>
  <c r="K35" i="13" s="1"/>
  <c r="K36" i="13" s="1"/>
  <c r="H33" i="13"/>
  <c r="J25" i="13"/>
  <c r="K25" i="13" s="1"/>
  <c r="K26" i="13" s="1"/>
  <c r="H25" i="13"/>
  <c r="H22" i="13"/>
  <c r="H23" i="13"/>
  <c r="M8" i="27" l="1"/>
  <c r="I17" i="17"/>
  <c r="J51" i="13"/>
  <c r="D11" i="27" s="1"/>
  <c r="H51" i="13"/>
  <c r="B11" i="27" s="1"/>
  <c r="H36" i="13"/>
  <c r="B15" i="27" s="1"/>
  <c r="J36" i="13"/>
  <c r="D15" i="27" s="1"/>
  <c r="H31" i="13"/>
  <c r="B14" i="27" s="1"/>
  <c r="J31" i="13"/>
  <c r="D14" i="27" s="1"/>
  <c r="J26" i="13"/>
  <c r="D7" i="27" s="1"/>
  <c r="H26" i="13"/>
  <c r="H16" i="13"/>
  <c r="J15" i="17"/>
  <c r="J12" i="17"/>
  <c r="G10" i="17"/>
  <c r="H8" i="17"/>
  <c r="J10" i="17"/>
  <c r="J11" i="17"/>
  <c r="H10" i="17"/>
  <c r="H11" i="17"/>
  <c r="H12" i="17"/>
  <c r="G11" i="17"/>
  <c r="G15" i="17"/>
  <c r="J8" i="17"/>
  <c r="H15" i="17"/>
  <c r="G12" i="17"/>
  <c r="G13" i="17"/>
  <c r="B7" i="27" l="1"/>
  <c r="M7" i="27" s="1"/>
  <c r="G26" i="13"/>
  <c r="F10" i="17" s="1"/>
  <c r="M11" i="27"/>
  <c r="M14" i="27"/>
  <c r="M15" i="27"/>
  <c r="Z16" i="13"/>
  <c r="B13" i="27"/>
  <c r="M13" i="27" s="1"/>
  <c r="J13" i="17"/>
  <c r="H58" i="13" l="1"/>
  <c r="P58" i="13"/>
  <c r="I58" i="13"/>
  <c r="I57" i="13"/>
  <c r="I60" i="13"/>
  <c r="R60" i="13"/>
  <c r="L17" i="17"/>
  <c r="O58" i="13"/>
  <c r="J57" i="13"/>
  <c r="R57" i="13"/>
  <c r="N58" i="13"/>
  <c r="N57" i="13"/>
  <c r="Q17" i="17"/>
  <c r="R58" i="13"/>
  <c r="L60" i="13"/>
  <c r="L58" i="13"/>
  <c r="P57" i="13"/>
  <c r="N17" i="17"/>
  <c r="P60" i="13"/>
  <c r="N60" i="13"/>
  <c r="L57" i="13"/>
  <c r="P17" i="17"/>
  <c r="O57" i="13"/>
  <c r="O60" i="13"/>
  <c r="O61" i="13" l="1"/>
  <c r="F17" i="27" s="1"/>
  <c r="P61" i="13"/>
  <c r="G17" i="27" s="1"/>
  <c r="N61" i="13"/>
  <c r="I61" i="13"/>
  <c r="C17" i="27" s="1"/>
  <c r="L61" i="13"/>
  <c r="E17" i="27" s="1"/>
  <c r="R61" i="13"/>
  <c r="H17" i="27" s="1"/>
  <c r="H17" i="17"/>
  <c r="H60" i="13"/>
  <c r="J60" i="13"/>
  <c r="K60" i="13" s="1"/>
  <c r="K61" i="13" s="1"/>
  <c r="H57" i="13"/>
  <c r="J61" i="13" l="1"/>
  <c r="D17" i="27" s="1"/>
  <c r="H61" i="13"/>
  <c r="B17" i="27" s="1"/>
  <c r="J17" i="17"/>
  <c r="G17" i="17"/>
  <c r="M17" i="27" l="1"/>
  <c r="G61" i="13"/>
  <c r="F17" i="17" s="1"/>
  <c r="G46" i="13"/>
  <c r="F14" i="17" s="1"/>
  <c r="F7" i="17"/>
  <c r="Z61" i="13"/>
  <c r="G41" i="13"/>
  <c r="F13" i="17" s="1"/>
  <c r="G36" i="13"/>
  <c r="F12" i="17" s="1"/>
  <c r="Z31" i="13"/>
  <c r="Z21" i="13"/>
  <c r="Z46" i="13"/>
  <c r="Z41" i="13"/>
  <c r="Z26" i="13"/>
  <c r="Z51" i="13"/>
  <c r="Z56" i="13"/>
  <c r="Z36" i="13"/>
  <c r="G31" i="13"/>
  <c r="F11" i="17" s="1"/>
  <c r="G21" i="13"/>
  <c r="F9" i="17" s="1"/>
  <c r="G56" i="13"/>
  <c r="F16" i="17" s="1"/>
  <c r="G51" i="13"/>
  <c r="F15" i="17" s="1"/>
  <c r="G16" i="13"/>
  <c r="F8" i="17" s="1"/>
  <c r="J8" i="26"/>
  <c r="E8" i="2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<sst xmlns="http://schemas.openxmlformats.org/spreadsheetml/2006/main" count="3874" uniqueCount="541">
  <si>
    <t>Read me</t>
  </si>
  <si>
    <t>Assumptions:</t>
  </si>
  <si>
    <t>Color codes:</t>
  </si>
  <si>
    <t>Results</t>
  </si>
  <si>
    <t>Sheets for input</t>
  </si>
  <si>
    <t>Intermediate calculations</t>
  </si>
  <si>
    <t>Att göra:</t>
  </si>
  <si>
    <t>Se om det går att få ut en foderstat för denna från Frankrike https://productions-animales.org/article/view/5396</t>
  </si>
  <si>
    <t>Vattenanvändning per land - OBS att detta är för anv i stallar, inte foderodlingen</t>
  </si>
  <si>
    <t>Energianvändning slakt</t>
  </si>
  <si>
    <t>Figures</t>
  </si>
  <si>
    <t>Production of mineral fertilizer</t>
  </si>
  <si>
    <t xml:space="preserve">Production of capital goods </t>
  </si>
  <si>
    <t xml:space="preserve">Emissions from soil </t>
  </si>
  <si>
    <t>Diesel use field machinary</t>
  </si>
  <si>
    <t>Energy use for feed processing</t>
  </si>
  <si>
    <t>Land use change emissions</t>
  </si>
  <si>
    <t>Feed transports</t>
  </si>
  <si>
    <t>Enteric fermentation</t>
  </si>
  <si>
    <t>Manure management</t>
  </si>
  <si>
    <t>Energy use in stables</t>
  </si>
  <si>
    <t>Energy use for slaughter</t>
  </si>
  <si>
    <t>Tot</t>
  </si>
  <si>
    <t>Order this study:</t>
  </si>
  <si>
    <t>Order Lesschen:</t>
  </si>
  <si>
    <t>Greece</t>
  </si>
  <si>
    <t>Netherlands</t>
  </si>
  <si>
    <t>France</t>
  </si>
  <si>
    <t>Hungary</t>
  </si>
  <si>
    <t>Poland</t>
  </si>
  <si>
    <t>Germany</t>
  </si>
  <si>
    <t>Italy</t>
  </si>
  <si>
    <t>Ireland</t>
  </si>
  <si>
    <t>Spain</t>
  </si>
  <si>
    <t xml:space="preserve">Hungary </t>
  </si>
  <si>
    <t xml:space="preserve">Denmark </t>
  </si>
  <si>
    <t>Denmark</t>
  </si>
  <si>
    <t>Sweden</t>
  </si>
  <si>
    <t>Explanation:</t>
  </si>
  <si>
    <t xml:space="preserve"> - We include slaugthering that gives a high value for Poland</t>
  </si>
  <si>
    <t xml:space="preserve"> - Ireland has only liquid manure and a low MCF</t>
  </si>
  <si>
    <t xml:space="preserve"> - Italy has also only liquid manure but a much higher MCF</t>
  </si>
  <si>
    <t xml:space="preserve"> - France and Greece also has very high MCF</t>
  </si>
  <si>
    <t>Water use</t>
  </si>
  <si>
    <t>Footprints (per kg of bonefree meat)</t>
  </si>
  <si>
    <t>* Adjusted for manure</t>
  </si>
  <si>
    <t>**Values inserted directly here, no formula in this excel sheet</t>
  </si>
  <si>
    <t>Animal products</t>
  </si>
  <si>
    <t>Climate</t>
  </si>
  <si>
    <t>Land</t>
  </si>
  <si>
    <t>Nitrogen*</t>
  </si>
  <si>
    <t>Phosphorus</t>
  </si>
  <si>
    <t>Water</t>
  </si>
  <si>
    <t>Pesticides</t>
  </si>
  <si>
    <t>Biodiversity</t>
  </si>
  <si>
    <t>Ammonia</t>
  </si>
  <si>
    <t>Labour</t>
  </si>
  <si>
    <t>Animal welfare**</t>
  </si>
  <si>
    <t>Use of antibiotics**</t>
  </si>
  <si>
    <t>Code</t>
  </si>
  <si>
    <t>Name</t>
  </si>
  <si>
    <t>Category</t>
  </si>
  <si>
    <t>Country</t>
  </si>
  <si>
    <t>Country code</t>
  </si>
  <si>
    <t>Carbon footprint, kg CO2e/kg</t>
  </si>
  <si>
    <t>Carbon dioxide, kg CO2/kg</t>
  </si>
  <si>
    <t>Methane, fossil, kg CH4/kg</t>
  </si>
  <si>
    <t>Methane, biogenic, kg CH4/kg</t>
  </si>
  <si>
    <t>Nitrous oxide, kg N2O/kg</t>
  </si>
  <si>
    <t>HFCs, kg HFCs/kg</t>
  </si>
  <si>
    <t>Cropland use, m2/kg</t>
  </si>
  <si>
    <t>New N input, kg N/kg</t>
  </si>
  <si>
    <t>New P input, kg P/kg</t>
  </si>
  <si>
    <t>Blue freshwater use, m3/kg</t>
  </si>
  <si>
    <t>Pesticide use,             g a.i./kg</t>
  </si>
  <si>
    <t>Extinction rate, E/MSY/kg</t>
  </si>
  <si>
    <t>Ammonia emission, kg NH3/kg</t>
  </si>
  <si>
    <t>Labour requirements, h/kg</t>
  </si>
  <si>
    <t>Animal welfare index per kg of bonefree meat</t>
  </si>
  <si>
    <t>Antibiotics use indicator/kg</t>
  </si>
  <si>
    <t>21113.02</t>
  </si>
  <si>
    <t>Pig meat</t>
  </si>
  <si>
    <t>Red meat</t>
  </si>
  <si>
    <t>DK</t>
  </si>
  <si>
    <t>FR</t>
  </si>
  <si>
    <t>DE</t>
  </si>
  <si>
    <t>GR</t>
  </si>
  <si>
    <t>HU</t>
  </si>
  <si>
    <t>IE</t>
  </si>
  <si>
    <t>IT</t>
  </si>
  <si>
    <t>NL</t>
  </si>
  <si>
    <t>PL</t>
  </si>
  <si>
    <t>ES</t>
  </si>
  <si>
    <t>SE</t>
  </si>
  <si>
    <t>* Production of mineral fertiliser is adjusted to account for the N supplied by manure.</t>
  </si>
  <si>
    <t>GHG emissions (per kg of bonefree meat)</t>
  </si>
  <si>
    <t>** Adjusted for use of manure instead of mineral fertiliser (lower emission factor for manure)</t>
  </si>
  <si>
    <t>*** Calculated as percentage of direct emissions due to assumption due to data limitations regarding nitrogen leaching and volatilization from soils in different regions.</t>
  </si>
  <si>
    <t>Animals</t>
  </si>
  <si>
    <t>Stables</t>
  </si>
  <si>
    <t>Slaughter</t>
  </si>
  <si>
    <t>Control</t>
  </si>
  <si>
    <t>Sum</t>
  </si>
  <si>
    <t>Inputs</t>
  </si>
  <si>
    <t>Soil emissions</t>
  </si>
  <si>
    <t>Energy use</t>
  </si>
  <si>
    <t>Land use change</t>
  </si>
  <si>
    <t>Transports</t>
  </si>
  <si>
    <t>FoodEx code</t>
  </si>
  <si>
    <t>FoodEx name</t>
  </si>
  <si>
    <t>Food Ex category (L1)</t>
  </si>
  <si>
    <t>Gas</t>
  </si>
  <si>
    <t>GHG</t>
  </si>
  <si>
    <t>Production of mineral fertilizer*</t>
  </si>
  <si>
    <t>Direct emissions**</t>
  </si>
  <si>
    <t>Indirect emissions***</t>
  </si>
  <si>
    <t>Diesel use field mach</t>
  </si>
  <si>
    <t>Energy use in greenhouses</t>
  </si>
  <si>
    <t>Energy use for irrigation</t>
  </si>
  <si>
    <t>Energy use for post-harvest proc</t>
  </si>
  <si>
    <t>LUC emissions</t>
  </si>
  <si>
    <t>Manure management - tot</t>
  </si>
  <si>
    <t>Manure management - direct</t>
  </si>
  <si>
    <t>Manure management - indirect</t>
  </si>
  <si>
    <t>Total feed, excl LUC</t>
  </si>
  <si>
    <t>Feed mix emissions, kg CO2 per kg feed, excl. adjustement manure</t>
  </si>
  <si>
    <t>A01RG</t>
  </si>
  <si>
    <t>Pig muscle</t>
  </si>
  <si>
    <t>Meat and meat products</t>
  </si>
  <si>
    <t>CO2</t>
  </si>
  <si>
    <t>CH4, fossil</t>
  </si>
  <si>
    <t>CH4, biogenic</t>
  </si>
  <si>
    <t>N2O</t>
  </si>
  <si>
    <t>CO2e</t>
  </si>
  <si>
    <t xml:space="preserve">Ireland </t>
  </si>
  <si>
    <t>Netherland</t>
  </si>
  <si>
    <t>Production system</t>
  </si>
  <si>
    <t>Animals in production per year (no)</t>
  </si>
  <si>
    <t>Sows</t>
  </si>
  <si>
    <t>Number of sows (any number can be used here)</t>
  </si>
  <si>
    <t>Recruitment sows</t>
  </si>
  <si>
    <t>Number of sows * recruitment rate</t>
  </si>
  <si>
    <t>Boars</t>
  </si>
  <si>
    <t>Fattening pigs</t>
  </si>
  <si>
    <t>Number of sows * live piglets at weaning - recruitment sows</t>
  </si>
  <si>
    <t>Piglets</t>
  </si>
  <si>
    <t xml:space="preserve">Number of sows * live piglets at weaning </t>
  </si>
  <si>
    <t>Total:</t>
  </si>
  <si>
    <t>Animals slaughtered per year (no)</t>
  </si>
  <si>
    <t>Number of sows * recruitment rate * (1  -  mortality sows)</t>
  </si>
  <si>
    <t>Number of slaughter pig adjusted for mortality and rejection at slaughter</t>
  </si>
  <si>
    <t>Meat produced (kg CW)</t>
  </si>
  <si>
    <t>Number of animals * slaughtering weight</t>
  </si>
  <si>
    <t>Meat produced (kg bonefree)</t>
  </si>
  <si>
    <t>Offal produced (kg edible)</t>
  </si>
  <si>
    <t>Meat and offal produced (kg bonefree)</t>
  </si>
  <si>
    <t>Animals in production per kg of meat&amp;offal produced (no)</t>
  </si>
  <si>
    <t>Sow, incl recruitment</t>
  </si>
  <si>
    <t>Production parameters and emission factors, country specific</t>
  </si>
  <si>
    <t>Production parameters</t>
  </si>
  <si>
    <t xml:space="preserve">Sources: </t>
  </si>
  <si>
    <t>Time of fattening phase, days</t>
  </si>
  <si>
    <t xml:space="preserve">Zira et al. 2023, 6 months, for all except Italy (9 months), Bava et al 2017 </t>
  </si>
  <si>
    <t>Mortality fattening pigs, %</t>
  </si>
  <si>
    <t>Rejection after slaughter, %</t>
  </si>
  <si>
    <t>Röös et al. 2016 - unclear original source! Kolla Ingrids rapport</t>
  </si>
  <si>
    <t>Meat yield, kg bonefree meat per CW</t>
  </si>
  <si>
    <t>Clune et al. 2017</t>
  </si>
  <si>
    <t>Meat yield, kg CW per fattening pig</t>
  </si>
  <si>
    <t xml:space="preserve">Landquist et al. 2020, p. 11, for all except Italy, Bava et al 2017 </t>
  </si>
  <si>
    <t>Meat yield, kg CW per sow</t>
  </si>
  <si>
    <t xml:space="preserve">Landquist et al. 2020, p. 11 </t>
  </si>
  <si>
    <t>Offal yield, kg edible per animal</t>
  </si>
  <si>
    <t>Kolla Ingrids rapport</t>
  </si>
  <si>
    <t>https://www.fao.org/3/I8686EN/i8686en.pdf</t>
  </si>
  <si>
    <t>Recruitment rate, %</t>
  </si>
  <si>
    <t>Landquist et al. 2020, p. 11</t>
  </si>
  <si>
    <t>Liveborn piglets per sow and year</t>
  </si>
  <si>
    <t>Time in piglet system, days</t>
  </si>
  <si>
    <t xml:space="preserve">Zira et al. 2023, 10 weeks </t>
  </si>
  <si>
    <t>Swedish data used for all</t>
  </si>
  <si>
    <t>Mortality piglets, % of born</t>
  </si>
  <si>
    <t>Living piglets at weaning per sow and year</t>
  </si>
  <si>
    <t>Boars per sow, no</t>
  </si>
  <si>
    <t>Calculated based on national statistics as in Moberg et al. 2019</t>
  </si>
  <si>
    <t>Mortality parents, %</t>
  </si>
  <si>
    <t>Share of feed ingredients breeding (%)</t>
  </si>
  <si>
    <t>Barley, average</t>
  </si>
  <si>
    <t>CAPRI-diets from Karlsson et al. for all countries except Sweden, see "Livestock feed.xlsx", tab Pigs breeding</t>
  </si>
  <si>
    <t>Maize (corn)</t>
  </si>
  <si>
    <t>Sweden: Landquist et al. 2020. Bilaga 1, shares calculated in "Livestock feed.xlsx", tab Swedish pig</t>
  </si>
  <si>
    <t>Oats</t>
  </si>
  <si>
    <t>Rye</t>
  </si>
  <si>
    <t>Wheat, average</t>
  </si>
  <si>
    <t>Peas, dry</t>
  </si>
  <si>
    <t>Broad beans and horse beans, dry</t>
  </si>
  <si>
    <t>Rape seed cake</t>
  </si>
  <si>
    <t>Soy cake</t>
  </si>
  <si>
    <t>By-products</t>
  </si>
  <si>
    <t>Other</t>
  </si>
  <si>
    <t>Cereals</t>
  </si>
  <si>
    <t>Share of feed ingredients fattening (%)</t>
  </si>
  <si>
    <t>CAPRI-diets from Karlsson et al. for all countries except Sweden, see "Livestock feed.xlsx", tab Pigs fattening</t>
  </si>
  <si>
    <t>Sweden: Landquist et al. 2020. Bilaga 1, shares calculated in "Livestock feed.xlsx", tab Swedish pig, using same for fattening and breeding</t>
  </si>
  <si>
    <t>Share of feed ingredients, weighted average breeding and fattening (%)</t>
  </si>
  <si>
    <t>Feed requirement</t>
  </si>
  <si>
    <t>Source:</t>
  </si>
  <si>
    <t>Comment:</t>
  </si>
  <si>
    <t>Sows, kg per year</t>
  </si>
  <si>
    <t>Zira et al. 2023, Table 2 for Sweden, adjusted for other countries based on data in the international report (see tab Mortality &amp; FCR)</t>
  </si>
  <si>
    <t>Recruitment sows, kg per animal</t>
  </si>
  <si>
    <t>Boars, kg per year</t>
  </si>
  <si>
    <t>Fattening pigs, kg per animal</t>
  </si>
  <si>
    <t>Piglets, kg per animal</t>
  </si>
  <si>
    <t>Feed conversion, kg per kg bonefree including parents and losses</t>
  </si>
  <si>
    <t>Share fattening pigs</t>
  </si>
  <si>
    <t>Methane enteric fermentation, kg CH4 per animal and year</t>
  </si>
  <si>
    <t xml:space="preserve">Energy use in stables </t>
  </si>
  <si>
    <t>Energy use per fattening pig, kWh per animal</t>
  </si>
  <si>
    <t>Landquist et al. 2020, p.11</t>
  </si>
  <si>
    <t>Energy use per piglet, kWh per animal</t>
  </si>
  <si>
    <t>Total energy use, kWh per kg bonefree meat&amp;offal</t>
  </si>
  <si>
    <t>Share non electricity</t>
  </si>
  <si>
    <t>Approximated from Table 6 in Landquist et al. 2020</t>
  </si>
  <si>
    <t>Share biofuels for non-electricity</t>
  </si>
  <si>
    <t>Energy use at slaughter</t>
  </si>
  <si>
    <t>Electricity, kWh/kg CW</t>
  </si>
  <si>
    <t>Edström et al. 2005, retrieved from Moberg et al. 2019</t>
  </si>
  <si>
    <t>Heating oil, kWh/kg CW</t>
  </si>
  <si>
    <t>Emission factors electricity</t>
  </si>
  <si>
    <t>Electricity, kg CO2e/kWh</t>
  </si>
  <si>
    <t>ecoinvent; market for electricity, low voltage</t>
  </si>
  <si>
    <t>Electricity, kg CO2/kWh</t>
  </si>
  <si>
    <t>Electricity, kg CH4/kWh</t>
  </si>
  <si>
    <t>Electricity, kg N2O/kWh</t>
  </si>
  <si>
    <t>Emission factors changes in SOC and LUC</t>
  </si>
  <si>
    <t>Soil carbon loss, kg CO2e/feed</t>
  </si>
  <si>
    <t>Moberg et al. 2019</t>
  </si>
  <si>
    <t>Emission from the production of mineral fertilisers (kg)</t>
  </si>
  <si>
    <t>Fraction BAT</t>
  </si>
  <si>
    <t>Fraction AN</t>
  </si>
  <si>
    <t>Emission factors N2O from soil</t>
  </si>
  <si>
    <t>Direct emissions from mineral fertiliser</t>
  </si>
  <si>
    <t>Direct emissions from manure</t>
  </si>
  <si>
    <t>Difference in emission factor min. fert - manure</t>
  </si>
  <si>
    <t>Indirect emissions, share of direct emissions</t>
  </si>
  <si>
    <t>Manure replacement factor</t>
  </si>
  <si>
    <t>Based on växttillgängligt kväve</t>
  </si>
  <si>
    <t>Drinking, l per animal, per day</t>
  </si>
  <si>
    <t>Mekonnen and Hoekstra (2012)</t>
  </si>
  <si>
    <t>Service, l per animal, per day</t>
  </si>
  <si>
    <t>Total water use drinking and service, m3 per kg of bonefree meat</t>
  </si>
  <si>
    <t>Labour requirements</t>
  </si>
  <si>
    <t>Labour requirements, h tot in production</t>
  </si>
  <si>
    <t>Animal welfare</t>
  </si>
  <si>
    <t>* approx with Greece</t>
  </si>
  <si>
    <t>Mortality</t>
  </si>
  <si>
    <t>Source: Gård&amp;Djurhälsan, 2022, Table 2</t>
  </si>
  <si>
    <t>Greece*</t>
  </si>
  <si>
    <t>Poland*</t>
  </si>
  <si>
    <t>Born</t>
  </si>
  <si>
    <t>Weaned</t>
  </si>
  <si>
    <t>Mortality weaning</t>
  </si>
  <si>
    <t>Sold</t>
  </si>
  <si>
    <t>Mortality piglet growth phase</t>
  </si>
  <si>
    <t>Slaughtered</t>
  </si>
  <si>
    <t>Mortality slaughtering/fattening pigs</t>
  </si>
  <si>
    <t>* Missing data, used average of other countries</t>
  </si>
  <si>
    <t>FCR</t>
  </si>
  <si>
    <t>Source: Gård&amp;Djurhälsan, 2022, Figur 15</t>
  </si>
  <si>
    <t>Hungary *</t>
  </si>
  <si>
    <t>Spain*</t>
  </si>
  <si>
    <t>MJ OE per kg of growth</t>
  </si>
  <si>
    <t>Adjustment factor from Sweden</t>
  </si>
  <si>
    <t>* Missing data, used 35.5 for these</t>
  </si>
  <si>
    <t>Manure emissions</t>
  </si>
  <si>
    <t>Sources:</t>
  </si>
  <si>
    <t>NIR 2023, table 5.37. Only shares for liquid, solid and other (deep litter) were considered and adjusted to 100%</t>
  </si>
  <si>
    <t>CRF 2023, Table 3B(a)s2 Allocation.  Only shares for liquid, solid and other (deep litter) were considered and adjusted to 100%</t>
  </si>
  <si>
    <t>NIR 2023 Table 5.15</t>
  </si>
  <si>
    <t>NIR 2023, p. 137: ''All swine manure is in pit storage systems'' Assumed to be liquid</t>
  </si>
  <si>
    <t>NIR 2023, table 5.3.2.</t>
  </si>
  <si>
    <t>CRF 2023, Table 3B(a)s2 Allocation, White Swine.  Only shares for liquid, solid and other (deep litter) were considered and adjusted to 100%</t>
  </si>
  <si>
    <t>Landquist et al. 2020, p. 12</t>
  </si>
  <si>
    <t xml:space="preserve"> </t>
  </si>
  <si>
    <t>Share solid</t>
  </si>
  <si>
    <t>Share liquid</t>
  </si>
  <si>
    <t>Share deep litter</t>
  </si>
  <si>
    <t>METHANE EMISSIONS</t>
  </si>
  <si>
    <t>Emission factors methane emissions</t>
  </si>
  <si>
    <t>MCF solid manure</t>
  </si>
  <si>
    <t>CRF 2023, Table 3B(a)s2 MCF Cool</t>
  </si>
  <si>
    <t>CRF 2023, Table 3B(a)s2 MCF.   Only shares for liquid, solid and other (deep litter) were considered and adjusted to 100%. Weighted average between cool / temperate per type of manure</t>
  </si>
  <si>
    <t>CRF 2023, Table 3B(a)s2 MCF.   Only shares for liquid, solid and other (deep litter) were considered and adjusted to 100%.</t>
  </si>
  <si>
    <t>NIR 2023, p. 309 market swine</t>
  </si>
  <si>
    <t>NIR 2023 Table 5.3.20</t>
  </si>
  <si>
    <t>IPCC Table 10.17, referred to in NIR 2023</t>
  </si>
  <si>
    <t>CRF 2023, Table 3B(a)s2 MCF. Weighted average of MCF for cool / temperate</t>
  </si>
  <si>
    <t>CRF 2023, Table 3B(a)s2 MCF.  Only shares for liquid, solid and other (deep litter) were considered and adjusted to 100%</t>
  </si>
  <si>
    <t>NIR 2023 Table 5.3.7</t>
  </si>
  <si>
    <t>CRF 2023, Table 3B(a)s2 MCF.  White Swine Only shares for liquid, solid and other (deep litter) were considered and adjusted to 100%. Weighted average between cool / temperate per type of manure</t>
  </si>
  <si>
    <t>NIR 2022, Table 5.18</t>
  </si>
  <si>
    <t>MCF liquid manure</t>
  </si>
  <si>
    <t>NIR 2023, Table 5.13</t>
  </si>
  <si>
    <t>NIR 2023 Table 5.3.21</t>
  </si>
  <si>
    <t>IPCC Table 10.17, referred to in NIR 2024</t>
  </si>
  <si>
    <t>NIR 2023 Table 5.3.7. Right above table: ''Since 2019 100% of tanks with liquid slurry
need to be covered''</t>
  </si>
  <si>
    <t xml:space="preserve">  </t>
  </si>
  <si>
    <t>MCF deep litter sows and boars</t>
  </si>
  <si>
    <t>NIR 2023, Table 5.14</t>
  </si>
  <si>
    <t>NIR 2023 Table 5.3.22</t>
  </si>
  <si>
    <t>IPCC Table 10.17, referred to in NIR 2025</t>
  </si>
  <si>
    <t>MCF deep litter fattening pigs</t>
  </si>
  <si>
    <t>NIR 2023 Table 5.3.23</t>
  </si>
  <si>
    <t>IPCC Table 10.17, referred to in NIR 2026</t>
  </si>
  <si>
    <t>MCF deep litter piglets</t>
  </si>
  <si>
    <t>NIR 2023 Table 5.3.24</t>
  </si>
  <si>
    <t>IPCC Table 10.17, referred to in NIR 2027</t>
  </si>
  <si>
    <t>Volatile solids (VS), fraction of manure</t>
  </si>
  <si>
    <t>NIR 2023, p. 427</t>
  </si>
  <si>
    <t>approx sweden</t>
  </si>
  <si>
    <t>Bo, m3 CH4/kg VS</t>
  </si>
  <si>
    <t>NIR 2023, Table 5.11</t>
  </si>
  <si>
    <t xml:space="preserve">CRF 2023, Table 3B(a)s1 </t>
  </si>
  <si>
    <t>IPCC 2006 Chp 10, table A-7, A-8</t>
  </si>
  <si>
    <t>IPCC 2019 Table 10.16</t>
  </si>
  <si>
    <t>NIR, 2023. Table 5.20</t>
  </si>
  <si>
    <t>NIR 2023 Table 5.3.6 Breeding ´+ market swine</t>
  </si>
  <si>
    <t>NIR 2023, Tabla 5.3.5. Porcino
blanco</t>
  </si>
  <si>
    <t>Manure production, kg DM VS per day</t>
  </si>
  <si>
    <t>NIR 2023, supporting annex 3D table 3D-14</t>
  </si>
  <si>
    <t>CRF 2023, Table 3B(a)s1 . White swine</t>
  </si>
  <si>
    <t>NIR 2022, Table 5.16</t>
  </si>
  <si>
    <t>Total amount of DM VS produced, kg per year</t>
  </si>
  <si>
    <t>Solid</t>
  </si>
  <si>
    <t>Liquid</t>
  </si>
  <si>
    <t xml:space="preserve">Deep litter </t>
  </si>
  <si>
    <t>Methane emissions, kg CH4 per year</t>
  </si>
  <si>
    <t>Deep litter</t>
  </si>
  <si>
    <t>Total</t>
  </si>
  <si>
    <t>Per kg meat&amp;offal</t>
  </si>
  <si>
    <t>NITROGEN  EMISSIONS</t>
  </si>
  <si>
    <t>N excreted per animal</t>
  </si>
  <si>
    <t>N excreted, kg per head per year</t>
  </si>
  <si>
    <t>NIR 2022, Table 5.17, note that this is for a pig for a whole year, not per animal slaughtered</t>
  </si>
  <si>
    <t>Proportion of TAN</t>
  </si>
  <si>
    <t>EMEP/EEA 2019. Table 3.9</t>
  </si>
  <si>
    <t>N excreted in different systems, kg per year</t>
  </si>
  <si>
    <t>TAN excreted in different systems, kg per year, m_house, TAN</t>
  </si>
  <si>
    <t>Emissions from housing, kg NH3-N per year, E_house</t>
  </si>
  <si>
    <t>Step 6</t>
  </si>
  <si>
    <t xml:space="preserve">Using EF for solid manure </t>
  </si>
  <si>
    <t>EF NH3-N housing solid</t>
  </si>
  <si>
    <t>EMEP/EEA 2019. Table 3.9, value for sows includes piglets, boars approx. with sows</t>
  </si>
  <si>
    <t>EF NH3-N housing slurry</t>
  </si>
  <si>
    <t>Add bedding</t>
  </si>
  <si>
    <t>Step 7</t>
  </si>
  <si>
    <t>Remaining TAN after housing losses, kg per year, m_storage, TAN</t>
  </si>
  <si>
    <t>Modified TAN to account for org N mineralisation (only applies to liquid)</t>
  </si>
  <si>
    <t>Step 9</t>
  </si>
  <si>
    <t>f min</t>
  </si>
  <si>
    <t>EMEP/EEA 2019, just below equ. 32</t>
  </si>
  <si>
    <t>Emission of NH3-N from storage, kg per year, E_storage_ammonia</t>
  </si>
  <si>
    <t>Step 10</t>
  </si>
  <si>
    <t>EF NH3-N storage solid</t>
  </si>
  <si>
    <t>EF NH3-N storage slurry</t>
  </si>
  <si>
    <t>Emission of N2O-N from storage, kg per year, E_storage_N2O</t>
  </si>
  <si>
    <t>Per kg meat/offal</t>
  </si>
  <si>
    <t>EF N2O-N storage solid</t>
  </si>
  <si>
    <t>EMEP/EEA 2019. Table 3.8, Pig manure heaps, solid</t>
  </si>
  <si>
    <t>Här verkar alla använda litet olika och det slår ganska mycket</t>
  </si>
  <si>
    <t>EF N2O-N storage slurry</t>
  </si>
  <si>
    <t>EMEP/EEA 2019. Table 3.8, Cattle slurry with natural crust</t>
  </si>
  <si>
    <t>Emission of NO and N2 from storage, kg per year, E_storage_NO and N2</t>
  </si>
  <si>
    <t>EMEP/EEA 2019. Table 3.10</t>
  </si>
  <si>
    <t>EF N2 storage solid</t>
  </si>
  <si>
    <t>EF N2 storage slurry</t>
  </si>
  <si>
    <t>Remaining TAN after storage losses, kg per year, m_applic, TAN</t>
  </si>
  <si>
    <t>Emission of NH3-N from application, kg per year, E_application_ammonia</t>
  </si>
  <si>
    <t>Step 12</t>
  </si>
  <si>
    <t>Per kg of meat&amp;offal</t>
  </si>
  <si>
    <t>EF NH3-N application solid</t>
  </si>
  <si>
    <t>EF NH3-N application slurry</t>
  </si>
  <si>
    <t>EF N2O volatilization</t>
  </si>
  <si>
    <t>IPCC, 2019</t>
  </si>
  <si>
    <t>Remaining TAN after application losses, kg per year, m_returned, TAN</t>
  </si>
  <si>
    <t>Total losses, kg N per year</t>
  </si>
  <si>
    <t>Fraction of applied that is lost:</t>
  </si>
  <si>
    <t>Remaining total-N after losses, kg per year</t>
  </si>
  <si>
    <t>Total returned to soils:</t>
  </si>
  <si>
    <t>Remaining total-N per kg of meat&amp;offal</t>
  </si>
  <si>
    <t>Excreted N after losses, kg N per kg of meat&amp;offal</t>
  </si>
  <si>
    <t>Ammonia emissions</t>
  </si>
  <si>
    <t>Ammonia emissions, kg NH3 per kg of meat&amp;offal</t>
  </si>
  <si>
    <t>Emissions of CO2 from feed crops (per kg of crop)</t>
  </si>
  <si>
    <t>Columns G-Q copied straight from RPC filerna for all feeds except for rape seed cake and soy bean meal</t>
  </si>
  <si>
    <t>Crops</t>
  </si>
  <si>
    <t>Feed processing</t>
  </si>
  <si>
    <t>Share</t>
  </si>
  <si>
    <t xml:space="preserve">Categories </t>
  </si>
  <si>
    <t>Direct emissions</t>
  </si>
  <si>
    <t>Indirect emissions</t>
  </si>
  <si>
    <t>Transports of feed</t>
  </si>
  <si>
    <t>0115</t>
  </si>
  <si>
    <t>Cereals, incl feed</t>
  </si>
  <si>
    <t>0112</t>
  </si>
  <si>
    <t>0117</t>
  </si>
  <si>
    <t>0116</t>
  </si>
  <si>
    <t>0111</t>
  </si>
  <si>
    <t>01705</t>
  </si>
  <si>
    <t>Pulses, incl feed</t>
  </si>
  <si>
    <t>01702</t>
  </si>
  <si>
    <t>Protein feed</t>
  </si>
  <si>
    <t>Soy bean meal</t>
  </si>
  <si>
    <t>By-product</t>
  </si>
  <si>
    <t>Other, feed</t>
  </si>
  <si>
    <t>Feed, other</t>
  </si>
  <si>
    <t>Total for the feed mix:</t>
  </si>
  <si>
    <t>Emissions of CH4 from feed crops (per kg of crop)</t>
  </si>
  <si>
    <t>Emissions of N2O from feed crops (per kg of crop)</t>
  </si>
  <si>
    <t>Environmental footprints per kg of feed</t>
  </si>
  <si>
    <t>Columns F-L copied straight from RPC filerna</t>
  </si>
  <si>
    <t xml:space="preserve">Shares from Karlsson et al. </t>
  </si>
  <si>
    <t>Nitrogen</t>
  </si>
  <si>
    <t>N application, kg N/kg</t>
  </si>
  <si>
    <t>P application, kg P/kg</t>
  </si>
  <si>
    <t>Off-farm feed</t>
  </si>
  <si>
    <t>Greenhouse gas emissons:</t>
  </si>
  <si>
    <t>Cultivated in country</t>
  </si>
  <si>
    <t>Source LUC:</t>
  </si>
  <si>
    <t>0141</t>
  </si>
  <si>
    <t>Soya beans</t>
  </si>
  <si>
    <t>Brazil</t>
  </si>
  <si>
    <t>Pendrill et al. 2022</t>
  </si>
  <si>
    <t>CH4, bio</t>
  </si>
  <si>
    <t>Argentina</t>
  </si>
  <si>
    <t>0141_m</t>
  </si>
  <si>
    <t>Brazil, Argentina</t>
  </si>
  <si>
    <t>Flysjö et al. 2008, Figur 6.35</t>
  </si>
  <si>
    <t>Flysjö et al. 2008, Figur 6.35, divided by GWP-factor used in report, Tabell 5.1</t>
  </si>
  <si>
    <t>Other footprints:</t>
  </si>
  <si>
    <t>Pulses</t>
  </si>
  <si>
    <t>BR</t>
  </si>
  <si>
    <t>AR</t>
  </si>
  <si>
    <t>Feed</t>
  </si>
  <si>
    <t>Parameters for soy</t>
  </si>
  <si>
    <t>Soy meal in 1 kg soy bean</t>
  </si>
  <si>
    <t>Flysjö et al. 2008, Tabell 4.24</t>
  </si>
  <si>
    <t>Economic allocation factor meal</t>
  </si>
  <si>
    <t>Energy use processing:</t>
  </si>
  <si>
    <t>Electricity</t>
  </si>
  <si>
    <t>MJ per kg soy beans processed</t>
  </si>
  <si>
    <t>Flysjö et al. 2008</t>
  </si>
  <si>
    <t>Biomass</t>
  </si>
  <si>
    <t>Assuming half of soy from Brazil and the other half from Argentina.</t>
  </si>
  <si>
    <t xml:space="preserve">https://www.fediol.eu/data/Where%20does%20soy%20come%20from.pdf </t>
  </si>
  <si>
    <t>Rape seed meal</t>
  </si>
  <si>
    <t>01443</t>
  </si>
  <si>
    <t>Rape or colza seed, average</t>
  </si>
  <si>
    <t>01443_m</t>
  </si>
  <si>
    <t>France, Germany, Poland</t>
  </si>
  <si>
    <t>Parameters for rape seed</t>
  </si>
  <si>
    <t>Rape meal in 1 kg rape seed</t>
  </si>
  <si>
    <t>Using the three largest rapeseed countries and taking an average of these.</t>
  </si>
  <si>
    <t>https://projects.luke.fi/ruokafakta/en/field-crops/rapeseed-production-volumes/#:~:text=The%20largest%20producers%20are%20France,Germany%2C%20with%203.7%20billion%20kilos.</t>
  </si>
  <si>
    <t>Emission and characterisation factors, general</t>
  </si>
  <si>
    <t>Emission factors energy carriers</t>
  </si>
  <si>
    <t>kg CO2 per kWh</t>
  </si>
  <si>
    <t>kg CH4 per kWh</t>
  </si>
  <si>
    <t>kg N2O per kWh</t>
  </si>
  <si>
    <t>Heating oil, kg CO2e/kWh</t>
  </si>
  <si>
    <t>Gode et al 2011</t>
  </si>
  <si>
    <t>Biofuels, kg CO2e/kWh</t>
  </si>
  <si>
    <t>Gode et al 2011, average of bark and chips, pellets and briquettes</t>
  </si>
  <si>
    <t>kg CO2 per kg N</t>
  </si>
  <si>
    <t>kg CH4 per kg N</t>
  </si>
  <si>
    <t>kg N2O per kg N</t>
  </si>
  <si>
    <t>Best Available Technology (BAT)</t>
  </si>
  <si>
    <t>BAT: Yara International (2010)</t>
  </si>
  <si>
    <t>Ammonium nitrate</t>
  </si>
  <si>
    <t>Ammonium nitrate: Ecoinvent Centre (2021). Activity name: “Ammonium nitrate production", Rest of the world, adjusted to N content in fertilizer (33.5%)</t>
  </si>
  <si>
    <t>Characterisations factors</t>
  </si>
  <si>
    <t>Ability to perceive handling (from 0 to 1)</t>
  </si>
  <si>
    <t>Slaughter duration class (0.01-2)</t>
  </si>
  <si>
    <t>Weight no of animal</t>
  </si>
  <si>
    <t>Weight ability to perceive handling</t>
  </si>
  <si>
    <t>Weight mortality</t>
  </si>
  <si>
    <t>Weight diseases</t>
  </si>
  <si>
    <t>Weight space</t>
  </si>
  <si>
    <t>Weight slaughter duration class</t>
  </si>
  <si>
    <t>CH4</t>
  </si>
  <si>
    <t>Source transports:</t>
  </si>
  <si>
    <t>Manure</t>
  </si>
  <si>
    <t>Landquist et al. 2020 has the following emissions from manure:</t>
  </si>
  <si>
    <t>In bonefree weight:</t>
  </si>
  <si>
    <t>This study:</t>
  </si>
  <si>
    <t>Explained fully by use of different MCF factors, Landquist used default IPCC (10% for liquid and 39% for deep litter)</t>
  </si>
  <si>
    <t>N2O direct</t>
  </si>
  <si>
    <t>N2O indirect</t>
  </si>
  <si>
    <t>Zira et al. 2023</t>
  </si>
  <si>
    <t>Borde vara samma låga metan som jag, alltså mkt mer kväverelaterade utsläpp</t>
  </si>
  <si>
    <t>Landquist et al</t>
  </si>
  <si>
    <t>This study</t>
  </si>
  <si>
    <t>Total in bonefree</t>
  </si>
  <si>
    <t>Lower for manure, but higher for feed due to mostly SOC</t>
  </si>
  <si>
    <t>References</t>
  </si>
  <si>
    <t>Bava et al. 2017. Environmental impact of the typical heavy pig production in Italy. https://doi.org/10.1016/j.jclepro.2015.11.029</t>
  </si>
  <si>
    <t xml:space="preserve">Gård&amp;Djurhälsan. 2022. Internationella rapporten 2022. https://www.gardochdjurhalsan.se/wp-content/uploads/2022/12/internationella-rapporten-2022.pdf </t>
  </si>
  <si>
    <t xml:space="preserve">Landquist et al. 2020. Uppdaterad och utökad livscykelanalys av svensk grisproduktion. RISE Rapport 2020:59. https://www.diva-portal.org/smash/get/diva2:1516404/FULLTEXT03.pdf </t>
  </si>
  <si>
    <t>Zira S et al. 2023. Environmental consequences of pig production scenarios using biomass from rotational grass-clover leys as feed. https://doi.org/10.1016/j.eti.2023.103068</t>
  </si>
  <si>
    <t>För Spanien snarare approximera med Sverige?? Men blir hur som helst ingen större skillnad.</t>
  </si>
  <si>
    <t>Behöver uppdateras till landsspecifika värden!</t>
  </si>
  <si>
    <t>Kolla ingrisningålder och justera antalet rekryteringsuggor</t>
  </si>
  <si>
    <t>Stäm av mot CFRs</t>
  </si>
  <si>
    <t>EMEP/EEA equ. 32</t>
  </si>
  <si>
    <t>Step 10 is emissions of NH3-N, N2O-N, NO-N and N2 but here they are split, equ 33 and 34</t>
  </si>
  <si>
    <t>EF NOx-N storage solid</t>
  </si>
  <si>
    <t>EF NOx-N storage slurry</t>
  </si>
  <si>
    <t>Varför är det olika här för suggor och slaktsvin? Rasmus undersöker.</t>
  </si>
  <si>
    <t>Share electricity:</t>
  </si>
  <si>
    <t>Flysjö et al. 2008, Figur 6.36</t>
  </si>
  <si>
    <t>Flysjö et al. 2008, Figur 6.36, divided by GWP-factor used in report, Tabell 5.1</t>
  </si>
  <si>
    <t>MJ per kg rape seed processed</t>
  </si>
  <si>
    <t>Flysjö et al. 2008, p. 45, using share of electricity as for soy because ratio between electricity and gas/biofuels not stated</t>
  </si>
  <si>
    <t>Verification</t>
  </si>
  <si>
    <t>Cultivation</t>
  </si>
  <si>
    <t>Slightly different because in this study we use a mix of three countries, Flysjö only Sweden</t>
  </si>
  <si>
    <t>Processing</t>
  </si>
  <si>
    <t>Slightly higher because of electricity mix from the three countries</t>
  </si>
  <si>
    <t>Transport</t>
  </si>
  <si>
    <t>Slightly different because of different GWP-factors</t>
  </si>
  <si>
    <t>Greenhouse gas emission for bonefree pig meat across countries, to farmgate including slaughter, no waste</t>
  </si>
  <si>
    <t xml:space="preserve"> - Hungary (and Italy, Spain, Greece) has low emissions from feed because of lower N2O-factors (dry climate)</t>
  </si>
  <si>
    <t>Emission factors, electricity Brazil</t>
  </si>
  <si>
    <t>See Chicken.xlsx</t>
  </si>
  <si>
    <t>This is a file that contains the calculation of the footprints for pork.</t>
  </si>
  <si>
    <t>Approx Hungary</t>
  </si>
  <si>
    <t>See tab "Mortality &amp; FCR"</t>
  </si>
  <si>
    <t>**** Slaughtering pigs starts emitting methane when after 4 months</t>
  </si>
  <si>
    <t>Enteric fermentation****</t>
  </si>
  <si>
    <t>CRF 2023, Table 3B(b)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</si>
</sst>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-* #,##0.00_-;\-* #,##0.00_-;_-* &quot;-&quot;??_-;_-@_-"/>
    <numFmt numFmtId="164" formatCode="0.000"/>
    <numFmt numFmtId="165" formatCode="0.0"/>
    <numFmt numFmtId="166" formatCode="0.0E+00"/>
    <numFmt numFmtId="167" formatCode="#,##0.0"/>
    <numFmt numFmtId="168" formatCode="0.000E+00"/>
    <numFmt numFmtId="169" formatCode="0E+00"/>
    <numFmt numFmtId="170" formatCode="0.0000"/>
    <numFmt numFmtId="171" formatCode="0.00000"/>
    <numFmt numFmtId="172" formatCode="#,##0.000"/>
    <numFmt numFmtId="173" formatCode="_-* #,##0.00\ _F_-;\-* #,##0.00\ _F_-;_-* &quot;-&quot;??\ _F_-;_-@_-"/>
    <numFmt numFmtId="174" formatCode="#,##0.0000"/>
  </numFmts>
  <fonts count="8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0"/>
      <name val="Arial"/>
      <family val="2"/>
    </font>
    <font>
      <i/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b/>
      <sz val="11"/>
      <color theme="1" tint="0.499984740745262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i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2"/>
      <name val="Times New Roman"/>
      <family val="1"/>
    </font>
    <font>
      <sz val="9"/>
      <color indexed="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1"/>
      <color indexed="8"/>
      <name val="Calibri"/>
      <family val="2"/>
    </font>
    <font>
      <b/>
      <sz val="10"/>
      <name val="Arial"/>
      <family val="2"/>
    </font>
    <font>
      <u/>
      <sz val="10"/>
      <color indexed="12"/>
      <name val="Times New Roman"/>
      <family val="1"/>
    </font>
    <font>
      <sz val="11"/>
      <color indexed="8"/>
      <name val="Calibri"/>
      <family val="2"/>
      <charset val="186"/>
    </font>
    <font>
      <sz val="11"/>
      <color indexed="9"/>
      <name val="Calibri"/>
      <family val="2"/>
    </font>
    <font>
      <sz val="11"/>
      <color indexed="9"/>
      <name val="Calibri"/>
      <family val="2"/>
      <charset val="186"/>
    </font>
    <font>
      <b/>
      <sz val="11"/>
      <color indexed="63"/>
      <name val="Calibri"/>
      <family val="2"/>
    </font>
    <font>
      <sz val="11"/>
      <color indexed="20"/>
      <name val="Calibri"/>
      <family val="2"/>
      <charset val="186"/>
    </font>
    <font>
      <b/>
      <sz val="11"/>
      <color indexed="52"/>
      <name val="Calibri"/>
      <family val="2"/>
    </font>
    <font>
      <b/>
      <sz val="11"/>
      <color indexed="52"/>
      <name val="Calibri"/>
      <family val="2"/>
      <charset val="186"/>
    </font>
    <font>
      <b/>
      <sz val="11"/>
      <color indexed="9"/>
      <name val="Calibri"/>
      <family val="2"/>
      <charset val="186"/>
    </font>
    <font>
      <sz val="8"/>
      <name val="Helvetica"/>
      <family val="2"/>
    </font>
    <font>
      <sz val="11"/>
      <color indexed="62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i/>
      <sz val="11"/>
      <color indexed="23"/>
      <name val="Calibri"/>
      <family val="2"/>
      <charset val="186"/>
    </font>
    <font>
      <sz val="11"/>
      <color indexed="17"/>
      <name val="Calibri"/>
      <family val="2"/>
      <charset val="186"/>
    </font>
    <font>
      <sz val="11"/>
      <color indexed="17"/>
      <name val="Calibri"/>
      <family val="2"/>
    </font>
    <font>
      <b/>
      <sz val="15"/>
      <color indexed="56"/>
      <name val="Calibri"/>
      <family val="2"/>
      <charset val="186"/>
    </font>
    <font>
      <b/>
      <sz val="13"/>
      <color indexed="56"/>
      <name val="Calibri"/>
      <family val="2"/>
      <charset val="186"/>
    </font>
    <font>
      <b/>
      <sz val="11"/>
      <color indexed="56"/>
      <name val="Calibri"/>
      <family val="2"/>
      <charset val="186"/>
    </font>
    <font>
      <sz val="11"/>
      <color indexed="62"/>
      <name val="Calibri"/>
      <family val="2"/>
      <charset val="186"/>
    </font>
    <font>
      <sz val="11"/>
      <color indexed="52"/>
      <name val="Calibri"/>
      <family val="2"/>
      <charset val="186"/>
    </font>
    <font>
      <sz val="11"/>
      <color indexed="60"/>
      <name val="Calibri"/>
      <family val="2"/>
      <charset val="186"/>
    </font>
    <font>
      <sz val="10"/>
      <name val="Arial"/>
      <family val="2"/>
      <charset val="186"/>
    </font>
    <font>
      <b/>
      <sz val="11"/>
      <color indexed="63"/>
      <name val="Calibri"/>
      <family val="2"/>
      <charset val="186"/>
    </font>
    <font>
      <sz val="11"/>
      <color indexed="20"/>
      <name val="Calibri"/>
      <family val="2"/>
    </font>
    <font>
      <b/>
      <sz val="18"/>
      <color indexed="56"/>
      <name val="Cambria"/>
      <family val="2"/>
      <charset val="186"/>
    </font>
    <font>
      <b/>
      <sz val="11"/>
      <color indexed="8"/>
      <name val="Calibri"/>
      <family val="2"/>
      <charset val="186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  <charset val="186"/>
    </font>
    <font>
      <b/>
      <sz val="11"/>
      <color indexed="9"/>
      <name val="Calibri"/>
      <family val="2"/>
    </font>
    <font>
      <u/>
      <sz val="10"/>
      <color indexed="12"/>
      <name val="Times New Roman"/>
      <family val="1"/>
      <charset val="186"/>
    </font>
    <font>
      <sz val="10"/>
      <name val="Arial"/>
      <family val="2"/>
      <charset val="204"/>
    </font>
    <font>
      <b/>
      <sz val="11"/>
      <color indexed="12"/>
      <name val="Arial"/>
      <family val="2"/>
      <charset val="204"/>
    </font>
    <font>
      <sz val="8"/>
      <name val="Helvetica"/>
      <family val="2"/>
    </font>
    <font>
      <sz val="8"/>
      <name val="Calibri"/>
      <family val="2"/>
      <scheme val="minor"/>
    </font>
    <font>
      <sz val="11"/>
      <color theme="4"/>
      <name val="Calibri"/>
      <family val="2"/>
      <scheme val="minor"/>
    </font>
    <font>
      <sz val="8"/>
      <name val="Helvetica"/>
    </font>
  </fonts>
  <fills count="6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darkTrellis"/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12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double">
        <color theme="9" tint="-0.249977111117893"/>
      </right>
      <top/>
      <bottom style="thin">
        <color indexed="64"/>
      </bottom>
      <diagonal/>
    </border>
    <border>
      <left style="double">
        <color theme="9" tint="-0.249977111117893"/>
      </left>
      <right style="double">
        <color theme="9" tint="-0.249977111117893"/>
      </right>
      <top style="double">
        <color theme="9" tint="-0.249977111117893"/>
      </top>
      <bottom style="double">
        <color theme="9" tint="-0.249977111117893"/>
      </bottom>
      <diagonal/>
    </border>
    <border>
      <left style="double">
        <color theme="9" tint="-0.249977111117893"/>
      </left>
      <right style="double">
        <color theme="9" tint="-0.249977111117893"/>
      </right>
      <top style="double">
        <color theme="9" tint="-0.249977111117893"/>
      </top>
      <bottom style="thin">
        <color indexed="64"/>
      </bottom>
      <diagonal/>
    </border>
    <border>
      <left style="double">
        <color theme="9" tint="-0.249977111117893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5485">
    <xf numFmtId="0" fontId="0" fillId="0" borderId="0"/>
    <xf numFmtId="0" fontId="5" fillId="0" borderId="0"/>
    <xf numFmtId="0" fontId="29" fillId="13" borderId="12" applyNumberFormat="0" applyAlignment="0" applyProtection="0"/>
    <xf numFmtId="0" fontId="33" fillId="0" borderId="0" applyNumberFormat="0" applyFill="0" applyBorder="0" applyAlignment="0" applyProtection="0"/>
    <xf numFmtId="0" fontId="34" fillId="0" borderId="0" applyNumberFormat="0">
      <alignment horizontal="right"/>
    </xf>
    <xf numFmtId="0" fontId="5" fillId="0" borderId="0"/>
    <xf numFmtId="0" fontId="35" fillId="0" borderId="0" applyNumberFormat="0" applyFill="0" applyBorder="0" applyProtection="0">
      <alignment horizontal="left" vertical="center"/>
    </xf>
    <xf numFmtId="0" fontId="36" fillId="33" borderId="0" applyBorder="0">
      <alignment horizontal="right" vertical="center"/>
    </xf>
    <xf numFmtId="0" fontId="36" fillId="33" borderId="15">
      <alignment horizontal="right" vertical="center"/>
    </xf>
    <xf numFmtId="0" fontId="5" fillId="0" borderId="0" applyNumberFormat="0" applyFont="0" applyFill="0" applyBorder="0" applyProtection="0">
      <alignment horizontal="left" vertical="center" indent="2"/>
    </xf>
    <xf numFmtId="0" fontId="36" fillId="33" borderId="0" applyBorder="0">
      <alignment horizontal="right" vertical="center"/>
    </xf>
    <xf numFmtId="0" fontId="36" fillId="0" borderId="0" applyBorder="0">
      <alignment horizontal="right" vertical="center"/>
    </xf>
    <xf numFmtId="0" fontId="5" fillId="34" borderId="0" applyNumberFormat="0" applyFont="0" applyBorder="0" applyAlignment="0" applyProtection="0"/>
    <xf numFmtId="0" fontId="5" fillId="0" borderId="0" applyNumberFormat="0" applyFont="0" applyFill="0" applyBorder="0" applyProtection="0">
      <alignment horizontal="left" vertical="center" indent="5"/>
    </xf>
    <xf numFmtId="0" fontId="36" fillId="0" borderId="18" applyNumberFormat="0" applyFill="0" applyAlignment="0" applyProtection="0"/>
    <xf numFmtId="0" fontId="34" fillId="0" borderId="21">
      <alignment horizontal="left" vertical="top" wrapText="1"/>
    </xf>
    <xf numFmtId="0" fontId="34" fillId="35" borderId="18">
      <alignment horizontal="right" vertical="center"/>
    </xf>
    <xf numFmtId="0" fontId="34" fillId="35" borderId="18">
      <alignment horizontal="right" vertical="center"/>
    </xf>
    <xf numFmtId="0" fontId="36" fillId="0" borderId="23">
      <alignment horizontal="left" vertical="center" wrapText="1" indent="2"/>
    </xf>
    <xf numFmtId="0" fontId="34" fillId="35" borderId="19">
      <alignment horizontal="right" vertical="center"/>
    </xf>
    <xf numFmtId="0" fontId="36" fillId="0" borderId="18">
      <alignment horizontal="right" vertical="center"/>
    </xf>
    <xf numFmtId="0" fontId="5" fillId="0" borderId="22"/>
    <xf numFmtId="0" fontId="38" fillId="33" borderId="18">
      <alignment horizontal="right" vertical="center"/>
    </xf>
    <xf numFmtId="0" fontId="36" fillId="34" borderId="18"/>
    <xf numFmtId="0" fontId="34" fillId="33" borderId="18">
      <alignment horizontal="right" vertical="center"/>
    </xf>
    <xf numFmtId="0" fontId="34" fillId="33" borderId="16">
      <alignment horizontal="right" vertical="center"/>
    </xf>
    <xf numFmtId="0" fontId="36" fillId="0" borderId="16">
      <alignment horizontal="right" vertical="center"/>
    </xf>
    <xf numFmtId="4" fontId="5" fillId="0" borderId="0"/>
    <xf numFmtId="0" fontId="34" fillId="35" borderId="20">
      <alignment horizontal="right" vertical="center"/>
    </xf>
    <xf numFmtId="0" fontId="34" fillId="35" borderId="16">
      <alignment horizontal="right" vertical="center"/>
    </xf>
    <xf numFmtId="0" fontId="34" fillId="35" borderId="17">
      <alignment horizontal="right" vertical="center"/>
    </xf>
    <xf numFmtId="4" fontId="34" fillId="35" borderId="19">
      <alignment horizontal="right" vertical="center"/>
    </xf>
    <xf numFmtId="0" fontId="36" fillId="0" borderId="0"/>
    <xf numFmtId="0" fontId="36" fillId="38" borderId="18">
      <alignment horizontal="right" vertical="center"/>
    </xf>
    <xf numFmtId="0" fontId="36" fillId="38" borderId="0" applyBorder="0">
      <alignment horizontal="right" vertical="center"/>
    </xf>
    <xf numFmtId="0" fontId="5" fillId="0" borderId="0"/>
    <xf numFmtId="0" fontId="5" fillId="37" borderId="18"/>
    <xf numFmtId="4" fontId="5" fillId="0" borderId="0"/>
    <xf numFmtId="4" fontId="36" fillId="0" borderId="18" applyFill="0" applyBorder="0" applyProtection="0">
      <alignment horizontal="right" vertical="center"/>
    </xf>
    <xf numFmtId="0" fontId="41" fillId="0" borderId="0" applyNumberFormat="0" applyFill="0" applyBorder="0" applyAlignment="0" applyProtection="0"/>
    <xf numFmtId="4" fontId="5" fillId="0" borderId="0"/>
    <xf numFmtId="4" fontId="5" fillId="0" borderId="0"/>
    <xf numFmtId="0" fontId="28" fillId="0" borderId="0"/>
    <xf numFmtId="0" fontId="36" fillId="34" borderId="18"/>
    <xf numFmtId="0" fontId="34" fillId="35" borderId="19">
      <alignment horizontal="right" vertical="center"/>
    </xf>
    <xf numFmtId="0" fontId="30" fillId="14" borderId="13" applyNumberFormat="0" applyAlignment="0" applyProtection="0"/>
    <xf numFmtId="0" fontId="31" fillId="14" borderId="12" applyNumberFormat="0" applyAlignment="0" applyProtection="0"/>
    <xf numFmtId="0" fontId="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2" fillId="0" borderId="14" applyNumberFormat="0" applyFill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13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13" fillId="20" borderId="0" applyNumberFormat="0" applyBorder="0" applyAlignment="0" applyProtection="0"/>
    <xf numFmtId="0" fontId="28" fillId="21" borderId="0" applyNumberFormat="0" applyBorder="0" applyAlignment="0" applyProtection="0"/>
    <xf numFmtId="0" fontId="28" fillId="22" borderId="0" applyNumberFormat="0" applyBorder="0" applyAlignment="0" applyProtection="0"/>
    <xf numFmtId="0" fontId="13" fillId="23" borderId="0" applyNumberFormat="0" applyBorder="0" applyAlignment="0" applyProtection="0"/>
    <xf numFmtId="0" fontId="28" fillId="24" borderId="0" applyNumberFormat="0" applyBorder="0" applyAlignment="0" applyProtection="0"/>
    <xf numFmtId="0" fontId="28" fillId="25" borderId="0" applyNumberFormat="0" applyBorder="0" applyAlignment="0" applyProtection="0"/>
    <xf numFmtId="0" fontId="13" fillId="26" borderId="0" applyNumberFormat="0" applyBorder="0" applyAlignment="0" applyProtection="0"/>
    <xf numFmtId="0" fontId="28" fillId="27" borderId="0" applyNumberFormat="0" applyBorder="0" applyAlignment="0" applyProtection="0"/>
    <xf numFmtId="0" fontId="28" fillId="28" borderId="0" applyNumberFormat="0" applyBorder="0" applyAlignment="0" applyProtection="0"/>
    <xf numFmtId="0" fontId="13" fillId="29" borderId="0" applyNumberFormat="0" applyBorder="0" applyAlignment="0" applyProtection="0"/>
    <xf numFmtId="0" fontId="28" fillId="30" borderId="0" applyNumberFormat="0" applyBorder="0" applyAlignment="0" applyProtection="0"/>
    <xf numFmtId="0" fontId="28" fillId="31" borderId="0" applyNumberFormat="0" applyBorder="0" applyAlignment="0" applyProtection="0"/>
    <xf numFmtId="0" fontId="13" fillId="32" borderId="0" applyNumberFormat="0" applyBorder="0" applyAlignment="0" applyProtection="0"/>
    <xf numFmtId="0" fontId="36" fillId="0" borderId="18" applyNumberFormat="0" applyFill="0" applyAlignment="0" applyProtection="0"/>
    <xf numFmtId="0" fontId="34" fillId="35" borderId="18">
      <alignment horizontal="right" vertical="center"/>
    </xf>
    <xf numFmtId="0" fontId="34" fillId="35" borderId="18">
      <alignment horizontal="right" vertical="center"/>
    </xf>
    <xf numFmtId="0" fontId="36" fillId="0" borderId="23">
      <alignment horizontal="left" vertical="center" wrapText="1" indent="2"/>
    </xf>
    <xf numFmtId="0" fontId="34" fillId="35" borderId="19">
      <alignment horizontal="right" vertical="center"/>
    </xf>
    <xf numFmtId="0" fontId="36" fillId="0" borderId="18">
      <alignment horizontal="right" vertical="center"/>
    </xf>
    <xf numFmtId="0" fontId="38" fillId="33" borderId="18">
      <alignment horizontal="right" vertical="center"/>
    </xf>
    <xf numFmtId="0" fontId="36" fillId="34" borderId="18"/>
    <xf numFmtId="0" fontId="34" fillId="33" borderId="18">
      <alignment horizontal="right" vertical="center"/>
    </xf>
    <xf numFmtId="0" fontId="34" fillId="35" borderId="17">
      <alignment horizontal="right" vertical="center"/>
    </xf>
    <xf numFmtId="0" fontId="40" fillId="0" borderId="0" applyNumberFormat="0" applyFill="0" applyBorder="0" applyAlignment="0" applyProtection="0"/>
    <xf numFmtId="0" fontId="42" fillId="39" borderId="0" applyNumberFormat="0" applyBorder="0" applyAlignment="0" applyProtection="0"/>
    <xf numFmtId="0" fontId="42" fillId="40" borderId="0" applyNumberFormat="0" applyBorder="0" applyAlignment="0" applyProtection="0"/>
    <xf numFmtId="0" fontId="42" fillId="41" borderId="0" applyNumberFormat="0" applyBorder="0" applyAlignment="0" applyProtection="0"/>
    <xf numFmtId="0" fontId="42" fillId="42" borderId="0" applyNumberFormat="0" applyBorder="0" applyAlignment="0" applyProtection="0"/>
    <xf numFmtId="0" fontId="42" fillId="43" borderId="0" applyNumberFormat="0" applyBorder="0" applyAlignment="0" applyProtection="0"/>
    <xf numFmtId="0" fontId="42" fillId="44" borderId="0" applyNumberFormat="0" applyBorder="0" applyAlignment="0" applyProtection="0"/>
    <xf numFmtId="0" fontId="5" fillId="0" borderId="0" applyNumberFormat="0" applyFont="0" applyFill="0" applyBorder="0" applyProtection="0">
      <alignment horizontal="left" vertical="center" indent="2"/>
    </xf>
    <xf numFmtId="0" fontId="5" fillId="0" borderId="0" applyNumberFormat="0" applyFont="0" applyFill="0" applyBorder="0" applyProtection="0">
      <alignment horizontal="left" vertical="center" indent="2"/>
    </xf>
    <xf numFmtId="49" fontId="36" fillId="0" borderId="18" applyNumberFormat="0" applyFont="0" applyFill="0" applyBorder="0" applyProtection="0">
      <alignment horizontal="left" vertical="center" indent="2"/>
    </xf>
    <xf numFmtId="0" fontId="42" fillId="45" borderId="0" applyNumberFormat="0" applyBorder="0" applyAlignment="0" applyProtection="0"/>
    <xf numFmtId="0" fontId="42" fillId="46" borderId="0" applyNumberFormat="0" applyBorder="0" applyAlignment="0" applyProtection="0"/>
    <xf numFmtId="0" fontId="42" fillId="47" borderId="0" applyNumberFormat="0" applyBorder="0" applyAlignment="0" applyProtection="0"/>
    <xf numFmtId="0" fontId="42" fillId="42" borderId="0" applyNumberFormat="0" applyBorder="0" applyAlignment="0" applyProtection="0"/>
    <xf numFmtId="0" fontId="42" fillId="45" borderId="0" applyNumberFormat="0" applyBorder="0" applyAlignment="0" applyProtection="0"/>
    <xf numFmtId="0" fontId="42" fillId="48" borderId="0" applyNumberFormat="0" applyBorder="0" applyAlignment="0" applyProtection="0"/>
    <xf numFmtId="0" fontId="5" fillId="0" borderId="0" applyNumberFormat="0" applyFont="0" applyFill="0" applyBorder="0" applyProtection="0">
      <alignment horizontal="left" vertical="center" indent="5"/>
    </xf>
    <xf numFmtId="0" fontId="5" fillId="0" borderId="0" applyNumberFormat="0" applyFont="0" applyFill="0" applyBorder="0" applyProtection="0">
      <alignment horizontal="left" vertical="center" indent="5"/>
    </xf>
    <xf numFmtId="49" fontId="36" fillId="0" borderId="17" applyNumberFormat="0" applyFont="0" applyFill="0" applyBorder="0" applyProtection="0">
      <alignment horizontal="left" vertical="center" indent="5"/>
    </xf>
    <xf numFmtId="0" fontId="44" fillId="49" borderId="0" applyNumberFormat="0" applyBorder="0" applyAlignment="0" applyProtection="0"/>
    <xf numFmtId="0" fontId="44" fillId="46" borderId="0" applyNumberFormat="0" applyBorder="0" applyAlignment="0" applyProtection="0"/>
    <xf numFmtId="0" fontId="44" fillId="47" borderId="0" applyNumberFormat="0" applyBorder="0" applyAlignment="0" applyProtection="0"/>
    <xf numFmtId="0" fontId="44" fillId="50" borderId="0" applyNumberFormat="0" applyBorder="0" applyAlignment="0" applyProtection="0"/>
    <xf numFmtId="0" fontId="44" fillId="51" borderId="0" applyNumberFormat="0" applyBorder="0" applyAlignment="0" applyProtection="0"/>
    <xf numFmtId="0" fontId="44" fillId="52" borderId="0" applyNumberFormat="0" applyBorder="0" applyAlignment="0" applyProtection="0"/>
    <xf numFmtId="0" fontId="44" fillId="53" borderId="0" applyNumberFormat="0" applyBorder="0" applyAlignment="0" applyProtection="0"/>
    <xf numFmtId="0" fontId="44" fillId="54" borderId="0" applyNumberFormat="0" applyBorder="0" applyAlignment="0" applyProtection="0"/>
    <xf numFmtId="0" fontId="44" fillId="55" borderId="0" applyNumberFormat="0" applyBorder="0" applyAlignment="0" applyProtection="0"/>
    <xf numFmtId="0" fontId="44" fillId="50" borderId="0" applyNumberFormat="0" applyBorder="0" applyAlignment="0" applyProtection="0"/>
    <xf numFmtId="0" fontId="44" fillId="51" borderId="0" applyNumberFormat="0" applyBorder="0" applyAlignment="0" applyProtection="0"/>
    <xf numFmtId="0" fontId="44" fillId="56" borderId="0" applyNumberFormat="0" applyBorder="0" applyAlignment="0" applyProtection="0"/>
    <xf numFmtId="0" fontId="35" fillId="38" borderId="0" applyBorder="0" applyAlignment="0"/>
    <xf numFmtId="4" fontId="35" fillId="38" borderId="0" applyBorder="0" applyAlignment="0"/>
    <xf numFmtId="4" fontId="36" fillId="38" borderId="0" applyBorder="0">
      <alignment horizontal="right" vertical="center"/>
    </xf>
    <xf numFmtId="4" fontId="36" fillId="33" borderId="0" applyBorder="0">
      <alignment horizontal="right" vertical="center"/>
    </xf>
    <xf numFmtId="4" fontId="36" fillId="33" borderId="0" applyBorder="0">
      <alignment horizontal="right" vertical="center"/>
    </xf>
    <xf numFmtId="4" fontId="34" fillId="33" borderId="18">
      <alignment horizontal="right" vertical="center"/>
    </xf>
    <xf numFmtId="4" fontId="38" fillId="33" borderId="18">
      <alignment horizontal="right" vertical="center"/>
    </xf>
    <xf numFmtId="4" fontId="34" fillId="35" borderId="18">
      <alignment horizontal="right" vertical="center"/>
    </xf>
    <xf numFmtId="4" fontId="34" fillId="35" borderId="18">
      <alignment horizontal="right" vertical="center"/>
    </xf>
    <xf numFmtId="4" fontId="34" fillId="35" borderId="17">
      <alignment horizontal="right" vertical="center"/>
    </xf>
    <xf numFmtId="4" fontId="34" fillId="35" borderId="19">
      <alignment horizontal="right" vertical="center"/>
    </xf>
    <xf numFmtId="0" fontId="43" fillId="53" borderId="0" applyNumberFormat="0" applyBorder="0" applyAlignment="0" applyProtection="0"/>
    <xf numFmtId="0" fontId="43" fillId="54" borderId="0" applyNumberFormat="0" applyBorder="0" applyAlignment="0" applyProtection="0"/>
    <xf numFmtId="0" fontId="43" fillId="55" borderId="0" applyNumberFormat="0" applyBorder="0" applyAlignment="0" applyProtection="0"/>
    <xf numFmtId="0" fontId="43" fillId="50" borderId="0" applyNumberFormat="0" applyBorder="0" applyAlignment="0" applyProtection="0"/>
    <xf numFmtId="0" fontId="43" fillId="51" borderId="0" applyNumberFormat="0" applyBorder="0" applyAlignment="0" applyProtection="0"/>
    <xf numFmtId="0" fontId="43" fillId="56" borderId="0" applyNumberFormat="0" applyBorder="0" applyAlignment="0" applyProtection="0"/>
    <xf numFmtId="0" fontId="46" fillId="40" borderId="0" applyNumberFormat="0" applyBorder="0" applyAlignment="0" applyProtection="0"/>
    <xf numFmtId="4" fontId="35" fillId="0" borderId="11" applyFill="0" applyBorder="0" applyProtection="0">
      <alignment horizontal="right" vertical="center"/>
    </xf>
    <xf numFmtId="0" fontId="48" fillId="57" borderId="25" applyNumberFormat="0" applyAlignment="0" applyProtection="0"/>
    <xf numFmtId="0" fontId="49" fillId="58" borderId="26" applyNumberFormat="0" applyAlignment="0" applyProtection="0"/>
    <xf numFmtId="43" fontId="39" fillId="0" borderId="0" applyFont="0" applyFill="0" applyBorder="0" applyAlignment="0" applyProtection="0"/>
    <xf numFmtId="173" fontId="50" fillId="0" borderId="0" applyFont="0" applyFill="0" applyBorder="0" applyAlignment="0" applyProtection="0"/>
    <xf numFmtId="43" fontId="39" fillId="0" borderId="0" applyFont="0" applyFill="0" applyBorder="0" applyAlignment="0" applyProtection="0"/>
    <xf numFmtId="0" fontId="36" fillId="35" borderId="23">
      <alignment horizontal="left" vertical="center" wrapText="1" indent="2"/>
    </xf>
    <xf numFmtId="0" fontId="36" fillId="33" borderId="17">
      <alignment horizontal="left" vertical="center"/>
    </xf>
    <xf numFmtId="0" fontId="54" fillId="0" borderId="0" applyNumberFormat="0" applyFill="0" applyBorder="0" applyAlignment="0" applyProtection="0"/>
    <xf numFmtId="0" fontId="55" fillId="41" borderId="0" applyNumberFormat="0" applyBorder="0" applyAlignment="0" applyProtection="0"/>
    <xf numFmtId="0" fontId="56" fillId="41" borderId="0" applyNumberFormat="0" applyBorder="0" applyAlignment="0" applyProtection="0"/>
    <xf numFmtId="0" fontId="57" fillId="0" borderId="28" applyNumberFormat="0" applyFill="0" applyAlignment="0" applyProtection="0"/>
    <xf numFmtId="0" fontId="58" fillId="0" borderId="29" applyNumberFormat="0" applyFill="0" applyAlignment="0" applyProtection="0"/>
    <xf numFmtId="0" fontId="59" fillId="0" borderId="30" applyNumberFormat="0" applyFill="0" applyAlignment="0" applyProtection="0"/>
    <xf numFmtId="0" fontId="59" fillId="0" borderId="0" applyNumberFormat="0" applyFill="0" applyBorder="0" applyAlignment="0" applyProtection="0"/>
    <xf numFmtId="0" fontId="60" fillId="44" borderId="25" applyNumberFormat="0" applyAlignment="0" applyProtection="0"/>
    <xf numFmtId="4" fontId="36" fillId="0" borderId="0" applyBorder="0">
      <alignment horizontal="right" vertical="center"/>
    </xf>
    <xf numFmtId="0" fontId="36" fillId="0" borderId="2">
      <alignment horizontal="right" vertical="center"/>
    </xf>
    <xf numFmtId="4" fontId="36" fillId="0" borderId="18">
      <alignment horizontal="right" vertical="center"/>
    </xf>
    <xf numFmtId="1" fontId="37" fillId="33" borderId="0" applyBorder="0">
      <alignment horizontal="right" vertical="center"/>
    </xf>
    <xf numFmtId="0" fontId="61" fillId="0" borderId="31" applyNumberFormat="0" applyFill="0" applyAlignment="0" applyProtection="0"/>
    <xf numFmtId="0" fontId="62" fillId="59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0" fillId="0" borderId="0"/>
    <xf numFmtId="4" fontId="6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8" fillId="0" borderId="0"/>
    <xf numFmtId="4" fontId="36" fillId="0" borderId="0" applyFill="0" applyBorder="0" applyProtection="0">
      <alignment horizontal="right" vertical="center"/>
    </xf>
    <xf numFmtId="4" fontId="36" fillId="0" borderId="0" applyFill="0" applyBorder="0" applyProtection="0">
      <alignment horizontal="right" vertical="center"/>
    </xf>
    <xf numFmtId="4" fontId="36" fillId="0" borderId="18" applyFill="0" applyBorder="0" applyProtection="0">
      <alignment horizontal="right" vertical="center"/>
    </xf>
    <xf numFmtId="0" fontId="35" fillId="0" borderId="0" applyNumberFormat="0" applyFill="0" applyBorder="0" applyProtection="0">
      <alignment horizontal="left" vertical="center"/>
    </xf>
    <xf numFmtId="49" fontId="35" fillId="0" borderId="18" applyNumberFormat="0" applyFill="0" applyBorder="0" applyProtection="0">
      <alignment horizontal="left" vertical="center"/>
    </xf>
    <xf numFmtId="0" fontId="5" fillId="34" borderId="0" applyNumberFormat="0" applyFont="0" applyBorder="0" applyAlignment="0" applyProtection="0"/>
    <xf numFmtId="4" fontId="5" fillId="34" borderId="0" applyNumberFormat="0" applyFont="0" applyBorder="0" applyAlignment="0" applyProtection="0"/>
    <xf numFmtId="4" fontId="5" fillId="34" borderId="0" applyNumberFormat="0" applyFont="0" applyBorder="0" applyAlignment="0" applyProtection="0"/>
    <xf numFmtId="0" fontId="5" fillId="34" borderId="0" applyNumberFormat="0" applyFont="0" applyBorder="0" applyAlignment="0" applyProtection="0"/>
    <xf numFmtId="0" fontId="5" fillId="34" borderId="0" applyNumberFormat="0" applyFont="0" applyBorder="0" applyAlignment="0" applyProtection="0"/>
    <xf numFmtId="0" fontId="50" fillId="36" borderId="0" applyNumberFormat="0" applyFont="0" applyBorder="0" applyAlignment="0" applyProtection="0"/>
    <xf numFmtId="0" fontId="42" fillId="60" borderId="32" applyNumberFormat="0" applyFont="0" applyAlignment="0" applyProtection="0"/>
    <xf numFmtId="0" fontId="5" fillId="60" borderId="32" applyNumberFormat="0" applyFont="0" applyAlignment="0" applyProtection="0"/>
    <xf numFmtId="0" fontId="64" fillId="57" borderId="24" applyNumberFormat="0" applyAlignment="0" applyProtection="0"/>
    <xf numFmtId="174" fontId="36" fillId="61" borderId="18" applyNumberFormat="0" applyFont="0" applyBorder="0" applyAlignment="0" applyProtection="0">
      <alignment horizontal="right" vertical="center"/>
    </xf>
    <xf numFmtId="9" fontId="50" fillId="0" borderId="0" applyFont="0" applyFill="0" applyBorder="0" applyAlignment="0" applyProtection="0"/>
    <xf numFmtId="0" fontId="65" fillId="40" borderId="0" applyNumberFormat="0" applyBorder="0" applyAlignment="0" applyProtection="0"/>
    <xf numFmtId="4" fontId="36" fillId="34" borderId="18"/>
    <xf numFmtId="0" fontId="36" fillId="34" borderId="16"/>
    <xf numFmtId="0" fontId="66" fillId="0" borderId="0" applyNumberFormat="0" applyFill="0" applyBorder="0" applyAlignment="0" applyProtection="0"/>
    <xf numFmtId="0" fontId="67" fillId="0" borderId="27" applyNumberFormat="0" applyFill="0" applyAlignment="0" applyProtection="0"/>
    <xf numFmtId="0" fontId="68" fillId="0" borderId="0" applyNumberFormat="0" applyFill="0" applyBorder="0" applyAlignment="0" applyProtection="0"/>
    <xf numFmtId="0" fontId="69" fillId="0" borderId="28" applyNumberFormat="0" applyFill="0" applyAlignment="0" applyProtection="0"/>
    <xf numFmtId="0" fontId="70" fillId="0" borderId="29" applyNumberFormat="0" applyFill="0" applyAlignment="0" applyProtection="0"/>
    <xf numFmtId="0" fontId="71" fillId="0" borderId="30" applyNumberFormat="0" applyFill="0" applyAlignment="0" applyProtection="0"/>
    <xf numFmtId="0" fontId="71" fillId="0" borderId="0" applyNumberFormat="0" applyFill="0" applyBorder="0" applyAlignment="0" applyProtection="0"/>
    <xf numFmtId="0" fontId="72" fillId="0" borderId="31" applyNumberFormat="0" applyFill="0" applyAlignment="0" applyProtection="0"/>
    <xf numFmtId="0" fontId="74" fillId="0" borderId="0" applyNumberFormat="0" applyFill="0" applyBorder="0" applyAlignment="0" applyProtection="0"/>
    <xf numFmtId="0" fontId="75" fillId="58" borderId="26" applyNumberFormat="0" applyAlignment="0" applyProtection="0"/>
    <xf numFmtId="0" fontId="41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5" fillId="0" borderId="0" applyNumberFormat="0" applyFont="0" applyFill="0" applyBorder="0" applyProtection="0">
      <alignment horizontal="left" vertical="center"/>
    </xf>
    <xf numFmtId="0" fontId="36" fillId="33" borderId="0" applyBorder="0">
      <alignment horizontal="right" vertical="center"/>
    </xf>
    <xf numFmtId="0" fontId="36" fillId="33" borderId="0" applyBorder="0">
      <alignment horizontal="right" vertical="center"/>
    </xf>
    <xf numFmtId="0" fontId="36" fillId="0" borderId="0" applyBorder="0">
      <alignment horizontal="right" vertical="center"/>
    </xf>
    <xf numFmtId="4" fontId="5" fillId="0" borderId="0"/>
    <xf numFmtId="0" fontId="77" fillId="0" borderId="0"/>
    <xf numFmtId="0" fontId="5" fillId="34" borderId="0" applyNumberFormat="0" applyFont="0" applyBorder="0" applyAlignment="0" applyProtection="0"/>
    <xf numFmtId="0" fontId="41" fillId="0" borderId="0" applyNumberFormat="0" applyFill="0" applyBorder="0" applyAlignment="0" applyProtection="0"/>
    <xf numFmtId="0" fontId="42" fillId="39" borderId="0" applyNumberFormat="0" applyBorder="0" applyAlignment="0" applyProtection="0"/>
    <xf numFmtId="0" fontId="42" fillId="40" borderId="0" applyNumberFormat="0" applyBorder="0" applyAlignment="0" applyProtection="0"/>
    <xf numFmtId="0" fontId="42" fillId="41" borderId="0" applyNumberFormat="0" applyBorder="0" applyAlignment="0" applyProtection="0"/>
    <xf numFmtId="0" fontId="42" fillId="42" borderId="0" applyNumberFormat="0" applyBorder="0" applyAlignment="0" applyProtection="0"/>
    <xf numFmtId="0" fontId="42" fillId="43" borderId="0" applyNumberFormat="0" applyBorder="0" applyAlignment="0" applyProtection="0"/>
    <xf numFmtId="0" fontId="42" fillId="44" borderId="0" applyNumberFormat="0" applyBorder="0" applyAlignment="0" applyProtection="0"/>
    <xf numFmtId="0" fontId="42" fillId="45" borderId="0" applyNumberFormat="0" applyBorder="0" applyAlignment="0" applyProtection="0"/>
    <xf numFmtId="0" fontId="42" fillId="46" borderId="0" applyNumberFormat="0" applyBorder="0" applyAlignment="0" applyProtection="0"/>
    <xf numFmtId="0" fontId="42" fillId="47" borderId="0" applyNumberFormat="0" applyBorder="0" applyAlignment="0" applyProtection="0"/>
    <xf numFmtId="0" fontId="42" fillId="42" borderId="0" applyNumberFormat="0" applyBorder="0" applyAlignment="0" applyProtection="0"/>
    <xf numFmtId="0" fontId="42" fillId="45" borderId="0" applyNumberFormat="0" applyBorder="0" applyAlignment="0" applyProtection="0"/>
    <xf numFmtId="0" fontId="42" fillId="48" borderId="0" applyNumberFormat="0" applyBorder="0" applyAlignment="0" applyProtection="0"/>
    <xf numFmtId="0" fontId="44" fillId="49" borderId="0" applyNumberFormat="0" applyBorder="0" applyAlignment="0" applyProtection="0"/>
    <xf numFmtId="0" fontId="44" fillId="46" borderId="0" applyNumberFormat="0" applyBorder="0" applyAlignment="0" applyProtection="0"/>
    <xf numFmtId="0" fontId="44" fillId="47" borderId="0" applyNumberFormat="0" applyBorder="0" applyAlignment="0" applyProtection="0"/>
    <xf numFmtId="0" fontId="44" fillId="50" borderId="0" applyNumberFormat="0" applyBorder="0" applyAlignment="0" applyProtection="0"/>
    <xf numFmtId="0" fontId="44" fillId="51" borderId="0" applyNumberFormat="0" applyBorder="0" applyAlignment="0" applyProtection="0"/>
    <xf numFmtId="0" fontId="44" fillId="52" borderId="0" applyNumberFormat="0" applyBorder="0" applyAlignment="0" applyProtection="0"/>
    <xf numFmtId="0" fontId="44" fillId="53" borderId="0" applyNumberFormat="0" applyBorder="0" applyAlignment="0" applyProtection="0"/>
    <xf numFmtId="0" fontId="44" fillId="54" borderId="0" applyNumberFormat="0" applyBorder="0" applyAlignment="0" applyProtection="0"/>
    <xf numFmtId="0" fontId="44" fillId="55" borderId="0" applyNumberFormat="0" applyBorder="0" applyAlignment="0" applyProtection="0"/>
    <xf numFmtId="0" fontId="44" fillId="50" borderId="0" applyNumberFormat="0" applyBorder="0" applyAlignment="0" applyProtection="0"/>
    <xf numFmtId="0" fontId="44" fillId="51" borderId="0" applyNumberFormat="0" applyBorder="0" applyAlignment="0" applyProtection="0"/>
    <xf numFmtId="0" fontId="44" fillId="56" borderId="0" applyNumberFormat="0" applyBorder="0" applyAlignment="0" applyProtection="0"/>
    <xf numFmtId="0" fontId="46" fillId="40" borderId="0" applyNumberFormat="0" applyBorder="0" applyAlignment="0" applyProtection="0"/>
    <xf numFmtId="0" fontId="48" fillId="57" borderId="25" applyNumberFormat="0" applyAlignment="0" applyProtection="0"/>
    <xf numFmtId="0" fontId="49" fillId="58" borderId="26" applyNumberFormat="0" applyAlignment="0" applyProtection="0"/>
    <xf numFmtId="0" fontId="54" fillId="0" borderId="0" applyNumberFormat="0" applyFill="0" applyBorder="0" applyAlignment="0" applyProtection="0"/>
    <xf numFmtId="0" fontId="55" fillId="41" borderId="0" applyNumberFormat="0" applyBorder="0" applyAlignment="0" applyProtection="0"/>
    <xf numFmtId="0" fontId="57" fillId="0" borderId="28" applyNumberFormat="0" applyFill="0" applyAlignment="0" applyProtection="0"/>
    <xf numFmtId="0" fontId="58" fillId="0" borderId="29" applyNumberFormat="0" applyFill="0" applyAlignment="0" applyProtection="0"/>
    <xf numFmtId="0" fontId="59" fillId="0" borderId="30" applyNumberFormat="0" applyFill="0" applyAlignment="0" applyProtection="0"/>
    <xf numFmtId="0" fontId="59" fillId="0" borderId="0" applyNumberFormat="0" applyFill="0" applyBorder="0" applyAlignment="0" applyProtection="0"/>
    <xf numFmtId="0" fontId="60" fillId="44" borderId="25" applyNumberFormat="0" applyAlignment="0" applyProtection="0"/>
    <xf numFmtId="0" fontId="61" fillId="0" borderId="31" applyNumberFormat="0" applyFill="0" applyAlignment="0" applyProtection="0"/>
    <xf numFmtId="0" fontId="62" fillId="59" borderId="0" applyNumberFormat="0" applyBorder="0" applyAlignment="0" applyProtection="0"/>
    <xf numFmtId="0" fontId="5" fillId="0" borderId="0"/>
    <xf numFmtId="0" fontId="42" fillId="60" borderId="32" applyNumberFormat="0" applyFont="0" applyAlignment="0" applyProtection="0"/>
    <xf numFmtId="0" fontId="64" fillId="57" borderId="24" applyNumberFormat="0" applyAlignment="0" applyProtection="0"/>
    <xf numFmtId="0" fontId="66" fillId="0" borderId="0" applyNumberFormat="0" applyFill="0" applyBorder="0" applyAlignment="0" applyProtection="0"/>
    <xf numFmtId="0" fontId="67" fillId="0" borderId="27" applyNumberFormat="0" applyFill="0" applyAlignment="0" applyProtection="0"/>
    <xf numFmtId="0" fontId="74" fillId="0" borderId="0" applyNumberFormat="0" applyFill="0" applyBorder="0" applyAlignment="0" applyProtection="0"/>
    <xf numFmtId="0" fontId="78" fillId="0" borderId="0">
      <alignment horizontal="left" vertical="center" indent="1"/>
    </xf>
    <xf numFmtId="0" fontId="42" fillId="39" borderId="0" applyNumberFormat="0" applyBorder="0" applyAlignment="0" applyProtection="0"/>
    <xf numFmtId="0" fontId="42" fillId="40" borderId="0" applyNumberFormat="0" applyBorder="0" applyAlignment="0" applyProtection="0"/>
    <xf numFmtId="0" fontId="42" fillId="41" borderId="0" applyNumberFormat="0" applyBorder="0" applyAlignment="0" applyProtection="0"/>
    <xf numFmtId="0" fontId="42" fillId="42" borderId="0" applyNumberFormat="0" applyBorder="0" applyAlignment="0" applyProtection="0"/>
    <xf numFmtId="0" fontId="42" fillId="43" borderId="0" applyNumberFormat="0" applyBorder="0" applyAlignment="0" applyProtection="0"/>
    <xf numFmtId="0" fontId="42" fillId="44" borderId="0" applyNumberFormat="0" applyBorder="0" applyAlignment="0" applyProtection="0"/>
    <xf numFmtId="0" fontId="42" fillId="45" borderId="0" applyNumberFormat="0" applyBorder="0" applyAlignment="0" applyProtection="0"/>
    <xf numFmtId="0" fontId="42" fillId="46" borderId="0" applyNumberFormat="0" applyBorder="0" applyAlignment="0" applyProtection="0"/>
    <xf numFmtId="0" fontId="42" fillId="47" borderId="0" applyNumberFormat="0" applyBorder="0" applyAlignment="0" applyProtection="0"/>
    <xf numFmtId="0" fontId="42" fillId="42" borderId="0" applyNumberFormat="0" applyBorder="0" applyAlignment="0" applyProtection="0"/>
    <xf numFmtId="0" fontId="42" fillId="45" borderId="0" applyNumberFormat="0" applyBorder="0" applyAlignment="0" applyProtection="0"/>
    <xf numFmtId="0" fontId="42" fillId="48" borderId="0" applyNumberFormat="0" applyBorder="0" applyAlignment="0" applyProtection="0"/>
    <xf numFmtId="0" fontId="44" fillId="49" borderId="0" applyNumberFormat="0" applyBorder="0" applyAlignment="0" applyProtection="0"/>
    <xf numFmtId="0" fontId="44" fillId="46" borderId="0" applyNumberFormat="0" applyBorder="0" applyAlignment="0" applyProtection="0"/>
    <xf numFmtId="0" fontId="44" fillId="47" borderId="0" applyNumberFormat="0" applyBorder="0" applyAlignment="0" applyProtection="0"/>
    <xf numFmtId="0" fontId="44" fillId="50" borderId="0" applyNumberFormat="0" applyBorder="0" applyAlignment="0" applyProtection="0"/>
    <xf numFmtId="0" fontId="44" fillId="51" borderId="0" applyNumberFormat="0" applyBorder="0" applyAlignment="0" applyProtection="0"/>
    <xf numFmtId="0" fontId="44" fillId="52" borderId="0" applyNumberFormat="0" applyBorder="0" applyAlignment="0" applyProtection="0"/>
    <xf numFmtId="0" fontId="34" fillId="33" borderId="33">
      <alignment horizontal="right" vertical="center"/>
    </xf>
    <xf numFmtId="4" fontId="34" fillId="33" borderId="33">
      <alignment horizontal="right" vertical="center"/>
    </xf>
    <xf numFmtId="0" fontId="38" fillId="33" borderId="33">
      <alignment horizontal="right" vertical="center"/>
    </xf>
    <xf numFmtId="4" fontId="38" fillId="33" borderId="33">
      <alignment horizontal="right" vertical="center"/>
    </xf>
    <xf numFmtId="0" fontId="34" fillId="35" borderId="33">
      <alignment horizontal="right" vertical="center"/>
    </xf>
    <xf numFmtId="4" fontId="34" fillId="35" borderId="33">
      <alignment horizontal="right" vertical="center"/>
    </xf>
    <xf numFmtId="0" fontId="34" fillId="35" borderId="33">
      <alignment horizontal="right" vertical="center"/>
    </xf>
    <xf numFmtId="4" fontId="34" fillId="35" borderId="33">
      <alignment horizontal="right" vertical="center"/>
    </xf>
    <xf numFmtId="0" fontId="34" fillId="35" borderId="34">
      <alignment horizontal="right" vertical="center"/>
    </xf>
    <xf numFmtId="4" fontId="34" fillId="35" borderId="34">
      <alignment horizontal="right" vertical="center"/>
    </xf>
    <xf numFmtId="0" fontId="34" fillId="35" borderId="35">
      <alignment horizontal="right" vertical="center"/>
    </xf>
    <xf numFmtId="4" fontId="34" fillId="35" borderId="35">
      <alignment horizontal="right" vertical="center"/>
    </xf>
    <xf numFmtId="0" fontId="48" fillId="57" borderId="25" applyNumberFormat="0" applyAlignment="0" applyProtection="0"/>
    <xf numFmtId="0" fontId="36" fillId="35" borderId="36">
      <alignment horizontal="left" vertical="center" wrapText="1" indent="2"/>
    </xf>
    <xf numFmtId="0" fontId="36" fillId="0" borderId="36">
      <alignment horizontal="left" vertical="center" wrapText="1" indent="2"/>
    </xf>
    <xf numFmtId="0" fontId="36" fillId="33" borderId="34">
      <alignment horizontal="left" vertical="center"/>
    </xf>
    <xf numFmtId="0" fontId="54" fillId="0" borderId="0" applyNumberFormat="0" applyFill="0" applyBorder="0" applyAlignment="0" applyProtection="0"/>
    <xf numFmtId="0" fontId="60" fillId="44" borderId="25" applyNumberFormat="0" applyAlignment="0" applyProtection="0"/>
    <xf numFmtId="0" fontId="36" fillId="0" borderId="33">
      <alignment horizontal="right" vertical="center"/>
    </xf>
    <xf numFmtId="4" fontId="36" fillId="0" borderId="33">
      <alignment horizontal="right" vertical="center"/>
    </xf>
    <xf numFmtId="0" fontId="28" fillId="0" borderId="0"/>
    <xf numFmtId="0" fontId="36" fillId="0" borderId="33" applyNumberFormat="0" applyFill="0" applyAlignment="0" applyProtection="0"/>
    <xf numFmtId="0" fontId="64" fillId="57" borderId="24" applyNumberFormat="0" applyAlignment="0" applyProtection="0"/>
    <xf numFmtId="174" fontId="36" fillId="61" borderId="33" applyNumberFormat="0" applyFont="0" applyBorder="0" applyAlignment="0" applyProtection="0">
      <alignment horizontal="right" vertical="center"/>
    </xf>
    <xf numFmtId="0" fontId="36" fillId="34" borderId="33"/>
    <xf numFmtId="4" fontId="36" fillId="34" borderId="33"/>
    <xf numFmtId="0" fontId="67" fillId="0" borderId="27" applyNumberFormat="0" applyFill="0" applyAlignment="0" applyProtection="0"/>
    <xf numFmtId="0" fontId="74" fillId="0" borderId="0" applyNumberFormat="0" applyFill="0" applyBorder="0" applyAlignment="0" applyProtection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9" fillId="13" borderId="12" applyNumberFormat="0" applyAlignment="0" applyProtection="0"/>
    <xf numFmtId="0" fontId="36" fillId="33" borderId="0" applyBorder="0">
      <alignment horizontal="right" vertical="center"/>
    </xf>
    <xf numFmtId="0" fontId="36" fillId="33" borderId="0" applyBorder="0">
      <alignment horizontal="right" vertical="center"/>
    </xf>
    <xf numFmtId="0" fontId="36" fillId="0" borderId="0" applyBorder="0">
      <alignment horizontal="right" vertical="center"/>
    </xf>
    <xf numFmtId="0" fontId="5" fillId="0" borderId="0"/>
    <xf numFmtId="49" fontId="36" fillId="0" borderId="33" applyNumberFormat="0" applyFont="0" applyFill="0" applyBorder="0" applyProtection="0">
      <alignment horizontal="left" vertical="center" indent="2"/>
    </xf>
    <xf numFmtId="49" fontId="36" fillId="0" borderId="34" applyNumberFormat="0" applyFont="0" applyFill="0" applyBorder="0" applyProtection="0">
      <alignment horizontal="left" vertical="center" indent="5"/>
    </xf>
    <xf numFmtId="0" fontId="43" fillId="53" borderId="0" applyNumberFormat="0" applyBorder="0" applyAlignment="0" applyProtection="0"/>
    <xf numFmtId="0" fontId="43" fillId="54" borderId="0" applyNumberFormat="0" applyBorder="0" applyAlignment="0" applyProtection="0"/>
    <xf numFmtId="0" fontId="43" fillId="55" borderId="0" applyNumberFormat="0" applyBorder="0" applyAlignment="0" applyProtection="0"/>
    <xf numFmtId="0" fontId="43" fillId="50" borderId="0" applyNumberFormat="0" applyBorder="0" applyAlignment="0" applyProtection="0"/>
    <xf numFmtId="0" fontId="43" fillId="51" borderId="0" applyNumberFormat="0" applyBorder="0" applyAlignment="0" applyProtection="0"/>
    <xf numFmtId="0" fontId="43" fillId="56" borderId="0" applyNumberFormat="0" applyBorder="0" applyAlignment="0" applyProtection="0"/>
    <xf numFmtId="0" fontId="56" fillId="41" borderId="0" applyNumberFormat="0" applyBorder="0" applyAlignment="0" applyProtection="0"/>
    <xf numFmtId="4" fontId="5" fillId="0" borderId="0"/>
    <xf numFmtId="0" fontId="5" fillId="0" borderId="0"/>
    <xf numFmtId="0" fontId="28" fillId="0" borderId="0"/>
    <xf numFmtId="4" fontId="36" fillId="0" borderId="33" applyFill="0" applyBorder="0" applyProtection="0">
      <alignment horizontal="right" vertical="center"/>
    </xf>
    <xf numFmtId="49" fontId="35" fillId="0" borderId="33" applyNumberFormat="0" applyFill="0" applyBorder="0" applyProtection="0">
      <alignment horizontal="left" vertical="center"/>
    </xf>
    <xf numFmtId="0" fontId="5" fillId="34" borderId="0" applyNumberFormat="0" applyFont="0" applyBorder="0" applyAlignment="0" applyProtection="0"/>
    <xf numFmtId="0" fontId="65" fillId="40" borderId="0" applyNumberFormat="0" applyBorder="0" applyAlignment="0" applyProtection="0"/>
    <xf numFmtId="0" fontId="69" fillId="0" borderId="28" applyNumberFormat="0" applyFill="0" applyAlignment="0" applyProtection="0"/>
    <xf numFmtId="0" fontId="70" fillId="0" borderId="29" applyNumberFormat="0" applyFill="0" applyAlignment="0" applyProtection="0"/>
    <xf numFmtId="0" fontId="71" fillId="0" borderId="30" applyNumberFormat="0" applyFill="0" applyAlignment="0" applyProtection="0"/>
    <xf numFmtId="0" fontId="71" fillId="0" borderId="0" applyNumberFormat="0" applyFill="0" applyBorder="0" applyAlignment="0" applyProtection="0"/>
    <xf numFmtId="0" fontId="72" fillId="0" borderId="31" applyNumberFormat="0" applyFill="0" applyAlignment="0" applyProtection="0"/>
    <xf numFmtId="0" fontId="75" fillId="58" borderId="26" applyNumberFormat="0" applyAlignment="0" applyProtection="0"/>
    <xf numFmtId="0" fontId="41" fillId="0" borderId="0" applyNumberFormat="0" applyFill="0" applyBorder="0" applyAlignment="0" applyProtection="0"/>
    <xf numFmtId="0" fontId="28" fillId="0" borderId="0"/>
    <xf numFmtId="0" fontId="29" fillId="13" borderId="12" applyNumberFormat="0" applyAlignment="0" applyProtection="0"/>
    <xf numFmtId="0" fontId="39" fillId="39" borderId="0" applyNumberFormat="0" applyBorder="0" applyAlignment="0" applyProtection="0"/>
    <xf numFmtId="0" fontId="39" fillId="40" borderId="0" applyNumberFormat="0" applyBorder="0" applyAlignment="0" applyProtection="0"/>
    <xf numFmtId="0" fontId="39" fillId="41" borderId="0" applyNumberFormat="0" applyBorder="0" applyAlignment="0" applyProtection="0"/>
    <xf numFmtId="0" fontId="39" fillId="42" borderId="0" applyNumberFormat="0" applyBorder="0" applyAlignment="0" applyProtection="0"/>
    <xf numFmtId="0" fontId="39" fillId="43" borderId="0" applyNumberFormat="0" applyBorder="0" applyAlignment="0" applyProtection="0"/>
    <xf numFmtId="0" fontId="39" fillId="44" borderId="0" applyNumberFormat="0" applyBorder="0" applyAlignment="0" applyProtection="0"/>
    <xf numFmtId="0" fontId="39" fillId="45" borderId="0" applyNumberFormat="0" applyBorder="0" applyAlignment="0" applyProtection="0"/>
    <xf numFmtId="0" fontId="39" fillId="46" borderId="0" applyNumberFormat="0" applyBorder="0" applyAlignment="0" applyProtection="0"/>
    <xf numFmtId="0" fontId="39" fillId="47" borderId="0" applyNumberFormat="0" applyBorder="0" applyAlignment="0" applyProtection="0"/>
    <xf numFmtId="0" fontId="39" fillId="42" borderId="0" applyNumberFormat="0" applyBorder="0" applyAlignment="0" applyProtection="0"/>
    <xf numFmtId="0" fontId="39" fillId="45" borderId="0" applyNumberFormat="0" applyBorder="0" applyAlignment="0" applyProtection="0"/>
    <xf numFmtId="0" fontId="39" fillId="48" borderId="0" applyNumberFormat="0" applyBorder="0" applyAlignment="0" applyProtection="0"/>
    <xf numFmtId="0" fontId="43" fillId="49" borderId="0" applyNumberFormat="0" applyBorder="0" applyAlignment="0" applyProtection="0"/>
    <xf numFmtId="0" fontId="43" fillId="46" borderId="0" applyNumberFormat="0" applyBorder="0" applyAlignment="0" applyProtection="0"/>
    <xf numFmtId="0" fontId="43" fillId="47" borderId="0" applyNumberFormat="0" applyBorder="0" applyAlignment="0" applyProtection="0"/>
    <xf numFmtId="0" fontId="43" fillId="50" borderId="0" applyNumberFormat="0" applyBorder="0" applyAlignment="0" applyProtection="0"/>
    <xf numFmtId="0" fontId="43" fillId="51" borderId="0" applyNumberFormat="0" applyBorder="0" applyAlignment="0" applyProtection="0"/>
    <xf numFmtId="0" fontId="43" fillId="52" borderId="0" applyNumberFormat="0" applyBorder="0" applyAlignment="0" applyProtection="0"/>
    <xf numFmtId="0" fontId="45" fillId="57" borderId="24" applyNumberFormat="0" applyAlignment="0" applyProtection="0"/>
    <xf numFmtId="0" fontId="47" fillId="57" borderId="25" applyNumberFormat="0" applyAlignment="0" applyProtection="0"/>
    <xf numFmtId="0" fontId="52" fillId="0" borderId="27" applyNumberFormat="0" applyFill="0" applyAlignment="0" applyProtection="0"/>
    <xf numFmtId="0" fontId="53" fillId="0" borderId="0" applyNumberFormat="0" applyFill="0" applyBorder="0" applyAlignment="0" applyProtection="0"/>
    <xf numFmtId="0" fontId="28" fillId="0" borderId="0"/>
    <xf numFmtId="0" fontId="73" fillId="0" borderId="0" applyNumberFormat="0" applyFill="0" applyBorder="0" applyAlignment="0" applyProtection="0"/>
    <xf numFmtId="0" fontId="28" fillId="0" borderId="0"/>
    <xf numFmtId="0" fontId="28" fillId="0" borderId="0"/>
    <xf numFmtId="0" fontId="28" fillId="0" borderId="0"/>
    <xf numFmtId="49" fontId="36" fillId="0" borderId="18" applyNumberFormat="0" applyFont="0" applyFill="0" applyBorder="0" applyProtection="0">
      <alignment horizontal="left" vertical="center" indent="2"/>
    </xf>
    <xf numFmtId="49" fontId="36" fillId="0" borderId="17" applyNumberFormat="0" applyFont="0" applyFill="0" applyBorder="0" applyProtection="0">
      <alignment horizontal="left" vertical="center" indent="5"/>
    </xf>
    <xf numFmtId="0" fontId="34" fillId="33" borderId="18">
      <alignment horizontal="right" vertical="center"/>
    </xf>
    <xf numFmtId="4" fontId="34" fillId="33" borderId="18">
      <alignment horizontal="right" vertical="center"/>
    </xf>
    <xf numFmtId="0" fontId="38" fillId="33" borderId="18">
      <alignment horizontal="right" vertical="center"/>
    </xf>
    <xf numFmtId="4" fontId="38" fillId="33" borderId="18">
      <alignment horizontal="right" vertical="center"/>
    </xf>
    <xf numFmtId="0" fontId="34" fillId="35" borderId="18">
      <alignment horizontal="right" vertical="center"/>
    </xf>
    <xf numFmtId="4" fontId="34" fillId="35" borderId="18">
      <alignment horizontal="right" vertical="center"/>
    </xf>
    <xf numFmtId="0" fontId="34" fillId="35" borderId="18">
      <alignment horizontal="right" vertical="center"/>
    </xf>
    <xf numFmtId="4" fontId="34" fillId="35" borderId="18">
      <alignment horizontal="right" vertical="center"/>
    </xf>
    <xf numFmtId="0" fontId="34" fillId="35" borderId="17">
      <alignment horizontal="right" vertical="center"/>
    </xf>
    <xf numFmtId="4" fontId="34" fillId="35" borderId="17">
      <alignment horizontal="right" vertical="center"/>
    </xf>
    <xf numFmtId="0" fontId="34" fillId="35" borderId="19">
      <alignment horizontal="right" vertical="center"/>
    </xf>
    <xf numFmtId="4" fontId="34" fillId="35" borderId="19">
      <alignment horizontal="right" vertical="center"/>
    </xf>
    <xf numFmtId="173" fontId="79" fillId="0" borderId="0" applyFont="0" applyFill="0" applyBorder="0" applyAlignment="0" applyProtection="0"/>
    <xf numFmtId="0" fontId="36" fillId="35" borderId="23">
      <alignment horizontal="left" vertical="center" wrapText="1" indent="2"/>
    </xf>
    <xf numFmtId="0" fontId="36" fillId="0" borderId="23">
      <alignment horizontal="left" vertical="center" wrapText="1" indent="2"/>
    </xf>
    <xf numFmtId="0" fontId="36" fillId="33" borderId="17">
      <alignment horizontal="left" vertical="center"/>
    </xf>
    <xf numFmtId="0" fontId="51" fillId="44" borderId="25" applyNumberFormat="0" applyAlignment="0" applyProtection="0"/>
    <xf numFmtId="0" fontId="36" fillId="0" borderId="18">
      <alignment horizontal="right" vertical="center"/>
    </xf>
    <xf numFmtId="4" fontId="36" fillId="0" borderId="18">
      <alignment horizontal="right" vertical="center"/>
    </xf>
    <xf numFmtId="0" fontId="79" fillId="0" borderId="0"/>
    <xf numFmtId="0" fontId="77" fillId="0" borderId="0"/>
    <xf numFmtId="0" fontId="77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77" fillId="0" borderId="0"/>
    <xf numFmtId="0" fontId="5" fillId="0" borderId="0"/>
    <xf numFmtId="4" fontId="36" fillId="0" borderId="18" applyFill="0" applyBorder="0" applyProtection="0">
      <alignment horizontal="right" vertical="center"/>
    </xf>
    <xf numFmtId="49" fontId="35" fillId="0" borderId="18" applyNumberFormat="0" applyFill="0" applyBorder="0" applyProtection="0">
      <alignment horizontal="left" vertical="center"/>
    </xf>
    <xf numFmtId="0" fontId="36" fillId="0" borderId="18" applyNumberFormat="0" applyFill="0" applyAlignment="0" applyProtection="0"/>
    <xf numFmtId="0" fontId="79" fillId="36" borderId="0" applyNumberFormat="0" applyFont="0" applyBorder="0" applyAlignment="0" applyProtection="0"/>
    <xf numFmtId="174" fontId="36" fillId="61" borderId="18" applyNumberFormat="0" applyFont="0" applyBorder="0" applyAlignment="0" applyProtection="0">
      <alignment horizontal="right" vertical="center"/>
    </xf>
    <xf numFmtId="9" fontId="79" fillId="0" borderId="0" applyFont="0" applyFill="0" applyBorder="0" applyAlignment="0" applyProtection="0"/>
    <xf numFmtId="0" fontId="36" fillId="34" borderId="18"/>
    <xf numFmtId="4" fontId="36" fillId="34" borderId="18"/>
    <xf numFmtId="0" fontId="36" fillId="35" borderId="36">
      <alignment horizontal="left" vertical="center" wrapText="1" indent="2"/>
    </xf>
    <xf numFmtId="0" fontId="36" fillId="0" borderId="36">
      <alignment horizontal="left" vertical="center" wrapText="1" indent="2"/>
    </xf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36" fillId="35" borderId="23">
      <alignment horizontal="left" vertical="center" wrapText="1" indent="2"/>
    </xf>
    <xf numFmtId="0" fontId="36" fillId="0" borderId="23">
      <alignment horizontal="left" vertical="center" wrapText="1" indent="2"/>
    </xf>
    <xf numFmtId="0" fontId="5" fillId="0" borderId="0"/>
    <xf numFmtId="4" fontId="34" fillId="35" borderId="33">
      <alignment horizontal="right" vertical="center"/>
    </xf>
    <xf numFmtId="0" fontId="36" fillId="34" borderId="33"/>
    <xf numFmtId="0" fontId="47" fillId="57" borderId="25" applyNumberFormat="0" applyAlignment="0" applyProtection="0"/>
    <xf numFmtId="0" fontId="34" fillId="33" borderId="33">
      <alignment horizontal="right" vertical="center"/>
    </xf>
    <xf numFmtId="0" fontId="36" fillId="0" borderId="33">
      <alignment horizontal="right" vertical="center"/>
    </xf>
    <xf numFmtId="0" fontId="67" fillId="0" borderId="27" applyNumberFormat="0" applyFill="0" applyAlignment="0" applyProtection="0"/>
    <xf numFmtId="0" fontId="36" fillId="33" borderId="34">
      <alignment horizontal="left" vertical="center"/>
    </xf>
    <xf numFmtId="0" fontId="60" fillId="44" borderId="25" applyNumberFormat="0" applyAlignment="0" applyProtection="0"/>
    <xf numFmtId="174" fontId="36" fillId="61" borderId="33" applyNumberFormat="0" applyFont="0" applyBorder="0" applyAlignment="0" applyProtection="0">
      <alignment horizontal="right" vertical="center"/>
    </xf>
    <xf numFmtId="0" fontId="42" fillId="60" borderId="32" applyNumberFormat="0" applyFont="0" applyAlignment="0" applyProtection="0"/>
    <xf numFmtId="0" fontId="36" fillId="0" borderId="36">
      <alignment horizontal="left" vertical="center" wrapText="1" indent="2"/>
    </xf>
    <xf numFmtId="4" fontId="36" fillId="34" borderId="33"/>
    <xf numFmtId="49" fontId="35" fillId="0" borderId="33" applyNumberFormat="0" applyFill="0" applyBorder="0" applyProtection="0">
      <alignment horizontal="left" vertical="center"/>
    </xf>
    <xf numFmtId="0" fontId="36" fillId="0" borderId="33">
      <alignment horizontal="right" vertical="center"/>
    </xf>
    <xf numFmtId="4" fontId="34" fillId="35" borderId="35">
      <alignment horizontal="right" vertical="center"/>
    </xf>
    <xf numFmtId="4" fontId="34" fillId="35" borderId="33">
      <alignment horizontal="right" vertical="center"/>
    </xf>
    <xf numFmtId="4" fontId="34" fillId="35" borderId="33">
      <alignment horizontal="right" vertical="center"/>
    </xf>
    <xf numFmtId="0" fontId="38" fillId="33" borderId="33">
      <alignment horizontal="right" vertical="center"/>
    </xf>
    <xf numFmtId="0" fontId="34" fillId="33" borderId="33">
      <alignment horizontal="right" vertical="center"/>
    </xf>
    <xf numFmtId="49" fontId="36" fillId="0" borderId="33" applyNumberFormat="0" applyFont="0" applyFill="0" applyBorder="0" applyProtection="0">
      <alignment horizontal="left" vertical="center" indent="2"/>
    </xf>
    <xf numFmtId="0" fontId="60" fillId="44" borderId="25" applyNumberFormat="0" applyAlignment="0" applyProtection="0"/>
    <xf numFmtId="0" fontId="45" fillId="57" borderId="24" applyNumberFormat="0" applyAlignment="0" applyProtection="0"/>
    <xf numFmtId="49" fontId="36" fillId="0" borderId="33" applyNumberFormat="0" applyFont="0" applyFill="0" applyBorder="0" applyProtection="0">
      <alignment horizontal="left" vertical="center" indent="2"/>
    </xf>
    <xf numFmtId="0" fontId="51" fillId="44" borderId="25" applyNumberFormat="0" applyAlignment="0" applyProtection="0"/>
    <xf numFmtId="4" fontId="36" fillId="0" borderId="33" applyFill="0" applyBorder="0" applyProtection="0">
      <alignment horizontal="right" vertical="center"/>
    </xf>
    <xf numFmtId="0" fontId="48" fillId="57" borderId="25" applyNumberFormat="0" applyAlignment="0" applyProtection="0"/>
    <xf numFmtId="0" fontId="67" fillId="0" borderId="27" applyNumberFormat="0" applyFill="0" applyAlignment="0" applyProtection="0"/>
    <xf numFmtId="0" fontId="64" fillId="57" borderId="24" applyNumberFormat="0" applyAlignment="0" applyProtection="0"/>
    <xf numFmtId="0" fontId="36" fillId="0" borderId="33" applyNumberFormat="0" applyFill="0" applyAlignment="0" applyProtection="0"/>
    <xf numFmtId="4" fontId="36" fillId="0" borderId="33">
      <alignment horizontal="right" vertical="center"/>
    </xf>
    <xf numFmtId="0" fontId="36" fillId="0" borderId="33">
      <alignment horizontal="right" vertical="center"/>
    </xf>
    <xf numFmtId="0" fontId="60" fillId="44" borderId="25" applyNumberFormat="0" applyAlignment="0" applyProtection="0"/>
    <xf numFmtId="0" fontId="45" fillId="57" borderId="24" applyNumberFormat="0" applyAlignment="0" applyProtection="0"/>
    <xf numFmtId="0" fontId="47" fillId="57" borderId="25" applyNumberFormat="0" applyAlignment="0" applyProtection="0"/>
    <xf numFmtId="0" fontId="36" fillId="35" borderId="36">
      <alignment horizontal="left" vertical="center" wrapText="1" indent="2"/>
    </xf>
    <xf numFmtId="0" fontId="48" fillId="57" borderId="25" applyNumberFormat="0" applyAlignment="0" applyProtection="0"/>
    <xf numFmtId="0" fontId="48" fillId="57" borderId="25" applyNumberFormat="0" applyAlignment="0" applyProtection="0"/>
    <xf numFmtId="4" fontId="34" fillId="35" borderId="34">
      <alignment horizontal="right" vertical="center"/>
    </xf>
    <xf numFmtId="0" fontId="34" fillId="35" borderId="34">
      <alignment horizontal="right" vertical="center"/>
    </xf>
    <xf numFmtId="0" fontId="34" fillId="35" borderId="33">
      <alignment horizontal="right" vertical="center"/>
    </xf>
    <xf numFmtId="4" fontId="38" fillId="33" borderId="33">
      <alignment horizontal="right" vertical="center"/>
    </xf>
    <xf numFmtId="0" fontId="51" fillId="44" borderId="25" applyNumberFormat="0" applyAlignment="0" applyProtection="0"/>
    <xf numFmtId="0" fontId="52" fillId="0" borderId="27" applyNumberFormat="0" applyFill="0" applyAlignment="0" applyProtection="0"/>
    <xf numFmtId="0" fontId="67" fillId="0" borderId="27" applyNumberFormat="0" applyFill="0" applyAlignment="0" applyProtection="0"/>
    <xf numFmtId="0" fontId="42" fillId="60" borderId="32" applyNumberFormat="0" applyFont="0" applyAlignment="0" applyProtection="0"/>
    <xf numFmtId="0" fontId="60" fillId="44" borderId="25" applyNumberFormat="0" applyAlignment="0" applyProtection="0"/>
    <xf numFmtId="49" fontId="35" fillId="0" borderId="33" applyNumberFormat="0" applyFill="0" applyBorder="0" applyProtection="0">
      <alignment horizontal="left" vertical="center"/>
    </xf>
    <xf numFmtId="0" fontId="36" fillId="35" borderId="36">
      <alignment horizontal="left" vertical="center" wrapText="1" indent="2"/>
    </xf>
    <xf numFmtId="0" fontId="48" fillId="57" borderId="25" applyNumberFormat="0" applyAlignment="0" applyProtection="0"/>
    <xf numFmtId="0" fontId="36" fillId="0" borderId="36">
      <alignment horizontal="left" vertical="center" wrapText="1" indent="2"/>
    </xf>
    <xf numFmtId="0" fontId="42" fillId="60" borderId="32" applyNumberFormat="0" applyFont="0" applyAlignment="0" applyProtection="0"/>
    <xf numFmtId="0" fontId="5" fillId="60" borderId="32" applyNumberFormat="0" applyFont="0" applyAlignment="0" applyProtection="0"/>
    <xf numFmtId="0" fontId="64" fillId="57" borderId="24" applyNumberFormat="0" applyAlignment="0" applyProtection="0"/>
    <xf numFmtId="0" fontId="67" fillId="0" borderId="27" applyNumberFormat="0" applyFill="0" applyAlignment="0" applyProtection="0"/>
    <xf numFmtId="4" fontId="36" fillId="34" borderId="33"/>
    <xf numFmtId="0" fontId="34" fillId="35" borderId="33">
      <alignment horizontal="right" vertical="center"/>
    </xf>
    <xf numFmtId="0" fontId="67" fillId="0" borderId="27" applyNumberFormat="0" applyFill="0" applyAlignment="0" applyProtection="0"/>
    <xf numFmtId="4" fontId="34" fillId="35" borderId="35">
      <alignment horizontal="right" vertical="center"/>
    </xf>
    <xf numFmtId="0" fontId="47" fillId="57" borderId="25" applyNumberFormat="0" applyAlignment="0" applyProtection="0"/>
    <xf numFmtId="0" fontId="34" fillId="35" borderId="34">
      <alignment horizontal="right" vertical="center"/>
    </xf>
    <xf numFmtId="0" fontId="48" fillId="57" borderId="25" applyNumberFormat="0" applyAlignment="0" applyProtection="0"/>
    <xf numFmtId="0" fontId="52" fillId="0" borderId="27" applyNumberFormat="0" applyFill="0" applyAlignment="0" applyProtection="0"/>
    <xf numFmtId="0" fontId="42" fillId="60" borderId="32" applyNumberFormat="0" applyFont="0" applyAlignment="0" applyProtection="0"/>
    <xf numFmtId="4" fontId="34" fillId="35" borderId="34">
      <alignment horizontal="right" vertical="center"/>
    </xf>
    <xf numFmtId="0" fontId="36" fillId="35" borderId="36">
      <alignment horizontal="left" vertical="center" wrapText="1" indent="2"/>
    </xf>
    <xf numFmtId="0" fontId="36" fillId="34" borderId="33"/>
    <xf numFmtId="174" fontId="36" fillId="61" borderId="33" applyNumberFormat="0" applyFont="0" applyBorder="0" applyAlignment="0" applyProtection="0">
      <alignment horizontal="right" vertical="center"/>
    </xf>
    <xf numFmtId="0" fontId="36" fillId="0" borderId="33" applyNumberFormat="0" applyFill="0" applyAlignment="0" applyProtection="0"/>
    <xf numFmtId="4" fontId="36" fillId="0" borderId="33" applyFill="0" applyBorder="0" applyProtection="0">
      <alignment horizontal="right" vertical="center"/>
    </xf>
    <xf numFmtId="4" fontId="34" fillId="33" borderId="33">
      <alignment horizontal="right" vertical="center"/>
    </xf>
    <xf numFmtId="0" fontId="52" fillId="0" borderId="27" applyNumberFormat="0" applyFill="0" applyAlignment="0" applyProtection="0"/>
    <xf numFmtId="49" fontId="35" fillId="0" borderId="33" applyNumberFormat="0" applyFill="0" applyBorder="0" applyProtection="0">
      <alignment horizontal="left" vertical="center"/>
    </xf>
    <xf numFmtId="49" fontId="36" fillId="0" borderId="34" applyNumberFormat="0" applyFont="0" applyFill="0" applyBorder="0" applyProtection="0">
      <alignment horizontal="left" vertical="center" indent="5"/>
    </xf>
    <xf numFmtId="0" fontId="36" fillId="33" borderId="34">
      <alignment horizontal="left" vertical="center"/>
    </xf>
    <xf numFmtId="0" fontId="48" fillId="57" borderId="25" applyNumberFormat="0" applyAlignment="0" applyProtection="0"/>
    <xf numFmtId="4" fontId="34" fillId="35" borderId="35">
      <alignment horizontal="right" vertical="center"/>
    </xf>
    <xf numFmtId="0" fontId="60" fillId="44" borderId="25" applyNumberFormat="0" applyAlignment="0" applyProtection="0"/>
    <xf numFmtId="0" fontId="60" fillId="44" borderId="25" applyNumberFormat="0" applyAlignment="0" applyProtection="0"/>
    <xf numFmtId="0" fontId="42" fillId="60" borderId="32" applyNumberFormat="0" applyFont="0" applyAlignment="0" applyProtection="0"/>
    <xf numFmtId="0" fontId="64" fillId="57" borderId="24" applyNumberFormat="0" applyAlignment="0" applyProtection="0"/>
    <xf numFmtId="0" fontId="67" fillId="0" borderId="27" applyNumberFormat="0" applyFill="0" applyAlignment="0" applyProtection="0"/>
    <xf numFmtId="0" fontId="34" fillId="35" borderId="33">
      <alignment horizontal="right" vertical="center"/>
    </xf>
    <xf numFmtId="0" fontId="5" fillId="60" borderId="32" applyNumberFormat="0" applyFont="0" applyAlignment="0" applyProtection="0"/>
    <xf numFmtId="4" fontId="36" fillId="0" borderId="33">
      <alignment horizontal="right" vertical="center"/>
    </xf>
    <xf numFmtId="0" fontId="67" fillId="0" borderId="27" applyNumberFormat="0" applyFill="0" applyAlignment="0" applyProtection="0"/>
    <xf numFmtId="0" fontId="34" fillId="35" borderId="33">
      <alignment horizontal="right" vertical="center"/>
    </xf>
    <xf numFmtId="0" fontId="34" fillId="35" borderId="33">
      <alignment horizontal="right" vertical="center"/>
    </xf>
    <xf numFmtId="4" fontId="38" fillId="33" borderId="33">
      <alignment horizontal="right" vertical="center"/>
    </xf>
    <xf numFmtId="0" fontId="34" fillId="33" borderId="33">
      <alignment horizontal="right" vertical="center"/>
    </xf>
    <xf numFmtId="4" fontId="34" fillId="33" borderId="33">
      <alignment horizontal="right" vertical="center"/>
    </xf>
    <xf numFmtId="0" fontId="38" fillId="33" borderId="33">
      <alignment horizontal="right" vertical="center"/>
    </xf>
    <xf numFmtId="4" fontId="38" fillId="33" borderId="33">
      <alignment horizontal="right" vertical="center"/>
    </xf>
    <xf numFmtId="0" fontId="34" fillId="35" borderId="33">
      <alignment horizontal="right" vertical="center"/>
    </xf>
    <xf numFmtId="4" fontId="34" fillId="35" borderId="33">
      <alignment horizontal="right" vertical="center"/>
    </xf>
    <xf numFmtId="0" fontId="34" fillId="35" borderId="33">
      <alignment horizontal="right" vertical="center"/>
    </xf>
    <xf numFmtId="4" fontId="34" fillId="35" borderId="33">
      <alignment horizontal="right" vertical="center"/>
    </xf>
    <xf numFmtId="0" fontId="34" fillId="35" borderId="34">
      <alignment horizontal="right" vertical="center"/>
    </xf>
    <xf numFmtId="4" fontId="34" fillId="35" borderId="34">
      <alignment horizontal="right" vertical="center"/>
    </xf>
    <xf numFmtId="0" fontId="34" fillId="35" borderId="35">
      <alignment horizontal="right" vertical="center"/>
    </xf>
    <xf numFmtId="4" fontId="34" fillId="35" borderId="35">
      <alignment horizontal="right" vertical="center"/>
    </xf>
    <xf numFmtId="0" fontId="48" fillId="57" borderId="25" applyNumberFormat="0" applyAlignment="0" applyProtection="0"/>
    <xf numFmtId="0" fontId="36" fillId="35" borderId="36">
      <alignment horizontal="left" vertical="center" wrapText="1" indent="2"/>
    </xf>
    <xf numFmtId="0" fontId="36" fillId="0" borderId="36">
      <alignment horizontal="left" vertical="center" wrapText="1" indent="2"/>
    </xf>
    <xf numFmtId="0" fontId="36" fillId="33" borderId="34">
      <alignment horizontal="left" vertical="center"/>
    </xf>
    <xf numFmtId="0" fontId="60" fillId="44" borderId="25" applyNumberFormat="0" applyAlignment="0" applyProtection="0"/>
    <xf numFmtId="0" fontId="36" fillId="0" borderId="33">
      <alignment horizontal="right" vertical="center"/>
    </xf>
    <xf numFmtId="4" fontId="36" fillId="0" borderId="33">
      <alignment horizontal="right" vertical="center"/>
    </xf>
    <xf numFmtId="0" fontId="36" fillId="0" borderId="33" applyNumberFormat="0" applyFill="0" applyAlignment="0" applyProtection="0"/>
    <xf numFmtId="0" fontId="64" fillId="57" borderId="24" applyNumberFormat="0" applyAlignment="0" applyProtection="0"/>
    <xf numFmtId="174" fontId="36" fillId="61" borderId="33" applyNumberFormat="0" applyFont="0" applyBorder="0" applyAlignment="0" applyProtection="0">
      <alignment horizontal="right" vertical="center"/>
    </xf>
    <xf numFmtId="0" fontId="36" fillId="34" borderId="33"/>
    <xf numFmtId="4" fontId="36" fillId="34" borderId="33"/>
    <xf numFmtId="0" fontId="67" fillId="0" borderId="27" applyNumberFormat="0" applyFill="0" applyAlignment="0" applyProtection="0"/>
    <xf numFmtId="0" fontId="5" fillId="60" borderId="32" applyNumberFormat="0" applyFont="0" applyAlignment="0" applyProtection="0"/>
    <xf numFmtId="0" fontId="42" fillId="60" borderId="32" applyNumberFormat="0" applyFont="0" applyAlignment="0" applyProtection="0"/>
    <xf numFmtId="0" fontId="36" fillId="0" borderId="33" applyNumberFormat="0" applyFill="0" applyAlignment="0" applyProtection="0"/>
    <xf numFmtId="0" fontId="52" fillId="0" borderId="27" applyNumberFormat="0" applyFill="0" applyAlignment="0" applyProtection="0"/>
    <xf numFmtId="0" fontId="67" fillId="0" borderId="27" applyNumberFormat="0" applyFill="0" applyAlignment="0" applyProtection="0"/>
    <xf numFmtId="0" fontId="51" fillId="44" borderId="25" applyNumberFormat="0" applyAlignment="0" applyProtection="0"/>
    <xf numFmtId="0" fontId="48" fillId="57" borderId="25" applyNumberFormat="0" applyAlignment="0" applyProtection="0"/>
    <xf numFmtId="4" fontId="38" fillId="33" borderId="33">
      <alignment horizontal="right" vertical="center"/>
    </xf>
    <xf numFmtId="0" fontId="34" fillId="33" borderId="33">
      <alignment horizontal="right" vertical="center"/>
    </xf>
    <xf numFmtId="174" fontId="36" fillId="61" borderId="33" applyNumberFormat="0" applyFont="0" applyBorder="0" applyAlignment="0" applyProtection="0">
      <alignment horizontal="right" vertical="center"/>
    </xf>
    <xf numFmtId="0" fontId="52" fillId="0" borderId="27" applyNumberFormat="0" applyFill="0" applyAlignment="0" applyProtection="0"/>
    <xf numFmtId="49" fontId="36" fillId="0" borderId="33" applyNumberFormat="0" applyFont="0" applyFill="0" applyBorder="0" applyProtection="0">
      <alignment horizontal="left" vertical="center" indent="2"/>
    </xf>
    <xf numFmtId="49" fontId="36" fillId="0" borderId="34" applyNumberFormat="0" applyFont="0" applyFill="0" applyBorder="0" applyProtection="0">
      <alignment horizontal="left" vertical="center" indent="5"/>
    </xf>
    <xf numFmtId="49" fontId="36" fillId="0" borderId="33" applyNumberFormat="0" applyFont="0" applyFill="0" applyBorder="0" applyProtection="0">
      <alignment horizontal="left" vertical="center" indent="2"/>
    </xf>
    <xf numFmtId="4" fontId="36" fillId="0" borderId="33" applyFill="0" applyBorder="0" applyProtection="0">
      <alignment horizontal="right" vertical="center"/>
    </xf>
    <xf numFmtId="49" fontId="35" fillId="0" borderId="33" applyNumberFormat="0" applyFill="0" applyBorder="0" applyProtection="0">
      <alignment horizontal="left" vertical="center"/>
    </xf>
    <xf numFmtId="0" fontId="36" fillId="0" borderId="36">
      <alignment horizontal="left" vertical="center" wrapText="1" indent="2"/>
    </xf>
    <xf numFmtId="0" fontId="64" fillId="57" borderId="24" applyNumberFormat="0" applyAlignment="0" applyProtection="0"/>
    <xf numFmtId="0" fontId="34" fillId="35" borderId="35">
      <alignment horizontal="right" vertical="center"/>
    </xf>
    <xf numFmtId="0" fontId="51" fillId="44" borderId="25" applyNumberFormat="0" applyAlignment="0" applyProtection="0"/>
    <xf numFmtId="0" fontId="34" fillId="35" borderId="35">
      <alignment horizontal="right" vertical="center"/>
    </xf>
    <xf numFmtId="4" fontId="34" fillId="35" borderId="33">
      <alignment horizontal="right" vertical="center"/>
    </xf>
    <xf numFmtId="0" fontId="34" fillId="35" borderId="33">
      <alignment horizontal="right" vertical="center"/>
    </xf>
    <xf numFmtId="0" fontId="45" fillId="57" borderId="24" applyNumberFormat="0" applyAlignment="0" applyProtection="0"/>
    <xf numFmtId="0" fontId="47" fillId="57" borderId="25" applyNumberFormat="0" applyAlignment="0" applyProtection="0"/>
    <xf numFmtId="0" fontId="52" fillId="0" borderId="27" applyNumberFormat="0" applyFill="0" applyAlignment="0" applyProtection="0"/>
    <xf numFmtId="0" fontId="36" fillId="34" borderId="33"/>
    <xf numFmtId="4" fontId="36" fillId="34" borderId="33"/>
    <xf numFmtId="4" fontId="34" fillId="35" borderId="33">
      <alignment horizontal="right" vertical="center"/>
    </xf>
    <xf numFmtId="0" fontId="38" fillId="33" borderId="33">
      <alignment horizontal="right" vertical="center"/>
    </xf>
    <xf numFmtId="0" fontId="51" fillId="44" borderId="25" applyNumberFormat="0" applyAlignment="0" applyProtection="0"/>
    <xf numFmtId="0" fontId="48" fillId="57" borderId="25" applyNumberFormat="0" applyAlignment="0" applyProtection="0"/>
    <xf numFmtId="4" fontId="36" fillId="0" borderId="33">
      <alignment horizontal="right" vertical="center"/>
    </xf>
    <xf numFmtId="0" fontId="36" fillId="35" borderId="36">
      <alignment horizontal="left" vertical="center" wrapText="1" indent="2"/>
    </xf>
    <xf numFmtId="0" fontId="36" fillId="0" borderId="36">
      <alignment horizontal="left" vertical="center" wrapText="1" indent="2"/>
    </xf>
    <xf numFmtId="0" fontId="64" fillId="57" borderId="24" applyNumberFormat="0" applyAlignment="0" applyProtection="0"/>
    <xf numFmtId="0" fontId="60" fillId="44" borderId="25" applyNumberFormat="0" applyAlignment="0" applyProtection="0"/>
    <xf numFmtId="0" fontId="47" fillId="57" borderId="25" applyNumberFormat="0" applyAlignment="0" applyProtection="0"/>
    <xf numFmtId="0" fontId="45" fillId="57" borderId="24" applyNumberFormat="0" applyAlignment="0" applyProtection="0"/>
    <xf numFmtId="0" fontId="34" fillId="35" borderId="35">
      <alignment horizontal="right" vertical="center"/>
    </xf>
    <xf numFmtId="0" fontId="38" fillId="33" borderId="33">
      <alignment horizontal="right" vertical="center"/>
    </xf>
    <xf numFmtId="4" fontId="34" fillId="33" borderId="33">
      <alignment horizontal="right" vertical="center"/>
    </xf>
    <xf numFmtId="4" fontId="34" fillId="35" borderId="33">
      <alignment horizontal="right" vertical="center"/>
    </xf>
    <xf numFmtId="49" fontId="36" fillId="0" borderId="34" applyNumberFormat="0" applyFont="0" applyFill="0" applyBorder="0" applyProtection="0">
      <alignment horizontal="left" vertical="center" indent="5"/>
    </xf>
    <xf numFmtId="4" fontId="36" fillId="0" borderId="33" applyFill="0" applyBorder="0" applyProtection="0">
      <alignment horizontal="right" vertical="center"/>
    </xf>
    <xf numFmtId="4" fontId="34" fillId="33" borderId="33">
      <alignment horizontal="right" vertical="center"/>
    </xf>
    <xf numFmtId="0" fontId="5" fillId="0" borderId="0"/>
    <xf numFmtId="0" fontId="60" fillId="44" borderId="25" applyNumberFormat="0" applyAlignment="0" applyProtection="0"/>
    <xf numFmtId="0" fontId="51" fillId="44" borderId="25" applyNumberFormat="0" applyAlignment="0" applyProtection="0"/>
    <xf numFmtId="0" fontId="47" fillId="57" borderId="25" applyNumberFormat="0" applyAlignment="0" applyProtection="0"/>
    <xf numFmtId="0" fontId="36" fillId="35" borderId="36">
      <alignment horizontal="left" vertical="center" wrapText="1" indent="2"/>
    </xf>
    <xf numFmtId="0" fontId="36" fillId="0" borderId="36">
      <alignment horizontal="left" vertical="center" wrapText="1" indent="2"/>
    </xf>
    <xf numFmtId="0" fontId="36" fillId="35" borderId="36">
      <alignment horizontal="left" vertical="center" wrapText="1" indent="2"/>
    </xf>
    <xf numFmtId="0" fontId="36" fillId="0" borderId="36">
      <alignment horizontal="left" vertical="center" wrapText="1" indent="2"/>
    </xf>
    <xf numFmtId="0" fontId="45" fillId="57" borderId="24" applyNumberFormat="0" applyAlignment="0" applyProtection="0"/>
    <xf numFmtId="0" fontId="47" fillId="57" borderId="25" applyNumberFormat="0" applyAlignment="0" applyProtection="0"/>
    <xf numFmtId="0" fontId="48" fillId="57" borderId="25" applyNumberFormat="0" applyAlignment="0" applyProtection="0"/>
    <xf numFmtId="0" fontId="51" fillId="44" borderId="25" applyNumberFormat="0" applyAlignment="0" applyProtection="0"/>
    <xf numFmtId="0" fontId="52" fillId="0" borderId="27" applyNumberFormat="0" applyFill="0" applyAlignment="0" applyProtection="0"/>
    <xf numFmtId="0" fontId="60" fillId="44" borderId="25" applyNumberFormat="0" applyAlignment="0" applyProtection="0"/>
    <xf numFmtId="0" fontId="42" fillId="60" borderId="32" applyNumberFormat="0" applyFont="0" applyAlignment="0" applyProtection="0"/>
    <xf numFmtId="0" fontId="5" fillId="60" borderId="32" applyNumberFormat="0" applyFont="0" applyAlignment="0" applyProtection="0"/>
    <xf numFmtId="0" fontId="64" fillId="57" borderId="24" applyNumberFormat="0" applyAlignment="0" applyProtection="0"/>
    <xf numFmtId="0" fontId="67" fillId="0" borderId="27" applyNumberFormat="0" applyFill="0" applyAlignment="0" applyProtection="0"/>
    <xf numFmtId="0" fontId="48" fillId="57" borderId="25" applyNumberFormat="0" applyAlignment="0" applyProtection="0"/>
    <xf numFmtId="0" fontId="60" fillId="44" borderId="25" applyNumberFormat="0" applyAlignment="0" applyProtection="0"/>
    <xf numFmtId="0" fontId="42" fillId="60" borderId="32" applyNumberFormat="0" applyFont="0" applyAlignment="0" applyProtection="0"/>
    <xf numFmtId="0" fontId="64" fillId="57" borderId="24" applyNumberFormat="0" applyAlignment="0" applyProtection="0"/>
    <xf numFmtId="0" fontId="67" fillId="0" borderId="27" applyNumberFormat="0" applyFill="0" applyAlignment="0" applyProtection="0"/>
    <xf numFmtId="0" fontId="34" fillId="35" borderId="17">
      <alignment horizontal="right" vertical="center"/>
    </xf>
    <xf numFmtId="4" fontId="34" fillId="35" borderId="17">
      <alignment horizontal="right" vertical="center"/>
    </xf>
    <xf numFmtId="0" fontId="34" fillId="35" borderId="19">
      <alignment horizontal="right" vertical="center"/>
    </xf>
    <xf numFmtId="4" fontId="34" fillId="35" borderId="19">
      <alignment horizontal="right" vertical="center"/>
    </xf>
    <xf numFmtId="0" fontId="48" fillId="57" borderId="25" applyNumberFormat="0" applyAlignment="0" applyProtection="0"/>
    <xf numFmtId="0" fontId="36" fillId="35" borderId="23">
      <alignment horizontal="left" vertical="center" wrapText="1" indent="2"/>
    </xf>
    <xf numFmtId="0" fontId="36" fillId="0" borderId="23">
      <alignment horizontal="left" vertical="center" wrapText="1" indent="2"/>
    </xf>
    <xf numFmtId="0" fontId="36" fillId="33" borderId="17">
      <alignment horizontal="left" vertical="center"/>
    </xf>
    <xf numFmtId="0" fontId="60" fillId="44" borderId="25" applyNumberFormat="0" applyAlignment="0" applyProtection="0"/>
    <xf numFmtId="0" fontId="64" fillId="57" borderId="24" applyNumberFormat="0" applyAlignment="0" applyProtection="0"/>
    <xf numFmtId="0" fontId="67" fillId="0" borderId="27" applyNumberFormat="0" applyFill="0" applyAlignment="0" applyProtection="0"/>
    <xf numFmtId="49" fontId="36" fillId="0" borderId="17" applyNumberFormat="0" applyFont="0" applyFill="0" applyBorder="0" applyProtection="0">
      <alignment horizontal="left" vertical="center" indent="5"/>
    </xf>
    <xf numFmtId="0" fontId="45" fillId="57" borderId="24" applyNumberFormat="0" applyAlignment="0" applyProtection="0"/>
    <xf numFmtId="0" fontId="47" fillId="57" borderId="25" applyNumberFormat="0" applyAlignment="0" applyProtection="0"/>
    <xf numFmtId="0" fontId="52" fillId="0" borderId="27" applyNumberFormat="0" applyFill="0" applyAlignment="0" applyProtection="0"/>
    <xf numFmtId="49" fontId="36" fillId="0" borderId="33" applyNumberFormat="0" applyFont="0" applyFill="0" applyBorder="0" applyProtection="0">
      <alignment horizontal="left" vertical="center" indent="2"/>
    </xf>
    <xf numFmtId="0" fontId="34" fillId="33" borderId="33">
      <alignment horizontal="right" vertical="center"/>
    </xf>
    <xf numFmtId="4" fontId="34" fillId="33" borderId="33">
      <alignment horizontal="right" vertical="center"/>
    </xf>
    <xf numFmtId="0" fontId="38" fillId="33" borderId="33">
      <alignment horizontal="right" vertical="center"/>
    </xf>
    <xf numFmtId="4" fontId="38" fillId="33" borderId="33">
      <alignment horizontal="right" vertical="center"/>
    </xf>
    <xf numFmtId="0" fontId="34" fillId="35" borderId="33">
      <alignment horizontal="right" vertical="center"/>
    </xf>
    <xf numFmtId="4" fontId="34" fillId="35" borderId="33">
      <alignment horizontal="right" vertical="center"/>
    </xf>
    <xf numFmtId="0" fontId="34" fillId="35" borderId="33">
      <alignment horizontal="right" vertical="center"/>
    </xf>
    <xf numFmtId="4" fontId="34" fillId="35" borderId="33">
      <alignment horizontal="right" vertical="center"/>
    </xf>
    <xf numFmtId="0" fontId="51" fillId="44" borderId="25" applyNumberFormat="0" applyAlignment="0" applyProtection="0"/>
    <xf numFmtId="0" fontId="36" fillId="0" borderId="33">
      <alignment horizontal="right" vertical="center"/>
    </xf>
    <xf numFmtId="4" fontId="36" fillId="0" borderId="33">
      <alignment horizontal="right" vertical="center"/>
    </xf>
    <xf numFmtId="4" fontId="36" fillId="0" borderId="33" applyFill="0" applyBorder="0" applyProtection="0">
      <alignment horizontal="right" vertical="center"/>
    </xf>
    <xf numFmtId="49" fontId="35" fillId="0" borderId="33" applyNumberFormat="0" applyFill="0" applyBorder="0" applyProtection="0">
      <alignment horizontal="left" vertical="center"/>
    </xf>
    <xf numFmtId="0" fontId="36" fillId="0" borderId="33" applyNumberFormat="0" applyFill="0" applyAlignment="0" applyProtection="0"/>
    <xf numFmtId="174" fontId="36" fillId="61" borderId="33" applyNumberFormat="0" applyFont="0" applyBorder="0" applyAlignment="0" applyProtection="0">
      <alignment horizontal="right" vertical="center"/>
    </xf>
    <xf numFmtId="0" fontId="36" fillId="34" borderId="33"/>
    <xf numFmtId="4" fontId="36" fillId="34" borderId="33"/>
    <xf numFmtId="4" fontId="34" fillId="35" borderId="33">
      <alignment horizontal="right" vertical="center"/>
    </xf>
    <xf numFmtId="0" fontId="36" fillId="34" borderId="33"/>
    <xf numFmtId="0" fontId="47" fillId="57" borderId="25" applyNumberFormat="0" applyAlignment="0" applyProtection="0"/>
    <xf numFmtId="0" fontId="34" fillId="33" borderId="33">
      <alignment horizontal="right" vertical="center"/>
    </xf>
    <xf numFmtId="0" fontId="36" fillId="0" borderId="33">
      <alignment horizontal="right" vertical="center"/>
    </xf>
    <xf numFmtId="0" fontId="67" fillId="0" borderId="27" applyNumberFormat="0" applyFill="0" applyAlignment="0" applyProtection="0"/>
    <xf numFmtId="0" fontId="36" fillId="33" borderId="34">
      <alignment horizontal="left" vertical="center"/>
    </xf>
    <xf numFmtId="0" fontId="60" fillId="44" borderId="25" applyNumberFormat="0" applyAlignment="0" applyProtection="0"/>
    <xf numFmtId="174" fontId="36" fillId="61" borderId="33" applyNumberFormat="0" applyFont="0" applyBorder="0" applyAlignment="0" applyProtection="0">
      <alignment horizontal="right" vertical="center"/>
    </xf>
    <xf numFmtId="0" fontId="42" fillId="60" borderId="32" applyNumberFormat="0" applyFont="0" applyAlignment="0" applyProtection="0"/>
    <xf numFmtId="0" fontId="36" fillId="0" borderId="36">
      <alignment horizontal="left" vertical="center" wrapText="1" indent="2"/>
    </xf>
    <xf numFmtId="4" fontId="36" fillId="34" borderId="33"/>
    <xf numFmtId="49" fontId="35" fillId="0" borderId="33" applyNumberFormat="0" applyFill="0" applyBorder="0" applyProtection="0">
      <alignment horizontal="left" vertical="center"/>
    </xf>
    <xf numFmtId="0" fontId="36" fillId="0" borderId="33">
      <alignment horizontal="right" vertical="center"/>
    </xf>
    <xf numFmtId="4" fontId="34" fillId="35" borderId="35">
      <alignment horizontal="right" vertical="center"/>
    </xf>
    <xf numFmtId="4" fontId="34" fillId="35" borderId="33">
      <alignment horizontal="right" vertical="center"/>
    </xf>
    <xf numFmtId="4" fontId="34" fillId="35" borderId="33">
      <alignment horizontal="right" vertical="center"/>
    </xf>
    <xf numFmtId="0" fontId="38" fillId="33" borderId="33">
      <alignment horizontal="right" vertical="center"/>
    </xf>
    <xf numFmtId="0" fontId="34" fillId="33" borderId="33">
      <alignment horizontal="right" vertical="center"/>
    </xf>
    <xf numFmtId="49" fontId="36" fillId="0" borderId="33" applyNumberFormat="0" applyFont="0" applyFill="0" applyBorder="0" applyProtection="0">
      <alignment horizontal="left" vertical="center" indent="2"/>
    </xf>
    <xf numFmtId="0" fontId="60" fillId="44" borderId="25" applyNumberFormat="0" applyAlignment="0" applyProtection="0"/>
    <xf numFmtId="0" fontId="45" fillId="57" borderId="24" applyNumberFormat="0" applyAlignment="0" applyProtection="0"/>
    <xf numFmtId="49" fontId="36" fillId="0" borderId="33" applyNumberFormat="0" applyFont="0" applyFill="0" applyBorder="0" applyProtection="0">
      <alignment horizontal="left" vertical="center" indent="2"/>
    </xf>
    <xf numFmtId="0" fontId="51" fillId="44" borderId="25" applyNumberFormat="0" applyAlignment="0" applyProtection="0"/>
    <xf numFmtId="4" fontId="36" fillId="0" borderId="33" applyFill="0" applyBorder="0" applyProtection="0">
      <alignment horizontal="right" vertical="center"/>
    </xf>
    <xf numFmtId="0" fontId="48" fillId="57" borderId="25" applyNumberFormat="0" applyAlignment="0" applyProtection="0"/>
    <xf numFmtId="0" fontId="67" fillId="0" borderId="27" applyNumberFormat="0" applyFill="0" applyAlignment="0" applyProtection="0"/>
    <xf numFmtId="0" fontId="64" fillId="57" borderId="24" applyNumberFormat="0" applyAlignment="0" applyProtection="0"/>
    <xf numFmtId="0" fontId="36" fillId="0" borderId="33" applyNumberFormat="0" applyFill="0" applyAlignment="0" applyProtection="0"/>
    <xf numFmtId="4" fontId="36" fillId="0" borderId="33">
      <alignment horizontal="right" vertical="center"/>
    </xf>
    <xf numFmtId="0" fontId="36" fillId="0" borderId="33">
      <alignment horizontal="right" vertical="center"/>
    </xf>
    <xf numFmtId="0" fontId="60" fillId="44" borderId="25" applyNumberFormat="0" applyAlignment="0" applyProtection="0"/>
    <xf numFmtId="0" fontId="45" fillId="57" borderId="24" applyNumberFormat="0" applyAlignment="0" applyProtection="0"/>
    <xf numFmtId="0" fontId="47" fillId="57" borderId="25" applyNumberFormat="0" applyAlignment="0" applyProtection="0"/>
    <xf numFmtId="0" fontId="36" fillId="35" borderId="36">
      <alignment horizontal="left" vertical="center" wrapText="1" indent="2"/>
    </xf>
    <xf numFmtId="0" fontId="48" fillId="57" borderId="25" applyNumberFormat="0" applyAlignment="0" applyProtection="0"/>
    <xf numFmtId="0" fontId="48" fillId="57" borderId="25" applyNumberFormat="0" applyAlignment="0" applyProtection="0"/>
    <xf numFmtId="4" fontId="34" fillId="35" borderId="34">
      <alignment horizontal="right" vertical="center"/>
    </xf>
    <xf numFmtId="0" fontId="34" fillId="35" borderId="34">
      <alignment horizontal="right" vertical="center"/>
    </xf>
    <xf numFmtId="0" fontId="34" fillId="35" borderId="33">
      <alignment horizontal="right" vertical="center"/>
    </xf>
    <xf numFmtId="4" fontId="38" fillId="33" borderId="33">
      <alignment horizontal="right" vertical="center"/>
    </xf>
    <xf numFmtId="0" fontId="51" fillId="44" borderId="25" applyNumberFormat="0" applyAlignment="0" applyProtection="0"/>
    <xf numFmtId="0" fontId="52" fillId="0" borderId="27" applyNumberFormat="0" applyFill="0" applyAlignment="0" applyProtection="0"/>
    <xf numFmtId="0" fontId="67" fillId="0" borderId="27" applyNumberFormat="0" applyFill="0" applyAlignment="0" applyProtection="0"/>
    <xf numFmtId="0" fontId="42" fillId="60" borderId="32" applyNumberFormat="0" applyFont="0" applyAlignment="0" applyProtection="0"/>
    <xf numFmtId="0" fontId="60" fillId="44" borderId="25" applyNumberFormat="0" applyAlignment="0" applyProtection="0"/>
    <xf numFmtId="49" fontId="35" fillId="0" borderId="33" applyNumberFormat="0" applyFill="0" applyBorder="0" applyProtection="0">
      <alignment horizontal="left" vertical="center"/>
    </xf>
    <xf numFmtId="0" fontId="36" fillId="35" borderId="36">
      <alignment horizontal="left" vertical="center" wrapText="1" indent="2"/>
    </xf>
    <xf numFmtId="0" fontId="48" fillId="57" borderId="25" applyNumberFormat="0" applyAlignment="0" applyProtection="0"/>
    <xf numFmtId="0" fontId="36" fillId="0" borderId="36">
      <alignment horizontal="left" vertical="center" wrapText="1" indent="2"/>
    </xf>
    <xf numFmtId="0" fontId="42" fillId="60" borderId="32" applyNumberFormat="0" applyFont="0" applyAlignment="0" applyProtection="0"/>
    <xf numFmtId="0" fontId="5" fillId="60" borderId="32" applyNumberFormat="0" applyFont="0" applyAlignment="0" applyProtection="0"/>
    <xf numFmtId="0" fontId="64" fillId="57" borderId="24" applyNumberFormat="0" applyAlignment="0" applyProtection="0"/>
    <xf numFmtId="0" fontId="67" fillId="0" borderId="27" applyNumberFormat="0" applyFill="0" applyAlignment="0" applyProtection="0"/>
    <xf numFmtId="4" fontId="36" fillId="34" borderId="33"/>
    <xf numFmtId="0" fontId="34" fillId="35" borderId="33">
      <alignment horizontal="right" vertical="center"/>
    </xf>
    <xf numFmtId="0" fontId="67" fillId="0" borderId="27" applyNumberFormat="0" applyFill="0" applyAlignment="0" applyProtection="0"/>
    <xf numFmtId="4" fontId="34" fillId="35" borderId="35">
      <alignment horizontal="right" vertical="center"/>
    </xf>
    <xf numFmtId="0" fontId="47" fillId="57" borderId="25" applyNumberFormat="0" applyAlignment="0" applyProtection="0"/>
    <xf numFmtId="0" fontId="34" fillId="35" borderId="34">
      <alignment horizontal="right" vertical="center"/>
    </xf>
    <xf numFmtId="0" fontId="48" fillId="57" borderId="25" applyNumberFormat="0" applyAlignment="0" applyProtection="0"/>
    <xf numFmtId="0" fontId="52" fillId="0" borderId="27" applyNumberFormat="0" applyFill="0" applyAlignment="0" applyProtection="0"/>
    <xf numFmtId="0" fontId="42" fillId="60" borderId="32" applyNumberFormat="0" applyFont="0" applyAlignment="0" applyProtection="0"/>
    <xf numFmtId="4" fontId="34" fillId="35" borderId="34">
      <alignment horizontal="right" vertical="center"/>
    </xf>
    <xf numFmtId="0" fontId="36" fillId="35" borderId="36">
      <alignment horizontal="left" vertical="center" wrapText="1" indent="2"/>
    </xf>
    <xf numFmtId="0" fontId="36" fillId="34" borderId="33"/>
    <xf numFmtId="174" fontId="36" fillId="61" borderId="33" applyNumberFormat="0" applyFont="0" applyBorder="0" applyAlignment="0" applyProtection="0">
      <alignment horizontal="right" vertical="center"/>
    </xf>
    <xf numFmtId="0" fontId="36" fillId="0" borderId="33" applyNumberFormat="0" applyFill="0" applyAlignment="0" applyProtection="0"/>
    <xf numFmtId="4" fontId="36" fillId="0" borderId="33" applyFill="0" applyBorder="0" applyProtection="0">
      <alignment horizontal="right" vertical="center"/>
    </xf>
    <xf numFmtId="4" fontId="34" fillId="33" borderId="33">
      <alignment horizontal="right" vertical="center"/>
    </xf>
    <xf numFmtId="0" fontId="52" fillId="0" borderId="27" applyNumberFormat="0" applyFill="0" applyAlignment="0" applyProtection="0"/>
    <xf numFmtId="49" fontId="35" fillId="0" borderId="33" applyNumberFormat="0" applyFill="0" applyBorder="0" applyProtection="0">
      <alignment horizontal="left" vertical="center"/>
    </xf>
    <xf numFmtId="49" fontId="36" fillId="0" borderId="34" applyNumberFormat="0" applyFont="0" applyFill="0" applyBorder="0" applyProtection="0">
      <alignment horizontal="left" vertical="center" indent="5"/>
    </xf>
    <xf numFmtId="0" fontId="36" fillId="33" borderId="34">
      <alignment horizontal="left" vertical="center"/>
    </xf>
    <xf numFmtId="0" fontId="48" fillId="57" borderId="25" applyNumberFormat="0" applyAlignment="0" applyProtection="0"/>
    <xf numFmtId="4" fontId="34" fillId="35" borderId="35">
      <alignment horizontal="right" vertical="center"/>
    </xf>
    <xf numFmtId="0" fontId="60" fillId="44" borderId="25" applyNumberFormat="0" applyAlignment="0" applyProtection="0"/>
    <xf numFmtId="0" fontId="60" fillId="44" borderId="25" applyNumberFormat="0" applyAlignment="0" applyProtection="0"/>
    <xf numFmtId="0" fontId="42" fillId="60" borderId="32" applyNumberFormat="0" applyFont="0" applyAlignment="0" applyProtection="0"/>
    <xf numFmtId="0" fontId="64" fillId="57" borderId="24" applyNumberFormat="0" applyAlignment="0" applyProtection="0"/>
    <xf numFmtId="0" fontId="67" fillId="0" borderId="27" applyNumberFormat="0" applyFill="0" applyAlignment="0" applyProtection="0"/>
    <xf numFmtId="0" fontId="34" fillId="35" borderId="33">
      <alignment horizontal="right" vertical="center"/>
    </xf>
    <xf numFmtId="0" fontId="5" fillId="60" borderId="32" applyNumberFormat="0" applyFont="0" applyAlignment="0" applyProtection="0"/>
    <xf numFmtId="4" fontId="36" fillId="0" borderId="33">
      <alignment horizontal="right" vertical="center"/>
    </xf>
    <xf numFmtId="0" fontId="67" fillId="0" borderId="27" applyNumberFormat="0" applyFill="0" applyAlignment="0" applyProtection="0"/>
    <xf numFmtId="0" fontId="34" fillId="35" borderId="33">
      <alignment horizontal="right" vertical="center"/>
    </xf>
    <xf numFmtId="0" fontId="34" fillId="35" borderId="33">
      <alignment horizontal="right" vertical="center"/>
    </xf>
    <xf numFmtId="4" fontId="38" fillId="33" borderId="33">
      <alignment horizontal="right" vertical="center"/>
    </xf>
    <xf numFmtId="0" fontId="34" fillId="33" borderId="33">
      <alignment horizontal="right" vertical="center"/>
    </xf>
    <xf numFmtId="4" fontId="34" fillId="33" borderId="33">
      <alignment horizontal="right" vertical="center"/>
    </xf>
    <xf numFmtId="0" fontId="38" fillId="33" borderId="33">
      <alignment horizontal="right" vertical="center"/>
    </xf>
    <xf numFmtId="4" fontId="38" fillId="33" borderId="33">
      <alignment horizontal="right" vertical="center"/>
    </xf>
    <xf numFmtId="0" fontId="34" fillId="35" borderId="33">
      <alignment horizontal="right" vertical="center"/>
    </xf>
    <xf numFmtId="4" fontId="34" fillId="35" borderId="33">
      <alignment horizontal="right" vertical="center"/>
    </xf>
    <xf numFmtId="0" fontId="34" fillId="35" borderId="33">
      <alignment horizontal="right" vertical="center"/>
    </xf>
    <xf numFmtId="4" fontId="34" fillId="35" borderId="33">
      <alignment horizontal="right" vertical="center"/>
    </xf>
    <xf numFmtId="0" fontId="34" fillId="35" borderId="34">
      <alignment horizontal="right" vertical="center"/>
    </xf>
    <xf numFmtId="4" fontId="34" fillId="35" borderId="34">
      <alignment horizontal="right" vertical="center"/>
    </xf>
    <xf numFmtId="0" fontId="34" fillId="35" borderId="35">
      <alignment horizontal="right" vertical="center"/>
    </xf>
    <xf numFmtId="4" fontId="34" fillId="35" borderId="35">
      <alignment horizontal="right" vertical="center"/>
    </xf>
    <xf numFmtId="0" fontId="48" fillId="57" borderId="25" applyNumberFormat="0" applyAlignment="0" applyProtection="0"/>
    <xf numFmtId="0" fontId="36" fillId="35" borderId="36">
      <alignment horizontal="left" vertical="center" wrapText="1" indent="2"/>
    </xf>
    <xf numFmtId="0" fontId="36" fillId="0" borderId="36">
      <alignment horizontal="left" vertical="center" wrapText="1" indent="2"/>
    </xf>
    <xf numFmtId="0" fontId="36" fillId="33" borderId="34">
      <alignment horizontal="left" vertical="center"/>
    </xf>
    <xf numFmtId="0" fontId="60" fillId="44" borderId="25" applyNumberFormat="0" applyAlignment="0" applyProtection="0"/>
    <xf numFmtId="0" fontId="36" fillId="0" borderId="33">
      <alignment horizontal="right" vertical="center"/>
    </xf>
    <xf numFmtId="4" fontId="36" fillId="0" borderId="33">
      <alignment horizontal="right" vertical="center"/>
    </xf>
    <xf numFmtId="0" fontId="36" fillId="0" borderId="33" applyNumberFormat="0" applyFill="0" applyAlignment="0" applyProtection="0"/>
    <xf numFmtId="0" fontId="64" fillId="57" borderId="24" applyNumberFormat="0" applyAlignment="0" applyProtection="0"/>
    <xf numFmtId="174" fontId="36" fillId="61" borderId="33" applyNumberFormat="0" applyFont="0" applyBorder="0" applyAlignment="0" applyProtection="0">
      <alignment horizontal="right" vertical="center"/>
    </xf>
    <xf numFmtId="0" fontId="36" fillId="34" borderId="33"/>
    <xf numFmtId="4" fontId="36" fillId="34" borderId="33"/>
    <xf numFmtId="0" fontId="67" fillId="0" borderId="27" applyNumberFormat="0" applyFill="0" applyAlignment="0" applyProtection="0"/>
    <xf numFmtId="0" fontId="5" fillId="60" borderId="32" applyNumberFormat="0" applyFont="0" applyAlignment="0" applyProtection="0"/>
    <xf numFmtId="0" fontId="42" fillId="60" borderId="32" applyNumberFormat="0" applyFont="0" applyAlignment="0" applyProtection="0"/>
    <xf numFmtId="0" fontId="36" fillId="0" borderId="33" applyNumberFormat="0" applyFill="0" applyAlignment="0" applyProtection="0"/>
    <xf numFmtId="0" fontId="52" fillId="0" borderId="27" applyNumberFormat="0" applyFill="0" applyAlignment="0" applyProtection="0"/>
    <xf numFmtId="0" fontId="67" fillId="0" borderId="27" applyNumberFormat="0" applyFill="0" applyAlignment="0" applyProtection="0"/>
    <xf numFmtId="0" fontId="51" fillId="44" borderId="25" applyNumberFormat="0" applyAlignment="0" applyProtection="0"/>
    <xf numFmtId="0" fontId="48" fillId="57" borderId="25" applyNumberFormat="0" applyAlignment="0" applyProtection="0"/>
    <xf numFmtId="4" fontId="38" fillId="33" borderId="33">
      <alignment horizontal="right" vertical="center"/>
    </xf>
    <xf numFmtId="0" fontId="34" fillId="33" borderId="33">
      <alignment horizontal="right" vertical="center"/>
    </xf>
    <xf numFmtId="174" fontId="36" fillId="61" borderId="33" applyNumberFormat="0" applyFont="0" applyBorder="0" applyAlignment="0" applyProtection="0">
      <alignment horizontal="right" vertical="center"/>
    </xf>
    <xf numFmtId="0" fontId="52" fillId="0" borderId="27" applyNumberFormat="0" applyFill="0" applyAlignment="0" applyProtection="0"/>
    <xf numFmtId="49" fontId="36" fillId="0" borderId="33" applyNumberFormat="0" applyFont="0" applyFill="0" applyBorder="0" applyProtection="0">
      <alignment horizontal="left" vertical="center" indent="2"/>
    </xf>
    <xf numFmtId="49" fontId="36" fillId="0" borderId="34" applyNumberFormat="0" applyFont="0" applyFill="0" applyBorder="0" applyProtection="0">
      <alignment horizontal="left" vertical="center" indent="5"/>
    </xf>
    <xf numFmtId="49" fontId="36" fillId="0" borderId="33" applyNumberFormat="0" applyFont="0" applyFill="0" applyBorder="0" applyProtection="0">
      <alignment horizontal="left" vertical="center" indent="2"/>
    </xf>
    <xf numFmtId="4" fontId="36" fillId="0" borderId="33" applyFill="0" applyBorder="0" applyProtection="0">
      <alignment horizontal="right" vertical="center"/>
    </xf>
    <xf numFmtId="49" fontId="35" fillId="0" borderId="33" applyNumberFormat="0" applyFill="0" applyBorder="0" applyProtection="0">
      <alignment horizontal="left" vertical="center"/>
    </xf>
    <xf numFmtId="0" fontId="36" fillId="0" borderId="36">
      <alignment horizontal="left" vertical="center" wrapText="1" indent="2"/>
    </xf>
    <xf numFmtId="0" fontId="64" fillId="57" borderId="24" applyNumberFormat="0" applyAlignment="0" applyProtection="0"/>
    <xf numFmtId="0" fontId="34" fillId="35" borderId="35">
      <alignment horizontal="right" vertical="center"/>
    </xf>
    <xf numFmtId="0" fontId="51" fillId="44" borderId="25" applyNumberFormat="0" applyAlignment="0" applyProtection="0"/>
    <xf numFmtId="0" fontId="34" fillId="35" borderId="35">
      <alignment horizontal="right" vertical="center"/>
    </xf>
    <xf numFmtId="4" fontId="34" fillId="35" borderId="33">
      <alignment horizontal="right" vertical="center"/>
    </xf>
    <xf numFmtId="0" fontId="34" fillId="35" borderId="33">
      <alignment horizontal="right" vertical="center"/>
    </xf>
    <xf numFmtId="0" fontId="45" fillId="57" borderId="24" applyNumberFormat="0" applyAlignment="0" applyProtection="0"/>
    <xf numFmtId="0" fontId="47" fillId="57" borderId="25" applyNumberFormat="0" applyAlignment="0" applyProtection="0"/>
    <xf numFmtId="0" fontId="52" fillId="0" borderId="27" applyNumberFormat="0" applyFill="0" applyAlignment="0" applyProtection="0"/>
    <xf numFmtId="0" fontId="36" fillId="34" borderId="33"/>
    <xf numFmtId="4" fontId="36" fillId="34" borderId="33"/>
    <xf numFmtId="4" fontId="34" fillId="35" borderId="33">
      <alignment horizontal="right" vertical="center"/>
    </xf>
    <xf numFmtId="0" fontId="38" fillId="33" borderId="33">
      <alignment horizontal="right" vertical="center"/>
    </xf>
    <xf numFmtId="0" fontId="51" fillId="44" borderId="25" applyNumberFormat="0" applyAlignment="0" applyProtection="0"/>
    <xf numFmtId="0" fontId="48" fillId="57" borderId="25" applyNumberFormat="0" applyAlignment="0" applyProtection="0"/>
    <xf numFmtId="4" fontId="36" fillId="0" borderId="33">
      <alignment horizontal="right" vertical="center"/>
    </xf>
    <xf numFmtId="0" fontId="36" fillId="35" borderId="36">
      <alignment horizontal="left" vertical="center" wrapText="1" indent="2"/>
    </xf>
    <xf numFmtId="0" fontId="36" fillId="0" borderId="36">
      <alignment horizontal="left" vertical="center" wrapText="1" indent="2"/>
    </xf>
    <xf numFmtId="0" fontId="64" fillId="57" borderId="24" applyNumberFormat="0" applyAlignment="0" applyProtection="0"/>
    <xf numFmtId="0" fontId="60" fillId="44" borderId="25" applyNumberFormat="0" applyAlignment="0" applyProtection="0"/>
    <xf numFmtId="0" fontId="47" fillId="57" borderId="25" applyNumberFormat="0" applyAlignment="0" applyProtection="0"/>
    <xf numFmtId="0" fontId="45" fillId="57" borderId="24" applyNumberFormat="0" applyAlignment="0" applyProtection="0"/>
    <xf numFmtId="0" fontId="34" fillId="35" borderId="35">
      <alignment horizontal="right" vertical="center"/>
    </xf>
    <xf numFmtId="0" fontId="38" fillId="33" borderId="33">
      <alignment horizontal="right" vertical="center"/>
    </xf>
    <xf numFmtId="4" fontId="34" fillId="33" borderId="33">
      <alignment horizontal="right" vertical="center"/>
    </xf>
    <xf numFmtId="4" fontId="34" fillId="35" borderId="33">
      <alignment horizontal="right" vertical="center"/>
    </xf>
    <xf numFmtId="49" fontId="36" fillId="0" borderId="34" applyNumberFormat="0" applyFont="0" applyFill="0" applyBorder="0" applyProtection="0">
      <alignment horizontal="left" vertical="center" indent="5"/>
    </xf>
    <xf numFmtId="4" fontId="36" fillId="0" borderId="33" applyFill="0" applyBorder="0" applyProtection="0">
      <alignment horizontal="right" vertical="center"/>
    </xf>
    <xf numFmtId="4" fontId="34" fillId="33" borderId="33">
      <alignment horizontal="right" vertical="center"/>
    </xf>
    <xf numFmtId="0" fontId="60" fillId="44" borderId="25" applyNumberFormat="0" applyAlignment="0" applyProtection="0"/>
    <xf numFmtId="0" fontId="51" fillId="44" borderId="25" applyNumberFormat="0" applyAlignment="0" applyProtection="0"/>
    <xf numFmtId="0" fontId="47" fillId="57" borderId="25" applyNumberFormat="0" applyAlignment="0" applyProtection="0"/>
    <xf numFmtId="0" fontId="36" fillId="35" borderId="36">
      <alignment horizontal="left" vertical="center" wrapText="1" indent="2"/>
    </xf>
    <xf numFmtId="0" fontId="36" fillId="0" borderId="36">
      <alignment horizontal="left" vertical="center" wrapText="1" indent="2"/>
    </xf>
    <xf numFmtId="0" fontId="36" fillId="35" borderId="36">
      <alignment horizontal="left" vertical="center" wrapText="1" indent="2"/>
    </xf>
    <xf numFmtId="0" fontId="28" fillId="0" borderId="0"/>
    <xf numFmtId="0" fontId="30" fillId="14" borderId="13" applyNumberFormat="0" applyAlignment="0" applyProtection="0"/>
    <xf numFmtId="0" fontId="31" fillId="14" borderId="12" applyNumberFormat="0" applyAlignment="0" applyProtection="0"/>
    <xf numFmtId="0" fontId="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2" fillId="0" borderId="14" applyNumberFormat="0" applyFill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13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13" fillId="20" borderId="0" applyNumberFormat="0" applyBorder="0" applyAlignment="0" applyProtection="0"/>
    <xf numFmtId="0" fontId="28" fillId="21" borderId="0" applyNumberFormat="0" applyBorder="0" applyAlignment="0" applyProtection="0"/>
    <xf numFmtId="0" fontId="28" fillId="22" borderId="0" applyNumberFormat="0" applyBorder="0" applyAlignment="0" applyProtection="0"/>
    <xf numFmtId="0" fontId="13" fillId="23" borderId="0" applyNumberFormat="0" applyBorder="0" applyAlignment="0" applyProtection="0"/>
    <xf numFmtId="0" fontId="28" fillId="24" borderId="0" applyNumberFormat="0" applyBorder="0" applyAlignment="0" applyProtection="0"/>
    <xf numFmtId="0" fontId="28" fillId="25" borderId="0" applyNumberFormat="0" applyBorder="0" applyAlignment="0" applyProtection="0"/>
    <xf numFmtId="0" fontId="13" fillId="26" borderId="0" applyNumberFormat="0" applyBorder="0" applyAlignment="0" applyProtection="0"/>
    <xf numFmtId="0" fontId="28" fillId="27" borderId="0" applyNumberFormat="0" applyBorder="0" applyAlignment="0" applyProtection="0"/>
    <xf numFmtId="0" fontId="28" fillId="28" borderId="0" applyNumberFormat="0" applyBorder="0" applyAlignment="0" applyProtection="0"/>
    <xf numFmtId="0" fontId="13" fillId="29" borderId="0" applyNumberFormat="0" applyBorder="0" applyAlignment="0" applyProtection="0"/>
    <xf numFmtId="0" fontId="28" fillId="30" borderId="0" applyNumberFormat="0" applyBorder="0" applyAlignment="0" applyProtection="0"/>
    <xf numFmtId="0" fontId="28" fillId="31" borderId="0" applyNumberFormat="0" applyBorder="0" applyAlignment="0" applyProtection="0"/>
    <xf numFmtId="0" fontId="13" fillId="32" borderId="0" applyNumberFormat="0" applyBorder="0" applyAlignment="0" applyProtection="0"/>
    <xf numFmtId="0" fontId="36" fillId="0" borderId="33" applyNumberFormat="0" applyFill="0" applyAlignment="0" applyProtection="0"/>
    <xf numFmtId="0" fontId="34" fillId="35" borderId="33">
      <alignment horizontal="right" vertical="center"/>
    </xf>
    <xf numFmtId="0" fontId="34" fillId="35" borderId="33">
      <alignment horizontal="right" vertical="center"/>
    </xf>
    <xf numFmtId="0" fontId="36" fillId="0" borderId="33">
      <alignment horizontal="right" vertical="center"/>
    </xf>
    <xf numFmtId="0" fontId="38" fillId="33" borderId="33">
      <alignment horizontal="right" vertical="center"/>
    </xf>
    <xf numFmtId="0" fontId="36" fillId="34" borderId="33"/>
    <xf numFmtId="0" fontId="34" fillId="33" borderId="33">
      <alignment horizontal="right" vertical="center"/>
    </xf>
    <xf numFmtId="0" fontId="48" fillId="57" borderId="38" applyNumberFormat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0" fontId="60" fillId="44" borderId="38" applyNumberFormat="0" applyAlignment="0" applyProtection="0"/>
    <xf numFmtId="4" fontId="36" fillId="0" borderId="33" applyFill="0" applyBorder="0" applyProtection="0">
      <alignment horizontal="right" vertical="center"/>
    </xf>
    <xf numFmtId="0" fontId="42" fillId="60" borderId="40" applyNumberFormat="0" applyFont="0" applyAlignment="0" applyProtection="0"/>
    <xf numFmtId="0" fontId="5" fillId="60" borderId="40" applyNumberFormat="0" applyFont="0" applyAlignment="0" applyProtection="0"/>
    <xf numFmtId="0" fontId="64" fillId="57" borderId="37" applyNumberFormat="0" applyAlignment="0" applyProtection="0"/>
    <xf numFmtId="0" fontId="67" fillId="0" borderId="39" applyNumberFormat="0" applyFill="0" applyAlignment="0" applyProtection="0"/>
    <xf numFmtId="0" fontId="48" fillId="57" borderId="38" applyNumberFormat="0" applyAlignment="0" applyProtection="0"/>
    <xf numFmtId="0" fontId="60" fillId="44" borderId="38" applyNumberFormat="0" applyAlignment="0" applyProtection="0"/>
    <xf numFmtId="0" fontId="31" fillId="14" borderId="12" applyNumberFormat="0" applyAlignment="0" applyProtection="0"/>
    <xf numFmtId="0" fontId="42" fillId="60" borderId="40" applyNumberFormat="0" applyFont="0" applyAlignment="0" applyProtection="0"/>
    <xf numFmtId="0" fontId="64" fillId="57" borderId="37" applyNumberFormat="0" applyAlignment="0" applyProtection="0"/>
    <xf numFmtId="0" fontId="67" fillId="0" borderId="39" applyNumberFormat="0" applyFill="0" applyAlignment="0" applyProtection="0"/>
    <xf numFmtId="0" fontId="34" fillId="33" borderId="41">
      <alignment horizontal="right" vertical="center"/>
    </xf>
    <xf numFmtId="4" fontId="34" fillId="33" borderId="41">
      <alignment horizontal="right" vertical="center"/>
    </xf>
    <xf numFmtId="0" fontId="38" fillId="33" borderId="41">
      <alignment horizontal="right" vertical="center"/>
    </xf>
    <xf numFmtId="4" fontId="38" fillId="33" borderId="41">
      <alignment horizontal="right" vertical="center"/>
    </xf>
    <xf numFmtId="0" fontId="34" fillId="35" borderId="41">
      <alignment horizontal="right" vertical="center"/>
    </xf>
    <xf numFmtId="4" fontId="34" fillId="35" borderId="41">
      <alignment horizontal="right" vertical="center"/>
    </xf>
    <xf numFmtId="0" fontId="34" fillId="35" borderId="41">
      <alignment horizontal="right" vertical="center"/>
    </xf>
    <xf numFmtId="4" fontId="34" fillId="35" borderId="41">
      <alignment horizontal="right" vertical="center"/>
    </xf>
    <xf numFmtId="0" fontId="34" fillId="35" borderId="42">
      <alignment horizontal="right" vertical="center"/>
    </xf>
    <xf numFmtId="4" fontId="34" fillId="35" borderId="42">
      <alignment horizontal="right" vertical="center"/>
    </xf>
    <xf numFmtId="0" fontId="34" fillId="35" borderId="43">
      <alignment horizontal="right" vertical="center"/>
    </xf>
    <xf numFmtId="4" fontId="34" fillId="35" borderId="43">
      <alignment horizontal="right" vertical="center"/>
    </xf>
    <xf numFmtId="0" fontId="48" fillId="57" borderId="38" applyNumberFormat="0" applyAlignment="0" applyProtection="0"/>
    <xf numFmtId="0" fontId="36" fillId="35" borderId="44">
      <alignment horizontal="left" vertical="center" wrapText="1" indent="2"/>
    </xf>
    <xf numFmtId="0" fontId="36" fillId="0" borderId="44">
      <alignment horizontal="left" vertical="center" wrapText="1" indent="2"/>
    </xf>
    <xf numFmtId="0" fontId="36" fillId="33" borderId="42">
      <alignment horizontal="left" vertical="center"/>
    </xf>
    <xf numFmtId="0" fontId="60" fillId="44" borderId="38" applyNumberFormat="0" applyAlignment="0" applyProtection="0"/>
    <xf numFmtId="0" fontId="36" fillId="0" borderId="41">
      <alignment horizontal="right" vertical="center"/>
    </xf>
    <xf numFmtId="4" fontId="36" fillId="0" borderId="41">
      <alignment horizontal="right" vertical="center"/>
    </xf>
    <xf numFmtId="0" fontId="36" fillId="0" borderId="41" applyNumberFormat="0" applyFill="0" applyAlignment="0" applyProtection="0"/>
    <xf numFmtId="0" fontId="64" fillId="57" borderId="37" applyNumberFormat="0" applyAlignment="0" applyProtection="0"/>
    <xf numFmtId="174" fontId="36" fillId="61" borderId="41" applyNumberFormat="0" applyFont="0" applyBorder="0" applyAlignment="0" applyProtection="0">
      <alignment horizontal="right" vertical="center"/>
    </xf>
    <xf numFmtId="0" fontId="36" fillId="34" borderId="41"/>
    <xf numFmtId="4" fontId="36" fillId="34" borderId="41"/>
    <xf numFmtId="0" fontId="67" fillId="0" borderId="39" applyNumberFormat="0" applyFill="0" applyAlignment="0" applyProtection="0"/>
    <xf numFmtId="0" fontId="28" fillId="22" borderId="0" applyNumberFormat="0" applyBorder="0" applyAlignment="0" applyProtection="0"/>
    <xf numFmtId="0" fontId="28" fillId="16" borderId="0" applyNumberFormat="0" applyBorder="0" applyAlignment="0" applyProtection="0"/>
    <xf numFmtId="0" fontId="13" fillId="29" borderId="0" applyNumberFormat="0" applyBorder="0" applyAlignment="0" applyProtection="0"/>
    <xf numFmtId="0" fontId="28" fillId="21" borderId="0" applyNumberFormat="0" applyBorder="0" applyAlignment="0" applyProtection="0"/>
    <xf numFmtId="0" fontId="32" fillId="0" borderId="0" applyNumberFormat="0" applyFill="0" applyBorder="0" applyAlignment="0" applyProtection="0"/>
    <xf numFmtId="0" fontId="13" fillId="26" borderId="0" applyNumberFormat="0" applyBorder="0" applyAlignment="0" applyProtection="0"/>
    <xf numFmtId="0" fontId="28" fillId="31" borderId="0" applyNumberFormat="0" applyBorder="0" applyAlignment="0" applyProtection="0"/>
    <xf numFmtId="0" fontId="28" fillId="28" borderId="0" applyNumberFormat="0" applyBorder="0" applyAlignment="0" applyProtection="0"/>
    <xf numFmtId="0" fontId="28" fillId="18" borderId="0" applyNumberFormat="0" applyBorder="0" applyAlignment="0" applyProtection="0"/>
    <xf numFmtId="0" fontId="28" fillId="15" borderId="0" applyNumberFormat="0" applyBorder="0" applyAlignment="0" applyProtection="0"/>
    <xf numFmtId="0" fontId="1" fillId="0" borderId="0" applyNumberFormat="0" applyFill="0" applyBorder="0" applyAlignment="0" applyProtection="0"/>
    <xf numFmtId="49" fontId="36" fillId="0" borderId="41" applyNumberFormat="0" applyFont="0" applyFill="0" applyBorder="0" applyProtection="0">
      <alignment horizontal="left" vertical="center" indent="2"/>
    </xf>
    <xf numFmtId="49" fontId="36" fillId="0" borderId="42" applyNumberFormat="0" applyFont="0" applyFill="0" applyBorder="0" applyProtection="0">
      <alignment horizontal="left" vertical="center" indent="5"/>
    </xf>
    <xf numFmtId="4" fontId="36" fillId="0" borderId="41" applyFill="0" applyBorder="0" applyProtection="0">
      <alignment horizontal="right" vertical="center"/>
    </xf>
    <xf numFmtId="49" fontId="35" fillId="0" borderId="41" applyNumberFormat="0" applyFill="0" applyBorder="0" applyProtection="0">
      <alignment horizontal="left" vertical="center"/>
    </xf>
    <xf numFmtId="0" fontId="45" fillId="57" borderId="37" applyNumberFormat="0" applyAlignment="0" applyProtection="0"/>
    <xf numFmtId="0" fontId="47" fillId="57" borderId="38" applyNumberFormat="0" applyAlignment="0" applyProtection="0"/>
    <xf numFmtId="0" fontId="52" fillId="0" borderId="39" applyNumberFormat="0" applyFill="0" applyAlignment="0" applyProtection="0"/>
    <xf numFmtId="0" fontId="51" fillId="44" borderId="38" applyNumberFormat="0" applyAlignment="0" applyProtection="0"/>
    <xf numFmtId="0" fontId="28" fillId="24" borderId="0" applyNumberFormat="0" applyBorder="0" applyAlignment="0" applyProtection="0"/>
    <xf numFmtId="0" fontId="30" fillId="14" borderId="13" applyNumberFormat="0" applyAlignment="0" applyProtection="0"/>
    <xf numFmtId="0" fontId="36" fillId="35" borderId="44">
      <alignment horizontal="left" vertical="center" wrapText="1" indent="2"/>
    </xf>
    <xf numFmtId="0" fontId="36" fillId="0" borderId="44">
      <alignment horizontal="left" vertical="center" wrapText="1" indent="2"/>
    </xf>
    <xf numFmtId="0" fontId="13" fillId="23" borderId="0" applyNumberFormat="0" applyBorder="0" applyAlignment="0" applyProtection="0"/>
    <xf numFmtId="0" fontId="13" fillId="32" borderId="0" applyNumberFormat="0" applyBorder="0" applyAlignment="0" applyProtection="0"/>
    <xf numFmtId="0" fontId="28" fillId="30" borderId="0" applyNumberFormat="0" applyBorder="0" applyAlignment="0" applyProtection="0"/>
    <xf numFmtId="0" fontId="28" fillId="27" borderId="0" applyNumberFormat="0" applyBorder="0" applyAlignment="0" applyProtection="0"/>
    <xf numFmtId="0" fontId="28" fillId="25" borderId="0" applyNumberFormat="0" applyBorder="0" applyAlignment="0" applyProtection="0"/>
    <xf numFmtId="0" fontId="13" fillId="17" borderId="0" applyNumberFormat="0" applyBorder="0" applyAlignment="0" applyProtection="0"/>
    <xf numFmtId="0" fontId="28" fillId="19" borderId="0" applyNumberFormat="0" applyBorder="0" applyAlignment="0" applyProtection="0"/>
    <xf numFmtId="0" fontId="13" fillId="20" borderId="0" applyNumberFormat="0" applyBorder="0" applyAlignment="0" applyProtection="0"/>
    <xf numFmtId="0" fontId="2" fillId="0" borderId="14" applyNumberFormat="0" applyFill="0" applyAlignment="0" applyProtection="0"/>
    <xf numFmtId="4" fontId="34" fillId="35" borderId="41">
      <alignment horizontal="right" vertical="center"/>
    </xf>
    <xf numFmtId="0" fontId="36" fillId="34" borderId="41"/>
    <xf numFmtId="0" fontId="47" fillId="57" borderId="38" applyNumberFormat="0" applyAlignment="0" applyProtection="0"/>
    <xf numFmtId="0" fontId="34" fillId="33" borderId="41">
      <alignment horizontal="right" vertical="center"/>
    </xf>
    <xf numFmtId="0" fontId="36" fillId="0" borderId="41">
      <alignment horizontal="right" vertical="center"/>
    </xf>
    <xf numFmtId="0" fontId="67" fillId="0" borderId="39" applyNumberFormat="0" applyFill="0" applyAlignment="0" applyProtection="0"/>
    <xf numFmtId="0" fontId="36" fillId="33" borderId="42">
      <alignment horizontal="left" vertical="center"/>
    </xf>
    <xf numFmtId="0" fontId="60" fillId="44" borderId="38" applyNumberFormat="0" applyAlignment="0" applyProtection="0"/>
    <xf numFmtId="174" fontId="36" fillId="61" borderId="41" applyNumberFormat="0" applyFont="0" applyBorder="0" applyAlignment="0" applyProtection="0">
      <alignment horizontal="right" vertical="center"/>
    </xf>
    <xf numFmtId="0" fontId="42" fillId="60" borderId="40" applyNumberFormat="0" applyFont="0" applyAlignment="0" applyProtection="0"/>
    <xf numFmtId="0" fontId="36" fillId="0" borderId="44">
      <alignment horizontal="left" vertical="center" wrapText="1" indent="2"/>
    </xf>
    <xf numFmtId="4" fontId="36" fillId="34" borderId="41"/>
    <xf numFmtId="49" fontId="35" fillId="0" borderId="41" applyNumberFormat="0" applyFill="0" applyBorder="0" applyProtection="0">
      <alignment horizontal="left" vertical="center"/>
    </xf>
    <xf numFmtId="0" fontId="36" fillId="0" borderId="41">
      <alignment horizontal="right" vertical="center"/>
    </xf>
    <xf numFmtId="4" fontId="34" fillId="35" borderId="43">
      <alignment horizontal="right" vertical="center"/>
    </xf>
    <xf numFmtId="4" fontId="34" fillId="35" borderId="41">
      <alignment horizontal="right" vertical="center"/>
    </xf>
    <xf numFmtId="4" fontId="34" fillId="35" borderId="41">
      <alignment horizontal="right" vertical="center"/>
    </xf>
    <xf numFmtId="0" fontId="38" fillId="33" borderId="41">
      <alignment horizontal="right" vertical="center"/>
    </xf>
    <xf numFmtId="0" fontId="34" fillId="33" borderId="41">
      <alignment horizontal="right" vertical="center"/>
    </xf>
    <xf numFmtId="49" fontId="36" fillId="0" borderId="41" applyNumberFormat="0" applyFont="0" applyFill="0" applyBorder="0" applyProtection="0">
      <alignment horizontal="left" vertical="center" indent="2"/>
    </xf>
    <xf numFmtId="0" fontId="60" fillId="44" borderId="38" applyNumberFormat="0" applyAlignment="0" applyProtection="0"/>
    <xf numFmtId="0" fontId="45" fillId="57" borderId="37" applyNumberFormat="0" applyAlignment="0" applyProtection="0"/>
    <xf numFmtId="49" fontId="36" fillId="0" borderId="41" applyNumberFormat="0" applyFont="0" applyFill="0" applyBorder="0" applyProtection="0">
      <alignment horizontal="left" vertical="center" indent="2"/>
    </xf>
    <xf numFmtId="0" fontId="51" fillId="44" borderId="38" applyNumberFormat="0" applyAlignment="0" applyProtection="0"/>
    <xf numFmtId="4" fontId="36" fillId="0" borderId="41" applyFill="0" applyBorder="0" applyProtection="0">
      <alignment horizontal="right" vertical="center"/>
    </xf>
    <xf numFmtId="0" fontId="48" fillId="57" borderId="38" applyNumberFormat="0" applyAlignment="0" applyProtection="0"/>
    <xf numFmtId="0" fontId="67" fillId="0" borderId="39" applyNumberFormat="0" applyFill="0" applyAlignment="0" applyProtection="0"/>
    <xf numFmtId="0" fontId="64" fillId="57" borderId="37" applyNumberFormat="0" applyAlignment="0" applyProtection="0"/>
    <xf numFmtId="0" fontId="36" fillId="0" borderId="41" applyNumberFormat="0" applyFill="0" applyAlignment="0" applyProtection="0"/>
    <xf numFmtId="4" fontId="36" fillId="0" borderId="41">
      <alignment horizontal="right" vertical="center"/>
    </xf>
    <xf numFmtId="0" fontId="36" fillId="0" borderId="41">
      <alignment horizontal="right" vertical="center"/>
    </xf>
    <xf numFmtId="0" fontId="60" fillId="44" borderId="38" applyNumberFormat="0" applyAlignment="0" applyProtection="0"/>
    <xf numFmtId="0" fontId="45" fillId="57" borderId="37" applyNumberFormat="0" applyAlignment="0" applyProtection="0"/>
    <xf numFmtId="0" fontId="47" fillId="57" borderId="38" applyNumberFormat="0" applyAlignment="0" applyProtection="0"/>
    <xf numFmtId="0" fontId="36" fillId="35" borderId="44">
      <alignment horizontal="left" vertical="center" wrapText="1" indent="2"/>
    </xf>
    <xf numFmtId="0" fontId="48" fillId="57" borderId="38" applyNumberFormat="0" applyAlignment="0" applyProtection="0"/>
    <xf numFmtId="0" fontId="48" fillId="57" borderId="38" applyNumberFormat="0" applyAlignment="0" applyProtection="0"/>
    <xf numFmtId="4" fontId="34" fillId="35" borderId="42">
      <alignment horizontal="right" vertical="center"/>
    </xf>
    <xf numFmtId="0" fontId="34" fillId="35" borderId="42">
      <alignment horizontal="right" vertical="center"/>
    </xf>
    <xf numFmtId="0" fontId="34" fillId="35" borderId="41">
      <alignment horizontal="right" vertical="center"/>
    </xf>
    <xf numFmtId="4" fontId="38" fillId="33" borderId="41">
      <alignment horizontal="right" vertical="center"/>
    </xf>
    <xf numFmtId="0" fontId="51" fillId="44" borderId="38" applyNumberFormat="0" applyAlignment="0" applyProtection="0"/>
    <xf numFmtId="0" fontId="52" fillId="0" borderId="39" applyNumberFormat="0" applyFill="0" applyAlignment="0" applyProtection="0"/>
    <xf numFmtId="0" fontId="67" fillId="0" borderId="39" applyNumberFormat="0" applyFill="0" applyAlignment="0" applyProtection="0"/>
    <xf numFmtId="0" fontId="42" fillId="60" borderId="40" applyNumberFormat="0" applyFont="0" applyAlignment="0" applyProtection="0"/>
    <xf numFmtId="0" fontId="60" fillId="44" borderId="38" applyNumberFormat="0" applyAlignment="0" applyProtection="0"/>
    <xf numFmtId="49" fontId="35" fillId="0" borderId="41" applyNumberFormat="0" applyFill="0" applyBorder="0" applyProtection="0">
      <alignment horizontal="left" vertical="center"/>
    </xf>
    <xf numFmtId="0" fontId="36" fillId="35" borderId="44">
      <alignment horizontal="left" vertical="center" wrapText="1" indent="2"/>
    </xf>
    <xf numFmtId="0" fontId="48" fillId="57" borderId="38" applyNumberFormat="0" applyAlignment="0" applyProtection="0"/>
    <xf numFmtId="0" fontId="36" fillId="0" borderId="44">
      <alignment horizontal="left" vertical="center" wrapText="1" indent="2"/>
    </xf>
    <xf numFmtId="0" fontId="42" fillId="60" borderId="40" applyNumberFormat="0" applyFont="0" applyAlignment="0" applyProtection="0"/>
    <xf numFmtId="0" fontId="5" fillId="60" borderId="40" applyNumberFormat="0" applyFont="0" applyAlignment="0" applyProtection="0"/>
    <xf numFmtId="0" fontId="64" fillId="57" borderId="37" applyNumberFormat="0" applyAlignment="0" applyProtection="0"/>
    <xf numFmtId="0" fontId="67" fillId="0" borderId="39" applyNumberFormat="0" applyFill="0" applyAlignment="0" applyProtection="0"/>
    <xf numFmtId="4" fontId="36" fillId="34" borderId="41"/>
    <xf numFmtId="0" fontId="34" fillId="35" borderId="41">
      <alignment horizontal="right" vertical="center"/>
    </xf>
    <xf numFmtId="0" fontId="67" fillId="0" borderId="39" applyNumberFormat="0" applyFill="0" applyAlignment="0" applyProtection="0"/>
    <xf numFmtId="4" fontId="34" fillId="35" borderId="43">
      <alignment horizontal="right" vertical="center"/>
    </xf>
    <xf numFmtId="0" fontId="47" fillId="57" borderId="38" applyNumberFormat="0" applyAlignment="0" applyProtection="0"/>
    <xf numFmtId="0" fontId="34" fillId="35" borderId="42">
      <alignment horizontal="right" vertical="center"/>
    </xf>
    <xf numFmtId="0" fontId="48" fillId="57" borderId="38" applyNumberFormat="0" applyAlignment="0" applyProtection="0"/>
    <xf numFmtId="0" fontId="52" fillId="0" borderId="39" applyNumberFormat="0" applyFill="0" applyAlignment="0" applyProtection="0"/>
    <xf numFmtId="0" fontId="42" fillId="60" borderId="40" applyNumberFormat="0" applyFont="0" applyAlignment="0" applyProtection="0"/>
    <xf numFmtId="4" fontId="34" fillId="35" borderId="42">
      <alignment horizontal="right" vertical="center"/>
    </xf>
    <xf numFmtId="0" fontId="36" fillId="35" borderId="44">
      <alignment horizontal="left" vertical="center" wrapText="1" indent="2"/>
    </xf>
    <xf numFmtId="0" fontId="36" fillId="34" borderId="41"/>
    <xf numFmtId="174" fontId="36" fillId="61" borderId="41" applyNumberFormat="0" applyFont="0" applyBorder="0" applyAlignment="0" applyProtection="0">
      <alignment horizontal="right" vertical="center"/>
    </xf>
    <xf numFmtId="0" fontId="36" fillId="0" borderId="41" applyNumberFormat="0" applyFill="0" applyAlignment="0" applyProtection="0"/>
    <xf numFmtId="4" fontId="36" fillId="0" borderId="41" applyFill="0" applyBorder="0" applyProtection="0">
      <alignment horizontal="right" vertical="center"/>
    </xf>
    <xf numFmtId="4" fontId="34" fillId="33" borderId="41">
      <alignment horizontal="right" vertical="center"/>
    </xf>
    <xf numFmtId="0" fontId="52" fillId="0" borderId="39" applyNumberFormat="0" applyFill="0" applyAlignment="0" applyProtection="0"/>
    <xf numFmtId="49" fontId="35" fillId="0" borderId="41" applyNumberFormat="0" applyFill="0" applyBorder="0" applyProtection="0">
      <alignment horizontal="left" vertical="center"/>
    </xf>
    <xf numFmtId="49" fontId="36" fillId="0" borderId="42" applyNumberFormat="0" applyFont="0" applyFill="0" applyBorder="0" applyProtection="0">
      <alignment horizontal="left" vertical="center" indent="5"/>
    </xf>
    <xf numFmtId="0" fontId="36" fillId="33" borderId="42">
      <alignment horizontal="left" vertical="center"/>
    </xf>
    <xf numFmtId="0" fontId="48" fillId="57" borderId="38" applyNumberFormat="0" applyAlignment="0" applyProtection="0"/>
    <xf numFmtId="4" fontId="34" fillId="35" borderId="43">
      <alignment horizontal="right" vertical="center"/>
    </xf>
    <xf numFmtId="0" fontId="60" fillId="44" borderId="38" applyNumberFormat="0" applyAlignment="0" applyProtection="0"/>
    <xf numFmtId="0" fontId="60" fillId="44" borderId="38" applyNumberFormat="0" applyAlignment="0" applyProtection="0"/>
    <xf numFmtId="0" fontId="42" fillId="60" borderId="40" applyNumberFormat="0" applyFont="0" applyAlignment="0" applyProtection="0"/>
    <xf numFmtId="0" fontId="64" fillId="57" borderId="37" applyNumberFormat="0" applyAlignment="0" applyProtection="0"/>
    <xf numFmtId="0" fontId="67" fillId="0" borderId="39" applyNumberFormat="0" applyFill="0" applyAlignment="0" applyProtection="0"/>
    <xf numFmtId="0" fontId="34" fillId="35" borderId="41">
      <alignment horizontal="right" vertical="center"/>
    </xf>
    <xf numFmtId="0" fontId="5" fillId="60" borderId="40" applyNumberFormat="0" applyFont="0" applyAlignment="0" applyProtection="0"/>
    <xf numFmtId="4" fontId="36" fillId="0" borderId="41">
      <alignment horizontal="right" vertical="center"/>
    </xf>
    <xf numFmtId="0" fontId="67" fillId="0" borderId="39" applyNumberFormat="0" applyFill="0" applyAlignment="0" applyProtection="0"/>
    <xf numFmtId="0" fontId="34" fillId="35" borderId="41">
      <alignment horizontal="right" vertical="center"/>
    </xf>
    <xf numFmtId="0" fontId="34" fillId="35" borderId="41">
      <alignment horizontal="right" vertical="center"/>
    </xf>
    <xf numFmtId="4" fontId="38" fillId="33" borderId="41">
      <alignment horizontal="right" vertical="center"/>
    </xf>
    <xf numFmtId="0" fontId="34" fillId="33" borderId="41">
      <alignment horizontal="right" vertical="center"/>
    </xf>
    <xf numFmtId="4" fontId="34" fillId="33" borderId="41">
      <alignment horizontal="right" vertical="center"/>
    </xf>
    <xf numFmtId="0" fontId="38" fillId="33" borderId="41">
      <alignment horizontal="right" vertical="center"/>
    </xf>
    <xf numFmtId="4" fontId="38" fillId="33" borderId="41">
      <alignment horizontal="right" vertical="center"/>
    </xf>
    <xf numFmtId="0" fontId="34" fillId="35" borderId="41">
      <alignment horizontal="right" vertical="center"/>
    </xf>
    <xf numFmtId="4" fontId="34" fillId="35" borderId="41">
      <alignment horizontal="right" vertical="center"/>
    </xf>
    <xf numFmtId="0" fontId="34" fillId="35" borderId="41">
      <alignment horizontal="right" vertical="center"/>
    </xf>
    <xf numFmtId="4" fontId="34" fillId="35" borderId="41">
      <alignment horizontal="right" vertical="center"/>
    </xf>
    <xf numFmtId="0" fontId="34" fillId="35" borderId="42">
      <alignment horizontal="right" vertical="center"/>
    </xf>
    <xf numFmtId="4" fontId="34" fillId="35" borderId="42">
      <alignment horizontal="right" vertical="center"/>
    </xf>
    <xf numFmtId="0" fontId="34" fillId="35" borderId="43">
      <alignment horizontal="right" vertical="center"/>
    </xf>
    <xf numFmtId="4" fontId="34" fillId="35" borderId="43">
      <alignment horizontal="right" vertical="center"/>
    </xf>
    <xf numFmtId="0" fontId="48" fillId="57" borderId="38" applyNumberFormat="0" applyAlignment="0" applyProtection="0"/>
    <xf numFmtId="0" fontId="36" fillId="35" borderId="44">
      <alignment horizontal="left" vertical="center" wrapText="1" indent="2"/>
    </xf>
    <xf numFmtId="0" fontId="36" fillId="0" borderId="44">
      <alignment horizontal="left" vertical="center" wrapText="1" indent="2"/>
    </xf>
    <xf numFmtId="0" fontId="36" fillId="33" borderId="42">
      <alignment horizontal="left" vertical="center"/>
    </xf>
    <xf numFmtId="0" fontId="60" fillId="44" borderId="38" applyNumberFormat="0" applyAlignment="0" applyProtection="0"/>
    <xf numFmtId="0" fontId="36" fillId="0" borderId="41">
      <alignment horizontal="right" vertical="center"/>
    </xf>
    <xf numFmtId="4" fontId="36" fillId="0" borderId="41">
      <alignment horizontal="right" vertical="center"/>
    </xf>
    <xf numFmtId="0" fontId="36" fillId="0" borderId="41" applyNumberFormat="0" applyFill="0" applyAlignment="0" applyProtection="0"/>
    <xf numFmtId="0" fontId="64" fillId="57" borderId="37" applyNumberFormat="0" applyAlignment="0" applyProtection="0"/>
    <xf numFmtId="174" fontId="36" fillId="61" borderId="41" applyNumberFormat="0" applyFont="0" applyBorder="0" applyAlignment="0" applyProtection="0">
      <alignment horizontal="right" vertical="center"/>
    </xf>
    <xf numFmtId="0" fontId="36" fillId="34" borderId="41"/>
    <xf numFmtId="4" fontId="36" fillId="34" borderId="41"/>
    <xf numFmtId="0" fontId="67" fillId="0" borderId="39" applyNumberFormat="0" applyFill="0" applyAlignment="0" applyProtection="0"/>
    <xf numFmtId="0" fontId="5" fillId="60" borderId="40" applyNumberFormat="0" applyFont="0" applyAlignment="0" applyProtection="0"/>
    <xf numFmtId="0" fontId="42" fillId="60" borderId="40" applyNumberFormat="0" applyFont="0" applyAlignment="0" applyProtection="0"/>
    <xf numFmtId="0" fontId="36" fillId="0" borderId="41" applyNumberFormat="0" applyFill="0" applyAlignment="0" applyProtection="0"/>
    <xf numFmtId="0" fontId="52" fillId="0" borderId="39" applyNumberFormat="0" applyFill="0" applyAlignment="0" applyProtection="0"/>
    <xf numFmtId="0" fontId="67" fillId="0" borderId="39" applyNumberFormat="0" applyFill="0" applyAlignment="0" applyProtection="0"/>
    <xf numFmtId="0" fontId="51" fillId="44" borderId="38" applyNumberFormat="0" applyAlignment="0" applyProtection="0"/>
    <xf numFmtId="0" fontId="48" fillId="57" borderId="38" applyNumberFormat="0" applyAlignment="0" applyProtection="0"/>
    <xf numFmtId="4" fontId="38" fillId="33" borderId="41">
      <alignment horizontal="right" vertical="center"/>
    </xf>
    <xf numFmtId="0" fontId="34" fillId="33" borderId="41">
      <alignment horizontal="right" vertical="center"/>
    </xf>
    <xf numFmtId="174" fontId="36" fillId="61" borderId="41" applyNumberFormat="0" applyFont="0" applyBorder="0" applyAlignment="0" applyProtection="0">
      <alignment horizontal="right" vertical="center"/>
    </xf>
    <xf numFmtId="0" fontId="52" fillId="0" borderId="39" applyNumberFormat="0" applyFill="0" applyAlignment="0" applyProtection="0"/>
    <xf numFmtId="49" fontId="36" fillId="0" borderId="41" applyNumberFormat="0" applyFont="0" applyFill="0" applyBorder="0" applyProtection="0">
      <alignment horizontal="left" vertical="center" indent="2"/>
    </xf>
    <xf numFmtId="49" fontId="36" fillId="0" borderId="42" applyNumberFormat="0" applyFont="0" applyFill="0" applyBorder="0" applyProtection="0">
      <alignment horizontal="left" vertical="center" indent="5"/>
    </xf>
    <xf numFmtId="49" fontId="36" fillId="0" borderId="41" applyNumberFormat="0" applyFont="0" applyFill="0" applyBorder="0" applyProtection="0">
      <alignment horizontal="left" vertical="center" indent="2"/>
    </xf>
    <xf numFmtId="4" fontId="36" fillId="0" borderId="41" applyFill="0" applyBorder="0" applyProtection="0">
      <alignment horizontal="right" vertical="center"/>
    </xf>
    <xf numFmtId="49" fontId="35" fillId="0" borderId="41" applyNumberFormat="0" applyFill="0" applyBorder="0" applyProtection="0">
      <alignment horizontal="left" vertical="center"/>
    </xf>
    <xf numFmtId="0" fontId="36" fillId="0" borderId="44">
      <alignment horizontal="left" vertical="center" wrapText="1" indent="2"/>
    </xf>
    <xf numFmtId="0" fontId="64" fillId="57" borderId="37" applyNumberFormat="0" applyAlignment="0" applyProtection="0"/>
    <xf numFmtId="0" fontId="34" fillId="35" borderId="43">
      <alignment horizontal="right" vertical="center"/>
    </xf>
    <xf numFmtId="0" fontId="51" fillId="44" borderId="38" applyNumberFormat="0" applyAlignment="0" applyProtection="0"/>
    <xf numFmtId="0" fontId="34" fillId="35" borderId="43">
      <alignment horizontal="right" vertical="center"/>
    </xf>
    <xf numFmtId="4" fontId="34" fillId="35" borderId="41">
      <alignment horizontal="right" vertical="center"/>
    </xf>
    <xf numFmtId="0" fontId="34" fillId="35" borderId="41">
      <alignment horizontal="right" vertical="center"/>
    </xf>
    <xf numFmtId="0" fontId="45" fillId="57" borderId="37" applyNumberFormat="0" applyAlignment="0" applyProtection="0"/>
    <xf numFmtId="0" fontId="47" fillId="57" borderId="38" applyNumberFormat="0" applyAlignment="0" applyProtection="0"/>
    <xf numFmtId="0" fontId="52" fillId="0" borderId="39" applyNumberFormat="0" applyFill="0" applyAlignment="0" applyProtection="0"/>
    <xf numFmtId="0" fontId="36" fillId="34" borderId="41"/>
    <xf numFmtId="4" fontId="36" fillId="34" borderId="41"/>
    <xf numFmtId="4" fontId="34" fillId="35" borderId="41">
      <alignment horizontal="right" vertical="center"/>
    </xf>
    <xf numFmtId="0" fontId="38" fillId="33" borderId="41">
      <alignment horizontal="right" vertical="center"/>
    </xf>
    <xf numFmtId="0" fontId="51" fillId="44" borderId="38" applyNumberFormat="0" applyAlignment="0" applyProtection="0"/>
    <xf numFmtId="0" fontId="48" fillId="57" borderId="38" applyNumberFormat="0" applyAlignment="0" applyProtection="0"/>
    <xf numFmtId="4" fontId="36" fillId="0" borderId="41">
      <alignment horizontal="right" vertical="center"/>
    </xf>
    <xf numFmtId="0" fontId="36" fillId="35" borderId="44">
      <alignment horizontal="left" vertical="center" wrapText="1" indent="2"/>
    </xf>
    <xf numFmtId="0" fontId="36" fillId="0" borderId="44">
      <alignment horizontal="left" vertical="center" wrapText="1" indent="2"/>
    </xf>
    <xf numFmtId="0" fontId="64" fillId="57" borderId="37" applyNumberFormat="0" applyAlignment="0" applyProtection="0"/>
    <xf numFmtId="0" fontId="60" fillId="44" borderId="38" applyNumberFormat="0" applyAlignment="0" applyProtection="0"/>
    <xf numFmtId="0" fontId="47" fillId="57" borderId="38" applyNumberFormat="0" applyAlignment="0" applyProtection="0"/>
    <xf numFmtId="0" fontId="45" fillId="57" borderId="37" applyNumberFormat="0" applyAlignment="0" applyProtection="0"/>
    <xf numFmtId="0" fontId="34" fillId="35" borderId="43">
      <alignment horizontal="right" vertical="center"/>
    </xf>
    <xf numFmtId="0" fontId="38" fillId="33" borderId="41">
      <alignment horizontal="right" vertical="center"/>
    </xf>
    <xf numFmtId="4" fontId="34" fillId="33" borderId="41">
      <alignment horizontal="right" vertical="center"/>
    </xf>
    <xf numFmtId="4" fontId="34" fillId="35" borderId="41">
      <alignment horizontal="right" vertical="center"/>
    </xf>
    <xf numFmtId="49" fontId="36" fillId="0" borderId="42" applyNumberFormat="0" applyFont="0" applyFill="0" applyBorder="0" applyProtection="0">
      <alignment horizontal="left" vertical="center" indent="5"/>
    </xf>
    <xf numFmtId="4" fontId="36" fillId="0" borderId="41" applyFill="0" applyBorder="0" applyProtection="0">
      <alignment horizontal="right" vertical="center"/>
    </xf>
    <xf numFmtId="4" fontId="34" fillId="33" borderId="41">
      <alignment horizontal="right" vertical="center"/>
    </xf>
    <xf numFmtId="0" fontId="60" fillId="44" borderId="38" applyNumberFormat="0" applyAlignment="0" applyProtection="0"/>
    <xf numFmtId="0" fontId="51" fillId="44" borderId="38" applyNumberFormat="0" applyAlignment="0" applyProtection="0"/>
    <xf numFmtId="0" fontId="47" fillId="57" borderId="38" applyNumberFormat="0" applyAlignment="0" applyProtection="0"/>
    <xf numFmtId="0" fontId="36" fillId="35" borderId="44">
      <alignment horizontal="left" vertical="center" wrapText="1" indent="2"/>
    </xf>
    <xf numFmtId="0" fontId="36" fillId="0" borderId="44">
      <alignment horizontal="left" vertical="center" wrapText="1" indent="2"/>
    </xf>
    <xf numFmtId="0" fontId="36" fillId="35" borderId="44">
      <alignment horizontal="left" vertical="center" wrapText="1" indent="2"/>
    </xf>
    <xf numFmtId="0" fontId="36" fillId="0" borderId="44">
      <alignment horizontal="left" vertical="center" wrapText="1" indent="2"/>
    </xf>
    <xf numFmtId="0" fontId="45" fillId="57" borderId="37" applyNumberFormat="0" applyAlignment="0" applyProtection="0"/>
    <xf numFmtId="0" fontId="47" fillId="57" borderId="38" applyNumberFormat="0" applyAlignment="0" applyProtection="0"/>
    <xf numFmtId="0" fontId="48" fillId="57" borderId="38" applyNumberFormat="0" applyAlignment="0" applyProtection="0"/>
    <xf numFmtId="0" fontId="51" fillId="44" borderId="38" applyNumberFormat="0" applyAlignment="0" applyProtection="0"/>
    <xf numFmtId="0" fontId="52" fillId="0" borderId="39" applyNumberFormat="0" applyFill="0" applyAlignment="0" applyProtection="0"/>
    <xf numFmtId="0" fontId="60" fillId="44" borderId="38" applyNumberFormat="0" applyAlignment="0" applyProtection="0"/>
    <xf numFmtId="0" fontId="42" fillId="60" borderId="40" applyNumberFormat="0" applyFont="0" applyAlignment="0" applyProtection="0"/>
    <xf numFmtId="0" fontId="5" fillId="60" borderId="40" applyNumberFormat="0" applyFont="0" applyAlignment="0" applyProtection="0"/>
    <xf numFmtId="0" fontId="64" fillId="57" borderId="37" applyNumberFormat="0" applyAlignment="0" applyProtection="0"/>
    <xf numFmtId="0" fontId="67" fillId="0" borderId="39" applyNumberFormat="0" applyFill="0" applyAlignment="0" applyProtection="0"/>
    <xf numFmtId="0" fontId="48" fillId="57" borderId="38" applyNumberFormat="0" applyAlignment="0" applyProtection="0"/>
    <xf numFmtId="0" fontId="60" fillId="44" borderId="38" applyNumberFormat="0" applyAlignment="0" applyProtection="0"/>
    <xf numFmtId="0" fontId="42" fillId="60" borderId="40" applyNumberFormat="0" applyFont="0" applyAlignment="0" applyProtection="0"/>
    <xf numFmtId="0" fontId="64" fillId="57" borderId="37" applyNumberFormat="0" applyAlignment="0" applyProtection="0"/>
    <xf numFmtId="0" fontId="67" fillId="0" borderId="39" applyNumberFormat="0" applyFill="0" applyAlignment="0" applyProtection="0"/>
    <xf numFmtId="0" fontId="48" fillId="57" borderId="38" applyNumberFormat="0" applyAlignment="0" applyProtection="0"/>
    <xf numFmtId="0" fontId="60" fillId="44" borderId="38" applyNumberFormat="0" applyAlignment="0" applyProtection="0"/>
    <xf numFmtId="0" fontId="64" fillId="57" borderId="37" applyNumberFormat="0" applyAlignment="0" applyProtection="0"/>
    <xf numFmtId="0" fontId="67" fillId="0" borderId="39" applyNumberFormat="0" applyFill="0" applyAlignment="0" applyProtection="0"/>
    <xf numFmtId="0" fontId="45" fillId="57" borderId="37" applyNumberFormat="0" applyAlignment="0" applyProtection="0"/>
    <xf numFmtId="0" fontId="47" fillId="57" borderId="38" applyNumberFormat="0" applyAlignment="0" applyProtection="0"/>
    <xf numFmtId="0" fontId="52" fillId="0" borderId="39" applyNumberFormat="0" applyFill="0" applyAlignment="0" applyProtection="0"/>
    <xf numFmtId="49" fontId="36" fillId="0" borderId="41" applyNumberFormat="0" applyFont="0" applyFill="0" applyBorder="0" applyProtection="0">
      <alignment horizontal="left" vertical="center" indent="2"/>
    </xf>
    <xf numFmtId="0" fontId="34" fillId="33" borderId="41">
      <alignment horizontal="right" vertical="center"/>
    </xf>
    <xf numFmtId="4" fontId="34" fillId="33" borderId="41">
      <alignment horizontal="right" vertical="center"/>
    </xf>
    <xf numFmtId="0" fontId="38" fillId="33" borderId="41">
      <alignment horizontal="right" vertical="center"/>
    </xf>
    <xf numFmtId="4" fontId="38" fillId="33" borderId="41">
      <alignment horizontal="right" vertical="center"/>
    </xf>
    <xf numFmtId="0" fontId="34" fillId="35" borderId="41">
      <alignment horizontal="right" vertical="center"/>
    </xf>
    <xf numFmtId="4" fontId="34" fillId="35" borderId="41">
      <alignment horizontal="right" vertical="center"/>
    </xf>
    <xf numFmtId="0" fontId="34" fillId="35" borderId="41">
      <alignment horizontal="right" vertical="center"/>
    </xf>
    <xf numFmtId="4" fontId="34" fillId="35" borderId="41">
      <alignment horizontal="right" vertical="center"/>
    </xf>
    <xf numFmtId="0" fontId="51" fillId="44" borderId="38" applyNumberFormat="0" applyAlignment="0" applyProtection="0"/>
    <xf numFmtId="0" fontId="36" fillId="0" borderId="41">
      <alignment horizontal="right" vertical="center"/>
    </xf>
    <xf numFmtId="4" fontId="36" fillId="0" borderId="41">
      <alignment horizontal="right" vertical="center"/>
    </xf>
    <xf numFmtId="4" fontId="36" fillId="0" borderId="41" applyFill="0" applyBorder="0" applyProtection="0">
      <alignment horizontal="right" vertical="center"/>
    </xf>
    <xf numFmtId="49" fontId="35" fillId="0" borderId="41" applyNumberFormat="0" applyFill="0" applyBorder="0" applyProtection="0">
      <alignment horizontal="left" vertical="center"/>
    </xf>
    <xf numFmtId="0" fontId="36" fillId="0" borderId="41" applyNumberFormat="0" applyFill="0" applyAlignment="0" applyProtection="0"/>
    <xf numFmtId="174" fontId="36" fillId="61" borderId="41" applyNumberFormat="0" applyFont="0" applyBorder="0" applyAlignment="0" applyProtection="0">
      <alignment horizontal="right" vertical="center"/>
    </xf>
    <xf numFmtId="0" fontId="36" fillId="34" borderId="41"/>
    <xf numFmtId="4" fontId="36" fillId="34" borderId="41"/>
    <xf numFmtId="4" fontId="34" fillId="35" borderId="41">
      <alignment horizontal="right" vertical="center"/>
    </xf>
    <xf numFmtId="0" fontId="36" fillId="34" borderId="41"/>
    <xf numFmtId="0" fontId="47" fillId="57" borderId="38" applyNumberFormat="0" applyAlignment="0" applyProtection="0"/>
    <xf numFmtId="0" fontId="34" fillId="33" borderId="41">
      <alignment horizontal="right" vertical="center"/>
    </xf>
    <xf numFmtId="0" fontId="36" fillId="0" borderId="41">
      <alignment horizontal="right" vertical="center"/>
    </xf>
    <xf numFmtId="0" fontId="67" fillId="0" borderId="39" applyNumberFormat="0" applyFill="0" applyAlignment="0" applyProtection="0"/>
    <xf numFmtId="0" fontId="36" fillId="33" borderId="42">
      <alignment horizontal="left" vertical="center"/>
    </xf>
    <xf numFmtId="0" fontId="60" fillId="44" borderId="38" applyNumberFormat="0" applyAlignment="0" applyProtection="0"/>
    <xf numFmtId="174" fontId="36" fillId="61" borderId="41" applyNumberFormat="0" applyFont="0" applyBorder="0" applyAlignment="0" applyProtection="0">
      <alignment horizontal="right" vertical="center"/>
    </xf>
    <xf numFmtId="0" fontId="42" fillId="60" borderId="40" applyNumberFormat="0" applyFont="0" applyAlignment="0" applyProtection="0"/>
    <xf numFmtId="0" fontId="36" fillId="0" borderId="44">
      <alignment horizontal="left" vertical="center" wrapText="1" indent="2"/>
    </xf>
    <xf numFmtId="4" fontId="36" fillId="34" borderId="41"/>
    <xf numFmtId="49" fontId="35" fillId="0" borderId="41" applyNumberFormat="0" applyFill="0" applyBorder="0" applyProtection="0">
      <alignment horizontal="left" vertical="center"/>
    </xf>
    <xf numFmtId="0" fontId="36" fillId="0" borderId="41">
      <alignment horizontal="right" vertical="center"/>
    </xf>
    <xf numFmtId="4" fontId="34" fillId="35" borderId="43">
      <alignment horizontal="right" vertical="center"/>
    </xf>
    <xf numFmtId="4" fontId="34" fillId="35" borderId="41">
      <alignment horizontal="right" vertical="center"/>
    </xf>
    <xf numFmtId="4" fontId="34" fillId="35" borderId="41">
      <alignment horizontal="right" vertical="center"/>
    </xf>
    <xf numFmtId="0" fontId="38" fillId="33" borderId="41">
      <alignment horizontal="right" vertical="center"/>
    </xf>
    <xf numFmtId="0" fontId="34" fillId="33" borderId="41">
      <alignment horizontal="right" vertical="center"/>
    </xf>
    <xf numFmtId="49" fontId="36" fillId="0" borderId="41" applyNumberFormat="0" applyFont="0" applyFill="0" applyBorder="0" applyProtection="0">
      <alignment horizontal="left" vertical="center" indent="2"/>
    </xf>
    <xf numFmtId="0" fontId="60" fillId="44" borderId="38" applyNumberFormat="0" applyAlignment="0" applyProtection="0"/>
    <xf numFmtId="0" fontId="45" fillId="57" borderId="37" applyNumberFormat="0" applyAlignment="0" applyProtection="0"/>
    <xf numFmtId="49" fontId="36" fillId="0" borderId="41" applyNumberFormat="0" applyFont="0" applyFill="0" applyBorder="0" applyProtection="0">
      <alignment horizontal="left" vertical="center" indent="2"/>
    </xf>
    <xf numFmtId="0" fontId="51" fillId="44" borderId="38" applyNumberFormat="0" applyAlignment="0" applyProtection="0"/>
    <xf numFmtId="4" fontId="36" fillId="0" borderId="41" applyFill="0" applyBorder="0" applyProtection="0">
      <alignment horizontal="right" vertical="center"/>
    </xf>
    <xf numFmtId="0" fontId="48" fillId="57" borderId="38" applyNumberFormat="0" applyAlignment="0" applyProtection="0"/>
    <xf numFmtId="0" fontId="67" fillId="0" borderId="39" applyNumberFormat="0" applyFill="0" applyAlignment="0" applyProtection="0"/>
    <xf numFmtId="0" fontId="64" fillId="57" borderId="37" applyNumberFormat="0" applyAlignment="0" applyProtection="0"/>
    <xf numFmtId="0" fontId="36" fillId="0" borderId="41" applyNumberFormat="0" applyFill="0" applyAlignment="0" applyProtection="0"/>
    <xf numFmtId="4" fontId="36" fillId="0" borderId="41">
      <alignment horizontal="right" vertical="center"/>
    </xf>
    <xf numFmtId="0" fontId="36" fillId="0" borderId="41">
      <alignment horizontal="right" vertical="center"/>
    </xf>
    <xf numFmtId="0" fontId="60" fillId="44" borderId="38" applyNumberFormat="0" applyAlignment="0" applyProtection="0"/>
    <xf numFmtId="0" fontId="45" fillId="57" borderId="37" applyNumberFormat="0" applyAlignment="0" applyProtection="0"/>
    <xf numFmtId="0" fontId="47" fillId="57" borderId="38" applyNumberFormat="0" applyAlignment="0" applyProtection="0"/>
    <xf numFmtId="0" fontId="36" fillId="35" borderId="44">
      <alignment horizontal="left" vertical="center" wrapText="1" indent="2"/>
    </xf>
    <xf numFmtId="0" fontId="48" fillId="57" borderId="38" applyNumberFormat="0" applyAlignment="0" applyProtection="0"/>
    <xf numFmtId="0" fontId="48" fillId="57" borderId="38" applyNumberFormat="0" applyAlignment="0" applyProtection="0"/>
    <xf numFmtId="4" fontId="34" fillId="35" borderId="42">
      <alignment horizontal="right" vertical="center"/>
    </xf>
    <xf numFmtId="0" fontId="34" fillId="35" borderId="42">
      <alignment horizontal="right" vertical="center"/>
    </xf>
    <xf numFmtId="0" fontId="34" fillId="35" borderId="41">
      <alignment horizontal="right" vertical="center"/>
    </xf>
    <xf numFmtId="4" fontId="38" fillId="33" borderId="41">
      <alignment horizontal="right" vertical="center"/>
    </xf>
    <xf numFmtId="0" fontId="51" fillId="44" borderId="38" applyNumberFormat="0" applyAlignment="0" applyProtection="0"/>
    <xf numFmtId="0" fontId="52" fillId="0" borderId="39" applyNumberFormat="0" applyFill="0" applyAlignment="0" applyProtection="0"/>
    <xf numFmtId="0" fontId="67" fillId="0" borderId="39" applyNumberFormat="0" applyFill="0" applyAlignment="0" applyProtection="0"/>
    <xf numFmtId="0" fontId="42" fillId="60" borderId="40" applyNumberFormat="0" applyFont="0" applyAlignment="0" applyProtection="0"/>
    <xf numFmtId="0" fontId="60" fillId="44" borderId="38" applyNumberFormat="0" applyAlignment="0" applyProtection="0"/>
    <xf numFmtId="49" fontId="35" fillId="0" borderId="41" applyNumberFormat="0" applyFill="0" applyBorder="0" applyProtection="0">
      <alignment horizontal="left" vertical="center"/>
    </xf>
    <xf numFmtId="0" fontId="36" fillId="35" borderId="44">
      <alignment horizontal="left" vertical="center" wrapText="1" indent="2"/>
    </xf>
    <xf numFmtId="0" fontId="48" fillId="57" borderId="38" applyNumberFormat="0" applyAlignment="0" applyProtection="0"/>
    <xf numFmtId="0" fontId="36" fillId="0" borderId="44">
      <alignment horizontal="left" vertical="center" wrapText="1" indent="2"/>
    </xf>
    <xf numFmtId="0" fontId="42" fillId="60" borderId="40" applyNumberFormat="0" applyFont="0" applyAlignment="0" applyProtection="0"/>
    <xf numFmtId="0" fontId="5" fillId="60" borderId="40" applyNumberFormat="0" applyFont="0" applyAlignment="0" applyProtection="0"/>
    <xf numFmtId="0" fontId="64" fillId="57" borderId="37" applyNumberFormat="0" applyAlignment="0" applyProtection="0"/>
    <xf numFmtId="0" fontId="67" fillId="0" borderId="39" applyNumberFormat="0" applyFill="0" applyAlignment="0" applyProtection="0"/>
    <xf numFmtId="4" fontId="36" fillId="34" borderId="41"/>
    <xf numFmtId="0" fontId="34" fillId="35" borderId="41">
      <alignment horizontal="right" vertical="center"/>
    </xf>
    <xf numFmtId="0" fontId="67" fillId="0" borderId="39" applyNumberFormat="0" applyFill="0" applyAlignment="0" applyProtection="0"/>
    <xf numFmtId="4" fontId="34" fillId="35" borderId="43">
      <alignment horizontal="right" vertical="center"/>
    </xf>
    <xf numFmtId="0" fontId="47" fillId="57" borderId="38" applyNumberFormat="0" applyAlignment="0" applyProtection="0"/>
    <xf numFmtId="0" fontId="34" fillId="35" borderId="42">
      <alignment horizontal="right" vertical="center"/>
    </xf>
    <xf numFmtId="0" fontId="48" fillId="57" borderId="38" applyNumberFormat="0" applyAlignment="0" applyProtection="0"/>
    <xf numFmtId="0" fontId="52" fillId="0" borderId="39" applyNumberFormat="0" applyFill="0" applyAlignment="0" applyProtection="0"/>
    <xf numFmtId="0" fontId="42" fillId="60" borderId="40" applyNumberFormat="0" applyFont="0" applyAlignment="0" applyProtection="0"/>
    <xf numFmtId="4" fontId="34" fillId="35" borderId="42">
      <alignment horizontal="right" vertical="center"/>
    </xf>
    <xf numFmtId="0" fontId="36" fillId="35" borderId="44">
      <alignment horizontal="left" vertical="center" wrapText="1" indent="2"/>
    </xf>
    <xf numFmtId="0" fontId="36" fillId="34" borderId="41"/>
    <xf numFmtId="174" fontId="36" fillId="61" borderId="41" applyNumberFormat="0" applyFont="0" applyBorder="0" applyAlignment="0" applyProtection="0">
      <alignment horizontal="right" vertical="center"/>
    </xf>
    <xf numFmtId="0" fontId="36" fillId="0" borderId="41" applyNumberFormat="0" applyFill="0" applyAlignment="0" applyProtection="0"/>
    <xf numFmtId="4" fontId="36" fillId="0" borderId="41" applyFill="0" applyBorder="0" applyProtection="0">
      <alignment horizontal="right" vertical="center"/>
    </xf>
    <xf numFmtId="4" fontId="34" fillId="33" borderId="41">
      <alignment horizontal="right" vertical="center"/>
    </xf>
    <xf numFmtId="0" fontId="52" fillId="0" borderId="39" applyNumberFormat="0" applyFill="0" applyAlignment="0" applyProtection="0"/>
    <xf numFmtId="49" fontId="35" fillId="0" borderId="41" applyNumberFormat="0" applyFill="0" applyBorder="0" applyProtection="0">
      <alignment horizontal="left" vertical="center"/>
    </xf>
    <xf numFmtId="49" fontId="36" fillId="0" borderId="42" applyNumberFormat="0" applyFont="0" applyFill="0" applyBorder="0" applyProtection="0">
      <alignment horizontal="left" vertical="center" indent="5"/>
    </xf>
    <xf numFmtId="0" fontId="36" fillId="33" borderId="42">
      <alignment horizontal="left" vertical="center"/>
    </xf>
    <xf numFmtId="0" fontId="48" fillId="57" borderId="38" applyNumberFormat="0" applyAlignment="0" applyProtection="0"/>
    <xf numFmtId="4" fontId="34" fillId="35" borderId="43">
      <alignment horizontal="right" vertical="center"/>
    </xf>
    <xf numFmtId="0" fontId="60" fillId="44" borderId="38" applyNumberFormat="0" applyAlignment="0" applyProtection="0"/>
    <xf numFmtId="0" fontId="60" fillId="44" borderId="38" applyNumberFormat="0" applyAlignment="0" applyProtection="0"/>
    <xf numFmtId="0" fontId="42" fillId="60" borderId="40" applyNumberFormat="0" applyFont="0" applyAlignment="0" applyProtection="0"/>
    <xf numFmtId="0" fontId="64" fillId="57" borderId="37" applyNumberFormat="0" applyAlignment="0" applyProtection="0"/>
    <xf numFmtId="0" fontId="67" fillId="0" borderId="39" applyNumberFormat="0" applyFill="0" applyAlignment="0" applyProtection="0"/>
    <xf numFmtId="0" fontId="34" fillId="35" borderId="41">
      <alignment horizontal="right" vertical="center"/>
    </xf>
    <xf numFmtId="0" fontId="5" fillId="60" borderId="40" applyNumberFormat="0" applyFont="0" applyAlignment="0" applyProtection="0"/>
    <xf numFmtId="4" fontId="36" fillId="0" borderId="41">
      <alignment horizontal="right" vertical="center"/>
    </xf>
    <xf numFmtId="0" fontId="67" fillId="0" borderId="39" applyNumberFormat="0" applyFill="0" applyAlignment="0" applyProtection="0"/>
    <xf numFmtId="0" fontId="34" fillId="35" borderId="41">
      <alignment horizontal="right" vertical="center"/>
    </xf>
    <xf numFmtId="0" fontId="34" fillId="35" borderId="41">
      <alignment horizontal="right" vertical="center"/>
    </xf>
    <xf numFmtId="4" fontId="38" fillId="33" borderId="41">
      <alignment horizontal="right" vertical="center"/>
    </xf>
    <xf numFmtId="0" fontId="34" fillId="33" borderId="41">
      <alignment horizontal="right" vertical="center"/>
    </xf>
    <xf numFmtId="4" fontId="34" fillId="33" borderId="41">
      <alignment horizontal="right" vertical="center"/>
    </xf>
    <xf numFmtId="0" fontId="38" fillId="33" borderId="41">
      <alignment horizontal="right" vertical="center"/>
    </xf>
    <xf numFmtId="4" fontId="38" fillId="33" borderId="41">
      <alignment horizontal="right" vertical="center"/>
    </xf>
    <xf numFmtId="0" fontId="34" fillId="35" borderId="41">
      <alignment horizontal="right" vertical="center"/>
    </xf>
    <xf numFmtId="4" fontId="34" fillId="35" borderId="41">
      <alignment horizontal="right" vertical="center"/>
    </xf>
    <xf numFmtId="0" fontId="34" fillId="35" borderId="41">
      <alignment horizontal="right" vertical="center"/>
    </xf>
    <xf numFmtId="4" fontId="34" fillId="35" borderId="41">
      <alignment horizontal="right" vertical="center"/>
    </xf>
    <xf numFmtId="0" fontId="34" fillId="35" borderId="42">
      <alignment horizontal="right" vertical="center"/>
    </xf>
    <xf numFmtId="4" fontId="34" fillId="35" borderId="42">
      <alignment horizontal="right" vertical="center"/>
    </xf>
    <xf numFmtId="0" fontId="34" fillId="35" borderId="43">
      <alignment horizontal="right" vertical="center"/>
    </xf>
    <xf numFmtId="4" fontId="34" fillId="35" borderId="43">
      <alignment horizontal="right" vertical="center"/>
    </xf>
    <xf numFmtId="0" fontId="48" fillId="57" borderId="38" applyNumberFormat="0" applyAlignment="0" applyProtection="0"/>
    <xf numFmtId="0" fontId="36" fillId="35" borderId="44">
      <alignment horizontal="left" vertical="center" wrapText="1" indent="2"/>
    </xf>
    <xf numFmtId="0" fontId="36" fillId="0" borderId="44">
      <alignment horizontal="left" vertical="center" wrapText="1" indent="2"/>
    </xf>
    <xf numFmtId="0" fontId="36" fillId="33" borderId="42">
      <alignment horizontal="left" vertical="center"/>
    </xf>
    <xf numFmtId="0" fontId="60" fillId="44" borderId="38" applyNumberFormat="0" applyAlignment="0" applyProtection="0"/>
    <xf numFmtId="0" fontId="36" fillId="0" borderId="41">
      <alignment horizontal="right" vertical="center"/>
    </xf>
    <xf numFmtId="4" fontId="36" fillId="0" borderId="41">
      <alignment horizontal="right" vertical="center"/>
    </xf>
    <xf numFmtId="0" fontId="36" fillId="0" borderId="41" applyNumberFormat="0" applyFill="0" applyAlignment="0" applyProtection="0"/>
    <xf numFmtId="0" fontId="64" fillId="57" borderId="37" applyNumberFormat="0" applyAlignment="0" applyProtection="0"/>
    <xf numFmtId="174" fontId="36" fillId="61" borderId="41" applyNumberFormat="0" applyFont="0" applyBorder="0" applyAlignment="0" applyProtection="0">
      <alignment horizontal="right" vertical="center"/>
    </xf>
    <xf numFmtId="0" fontId="36" fillId="34" borderId="41"/>
    <xf numFmtId="4" fontId="36" fillId="34" borderId="41"/>
    <xf numFmtId="0" fontId="67" fillId="0" borderId="39" applyNumberFormat="0" applyFill="0" applyAlignment="0" applyProtection="0"/>
    <xf numFmtId="0" fontId="5" fillId="60" borderId="40" applyNumberFormat="0" applyFont="0" applyAlignment="0" applyProtection="0"/>
    <xf numFmtId="0" fontId="42" fillId="60" borderId="40" applyNumberFormat="0" applyFont="0" applyAlignment="0" applyProtection="0"/>
    <xf numFmtId="0" fontId="36" fillId="0" borderId="41" applyNumberFormat="0" applyFill="0" applyAlignment="0" applyProtection="0"/>
    <xf numFmtId="0" fontId="52" fillId="0" borderId="39" applyNumberFormat="0" applyFill="0" applyAlignment="0" applyProtection="0"/>
    <xf numFmtId="0" fontId="67" fillId="0" borderId="39" applyNumberFormat="0" applyFill="0" applyAlignment="0" applyProtection="0"/>
    <xf numFmtId="0" fontId="51" fillId="44" borderId="38" applyNumberFormat="0" applyAlignment="0" applyProtection="0"/>
    <xf numFmtId="0" fontId="48" fillId="57" borderId="38" applyNumberFormat="0" applyAlignment="0" applyProtection="0"/>
    <xf numFmtId="4" fontId="38" fillId="33" borderId="41">
      <alignment horizontal="right" vertical="center"/>
    </xf>
    <xf numFmtId="0" fontId="34" fillId="33" borderId="41">
      <alignment horizontal="right" vertical="center"/>
    </xf>
    <xf numFmtId="174" fontId="36" fillId="61" borderId="41" applyNumberFormat="0" applyFont="0" applyBorder="0" applyAlignment="0" applyProtection="0">
      <alignment horizontal="right" vertical="center"/>
    </xf>
    <xf numFmtId="0" fontId="52" fillId="0" borderId="39" applyNumberFormat="0" applyFill="0" applyAlignment="0" applyProtection="0"/>
    <xf numFmtId="49" fontId="36" fillId="0" borderId="41" applyNumberFormat="0" applyFont="0" applyFill="0" applyBorder="0" applyProtection="0">
      <alignment horizontal="left" vertical="center" indent="2"/>
    </xf>
    <xf numFmtId="49" fontId="36" fillId="0" borderId="42" applyNumberFormat="0" applyFont="0" applyFill="0" applyBorder="0" applyProtection="0">
      <alignment horizontal="left" vertical="center" indent="5"/>
    </xf>
    <xf numFmtId="49" fontId="36" fillId="0" borderId="41" applyNumberFormat="0" applyFont="0" applyFill="0" applyBorder="0" applyProtection="0">
      <alignment horizontal="left" vertical="center" indent="2"/>
    </xf>
    <xf numFmtId="4" fontId="36" fillId="0" borderId="41" applyFill="0" applyBorder="0" applyProtection="0">
      <alignment horizontal="right" vertical="center"/>
    </xf>
    <xf numFmtId="49" fontId="35" fillId="0" borderId="41" applyNumberFormat="0" applyFill="0" applyBorder="0" applyProtection="0">
      <alignment horizontal="left" vertical="center"/>
    </xf>
    <xf numFmtId="0" fontId="36" fillId="0" borderId="44">
      <alignment horizontal="left" vertical="center" wrapText="1" indent="2"/>
    </xf>
    <xf numFmtId="0" fontId="64" fillId="57" borderId="37" applyNumberFormat="0" applyAlignment="0" applyProtection="0"/>
    <xf numFmtId="0" fontId="34" fillId="35" borderId="43">
      <alignment horizontal="right" vertical="center"/>
    </xf>
    <xf numFmtId="0" fontId="51" fillId="44" borderId="38" applyNumberFormat="0" applyAlignment="0" applyProtection="0"/>
    <xf numFmtId="0" fontId="34" fillId="35" borderId="43">
      <alignment horizontal="right" vertical="center"/>
    </xf>
    <xf numFmtId="4" fontId="34" fillId="35" borderId="41">
      <alignment horizontal="right" vertical="center"/>
    </xf>
    <xf numFmtId="0" fontId="34" fillId="35" borderId="41">
      <alignment horizontal="right" vertical="center"/>
    </xf>
    <xf numFmtId="0" fontId="45" fillId="57" borderId="37" applyNumberFormat="0" applyAlignment="0" applyProtection="0"/>
    <xf numFmtId="0" fontId="47" fillId="57" borderId="38" applyNumberFormat="0" applyAlignment="0" applyProtection="0"/>
    <xf numFmtId="0" fontId="52" fillId="0" borderId="39" applyNumberFormat="0" applyFill="0" applyAlignment="0" applyProtection="0"/>
    <xf numFmtId="0" fontId="36" fillId="34" borderId="41"/>
    <xf numFmtId="4" fontId="36" fillId="34" borderId="41"/>
    <xf numFmtId="4" fontId="34" fillId="35" borderId="41">
      <alignment horizontal="right" vertical="center"/>
    </xf>
    <xf numFmtId="0" fontId="38" fillId="33" borderId="41">
      <alignment horizontal="right" vertical="center"/>
    </xf>
    <xf numFmtId="0" fontId="51" fillId="44" borderId="38" applyNumberFormat="0" applyAlignment="0" applyProtection="0"/>
    <xf numFmtId="0" fontId="48" fillId="57" borderId="38" applyNumberFormat="0" applyAlignment="0" applyProtection="0"/>
    <xf numFmtId="4" fontId="36" fillId="0" borderId="41">
      <alignment horizontal="right" vertical="center"/>
    </xf>
    <xf numFmtId="0" fontId="36" fillId="35" borderId="44">
      <alignment horizontal="left" vertical="center" wrapText="1" indent="2"/>
    </xf>
    <xf numFmtId="0" fontId="36" fillId="0" borderId="44">
      <alignment horizontal="left" vertical="center" wrapText="1" indent="2"/>
    </xf>
    <xf numFmtId="0" fontId="64" fillId="57" borderId="37" applyNumberFormat="0" applyAlignment="0" applyProtection="0"/>
    <xf numFmtId="0" fontId="60" fillId="44" borderId="38" applyNumberFormat="0" applyAlignment="0" applyProtection="0"/>
    <xf numFmtId="0" fontId="47" fillId="57" borderId="38" applyNumberFormat="0" applyAlignment="0" applyProtection="0"/>
    <xf numFmtId="0" fontId="45" fillId="57" borderId="37" applyNumberFormat="0" applyAlignment="0" applyProtection="0"/>
    <xf numFmtId="0" fontId="34" fillId="35" borderId="43">
      <alignment horizontal="right" vertical="center"/>
    </xf>
    <xf numFmtId="0" fontId="38" fillId="33" borderId="41">
      <alignment horizontal="right" vertical="center"/>
    </xf>
    <xf numFmtId="4" fontId="34" fillId="33" borderId="41">
      <alignment horizontal="right" vertical="center"/>
    </xf>
    <xf numFmtId="4" fontId="34" fillId="35" borderId="41">
      <alignment horizontal="right" vertical="center"/>
    </xf>
    <xf numFmtId="49" fontId="36" fillId="0" borderId="42" applyNumberFormat="0" applyFont="0" applyFill="0" applyBorder="0" applyProtection="0">
      <alignment horizontal="left" vertical="center" indent="5"/>
    </xf>
    <xf numFmtId="4" fontId="36" fillId="0" borderId="41" applyFill="0" applyBorder="0" applyProtection="0">
      <alignment horizontal="right" vertical="center"/>
    </xf>
    <xf numFmtId="4" fontId="34" fillId="33" borderId="41">
      <alignment horizontal="right" vertical="center"/>
    </xf>
    <xf numFmtId="0" fontId="60" fillId="44" borderId="38" applyNumberFormat="0" applyAlignment="0" applyProtection="0"/>
    <xf numFmtId="0" fontId="51" fillId="44" borderId="38" applyNumberFormat="0" applyAlignment="0" applyProtection="0"/>
    <xf numFmtId="0" fontId="47" fillId="57" borderId="38" applyNumberFormat="0" applyAlignment="0" applyProtection="0"/>
    <xf numFmtId="0" fontId="36" fillId="35" borderId="44">
      <alignment horizontal="left" vertical="center" wrapText="1" indent="2"/>
    </xf>
    <xf numFmtId="0" fontId="36" fillId="0" borderId="44">
      <alignment horizontal="left" vertical="center" wrapText="1" indent="2"/>
    </xf>
    <xf numFmtId="0" fontId="36" fillId="35" borderId="44">
      <alignment horizontal="left" vertical="center" wrapText="1" indent="2"/>
    </xf>
    <xf numFmtId="4" fontId="34" fillId="33" borderId="46">
      <alignment horizontal="right" vertical="center"/>
    </xf>
    <xf numFmtId="0" fontId="64" fillId="57" borderId="50" applyNumberFormat="0" applyAlignment="0" applyProtection="0"/>
    <xf numFmtId="0" fontId="67" fillId="0" borderId="52" applyNumberFormat="0" applyFill="0" applyAlignment="0" applyProtection="0"/>
    <xf numFmtId="0" fontId="47" fillId="57" borderId="51" applyNumberFormat="0" applyAlignment="0" applyProtection="0"/>
    <xf numFmtId="0" fontId="60" fillId="44" borderId="51" applyNumberFormat="0" applyAlignment="0" applyProtection="0"/>
    <xf numFmtId="0" fontId="5" fillId="60" borderId="45" applyNumberFormat="0" applyFont="0" applyAlignment="0" applyProtection="0"/>
    <xf numFmtId="0" fontId="36" fillId="34" borderId="46"/>
    <xf numFmtId="174" fontId="36" fillId="61" borderId="46" applyNumberFormat="0" applyFont="0" applyBorder="0" applyAlignment="0" applyProtection="0">
      <alignment horizontal="right" vertical="center"/>
    </xf>
    <xf numFmtId="0" fontId="36" fillId="0" borderId="49">
      <alignment horizontal="left" vertical="center" wrapText="1" indent="2"/>
    </xf>
    <xf numFmtId="0" fontId="60" fillId="44" borderId="51" applyNumberFormat="0" applyAlignment="0" applyProtection="0"/>
    <xf numFmtId="0" fontId="36" fillId="35" borderId="49">
      <alignment horizontal="left" vertical="center" wrapText="1" indent="2"/>
    </xf>
    <xf numFmtId="0" fontId="34" fillId="33" borderId="46">
      <alignment horizontal="right" vertical="center"/>
    </xf>
    <xf numFmtId="0" fontId="42" fillId="60" borderId="45" applyNumberFormat="0" applyFont="0" applyAlignment="0" applyProtection="0"/>
    <xf numFmtId="4" fontId="38" fillId="33" borderId="46">
      <alignment horizontal="right" vertical="center"/>
    </xf>
    <xf numFmtId="4" fontId="38" fillId="33" borderId="46">
      <alignment horizontal="right" vertical="center"/>
    </xf>
    <xf numFmtId="0" fontId="38" fillId="33" borderId="46">
      <alignment horizontal="right" vertical="center"/>
    </xf>
    <xf numFmtId="0" fontId="34" fillId="35" borderId="46">
      <alignment horizontal="right" vertical="center"/>
    </xf>
    <xf numFmtId="4" fontId="36" fillId="34" borderId="46"/>
    <xf numFmtId="174" fontId="36" fillId="61" borderId="46" applyNumberFormat="0" applyFont="0" applyBorder="0" applyAlignment="0" applyProtection="0">
      <alignment horizontal="right" vertical="center"/>
    </xf>
    <xf numFmtId="174" fontId="36" fillId="61" borderId="46" applyNumberFormat="0" applyFont="0" applyBorder="0" applyAlignment="0" applyProtection="0">
      <alignment horizontal="right" vertical="center"/>
    </xf>
    <xf numFmtId="0" fontId="64" fillId="57" borderId="50" applyNumberFormat="0" applyAlignment="0" applyProtection="0"/>
    <xf numFmtId="0" fontId="30" fillId="14" borderId="13" applyNumberFormat="0" applyAlignment="0" applyProtection="0"/>
    <xf numFmtId="0" fontId="31" fillId="14" borderId="12" applyNumberFormat="0" applyAlignment="0" applyProtection="0"/>
    <xf numFmtId="0" fontId="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2" fillId="0" borderId="14" applyNumberFormat="0" applyFill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13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13" fillId="20" borderId="0" applyNumberFormat="0" applyBorder="0" applyAlignment="0" applyProtection="0"/>
    <xf numFmtId="0" fontId="28" fillId="21" borderId="0" applyNumberFormat="0" applyBorder="0" applyAlignment="0" applyProtection="0"/>
    <xf numFmtId="0" fontId="28" fillId="22" borderId="0" applyNumberFormat="0" applyBorder="0" applyAlignment="0" applyProtection="0"/>
    <xf numFmtId="0" fontId="13" fillId="23" borderId="0" applyNumberFormat="0" applyBorder="0" applyAlignment="0" applyProtection="0"/>
    <xf numFmtId="0" fontId="28" fillId="24" borderId="0" applyNumberFormat="0" applyBorder="0" applyAlignment="0" applyProtection="0"/>
    <xf numFmtId="0" fontId="28" fillId="25" borderId="0" applyNumberFormat="0" applyBorder="0" applyAlignment="0" applyProtection="0"/>
    <xf numFmtId="0" fontId="13" fillId="26" borderId="0" applyNumberFormat="0" applyBorder="0" applyAlignment="0" applyProtection="0"/>
    <xf numFmtId="0" fontId="28" fillId="27" borderId="0" applyNumberFormat="0" applyBorder="0" applyAlignment="0" applyProtection="0"/>
    <xf numFmtId="0" fontId="28" fillId="28" borderId="0" applyNumberFormat="0" applyBorder="0" applyAlignment="0" applyProtection="0"/>
    <xf numFmtId="0" fontId="13" fillId="29" borderId="0" applyNumberFormat="0" applyBorder="0" applyAlignment="0" applyProtection="0"/>
    <xf numFmtId="0" fontId="28" fillId="30" borderId="0" applyNumberFormat="0" applyBorder="0" applyAlignment="0" applyProtection="0"/>
    <xf numFmtId="0" fontId="28" fillId="31" borderId="0" applyNumberFormat="0" applyBorder="0" applyAlignment="0" applyProtection="0"/>
    <xf numFmtId="0" fontId="13" fillId="32" borderId="0" applyNumberFormat="0" applyBorder="0" applyAlignment="0" applyProtection="0"/>
    <xf numFmtId="4" fontId="34" fillId="33" borderId="46">
      <alignment horizontal="right" vertical="center"/>
    </xf>
    <xf numFmtId="0" fontId="36" fillId="0" borderId="46" applyNumberFormat="0" applyFill="0" applyAlignment="0" applyProtection="0"/>
    <xf numFmtId="0" fontId="51" fillId="44" borderId="51" applyNumberFormat="0" applyAlignment="0" applyProtection="0"/>
    <xf numFmtId="4" fontId="36" fillId="34" borderId="46"/>
    <xf numFmtId="0" fontId="36" fillId="0" borderId="49">
      <alignment horizontal="left" vertical="center" wrapText="1" indent="2"/>
    </xf>
    <xf numFmtId="0" fontId="36" fillId="0" borderId="46" applyNumberFormat="0" applyFill="0" applyAlignment="0" applyProtection="0"/>
    <xf numFmtId="0" fontId="30" fillId="14" borderId="13" applyNumberFormat="0" applyAlignment="0" applyProtection="0"/>
    <xf numFmtId="0" fontId="34" fillId="35" borderId="47">
      <alignment horizontal="right" vertical="center"/>
    </xf>
    <xf numFmtId="0" fontId="34" fillId="35" borderId="46">
      <alignment horizontal="right" vertical="center"/>
    </xf>
    <xf numFmtId="0" fontId="34" fillId="35" borderId="46">
      <alignment horizontal="right" vertical="center"/>
    </xf>
    <xf numFmtId="0" fontId="38" fillId="33" borderId="46">
      <alignment horizontal="right" vertical="center"/>
    </xf>
    <xf numFmtId="0" fontId="34" fillId="33" borderId="46">
      <alignment horizontal="right" vertical="center"/>
    </xf>
    <xf numFmtId="0" fontId="34" fillId="35" borderId="46">
      <alignment horizontal="right" vertical="center"/>
    </xf>
    <xf numFmtId="4" fontId="36" fillId="0" borderId="46">
      <alignment horizontal="right" vertical="center"/>
    </xf>
    <xf numFmtId="0" fontId="5" fillId="60" borderId="45" applyNumberFormat="0" applyFont="0" applyAlignment="0" applyProtection="0"/>
    <xf numFmtId="0" fontId="34" fillId="35" borderId="46">
      <alignment horizontal="right" vertical="center"/>
    </xf>
    <xf numFmtId="4" fontId="34" fillId="35" borderId="48">
      <alignment horizontal="right" vertical="center"/>
    </xf>
    <xf numFmtId="0" fontId="34" fillId="35" borderId="46">
      <alignment horizontal="right" vertical="center"/>
    </xf>
    <xf numFmtId="0" fontId="67" fillId="0" borderId="52" applyNumberFormat="0" applyFill="0" applyAlignment="0" applyProtection="0"/>
    <xf numFmtId="0" fontId="5" fillId="60" borderId="45" applyNumberFormat="0" applyFont="0" applyAlignment="0" applyProtection="0"/>
    <xf numFmtId="0" fontId="36" fillId="0" borderId="49">
      <alignment horizontal="left" vertical="center" wrapText="1" indent="2"/>
    </xf>
    <xf numFmtId="0" fontId="36" fillId="35" borderId="49">
      <alignment horizontal="left" vertical="center" wrapText="1" indent="2"/>
    </xf>
    <xf numFmtId="0" fontId="42" fillId="60" borderId="45" applyNumberFormat="0" applyFont="0" applyAlignment="0" applyProtection="0"/>
    <xf numFmtId="0" fontId="67" fillId="0" borderId="52" applyNumberFormat="0" applyFill="0" applyAlignment="0" applyProtection="0"/>
    <xf numFmtId="0" fontId="52" fillId="0" borderId="52" applyNumberFormat="0" applyFill="0" applyAlignment="0" applyProtection="0"/>
    <xf numFmtId="49" fontId="36" fillId="0" borderId="46" applyNumberFormat="0" applyFont="0" applyFill="0" applyBorder="0" applyProtection="0">
      <alignment horizontal="left" vertical="center" indent="2"/>
    </xf>
    <xf numFmtId="0" fontId="38" fillId="33" borderId="46">
      <alignment horizontal="right" vertical="center"/>
    </xf>
    <xf numFmtId="4" fontId="34" fillId="35" borderId="46">
      <alignment horizontal="right" vertical="center"/>
    </xf>
    <xf numFmtId="0" fontId="36" fillId="0" borderId="46">
      <alignment horizontal="right" vertical="center"/>
    </xf>
    <xf numFmtId="4" fontId="36" fillId="34" borderId="46"/>
    <xf numFmtId="0" fontId="42" fillId="60" borderId="45" applyNumberFormat="0" applyFont="0" applyAlignment="0" applyProtection="0"/>
    <xf numFmtId="0" fontId="60" fillId="44" borderId="51" applyNumberFormat="0" applyAlignment="0" applyProtection="0"/>
    <xf numFmtId="0" fontId="36" fillId="0" borderId="46">
      <alignment horizontal="right" vertical="center"/>
    </xf>
    <xf numFmtId="0" fontId="36" fillId="34" borderId="46"/>
    <xf numFmtId="0" fontId="36" fillId="34" borderId="46"/>
    <xf numFmtId="49" fontId="35" fillId="0" borderId="46" applyNumberFormat="0" applyFill="0" applyBorder="0" applyProtection="0">
      <alignment horizontal="left" vertical="center"/>
    </xf>
    <xf numFmtId="0" fontId="36" fillId="0" borderId="46">
      <alignment horizontal="right" vertical="center"/>
    </xf>
    <xf numFmtId="0" fontId="34" fillId="35" borderId="46">
      <alignment horizontal="right" vertical="center"/>
    </xf>
    <xf numFmtId="4" fontId="34" fillId="35" borderId="46">
      <alignment horizontal="right" vertical="center"/>
    </xf>
    <xf numFmtId="4" fontId="38" fillId="33" borderId="46">
      <alignment horizontal="right" vertical="center"/>
    </xf>
    <xf numFmtId="0" fontId="34" fillId="33" borderId="46">
      <alignment horizontal="right" vertical="center"/>
    </xf>
    <xf numFmtId="0" fontId="45" fillId="57" borderId="50" applyNumberFormat="0" applyAlignment="0" applyProtection="0"/>
    <xf numFmtId="0" fontId="36" fillId="35" borderId="49">
      <alignment horizontal="left" vertical="center" wrapText="1" indent="2"/>
    </xf>
    <xf numFmtId="0" fontId="52" fillId="0" borderId="52" applyNumberFormat="0" applyFill="0" applyAlignment="0" applyProtection="0"/>
    <xf numFmtId="0" fontId="67" fillId="0" borderId="52" applyNumberFormat="0" applyFill="0" applyAlignment="0" applyProtection="0"/>
    <xf numFmtId="0" fontId="34" fillId="35" borderId="46">
      <alignment horizontal="right" vertical="center"/>
    </xf>
    <xf numFmtId="0" fontId="36" fillId="34" borderId="46"/>
    <xf numFmtId="0" fontId="34" fillId="35" borderId="46">
      <alignment horizontal="right" vertical="center"/>
    </xf>
    <xf numFmtId="0" fontId="34" fillId="35" borderId="47">
      <alignment horizontal="right" vertical="center"/>
    </xf>
    <xf numFmtId="4" fontId="34" fillId="35" borderId="47">
      <alignment horizontal="right" vertical="center"/>
    </xf>
    <xf numFmtId="0" fontId="48" fillId="57" borderId="51" applyNumberFormat="0" applyAlignment="0" applyProtection="0"/>
    <xf numFmtId="0" fontId="48" fillId="57" borderId="51" applyNumberFormat="0" applyAlignment="0" applyProtection="0"/>
    <xf numFmtId="0" fontId="36" fillId="35" borderId="49">
      <alignment horizontal="left" vertical="center" wrapText="1" indent="2"/>
    </xf>
    <xf numFmtId="4" fontId="34" fillId="35" borderId="46">
      <alignment horizontal="right" vertical="center"/>
    </xf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0" fontId="36" fillId="34" borderId="46"/>
    <xf numFmtId="4" fontId="36" fillId="0" borderId="46">
      <alignment horizontal="right" vertical="center"/>
    </xf>
    <xf numFmtId="0" fontId="36" fillId="0" borderId="46">
      <alignment horizontal="right" vertical="center"/>
    </xf>
    <xf numFmtId="0" fontId="36" fillId="0" borderId="49">
      <alignment horizontal="left" vertical="center" wrapText="1" indent="2"/>
    </xf>
    <xf numFmtId="0" fontId="28" fillId="28" borderId="0" applyNumberFormat="0" applyBorder="0" applyAlignment="0" applyProtection="0"/>
    <xf numFmtId="0" fontId="28" fillId="19" borderId="0" applyNumberFormat="0" applyBorder="0" applyAlignment="0" applyProtection="0"/>
    <xf numFmtId="0" fontId="45" fillId="57" borderId="50" applyNumberFormat="0" applyAlignment="0" applyProtection="0"/>
    <xf numFmtId="49" fontId="36" fillId="0" borderId="46" applyNumberFormat="0" applyFont="0" applyFill="0" applyBorder="0" applyProtection="0">
      <alignment horizontal="left" vertical="center" indent="2"/>
    </xf>
    <xf numFmtId="4" fontId="34" fillId="35" borderId="46">
      <alignment horizontal="right" vertical="center"/>
    </xf>
    <xf numFmtId="4" fontId="34" fillId="35" borderId="46">
      <alignment horizontal="right" vertical="center"/>
    </xf>
    <xf numFmtId="4" fontId="38" fillId="33" borderId="46">
      <alignment horizontal="right" vertical="center"/>
    </xf>
    <xf numFmtId="4" fontId="34" fillId="33" borderId="46">
      <alignment horizontal="right" vertical="center"/>
    </xf>
    <xf numFmtId="4" fontId="38" fillId="33" borderId="46">
      <alignment horizontal="right" vertical="center"/>
    </xf>
    <xf numFmtId="0" fontId="34" fillId="35" borderId="46">
      <alignment horizontal="right" vertical="center"/>
    </xf>
    <xf numFmtId="0" fontId="67" fillId="0" borderId="52" applyNumberFormat="0" applyFill="0" applyAlignment="0" applyProtection="0"/>
    <xf numFmtId="4" fontId="36" fillId="34" borderId="46"/>
    <xf numFmtId="0" fontId="64" fillId="57" borderId="50" applyNumberFormat="0" applyAlignment="0" applyProtection="0"/>
    <xf numFmtId="0" fontId="42" fillId="60" borderId="45" applyNumberFormat="0" applyFont="0" applyAlignment="0" applyProtection="0"/>
    <xf numFmtId="0" fontId="48" fillId="57" borderId="51" applyNumberFormat="0" applyAlignment="0" applyProtection="0"/>
    <xf numFmtId="49" fontId="35" fillId="0" borderId="46" applyNumberFormat="0" applyFill="0" applyBorder="0" applyProtection="0">
      <alignment horizontal="left" vertical="center"/>
    </xf>
    <xf numFmtId="0" fontId="34" fillId="33" borderId="46">
      <alignment horizontal="right" vertical="center"/>
    </xf>
    <xf numFmtId="4" fontId="34" fillId="35" borderId="46">
      <alignment horizontal="right" vertical="center"/>
    </xf>
    <xf numFmtId="4" fontId="34" fillId="35" borderId="48">
      <alignment horizontal="right" vertical="center"/>
    </xf>
    <xf numFmtId="49" fontId="35" fillId="0" borderId="46" applyNumberFormat="0" applyFill="0" applyBorder="0" applyProtection="0">
      <alignment horizontal="left" vertical="center"/>
    </xf>
    <xf numFmtId="0" fontId="36" fillId="0" borderId="49">
      <alignment horizontal="left" vertical="center" wrapText="1" indent="2"/>
    </xf>
    <xf numFmtId="174" fontId="36" fillId="61" borderId="46" applyNumberFormat="0" applyFont="0" applyBorder="0" applyAlignment="0" applyProtection="0">
      <alignment horizontal="right" vertical="center"/>
    </xf>
    <xf numFmtId="0" fontId="36" fillId="33" borderId="47">
      <alignment horizontal="left" vertical="center"/>
    </xf>
    <xf numFmtId="0" fontId="34" fillId="33" borderId="46">
      <alignment horizontal="right" vertical="center"/>
    </xf>
    <xf numFmtId="4" fontId="34" fillId="35" borderId="46">
      <alignment horizontal="right" vertical="center"/>
    </xf>
    <xf numFmtId="174" fontId="36" fillId="61" borderId="46" applyNumberFormat="0" applyFont="0" applyBorder="0" applyAlignment="0" applyProtection="0">
      <alignment horizontal="right" vertical="center"/>
    </xf>
    <xf numFmtId="4" fontId="36" fillId="0" borderId="46" applyFill="0" applyBorder="0" applyProtection="0">
      <alignment horizontal="right" vertical="center"/>
    </xf>
    <xf numFmtId="0" fontId="51" fillId="44" borderId="51" applyNumberFormat="0" applyAlignment="0" applyProtection="0"/>
    <xf numFmtId="4" fontId="34" fillId="35" borderId="46">
      <alignment horizontal="right" vertical="center"/>
    </xf>
    <xf numFmtId="49" fontId="35" fillId="0" borderId="46" applyNumberFormat="0" applyFill="0" applyBorder="0" applyProtection="0">
      <alignment horizontal="left" vertical="center"/>
    </xf>
    <xf numFmtId="0" fontId="36" fillId="0" borderId="46" applyNumberFormat="0" applyFill="0" applyAlignment="0" applyProtection="0"/>
    <xf numFmtId="0" fontId="36" fillId="0" borderId="46">
      <alignment horizontal="right" vertical="center"/>
    </xf>
    <xf numFmtId="0" fontId="36" fillId="33" borderId="47">
      <alignment horizontal="left" vertical="center"/>
    </xf>
    <xf numFmtId="0" fontId="36" fillId="35" borderId="49">
      <alignment horizontal="left" vertical="center" wrapText="1" indent="2"/>
    </xf>
    <xf numFmtId="4" fontId="34" fillId="35" borderId="48">
      <alignment horizontal="right" vertical="center"/>
    </xf>
    <xf numFmtId="4" fontId="34" fillId="35" borderId="47">
      <alignment horizontal="right" vertical="center"/>
    </xf>
    <xf numFmtId="4" fontId="36" fillId="0" borderId="46" applyFill="0" applyBorder="0" applyProtection="0">
      <alignment horizontal="right" vertical="center"/>
    </xf>
    <xf numFmtId="174" fontId="36" fillId="61" borderId="46" applyNumberFormat="0" applyFont="0" applyBorder="0" applyAlignment="0" applyProtection="0">
      <alignment horizontal="right" vertical="center"/>
    </xf>
    <xf numFmtId="0" fontId="36" fillId="35" borderId="49">
      <alignment horizontal="left" vertical="center" wrapText="1" indent="2"/>
    </xf>
    <xf numFmtId="0" fontId="42" fillId="60" borderId="45" applyNumberFormat="0" applyFont="0" applyAlignment="0" applyProtection="0"/>
    <xf numFmtId="0" fontId="48" fillId="57" borderId="51" applyNumberFormat="0" applyAlignment="0" applyProtection="0"/>
    <xf numFmtId="0" fontId="47" fillId="57" borderId="51" applyNumberFormat="0" applyAlignment="0" applyProtection="0"/>
    <xf numFmtId="0" fontId="36" fillId="0" borderId="46">
      <alignment horizontal="right" vertical="center"/>
    </xf>
    <xf numFmtId="0" fontId="36" fillId="0" borderId="46" applyNumberFormat="0" applyFill="0" applyAlignment="0" applyProtection="0"/>
    <xf numFmtId="0" fontId="67" fillId="0" borderId="52" applyNumberFormat="0" applyFill="0" applyAlignment="0" applyProtection="0"/>
    <xf numFmtId="4" fontId="36" fillId="0" borderId="46" applyFill="0" applyBorder="0" applyProtection="0">
      <alignment horizontal="right" vertical="center"/>
    </xf>
    <xf numFmtId="49" fontId="36" fillId="0" borderId="46" applyNumberFormat="0" applyFont="0" applyFill="0" applyBorder="0" applyProtection="0">
      <alignment horizontal="left" vertical="center" indent="2"/>
    </xf>
    <xf numFmtId="0" fontId="60" fillId="44" borderId="51" applyNumberFormat="0" applyAlignment="0" applyProtection="0"/>
    <xf numFmtId="0" fontId="42" fillId="60" borderId="45" applyNumberFormat="0" applyFont="0" applyAlignment="0" applyProtection="0"/>
    <xf numFmtId="0" fontId="36" fillId="0" borderId="49">
      <alignment horizontal="left" vertical="center" wrapText="1" indent="2"/>
    </xf>
    <xf numFmtId="4" fontId="34" fillId="33" borderId="46">
      <alignment horizontal="right" vertical="center"/>
    </xf>
    <xf numFmtId="174" fontId="36" fillId="61" borderId="46" applyNumberFormat="0" applyFont="0" applyBorder="0" applyAlignment="0" applyProtection="0">
      <alignment horizontal="right" vertical="center"/>
    </xf>
    <xf numFmtId="0" fontId="34" fillId="35" borderId="48">
      <alignment horizontal="right" vertical="center"/>
    </xf>
    <xf numFmtId="0" fontId="34" fillId="35" borderId="47">
      <alignment horizontal="right" vertical="center"/>
    </xf>
    <xf numFmtId="0" fontId="36" fillId="0" borderId="46" applyNumberFormat="0" applyFill="0" applyAlignment="0" applyProtection="0"/>
    <xf numFmtId="4" fontId="34" fillId="35" borderId="48">
      <alignment horizontal="right" vertical="center"/>
    </xf>
    <xf numFmtId="0" fontId="67" fillId="0" borderId="52" applyNumberFormat="0" applyFill="0" applyAlignment="0" applyProtection="0"/>
    <xf numFmtId="0" fontId="36" fillId="0" borderId="49">
      <alignment horizontal="left" vertical="center" wrapText="1" indent="2"/>
    </xf>
    <xf numFmtId="0" fontId="52" fillId="0" borderId="52" applyNumberFormat="0" applyFill="0" applyAlignment="0" applyProtection="0"/>
    <xf numFmtId="0" fontId="67" fillId="0" borderId="52" applyNumberFormat="0" applyFill="0" applyAlignment="0" applyProtection="0"/>
    <xf numFmtId="0" fontId="64" fillId="57" borderId="50" applyNumberFormat="0" applyAlignment="0" applyProtection="0"/>
    <xf numFmtId="0" fontId="28" fillId="15" borderId="0" applyNumberFormat="0" applyBorder="0" applyAlignment="0" applyProtection="0"/>
    <xf numFmtId="0" fontId="36" fillId="35" borderId="49">
      <alignment horizontal="left" vertical="center" wrapText="1" indent="2"/>
    </xf>
    <xf numFmtId="0" fontId="34" fillId="35" borderId="46">
      <alignment horizontal="right" vertical="center"/>
    </xf>
    <xf numFmtId="4" fontId="34" fillId="35" borderId="48">
      <alignment horizontal="right" vertical="center"/>
    </xf>
    <xf numFmtId="0" fontId="34" fillId="33" borderId="46">
      <alignment horizontal="right" vertical="center"/>
    </xf>
    <xf numFmtId="4" fontId="34" fillId="35" borderId="46">
      <alignment horizontal="right" vertical="center"/>
    </xf>
    <xf numFmtId="0" fontId="34" fillId="35" borderId="48">
      <alignment horizontal="right" vertical="center"/>
    </xf>
    <xf numFmtId="4" fontId="38" fillId="33" borderId="46">
      <alignment horizontal="right" vertical="center"/>
    </xf>
    <xf numFmtId="0" fontId="52" fillId="0" borderId="52" applyNumberFormat="0" applyFill="0" applyAlignment="0" applyProtection="0"/>
    <xf numFmtId="0" fontId="67" fillId="0" borderId="52" applyNumberFormat="0" applyFill="0" applyAlignment="0" applyProtection="0"/>
    <xf numFmtId="0" fontId="60" fillId="44" borderId="51" applyNumberFormat="0" applyAlignment="0" applyProtection="0"/>
    <xf numFmtId="4" fontId="38" fillId="33" borderId="46">
      <alignment horizontal="right" vertical="center"/>
    </xf>
    <xf numFmtId="0" fontId="67" fillId="0" borderId="52" applyNumberFormat="0" applyFill="0" applyAlignment="0" applyProtection="0"/>
    <xf numFmtId="0" fontId="47" fillId="57" borderId="51" applyNumberFormat="0" applyAlignment="0" applyProtection="0"/>
    <xf numFmtId="4" fontId="36" fillId="34" borderId="46"/>
    <xf numFmtId="0" fontId="36" fillId="0" borderId="46" applyNumberFormat="0" applyFill="0" applyAlignment="0" applyProtection="0"/>
    <xf numFmtId="4" fontId="36" fillId="0" borderId="46">
      <alignment horizontal="right" vertical="center"/>
    </xf>
    <xf numFmtId="4" fontId="34" fillId="35" borderId="46">
      <alignment horizontal="right" vertical="center"/>
    </xf>
    <xf numFmtId="0" fontId="36" fillId="0" borderId="46" applyNumberFormat="0" applyFill="0" applyAlignment="0" applyProtection="0"/>
    <xf numFmtId="4" fontId="34" fillId="35" borderId="48">
      <alignment horizontal="right" vertical="center"/>
    </xf>
    <xf numFmtId="4" fontId="36" fillId="0" borderId="46" applyFill="0" applyBorder="0" applyProtection="0">
      <alignment horizontal="right" vertical="center"/>
    </xf>
    <xf numFmtId="0" fontId="64" fillId="57" borderId="50" applyNumberFormat="0" applyAlignment="0" applyProtection="0"/>
    <xf numFmtId="4" fontId="36" fillId="0" borderId="46">
      <alignment horizontal="right" vertical="center"/>
    </xf>
    <xf numFmtId="0" fontId="60" fillId="44" borderId="51" applyNumberFormat="0" applyAlignment="0" applyProtection="0"/>
    <xf numFmtId="0" fontId="36" fillId="0" borderId="49">
      <alignment horizontal="left" vertical="center" wrapText="1" indent="2"/>
    </xf>
    <xf numFmtId="0" fontId="48" fillId="57" borderId="51" applyNumberFormat="0" applyAlignment="0" applyProtection="0"/>
    <xf numFmtId="0" fontId="34" fillId="35" borderId="48">
      <alignment horizontal="right" vertical="center"/>
    </xf>
    <xf numFmtId="4" fontId="34" fillId="33" borderId="46">
      <alignment horizontal="right" vertical="center"/>
    </xf>
    <xf numFmtId="0" fontId="36" fillId="0" borderId="46" applyNumberFormat="0" applyFill="0" applyAlignment="0" applyProtection="0"/>
    <xf numFmtId="0" fontId="36" fillId="34" borderId="46"/>
    <xf numFmtId="4" fontId="34" fillId="35" borderId="47">
      <alignment horizontal="right" vertical="center"/>
    </xf>
    <xf numFmtId="0" fontId="52" fillId="0" borderId="52" applyNumberFormat="0" applyFill="0" applyAlignment="0" applyProtection="0"/>
    <xf numFmtId="0" fontId="34" fillId="35" borderId="47">
      <alignment horizontal="right" vertical="center"/>
    </xf>
    <xf numFmtId="0" fontId="60" fillId="44" borderId="51" applyNumberFormat="0" applyAlignment="0" applyProtection="0"/>
    <xf numFmtId="4" fontId="36" fillId="0" borderId="46">
      <alignment horizontal="right" vertical="center"/>
    </xf>
    <xf numFmtId="0" fontId="64" fillId="57" borderId="50" applyNumberFormat="0" applyAlignment="0" applyProtection="0"/>
    <xf numFmtId="0" fontId="48" fillId="57" borderId="51" applyNumberFormat="0" applyAlignment="0" applyProtection="0"/>
    <xf numFmtId="0" fontId="51" fillId="44" borderId="51" applyNumberFormat="0" applyAlignment="0" applyProtection="0"/>
    <xf numFmtId="0" fontId="45" fillId="57" borderId="50" applyNumberFormat="0" applyAlignment="0" applyProtection="0"/>
    <xf numFmtId="0" fontId="47" fillId="57" borderId="51" applyNumberFormat="0" applyAlignment="0" applyProtection="0"/>
    <xf numFmtId="0" fontId="36" fillId="0" borderId="46">
      <alignment horizontal="right" vertical="center"/>
    </xf>
    <xf numFmtId="0" fontId="67" fillId="0" borderId="52" applyNumberFormat="0" applyFill="0" applyAlignment="0" applyProtection="0"/>
    <xf numFmtId="0" fontId="51" fillId="44" borderId="51" applyNumberFormat="0" applyAlignment="0" applyProtection="0"/>
    <xf numFmtId="0" fontId="48" fillId="57" borderId="51" applyNumberFormat="0" applyAlignment="0" applyProtection="0"/>
    <xf numFmtId="0" fontId="45" fillId="57" borderId="50" applyNumberFormat="0" applyAlignment="0" applyProtection="0"/>
    <xf numFmtId="0" fontId="47" fillId="57" borderId="51" applyNumberFormat="0" applyAlignment="0" applyProtection="0"/>
    <xf numFmtId="49" fontId="36" fillId="0" borderId="46" applyNumberFormat="0" applyFont="0" applyFill="0" applyBorder="0" applyProtection="0">
      <alignment horizontal="left" vertical="center" indent="2"/>
    </xf>
    <xf numFmtId="0" fontId="47" fillId="57" borderId="51" applyNumberFormat="0" applyAlignment="0" applyProtection="0"/>
    <xf numFmtId="0" fontId="48" fillId="57" borderId="51" applyNumberFormat="0" applyAlignment="0" applyProtection="0"/>
    <xf numFmtId="4" fontId="36" fillId="34" borderId="46"/>
    <xf numFmtId="0" fontId="60" fillId="44" borderId="51" applyNumberFormat="0" applyAlignment="0" applyProtection="0"/>
    <xf numFmtId="0" fontId="34" fillId="35" borderId="46">
      <alignment horizontal="right" vertical="center"/>
    </xf>
    <xf numFmtId="0" fontId="67" fillId="0" borderId="52" applyNumberFormat="0" applyFill="0" applyAlignment="0" applyProtection="0"/>
    <xf numFmtId="0" fontId="36" fillId="35" borderId="49">
      <alignment horizontal="left" vertical="center" wrapText="1" indent="2"/>
    </xf>
    <xf numFmtId="0" fontId="36" fillId="33" borderId="47">
      <alignment horizontal="left" vertical="center"/>
    </xf>
    <xf numFmtId="0" fontId="28" fillId="18" borderId="0" applyNumberFormat="0" applyBorder="0" applyAlignment="0" applyProtection="0"/>
    <xf numFmtId="0" fontId="31" fillId="14" borderId="12" applyNumberFormat="0" applyAlignment="0" applyProtection="0"/>
    <xf numFmtId="4" fontId="34" fillId="35" borderId="46">
      <alignment horizontal="right" vertical="center"/>
    </xf>
    <xf numFmtId="0" fontId="34" fillId="35" borderId="47">
      <alignment horizontal="right" vertical="center"/>
    </xf>
    <xf numFmtId="4" fontId="34" fillId="35" borderId="47">
      <alignment horizontal="right" vertical="center"/>
    </xf>
    <xf numFmtId="0" fontId="34" fillId="35" borderId="46">
      <alignment horizontal="right" vertical="center"/>
    </xf>
    <xf numFmtId="4" fontId="34" fillId="33" borderId="46">
      <alignment horizontal="right" vertical="center"/>
    </xf>
    <xf numFmtId="0" fontId="38" fillId="33" borderId="46">
      <alignment horizontal="right" vertical="center"/>
    </xf>
    <xf numFmtId="0" fontId="42" fillId="60" borderId="45" applyNumberFormat="0" applyFont="0" applyAlignment="0" applyProtection="0"/>
    <xf numFmtId="0" fontId="42" fillId="60" borderId="45" applyNumberFormat="0" applyFont="0" applyAlignment="0" applyProtection="0"/>
    <xf numFmtId="0" fontId="5" fillId="60" borderId="45" applyNumberFormat="0" applyFont="0" applyAlignment="0" applyProtection="0"/>
    <xf numFmtId="0" fontId="64" fillId="57" borderId="50" applyNumberFormat="0" applyAlignment="0" applyProtection="0"/>
    <xf numFmtId="0" fontId="36" fillId="0" borderId="49">
      <alignment horizontal="left" vertical="center" wrapText="1" indent="2"/>
    </xf>
    <xf numFmtId="0" fontId="51" fillId="44" borderId="51" applyNumberFormat="0" applyAlignment="0" applyProtection="0"/>
    <xf numFmtId="0" fontId="32" fillId="0" borderId="0" applyNumberFormat="0" applyFill="0" applyBorder="0" applyAlignment="0" applyProtection="0"/>
    <xf numFmtId="4" fontId="34" fillId="35" borderId="47">
      <alignment horizontal="right" vertical="center"/>
    </xf>
    <xf numFmtId="49" fontId="35" fillId="0" borderId="46" applyNumberFormat="0" applyFill="0" applyBorder="0" applyProtection="0">
      <alignment horizontal="left" vertical="center"/>
    </xf>
    <xf numFmtId="0" fontId="45" fillId="57" borderId="50" applyNumberFormat="0" applyAlignment="0" applyProtection="0"/>
    <xf numFmtId="0" fontId="47" fillId="57" borderId="51" applyNumberFormat="0" applyAlignment="0" applyProtection="0"/>
    <xf numFmtId="0" fontId="67" fillId="0" borderId="52" applyNumberFormat="0" applyFill="0" applyAlignment="0" applyProtection="0"/>
    <xf numFmtId="0" fontId="64" fillId="57" borderId="50" applyNumberFormat="0" applyAlignment="0" applyProtection="0"/>
    <xf numFmtId="0" fontId="36" fillId="0" borderId="46">
      <alignment horizontal="right" vertical="center"/>
    </xf>
    <xf numFmtId="49" fontId="35" fillId="0" borderId="46" applyNumberFormat="0" applyFill="0" applyBorder="0" applyProtection="0">
      <alignment horizontal="left" vertical="center"/>
    </xf>
    <xf numFmtId="4" fontId="36" fillId="0" borderId="46" applyFill="0" applyBorder="0" applyProtection="0">
      <alignment horizontal="right" vertical="center"/>
    </xf>
    <xf numFmtId="0" fontId="45" fillId="57" borderId="50" applyNumberFormat="0" applyAlignment="0" applyProtection="0"/>
    <xf numFmtId="0" fontId="47" fillId="57" borderId="51" applyNumberFormat="0" applyAlignment="0" applyProtection="0"/>
    <xf numFmtId="0" fontId="34" fillId="35" borderId="46">
      <alignment horizontal="right" vertical="center"/>
    </xf>
    <xf numFmtId="49" fontId="36" fillId="0" borderId="47" applyNumberFormat="0" applyFont="0" applyFill="0" applyBorder="0" applyProtection="0">
      <alignment horizontal="left" vertical="center" indent="5"/>
    </xf>
    <xf numFmtId="4" fontId="34" fillId="35" borderId="46">
      <alignment horizontal="right" vertical="center"/>
    </xf>
    <xf numFmtId="4" fontId="34" fillId="35" borderId="46">
      <alignment horizontal="right" vertical="center"/>
    </xf>
    <xf numFmtId="4" fontId="34" fillId="35" borderId="46">
      <alignment horizontal="right" vertical="center"/>
    </xf>
    <xf numFmtId="0" fontId="28" fillId="27" borderId="0" applyNumberFormat="0" applyBorder="0" applyAlignment="0" applyProtection="0"/>
    <xf numFmtId="0" fontId="67" fillId="0" borderId="52" applyNumberFormat="0" applyFill="0" applyAlignment="0" applyProtection="0"/>
    <xf numFmtId="0" fontId="67" fillId="0" borderId="52" applyNumberFormat="0" applyFill="0" applyAlignment="0" applyProtection="0"/>
    <xf numFmtId="174" fontId="36" fillId="61" borderId="46" applyNumberFormat="0" applyFont="0" applyBorder="0" applyAlignment="0" applyProtection="0">
      <alignment horizontal="right" vertical="center"/>
    </xf>
    <xf numFmtId="0" fontId="52" fillId="0" borderId="52" applyNumberFormat="0" applyFill="0" applyAlignment="0" applyProtection="0"/>
    <xf numFmtId="0" fontId="64" fillId="57" borderId="50" applyNumberFormat="0" applyAlignment="0" applyProtection="0"/>
    <xf numFmtId="4" fontId="34" fillId="35" borderId="47">
      <alignment horizontal="right" vertical="center"/>
    </xf>
    <xf numFmtId="0" fontId="47" fillId="57" borderId="51" applyNumberFormat="0" applyAlignment="0" applyProtection="0"/>
    <xf numFmtId="0" fontId="13" fillId="23" borderId="0" applyNumberFormat="0" applyBorder="0" applyAlignment="0" applyProtection="0"/>
    <xf numFmtId="0" fontId="48" fillId="57" borderId="51" applyNumberFormat="0" applyAlignment="0" applyProtection="0"/>
    <xf numFmtId="0" fontId="28" fillId="30" borderId="0" applyNumberFormat="0" applyBorder="0" applyAlignment="0" applyProtection="0"/>
    <xf numFmtId="4" fontId="38" fillId="33" borderId="46">
      <alignment horizontal="right" vertical="center"/>
    </xf>
    <xf numFmtId="4" fontId="34" fillId="35" borderId="48">
      <alignment horizontal="right" vertical="center"/>
    </xf>
    <xf numFmtId="0" fontId="51" fillId="44" borderId="51" applyNumberFormat="0" applyAlignment="0" applyProtection="0"/>
    <xf numFmtId="0" fontId="60" fillId="44" borderId="51" applyNumberFormat="0" applyAlignment="0" applyProtection="0"/>
    <xf numFmtId="0" fontId="36" fillId="35" borderId="49">
      <alignment horizontal="left" vertical="center" wrapText="1" indent="2"/>
    </xf>
    <xf numFmtId="4" fontId="36" fillId="0" borderId="46" applyFill="0" applyBorder="0" applyProtection="0">
      <alignment horizontal="right" vertical="center"/>
    </xf>
    <xf numFmtId="0" fontId="34" fillId="33" borderId="46">
      <alignment horizontal="right" vertical="center"/>
    </xf>
    <xf numFmtId="0" fontId="51" fillId="44" borderId="51" applyNumberFormat="0" applyAlignment="0" applyProtection="0"/>
    <xf numFmtId="4" fontId="34" fillId="35" borderId="46">
      <alignment horizontal="right" vertical="center"/>
    </xf>
    <xf numFmtId="4" fontId="36" fillId="0" borderId="46">
      <alignment horizontal="right" vertical="center"/>
    </xf>
    <xf numFmtId="0" fontId="48" fillId="57" borderId="51" applyNumberFormat="0" applyAlignment="0" applyProtection="0"/>
    <xf numFmtId="4" fontId="36" fillId="0" borderId="46">
      <alignment horizontal="right" vertical="center"/>
    </xf>
    <xf numFmtId="0" fontId="48" fillId="57" borderId="51" applyNumberFormat="0" applyAlignment="0" applyProtection="0"/>
    <xf numFmtId="0" fontId="48" fillId="57" borderId="51" applyNumberFormat="0" applyAlignment="0" applyProtection="0"/>
    <xf numFmtId="0" fontId="36" fillId="0" borderId="46">
      <alignment horizontal="right" vertical="center"/>
    </xf>
    <xf numFmtId="0" fontId="67" fillId="0" borderId="52" applyNumberFormat="0" applyFill="0" applyAlignment="0" applyProtection="0"/>
    <xf numFmtId="0" fontId="13" fillId="32" borderId="0" applyNumberFormat="0" applyBorder="0" applyAlignment="0" applyProtection="0"/>
    <xf numFmtId="0" fontId="38" fillId="33" borderId="46">
      <alignment horizontal="right" vertical="center"/>
    </xf>
    <xf numFmtId="0" fontId="47" fillId="57" borderId="51" applyNumberFormat="0" applyAlignment="0" applyProtection="0"/>
    <xf numFmtId="0" fontId="1" fillId="0" borderId="0" applyNumberFormat="0" applyFill="0" applyBorder="0" applyAlignment="0" applyProtection="0"/>
    <xf numFmtId="4" fontId="34" fillId="35" borderId="48">
      <alignment horizontal="right" vertical="center"/>
    </xf>
    <xf numFmtId="0" fontId="34" fillId="35" borderId="46">
      <alignment horizontal="right" vertical="center"/>
    </xf>
    <xf numFmtId="0" fontId="36" fillId="33" borderId="47">
      <alignment horizontal="left" vertical="center"/>
    </xf>
    <xf numFmtId="0" fontId="28" fillId="21" borderId="0" applyNumberFormat="0" applyBorder="0" applyAlignment="0" applyProtection="0"/>
    <xf numFmtId="49" fontId="35" fillId="0" borderId="46" applyNumberFormat="0" applyFill="0" applyBorder="0" applyProtection="0">
      <alignment horizontal="left" vertical="center"/>
    </xf>
    <xf numFmtId="0" fontId="5" fillId="60" borderId="45" applyNumberFormat="0" applyFont="0" applyAlignment="0" applyProtection="0"/>
    <xf numFmtId="0" fontId="36" fillId="34" borderId="46"/>
    <xf numFmtId="49" fontId="36" fillId="0" borderId="47" applyNumberFormat="0" applyFont="0" applyFill="0" applyBorder="0" applyProtection="0">
      <alignment horizontal="left" vertical="center" indent="5"/>
    </xf>
    <xf numFmtId="0" fontId="45" fillId="57" borderId="50" applyNumberFormat="0" applyAlignment="0" applyProtection="0"/>
    <xf numFmtId="49" fontId="35" fillId="0" borderId="46" applyNumberFormat="0" applyFill="0" applyBorder="0" applyProtection="0">
      <alignment horizontal="left" vertical="center"/>
    </xf>
    <xf numFmtId="0" fontId="60" fillId="44" borderId="51" applyNumberFormat="0" applyAlignment="0" applyProtection="0"/>
    <xf numFmtId="0" fontId="48" fillId="57" borderId="51" applyNumberFormat="0" applyAlignment="0" applyProtection="0"/>
    <xf numFmtId="0" fontId="13" fillId="26" borderId="0" applyNumberFormat="0" applyBorder="0" applyAlignment="0" applyProtection="0"/>
    <xf numFmtId="49" fontId="36" fillId="0" borderId="46" applyNumberFormat="0" applyFont="0" applyFill="0" applyBorder="0" applyProtection="0">
      <alignment horizontal="left" vertical="center" indent="2"/>
    </xf>
    <xf numFmtId="0" fontId="42" fillId="60" borderId="45" applyNumberFormat="0" applyFont="0" applyAlignment="0" applyProtection="0"/>
    <xf numFmtId="0" fontId="38" fillId="33" borderId="46">
      <alignment horizontal="right" vertical="center"/>
    </xf>
    <xf numFmtId="0" fontId="42" fillId="60" borderId="45" applyNumberFormat="0" applyFont="0" applyAlignment="0" applyProtection="0"/>
    <xf numFmtId="0" fontId="36" fillId="0" borderId="49">
      <alignment horizontal="left" vertical="center" wrapText="1" indent="2"/>
    </xf>
    <xf numFmtId="0" fontId="48" fillId="57" borderId="51" applyNumberFormat="0" applyAlignment="0" applyProtection="0"/>
    <xf numFmtId="0" fontId="67" fillId="0" borderId="52" applyNumberFormat="0" applyFill="0" applyAlignment="0" applyProtection="0"/>
    <xf numFmtId="0" fontId="38" fillId="33" borderId="46">
      <alignment horizontal="right" vertical="center"/>
    </xf>
    <xf numFmtId="49" fontId="36" fillId="0" borderId="46" applyNumberFormat="0" applyFont="0" applyFill="0" applyBorder="0" applyProtection="0">
      <alignment horizontal="left" vertical="center" indent="2"/>
    </xf>
    <xf numFmtId="0" fontId="13" fillId="29" borderId="0" applyNumberFormat="0" applyBorder="0" applyAlignment="0" applyProtection="0"/>
    <xf numFmtId="0" fontId="28" fillId="24" borderId="0" applyNumberFormat="0" applyBorder="0" applyAlignment="0" applyProtection="0"/>
    <xf numFmtId="0" fontId="13" fillId="20" borderId="0" applyNumberFormat="0" applyBorder="0" applyAlignment="0" applyProtection="0"/>
    <xf numFmtId="4" fontId="36" fillId="0" borderId="46" applyFill="0" applyBorder="0" applyProtection="0">
      <alignment horizontal="right" vertical="center"/>
    </xf>
    <xf numFmtId="0" fontId="60" fillId="44" borderId="51" applyNumberFormat="0" applyAlignment="0" applyProtection="0"/>
    <xf numFmtId="0" fontId="52" fillId="0" borderId="52" applyNumberFormat="0" applyFill="0" applyAlignment="0" applyProtection="0"/>
    <xf numFmtId="4" fontId="36" fillId="34" borderId="46"/>
    <xf numFmtId="0" fontId="36" fillId="35" borderId="49">
      <alignment horizontal="left" vertical="center" wrapText="1" indent="2"/>
    </xf>
    <xf numFmtId="49" fontId="36" fillId="0" borderId="46" applyNumberFormat="0" applyFont="0" applyFill="0" applyBorder="0" applyProtection="0">
      <alignment horizontal="left" vertical="center" indent="2"/>
    </xf>
    <xf numFmtId="0" fontId="47" fillId="57" borderId="51" applyNumberFormat="0" applyAlignment="0" applyProtection="0"/>
    <xf numFmtId="0" fontId="36" fillId="0" borderId="46" applyNumberFormat="0" applyFill="0" applyAlignment="0" applyProtection="0"/>
    <xf numFmtId="0" fontId="36" fillId="33" borderId="47">
      <alignment horizontal="left" vertical="center"/>
    </xf>
    <xf numFmtId="0" fontId="60" fillId="44" borderId="51" applyNumberFormat="0" applyAlignment="0" applyProtection="0"/>
    <xf numFmtId="0" fontId="5" fillId="60" borderId="45" applyNumberFormat="0" applyFont="0" applyAlignment="0" applyProtection="0"/>
    <xf numFmtId="0" fontId="64" fillId="57" borderId="50" applyNumberFormat="0" applyAlignment="0" applyProtection="0"/>
    <xf numFmtId="0" fontId="52" fillId="0" borderId="52" applyNumberFormat="0" applyFill="0" applyAlignment="0" applyProtection="0"/>
    <xf numFmtId="4" fontId="34" fillId="35" borderId="46">
      <alignment horizontal="right" vertical="center"/>
    </xf>
    <xf numFmtId="4" fontId="34" fillId="35" borderId="47">
      <alignment horizontal="right" vertical="center"/>
    </xf>
    <xf numFmtId="0" fontId="64" fillId="57" borderId="50" applyNumberFormat="0" applyAlignment="0" applyProtection="0"/>
    <xf numFmtId="0" fontId="28" fillId="16" borderId="0" applyNumberFormat="0" applyBorder="0" applyAlignment="0" applyProtection="0"/>
    <xf numFmtId="0" fontId="36" fillId="0" borderId="49">
      <alignment horizontal="left" vertical="center" wrapText="1" indent="2"/>
    </xf>
    <xf numFmtId="0" fontId="42" fillId="60" borderId="45" applyNumberFormat="0" applyFont="0" applyAlignment="0" applyProtection="0"/>
    <xf numFmtId="0" fontId="48" fillId="57" borderId="51" applyNumberFormat="0" applyAlignment="0" applyProtection="0"/>
    <xf numFmtId="0" fontId="42" fillId="60" borderId="45" applyNumberFormat="0" applyFont="0" applyAlignment="0" applyProtection="0"/>
    <xf numFmtId="4" fontId="36" fillId="0" borderId="46" applyFill="0" applyBorder="0" applyProtection="0">
      <alignment horizontal="right" vertical="center"/>
    </xf>
    <xf numFmtId="0" fontId="34" fillId="35" borderId="46">
      <alignment horizontal="right" vertical="center"/>
    </xf>
    <xf numFmtId="0" fontId="60" fillId="44" borderId="51" applyNumberFormat="0" applyAlignment="0" applyProtection="0"/>
    <xf numFmtId="0" fontId="64" fillId="57" borderId="50" applyNumberFormat="0" applyAlignment="0" applyProtection="0"/>
    <xf numFmtId="0" fontId="42" fillId="60" borderId="45" applyNumberFormat="0" applyFont="0" applyAlignment="0" applyProtection="0"/>
    <xf numFmtId="4" fontId="36" fillId="0" borderId="46">
      <alignment horizontal="right" vertical="center"/>
    </xf>
    <xf numFmtId="0" fontId="52" fillId="0" borderId="52" applyNumberFormat="0" applyFill="0" applyAlignment="0" applyProtection="0"/>
    <xf numFmtId="0" fontId="51" fillId="44" borderId="51" applyNumberFormat="0" applyAlignment="0" applyProtection="0"/>
    <xf numFmtId="0" fontId="60" fillId="44" borderId="51" applyNumberFormat="0" applyAlignment="0" applyProtection="0"/>
    <xf numFmtId="0" fontId="36" fillId="34" borderId="46"/>
    <xf numFmtId="0" fontId="67" fillId="0" borderId="52" applyNumberFormat="0" applyFill="0" applyAlignment="0" applyProtection="0"/>
    <xf numFmtId="49" fontId="35" fillId="0" borderId="46" applyNumberFormat="0" applyFill="0" applyBorder="0" applyProtection="0">
      <alignment horizontal="left" vertical="center"/>
    </xf>
    <xf numFmtId="0" fontId="34" fillId="35" borderId="46">
      <alignment horizontal="right" vertical="center"/>
    </xf>
    <xf numFmtId="4" fontId="34" fillId="33" borderId="46">
      <alignment horizontal="right" vertical="center"/>
    </xf>
    <xf numFmtId="0" fontId="36" fillId="0" borderId="49">
      <alignment horizontal="left" vertical="center" wrapText="1" indent="2"/>
    </xf>
    <xf numFmtId="0" fontId="52" fillId="0" borderId="52" applyNumberFormat="0" applyFill="0" applyAlignment="0" applyProtection="0"/>
    <xf numFmtId="0" fontId="34" fillId="35" borderId="46">
      <alignment horizontal="right" vertical="center"/>
    </xf>
    <xf numFmtId="0" fontId="60" fillId="44" borderId="51" applyNumberFormat="0" applyAlignment="0" applyProtection="0"/>
    <xf numFmtId="4" fontId="34" fillId="33" borderId="46">
      <alignment horizontal="right" vertical="center"/>
    </xf>
    <xf numFmtId="0" fontId="42" fillId="60" borderId="45" applyNumberFormat="0" applyFont="0" applyAlignment="0" applyProtection="0"/>
    <xf numFmtId="0" fontId="13" fillId="17" borderId="0" applyNumberFormat="0" applyBorder="0" applyAlignment="0" applyProtection="0"/>
    <xf numFmtId="0" fontId="48" fillId="57" borderId="51" applyNumberFormat="0" applyAlignment="0" applyProtection="0"/>
    <xf numFmtId="0" fontId="48" fillId="57" borderId="51" applyNumberFormat="0" applyAlignment="0" applyProtection="0"/>
    <xf numFmtId="4" fontId="34" fillId="35" borderId="48">
      <alignment horizontal="right" vertical="center"/>
    </xf>
    <xf numFmtId="0" fontId="28" fillId="22" borderId="0" applyNumberFormat="0" applyBorder="0" applyAlignment="0" applyProtection="0"/>
    <xf numFmtId="0" fontId="51" fillId="44" borderId="51" applyNumberFormat="0" applyAlignment="0" applyProtection="0"/>
    <xf numFmtId="0" fontId="38" fillId="33" borderId="46">
      <alignment horizontal="right" vertical="center"/>
    </xf>
    <xf numFmtId="0" fontId="34" fillId="35" borderId="48">
      <alignment horizontal="right" vertical="center"/>
    </xf>
    <xf numFmtId="0" fontId="60" fillId="44" borderId="51" applyNumberFormat="0" applyAlignment="0" applyProtection="0"/>
    <xf numFmtId="0" fontId="52" fillId="0" borderId="52" applyNumberFormat="0" applyFill="0" applyAlignment="0" applyProtection="0"/>
    <xf numFmtId="4" fontId="36" fillId="0" borderId="46">
      <alignment horizontal="right" vertical="center"/>
    </xf>
    <xf numFmtId="49" fontId="36" fillId="0" borderId="47" applyNumberFormat="0" applyFont="0" applyFill="0" applyBorder="0" applyProtection="0">
      <alignment horizontal="left" vertical="center" indent="5"/>
    </xf>
    <xf numFmtId="4" fontId="38" fillId="33" borderId="46">
      <alignment horizontal="right" vertical="center"/>
    </xf>
    <xf numFmtId="0" fontId="34" fillId="35" borderId="48">
      <alignment horizontal="right" vertical="center"/>
    </xf>
    <xf numFmtId="0" fontId="34" fillId="35" borderId="46">
      <alignment horizontal="right" vertical="center"/>
    </xf>
    <xf numFmtId="0" fontId="36" fillId="0" borderId="46">
      <alignment horizontal="right" vertical="center"/>
    </xf>
    <xf numFmtId="0" fontId="36" fillId="33" borderId="47">
      <alignment horizontal="left" vertical="center"/>
    </xf>
    <xf numFmtId="0" fontId="5" fillId="60" borderId="45" applyNumberFormat="0" applyFont="0" applyAlignment="0" applyProtection="0"/>
    <xf numFmtId="0" fontId="36" fillId="35" borderId="49">
      <alignment horizontal="left" vertical="center" wrapText="1" indent="2"/>
    </xf>
    <xf numFmtId="0" fontId="34" fillId="35" borderId="47">
      <alignment horizontal="right" vertical="center"/>
    </xf>
    <xf numFmtId="0" fontId="34" fillId="33" borderId="46">
      <alignment horizontal="right" vertical="center"/>
    </xf>
    <xf numFmtId="0" fontId="48" fillId="57" borderId="51" applyNumberFormat="0" applyAlignment="0" applyProtection="0"/>
    <xf numFmtId="0" fontId="2" fillId="0" borderId="14" applyNumberFormat="0" applyFill="0" applyAlignment="0" applyProtection="0"/>
    <xf numFmtId="0" fontId="28" fillId="31" borderId="0" applyNumberFormat="0" applyBorder="0" applyAlignment="0" applyProtection="0"/>
    <xf numFmtId="0" fontId="34" fillId="35" borderId="48">
      <alignment horizontal="right" vertical="center"/>
    </xf>
    <xf numFmtId="0" fontId="45" fillId="57" borderId="50" applyNumberFormat="0" applyAlignment="0" applyProtection="0"/>
    <xf numFmtId="0" fontId="48" fillId="57" borderId="51" applyNumberFormat="0" applyAlignment="0" applyProtection="0"/>
    <xf numFmtId="0" fontId="34" fillId="35" borderId="47">
      <alignment horizontal="right" vertical="center"/>
    </xf>
    <xf numFmtId="49" fontId="36" fillId="0" borderId="47" applyNumberFormat="0" applyFont="0" applyFill="0" applyBorder="0" applyProtection="0">
      <alignment horizontal="left" vertical="center" indent="5"/>
    </xf>
    <xf numFmtId="0" fontId="60" fillId="44" borderId="51" applyNumberFormat="0" applyAlignment="0" applyProtection="0"/>
    <xf numFmtId="0" fontId="42" fillId="60" borderId="45" applyNumberFormat="0" applyFont="0" applyAlignment="0" applyProtection="0"/>
    <xf numFmtId="174" fontId="36" fillId="61" borderId="46" applyNumberFormat="0" applyFont="0" applyBorder="0" applyAlignment="0" applyProtection="0">
      <alignment horizontal="right" vertical="center"/>
    </xf>
    <xf numFmtId="49" fontId="36" fillId="0" borderId="46" applyNumberFormat="0" applyFont="0" applyFill="0" applyBorder="0" applyProtection="0">
      <alignment horizontal="left" vertical="center" indent="2"/>
    </xf>
    <xf numFmtId="0" fontId="60" fillId="44" borderId="51" applyNumberFormat="0" applyAlignment="0" applyProtection="0"/>
    <xf numFmtId="4" fontId="36" fillId="34" borderId="46"/>
    <xf numFmtId="0" fontId="36" fillId="33" borderId="47">
      <alignment horizontal="left" vertical="center"/>
    </xf>
    <xf numFmtId="0" fontId="51" fillId="44" borderId="51" applyNumberFormat="0" applyAlignment="0" applyProtection="0"/>
    <xf numFmtId="0" fontId="28" fillId="25" borderId="0" applyNumberFormat="0" applyBorder="0" applyAlignment="0" applyProtection="0"/>
    <xf numFmtId="0" fontId="34" fillId="33" borderId="46">
      <alignment horizontal="right" vertical="center"/>
    </xf>
    <xf numFmtId="0" fontId="67" fillId="0" borderId="52" applyNumberFormat="0" applyFill="0" applyAlignment="0" applyProtection="0"/>
    <xf numFmtId="4" fontId="34" fillId="35" borderId="46">
      <alignment horizontal="right" vertical="center"/>
    </xf>
    <xf numFmtId="0" fontId="60" fillId="44" borderId="51" applyNumberFormat="0" applyAlignment="0" applyProtection="0"/>
    <xf numFmtId="0" fontId="36" fillId="35" borderId="49">
      <alignment horizontal="left" vertical="center" wrapText="1" indent="2"/>
    </xf>
    <xf numFmtId="0" fontId="36" fillId="35" borderId="49">
      <alignment horizontal="left" vertical="center" wrapText="1" indent="2"/>
    </xf>
    <xf numFmtId="0" fontId="64" fillId="57" borderId="50" applyNumberFormat="0" applyAlignment="0" applyProtection="0"/>
    <xf numFmtId="49" fontId="36" fillId="0" borderId="47" applyNumberFormat="0" applyFont="0" applyFill="0" applyBorder="0" applyProtection="0">
      <alignment horizontal="left" vertical="center" indent="5"/>
    </xf>
    <xf numFmtId="0" fontId="36" fillId="34" borderId="46"/>
    <xf numFmtId="4" fontId="36" fillId="34" borderId="46"/>
    <xf numFmtId="0" fontId="67" fillId="0" borderId="52" applyNumberFormat="0" applyFill="0" applyAlignment="0" applyProtection="0"/>
    <xf numFmtId="0" fontId="5" fillId="60" borderId="45" applyNumberFormat="0" applyFont="0" applyAlignment="0" applyProtection="0"/>
    <xf numFmtId="0" fontId="42" fillId="60" borderId="45" applyNumberFormat="0" applyFont="0" applyAlignment="0" applyProtection="0"/>
    <xf numFmtId="0" fontId="36" fillId="0" borderId="46" applyNumberFormat="0" applyFill="0" applyAlignment="0" applyProtection="0"/>
    <xf numFmtId="0" fontId="52" fillId="0" borderId="52" applyNumberFormat="0" applyFill="0" applyAlignment="0" applyProtection="0"/>
    <xf numFmtId="0" fontId="67" fillId="0" borderId="52" applyNumberFormat="0" applyFill="0" applyAlignment="0" applyProtection="0"/>
    <xf numFmtId="0" fontId="51" fillId="44" borderId="51" applyNumberFormat="0" applyAlignment="0" applyProtection="0"/>
    <xf numFmtId="0" fontId="48" fillId="57" borderId="51" applyNumberFormat="0" applyAlignment="0" applyProtection="0"/>
    <xf numFmtId="4" fontId="38" fillId="33" borderId="46">
      <alignment horizontal="right" vertical="center"/>
    </xf>
    <xf numFmtId="0" fontId="34" fillId="33" borderId="46">
      <alignment horizontal="right" vertical="center"/>
    </xf>
    <xf numFmtId="174" fontId="36" fillId="61" borderId="46" applyNumberFormat="0" applyFont="0" applyBorder="0" applyAlignment="0" applyProtection="0">
      <alignment horizontal="right" vertical="center"/>
    </xf>
    <xf numFmtId="0" fontId="52" fillId="0" borderId="52" applyNumberFormat="0" applyFill="0" applyAlignment="0" applyProtection="0"/>
    <xf numFmtId="49" fontId="36" fillId="0" borderId="46" applyNumberFormat="0" applyFont="0" applyFill="0" applyBorder="0" applyProtection="0">
      <alignment horizontal="left" vertical="center" indent="2"/>
    </xf>
    <xf numFmtId="49" fontId="36" fillId="0" borderId="47" applyNumberFormat="0" applyFont="0" applyFill="0" applyBorder="0" applyProtection="0">
      <alignment horizontal="left" vertical="center" indent="5"/>
    </xf>
    <xf numFmtId="49" fontId="36" fillId="0" borderId="46" applyNumberFormat="0" applyFont="0" applyFill="0" applyBorder="0" applyProtection="0">
      <alignment horizontal="left" vertical="center" indent="2"/>
    </xf>
    <xf numFmtId="4" fontId="36" fillId="0" borderId="46" applyFill="0" applyBorder="0" applyProtection="0">
      <alignment horizontal="right" vertical="center"/>
    </xf>
    <xf numFmtId="49" fontId="35" fillId="0" borderId="46" applyNumberFormat="0" applyFill="0" applyBorder="0" applyProtection="0">
      <alignment horizontal="left" vertical="center"/>
    </xf>
    <xf numFmtId="0" fontId="36" fillId="0" borderId="49">
      <alignment horizontal="left" vertical="center" wrapText="1" indent="2"/>
    </xf>
    <xf numFmtId="0" fontId="64" fillId="57" borderId="50" applyNumberFormat="0" applyAlignment="0" applyProtection="0"/>
    <xf numFmtId="0" fontId="34" fillId="35" borderId="48">
      <alignment horizontal="right" vertical="center"/>
    </xf>
    <xf numFmtId="0" fontId="51" fillId="44" borderId="51" applyNumberFormat="0" applyAlignment="0" applyProtection="0"/>
    <xf numFmtId="0" fontId="34" fillId="35" borderId="48">
      <alignment horizontal="right" vertical="center"/>
    </xf>
    <xf numFmtId="4" fontId="34" fillId="35" borderId="46">
      <alignment horizontal="right" vertical="center"/>
    </xf>
    <xf numFmtId="0" fontId="34" fillId="35" borderId="46">
      <alignment horizontal="right" vertical="center"/>
    </xf>
    <xf numFmtId="0" fontId="45" fillId="57" borderId="50" applyNumberFormat="0" applyAlignment="0" applyProtection="0"/>
    <xf numFmtId="0" fontId="47" fillId="57" borderId="51" applyNumberFormat="0" applyAlignment="0" applyProtection="0"/>
    <xf numFmtId="0" fontId="52" fillId="0" borderId="52" applyNumberFormat="0" applyFill="0" applyAlignment="0" applyProtection="0"/>
    <xf numFmtId="0" fontId="36" fillId="34" borderId="46"/>
    <xf numFmtId="4" fontId="36" fillId="34" borderId="46"/>
    <xf numFmtId="4" fontId="34" fillId="35" borderId="46">
      <alignment horizontal="right" vertical="center"/>
    </xf>
    <xf numFmtId="0" fontId="38" fillId="33" borderId="46">
      <alignment horizontal="right" vertical="center"/>
    </xf>
    <xf numFmtId="0" fontId="51" fillId="44" borderId="51" applyNumberFormat="0" applyAlignment="0" applyProtection="0"/>
    <xf numFmtId="0" fontId="48" fillId="57" borderId="51" applyNumberFormat="0" applyAlignment="0" applyProtection="0"/>
    <xf numFmtId="4" fontId="36" fillId="0" borderId="46">
      <alignment horizontal="right" vertical="center"/>
    </xf>
    <xf numFmtId="0" fontId="36" fillId="35" borderId="49">
      <alignment horizontal="left" vertical="center" wrapText="1" indent="2"/>
    </xf>
    <xf numFmtId="0" fontId="36" fillId="0" borderId="49">
      <alignment horizontal="left" vertical="center" wrapText="1" indent="2"/>
    </xf>
    <xf numFmtId="0" fontId="64" fillId="57" borderId="50" applyNumberFormat="0" applyAlignment="0" applyProtection="0"/>
    <xf numFmtId="0" fontId="60" fillId="44" borderId="51" applyNumberFormat="0" applyAlignment="0" applyProtection="0"/>
    <xf numFmtId="0" fontId="47" fillId="57" borderId="51" applyNumberFormat="0" applyAlignment="0" applyProtection="0"/>
    <xf numFmtId="0" fontId="45" fillId="57" borderId="50" applyNumberFormat="0" applyAlignment="0" applyProtection="0"/>
    <xf numFmtId="0" fontId="34" fillId="35" borderId="48">
      <alignment horizontal="right" vertical="center"/>
    </xf>
    <xf numFmtId="0" fontId="38" fillId="33" borderId="46">
      <alignment horizontal="right" vertical="center"/>
    </xf>
    <xf numFmtId="4" fontId="34" fillId="33" borderId="46">
      <alignment horizontal="right" vertical="center"/>
    </xf>
    <xf numFmtId="4" fontId="34" fillId="35" borderId="46">
      <alignment horizontal="right" vertical="center"/>
    </xf>
    <xf numFmtId="49" fontId="36" fillId="0" borderId="47" applyNumberFormat="0" applyFont="0" applyFill="0" applyBorder="0" applyProtection="0">
      <alignment horizontal="left" vertical="center" indent="5"/>
    </xf>
    <xf numFmtId="4" fontId="36" fillId="0" borderId="46" applyFill="0" applyBorder="0" applyProtection="0">
      <alignment horizontal="right" vertical="center"/>
    </xf>
    <xf numFmtId="4" fontId="34" fillId="33" borderId="46">
      <alignment horizontal="right" vertical="center"/>
    </xf>
    <xf numFmtId="0" fontId="60" fillId="44" borderId="51" applyNumberFormat="0" applyAlignment="0" applyProtection="0"/>
    <xf numFmtId="0" fontId="51" fillId="44" borderId="51" applyNumberFormat="0" applyAlignment="0" applyProtection="0"/>
    <xf numFmtId="0" fontId="47" fillId="57" borderId="51" applyNumberFormat="0" applyAlignment="0" applyProtection="0"/>
    <xf numFmtId="0" fontId="36" fillId="35" borderId="49">
      <alignment horizontal="left" vertical="center" wrapText="1" indent="2"/>
    </xf>
    <xf numFmtId="0" fontId="36" fillId="0" borderId="49">
      <alignment horizontal="left" vertical="center" wrapText="1" indent="2"/>
    </xf>
    <xf numFmtId="0" fontId="36" fillId="35" borderId="49">
      <alignment horizontal="left" vertical="center" wrapText="1" indent="2"/>
    </xf>
    <xf numFmtId="0" fontId="42" fillId="60" borderId="70" applyNumberFormat="0" applyFont="0" applyAlignment="0" applyProtection="0"/>
    <xf numFmtId="0" fontId="5" fillId="60" borderId="105" applyNumberFormat="0" applyFont="0" applyAlignment="0" applyProtection="0"/>
    <xf numFmtId="0" fontId="52" fillId="0" borderId="80" applyNumberFormat="0" applyFill="0" applyAlignment="0" applyProtection="0"/>
    <xf numFmtId="4" fontId="36" fillId="0" borderId="90">
      <alignment horizontal="right" vertical="center"/>
    </xf>
    <xf numFmtId="0" fontId="13" fillId="17" borderId="0" applyNumberFormat="0" applyBorder="0" applyAlignment="0" applyProtection="0"/>
    <xf numFmtId="0" fontId="1" fillId="0" borderId="0" applyNumberFormat="0" applyFill="0" applyBorder="0" applyAlignment="0" applyProtection="0"/>
    <xf numFmtId="0" fontId="28" fillId="31" borderId="0" applyNumberFormat="0" applyBorder="0" applyAlignment="0" applyProtection="0"/>
    <xf numFmtId="4" fontId="36" fillId="0" borderId="71">
      <alignment horizontal="right" vertical="center"/>
    </xf>
    <xf numFmtId="0" fontId="34" fillId="35" borderId="84">
      <alignment horizontal="right" vertical="center"/>
    </xf>
    <xf numFmtId="174" fontId="36" fillId="61" borderId="71" applyNumberFormat="0" applyFont="0" applyBorder="0" applyAlignment="0" applyProtection="0">
      <alignment horizontal="right" vertical="center"/>
    </xf>
    <xf numFmtId="49" fontId="36" fillId="0" borderId="98" applyNumberFormat="0" applyFont="0" applyFill="0" applyBorder="0" applyProtection="0">
      <alignment horizontal="left" vertical="center" indent="2"/>
    </xf>
    <xf numFmtId="0" fontId="30" fillId="14" borderId="13" applyNumberFormat="0" applyAlignment="0" applyProtection="0"/>
    <xf numFmtId="0" fontId="28" fillId="22" borderId="0" applyNumberFormat="0" applyBorder="0" applyAlignment="0" applyProtection="0"/>
    <xf numFmtId="4" fontId="36" fillId="0" borderId="106" applyFill="0" applyBorder="0" applyProtection="0">
      <alignment horizontal="right" vertical="center"/>
    </xf>
    <xf numFmtId="0" fontId="34" fillId="35" borderId="71">
      <alignment horizontal="right" vertical="center"/>
    </xf>
    <xf numFmtId="4" fontId="34" fillId="35" borderId="72">
      <alignment horizontal="right" vertical="center"/>
    </xf>
    <xf numFmtId="0" fontId="36" fillId="35" borderId="85">
      <alignment horizontal="left" vertical="center" wrapText="1" indent="2"/>
    </xf>
    <xf numFmtId="0" fontId="36" fillId="33" borderId="91">
      <alignment horizontal="left" vertical="center"/>
    </xf>
    <xf numFmtId="0" fontId="36" fillId="35" borderId="109">
      <alignment horizontal="left" vertical="center" wrapText="1" indent="2"/>
    </xf>
    <xf numFmtId="0" fontId="28" fillId="19" borderId="0" applyNumberFormat="0" applyBorder="0" applyAlignment="0" applyProtection="0"/>
    <xf numFmtId="0" fontId="36" fillId="35" borderId="74">
      <alignment horizontal="left" vertical="center" wrapText="1" indent="2"/>
    </xf>
    <xf numFmtId="0" fontId="52" fillId="0" borderId="104" applyNumberFormat="0" applyFill="0" applyAlignment="0" applyProtection="0"/>
    <xf numFmtId="0" fontId="36" fillId="0" borderId="71">
      <alignment horizontal="right" vertical="center"/>
    </xf>
    <xf numFmtId="0" fontId="36" fillId="0" borderId="74">
      <alignment horizontal="left" vertical="center" wrapText="1" indent="2"/>
    </xf>
    <xf numFmtId="0" fontId="47" fillId="57" borderId="103" applyNumberFormat="0" applyAlignment="0" applyProtection="0"/>
    <xf numFmtId="0" fontId="34" fillId="33" borderId="82">
      <alignment horizontal="right" vertical="center"/>
    </xf>
    <xf numFmtId="0" fontId="34" fillId="33" borderId="71">
      <alignment horizontal="right" vertical="center"/>
    </xf>
    <xf numFmtId="4" fontId="34" fillId="35" borderId="71">
      <alignment horizontal="right" vertical="center"/>
    </xf>
    <xf numFmtId="0" fontId="60" fillId="44" borderId="103" applyNumberFormat="0" applyAlignment="0" applyProtection="0"/>
    <xf numFmtId="0" fontId="5" fillId="60" borderId="89" applyNumberFormat="0" applyFont="0" applyAlignment="0" applyProtection="0"/>
    <xf numFmtId="0" fontId="28" fillId="15" borderId="0" applyNumberFormat="0" applyBorder="0" applyAlignment="0" applyProtection="0"/>
    <xf numFmtId="0" fontId="36" fillId="34" borderId="98"/>
    <xf numFmtId="0" fontId="13" fillId="23" borderId="0" applyNumberFormat="0" applyBorder="0" applyAlignment="0" applyProtection="0"/>
    <xf numFmtId="0" fontId="36" fillId="33" borderId="107">
      <alignment horizontal="left" vertical="center"/>
    </xf>
    <xf numFmtId="0" fontId="36" fillId="0" borderId="106" applyNumberFormat="0" applyFill="0" applyAlignment="0" applyProtection="0"/>
    <xf numFmtId="4" fontId="38" fillId="33" borderId="106">
      <alignment horizontal="right" vertical="center"/>
    </xf>
    <xf numFmtId="4" fontId="36" fillId="0" borderId="106">
      <alignment horizontal="right" vertical="center"/>
    </xf>
    <xf numFmtId="0" fontId="36" fillId="0" borderId="93">
      <alignment horizontal="left" vertical="center" wrapText="1" indent="2"/>
    </xf>
    <xf numFmtId="0" fontId="34" fillId="35" borderId="99">
      <alignment horizontal="right" vertical="center"/>
    </xf>
    <xf numFmtId="4" fontId="34" fillId="35" borderId="108">
      <alignment horizontal="right" vertical="center"/>
    </xf>
    <xf numFmtId="0" fontId="28" fillId="28" borderId="0" applyNumberFormat="0" applyBorder="0" applyAlignment="0" applyProtection="0"/>
    <xf numFmtId="0" fontId="67" fillId="0" borderId="104" applyNumberFormat="0" applyFill="0" applyAlignment="0" applyProtection="0"/>
    <xf numFmtId="0" fontId="30" fillId="14" borderId="13" applyNumberFormat="0" applyAlignment="0" applyProtection="0"/>
    <xf numFmtId="0" fontId="31" fillId="14" borderId="12" applyNumberFormat="0" applyAlignment="0" applyProtection="0"/>
    <xf numFmtId="0" fontId="34" fillId="35" borderId="84">
      <alignment horizontal="right" vertical="center"/>
    </xf>
    <xf numFmtId="0" fontId="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2" fillId="0" borderId="14" applyNumberFormat="0" applyFill="0" applyAlignment="0" applyProtection="0"/>
    <xf numFmtId="0" fontId="36" fillId="0" borderId="109">
      <alignment horizontal="left" vertical="center" wrapText="1" indent="2"/>
    </xf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13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13" fillId="20" borderId="0" applyNumberFormat="0" applyBorder="0" applyAlignment="0" applyProtection="0"/>
    <xf numFmtId="4" fontId="34" fillId="35" borderId="82">
      <alignment horizontal="right" vertical="center"/>
    </xf>
    <xf numFmtId="0" fontId="28" fillId="21" borderId="0" applyNumberFormat="0" applyBorder="0" applyAlignment="0" applyProtection="0"/>
    <xf numFmtId="0" fontId="28" fillId="22" borderId="0" applyNumberFormat="0" applyBorder="0" applyAlignment="0" applyProtection="0"/>
    <xf numFmtId="0" fontId="13" fillId="23" borderId="0" applyNumberFormat="0" applyBorder="0" applyAlignment="0" applyProtection="0"/>
    <xf numFmtId="0" fontId="38" fillId="33" borderId="106">
      <alignment horizontal="right" vertical="center"/>
    </xf>
    <xf numFmtId="0" fontId="28" fillId="24" borderId="0" applyNumberFormat="0" applyBorder="0" applyAlignment="0" applyProtection="0"/>
    <xf numFmtId="0" fontId="28" fillId="25" borderId="0" applyNumberFormat="0" applyBorder="0" applyAlignment="0" applyProtection="0"/>
    <xf numFmtId="0" fontId="13" fillId="26" borderId="0" applyNumberFormat="0" applyBorder="0" applyAlignment="0" applyProtection="0"/>
    <xf numFmtId="0" fontId="28" fillId="27" borderId="0" applyNumberFormat="0" applyBorder="0" applyAlignment="0" applyProtection="0"/>
    <xf numFmtId="0" fontId="28" fillId="28" borderId="0" applyNumberFormat="0" applyBorder="0" applyAlignment="0" applyProtection="0"/>
    <xf numFmtId="0" fontId="13" fillId="29" borderId="0" applyNumberFormat="0" applyBorder="0" applyAlignment="0" applyProtection="0"/>
    <xf numFmtId="0" fontId="28" fillId="27" borderId="0" applyNumberFormat="0" applyBorder="0" applyAlignment="0" applyProtection="0"/>
    <xf numFmtId="0" fontId="28" fillId="30" borderId="0" applyNumberFormat="0" applyBorder="0" applyAlignment="0" applyProtection="0"/>
    <xf numFmtId="0" fontId="28" fillId="31" borderId="0" applyNumberFormat="0" applyBorder="0" applyAlignment="0" applyProtection="0"/>
    <xf numFmtId="0" fontId="13" fillId="32" borderId="0" applyNumberFormat="0" applyBorder="0" applyAlignment="0" applyProtection="0"/>
    <xf numFmtId="0" fontId="36" fillId="0" borderId="46" applyNumberFormat="0" applyFill="0" applyAlignment="0" applyProtection="0"/>
    <xf numFmtId="0" fontId="34" fillId="35" borderId="46">
      <alignment horizontal="right" vertical="center"/>
    </xf>
    <xf numFmtId="0" fontId="34" fillId="35" borderId="46">
      <alignment horizontal="right" vertical="center"/>
    </xf>
    <xf numFmtId="49" fontId="35" fillId="0" borderId="82" applyNumberFormat="0" applyFill="0" applyBorder="0" applyProtection="0">
      <alignment horizontal="left" vertical="center"/>
    </xf>
    <xf numFmtId="0" fontId="36" fillId="0" borderId="46">
      <alignment horizontal="right" vertical="center"/>
    </xf>
    <xf numFmtId="0" fontId="38" fillId="33" borderId="46">
      <alignment horizontal="right" vertical="center"/>
    </xf>
    <xf numFmtId="0" fontId="36" fillId="34" borderId="46"/>
    <xf numFmtId="0" fontId="34" fillId="33" borderId="46">
      <alignment horizontal="right" vertical="center"/>
    </xf>
    <xf numFmtId="0" fontId="60" fillId="44" borderId="103" applyNumberFormat="0" applyAlignment="0" applyProtection="0"/>
    <xf numFmtId="4" fontId="34" fillId="35" borderId="106">
      <alignment horizontal="right" vertical="center"/>
    </xf>
    <xf numFmtId="0" fontId="42" fillId="60" borderId="89" applyNumberFormat="0" applyFont="0" applyAlignment="0" applyProtection="0"/>
    <xf numFmtId="4" fontId="34" fillId="35" borderId="108">
      <alignment horizontal="right" vertical="center"/>
    </xf>
    <xf numFmtId="0" fontId="28" fillId="21" borderId="0" applyNumberFormat="0" applyBorder="0" applyAlignment="0" applyProtection="0"/>
    <xf numFmtId="0" fontId="48" fillId="57" borderId="79" applyNumberFormat="0" applyAlignment="0" applyProtection="0"/>
    <xf numFmtId="4" fontId="36" fillId="0" borderId="82" applyFill="0" applyBorder="0" applyProtection="0">
      <alignment horizontal="right" vertical="center"/>
    </xf>
    <xf numFmtId="0" fontId="42" fillId="60" borderId="89" applyNumberFormat="0" applyFont="0" applyAlignment="0" applyProtection="0"/>
    <xf numFmtId="49" fontId="36" fillId="0" borderId="71" applyNumberFormat="0" applyFont="0" applyFill="0" applyBorder="0" applyProtection="0">
      <alignment horizontal="left" vertical="center" indent="2"/>
    </xf>
    <xf numFmtId="0" fontId="28" fillId="30" borderId="0" applyNumberFormat="0" applyBorder="0" applyAlignment="0" applyProtection="0"/>
    <xf numFmtId="0" fontId="30" fillId="14" borderId="13" applyNumberFormat="0" applyAlignment="0" applyProtection="0"/>
    <xf numFmtId="0" fontId="13" fillId="20" borderId="0" applyNumberFormat="0" applyBorder="0" applyAlignment="0" applyProtection="0"/>
    <xf numFmtId="0" fontId="67" fillId="0" borderId="104" applyNumberFormat="0" applyFill="0" applyAlignment="0" applyProtection="0"/>
    <xf numFmtId="0" fontId="38" fillId="33" borderId="90">
      <alignment horizontal="right" vertical="center"/>
    </xf>
    <xf numFmtId="0" fontId="28" fillId="21" borderId="0" applyNumberFormat="0" applyBorder="0" applyAlignment="0" applyProtection="0"/>
    <xf numFmtId="0" fontId="28" fillId="22" borderId="0" applyNumberFormat="0" applyBorder="0" applyAlignment="0" applyProtection="0"/>
    <xf numFmtId="0" fontId="13" fillId="23" borderId="0" applyNumberFormat="0" applyBorder="0" applyAlignment="0" applyProtection="0"/>
    <xf numFmtId="0" fontId="28" fillId="30" borderId="0" applyNumberFormat="0" applyBorder="0" applyAlignment="0" applyProtection="0"/>
    <xf numFmtId="0" fontId="42" fillId="60" borderId="105" applyNumberFormat="0" applyFont="0" applyAlignment="0" applyProtection="0"/>
    <xf numFmtId="0" fontId="36" fillId="0" borderId="90" applyNumberFormat="0" applyFill="0" applyAlignment="0" applyProtection="0"/>
    <xf numFmtId="0" fontId="36" fillId="0" borderId="106" applyNumberFormat="0" applyFill="0" applyAlignment="0" applyProtection="0"/>
    <xf numFmtId="0" fontId="60" fillId="44" borderId="79" applyNumberFormat="0" applyAlignment="0" applyProtection="0"/>
    <xf numFmtId="0" fontId="48" fillId="57" borderId="79" applyNumberFormat="0" applyAlignment="0" applyProtection="0"/>
    <xf numFmtId="49" fontId="36" fillId="0" borderId="83" applyNumberFormat="0" applyFont="0" applyFill="0" applyBorder="0" applyProtection="0">
      <alignment horizontal="left" vertical="center" indent="5"/>
    </xf>
    <xf numFmtId="49" fontId="36" fillId="0" borderId="106" applyNumberFormat="0" applyFont="0" applyFill="0" applyBorder="0" applyProtection="0">
      <alignment horizontal="left" vertical="center" indent="2"/>
    </xf>
    <xf numFmtId="0" fontId="1" fillId="0" borderId="0" applyNumberFormat="0" applyFill="0" applyBorder="0" applyAlignment="0" applyProtection="0"/>
    <xf numFmtId="0" fontId="48" fillId="57" borderId="87" applyNumberFormat="0" applyAlignment="0" applyProtection="0"/>
    <xf numFmtId="0" fontId="36" fillId="0" borderId="82" applyNumberFormat="0" applyFill="0" applyAlignment="0" applyProtection="0"/>
    <xf numFmtId="0" fontId="36" fillId="0" borderId="106">
      <alignment horizontal="right" vertical="center"/>
    </xf>
    <xf numFmtId="0" fontId="52" fillId="0" borderId="96" applyNumberFormat="0" applyFill="0" applyAlignment="0" applyProtection="0"/>
    <xf numFmtId="0" fontId="34" fillId="35" borderId="72">
      <alignment horizontal="right" vertical="center"/>
    </xf>
    <xf numFmtId="4" fontId="38" fillId="33" borderId="71">
      <alignment horizontal="right" vertical="center"/>
    </xf>
    <xf numFmtId="0" fontId="45" fillId="57" borderId="102" applyNumberFormat="0" applyAlignment="0" applyProtection="0"/>
    <xf numFmtId="0" fontId="34" fillId="35" borderId="90">
      <alignment horizontal="right" vertical="center"/>
    </xf>
    <xf numFmtId="0" fontId="34" fillId="35" borderId="107">
      <alignment horizontal="right" vertical="center"/>
    </xf>
    <xf numFmtId="0" fontId="2" fillId="0" borderId="14" applyNumberFormat="0" applyFill="0" applyAlignment="0" applyProtection="0"/>
    <xf numFmtId="0" fontId="34" fillId="35" borderId="82">
      <alignment horizontal="right" vertical="center"/>
    </xf>
    <xf numFmtId="49" fontId="36" fillId="0" borderId="91" applyNumberFormat="0" applyFont="0" applyFill="0" applyBorder="0" applyProtection="0">
      <alignment horizontal="left" vertical="center" indent="5"/>
    </xf>
    <xf numFmtId="0" fontId="1" fillId="0" borderId="0" applyNumberFormat="0" applyFill="0" applyBorder="0" applyAlignment="0" applyProtection="0"/>
    <xf numFmtId="0" fontId="48" fillId="57" borderId="63" applyNumberFormat="0" applyAlignment="0" applyProtection="0"/>
    <xf numFmtId="0" fontId="32" fillId="0" borderId="0" applyNumberFormat="0" applyFill="0" applyBorder="0" applyAlignment="0" applyProtection="0"/>
    <xf numFmtId="43" fontId="39" fillId="0" borderId="0" applyFont="0" applyFill="0" applyBorder="0" applyAlignment="0" applyProtection="0"/>
    <xf numFmtId="173" fontId="82" fillId="0" borderId="0" applyFont="0" applyFill="0" applyBorder="0" applyAlignment="0" applyProtection="0"/>
    <xf numFmtId="43" fontId="39" fillId="0" borderId="0" applyFont="0" applyFill="0" applyBorder="0" applyAlignment="0" applyProtection="0"/>
    <xf numFmtId="0" fontId="13" fillId="17" borderId="0" applyNumberFormat="0" applyBorder="0" applyAlignment="0" applyProtection="0"/>
    <xf numFmtId="0" fontId="31" fillId="14" borderId="12" applyNumberFormat="0" applyAlignment="0" applyProtection="0"/>
    <xf numFmtId="0" fontId="28" fillId="18" borderId="0" applyNumberFormat="0" applyBorder="0" applyAlignment="0" applyProtection="0"/>
    <xf numFmtId="0" fontId="31" fillId="14" borderId="12" applyNumberFormat="0" applyAlignment="0" applyProtection="0"/>
    <xf numFmtId="174" fontId="36" fillId="61" borderId="98" applyNumberFormat="0" applyFont="0" applyBorder="0" applyAlignment="0" applyProtection="0">
      <alignment horizontal="right" vertical="center"/>
    </xf>
    <xf numFmtId="0" fontId="60" fillId="44" borderId="63" applyNumberFormat="0" applyAlignment="0" applyProtection="0"/>
    <xf numFmtId="174" fontId="36" fillId="61" borderId="106" applyNumberFormat="0" applyFont="0" applyBorder="0" applyAlignment="0" applyProtection="0">
      <alignment horizontal="right" vertical="center"/>
    </xf>
    <xf numFmtId="0" fontId="28" fillId="15" borderId="0" applyNumberFormat="0" applyBorder="0" applyAlignment="0" applyProtection="0"/>
    <xf numFmtId="0" fontId="51" fillId="44" borderId="103" applyNumberFormat="0" applyAlignment="0" applyProtection="0"/>
    <xf numFmtId="49" fontId="36" fillId="0" borderId="90" applyNumberFormat="0" applyFont="0" applyFill="0" applyBorder="0" applyProtection="0">
      <alignment horizontal="left" vertical="center" indent="2"/>
    </xf>
    <xf numFmtId="0" fontId="5" fillId="60" borderId="70" applyNumberFormat="0" applyFont="0" applyAlignment="0" applyProtection="0"/>
    <xf numFmtId="0" fontId="30" fillId="14" borderId="13" applyNumberFormat="0" applyAlignment="0" applyProtection="0"/>
    <xf numFmtId="4" fontId="34" fillId="35" borderId="107">
      <alignment horizontal="right" vertical="center"/>
    </xf>
    <xf numFmtId="0" fontId="82" fillId="0" borderId="0"/>
    <xf numFmtId="4" fontId="34" fillId="35" borderId="92">
      <alignment horizontal="right" vertical="center"/>
    </xf>
    <xf numFmtId="0" fontId="28" fillId="28" borderId="0" applyNumberFormat="0" applyBorder="0" applyAlignment="0" applyProtection="0"/>
    <xf numFmtId="0" fontId="52" fillId="0" borderId="104" applyNumberFormat="0" applyFill="0" applyAlignment="0" applyProtection="0"/>
    <xf numFmtId="0" fontId="36" fillId="34" borderId="82"/>
    <xf numFmtId="4" fontId="36" fillId="0" borderId="46" applyFill="0" applyBorder="0" applyProtection="0">
      <alignment horizontal="right" vertical="center"/>
    </xf>
    <xf numFmtId="0" fontId="67" fillId="0" borderId="80" applyNumberFormat="0" applyFill="0" applyAlignment="0" applyProtection="0"/>
    <xf numFmtId="0" fontId="34" fillId="35" borderId="108">
      <alignment horizontal="right" vertical="center"/>
    </xf>
    <xf numFmtId="49" fontId="36" fillId="0" borderId="82" applyNumberFormat="0" applyFont="0" applyFill="0" applyBorder="0" applyProtection="0">
      <alignment horizontal="left" vertical="center" indent="2"/>
    </xf>
    <xf numFmtId="4" fontId="34" fillId="35" borderId="90">
      <alignment horizontal="right" vertical="center"/>
    </xf>
    <xf numFmtId="0" fontId="82" fillId="36" borderId="0" applyNumberFormat="0" applyFont="0" applyBorder="0" applyAlignment="0" applyProtection="0"/>
    <xf numFmtId="0" fontId="42" fillId="60" borderId="65" applyNumberFormat="0" applyFont="0" applyAlignment="0" applyProtection="0"/>
    <xf numFmtId="0" fontId="5" fillId="60" borderId="65" applyNumberFormat="0" applyFont="0" applyAlignment="0" applyProtection="0"/>
    <xf numFmtId="0" fontId="64" fillId="57" borderId="62" applyNumberFormat="0" applyAlignment="0" applyProtection="0"/>
    <xf numFmtId="9" fontId="82" fillId="0" borderId="0" applyFont="0" applyFill="0" applyBorder="0" applyAlignment="0" applyProtection="0"/>
    <xf numFmtId="0" fontId="28" fillId="31" borderId="0" applyNumberFormat="0" applyBorder="0" applyAlignment="0" applyProtection="0"/>
    <xf numFmtId="0" fontId="5" fillId="60" borderId="105" applyNumberFormat="0" applyFont="0" applyAlignment="0" applyProtection="0"/>
    <xf numFmtId="0" fontId="48" fillId="57" borderId="103" applyNumberFormat="0" applyAlignment="0" applyProtection="0"/>
    <xf numFmtId="0" fontId="67" fillId="0" borderId="64" applyNumberFormat="0" applyFill="0" applyAlignment="0" applyProtection="0"/>
    <xf numFmtId="0" fontId="36" fillId="34" borderId="106"/>
    <xf numFmtId="0" fontId="28" fillId="22" borderId="0" applyNumberFormat="0" applyBorder="0" applyAlignment="0" applyProtection="0"/>
    <xf numFmtId="0" fontId="34" fillId="35" borderId="107">
      <alignment horizontal="right" vertical="center"/>
    </xf>
    <xf numFmtId="0" fontId="64" fillId="57" borderId="102" applyNumberFormat="0" applyAlignment="0" applyProtection="0"/>
    <xf numFmtId="0" fontId="48" fillId="57" borderId="87" applyNumberFormat="0" applyAlignment="0" applyProtection="0"/>
    <xf numFmtId="0" fontId="60" fillId="44" borderId="103" applyNumberFormat="0" applyAlignment="0" applyProtection="0"/>
    <xf numFmtId="0" fontId="13" fillId="20" borderId="0" applyNumberFormat="0" applyBorder="0" applyAlignment="0" applyProtection="0"/>
    <xf numFmtId="4" fontId="36" fillId="34" borderId="71"/>
    <xf numFmtId="0" fontId="36" fillId="0" borderId="71" applyNumberFormat="0" applyFill="0" applyAlignment="0" applyProtection="0"/>
    <xf numFmtId="0" fontId="64" fillId="57" borderId="78" applyNumberFormat="0" applyAlignment="0" applyProtection="0"/>
    <xf numFmtId="0" fontId="34" fillId="35" borderId="108">
      <alignment horizontal="right" vertical="center"/>
    </xf>
    <xf numFmtId="0" fontId="45" fillId="57" borderId="102" applyNumberFormat="0" applyAlignment="0" applyProtection="0"/>
    <xf numFmtId="0" fontId="13" fillId="26" borderId="0" applyNumberFormat="0" applyBorder="0" applyAlignment="0" applyProtection="0"/>
    <xf numFmtId="0" fontId="28" fillId="19" borderId="0" applyNumberFormat="0" applyBorder="0" applyAlignment="0" applyProtection="0"/>
    <xf numFmtId="0" fontId="47" fillId="57" borderId="103" applyNumberFormat="0" applyAlignment="0" applyProtection="0"/>
    <xf numFmtId="0" fontId="31" fillId="14" borderId="12" applyNumberFormat="0" applyAlignment="0" applyProtection="0"/>
    <xf numFmtId="0" fontId="48" fillId="57" borderId="95" applyNumberFormat="0" applyAlignment="0" applyProtection="0"/>
    <xf numFmtId="0" fontId="64" fillId="57" borderId="86" applyNumberFormat="0" applyAlignment="0" applyProtection="0"/>
    <xf numFmtId="49" fontId="36" fillId="0" borderId="72" applyNumberFormat="0" applyFont="0" applyFill="0" applyBorder="0" applyProtection="0">
      <alignment horizontal="left" vertical="center" indent="5"/>
    </xf>
    <xf numFmtId="0" fontId="32" fillId="0" borderId="0" applyNumberFormat="0" applyFill="0" applyBorder="0" applyAlignment="0" applyProtection="0"/>
    <xf numFmtId="49" fontId="36" fillId="0" borderId="106" applyNumberFormat="0" applyFont="0" applyFill="0" applyBorder="0" applyProtection="0">
      <alignment horizontal="left" vertical="center" indent="2"/>
    </xf>
    <xf numFmtId="0" fontId="13" fillId="17" borderId="0" applyNumberFormat="0" applyBorder="0" applyAlignment="0" applyProtection="0"/>
    <xf numFmtId="49" fontId="36" fillId="0" borderId="106" applyNumberFormat="0" applyFont="0" applyFill="0" applyBorder="0" applyProtection="0">
      <alignment horizontal="left" vertical="center" indent="2"/>
    </xf>
    <xf numFmtId="0" fontId="67" fillId="0" borderId="88" applyNumberFormat="0" applyFill="0" applyAlignment="0" applyProtection="0"/>
    <xf numFmtId="0" fontId="34" fillId="35" borderId="107">
      <alignment horizontal="right" vertical="center"/>
    </xf>
    <xf numFmtId="0" fontId="60" fillId="44" borderId="103" applyNumberFormat="0" applyAlignment="0" applyProtection="0"/>
    <xf numFmtId="0" fontId="42" fillId="60" borderId="105" applyNumberFormat="0" applyFont="0" applyAlignment="0" applyProtection="0"/>
    <xf numFmtId="0" fontId="36" fillId="35" borderId="109">
      <alignment horizontal="left" vertical="center" wrapText="1" indent="2"/>
    </xf>
    <xf numFmtId="0" fontId="34" fillId="33" borderId="106">
      <alignment horizontal="right" vertical="center"/>
    </xf>
    <xf numFmtId="0" fontId="42" fillId="60" borderId="70" applyNumberFormat="0" applyFont="0" applyAlignment="0" applyProtection="0"/>
    <xf numFmtId="0" fontId="48" fillId="57" borderId="63" applyNumberFormat="0" applyAlignment="0" applyProtection="0"/>
    <xf numFmtId="4" fontId="34" fillId="35" borderId="106">
      <alignment horizontal="right" vertical="center"/>
    </xf>
    <xf numFmtId="0" fontId="34" fillId="35" borderId="106">
      <alignment horizontal="right" vertical="center"/>
    </xf>
    <xf numFmtId="0" fontId="36" fillId="0" borderId="85">
      <alignment horizontal="left" vertical="center" wrapText="1" indent="2"/>
    </xf>
    <xf numFmtId="0" fontId="42" fillId="60" borderId="81" applyNumberFormat="0" applyFont="0" applyAlignment="0" applyProtection="0"/>
    <xf numFmtId="0" fontId="60" fillId="44" borderId="63" applyNumberFormat="0" applyAlignment="0" applyProtection="0"/>
    <xf numFmtId="0" fontId="36" fillId="0" borderId="109">
      <alignment horizontal="left" vertical="center" wrapText="1" indent="2"/>
    </xf>
    <xf numFmtId="0" fontId="67" fillId="0" borderId="104" applyNumberFormat="0" applyFill="0" applyAlignment="0" applyProtection="0"/>
    <xf numFmtId="0" fontId="42" fillId="60" borderId="65" applyNumberFormat="0" applyFont="0" applyAlignment="0" applyProtection="0"/>
    <xf numFmtId="0" fontId="64" fillId="57" borderId="62" applyNumberFormat="0" applyAlignment="0" applyProtection="0"/>
    <xf numFmtId="0" fontId="13" fillId="23" borderId="0" applyNumberFormat="0" applyBorder="0" applyAlignment="0" applyProtection="0"/>
    <xf numFmtId="0" fontId="67" fillId="0" borderId="64" applyNumberFormat="0" applyFill="0" applyAlignment="0" applyProtection="0"/>
    <xf numFmtId="0" fontId="64" fillId="57" borderId="86" applyNumberFormat="0" applyAlignment="0" applyProtection="0"/>
    <xf numFmtId="0" fontId="48" fillId="57" borderId="103" applyNumberFormat="0" applyAlignment="0" applyProtection="0"/>
    <xf numFmtId="0" fontId="60" fillId="44" borderId="79" applyNumberFormat="0" applyAlignment="0" applyProtection="0"/>
    <xf numFmtId="49" fontId="35" fillId="0" borderId="106" applyNumberFormat="0" applyFill="0" applyBorder="0" applyProtection="0">
      <alignment horizontal="left" vertical="center"/>
    </xf>
    <xf numFmtId="0" fontId="34" fillId="35" borderId="107">
      <alignment horizontal="right" vertical="center"/>
    </xf>
    <xf numFmtId="0" fontId="60" fillId="44" borderId="95" applyNumberFormat="0" applyAlignment="0" applyProtection="0"/>
    <xf numFmtId="0" fontId="34" fillId="33" borderId="90">
      <alignment horizontal="right" vertical="center"/>
    </xf>
    <xf numFmtId="0" fontId="36" fillId="0" borderId="82">
      <alignment horizontal="right" vertical="center"/>
    </xf>
    <xf numFmtId="49" fontId="35" fillId="0" borderId="71" applyNumberFormat="0" applyFill="0" applyBorder="0" applyProtection="0">
      <alignment horizontal="left" vertical="center"/>
    </xf>
    <xf numFmtId="49" fontId="35" fillId="0" borderId="106" applyNumberFormat="0" applyFill="0" applyBorder="0" applyProtection="0">
      <alignment horizontal="left" vertical="center"/>
    </xf>
    <xf numFmtId="0" fontId="52" fillId="0" borderId="104" applyNumberFormat="0" applyFill="0" applyAlignment="0" applyProtection="0"/>
    <xf numFmtId="4" fontId="36" fillId="0" borderId="106" applyFill="0" applyBorder="0" applyProtection="0">
      <alignment horizontal="right" vertical="center"/>
    </xf>
    <xf numFmtId="0" fontId="67" fillId="0" borderId="104" applyNumberFormat="0" applyFill="0" applyAlignment="0" applyProtection="0"/>
    <xf numFmtId="0" fontId="34" fillId="35" borderId="106">
      <alignment horizontal="right" vertical="center"/>
    </xf>
    <xf numFmtId="0" fontId="34" fillId="33" borderId="66">
      <alignment horizontal="right" vertical="center"/>
    </xf>
    <xf numFmtId="4" fontId="34" fillId="33" borderId="66">
      <alignment horizontal="right" vertical="center"/>
    </xf>
    <xf numFmtId="0" fontId="38" fillId="33" borderId="66">
      <alignment horizontal="right" vertical="center"/>
    </xf>
    <xf numFmtId="4" fontId="38" fillId="33" borderId="66">
      <alignment horizontal="right" vertical="center"/>
    </xf>
    <xf numFmtId="0" fontId="34" fillId="35" borderId="66">
      <alignment horizontal="right" vertical="center"/>
    </xf>
    <xf numFmtId="4" fontId="34" fillId="35" borderId="66">
      <alignment horizontal="right" vertical="center"/>
    </xf>
    <xf numFmtId="0" fontId="34" fillId="35" borderId="66">
      <alignment horizontal="right" vertical="center"/>
    </xf>
    <xf numFmtId="4" fontId="34" fillId="35" borderId="66">
      <alignment horizontal="right" vertical="center"/>
    </xf>
    <xf numFmtId="0" fontId="34" fillId="35" borderId="67">
      <alignment horizontal="right" vertical="center"/>
    </xf>
    <xf numFmtId="4" fontId="34" fillId="35" borderId="67">
      <alignment horizontal="right" vertical="center"/>
    </xf>
    <xf numFmtId="0" fontId="34" fillId="35" borderId="68">
      <alignment horizontal="right" vertical="center"/>
    </xf>
    <xf numFmtId="4" fontId="34" fillId="35" borderId="68">
      <alignment horizontal="right" vertical="center"/>
    </xf>
    <xf numFmtId="0" fontId="48" fillId="57" borderId="63" applyNumberFormat="0" applyAlignment="0" applyProtection="0"/>
    <xf numFmtId="0" fontId="36" fillId="35" borderId="69">
      <alignment horizontal="left" vertical="center" wrapText="1" indent="2"/>
    </xf>
    <xf numFmtId="0" fontId="36" fillId="0" borderId="69">
      <alignment horizontal="left" vertical="center" wrapText="1" indent="2"/>
    </xf>
    <xf numFmtId="0" fontId="36" fillId="33" borderId="67">
      <alignment horizontal="left" vertical="center"/>
    </xf>
    <xf numFmtId="0" fontId="13" fillId="20" borderId="0" applyNumberFormat="0" applyBorder="0" applyAlignment="0" applyProtection="0"/>
    <xf numFmtId="0" fontId="60" fillId="44" borderId="63" applyNumberFormat="0" applyAlignment="0" applyProtection="0"/>
    <xf numFmtId="0" fontId="36" fillId="0" borderId="66">
      <alignment horizontal="right" vertical="center"/>
    </xf>
    <xf numFmtId="4" fontId="36" fillId="0" borderId="66">
      <alignment horizontal="right" vertical="center"/>
    </xf>
    <xf numFmtId="0" fontId="36" fillId="0" borderId="66" applyNumberFormat="0" applyFill="0" applyAlignment="0" applyProtection="0"/>
    <xf numFmtId="0" fontId="64" fillId="57" borderId="62" applyNumberFormat="0" applyAlignment="0" applyProtection="0"/>
    <xf numFmtId="174" fontId="36" fillId="61" borderId="66" applyNumberFormat="0" applyFont="0" applyBorder="0" applyAlignment="0" applyProtection="0">
      <alignment horizontal="right" vertical="center"/>
    </xf>
    <xf numFmtId="0" fontId="36" fillId="34" borderId="66"/>
    <xf numFmtId="4" fontId="36" fillId="34" borderId="66"/>
    <xf numFmtId="0" fontId="67" fillId="0" borderId="64" applyNumberFormat="0" applyFill="0" applyAlignment="0" applyProtection="0"/>
    <xf numFmtId="0" fontId="28" fillId="22" borderId="0" applyNumberFormat="0" applyBorder="0" applyAlignment="0" applyProtection="0"/>
    <xf numFmtId="4" fontId="34" fillId="35" borderId="106">
      <alignment horizontal="right" vertical="center"/>
    </xf>
    <xf numFmtId="4" fontId="34" fillId="35" borderId="83">
      <alignment horizontal="right" vertical="center"/>
    </xf>
    <xf numFmtId="0" fontId="30" fillId="14" borderId="13" applyNumberFormat="0" applyAlignment="0" applyProtection="0"/>
    <xf numFmtId="0" fontId="34" fillId="35" borderId="106">
      <alignment horizontal="right" vertical="center"/>
    </xf>
    <xf numFmtId="49" fontId="35" fillId="0" borderId="90" applyNumberFormat="0" applyFill="0" applyBorder="0" applyProtection="0">
      <alignment horizontal="left" vertical="center"/>
    </xf>
    <xf numFmtId="0" fontId="28" fillId="21" borderId="0" applyNumberFormat="0" applyBorder="0" applyAlignment="0" applyProtection="0"/>
    <xf numFmtId="0" fontId="67" fillId="0" borderId="80" applyNumberFormat="0" applyFill="0" applyAlignment="0" applyProtection="0"/>
    <xf numFmtId="0" fontId="48" fillId="57" borderId="79" applyNumberFormat="0" applyAlignment="0" applyProtection="0"/>
    <xf numFmtId="0" fontId="13" fillId="32" borderId="0" applyNumberFormat="0" applyBorder="0" applyAlignment="0" applyProtection="0"/>
    <xf numFmtId="0" fontId="2" fillId="0" borderId="14" applyNumberFormat="0" applyFill="0" applyAlignment="0" applyProtection="0"/>
    <xf numFmtId="0" fontId="48" fillId="57" borderId="103" applyNumberFormat="0" applyAlignment="0" applyProtection="0"/>
    <xf numFmtId="0" fontId="28" fillId="28" borderId="0" applyNumberFormat="0" applyBorder="0" applyAlignment="0" applyProtection="0"/>
    <xf numFmtId="0" fontId="36" fillId="35" borderId="101">
      <alignment horizontal="left" vertical="center" wrapText="1" indent="2"/>
    </xf>
    <xf numFmtId="0" fontId="28" fillId="15" borderId="0" applyNumberFormat="0" applyBorder="0" applyAlignment="0" applyProtection="0"/>
    <xf numFmtId="0" fontId="67" fillId="0" borderId="104" applyNumberFormat="0" applyFill="0" applyAlignment="0" applyProtection="0"/>
    <xf numFmtId="4" fontId="34" fillId="35" borderId="106">
      <alignment horizontal="right" vertical="center"/>
    </xf>
    <xf numFmtId="0" fontId="48" fillId="57" borderId="103" applyNumberFormat="0" applyAlignment="0" applyProtection="0"/>
    <xf numFmtId="0" fontId="13" fillId="17" borderId="0" applyNumberFormat="0" applyBorder="0" applyAlignment="0" applyProtection="0"/>
    <xf numFmtId="0" fontId="60" fillId="44" borderId="79" applyNumberFormat="0" applyAlignment="0" applyProtection="0"/>
    <xf numFmtId="174" fontId="36" fillId="61" borderId="82" applyNumberFormat="0" applyFont="0" applyBorder="0" applyAlignment="0" applyProtection="0">
      <alignment horizontal="right" vertical="center"/>
    </xf>
    <xf numFmtId="0" fontId="36" fillId="0" borderId="85">
      <alignment horizontal="left" vertical="center" wrapText="1" indent="2"/>
    </xf>
    <xf numFmtId="0" fontId="36" fillId="0" borderId="106" applyNumberFormat="0" applyFill="0" applyAlignment="0" applyProtection="0"/>
    <xf numFmtId="0" fontId="13" fillId="29" borderId="0" applyNumberFormat="0" applyBorder="0" applyAlignment="0" applyProtection="0"/>
    <xf numFmtId="0" fontId="36" fillId="0" borderId="109">
      <alignment horizontal="left" vertical="center" wrapText="1" indent="2"/>
    </xf>
    <xf numFmtId="4" fontId="38" fillId="33" borderId="106">
      <alignment horizontal="right" vertical="center"/>
    </xf>
    <xf numFmtId="0" fontId="34" fillId="35" borderId="82">
      <alignment horizontal="right" vertical="center"/>
    </xf>
    <xf numFmtId="0" fontId="36" fillId="33" borderId="107">
      <alignment horizontal="left" vertical="center"/>
    </xf>
    <xf numFmtId="0" fontId="60" fillId="44" borderId="103" applyNumberFormat="0" applyAlignment="0" applyProtection="0"/>
    <xf numFmtId="0" fontId="32" fillId="0" borderId="0" applyNumberFormat="0" applyFill="0" applyBorder="0" applyAlignment="0" applyProtection="0"/>
    <xf numFmtId="4" fontId="36" fillId="34" borderId="98"/>
    <xf numFmtId="0" fontId="28" fillId="31" borderId="0" applyNumberFormat="0" applyBorder="0" applyAlignment="0" applyProtection="0"/>
    <xf numFmtId="0" fontId="34" fillId="33" borderId="98">
      <alignment horizontal="right" vertical="center"/>
    </xf>
    <xf numFmtId="0" fontId="13" fillId="20" borderId="0" applyNumberFormat="0" applyBorder="0" applyAlignment="0" applyProtection="0"/>
    <xf numFmtId="0" fontId="64" fillId="57" borderId="94" applyNumberFormat="0" applyAlignment="0" applyProtection="0"/>
    <xf numFmtId="0" fontId="28" fillId="16" borderId="0" applyNumberFormat="0" applyBorder="0" applyAlignment="0" applyProtection="0"/>
    <xf numFmtId="0" fontId="28" fillId="16" borderId="0" applyNumberFormat="0" applyBorder="0" applyAlignment="0" applyProtection="0"/>
    <xf numFmtId="0" fontId="32" fillId="0" borderId="0" applyNumberFormat="0" applyFill="0" applyBorder="0" applyAlignment="0" applyProtection="0"/>
    <xf numFmtId="0" fontId="36" fillId="0" borderId="106">
      <alignment horizontal="right" vertical="center"/>
    </xf>
    <xf numFmtId="0" fontId="36" fillId="34" borderId="71"/>
    <xf numFmtId="4" fontId="34" fillId="33" borderId="90">
      <alignment horizontal="right" vertical="center"/>
    </xf>
    <xf numFmtId="0" fontId="5" fillId="60" borderId="97" applyNumberFormat="0" applyFont="0" applyAlignment="0" applyProtection="0"/>
    <xf numFmtId="49" fontId="36" fillId="0" borderId="66" applyNumberFormat="0" applyFont="0" applyFill="0" applyBorder="0" applyProtection="0">
      <alignment horizontal="left" vertical="center" indent="2"/>
    </xf>
    <xf numFmtId="49" fontId="36" fillId="0" borderId="67" applyNumberFormat="0" applyFont="0" applyFill="0" applyBorder="0" applyProtection="0">
      <alignment horizontal="left" vertical="center" indent="5"/>
    </xf>
    <xf numFmtId="0" fontId="36" fillId="0" borderId="109">
      <alignment horizontal="left" vertical="center" wrapText="1" indent="2"/>
    </xf>
    <xf numFmtId="0" fontId="28" fillId="16" borderId="0" applyNumberFormat="0" applyBorder="0" applyAlignment="0" applyProtection="0"/>
    <xf numFmtId="0" fontId="67" fillId="0" borderId="96" applyNumberFormat="0" applyFill="0" applyAlignment="0" applyProtection="0"/>
    <xf numFmtId="0" fontId="42" fillId="60" borderId="105" applyNumberFormat="0" applyFont="0" applyAlignment="0" applyProtection="0"/>
    <xf numFmtId="0" fontId="28" fillId="27" borderId="0" applyNumberFormat="0" applyBorder="0" applyAlignment="0" applyProtection="0"/>
    <xf numFmtId="4" fontId="36" fillId="0" borderId="66" applyFill="0" applyBorder="0" applyProtection="0">
      <alignment horizontal="right" vertical="center"/>
    </xf>
    <xf numFmtId="49" fontId="35" fillId="0" borderId="66" applyNumberFormat="0" applyFill="0" applyBorder="0" applyProtection="0">
      <alignment horizontal="left" vertical="center"/>
    </xf>
    <xf numFmtId="0" fontId="2" fillId="0" borderId="14" applyNumberFormat="0" applyFill="0" applyAlignment="0" applyProtection="0"/>
    <xf numFmtId="0" fontId="42" fillId="60" borderId="105" applyNumberFormat="0" applyFont="0" applyAlignment="0" applyProtection="0"/>
    <xf numFmtId="0" fontId="36" fillId="0" borderId="106">
      <alignment horizontal="right" vertical="center"/>
    </xf>
    <xf numFmtId="0" fontId="1" fillId="0" borderId="0" applyNumberFormat="0" applyFill="0" applyBorder="0" applyAlignment="0" applyProtection="0"/>
    <xf numFmtId="0" fontId="36" fillId="0" borderId="109">
      <alignment horizontal="left" vertical="center" wrapText="1" indent="2"/>
    </xf>
    <xf numFmtId="0" fontId="28" fillId="25" borderId="0" applyNumberFormat="0" applyBorder="0" applyAlignment="0" applyProtection="0"/>
    <xf numFmtId="0" fontId="47" fillId="57" borderId="103" applyNumberFormat="0" applyAlignment="0" applyProtection="0"/>
    <xf numFmtId="0" fontId="28" fillId="16" borderId="0" applyNumberFormat="0" applyBorder="0" applyAlignment="0" applyProtection="0"/>
    <xf numFmtId="0" fontId="42" fillId="60" borderId="105" applyNumberFormat="0" applyFont="0" applyAlignment="0" applyProtection="0"/>
    <xf numFmtId="0" fontId="64" fillId="57" borderId="78" applyNumberFormat="0" applyAlignment="0" applyProtection="0"/>
    <xf numFmtId="0" fontId="36" fillId="33" borderId="83">
      <alignment horizontal="left" vertical="center"/>
    </xf>
    <xf numFmtId="49" fontId="35" fillId="0" borderId="98" applyNumberFormat="0" applyFill="0" applyBorder="0" applyProtection="0">
      <alignment horizontal="left" vertical="center"/>
    </xf>
    <xf numFmtId="0" fontId="47" fillId="57" borderId="79" applyNumberFormat="0" applyAlignment="0" applyProtection="0"/>
    <xf numFmtId="0" fontId="34" fillId="35" borderId="92">
      <alignment horizontal="right" vertical="center"/>
    </xf>
    <xf numFmtId="0" fontId="64" fillId="57" borderId="86" applyNumberFormat="0" applyAlignment="0" applyProtection="0"/>
    <xf numFmtId="0" fontId="48" fillId="57" borderId="103" applyNumberFormat="0" applyAlignment="0" applyProtection="0"/>
    <xf numFmtId="4" fontId="36" fillId="0" borderId="71" applyFill="0" applyBorder="0" applyProtection="0">
      <alignment horizontal="right" vertical="center"/>
    </xf>
    <xf numFmtId="0" fontId="67" fillId="0" borderId="104" applyNumberFormat="0" applyFill="0" applyAlignment="0" applyProtection="0"/>
    <xf numFmtId="0" fontId="42" fillId="60" borderId="105" applyNumberFormat="0" applyFont="0" applyAlignment="0" applyProtection="0"/>
    <xf numFmtId="0" fontId="28" fillId="15" borderId="0" applyNumberFormat="0" applyBorder="0" applyAlignment="0" applyProtection="0"/>
    <xf numFmtId="4" fontId="34" fillId="35" borderId="83">
      <alignment horizontal="right" vertical="center"/>
    </xf>
    <xf numFmtId="0" fontId="13" fillId="29" borderId="0" applyNumberFormat="0" applyBorder="0" applyAlignment="0" applyProtection="0"/>
    <xf numFmtId="4" fontId="34" fillId="35" borderId="108">
      <alignment horizontal="right" vertical="center"/>
    </xf>
    <xf numFmtId="0" fontId="36" fillId="34" borderId="90"/>
    <xf numFmtId="4" fontId="34" fillId="33" borderId="106">
      <alignment horizontal="right" vertical="center"/>
    </xf>
    <xf numFmtId="0" fontId="45" fillId="57" borderId="62" applyNumberFormat="0" applyAlignment="0" applyProtection="0"/>
    <xf numFmtId="0" fontId="47" fillId="57" borderId="63" applyNumberFormat="0" applyAlignment="0" applyProtection="0"/>
    <xf numFmtId="0" fontId="52" fillId="0" borderId="64" applyNumberFormat="0" applyFill="0" applyAlignment="0" applyProtection="0"/>
    <xf numFmtId="0" fontId="13" fillId="26" borderId="0" applyNumberFormat="0" applyBorder="0" applyAlignment="0" applyProtection="0"/>
    <xf numFmtId="0" fontId="42" fillId="60" borderId="97" applyNumberFormat="0" applyFont="0" applyAlignment="0" applyProtection="0"/>
    <xf numFmtId="0" fontId="64" fillId="57" borderId="102" applyNumberFormat="0" applyAlignment="0" applyProtection="0"/>
    <xf numFmtId="0" fontId="28" fillId="24" borderId="0" applyNumberFormat="0" applyBorder="0" applyAlignment="0" applyProtection="0"/>
    <xf numFmtId="0" fontId="67" fillId="0" borderId="104" applyNumberFormat="0" applyFill="0" applyAlignment="0" applyProtection="0"/>
    <xf numFmtId="0" fontId="51" fillId="44" borderId="95" applyNumberFormat="0" applyAlignment="0" applyProtection="0"/>
    <xf numFmtId="0" fontId="1" fillId="0" borderId="0" applyNumberFormat="0" applyFill="0" applyBorder="0" applyAlignment="0" applyProtection="0"/>
    <xf numFmtId="0" fontId="36" fillId="33" borderId="72">
      <alignment horizontal="left" vertical="center"/>
    </xf>
    <xf numFmtId="0" fontId="67" fillId="0" borderId="80" applyNumberFormat="0" applyFill="0" applyAlignment="0" applyProtection="0"/>
    <xf numFmtId="0" fontId="34" fillId="35" borderId="73">
      <alignment horizontal="right" vertical="center"/>
    </xf>
    <xf numFmtId="4" fontId="34" fillId="35" borderId="73">
      <alignment horizontal="right" vertical="center"/>
    </xf>
    <xf numFmtId="0" fontId="34" fillId="35" borderId="71">
      <alignment horizontal="right" vertical="center"/>
    </xf>
    <xf numFmtId="4" fontId="34" fillId="35" borderId="71">
      <alignment horizontal="right" vertical="center"/>
    </xf>
    <xf numFmtId="4" fontId="34" fillId="33" borderId="71">
      <alignment horizontal="right" vertical="center"/>
    </xf>
    <xf numFmtId="0" fontId="38" fillId="33" borderId="71">
      <alignment horizontal="right" vertical="center"/>
    </xf>
    <xf numFmtId="0" fontId="48" fillId="57" borderId="103" applyNumberFormat="0" applyAlignment="0" applyProtection="0"/>
    <xf numFmtId="0" fontId="51" fillId="44" borderId="79" applyNumberFormat="0" applyAlignment="0" applyProtection="0"/>
    <xf numFmtId="173" fontId="50" fillId="0" borderId="0" applyFont="0" applyFill="0" applyBorder="0" applyAlignment="0" applyProtection="0"/>
    <xf numFmtId="0" fontId="28" fillId="19" borderId="0" applyNumberFormat="0" applyBorder="0" applyAlignment="0" applyProtection="0"/>
    <xf numFmtId="4" fontId="36" fillId="0" borderId="82">
      <alignment horizontal="right" vertical="center"/>
    </xf>
    <xf numFmtId="0" fontId="51" fillId="44" borderId="103" applyNumberFormat="0" applyAlignment="0" applyProtection="0"/>
    <xf numFmtId="0" fontId="51" fillId="44" borderId="63" applyNumberFormat="0" applyAlignment="0" applyProtection="0"/>
    <xf numFmtId="49" fontId="35" fillId="0" borderId="106" applyNumberFormat="0" applyFill="0" applyBorder="0" applyProtection="0">
      <alignment horizontal="left" vertical="center"/>
    </xf>
    <xf numFmtId="0" fontId="50" fillId="0" borderId="0"/>
    <xf numFmtId="0" fontId="28" fillId="25" borderId="0" applyNumberFormat="0" applyBorder="0" applyAlignment="0" applyProtection="0"/>
    <xf numFmtId="4" fontId="38" fillId="33" borderId="82">
      <alignment horizontal="right" vertical="center"/>
    </xf>
    <xf numFmtId="0" fontId="13" fillId="17" borderId="0" applyNumberFormat="0" applyBorder="0" applyAlignment="0" applyProtection="0"/>
    <xf numFmtId="49" fontId="35" fillId="0" borderId="106" applyNumberFormat="0" applyFill="0" applyBorder="0" applyProtection="0">
      <alignment horizontal="left" vertical="center"/>
    </xf>
    <xf numFmtId="0" fontId="64" fillId="57" borderId="102" applyNumberFormat="0" applyAlignment="0" applyProtection="0"/>
    <xf numFmtId="4" fontId="34" fillId="35" borderId="108">
      <alignment horizontal="right" vertical="center"/>
    </xf>
    <xf numFmtId="0" fontId="30" fillId="14" borderId="13" applyNumberFormat="0" applyAlignment="0" applyProtection="0"/>
    <xf numFmtId="0" fontId="50" fillId="36" borderId="0" applyNumberFormat="0" applyFont="0" applyBorder="0" applyAlignment="0" applyProtection="0"/>
    <xf numFmtId="0" fontId="30" fillId="14" borderId="13" applyNumberFormat="0" applyAlignment="0" applyProtection="0"/>
    <xf numFmtId="9" fontId="50" fillId="0" borderId="0" applyFont="0" applyFill="0" applyBorder="0" applyAlignment="0" applyProtection="0"/>
    <xf numFmtId="0" fontId="36" fillId="0" borderId="106">
      <alignment horizontal="right" vertical="center"/>
    </xf>
    <xf numFmtId="0" fontId="36" fillId="35" borderId="69">
      <alignment horizontal="left" vertical="center" wrapText="1" indent="2"/>
    </xf>
    <xf numFmtId="0" fontId="36" fillId="0" borderId="69">
      <alignment horizontal="left" vertical="center" wrapText="1" indent="2"/>
    </xf>
    <xf numFmtId="0" fontId="31" fillId="14" borderId="12" applyNumberFormat="0" applyAlignment="0" applyProtection="0"/>
    <xf numFmtId="0" fontId="1" fillId="0" borderId="0" applyNumberFormat="0" applyFill="0" applyBorder="0" applyAlignment="0" applyProtection="0"/>
    <xf numFmtId="4" fontId="34" fillId="35" borderId="99">
      <alignment horizontal="right" vertical="center"/>
    </xf>
    <xf numFmtId="0" fontId="34" fillId="35" borderId="83">
      <alignment horizontal="right" vertical="center"/>
    </xf>
    <xf numFmtId="0" fontId="47" fillId="57" borderId="95" applyNumberFormat="0" applyAlignment="0" applyProtection="0"/>
    <xf numFmtId="174" fontId="36" fillId="61" borderId="90" applyNumberFormat="0" applyFont="0" applyBorder="0" applyAlignment="0" applyProtection="0">
      <alignment horizontal="right" vertical="center"/>
    </xf>
    <xf numFmtId="0" fontId="42" fillId="60" borderId="81" applyNumberFormat="0" applyFont="0" applyAlignment="0" applyProtection="0"/>
    <xf numFmtId="0" fontId="28" fillId="27" borderId="0" applyNumberFormat="0" applyBorder="0" applyAlignment="0" applyProtection="0"/>
    <xf numFmtId="0" fontId="34" fillId="35" borderId="106">
      <alignment horizontal="right" vertical="center"/>
    </xf>
    <xf numFmtId="0" fontId="34" fillId="35" borderId="82">
      <alignment horizontal="right" vertical="center"/>
    </xf>
    <xf numFmtId="4" fontId="36" fillId="34" borderId="82"/>
    <xf numFmtId="0" fontId="13" fillId="23" borderId="0" applyNumberFormat="0" applyBorder="0" applyAlignment="0" applyProtection="0"/>
    <xf numFmtId="0" fontId="36" fillId="33" borderId="83">
      <alignment horizontal="left" vertical="center"/>
    </xf>
    <xf numFmtId="0" fontId="36" fillId="34" borderId="82"/>
    <xf numFmtId="0" fontId="30" fillId="14" borderId="13" applyNumberFormat="0" applyAlignment="0" applyProtection="0"/>
    <xf numFmtId="0" fontId="13" fillId="20" borderId="0" applyNumberFormat="0" applyBorder="0" applyAlignment="0" applyProtection="0"/>
    <xf numFmtId="0" fontId="28" fillId="24" borderId="0" applyNumberFormat="0" applyBorder="0" applyAlignment="0" applyProtection="0"/>
    <xf numFmtId="49" fontId="36" fillId="0" borderId="83" applyNumberFormat="0" applyFont="0" applyFill="0" applyBorder="0" applyProtection="0">
      <alignment horizontal="left" vertical="center" indent="5"/>
    </xf>
    <xf numFmtId="0" fontId="28" fillId="21" borderId="0" applyNumberFormat="0" applyBorder="0" applyAlignment="0" applyProtection="0"/>
    <xf numFmtId="4" fontId="34" fillId="33" borderId="106">
      <alignment horizontal="right" vertical="center"/>
    </xf>
    <xf numFmtId="0" fontId="47" fillId="57" borderId="103" applyNumberFormat="0" applyAlignment="0" applyProtection="0"/>
    <xf numFmtId="0" fontId="67" fillId="0" borderId="88" applyNumberFormat="0" applyFill="0" applyAlignment="0" applyProtection="0"/>
    <xf numFmtId="4" fontId="36" fillId="0" borderId="106" applyFill="0" applyBorder="0" applyProtection="0">
      <alignment horizontal="right" vertical="center"/>
    </xf>
    <xf numFmtId="0" fontId="60" fillId="44" borderId="95" applyNumberFormat="0" applyAlignment="0" applyProtection="0"/>
    <xf numFmtId="0" fontId="32" fillId="0" borderId="0" applyNumberFormat="0" applyFill="0" applyBorder="0" applyAlignment="0" applyProtection="0"/>
    <xf numFmtId="0" fontId="36" fillId="35" borderId="85">
      <alignment horizontal="left" vertical="center" wrapText="1" indent="2"/>
    </xf>
    <xf numFmtId="0" fontId="51" fillId="44" borderId="103" applyNumberFormat="0" applyAlignment="0" applyProtection="0"/>
    <xf numFmtId="0" fontId="67" fillId="0" borderId="104" applyNumberFormat="0" applyFill="0" applyAlignment="0" applyProtection="0"/>
    <xf numFmtId="0" fontId="28" fillId="18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28" borderId="0" applyNumberFormat="0" applyBorder="0" applyAlignment="0" applyProtection="0"/>
    <xf numFmtId="0" fontId="28" fillId="25" borderId="0" applyNumberFormat="0" applyBorder="0" applyAlignment="0" applyProtection="0"/>
    <xf numFmtId="0" fontId="1" fillId="0" borderId="0" applyNumberFormat="0" applyFill="0" applyBorder="0" applyAlignment="0" applyProtection="0"/>
    <xf numFmtId="0" fontId="31" fillId="14" borderId="12" applyNumberFormat="0" applyAlignment="0" applyProtection="0"/>
    <xf numFmtId="0" fontId="28" fillId="16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13" fillId="17" borderId="0" applyNumberFormat="0" applyBorder="0" applyAlignment="0" applyProtection="0"/>
    <xf numFmtId="0" fontId="32" fillId="0" borderId="0" applyNumberFormat="0" applyFill="0" applyBorder="0" applyAlignment="0" applyProtection="0"/>
    <xf numFmtId="0" fontId="2" fillId="0" borderId="14" applyNumberFormat="0" applyFill="0" applyAlignment="0" applyProtection="0"/>
    <xf numFmtId="0" fontId="1" fillId="0" borderId="0" applyNumberFormat="0" applyFill="0" applyBorder="0" applyAlignment="0" applyProtection="0"/>
    <xf numFmtId="0" fontId="36" fillId="0" borderId="109">
      <alignment horizontal="left" vertical="center" wrapText="1" indent="2"/>
    </xf>
    <xf numFmtId="0" fontId="36" fillId="35" borderId="93">
      <alignment horizontal="left" vertical="center" wrapText="1" indent="2"/>
    </xf>
    <xf numFmtId="0" fontId="60" fillId="44" borderId="87" applyNumberFormat="0" applyAlignment="0" applyProtection="0"/>
    <xf numFmtId="4" fontId="36" fillId="34" borderId="106"/>
    <xf numFmtId="0" fontId="42" fillId="60" borderId="97" applyNumberFormat="0" applyFont="0" applyAlignment="0" applyProtection="0"/>
    <xf numFmtId="4" fontId="34" fillId="35" borderId="98">
      <alignment horizontal="right" vertical="center"/>
    </xf>
    <xf numFmtId="49" fontId="36" fillId="0" borderId="107" applyNumberFormat="0" applyFont="0" applyFill="0" applyBorder="0" applyProtection="0">
      <alignment horizontal="left" vertical="center" indent="5"/>
    </xf>
    <xf numFmtId="0" fontId="64" fillId="57" borderId="78" applyNumberFormat="0" applyAlignment="0" applyProtection="0"/>
    <xf numFmtId="0" fontId="67" fillId="0" borderId="96" applyNumberFormat="0" applyFill="0" applyAlignment="0" applyProtection="0"/>
    <xf numFmtId="4" fontId="34" fillId="35" borderId="66">
      <alignment horizontal="right" vertical="center"/>
    </xf>
    <xf numFmtId="0" fontId="36" fillId="34" borderId="66"/>
    <xf numFmtId="0" fontId="47" fillId="57" borderId="63" applyNumberFormat="0" applyAlignment="0" applyProtection="0"/>
    <xf numFmtId="0" fontId="34" fillId="33" borderId="66">
      <alignment horizontal="right" vertical="center"/>
    </xf>
    <xf numFmtId="0" fontId="36" fillId="0" borderId="66">
      <alignment horizontal="right" vertical="center"/>
    </xf>
    <xf numFmtId="0" fontId="67" fillId="0" borderId="64" applyNumberFormat="0" applyFill="0" applyAlignment="0" applyProtection="0"/>
    <xf numFmtId="0" fontId="36" fillId="33" borderId="67">
      <alignment horizontal="left" vertical="center"/>
    </xf>
    <xf numFmtId="0" fontId="60" fillId="44" borderId="63" applyNumberFormat="0" applyAlignment="0" applyProtection="0"/>
    <xf numFmtId="174" fontId="36" fillId="61" borderId="66" applyNumberFormat="0" applyFont="0" applyBorder="0" applyAlignment="0" applyProtection="0">
      <alignment horizontal="right" vertical="center"/>
    </xf>
    <xf numFmtId="0" fontId="42" fillId="60" borderId="65" applyNumberFormat="0" applyFont="0" applyAlignment="0" applyProtection="0"/>
    <xf numFmtId="0" fontId="36" fillId="0" borderId="69">
      <alignment horizontal="left" vertical="center" wrapText="1" indent="2"/>
    </xf>
    <xf numFmtId="4" fontId="36" fillId="34" borderId="66"/>
    <xf numFmtId="49" fontId="35" fillId="0" borderId="66" applyNumberFormat="0" applyFill="0" applyBorder="0" applyProtection="0">
      <alignment horizontal="left" vertical="center"/>
    </xf>
    <xf numFmtId="0" fontId="36" fillId="0" borderId="66">
      <alignment horizontal="right" vertical="center"/>
    </xf>
    <xf numFmtId="4" fontId="34" fillId="35" borderId="68">
      <alignment horizontal="right" vertical="center"/>
    </xf>
    <xf numFmtId="4" fontId="34" fillId="35" borderId="66">
      <alignment horizontal="right" vertical="center"/>
    </xf>
    <xf numFmtId="4" fontId="34" fillId="35" borderId="66">
      <alignment horizontal="right" vertical="center"/>
    </xf>
    <xf numFmtId="0" fontId="38" fillId="33" borderId="66">
      <alignment horizontal="right" vertical="center"/>
    </xf>
    <xf numFmtId="0" fontId="34" fillId="33" borderId="66">
      <alignment horizontal="right" vertical="center"/>
    </xf>
    <xf numFmtId="49" fontId="36" fillId="0" borderId="66" applyNumberFormat="0" applyFont="0" applyFill="0" applyBorder="0" applyProtection="0">
      <alignment horizontal="left" vertical="center" indent="2"/>
    </xf>
    <xf numFmtId="0" fontId="60" fillId="44" borderId="63" applyNumberFormat="0" applyAlignment="0" applyProtection="0"/>
    <xf numFmtId="0" fontId="45" fillId="57" borderId="62" applyNumberFormat="0" applyAlignment="0" applyProtection="0"/>
    <xf numFmtId="49" fontId="36" fillId="0" borderId="66" applyNumberFormat="0" applyFont="0" applyFill="0" applyBorder="0" applyProtection="0">
      <alignment horizontal="left" vertical="center" indent="2"/>
    </xf>
    <xf numFmtId="0" fontId="51" fillId="44" borderId="63" applyNumberFormat="0" applyAlignment="0" applyProtection="0"/>
    <xf numFmtId="4" fontId="36" fillId="0" borderId="66" applyFill="0" applyBorder="0" applyProtection="0">
      <alignment horizontal="right" vertical="center"/>
    </xf>
    <xf numFmtId="0" fontId="48" fillId="57" borderId="63" applyNumberFormat="0" applyAlignment="0" applyProtection="0"/>
    <xf numFmtId="0" fontId="67" fillId="0" borderId="64" applyNumberFormat="0" applyFill="0" applyAlignment="0" applyProtection="0"/>
    <xf numFmtId="0" fontId="64" fillId="57" borderId="62" applyNumberFormat="0" applyAlignment="0" applyProtection="0"/>
    <xf numFmtId="0" fontId="36" fillId="0" borderId="66" applyNumberFormat="0" applyFill="0" applyAlignment="0" applyProtection="0"/>
    <xf numFmtId="4" fontId="36" fillId="0" borderId="66">
      <alignment horizontal="right" vertical="center"/>
    </xf>
    <xf numFmtId="0" fontId="36" fillId="0" borderId="66">
      <alignment horizontal="right" vertical="center"/>
    </xf>
    <xf numFmtId="0" fontId="60" fillId="44" borderId="63" applyNumberFormat="0" applyAlignment="0" applyProtection="0"/>
    <xf numFmtId="0" fontId="45" fillId="57" borderId="62" applyNumberFormat="0" applyAlignment="0" applyProtection="0"/>
    <xf numFmtId="0" fontId="47" fillId="57" borderId="63" applyNumberFormat="0" applyAlignment="0" applyProtection="0"/>
    <xf numFmtId="0" fontId="36" fillId="35" borderId="69">
      <alignment horizontal="left" vertical="center" wrapText="1" indent="2"/>
    </xf>
    <xf numFmtId="0" fontId="48" fillId="57" borderId="63" applyNumberFormat="0" applyAlignment="0" applyProtection="0"/>
    <xf numFmtId="0" fontId="48" fillId="57" borderId="63" applyNumberFormat="0" applyAlignment="0" applyProtection="0"/>
    <xf numFmtId="4" fontId="34" fillId="35" borderId="67">
      <alignment horizontal="right" vertical="center"/>
    </xf>
    <xf numFmtId="0" fontId="34" fillId="35" borderId="67">
      <alignment horizontal="right" vertical="center"/>
    </xf>
    <xf numFmtId="0" fontId="34" fillId="35" borderId="66">
      <alignment horizontal="right" vertical="center"/>
    </xf>
    <xf numFmtId="4" fontId="38" fillId="33" borderId="66">
      <alignment horizontal="right" vertical="center"/>
    </xf>
    <xf numFmtId="0" fontId="51" fillId="44" borderId="63" applyNumberFormat="0" applyAlignment="0" applyProtection="0"/>
    <xf numFmtId="0" fontId="52" fillId="0" borderId="64" applyNumberFormat="0" applyFill="0" applyAlignment="0" applyProtection="0"/>
    <xf numFmtId="0" fontId="67" fillId="0" borderId="64" applyNumberFormat="0" applyFill="0" applyAlignment="0" applyProtection="0"/>
    <xf numFmtId="0" fontId="42" fillId="60" borderId="65" applyNumberFormat="0" applyFont="0" applyAlignment="0" applyProtection="0"/>
    <xf numFmtId="0" fontId="60" fillId="44" borderId="63" applyNumberFormat="0" applyAlignment="0" applyProtection="0"/>
    <xf numFmtId="49" fontId="35" fillId="0" borderId="66" applyNumberFormat="0" applyFill="0" applyBorder="0" applyProtection="0">
      <alignment horizontal="left" vertical="center"/>
    </xf>
    <xf numFmtId="0" fontId="36" fillId="35" borderId="69">
      <alignment horizontal="left" vertical="center" wrapText="1" indent="2"/>
    </xf>
    <xf numFmtId="0" fontId="48" fillId="57" borderId="63" applyNumberFormat="0" applyAlignment="0" applyProtection="0"/>
    <xf numFmtId="0" fontId="36" fillId="0" borderId="69">
      <alignment horizontal="left" vertical="center" wrapText="1" indent="2"/>
    </xf>
    <xf numFmtId="0" fontId="42" fillId="60" borderId="65" applyNumberFormat="0" applyFont="0" applyAlignment="0" applyProtection="0"/>
    <xf numFmtId="0" fontId="5" fillId="60" borderId="65" applyNumberFormat="0" applyFont="0" applyAlignment="0" applyProtection="0"/>
    <xf numFmtId="0" fontId="64" fillId="57" borderId="62" applyNumberFormat="0" applyAlignment="0" applyProtection="0"/>
    <xf numFmtId="0" fontId="67" fillId="0" borderId="64" applyNumberFormat="0" applyFill="0" applyAlignment="0" applyProtection="0"/>
    <xf numFmtId="4" fontId="36" fillId="34" borderId="66"/>
    <xf numFmtId="0" fontId="34" fillId="35" borderId="66">
      <alignment horizontal="right" vertical="center"/>
    </xf>
    <xf numFmtId="0" fontId="67" fillId="0" borderId="64" applyNumberFormat="0" applyFill="0" applyAlignment="0" applyProtection="0"/>
    <xf numFmtId="4" fontId="34" fillId="35" borderId="68">
      <alignment horizontal="right" vertical="center"/>
    </xf>
    <xf numFmtId="0" fontId="47" fillId="57" borderId="63" applyNumberFormat="0" applyAlignment="0" applyProtection="0"/>
    <xf numFmtId="0" fontId="34" fillId="35" borderId="67">
      <alignment horizontal="right" vertical="center"/>
    </xf>
    <xf numFmtId="0" fontId="48" fillId="57" borderId="63" applyNumberFormat="0" applyAlignment="0" applyProtection="0"/>
    <xf numFmtId="0" fontId="52" fillId="0" borderId="64" applyNumberFormat="0" applyFill="0" applyAlignment="0" applyProtection="0"/>
    <xf numFmtId="0" fontId="42" fillId="60" borderId="65" applyNumberFormat="0" applyFont="0" applyAlignment="0" applyProtection="0"/>
    <xf numFmtId="4" fontId="34" fillId="35" borderId="67">
      <alignment horizontal="right" vertical="center"/>
    </xf>
    <xf numFmtId="0" fontId="36" fillId="35" borderId="69">
      <alignment horizontal="left" vertical="center" wrapText="1" indent="2"/>
    </xf>
    <xf numFmtId="0" fontId="36" fillId="34" borderId="66"/>
    <xf numFmtId="174" fontId="36" fillId="61" borderId="66" applyNumberFormat="0" applyFont="0" applyBorder="0" applyAlignment="0" applyProtection="0">
      <alignment horizontal="right" vertical="center"/>
    </xf>
    <xf numFmtId="0" fontId="36" fillId="0" borderId="66" applyNumberFormat="0" applyFill="0" applyAlignment="0" applyProtection="0"/>
    <xf numFmtId="4" fontId="36" fillId="0" borderId="66" applyFill="0" applyBorder="0" applyProtection="0">
      <alignment horizontal="right" vertical="center"/>
    </xf>
    <xf numFmtId="4" fontId="34" fillId="33" borderId="66">
      <alignment horizontal="right" vertical="center"/>
    </xf>
    <xf numFmtId="0" fontId="52" fillId="0" borderId="64" applyNumberFormat="0" applyFill="0" applyAlignment="0" applyProtection="0"/>
    <xf numFmtId="49" fontId="35" fillId="0" borderId="66" applyNumberFormat="0" applyFill="0" applyBorder="0" applyProtection="0">
      <alignment horizontal="left" vertical="center"/>
    </xf>
    <xf numFmtId="49" fontId="36" fillId="0" borderId="67" applyNumberFormat="0" applyFont="0" applyFill="0" applyBorder="0" applyProtection="0">
      <alignment horizontal="left" vertical="center" indent="5"/>
    </xf>
    <xf numFmtId="0" fontId="36" fillId="33" borderId="67">
      <alignment horizontal="left" vertical="center"/>
    </xf>
    <xf numFmtId="0" fontId="48" fillId="57" borderId="63" applyNumberFormat="0" applyAlignment="0" applyProtection="0"/>
    <xf numFmtId="4" fontId="34" fillId="35" borderId="68">
      <alignment horizontal="right" vertical="center"/>
    </xf>
    <xf numFmtId="0" fontId="60" fillId="44" borderId="63" applyNumberFormat="0" applyAlignment="0" applyProtection="0"/>
    <xf numFmtId="0" fontId="60" fillId="44" borderId="63" applyNumberFormat="0" applyAlignment="0" applyProtection="0"/>
    <xf numFmtId="0" fontId="42" fillId="60" borderId="65" applyNumberFormat="0" applyFont="0" applyAlignment="0" applyProtection="0"/>
    <xf numFmtId="0" fontId="64" fillId="57" borderId="62" applyNumberFormat="0" applyAlignment="0" applyProtection="0"/>
    <xf numFmtId="0" fontId="67" fillId="0" borderId="64" applyNumberFormat="0" applyFill="0" applyAlignment="0" applyProtection="0"/>
    <xf numFmtId="0" fontId="34" fillId="35" borderId="66">
      <alignment horizontal="right" vertical="center"/>
    </xf>
    <xf numFmtId="0" fontId="5" fillId="60" borderId="65" applyNumberFormat="0" applyFont="0" applyAlignment="0" applyProtection="0"/>
    <xf numFmtId="4" fontId="36" fillId="0" borderId="66">
      <alignment horizontal="right" vertical="center"/>
    </xf>
    <xf numFmtId="0" fontId="67" fillId="0" borderId="64" applyNumberFormat="0" applyFill="0" applyAlignment="0" applyProtection="0"/>
    <xf numFmtId="0" fontId="34" fillId="35" borderId="66">
      <alignment horizontal="right" vertical="center"/>
    </xf>
    <xf numFmtId="0" fontId="34" fillId="35" borderId="66">
      <alignment horizontal="right" vertical="center"/>
    </xf>
    <xf numFmtId="4" fontId="38" fillId="33" borderId="66">
      <alignment horizontal="right" vertical="center"/>
    </xf>
    <xf numFmtId="0" fontId="34" fillId="33" borderId="66">
      <alignment horizontal="right" vertical="center"/>
    </xf>
    <xf numFmtId="4" fontId="34" fillId="33" borderId="66">
      <alignment horizontal="right" vertical="center"/>
    </xf>
    <xf numFmtId="0" fontId="38" fillId="33" borderId="66">
      <alignment horizontal="right" vertical="center"/>
    </xf>
    <xf numFmtId="4" fontId="38" fillId="33" borderId="66">
      <alignment horizontal="right" vertical="center"/>
    </xf>
    <xf numFmtId="0" fontId="34" fillId="35" borderId="66">
      <alignment horizontal="right" vertical="center"/>
    </xf>
    <xf numFmtId="4" fontId="34" fillId="35" borderId="66">
      <alignment horizontal="right" vertical="center"/>
    </xf>
    <xf numFmtId="0" fontId="34" fillId="35" borderId="66">
      <alignment horizontal="right" vertical="center"/>
    </xf>
    <xf numFmtId="4" fontId="34" fillId="35" borderId="66">
      <alignment horizontal="right" vertical="center"/>
    </xf>
    <xf numFmtId="0" fontId="34" fillId="35" borderId="67">
      <alignment horizontal="right" vertical="center"/>
    </xf>
    <xf numFmtId="4" fontId="34" fillId="35" borderId="67">
      <alignment horizontal="right" vertical="center"/>
    </xf>
    <xf numFmtId="0" fontId="34" fillId="35" borderId="68">
      <alignment horizontal="right" vertical="center"/>
    </xf>
    <xf numFmtId="4" fontId="34" fillId="35" borderId="68">
      <alignment horizontal="right" vertical="center"/>
    </xf>
    <xf numFmtId="0" fontId="48" fillId="57" borderId="63" applyNumberFormat="0" applyAlignment="0" applyProtection="0"/>
    <xf numFmtId="0" fontId="36" fillId="35" borderId="69">
      <alignment horizontal="left" vertical="center" wrapText="1" indent="2"/>
    </xf>
    <xf numFmtId="0" fontId="36" fillId="0" borderId="69">
      <alignment horizontal="left" vertical="center" wrapText="1" indent="2"/>
    </xf>
    <xf numFmtId="0" fontId="36" fillId="33" borderId="67">
      <alignment horizontal="left" vertical="center"/>
    </xf>
    <xf numFmtId="0" fontId="60" fillId="44" borderId="63" applyNumberFormat="0" applyAlignment="0" applyProtection="0"/>
    <xf numFmtId="0" fontId="36" fillId="0" borderId="66">
      <alignment horizontal="right" vertical="center"/>
    </xf>
    <xf numFmtId="4" fontId="36" fillId="0" borderId="66">
      <alignment horizontal="right" vertical="center"/>
    </xf>
    <xf numFmtId="0" fontId="36" fillId="0" borderId="66" applyNumberFormat="0" applyFill="0" applyAlignment="0" applyProtection="0"/>
    <xf numFmtId="0" fontId="64" fillId="57" borderId="62" applyNumberFormat="0" applyAlignment="0" applyProtection="0"/>
    <xf numFmtId="174" fontId="36" fillId="61" borderId="66" applyNumberFormat="0" applyFont="0" applyBorder="0" applyAlignment="0" applyProtection="0">
      <alignment horizontal="right" vertical="center"/>
    </xf>
    <xf numFmtId="0" fontId="36" fillId="34" borderId="66"/>
    <xf numFmtId="4" fontId="36" fillId="34" borderId="66"/>
    <xf numFmtId="0" fontId="67" fillId="0" borderId="64" applyNumberFormat="0" applyFill="0" applyAlignment="0" applyProtection="0"/>
    <xf numFmtId="0" fontId="5" fillId="60" borderId="65" applyNumberFormat="0" applyFont="0" applyAlignment="0" applyProtection="0"/>
    <xf numFmtId="0" fontId="42" fillId="60" borderId="65" applyNumberFormat="0" applyFont="0" applyAlignment="0" applyProtection="0"/>
    <xf numFmtId="0" fontId="36" fillId="0" borderId="66" applyNumberFormat="0" applyFill="0" applyAlignment="0" applyProtection="0"/>
    <xf numFmtId="0" fontId="52" fillId="0" borderId="64" applyNumberFormat="0" applyFill="0" applyAlignment="0" applyProtection="0"/>
    <xf numFmtId="0" fontId="67" fillId="0" borderId="64" applyNumberFormat="0" applyFill="0" applyAlignment="0" applyProtection="0"/>
    <xf numFmtId="0" fontId="51" fillId="44" borderId="63" applyNumberFormat="0" applyAlignment="0" applyProtection="0"/>
    <xf numFmtId="0" fontId="48" fillId="57" borderId="63" applyNumberFormat="0" applyAlignment="0" applyProtection="0"/>
    <xf numFmtId="4" fontId="38" fillId="33" borderId="66">
      <alignment horizontal="right" vertical="center"/>
    </xf>
    <xf numFmtId="0" fontId="34" fillId="33" borderId="66">
      <alignment horizontal="right" vertical="center"/>
    </xf>
    <xf numFmtId="174" fontId="36" fillId="61" borderId="66" applyNumberFormat="0" applyFont="0" applyBorder="0" applyAlignment="0" applyProtection="0">
      <alignment horizontal="right" vertical="center"/>
    </xf>
    <xf numFmtId="0" fontId="52" fillId="0" borderId="64" applyNumberFormat="0" applyFill="0" applyAlignment="0" applyProtection="0"/>
    <xf numFmtId="49" fontId="36" fillId="0" borderId="66" applyNumberFormat="0" applyFont="0" applyFill="0" applyBorder="0" applyProtection="0">
      <alignment horizontal="left" vertical="center" indent="2"/>
    </xf>
    <xf numFmtId="49" fontId="36" fillId="0" borderId="67" applyNumberFormat="0" applyFont="0" applyFill="0" applyBorder="0" applyProtection="0">
      <alignment horizontal="left" vertical="center" indent="5"/>
    </xf>
    <xf numFmtId="49" fontId="36" fillId="0" borderId="66" applyNumberFormat="0" applyFont="0" applyFill="0" applyBorder="0" applyProtection="0">
      <alignment horizontal="left" vertical="center" indent="2"/>
    </xf>
    <xf numFmtId="4" fontId="36" fillId="0" borderId="66" applyFill="0" applyBorder="0" applyProtection="0">
      <alignment horizontal="right" vertical="center"/>
    </xf>
    <xf numFmtId="49" fontId="35" fillId="0" borderId="66" applyNumberFormat="0" applyFill="0" applyBorder="0" applyProtection="0">
      <alignment horizontal="left" vertical="center"/>
    </xf>
    <xf numFmtId="0" fontId="36" fillId="0" borderId="69">
      <alignment horizontal="left" vertical="center" wrapText="1" indent="2"/>
    </xf>
    <xf numFmtId="0" fontId="64" fillId="57" borderId="62" applyNumberFormat="0" applyAlignment="0" applyProtection="0"/>
    <xf numFmtId="0" fontId="34" fillId="35" borderId="68">
      <alignment horizontal="right" vertical="center"/>
    </xf>
    <xf numFmtId="0" fontId="51" fillId="44" borderId="63" applyNumberFormat="0" applyAlignment="0" applyProtection="0"/>
    <xf numFmtId="0" fontId="34" fillId="35" borderId="68">
      <alignment horizontal="right" vertical="center"/>
    </xf>
    <xf numFmtId="4" fontId="34" fillId="35" borderId="66">
      <alignment horizontal="right" vertical="center"/>
    </xf>
    <xf numFmtId="0" fontId="34" fillId="35" borderId="66">
      <alignment horizontal="right" vertical="center"/>
    </xf>
    <xf numFmtId="0" fontId="45" fillId="57" borderId="62" applyNumberFormat="0" applyAlignment="0" applyProtection="0"/>
    <xf numFmtId="0" fontId="47" fillId="57" borderId="63" applyNumberFormat="0" applyAlignment="0" applyProtection="0"/>
    <xf numFmtId="0" fontId="52" fillId="0" borderId="64" applyNumberFormat="0" applyFill="0" applyAlignment="0" applyProtection="0"/>
    <xf numFmtId="0" fontId="36" fillId="34" borderId="66"/>
    <xf numFmtId="4" fontId="36" fillId="34" borderId="66"/>
    <xf numFmtId="4" fontId="34" fillId="35" borderId="66">
      <alignment horizontal="right" vertical="center"/>
    </xf>
    <xf numFmtId="0" fontId="38" fillId="33" borderId="66">
      <alignment horizontal="right" vertical="center"/>
    </xf>
    <xf numFmtId="0" fontId="51" fillId="44" borderId="63" applyNumberFormat="0" applyAlignment="0" applyProtection="0"/>
    <xf numFmtId="0" fontId="48" fillId="57" borderId="63" applyNumberFormat="0" applyAlignment="0" applyProtection="0"/>
    <xf numFmtId="4" fontId="36" fillId="0" borderId="66">
      <alignment horizontal="right" vertical="center"/>
    </xf>
    <xf numFmtId="0" fontId="36" fillId="35" borderId="69">
      <alignment horizontal="left" vertical="center" wrapText="1" indent="2"/>
    </xf>
    <xf numFmtId="0" fontId="36" fillId="0" borderId="69">
      <alignment horizontal="left" vertical="center" wrapText="1" indent="2"/>
    </xf>
    <xf numFmtId="0" fontId="64" fillId="57" borderId="62" applyNumberFormat="0" applyAlignment="0" applyProtection="0"/>
    <xf numFmtId="0" fontId="60" fillId="44" borderId="63" applyNumberFormat="0" applyAlignment="0" applyProtection="0"/>
    <xf numFmtId="0" fontId="47" fillId="57" borderId="63" applyNumberFormat="0" applyAlignment="0" applyProtection="0"/>
    <xf numFmtId="0" fontId="45" fillId="57" borderId="62" applyNumberFormat="0" applyAlignment="0" applyProtection="0"/>
    <xf numFmtId="0" fontId="34" fillId="35" borderId="68">
      <alignment horizontal="right" vertical="center"/>
    </xf>
    <xf numFmtId="0" fontId="38" fillId="33" borderId="66">
      <alignment horizontal="right" vertical="center"/>
    </xf>
    <xf numFmtId="4" fontId="34" fillId="33" borderId="66">
      <alignment horizontal="right" vertical="center"/>
    </xf>
    <xf numFmtId="4" fontId="34" fillId="35" borderId="66">
      <alignment horizontal="right" vertical="center"/>
    </xf>
    <xf numFmtId="49" fontId="36" fillId="0" borderId="67" applyNumberFormat="0" applyFont="0" applyFill="0" applyBorder="0" applyProtection="0">
      <alignment horizontal="left" vertical="center" indent="5"/>
    </xf>
    <xf numFmtId="4" fontId="36" fillId="0" borderId="66" applyFill="0" applyBorder="0" applyProtection="0">
      <alignment horizontal="right" vertical="center"/>
    </xf>
    <xf numFmtId="4" fontId="34" fillId="33" borderId="66">
      <alignment horizontal="right" vertical="center"/>
    </xf>
    <xf numFmtId="0" fontId="60" fillId="44" borderId="63" applyNumberFormat="0" applyAlignment="0" applyProtection="0"/>
    <xf numFmtId="0" fontId="51" fillId="44" borderId="63" applyNumberFormat="0" applyAlignment="0" applyProtection="0"/>
    <xf numFmtId="0" fontId="47" fillId="57" borderId="63" applyNumberFormat="0" applyAlignment="0" applyProtection="0"/>
    <xf numFmtId="0" fontId="36" fillId="35" borderId="69">
      <alignment horizontal="left" vertical="center" wrapText="1" indent="2"/>
    </xf>
    <xf numFmtId="0" fontId="36" fillId="0" borderId="69">
      <alignment horizontal="left" vertical="center" wrapText="1" indent="2"/>
    </xf>
    <xf numFmtId="0" fontId="36" fillId="35" borderId="69">
      <alignment horizontal="left" vertical="center" wrapText="1" indent="2"/>
    </xf>
    <xf numFmtId="0" fontId="36" fillId="0" borderId="69">
      <alignment horizontal="left" vertical="center" wrapText="1" indent="2"/>
    </xf>
    <xf numFmtId="0" fontId="45" fillId="57" borderId="62" applyNumberFormat="0" applyAlignment="0" applyProtection="0"/>
    <xf numFmtId="0" fontId="47" fillId="57" borderId="63" applyNumberFormat="0" applyAlignment="0" applyProtection="0"/>
    <xf numFmtId="0" fontId="48" fillId="57" borderId="63" applyNumberFormat="0" applyAlignment="0" applyProtection="0"/>
    <xf numFmtId="0" fontId="51" fillId="44" borderId="63" applyNumberFormat="0" applyAlignment="0" applyProtection="0"/>
    <xf numFmtId="0" fontId="52" fillId="0" borderId="64" applyNumberFormat="0" applyFill="0" applyAlignment="0" applyProtection="0"/>
    <xf numFmtId="0" fontId="60" fillId="44" borderId="63" applyNumberFormat="0" applyAlignment="0" applyProtection="0"/>
    <xf numFmtId="0" fontId="42" fillId="60" borderId="65" applyNumberFormat="0" applyFont="0" applyAlignment="0" applyProtection="0"/>
    <xf numFmtId="0" fontId="5" fillId="60" borderId="65" applyNumberFormat="0" applyFont="0" applyAlignment="0" applyProtection="0"/>
    <xf numFmtId="0" fontId="64" fillId="57" borderId="62" applyNumberFormat="0" applyAlignment="0" applyProtection="0"/>
    <xf numFmtId="0" fontId="67" fillId="0" borderId="64" applyNumberFormat="0" applyFill="0" applyAlignment="0" applyProtection="0"/>
    <xf numFmtId="0" fontId="48" fillId="57" borderId="63" applyNumberFormat="0" applyAlignment="0" applyProtection="0"/>
    <xf numFmtId="0" fontId="60" fillId="44" borderId="63" applyNumberFormat="0" applyAlignment="0" applyProtection="0"/>
    <xf numFmtId="0" fontId="42" fillId="60" borderId="65" applyNumberFormat="0" applyFont="0" applyAlignment="0" applyProtection="0"/>
    <xf numFmtId="0" fontId="64" fillId="57" borderId="62" applyNumberFormat="0" applyAlignment="0" applyProtection="0"/>
    <xf numFmtId="0" fontId="67" fillId="0" borderId="64" applyNumberFormat="0" applyFill="0" applyAlignment="0" applyProtection="0"/>
    <xf numFmtId="0" fontId="45" fillId="57" borderId="78" applyNumberFormat="0" applyAlignment="0" applyProtection="0"/>
    <xf numFmtId="0" fontId="47" fillId="57" borderId="87" applyNumberFormat="0" applyAlignment="0" applyProtection="0"/>
    <xf numFmtId="4" fontId="36" fillId="0" borderId="82" applyFill="0" applyBorder="0" applyProtection="0">
      <alignment horizontal="right" vertical="center"/>
    </xf>
    <xf numFmtId="0" fontId="48" fillId="57" borderId="63" applyNumberFormat="0" applyAlignment="0" applyProtection="0"/>
    <xf numFmtId="4" fontId="34" fillId="35" borderId="84">
      <alignment horizontal="right" vertical="center"/>
    </xf>
    <xf numFmtId="0" fontId="34" fillId="35" borderId="108">
      <alignment horizontal="right" vertical="center"/>
    </xf>
    <xf numFmtId="0" fontId="36" fillId="0" borderId="90">
      <alignment horizontal="right" vertical="center"/>
    </xf>
    <xf numFmtId="0" fontId="60" fillId="44" borderId="63" applyNumberFormat="0" applyAlignment="0" applyProtection="0"/>
    <xf numFmtId="0" fontId="64" fillId="57" borderId="62" applyNumberFormat="0" applyAlignment="0" applyProtection="0"/>
    <xf numFmtId="0" fontId="67" fillId="0" borderId="64" applyNumberFormat="0" applyFill="0" applyAlignment="0" applyProtection="0"/>
    <xf numFmtId="0" fontId="28" fillId="27" borderId="0" applyNumberFormat="0" applyBorder="0" applyAlignment="0" applyProtection="0"/>
    <xf numFmtId="0" fontId="45" fillId="57" borderId="62" applyNumberFormat="0" applyAlignment="0" applyProtection="0"/>
    <xf numFmtId="0" fontId="47" fillId="57" borderId="63" applyNumberFormat="0" applyAlignment="0" applyProtection="0"/>
    <xf numFmtId="0" fontId="52" fillId="0" borderId="64" applyNumberFormat="0" applyFill="0" applyAlignment="0" applyProtection="0"/>
    <xf numFmtId="49" fontId="36" fillId="0" borderId="66" applyNumberFormat="0" applyFont="0" applyFill="0" applyBorder="0" applyProtection="0">
      <alignment horizontal="left" vertical="center" indent="2"/>
    </xf>
    <xf numFmtId="0" fontId="34" fillId="33" borderId="66">
      <alignment horizontal="right" vertical="center"/>
    </xf>
    <xf numFmtId="4" fontId="34" fillId="33" borderId="66">
      <alignment horizontal="right" vertical="center"/>
    </xf>
    <xf numFmtId="0" fontId="38" fillId="33" borderId="66">
      <alignment horizontal="right" vertical="center"/>
    </xf>
    <xf numFmtId="4" fontId="38" fillId="33" borderId="66">
      <alignment horizontal="right" vertical="center"/>
    </xf>
    <xf numFmtId="0" fontId="34" fillId="35" borderId="66">
      <alignment horizontal="right" vertical="center"/>
    </xf>
    <xf numFmtId="4" fontId="34" fillId="35" borderId="66">
      <alignment horizontal="right" vertical="center"/>
    </xf>
    <xf numFmtId="0" fontId="34" fillId="35" borderId="66">
      <alignment horizontal="right" vertical="center"/>
    </xf>
    <xf numFmtId="4" fontId="34" fillId="35" borderId="66">
      <alignment horizontal="right" vertical="center"/>
    </xf>
    <xf numFmtId="0" fontId="51" fillId="44" borderId="63" applyNumberFormat="0" applyAlignment="0" applyProtection="0"/>
    <xf numFmtId="0" fontId="36" fillId="0" borderId="66">
      <alignment horizontal="right" vertical="center"/>
    </xf>
    <xf numFmtId="4" fontId="36" fillId="0" borderId="66">
      <alignment horizontal="right" vertical="center"/>
    </xf>
    <xf numFmtId="4" fontId="36" fillId="0" borderId="66" applyFill="0" applyBorder="0" applyProtection="0">
      <alignment horizontal="right" vertical="center"/>
    </xf>
    <xf numFmtId="49" fontId="35" fillId="0" borderId="66" applyNumberFormat="0" applyFill="0" applyBorder="0" applyProtection="0">
      <alignment horizontal="left" vertical="center"/>
    </xf>
    <xf numFmtId="0" fontId="36" fillId="0" borderId="66" applyNumberFormat="0" applyFill="0" applyAlignment="0" applyProtection="0"/>
    <xf numFmtId="174" fontId="36" fillId="61" borderId="66" applyNumberFormat="0" applyFont="0" applyBorder="0" applyAlignment="0" applyProtection="0">
      <alignment horizontal="right" vertical="center"/>
    </xf>
    <xf numFmtId="0" fontId="36" fillId="34" borderId="66"/>
    <xf numFmtId="4" fontId="36" fillId="34" borderId="66"/>
    <xf numFmtId="4" fontId="34" fillId="35" borderId="66">
      <alignment horizontal="right" vertical="center"/>
    </xf>
    <xf numFmtId="0" fontId="36" fillId="34" borderId="66"/>
    <xf numFmtId="0" fontId="47" fillId="57" borderId="63" applyNumberFormat="0" applyAlignment="0" applyProtection="0"/>
    <xf numFmtId="0" fontId="34" fillId="33" borderId="66">
      <alignment horizontal="right" vertical="center"/>
    </xf>
    <xf numFmtId="0" fontId="36" fillId="0" borderId="66">
      <alignment horizontal="right" vertical="center"/>
    </xf>
    <xf numFmtId="0" fontId="67" fillId="0" borderId="64" applyNumberFormat="0" applyFill="0" applyAlignment="0" applyProtection="0"/>
    <xf numFmtId="0" fontId="36" fillId="33" borderId="67">
      <alignment horizontal="left" vertical="center"/>
    </xf>
    <xf numFmtId="0" fontId="60" fillId="44" borderId="63" applyNumberFormat="0" applyAlignment="0" applyProtection="0"/>
    <xf numFmtId="174" fontId="36" fillId="61" borderId="66" applyNumberFormat="0" applyFont="0" applyBorder="0" applyAlignment="0" applyProtection="0">
      <alignment horizontal="right" vertical="center"/>
    </xf>
    <xf numFmtId="0" fontId="42" fillId="60" borderId="65" applyNumberFormat="0" applyFont="0" applyAlignment="0" applyProtection="0"/>
    <xf numFmtId="0" fontId="36" fillId="0" borderId="69">
      <alignment horizontal="left" vertical="center" wrapText="1" indent="2"/>
    </xf>
    <xf numFmtId="4" fontId="36" fillId="34" borderId="66"/>
    <xf numFmtId="49" fontId="35" fillId="0" borderId="66" applyNumberFormat="0" applyFill="0" applyBorder="0" applyProtection="0">
      <alignment horizontal="left" vertical="center"/>
    </xf>
    <xf numFmtId="0" fontId="36" fillId="0" borderId="66">
      <alignment horizontal="right" vertical="center"/>
    </xf>
    <xf numFmtId="4" fontId="34" fillId="35" borderId="68">
      <alignment horizontal="right" vertical="center"/>
    </xf>
    <xf numFmtId="4" fontId="34" fillId="35" borderId="66">
      <alignment horizontal="right" vertical="center"/>
    </xf>
    <xf numFmtId="4" fontId="34" fillId="35" borderId="66">
      <alignment horizontal="right" vertical="center"/>
    </xf>
    <xf numFmtId="0" fontId="38" fillId="33" borderId="66">
      <alignment horizontal="right" vertical="center"/>
    </xf>
    <xf numFmtId="0" fontId="34" fillId="33" borderId="66">
      <alignment horizontal="right" vertical="center"/>
    </xf>
    <xf numFmtId="49" fontId="36" fillId="0" borderId="66" applyNumberFormat="0" applyFont="0" applyFill="0" applyBorder="0" applyProtection="0">
      <alignment horizontal="left" vertical="center" indent="2"/>
    </xf>
    <xf numFmtId="0" fontId="60" fillId="44" borderId="63" applyNumberFormat="0" applyAlignment="0" applyProtection="0"/>
    <xf numFmtId="0" fontId="45" fillId="57" borderId="62" applyNumberFormat="0" applyAlignment="0" applyProtection="0"/>
    <xf numFmtId="49" fontId="36" fillId="0" borderId="66" applyNumberFormat="0" applyFont="0" applyFill="0" applyBorder="0" applyProtection="0">
      <alignment horizontal="left" vertical="center" indent="2"/>
    </xf>
    <xf numFmtId="0" fontId="51" fillId="44" borderId="63" applyNumberFormat="0" applyAlignment="0" applyProtection="0"/>
    <xf numFmtId="4" fontId="36" fillId="0" borderId="66" applyFill="0" applyBorder="0" applyProtection="0">
      <alignment horizontal="right" vertical="center"/>
    </xf>
    <xf numFmtId="0" fontId="48" fillId="57" borderId="63" applyNumberFormat="0" applyAlignment="0" applyProtection="0"/>
    <xf numFmtId="0" fontId="67" fillId="0" borderId="64" applyNumberFormat="0" applyFill="0" applyAlignment="0" applyProtection="0"/>
    <xf numFmtId="0" fontId="64" fillId="57" borderId="62" applyNumberFormat="0" applyAlignment="0" applyProtection="0"/>
    <xf numFmtId="0" fontId="36" fillId="0" borderId="66" applyNumberFormat="0" applyFill="0" applyAlignment="0" applyProtection="0"/>
    <xf numFmtId="4" fontId="36" fillId="0" borderId="66">
      <alignment horizontal="right" vertical="center"/>
    </xf>
    <xf numFmtId="0" fontId="36" fillId="0" borderId="66">
      <alignment horizontal="right" vertical="center"/>
    </xf>
    <xf numFmtId="0" fontId="60" fillId="44" borderId="63" applyNumberFormat="0" applyAlignment="0" applyProtection="0"/>
    <xf numFmtId="0" fontId="45" fillId="57" borderId="62" applyNumberFormat="0" applyAlignment="0" applyProtection="0"/>
    <xf numFmtId="0" fontId="47" fillId="57" borderId="63" applyNumberFormat="0" applyAlignment="0" applyProtection="0"/>
    <xf numFmtId="0" fontId="36" fillId="35" borderId="69">
      <alignment horizontal="left" vertical="center" wrapText="1" indent="2"/>
    </xf>
    <xf numFmtId="0" fontId="48" fillId="57" borderId="63" applyNumberFormat="0" applyAlignment="0" applyProtection="0"/>
    <xf numFmtId="0" fontId="48" fillId="57" borderId="63" applyNumberFormat="0" applyAlignment="0" applyProtection="0"/>
    <xf numFmtId="4" fontId="34" fillId="35" borderId="67">
      <alignment horizontal="right" vertical="center"/>
    </xf>
    <xf numFmtId="0" fontId="34" fillId="35" borderId="67">
      <alignment horizontal="right" vertical="center"/>
    </xf>
    <xf numFmtId="0" fontId="34" fillId="35" borderId="66">
      <alignment horizontal="right" vertical="center"/>
    </xf>
    <xf numFmtId="4" fontId="38" fillId="33" borderId="66">
      <alignment horizontal="right" vertical="center"/>
    </xf>
    <xf numFmtId="0" fontId="51" fillId="44" borderId="63" applyNumberFormat="0" applyAlignment="0" applyProtection="0"/>
    <xf numFmtId="0" fontId="52" fillId="0" borderId="64" applyNumberFormat="0" applyFill="0" applyAlignment="0" applyProtection="0"/>
    <xf numFmtId="0" fontId="67" fillId="0" borderId="64" applyNumberFormat="0" applyFill="0" applyAlignment="0" applyProtection="0"/>
    <xf numFmtId="0" fontId="42" fillId="60" borderId="65" applyNumberFormat="0" applyFont="0" applyAlignment="0" applyProtection="0"/>
    <xf numFmtId="0" fontId="60" fillId="44" borderId="63" applyNumberFormat="0" applyAlignment="0" applyProtection="0"/>
    <xf numFmtId="49" fontId="35" fillId="0" borderId="66" applyNumberFormat="0" applyFill="0" applyBorder="0" applyProtection="0">
      <alignment horizontal="left" vertical="center"/>
    </xf>
    <xf numFmtId="0" fontId="36" fillId="35" borderId="69">
      <alignment horizontal="left" vertical="center" wrapText="1" indent="2"/>
    </xf>
    <xf numFmtId="0" fontId="48" fillId="57" borderId="63" applyNumberFormat="0" applyAlignment="0" applyProtection="0"/>
    <xf numFmtId="0" fontId="36" fillId="0" borderId="69">
      <alignment horizontal="left" vertical="center" wrapText="1" indent="2"/>
    </xf>
    <xf numFmtId="0" fontId="42" fillId="60" borderId="65" applyNumberFormat="0" applyFont="0" applyAlignment="0" applyProtection="0"/>
    <xf numFmtId="0" fontId="5" fillId="60" borderId="65" applyNumberFormat="0" applyFont="0" applyAlignment="0" applyProtection="0"/>
    <xf numFmtId="0" fontId="64" fillId="57" borderId="62" applyNumberFormat="0" applyAlignment="0" applyProtection="0"/>
    <xf numFmtId="0" fontId="67" fillId="0" borderId="64" applyNumberFormat="0" applyFill="0" applyAlignment="0" applyProtection="0"/>
    <xf numFmtId="4" fontId="36" fillId="34" borderId="66"/>
    <xf numFmtId="0" fontId="34" fillId="35" borderId="66">
      <alignment horizontal="right" vertical="center"/>
    </xf>
    <xf numFmtId="0" fontId="67" fillId="0" borderId="64" applyNumberFormat="0" applyFill="0" applyAlignment="0" applyProtection="0"/>
    <xf numFmtId="4" fontId="34" fillId="35" borderId="68">
      <alignment horizontal="right" vertical="center"/>
    </xf>
    <xf numFmtId="0" fontId="47" fillId="57" borderId="63" applyNumberFormat="0" applyAlignment="0" applyProtection="0"/>
    <xf numFmtId="0" fontId="34" fillId="35" borderId="67">
      <alignment horizontal="right" vertical="center"/>
    </xf>
    <xf numFmtId="0" fontId="48" fillId="57" borderId="63" applyNumberFormat="0" applyAlignment="0" applyProtection="0"/>
    <xf numFmtId="0" fontId="52" fillId="0" borderId="64" applyNumberFormat="0" applyFill="0" applyAlignment="0" applyProtection="0"/>
    <xf numFmtId="0" fontId="42" fillId="60" borderId="65" applyNumberFormat="0" applyFont="0" applyAlignment="0" applyProtection="0"/>
    <xf numFmtId="4" fontId="34" fillId="35" borderId="67">
      <alignment horizontal="right" vertical="center"/>
    </xf>
    <xf numFmtId="0" fontId="36" fillId="35" borderId="69">
      <alignment horizontal="left" vertical="center" wrapText="1" indent="2"/>
    </xf>
    <xf numFmtId="0" fontId="36" fillId="34" borderId="66"/>
    <xf numFmtId="174" fontId="36" fillId="61" borderId="66" applyNumberFormat="0" applyFont="0" applyBorder="0" applyAlignment="0" applyProtection="0">
      <alignment horizontal="right" vertical="center"/>
    </xf>
    <xf numFmtId="0" fontId="36" fillId="0" borderId="66" applyNumberFormat="0" applyFill="0" applyAlignment="0" applyProtection="0"/>
    <xf numFmtId="4" fontId="36" fillId="0" borderId="66" applyFill="0" applyBorder="0" applyProtection="0">
      <alignment horizontal="right" vertical="center"/>
    </xf>
    <xf numFmtId="4" fontId="34" fillId="33" borderId="66">
      <alignment horizontal="right" vertical="center"/>
    </xf>
    <xf numFmtId="0" fontId="52" fillId="0" borderId="64" applyNumberFormat="0" applyFill="0" applyAlignment="0" applyProtection="0"/>
    <xf numFmtId="49" fontId="35" fillId="0" borderId="66" applyNumberFormat="0" applyFill="0" applyBorder="0" applyProtection="0">
      <alignment horizontal="left" vertical="center"/>
    </xf>
    <xf numFmtId="49" fontId="36" fillId="0" borderId="67" applyNumberFormat="0" applyFont="0" applyFill="0" applyBorder="0" applyProtection="0">
      <alignment horizontal="left" vertical="center" indent="5"/>
    </xf>
    <xf numFmtId="0" fontId="36" fillId="33" borderId="67">
      <alignment horizontal="left" vertical="center"/>
    </xf>
    <xf numFmtId="0" fontId="48" fillId="57" borderId="63" applyNumberFormat="0" applyAlignment="0" applyProtection="0"/>
    <xf numFmtId="4" fontId="34" fillId="35" borderId="68">
      <alignment horizontal="right" vertical="center"/>
    </xf>
    <xf numFmtId="0" fontId="60" fillId="44" borderId="63" applyNumberFormat="0" applyAlignment="0" applyProtection="0"/>
    <xf numFmtId="0" fontId="60" fillId="44" borderId="63" applyNumberFormat="0" applyAlignment="0" applyProtection="0"/>
    <xf numFmtId="0" fontId="42" fillId="60" borderId="65" applyNumberFormat="0" applyFont="0" applyAlignment="0" applyProtection="0"/>
    <xf numFmtId="0" fontId="64" fillId="57" borderId="62" applyNumberFormat="0" applyAlignment="0" applyProtection="0"/>
    <xf numFmtId="0" fontId="67" fillId="0" borderId="64" applyNumberFormat="0" applyFill="0" applyAlignment="0" applyProtection="0"/>
    <xf numFmtId="0" fontId="34" fillId="35" borderId="66">
      <alignment horizontal="right" vertical="center"/>
    </xf>
    <xf numFmtId="0" fontId="5" fillId="60" borderId="65" applyNumberFormat="0" applyFont="0" applyAlignment="0" applyProtection="0"/>
    <xf numFmtId="4" fontId="36" fillId="0" borderId="66">
      <alignment horizontal="right" vertical="center"/>
    </xf>
    <xf numFmtId="0" fontId="67" fillId="0" borderId="64" applyNumberFormat="0" applyFill="0" applyAlignment="0" applyProtection="0"/>
    <xf numFmtId="0" fontId="34" fillId="35" borderId="66">
      <alignment horizontal="right" vertical="center"/>
    </xf>
    <xf numFmtId="0" fontId="34" fillId="35" borderId="66">
      <alignment horizontal="right" vertical="center"/>
    </xf>
    <xf numFmtId="4" fontId="38" fillId="33" borderId="66">
      <alignment horizontal="right" vertical="center"/>
    </xf>
    <xf numFmtId="0" fontId="34" fillId="33" borderId="66">
      <alignment horizontal="right" vertical="center"/>
    </xf>
    <xf numFmtId="4" fontId="34" fillId="33" borderId="66">
      <alignment horizontal="right" vertical="center"/>
    </xf>
    <xf numFmtId="0" fontId="38" fillId="33" borderId="66">
      <alignment horizontal="right" vertical="center"/>
    </xf>
    <xf numFmtId="4" fontId="38" fillId="33" borderId="66">
      <alignment horizontal="right" vertical="center"/>
    </xf>
    <xf numFmtId="0" fontId="34" fillId="35" borderId="66">
      <alignment horizontal="right" vertical="center"/>
    </xf>
    <xf numFmtId="4" fontId="34" fillId="35" borderId="66">
      <alignment horizontal="right" vertical="center"/>
    </xf>
    <xf numFmtId="0" fontId="34" fillId="35" borderId="66">
      <alignment horizontal="right" vertical="center"/>
    </xf>
    <xf numFmtId="4" fontId="34" fillId="35" borderId="66">
      <alignment horizontal="right" vertical="center"/>
    </xf>
    <xf numFmtId="0" fontId="34" fillId="35" borderId="67">
      <alignment horizontal="right" vertical="center"/>
    </xf>
    <xf numFmtId="4" fontId="34" fillId="35" borderId="67">
      <alignment horizontal="right" vertical="center"/>
    </xf>
    <xf numFmtId="0" fontId="34" fillId="35" borderId="68">
      <alignment horizontal="right" vertical="center"/>
    </xf>
    <xf numFmtId="4" fontId="34" fillId="35" borderId="68">
      <alignment horizontal="right" vertical="center"/>
    </xf>
    <xf numFmtId="0" fontId="48" fillId="57" borderId="63" applyNumberFormat="0" applyAlignment="0" applyProtection="0"/>
    <xf numFmtId="0" fontId="36" fillId="35" borderId="69">
      <alignment horizontal="left" vertical="center" wrapText="1" indent="2"/>
    </xf>
    <xf numFmtId="0" fontId="36" fillId="0" borderId="69">
      <alignment horizontal="left" vertical="center" wrapText="1" indent="2"/>
    </xf>
    <xf numFmtId="0" fontId="36" fillId="33" borderId="67">
      <alignment horizontal="left" vertical="center"/>
    </xf>
    <xf numFmtId="0" fontId="60" fillId="44" borderId="63" applyNumberFormat="0" applyAlignment="0" applyProtection="0"/>
    <xf numFmtId="0" fontId="36" fillId="0" borderId="66">
      <alignment horizontal="right" vertical="center"/>
    </xf>
    <xf numFmtId="4" fontId="36" fillId="0" borderId="66">
      <alignment horizontal="right" vertical="center"/>
    </xf>
    <xf numFmtId="0" fontId="36" fillId="0" borderId="66" applyNumberFormat="0" applyFill="0" applyAlignment="0" applyProtection="0"/>
    <xf numFmtId="0" fontId="64" fillId="57" borderId="62" applyNumberFormat="0" applyAlignment="0" applyProtection="0"/>
    <xf numFmtId="174" fontId="36" fillId="61" borderId="66" applyNumberFormat="0" applyFont="0" applyBorder="0" applyAlignment="0" applyProtection="0">
      <alignment horizontal="right" vertical="center"/>
    </xf>
    <xf numFmtId="0" fontId="36" fillId="34" borderId="66"/>
    <xf numFmtId="4" fontId="36" fillId="34" borderId="66"/>
    <xf numFmtId="0" fontId="67" fillId="0" borderId="64" applyNumberFormat="0" applyFill="0" applyAlignment="0" applyProtection="0"/>
    <xf numFmtId="0" fontId="5" fillId="60" borderId="65" applyNumberFormat="0" applyFont="0" applyAlignment="0" applyProtection="0"/>
    <xf numFmtId="0" fontId="42" fillId="60" borderId="65" applyNumberFormat="0" applyFont="0" applyAlignment="0" applyProtection="0"/>
    <xf numFmtId="0" fontId="36" fillId="0" borderId="66" applyNumberFormat="0" applyFill="0" applyAlignment="0" applyProtection="0"/>
    <xf numFmtId="0" fontId="52" fillId="0" borderId="64" applyNumberFormat="0" applyFill="0" applyAlignment="0" applyProtection="0"/>
    <xf numFmtId="0" fontId="67" fillId="0" borderId="64" applyNumberFormat="0" applyFill="0" applyAlignment="0" applyProtection="0"/>
    <xf numFmtId="0" fontId="51" fillId="44" borderId="63" applyNumberFormat="0" applyAlignment="0" applyProtection="0"/>
    <xf numFmtId="0" fontId="48" fillId="57" borderId="63" applyNumberFormat="0" applyAlignment="0" applyProtection="0"/>
    <xf numFmtId="4" fontId="38" fillId="33" borderId="66">
      <alignment horizontal="right" vertical="center"/>
    </xf>
    <xf numFmtId="0" fontId="34" fillId="33" borderId="66">
      <alignment horizontal="right" vertical="center"/>
    </xf>
    <xf numFmtId="174" fontId="36" fillId="61" borderId="66" applyNumberFormat="0" applyFont="0" applyBorder="0" applyAlignment="0" applyProtection="0">
      <alignment horizontal="right" vertical="center"/>
    </xf>
    <xf numFmtId="0" fontId="52" fillId="0" borderId="64" applyNumberFormat="0" applyFill="0" applyAlignment="0" applyProtection="0"/>
    <xf numFmtId="49" fontId="36" fillId="0" borderId="66" applyNumberFormat="0" applyFont="0" applyFill="0" applyBorder="0" applyProtection="0">
      <alignment horizontal="left" vertical="center" indent="2"/>
    </xf>
    <xf numFmtId="49" fontId="36" fillId="0" borderId="67" applyNumberFormat="0" applyFont="0" applyFill="0" applyBorder="0" applyProtection="0">
      <alignment horizontal="left" vertical="center" indent="5"/>
    </xf>
    <xf numFmtId="49" fontId="36" fillId="0" borderId="66" applyNumberFormat="0" applyFont="0" applyFill="0" applyBorder="0" applyProtection="0">
      <alignment horizontal="left" vertical="center" indent="2"/>
    </xf>
    <xf numFmtId="4" fontId="36" fillId="0" borderId="66" applyFill="0" applyBorder="0" applyProtection="0">
      <alignment horizontal="right" vertical="center"/>
    </xf>
    <xf numFmtId="49" fontId="35" fillId="0" borderId="66" applyNumberFormat="0" applyFill="0" applyBorder="0" applyProtection="0">
      <alignment horizontal="left" vertical="center"/>
    </xf>
    <xf numFmtId="0" fontId="36" fillId="0" borderId="69">
      <alignment horizontal="left" vertical="center" wrapText="1" indent="2"/>
    </xf>
    <xf numFmtId="0" fontId="64" fillId="57" borderId="62" applyNumberFormat="0" applyAlignment="0" applyProtection="0"/>
    <xf numFmtId="0" fontId="34" fillId="35" borderId="68">
      <alignment horizontal="right" vertical="center"/>
    </xf>
    <xf numFmtId="0" fontId="51" fillId="44" borderId="63" applyNumberFormat="0" applyAlignment="0" applyProtection="0"/>
    <xf numFmtId="0" fontId="34" fillId="35" borderId="68">
      <alignment horizontal="right" vertical="center"/>
    </xf>
    <xf numFmtId="4" fontId="34" fillId="35" borderId="66">
      <alignment horizontal="right" vertical="center"/>
    </xf>
    <xf numFmtId="0" fontId="34" fillId="35" borderId="66">
      <alignment horizontal="right" vertical="center"/>
    </xf>
    <xf numFmtId="0" fontId="45" fillId="57" borderId="62" applyNumberFormat="0" applyAlignment="0" applyProtection="0"/>
    <xf numFmtId="0" fontId="47" fillId="57" borderId="63" applyNumberFormat="0" applyAlignment="0" applyProtection="0"/>
    <xf numFmtId="0" fontId="52" fillId="0" borderId="64" applyNumberFormat="0" applyFill="0" applyAlignment="0" applyProtection="0"/>
    <xf numFmtId="0" fontId="36" fillId="34" borderId="66"/>
    <xf numFmtId="4" fontId="36" fillId="34" borderId="66"/>
    <xf numFmtId="4" fontId="34" fillId="35" borderId="66">
      <alignment horizontal="right" vertical="center"/>
    </xf>
    <xf numFmtId="0" fontId="38" fillId="33" borderId="66">
      <alignment horizontal="right" vertical="center"/>
    </xf>
    <xf numFmtId="0" fontId="51" fillId="44" borderId="63" applyNumberFormat="0" applyAlignment="0" applyProtection="0"/>
    <xf numFmtId="0" fontId="48" fillId="57" borderId="63" applyNumberFormat="0" applyAlignment="0" applyProtection="0"/>
    <xf numFmtId="4" fontId="36" fillId="0" borderId="66">
      <alignment horizontal="right" vertical="center"/>
    </xf>
    <xf numFmtId="0" fontId="36" fillId="35" borderId="69">
      <alignment horizontal="left" vertical="center" wrapText="1" indent="2"/>
    </xf>
    <xf numFmtId="0" fontId="36" fillId="0" borderId="69">
      <alignment horizontal="left" vertical="center" wrapText="1" indent="2"/>
    </xf>
    <xf numFmtId="0" fontId="64" fillId="57" borderId="62" applyNumberFormat="0" applyAlignment="0" applyProtection="0"/>
    <xf numFmtId="0" fontId="60" fillId="44" borderId="63" applyNumberFormat="0" applyAlignment="0" applyProtection="0"/>
    <xf numFmtId="0" fontId="47" fillId="57" borderId="63" applyNumberFormat="0" applyAlignment="0" applyProtection="0"/>
    <xf numFmtId="0" fontId="45" fillId="57" borderId="62" applyNumberFormat="0" applyAlignment="0" applyProtection="0"/>
    <xf numFmtId="0" fontId="34" fillId="35" borderId="68">
      <alignment horizontal="right" vertical="center"/>
    </xf>
    <xf numFmtId="0" fontId="38" fillId="33" borderId="66">
      <alignment horizontal="right" vertical="center"/>
    </xf>
    <xf numFmtId="4" fontId="34" fillId="33" borderId="66">
      <alignment horizontal="right" vertical="center"/>
    </xf>
    <xf numFmtId="4" fontId="34" fillId="35" borderId="66">
      <alignment horizontal="right" vertical="center"/>
    </xf>
    <xf numFmtId="49" fontId="36" fillId="0" borderId="67" applyNumberFormat="0" applyFont="0" applyFill="0" applyBorder="0" applyProtection="0">
      <alignment horizontal="left" vertical="center" indent="5"/>
    </xf>
    <xf numFmtId="4" fontId="36" fillId="0" borderId="66" applyFill="0" applyBorder="0" applyProtection="0">
      <alignment horizontal="right" vertical="center"/>
    </xf>
    <xf numFmtId="4" fontId="34" fillId="33" borderId="66">
      <alignment horizontal="right" vertical="center"/>
    </xf>
    <xf numFmtId="0" fontId="60" fillId="44" borderId="63" applyNumberFormat="0" applyAlignment="0" applyProtection="0"/>
    <xf numFmtId="0" fontId="51" fillId="44" borderId="63" applyNumberFormat="0" applyAlignment="0" applyProtection="0"/>
    <xf numFmtId="0" fontId="47" fillId="57" borderId="63" applyNumberFormat="0" applyAlignment="0" applyProtection="0"/>
    <xf numFmtId="0" fontId="36" fillId="35" borderId="69">
      <alignment horizontal="left" vertical="center" wrapText="1" indent="2"/>
    </xf>
    <xf numFmtId="0" fontId="36" fillId="0" borderId="69">
      <alignment horizontal="left" vertical="center" wrapText="1" indent="2"/>
    </xf>
    <xf numFmtId="0" fontId="36" fillId="35" borderId="69">
      <alignment horizontal="left" vertical="center" wrapText="1" indent="2"/>
    </xf>
    <xf numFmtId="0" fontId="13" fillId="32" borderId="0" applyNumberFormat="0" applyBorder="0" applyAlignment="0" applyProtection="0"/>
    <xf numFmtId="0" fontId="28" fillId="31" borderId="0" applyNumberFormat="0" applyBorder="0" applyAlignment="0" applyProtection="0"/>
    <xf numFmtId="0" fontId="32" fillId="0" borderId="0" applyNumberFormat="0" applyFill="0" applyBorder="0" applyAlignment="0" applyProtection="0"/>
    <xf numFmtId="0" fontId="36" fillId="0" borderId="106">
      <alignment horizontal="right" vertical="center"/>
    </xf>
    <xf numFmtId="0" fontId="28" fillId="31" borderId="0" applyNumberFormat="0" applyBorder="0" applyAlignment="0" applyProtection="0"/>
    <xf numFmtId="0" fontId="60" fillId="44" borderId="103" applyNumberFormat="0" applyAlignment="0" applyProtection="0"/>
    <xf numFmtId="0" fontId="64" fillId="57" borderId="94" applyNumberFormat="0" applyAlignment="0" applyProtection="0"/>
    <xf numFmtId="4" fontId="36" fillId="0" borderId="106" applyFill="0" applyBorder="0" applyProtection="0">
      <alignment horizontal="right" vertical="center"/>
    </xf>
    <xf numFmtId="0" fontId="64" fillId="57" borderId="102" applyNumberFormat="0" applyAlignment="0" applyProtection="0"/>
    <xf numFmtId="0" fontId="13" fillId="17" borderId="0" applyNumberFormat="0" applyBorder="0" applyAlignment="0" applyProtection="0"/>
    <xf numFmtId="0" fontId="13" fillId="32" borderId="0" applyNumberFormat="0" applyBorder="0" applyAlignment="0" applyProtection="0"/>
    <xf numFmtId="4" fontId="34" fillId="35" borderId="82">
      <alignment horizontal="right" vertical="center"/>
    </xf>
    <xf numFmtId="0" fontId="38" fillId="33" borderId="82">
      <alignment horizontal="right" vertical="center"/>
    </xf>
    <xf numFmtId="0" fontId="28" fillId="27" borderId="0" applyNumberFormat="0" applyBorder="0" applyAlignment="0" applyProtection="0"/>
    <xf numFmtId="0" fontId="51" fillId="44" borderId="87" applyNumberFormat="0" applyAlignment="0" applyProtection="0"/>
    <xf numFmtId="0" fontId="34" fillId="35" borderId="83">
      <alignment horizontal="right" vertical="center"/>
    </xf>
    <xf numFmtId="0" fontId="52" fillId="0" borderId="104" applyNumberFormat="0" applyFill="0" applyAlignment="0" applyProtection="0"/>
    <xf numFmtId="0" fontId="52" fillId="0" borderId="104" applyNumberFormat="0" applyFill="0" applyAlignment="0" applyProtection="0"/>
    <xf numFmtId="0" fontId="5" fillId="60" borderId="81" applyNumberFormat="0" applyFont="0" applyAlignment="0" applyProtection="0"/>
    <xf numFmtId="174" fontId="36" fillId="61" borderId="106" applyNumberFormat="0" applyFont="0" applyBorder="0" applyAlignment="0" applyProtection="0">
      <alignment horizontal="right" vertical="center"/>
    </xf>
    <xf numFmtId="0" fontId="48" fillId="57" borderId="95" applyNumberFormat="0" applyAlignment="0" applyProtection="0"/>
    <xf numFmtId="0" fontId="36" fillId="0" borderId="93">
      <alignment horizontal="left" vertical="center" wrapText="1" indent="2"/>
    </xf>
    <xf numFmtId="0" fontId="48" fillId="57" borderId="103" applyNumberFormat="0" applyAlignment="0" applyProtection="0"/>
    <xf numFmtId="0" fontId="13" fillId="26" borderId="0" applyNumberFormat="0" applyBorder="0" applyAlignment="0" applyProtection="0"/>
    <xf numFmtId="0" fontId="31" fillId="14" borderId="12" applyNumberFormat="0" applyAlignment="0" applyProtection="0"/>
    <xf numFmtId="0" fontId="36" fillId="33" borderId="99">
      <alignment horizontal="left" vertical="center"/>
    </xf>
    <xf numFmtId="0" fontId="60" fillId="44" borderId="103" applyNumberFormat="0" applyAlignment="0" applyProtection="0"/>
    <xf numFmtId="0" fontId="64" fillId="57" borderId="102" applyNumberFormat="0" applyAlignment="0" applyProtection="0"/>
    <xf numFmtId="0" fontId="28" fillId="27" borderId="0" applyNumberFormat="0" applyBorder="0" applyAlignment="0" applyProtection="0"/>
    <xf numFmtId="0" fontId="28" fillId="19" borderId="0" applyNumberFormat="0" applyBorder="0" applyAlignment="0" applyProtection="0"/>
    <xf numFmtId="0" fontId="48" fillId="57" borderId="103" applyNumberFormat="0" applyAlignment="0" applyProtection="0"/>
    <xf numFmtId="0" fontId="36" fillId="35" borderId="74">
      <alignment horizontal="left" vertical="center" wrapText="1" indent="2"/>
    </xf>
    <xf numFmtId="0" fontId="36" fillId="0" borderId="74">
      <alignment horizontal="left" vertical="center" wrapText="1" indent="2"/>
    </xf>
    <xf numFmtId="4" fontId="36" fillId="0" borderId="106">
      <alignment horizontal="right" vertical="center"/>
    </xf>
    <xf numFmtId="0" fontId="38" fillId="33" borderId="106">
      <alignment horizontal="right" vertical="center"/>
    </xf>
    <xf numFmtId="0" fontId="28" fillId="15" borderId="0" applyNumberFormat="0" applyBorder="0" applyAlignment="0" applyProtection="0"/>
    <xf numFmtId="4" fontId="34" fillId="35" borderId="108">
      <alignment horizontal="right" vertical="center"/>
    </xf>
    <xf numFmtId="4" fontId="36" fillId="0" borderId="106">
      <alignment horizontal="right" vertical="center"/>
    </xf>
    <xf numFmtId="0" fontId="28" fillId="16" borderId="0" applyNumberFormat="0" applyBorder="0" applyAlignment="0" applyProtection="0"/>
    <xf numFmtId="0" fontId="36" fillId="35" borderId="109">
      <alignment horizontal="left" vertical="center" wrapText="1" indent="2"/>
    </xf>
    <xf numFmtId="4" fontId="34" fillId="35" borderId="100">
      <alignment horizontal="right" vertical="center"/>
    </xf>
    <xf numFmtId="0" fontId="34" fillId="35" borderId="98">
      <alignment horizontal="right" vertical="center"/>
    </xf>
    <xf numFmtId="0" fontId="42" fillId="60" borderId="105" applyNumberFormat="0" applyFont="0" applyAlignment="0" applyProtection="0"/>
    <xf numFmtId="0" fontId="60" fillId="44" borderId="87" applyNumberFormat="0" applyAlignment="0" applyProtection="0"/>
    <xf numFmtId="4" fontId="34" fillId="35" borderId="106">
      <alignment horizontal="right" vertical="center"/>
    </xf>
    <xf numFmtId="0" fontId="67" fillId="0" borderId="88" applyNumberFormat="0" applyFill="0" applyAlignment="0" applyProtection="0"/>
    <xf numFmtId="4" fontId="36" fillId="34" borderId="90"/>
    <xf numFmtId="0" fontId="28" fillId="22" borderId="0" applyNumberFormat="0" applyBorder="0" applyAlignment="0" applyProtection="0"/>
    <xf numFmtId="0" fontId="34" fillId="35" borderId="107">
      <alignment horizontal="right" vertical="center"/>
    </xf>
    <xf numFmtId="0" fontId="28" fillId="19" borderId="0" applyNumberFormat="0" applyBorder="0" applyAlignment="0" applyProtection="0"/>
    <xf numFmtId="0" fontId="31" fillId="14" borderId="12" applyNumberFormat="0" applyAlignment="0" applyProtection="0"/>
    <xf numFmtId="0" fontId="36" fillId="0" borderId="101">
      <alignment horizontal="left" vertical="center" wrapText="1" indent="2"/>
    </xf>
    <xf numFmtId="4" fontId="36" fillId="0" borderId="90" applyFill="0" applyBorder="0" applyProtection="0">
      <alignment horizontal="right" vertical="center"/>
    </xf>
    <xf numFmtId="0" fontId="34" fillId="35" borderId="100">
      <alignment horizontal="right" vertical="center"/>
    </xf>
    <xf numFmtId="0" fontId="60" fillId="44" borderId="103" applyNumberFormat="0" applyAlignment="0" applyProtection="0"/>
    <xf numFmtId="0" fontId="38" fillId="33" borderId="98">
      <alignment horizontal="right" vertical="center"/>
    </xf>
    <xf numFmtId="0" fontId="67" fillId="0" borderId="96" applyNumberFormat="0" applyFill="0" applyAlignment="0" applyProtection="0"/>
    <xf numFmtId="0" fontId="36" fillId="35" borderId="93">
      <alignment horizontal="left" vertical="center" wrapText="1" indent="2"/>
    </xf>
    <xf numFmtId="0" fontId="28" fillId="25" borderId="0" applyNumberFormat="0" applyBorder="0" applyAlignment="0" applyProtection="0"/>
    <xf numFmtId="4" fontId="34" fillId="35" borderId="98">
      <alignment horizontal="right" vertical="center"/>
    </xf>
    <xf numFmtId="0" fontId="28" fillId="24" borderId="0" applyNumberFormat="0" applyBorder="0" applyAlignment="0" applyProtection="0"/>
    <xf numFmtId="0" fontId="28" fillId="31" borderId="0" applyNumberFormat="0" applyBorder="0" applyAlignment="0" applyProtection="0"/>
    <xf numFmtId="0" fontId="67" fillId="0" borderId="104" applyNumberFormat="0" applyFill="0" applyAlignment="0" applyProtection="0"/>
    <xf numFmtId="0" fontId="13" fillId="32" borderId="0" applyNumberFormat="0" applyBorder="0" applyAlignment="0" applyProtection="0"/>
    <xf numFmtId="0" fontId="28" fillId="28" borderId="0" applyNumberFormat="0" applyBorder="0" applyAlignment="0" applyProtection="0"/>
    <xf numFmtId="0" fontId="13" fillId="29" borderId="0" applyNumberFormat="0" applyBorder="0" applyAlignment="0" applyProtection="0"/>
    <xf numFmtId="0" fontId="28" fillId="25" borderId="0" applyNumberFormat="0" applyBorder="0" applyAlignment="0" applyProtection="0"/>
    <xf numFmtId="0" fontId="28" fillId="18" borderId="0" applyNumberFormat="0" applyBorder="0" applyAlignment="0" applyProtection="0"/>
    <xf numFmtId="0" fontId="28" fillId="21" borderId="0" applyNumberFormat="0" applyBorder="0" applyAlignment="0" applyProtection="0"/>
    <xf numFmtId="0" fontId="28" fillId="19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" fillId="0" borderId="14" applyNumberFormat="0" applyFill="0" applyAlignment="0" applyProtection="0"/>
    <xf numFmtId="49" fontId="35" fillId="0" borderId="106" applyNumberFormat="0" applyFill="0" applyBorder="0" applyProtection="0">
      <alignment horizontal="left" vertical="center"/>
    </xf>
    <xf numFmtId="0" fontId="36" fillId="34" borderId="106"/>
    <xf numFmtId="4" fontId="34" fillId="33" borderId="82">
      <alignment horizontal="right" vertical="center"/>
    </xf>
    <xf numFmtId="4" fontId="34" fillId="35" borderId="71">
      <alignment horizontal="right" vertical="center"/>
    </xf>
    <xf numFmtId="0" fontId="36" fillId="34" borderId="71"/>
    <xf numFmtId="0" fontId="47" fillId="57" borderId="76" applyNumberFormat="0" applyAlignment="0" applyProtection="0"/>
    <xf numFmtId="0" fontId="34" fillId="33" borderId="71">
      <alignment horizontal="right" vertical="center"/>
    </xf>
    <xf numFmtId="0" fontId="36" fillId="0" borderId="71">
      <alignment horizontal="right" vertical="center"/>
    </xf>
    <xf numFmtId="0" fontId="67" fillId="0" borderId="77" applyNumberFormat="0" applyFill="0" applyAlignment="0" applyProtection="0"/>
    <xf numFmtId="0" fontId="36" fillId="33" borderId="72">
      <alignment horizontal="left" vertical="center"/>
    </xf>
    <xf numFmtId="0" fontId="60" fillId="44" borderId="76" applyNumberFormat="0" applyAlignment="0" applyProtection="0"/>
    <xf numFmtId="174" fontId="36" fillId="61" borderId="71" applyNumberFormat="0" applyFont="0" applyBorder="0" applyAlignment="0" applyProtection="0">
      <alignment horizontal="right" vertical="center"/>
    </xf>
    <xf numFmtId="0" fontId="42" fillId="60" borderId="70" applyNumberFormat="0" applyFont="0" applyAlignment="0" applyProtection="0"/>
    <xf numFmtId="0" fontId="36" fillId="0" borderId="74">
      <alignment horizontal="left" vertical="center" wrapText="1" indent="2"/>
    </xf>
    <xf numFmtId="4" fontId="36" fillId="34" borderId="71"/>
    <xf numFmtId="49" fontId="35" fillId="0" borderId="71" applyNumberFormat="0" applyFill="0" applyBorder="0" applyProtection="0">
      <alignment horizontal="left" vertical="center"/>
    </xf>
    <xf numFmtId="0" fontId="36" fillId="0" borderId="71">
      <alignment horizontal="right" vertical="center"/>
    </xf>
    <xf numFmtId="4" fontId="34" fillId="35" borderId="73">
      <alignment horizontal="right" vertical="center"/>
    </xf>
    <xf numFmtId="4" fontId="34" fillId="35" borderId="71">
      <alignment horizontal="right" vertical="center"/>
    </xf>
    <xf numFmtId="4" fontId="34" fillId="35" borderId="71">
      <alignment horizontal="right" vertical="center"/>
    </xf>
    <xf numFmtId="0" fontId="38" fillId="33" borderId="71">
      <alignment horizontal="right" vertical="center"/>
    </xf>
    <xf numFmtId="0" fontId="34" fillId="33" borderId="71">
      <alignment horizontal="right" vertical="center"/>
    </xf>
    <xf numFmtId="49" fontId="36" fillId="0" borderId="71" applyNumberFormat="0" applyFont="0" applyFill="0" applyBorder="0" applyProtection="0">
      <alignment horizontal="left" vertical="center" indent="2"/>
    </xf>
    <xf numFmtId="0" fontId="60" fillId="44" borderId="76" applyNumberFormat="0" applyAlignment="0" applyProtection="0"/>
    <xf numFmtId="0" fontId="45" fillId="57" borderId="75" applyNumberFormat="0" applyAlignment="0" applyProtection="0"/>
    <xf numFmtId="49" fontId="36" fillId="0" borderId="71" applyNumberFormat="0" applyFont="0" applyFill="0" applyBorder="0" applyProtection="0">
      <alignment horizontal="left" vertical="center" indent="2"/>
    </xf>
    <xf numFmtId="0" fontId="51" fillId="44" borderId="76" applyNumberFormat="0" applyAlignment="0" applyProtection="0"/>
    <xf numFmtId="4" fontId="36" fillId="0" borderId="71" applyFill="0" applyBorder="0" applyProtection="0">
      <alignment horizontal="right" vertical="center"/>
    </xf>
    <xf numFmtId="0" fontId="48" fillId="57" borderId="76" applyNumberFormat="0" applyAlignment="0" applyProtection="0"/>
    <xf numFmtId="0" fontId="67" fillId="0" borderId="77" applyNumberFormat="0" applyFill="0" applyAlignment="0" applyProtection="0"/>
    <xf numFmtId="0" fontId="64" fillId="57" borderId="75" applyNumberFormat="0" applyAlignment="0" applyProtection="0"/>
    <xf numFmtId="0" fontId="36" fillId="0" borderId="71" applyNumberFormat="0" applyFill="0" applyAlignment="0" applyProtection="0"/>
    <xf numFmtId="4" fontId="36" fillId="0" borderId="71">
      <alignment horizontal="right" vertical="center"/>
    </xf>
    <xf numFmtId="0" fontId="36" fillId="0" borderId="71">
      <alignment horizontal="right" vertical="center"/>
    </xf>
    <xf numFmtId="0" fontId="60" fillId="44" borderId="76" applyNumberFormat="0" applyAlignment="0" applyProtection="0"/>
    <xf numFmtId="0" fontId="45" fillId="57" borderId="75" applyNumberFormat="0" applyAlignment="0" applyProtection="0"/>
    <xf numFmtId="0" fontId="47" fillId="57" borderId="76" applyNumberFormat="0" applyAlignment="0" applyProtection="0"/>
    <xf numFmtId="0" fontId="36" fillId="35" borderId="74">
      <alignment horizontal="left" vertical="center" wrapText="1" indent="2"/>
    </xf>
    <xf numFmtId="0" fontId="48" fillId="57" borderId="76" applyNumberFormat="0" applyAlignment="0" applyProtection="0"/>
    <xf numFmtId="0" fontId="48" fillId="57" borderId="76" applyNumberFormat="0" applyAlignment="0" applyProtection="0"/>
    <xf numFmtId="4" fontId="34" fillId="35" borderId="72">
      <alignment horizontal="right" vertical="center"/>
    </xf>
    <xf numFmtId="0" fontId="34" fillId="35" borderId="72">
      <alignment horizontal="right" vertical="center"/>
    </xf>
    <xf numFmtId="0" fontId="34" fillId="35" borderId="71">
      <alignment horizontal="right" vertical="center"/>
    </xf>
    <xf numFmtId="4" fontId="38" fillId="33" borderId="71">
      <alignment horizontal="right" vertical="center"/>
    </xf>
    <xf numFmtId="0" fontId="51" fillId="44" borderId="76" applyNumberFormat="0" applyAlignment="0" applyProtection="0"/>
    <xf numFmtId="0" fontId="52" fillId="0" borderId="77" applyNumberFormat="0" applyFill="0" applyAlignment="0" applyProtection="0"/>
    <xf numFmtId="0" fontId="67" fillId="0" borderId="77" applyNumberFormat="0" applyFill="0" applyAlignment="0" applyProtection="0"/>
    <xf numFmtId="0" fontId="42" fillId="60" borderId="70" applyNumberFormat="0" applyFont="0" applyAlignment="0" applyProtection="0"/>
    <xf numFmtId="0" fontId="60" fillId="44" borderId="76" applyNumberFormat="0" applyAlignment="0" applyProtection="0"/>
    <xf numFmtId="49" fontId="35" fillId="0" borderId="71" applyNumberFormat="0" applyFill="0" applyBorder="0" applyProtection="0">
      <alignment horizontal="left" vertical="center"/>
    </xf>
    <xf numFmtId="0" fontId="36" fillId="35" borderId="74">
      <alignment horizontal="left" vertical="center" wrapText="1" indent="2"/>
    </xf>
    <xf numFmtId="0" fontId="48" fillId="57" borderId="76" applyNumberFormat="0" applyAlignment="0" applyProtection="0"/>
    <xf numFmtId="0" fontId="36" fillId="0" borderId="74">
      <alignment horizontal="left" vertical="center" wrapText="1" indent="2"/>
    </xf>
    <xf numFmtId="0" fontId="42" fillId="60" borderId="70" applyNumberFormat="0" applyFont="0" applyAlignment="0" applyProtection="0"/>
    <xf numFmtId="0" fontId="5" fillId="60" borderId="70" applyNumberFormat="0" applyFont="0" applyAlignment="0" applyProtection="0"/>
    <xf numFmtId="0" fontId="64" fillId="57" borderId="75" applyNumberFormat="0" applyAlignment="0" applyProtection="0"/>
    <xf numFmtId="0" fontId="67" fillId="0" borderId="77" applyNumberFormat="0" applyFill="0" applyAlignment="0" applyProtection="0"/>
    <xf numFmtId="4" fontId="36" fillId="34" borderId="71"/>
    <xf numFmtId="0" fontId="34" fillId="35" borderId="71">
      <alignment horizontal="right" vertical="center"/>
    </xf>
    <xf numFmtId="0" fontId="67" fillId="0" borderId="77" applyNumberFormat="0" applyFill="0" applyAlignment="0" applyProtection="0"/>
    <xf numFmtId="4" fontId="34" fillId="35" borderId="73">
      <alignment horizontal="right" vertical="center"/>
    </xf>
    <xf numFmtId="0" fontId="47" fillId="57" borderId="76" applyNumberFormat="0" applyAlignment="0" applyProtection="0"/>
    <xf numFmtId="0" fontId="34" fillId="35" borderId="72">
      <alignment horizontal="right" vertical="center"/>
    </xf>
    <xf numFmtId="0" fontId="48" fillId="57" borderId="76" applyNumberFormat="0" applyAlignment="0" applyProtection="0"/>
    <xf numFmtId="0" fontId="52" fillId="0" borderId="77" applyNumberFormat="0" applyFill="0" applyAlignment="0" applyProtection="0"/>
    <xf numFmtId="0" fontId="42" fillId="60" borderId="70" applyNumberFormat="0" applyFont="0" applyAlignment="0" applyProtection="0"/>
    <xf numFmtId="4" fontId="34" fillId="35" borderId="72">
      <alignment horizontal="right" vertical="center"/>
    </xf>
    <xf numFmtId="0" fontId="36" fillId="35" borderId="74">
      <alignment horizontal="left" vertical="center" wrapText="1" indent="2"/>
    </xf>
    <xf numFmtId="0" fontId="36" fillId="34" borderId="71"/>
    <xf numFmtId="174" fontId="36" fillId="61" borderId="71" applyNumberFormat="0" applyFont="0" applyBorder="0" applyAlignment="0" applyProtection="0">
      <alignment horizontal="right" vertical="center"/>
    </xf>
    <xf numFmtId="0" fontId="36" fillId="0" borderId="71" applyNumberFormat="0" applyFill="0" applyAlignment="0" applyProtection="0"/>
    <xf numFmtId="4" fontId="36" fillId="0" borderId="71" applyFill="0" applyBorder="0" applyProtection="0">
      <alignment horizontal="right" vertical="center"/>
    </xf>
    <xf numFmtId="4" fontId="34" fillId="33" borderId="71">
      <alignment horizontal="right" vertical="center"/>
    </xf>
    <xf numFmtId="0" fontId="52" fillId="0" borderId="77" applyNumberFormat="0" applyFill="0" applyAlignment="0" applyProtection="0"/>
    <xf numFmtId="49" fontId="35" fillId="0" borderId="71" applyNumberFormat="0" applyFill="0" applyBorder="0" applyProtection="0">
      <alignment horizontal="left" vertical="center"/>
    </xf>
    <xf numFmtId="49" fontId="36" fillId="0" borderId="72" applyNumberFormat="0" applyFont="0" applyFill="0" applyBorder="0" applyProtection="0">
      <alignment horizontal="left" vertical="center" indent="5"/>
    </xf>
    <xf numFmtId="0" fontId="36" fillId="33" borderId="72">
      <alignment horizontal="left" vertical="center"/>
    </xf>
    <xf numFmtId="0" fontId="48" fillId="57" borderId="76" applyNumberFormat="0" applyAlignment="0" applyProtection="0"/>
    <xf numFmtId="4" fontId="34" fillId="35" borderId="73">
      <alignment horizontal="right" vertical="center"/>
    </xf>
    <xf numFmtId="0" fontId="60" fillId="44" borderId="76" applyNumberFormat="0" applyAlignment="0" applyProtection="0"/>
    <xf numFmtId="0" fontId="60" fillId="44" borderId="76" applyNumberFormat="0" applyAlignment="0" applyProtection="0"/>
    <xf numFmtId="0" fontId="42" fillId="60" borderId="70" applyNumberFormat="0" applyFont="0" applyAlignment="0" applyProtection="0"/>
    <xf numFmtId="0" fontId="64" fillId="57" borderId="75" applyNumberFormat="0" applyAlignment="0" applyProtection="0"/>
    <xf numFmtId="0" fontId="67" fillId="0" borderId="77" applyNumberFormat="0" applyFill="0" applyAlignment="0" applyProtection="0"/>
    <xf numFmtId="0" fontId="34" fillId="35" borderId="71">
      <alignment horizontal="right" vertical="center"/>
    </xf>
    <xf numFmtId="0" fontId="5" fillId="60" borderId="70" applyNumberFormat="0" applyFont="0" applyAlignment="0" applyProtection="0"/>
    <xf numFmtId="4" fontId="36" fillId="0" borderId="71">
      <alignment horizontal="right" vertical="center"/>
    </xf>
    <xf numFmtId="0" fontId="67" fillId="0" borderId="77" applyNumberFormat="0" applyFill="0" applyAlignment="0" applyProtection="0"/>
    <xf numFmtId="0" fontId="34" fillId="35" borderId="71">
      <alignment horizontal="right" vertical="center"/>
    </xf>
    <xf numFmtId="0" fontId="34" fillId="35" borderId="71">
      <alignment horizontal="right" vertical="center"/>
    </xf>
    <xf numFmtId="4" fontId="38" fillId="33" borderId="71">
      <alignment horizontal="right" vertical="center"/>
    </xf>
    <xf numFmtId="0" fontId="34" fillId="33" borderId="71">
      <alignment horizontal="right" vertical="center"/>
    </xf>
    <xf numFmtId="4" fontId="34" fillId="33" borderId="71">
      <alignment horizontal="right" vertical="center"/>
    </xf>
    <xf numFmtId="0" fontId="38" fillId="33" borderId="71">
      <alignment horizontal="right" vertical="center"/>
    </xf>
    <xf numFmtId="4" fontId="38" fillId="33" borderId="71">
      <alignment horizontal="right" vertical="center"/>
    </xf>
    <xf numFmtId="0" fontId="34" fillId="35" borderId="71">
      <alignment horizontal="right" vertical="center"/>
    </xf>
    <xf numFmtId="4" fontId="34" fillId="35" borderId="71">
      <alignment horizontal="right" vertical="center"/>
    </xf>
    <xf numFmtId="0" fontId="34" fillId="35" borderId="71">
      <alignment horizontal="right" vertical="center"/>
    </xf>
    <xf numFmtId="4" fontId="34" fillId="35" borderId="71">
      <alignment horizontal="right" vertical="center"/>
    </xf>
    <xf numFmtId="0" fontId="34" fillId="35" borderId="72">
      <alignment horizontal="right" vertical="center"/>
    </xf>
    <xf numFmtId="4" fontId="34" fillId="35" borderId="72">
      <alignment horizontal="right" vertical="center"/>
    </xf>
    <xf numFmtId="0" fontId="34" fillId="35" borderId="73">
      <alignment horizontal="right" vertical="center"/>
    </xf>
    <xf numFmtId="4" fontId="34" fillId="35" borderId="73">
      <alignment horizontal="right" vertical="center"/>
    </xf>
    <xf numFmtId="0" fontId="48" fillId="57" borderId="76" applyNumberFormat="0" applyAlignment="0" applyProtection="0"/>
    <xf numFmtId="0" fontId="36" fillId="35" borderId="74">
      <alignment horizontal="left" vertical="center" wrapText="1" indent="2"/>
    </xf>
    <xf numFmtId="0" fontId="36" fillId="0" borderId="74">
      <alignment horizontal="left" vertical="center" wrapText="1" indent="2"/>
    </xf>
    <xf numFmtId="0" fontId="36" fillId="33" borderId="72">
      <alignment horizontal="left" vertical="center"/>
    </xf>
    <xf numFmtId="0" fontId="60" fillId="44" borderId="76" applyNumberFormat="0" applyAlignment="0" applyProtection="0"/>
    <xf numFmtId="0" fontId="36" fillId="0" borderId="71">
      <alignment horizontal="right" vertical="center"/>
    </xf>
    <xf numFmtId="4" fontId="36" fillId="0" borderId="71">
      <alignment horizontal="right" vertical="center"/>
    </xf>
    <xf numFmtId="0" fontId="36" fillId="0" borderId="71" applyNumberFormat="0" applyFill="0" applyAlignment="0" applyProtection="0"/>
    <xf numFmtId="0" fontId="64" fillId="57" borderId="75" applyNumberFormat="0" applyAlignment="0" applyProtection="0"/>
    <xf numFmtId="174" fontId="36" fillId="61" borderId="71" applyNumberFormat="0" applyFont="0" applyBorder="0" applyAlignment="0" applyProtection="0">
      <alignment horizontal="right" vertical="center"/>
    </xf>
    <xf numFmtId="0" fontId="36" fillId="34" borderId="71"/>
    <xf numFmtId="4" fontId="36" fillId="34" borderId="71"/>
    <xf numFmtId="0" fontId="67" fillId="0" borderId="77" applyNumberFormat="0" applyFill="0" applyAlignment="0" applyProtection="0"/>
    <xf numFmtId="0" fontId="5" fillId="60" borderId="70" applyNumberFormat="0" applyFont="0" applyAlignment="0" applyProtection="0"/>
    <xf numFmtId="0" fontId="42" fillId="60" borderId="70" applyNumberFormat="0" applyFont="0" applyAlignment="0" applyProtection="0"/>
    <xf numFmtId="0" fontId="36" fillId="0" borderId="71" applyNumberFormat="0" applyFill="0" applyAlignment="0" applyProtection="0"/>
    <xf numFmtId="0" fontId="52" fillId="0" borderId="77" applyNumberFormat="0" applyFill="0" applyAlignment="0" applyProtection="0"/>
    <xf numFmtId="0" fontId="67" fillId="0" borderId="77" applyNumberFormat="0" applyFill="0" applyAlignment="0" applyProtection="0"/>
    <xf numFmtId="0" fontId="51" fillId="44" borderId="76" applyNumberFormat="0" applyAlignment="0" applyProtection="0"/>
    <xf numFmtId="0" fontId="48" fillId="57" borderId="76" applyNumberFormat="0" applyAlignment="0" applyProtection="0"/>
    <xf numFmtId="4" fontId="38" fillId="33" borderId="71">
      <alignment horizontal="right" vertical="center"/>
    </xf>
    <xf numFmtId="0" fontId="34" fillId="33" borderId="71">
      <alignment horizontal="right" vertical="center"/>
    </xf>
    <xf numFmtId="174" fontId="36" fillId="61" borderId="71" applyNumberFormat="0" applyFont="0" applyBorder="0" applyAlignment="0" applyProtection="0">
      <alignment horizontal="right" vertical="center"/>
    </xf>
    <xf numFmtId="0" fontId="52" fillId="0" borderId="77" applyNumberFormat="0" applyFill="0" applyAlignment="0" applyProtection="0"/>
    <xf numFmtId="49" fontId="36" fillId="0" borderId="71" applyNumberFormat="0" applyFont="0" applyFill="0" applyBorder="0" applyProtection="0">
      <alignment horizontal="left" vertical="center" indent="2"/>
    </xf>
    <xf numFmtId="49" fontId="36" fillId="0" borderId="72" applyNumberFormat="0" applyFont="0" applyFill="0" applyBorder="0" applyProtection="0">
      <alignment horizontal="left" vertical="center" indent="5"/>
    </xf>
    <xf numFmtId="49" fontId="36" fillId="0" borderId="71" applyNumberFormat="0" applyFont="0" applyFill="0" applyBorder="0" applyProtection="0">
      <alignment horizontal="left" vertical="center" indent="2"/>
    </xf>
    <xf numFmtId="4" fontId="36" fillId="0" borderId="71" applyFill="0" applyBorder="0" applyProtection="0">
      <alignment horizontal="right" vertical="center"/>
    </xf>
    <xf numFmtId="49" fontId="35" fillId="0" borderId="71" applyNumberFormat="0" applyFill="0" applyBorder="0" applyProtection="0">
      <alignment horizontal="left" vertical="center"/>
    </xf>
    <xf numFmtId="0" fontId="36" fillId="0" borderId="74">
      <alignment horizontal="left" vertical="center" wrapText="1" indent="2"/>
    </xf>
    <xf numFmtId="0" fontId="64" fillId="57" borderId="75" applyNumberFormat="0" applyAlignment="0" applyProtection="0"/>
    <xf numFmtId="0" fontId="34" fillId="35" borderId="73">
      <alignment horizontal="right" vertical="center"/>
    </xf>
    <xf numFmtId="0" fontId="51" fillId="44" borderId="76" applyNumberFormat="0" applyAlignment="0" applyProtection="0"/>
    <xf numFmtId="0" fontId="34" fillId="35" borderId="73">
      <alignment horizontal="right" vertical="center"/>
    </xf>
    <xf numFmtId="4" fontId="34" fillId="35" borderId="71">
      <alignment horizontal="right" vertical="center"/>
    </xf>
    <xf numFmtId="0" fontId="34" fillId="35" borderId="71">
      <alignment horizontal="right" vertical="center"/>
    </xf>
    <xf numFmtId="0" fontId="45" fillId="57" borderId="75" applyNumberFormat="0" applyAlignment="0" applyProtection="0"/>
    <xf numFmtId="0" fontId="47" fillId="57" borderId="76" applyNumberFormat="0" applyAlignment="0" applyProtection="0"/>
    <xf numFmtId="0" fontId="52" fillId="0" borderId="77" applyNumberFormat="0" applyFill="0" applyAlignment="0" applyProtection="0"/>
    <xf numFmtId="0" fontId="36" fillId="34" borderId="71"/>
    <xf numFmtId="4" fontId="36" fillId="34" borderId="71"/>
    <xf numFmtId="4" fontId="34" fillId="35" borderId="71">
      <alignment horizontal="right" vertical="center"/>
    </xf>
    <xf numFmtId="0" fontId="38" fillId="33" borderId="71">
      <alignment horizontal="right" vertical="center"/>
    </xf>
    <xf numFmtId="0" fontId="51" fillId="44" borderId="76" applyNumberFormat="0" applyAlignment="0" applyProtection="0"/>
    <xf numFmtId="0" fontId="48" fillId="57" borderId="76" applyNumberFormat="0" applyAlignment="0" applyProtection="0"/>
    <xf numFmtId="4" fontId="36" fillId="0" borderId="71">
      <alignment horizontal="right" vertical="center"/>
    </xf>
    <xf numFmtId="0" fontId="36" fillId="35" borderId="74">
      <alignment horizontal="left" vertical="center" wrapText="1" indent="2"/>
    </xf>
    <xf numFmtId="0" fontId="36" fillId="0" borderId="74">
      <alignment horizontal="left" vertical="center" wrapText="1" indent="2"/>
    </xf>
    <xf numFmtId="0" fontId="64" fillId="57" borderId="75" applyNumberFormat="0" applyAlignment="0" applyProtection="0"/>
    <xf numFmtId="0" fontId="60" fillId="44" borderId="76" applyNumberFormat="0" applyAlignment="0" applyProtection="0"/>
    <xf numFmtId="0" fontId="47" fillId="57" borderId="76" applyNumberFormat="0" applyAlignment="0" applyProtection="0"/>
    <xf numFmtId="0" fontId="45" fillId="57" borderId="75" applyNumberFormat="0" applyAlignment="0" applyProtection="0"/>
    <xf numFmtId="0" fontId="34" fillId="35" borderId="73">
      <alignment horizontal="right" vertical="center"/>
    </xf>
    <xf numFmtId="0" fontId="38" fillId="33" borderId="71">
      <alignment horizontal="right" vertical="center"/>
    </xf>
    <xf numFmtId="4" fontId="34" fillId="33" borderId="71">
      <alignment horizontal="right" vertical="center"/>
    </xf>
    <xf numFmtId="4" fontId="34" fillId="35" borderId="71">
      <alignment horizontal="right" vertical="center"/>
    </xf>
    <xf numFmtId="49" fontId="36" fillId="0" borderId="72" applyNumberFormat="0" applyFont="0" applyFill="0" applyBorder="0" applyProtection="0">
      <alignment horizontal="left" vertical="center" indent="5"/>
    </xf>
    <xf numFmtId="4" fontId="36" fillId="0" borderId="71" applyFill="0" applyBorder="0" applyProtection="0">
      <alignment horizontal="right" vertical="center"/>
    </xf>
    <xf numFmtId="4" fontId="34" fillId="33" borderId="71">
      <alignment horizontal="right" vertical="center"/>
    </xf>
    <xf numFmtId="0" fontId="34" fillId="33" borderId="106">
      <alignment horizontal="right" vertical="center"/>
    </xf>
    <xf numFmtId="0" fontId="60" fillId="44" borderId="76" applyNumberFormat="0" applyAlignment="0" applyProtection="0"/>
    <xf numFmtId="0" fontId="51" fillId="44" borderId="76" applyNumberFormat="0" applyAlignment="0" applyProtection="0"/>
    <xf numFmtId="0" fontId="47" fillId="57" borderId="76" applyNumberFormat="0" applyAlignment="0" applyProtection="0"/>
    <xf numFmtId="0" fontId="36" fillId="35" borderId="74">
      <alignment horizontal="left" vertical="center" wrapText="1" indent="2"/>
    </xf>
    <xf numFmtId="0" fontId="36" fillId="0" borderId="74">
      <alignment horizontal="left" vertical="center" wrapText="1" indent="2"/>
    </xf>
    <xf numFmtId="0" fontId="36" fillId="35" borderId="74">
      <alignment horizontal="left" vertical="center" wrapText="1" indent="2"/>
    </xf>
    <xf numFmtId="0" fontId="36" fillId="0" borderId="74">
      <alignment horizontal="left" vertical="center" wrapText="1" indent="2"/>
    </xf>
    <xf numFmtId="0" fontId="45" fillId="57" borderId="75" applyNumberFormat="0" applyAlignment="0" applyProtection="0"/>
    <xf numFmtId="0" fontId="47" fillId="57" borderId="76" applyNumberFormat="0" applyAlignment="0" applyProtection="0"/>
    <xf numFmtId="0" fontId="48" fillId="57" borderId="76" applyNumberFormat="0" applyAlignment="0" applyProtection="0"/>
    <xf numFmtId="0" fontId="51" fillId="44" borderId="76" applyNumberFormat="0" applyAlignment="0" applyProtection="0"/>
    <xf numFmtId="0" fontId="52" fillId="0" borderId="77" applyNumberFormat="0" applyFill="0" applyAlignment="0" applyProtection="0"/>
    <xf numFmtId="0" fontId="60" fillId="44" borderId="76" applyNumberFormat="0" applyAlignment="0" applyProtection="0"/>
    <xf numFmtId="0" fontId="42" fillId="60" borderId="70" applyNumberFormat="0" applyFont="0" applyAlignment="0" applyProtection="0"/>
    <xf numFmtId="0" fontId="5" fillId="60" borderId="70" applyNumberFormat="0" applyFont="0" applyAlignment="0" applyProtection="0"/>
    <xf numFmtId="0" fontId="64" fillId="57" borderId="75" applyNumberFormat="0" applyAlignment="0" applyProtection="0"/>
    <xf numFmtId="0" fontId="67" fillId="0" borderId="77" applyNumberFormat="0" applyFill="0" applyAlignment="0" applyProtection="0"/>
    <xf numFmtId="0" fontId="48" fillId="57" borderId="76" applyNumberFormat="0" applyAlignment="0" applyProtection="0"/>
    <xf numFmtId="0" fontId="60" fillId="44" borderId="76" applyNumberFormat="0" applyAlignment="0" applyProtection="0"/>
    <xf numFmtId="0" fontId="42" fillId="60" borderId="70" applyNumberFormat="0" applyFont="0" applyAlignment="0" applyProtection="0"/>
    <xf numFmtId="0" fontId="64" fillId="57" borderId="75" applyNumberFormat="0" applyAlignment="0" applyProtection="0"/>
    <xf numFmtId="0" fontId="67" fillId="0" borderId="77" applyNumberFormat="0" applyFill="0" applyAlignment="0" applyProtection="0"/>
    <xf numFmtId="0" fontId="36" fillId="0" borderId="98" applyNumberFormat="0" applyFill="0" applyAlignment="0" applyProtection="0"/>
    <xf numFmtId="4" fontId="34" fillId="33" borderId="106">
      <alignment horizontal="right" vertical="center"/>
    </xf>
    <xf numFmtId="0" fontId="48" fillId="57" borderId="76" applyNumberFormat="0" applyAlignment="0" applyProtection="0"/>
    <xf numFmtId="0" fontId="34" fillId="33" borderId="82">
      <alignment horizontal="right" vertical="center"/>
    </xf>
    <xf numFmtId="0" fontId="52" fillId="0" borderId="88" applyNumberFormat="0" applyFill="0" applyAlignment="0" applyProtection="0"/>
    <xf numFmtId="0" fontId="2" fillId="0" borderId="14" applyNumberFormat="0" applyFill="0" applyAlignment="0" applyProtection="0"/>
    <xf numFmtId="0" fontId="60" fillId="44" borderId="76" applyNumberFormat="0" applyAlignment="0" applyProtection="0"/>
    <xf numFmtId="0" fontId="64" fillId="57" borderId="75" applyNumberFormat="0" applyAlignment="0" applyProtection="0"/>
    <xf numFmtId="0" fontId="67" fillId="0" borderId="77" applyNumberFormat="0" applyFill="0" applyAlignment="0" applyProtection="0"/>
    <xf numFmtId="0" fontId="45" fillId="57" borderId="94" applyNumberFormat="0" applyAlignment="0" applyProtection="0"/>
    <xf numFmtId="0" fontId="45" fillId="57" borderId="75" applyNumberFormat="0" applyAlignment="0" applyProtection="0"/>
    <xf numFmtId="0" fontId="47" fillId="57" borderId="76" applyNumberFormat="0" applyAlignment="0" applyProtection="0"/>
    <xf numFmtId="0" fontId="52" fillId="0" borderId="77" applyNumberFormat="0" applyFill="0" applyAlignment="0" applyProtection="0"/>
    <xf numFmtId="49" fontId="36" fillId="0" borderId="71" applyNumberFormat="0" applyFont="0" applyFill="0" applyBorder="0" applyProtection="0">
      <alignment horizontal="left" vertical="center" indent="2"/>
    </xf>
    <xf numFmtId="0" fontId="34" fillId="33" borderId="71">
      <alignment horizontal="right" vertical="center"/>
    </xf>
    <xf numFmtId="4" fontId="34" fillId="33" borderId="71">
      <alignment horizontal="right" vertical="center"/>
    </xf>
    <xf numFmtId="0" fontId="38" fillId="33" borderId="71">
      <alignment horizontal="right" vertical="center"/>
    </xf>
    <xf numFmtId="4" fontId="38" fillId="33" borderId="71">
      <alignment horizontal="right" vertical="center"/>
    </xf>
    <xf numFmtId="0" fontId="34" fillId="35" borderId="71">
      <alignment horizontal="right" vertical="center"/>
    </xf>
    <xf numFmtId="4" fontId="34" fillId="35" borderId="71">
      <alignment horizontal="right" vertical="center"/>
    </xf>
    <xf numFmtId="0" fontId="34" fillId="35" borderId="71">
      <alignment horizontal="right" vertical="center"/>
    </xf>
    <xf numFmtId="4" fontId="34" fillId="35" borderId="71">
      <alignment horizontal="right" vertical="center"/>
    </xf>
    <xf numFmtId="0" fontId="51" fillId="44" borderId="76" applyNumberFormat="0" applyAlignment="0" applyProtection="0"/>
    <xf numFmtId="0" fontId="36" fillId="0" borderId="71">
      <alignment horizontal="right" vertical="center"/>
    </xf>
    <xf numFmtId="4" fontId="36" fillId="0" borderId="71">
      <alignment horizontal="right" vertical="center"/>
    </xf>
    <xf numFmtId="4" fontId="36" fillId="0" borderId="71" applyFill="0" applyBorder="0" applyProtection="0">
      <alignment horizontal="right" vertical="center"/>
    </xf>
    <xf numFmtId="49" fontId="35" fillId="0" borderId="71" applyNumberFormat="0" applyFill="0" applyBorder="0" applyProtection="0">
      <alignment horizontal="left" vertical="center"/>
    </xf>
    <xf numFmtId="0" fontId="36" fillId="0" borderId="71" applyNumberFormat="0" applyFill="0" applyAlignment="0" applyProtection="0"/>
    <xf numFmtId="174" fontId="36" fillId="61" borderId="71" applyNumberFormat="0" applyFont="0" applyBorder="0" applyAlignment="0" applyProtection="0">
      <alignment horizontal="right" vertical="center"/>
    </xf>
    <xf numFmtId="0" fontId="36" fillId="34" borderId="71"/>
    <xf numFmtId="4" fontId="36" fillId="34" borderId="71"/>
    <xf numFmtId="4" fontId="34" fillId="35" borderId="71">
      <alignment horizontal="right" vertical="center"/>
    </xf>
    <xf numFmtId="0" fontId="36" fillId="34" borderId="71"/>
    <xf numFmtId="0" fontId="47" fillId="57" borderId="76" applyNumberFormat="0" applyAlignment="0" applyProtection="0"/>
    <xf numFmtId="0" fontId="34" fillId="33" borderId="71">
      <alignment horizontal="right" vertical="center"/>
    </xf>
    <xf numFmtId="0" fontId="36" fillId="0" borderId="71">
      <alignment horizontal="right" vertical="center"/>
    </xf>
    <xf numFmtId="0" fontId="67" fillId="0" borderId="77" applyNumberFormat="0" applyFill="0" applyAlignment="0" applyProtection="0"/>
    <xf numFmtId="0" fontId="36" fillId="33" borderId="72">
      <alignment horizontal="left" vertical="center"/>
    </xf>
    <xf numFmtId="0" fontId="60" fillId="44" borderId="76" applyNumberFormat="0" applyAlignment="0" applyProtection="0"/>
    <xf numFmtId="174" fontId="36" fillId="61" borderId="71" applyNumberFormat="0" applyFont="0" applyBorder="0" applyAlignment="0" applyProtection="0">
      <alignment horizontal="right" vertical="center"/>
    </xf>
    <xf numFmtId="0" fontId="42" fillId="60" borderId="70" applyNumberFormat="0" applyFont="0" applyAlignment="0" applyProtection="0"/>
    <xf numFmtId="0" fontId="36" fillId="0" borderId="74">
      <alignment horizontal="left" vertical="center" wrapText="1" indent="2"/>
    </xf>
    <xf numFmtId="4" fontId="36" fillId="34" borderId="71"/>
    <xf numFmtId="49" fontId="35" fillId="0" borderId="71" applyNumberFormat="0" applyFill="0" applyBorder="0" applyProtection="0">
      <alignment horizontal="left" vertical="center"/>
    </xf>
    <xf numFmtId="0" fontId="36" fillId="0" borderId="71">
      <alignment horizontal="right" vertical="center"/>
    </xf>
    <xf numFmtId="4" fontId="34" fillId="35" borderId="73">
      <alignment horizontal="right" vertical="center"/>
    </xf>
    <xf numFmtId="4" fontId="34" fillId="35" borderId="71">
      <alignment horizontal="right" vertical="center"/>
    </xf>
    <xf numFmtId="4" fontId="34" fillId="35" borderId="71">
      <alignment horizontal="right" vertical="center"/>
    </xf>
    <xf numFmtId="0" fontId="38" fillId="33" borderId="71">
      <alignment horizontal="right" vertical="center"/>
    </xf>
    <xf numFmtId="0" fontId="34" fillId="33" borderId="71">
      <alignment horizontal="right" vertical="center"/>
    </xf>
    <xf numFmtId="49" fontId="36" fillId="0" borderId="71" applyNumberFormat="0" applyFont="0" applyFill="0" applyBorder="0" applyProtection="0">
      <alignment horizontal="left" vertical="center" indent="2"/>
    </xf>
    <xf numFmtId="0" fontId="60" fillId="44" borderId="76" applyNumberFormat="0" applyAlignment="0" applyProtection="0"/>
    <xf numFmtId="0" fontId="45" fillId="57" borderId="75" applyNumberFormat="0" applyAlignment="0" applyProtection="0"/>
    <xf numFmtId="49" fontId="36" fillId="0" borderId="71" applyNumberFormat="0" applyFont="0" applyFill="0" applyBorder="0" applyProtection="0">
      <alignment horizontal="left" vertical="center" indent="2"/>
    </xf>
    <xf numFmtId="0" fontId="51" fillId="44" borderId="76" applyNumberFormat="0" applyAlignment="0" applyProtection="0"/>
    <xf numFmtId="4" fontId="36" fillId="0" borderId="71" applyFill="0" applyBorder="0" applyProtection="0">
      <alignment horizontal="right" vertical="center"/>
    </xf>
    <xf numFmtId="0" fontId="48" fillId="57" borderId="76" applyNumberFormat="0" applyAlignment="0" applyProtection="0"/>
    <xf numFmtId="0" fontId="67" fillId="0" borderId="77" applyNumberFormat="0" applyFill="0" applyAlignment="0" applyProtection="0"/>
    <xf numFmtId="0" fontId="64" fillId="57" borderId="75" applyNumberFormat="0" applyAlignment="0" applyProtection="0"/>
    <xf numFmtId="0" fontId="36" fillId="0" borderId="71" applyNumberFormat="0" applyFill="0" applyAlignment="0" applyProtection="0"/>
    <xf numFmtId="4" fontId="36" fillId="0" borderId="71">
      <alignment horizontal="right" vertical="center"/>
    </xf>
    <xf numFmtId="0" fontId="36" fillId="0" borderId="71">
      <alignment horizontal="right" vertical="center"/>
    </xf>
    <xf numFmtId="0" fontId="60" fillId="44" borderId="76" applyNumberFormat="0" applyAlignment="0" applyProtection="0"/>
    <xf numFmtId="0" fontId="45" fillId="57" borderId="75" applyNumberFormat="0" applyAlignment="0" applyProtection="0"/>
    <xf numFmtId="0" fontId="47" fillId="57" borderId="76" applyNumberFormat="0" applyAlignment="0" applyProtection="0"/>
    <xf numFmtId="0" fontId="36" fillId="35" borderId="74">
      <alignment horizontal="left" vertical="center" wrapText="1" indent="2"/>
    </xf>
    <xf numFmtId="0" fontId="48" fillId="57" borderId="76" applyNumberFormat="0" applyAlignment="0" applyProtection="0"/>
    <xf numFmtId="0" fontId="48" fillId="57" borderId="76" applyNumberFormat="0" applyAlignment="0" applyProtection="0"/>
    <xf numFmtId="4" fontId="34" fillId="35" borderId="72">
      <alignment horizontal="right" vertical="center"/>
    </xf>
    <xf numFmtId="0" fontId="34" fillId="35" borderId="72">
      <alignment horizontal="right" vertical="center"/>
    </xf>
    <xf numFmtId="0" fontId="34" fillId="35" borderId="71">
      <alignment horizontal="right" vertical="center"/>
    </xf>
    <xf numFmtId="4" fontId="38" fillId="33" borderId="71">
      <alignment horizontal="right" vertical="center"/>
    </xf>
    <xf numFmtId="0" fontId="51" fillId="44" borderId="76" applyNumberFormat="0" applyAlignment="0" applyProtection="0"/>
    <xf numFmtId="0" fontId="52" fillId="0" borderId="77" applyNumberFormat="0" applyFill="0" applyAlignment="0" applyProtection="0"/>
    <xf numFmtId="0" fontId="67" fillId="0" borderId="77" applyNumberFormat="0" applyFill="0" applyAlignment="0" applyProtection="0"/>
    <xf numFmtId="0" fontId="42" fillId="60" borderId="70" applyNumberFormat="0" applyFont="0" applyAlignment="0" applyProtection="0"/>
    <xf numFmtId="0" fontId="60" fillId="44" borderId="76" applyNumberFormat="0" applyAlignment="0" applyProtection="0"/>
    <xf numFmtId="49" fontId="35" fillId="0" borderId="71" applyNumberFormat="0" applyFill="0" applyBorder="0" applyProtection="0">
      <alignment horizontal="left" vertical="center"/>
    </xf>
    <xf numFmtId="0" fontId="36" fillId="35" borderId="74">
      <alignment horizontal="left" vertical="center" wrapText="1" indent="2"/>
    </xf>
    <xf numFmtId="0" fontId="48" fillId="57" borderId="76" applyNumberFormat="0" applyAlignment="0" applyProtection="0"/>
    <xf numFmtId="0" fontId="36" fillId="0" borderId="74">
      <alignment horizontal="left" vertical="center" wrapText="1" indent="2"/>
    </xf>
    <xf numFmtId="0" fontId="42" fillId="60" borderId="70" applyNumberFormat="0" applyFont="0" applyAlignment="0" applyProtection="0"/>
    <xf numFmtId="0" fontId="5" fillId="60" borderId="70" applyNumberFormat="0" applyFont="0" applyAlignment="0" applyProtection="0"/>
    <xf numFmtId="0" fontId="64" fillId="57" borderId="75" applyNumberFormat="0" applyAlignment="0" applyProtection="0"/>
    <xf numFmtId="0" fontId="67" fillId="0" borderId="77" applyNumberFormat="0" applyFill="0" applyAlignment="0" applyProtection="0"/>
    <xf numFmtId="4" fontId="36" fillId="34" borderId="71"/>
    <xf numFmtId="0" fontId="34" fillId="35" borderId="71">
      <alignment horizontal="right" vertical="center"/>
    </xf>
    <xf numFmtId="0" fontId="67" fillId="0" borderId="77" applyNumberFormat="0" applyFill="0" applyAlignment="0" applyProtection="0"/>
    <xf numFmtId="4" fontId="34" fillId="35" borderId="73">
      <alignment horizontal="right" vertical="center"/>
    </xf>
    <xf numFmtId="0" fontId="47" fillId="57" borderId="76" applyNumberFormat="0" applyAlignment="0" applyProtection="0"/>
    <xf numFmtId="0" fontId="34" fillId="35" borderId="72">
      <alignment horizontal="right" vertical="center"/>
    </xf>
    <xf numFmtId="0" fontId="48" fillId="57" borderId="76" applyNumberFormat="0" applyAlignment="0" applyProtection="0"/>
    <xf numFmtId="0" fontId="52" fillId="0" borderId="77" applyNumberFormat="0" applyFill="0" applyAlignment="0" applyProtection="0"/>
    <xf numFmtId="0" fontId="42" fillId="60" borderId="70" applyNumberFormat="0" applyFont="0" applyAlignment="0" applyProtection="0"/>
    <xf numFmtId="4" fontId="34" fillId="35" borderId="72">
      <alignment horizontal="right" vertical="center"/>
    </xf>
    <xf numFmtId="0" fontId="36" fillId="35" borderId="74">
      <alignment horizontal="left" vertical="center" wrapText="1" indent="2"/>
    </xf>
    <xf numFmtId="0" fontId="36" fillId="34" borderId="71"/>
    <xf numFmtId="174" fontId="36" fillId="61" borderId="71" applyNumberFormat="0" applyFont="0" applyBorder="0" applyAlignment="0" applyProtection="0">
      <alignment horizontal="right" vertical="center"/>
    </xf>
    <xf numFmtId="0" fontId="36" fillId="0" borderId="71" applyNumberFormat="0" applyFill="0" applyAlignment="0" applyProtection="0"/>
    <xf numFmtId="4" fontId="36" fillId="0" borderId="71" applyFill="0" applyBorder="0" applyProtection="0">
      <alignment horizontal="right" vertical="center"/>
    </xf>
    <xf numFmtId="4" fontId="34" fillId="33" borderId="71">
      <alignment horizontal="right" vertical="center"/>
    </xf>
    <xf numFmtId="0" fontId="52" fillId="0" borderId="77" applyNumberFormat="0" applyFill="0" applyAlignment="0" applyProtection="0"/>
    <xf numFmtId="49" fontId="35" fillId="0" borderId="71" applyNumberFormat="0" applyFill="0" applyBorder="0" applyProtection="0">
      <alignment horizontal="left" vertical="center"/>
    </xf>
    <xf numFmtId="49" fontId="36" fillId="0" borderId="72" applyNumberFormat="0" applyFont="0" applyFill="0" applyBorder="0" applyProtection="0">
      <alignment horizontal="left" vertical="center" indent="5"/>
    </xf>
    <xf numFmtId="0" fontId="36" fillId="33" borderId="72">
      <alignment horizontal="left" vertical="center"/>
    </xf>
    <xf numFmtId="0" fontId="48" fillId="57" borderId="76" applyNumberFormat="0" applyAlignment="0" applyProtection="0"/>
    <xf numFmtId="4" fontId="34" fillId="35" borderId="73">
      <alignment horizontal="right" vertical="center"/>
    </xf>
    <xf numFmtId="0" fontId="60" fillId="44" borderId="76" applyNumberFormat="0" applyAlignment="0" applyProtection="0"/>
    <xf numFmtId="0" fontId="60" fillId="44" borderId="76" applyNumberFormat="0" applyAlignment="0" applyProtection="0"/>
    <xf numFmtId="0" fontId="42" fillId="60" borderId="70" applyNumberFormat="0" applyFont="0" applyAlignment="0" applyProtection="0"/>
    <xf numFmtId="0" fontId="64" fillId="57" borderId="75" applyNumberFormat="0" applyAlignment="0" applyProtection="0"/>
    <xf numFmtId="0" fontId="67" fillId="0" borderId="77" applyNumberFormat="0" applyFill="0" applyAlignment="0" applyProtection="0"/>
    <xf numFmtId="0" fontId="34" fillId="35" borderId="71">
      <alignment horizontal="right" vertical="center"/>
    </xf>
    <xf numFmtId="0" fontId="5" fillId="60" borderId="70" applyNumberFormat="0" applyFont="0" applyAlignment="0" applyProtection="0"/>
    <xf numFmtId="4" fontId="36" fillId="0" borderId="71">
      <alignment horizontal="right" vertical="center"/>
    </xf>
    <xf numFmtId="0" fontId="67" fillId="0" borderId="77" applyNumberFormat="0" applyFill="0" applyAlignment="0" applyProtection="0"/>
    <xf numFmtId="0" fontId="34" fillId="35" borderId="71">
      <alignment horizontal="right" vertical="center"/>
    </xf>
    <xf numFmtId="0" fontId="34" fillId="35" borderId="71">
      <alignment horizontal="right" vertical="center"/>
    </xf>
    <xf numFmtId="4" fontId="38" fillId="33" borderId="71">
      <alignment horizontal="right" vertical="center"/>
    </xf>
    <xf numFmtId="0" fontId="34" fillId="33" borderId="71">
      <alignment horizontal="right" vertical="center"/>
    </xf>
    <xf numFmtId="4" fontId="34" fillId="33" borderId="71">
      <alignment horizontal="right" vertical="center"/>
    </xf>
    <xf numFmtId="0" fontId="38" fillId="33" borderId="71">
      <alignment horizontal="right" vertical="center"/>
    </xf>
    <xf numFmtId="4" fontId="38" fillId="33" borderId="71">
      <alignment horizontal="right" vertical="center"/>
    </xf>
    <xf numFmtId="0" fontId="34" fillId="35" borderId="71">
      <alignment horizontal="right" vertical="center"/>
    </xf>
    <xf numFmtId="4" fontId="34" fillId="35" borderId="71">
      <alignment horizontal="right" vertical="center"/>
    </xf>
    <xf numFmtId="0" fontId="34" fillId="35" borderId="71">
      <alignment horizontal="right" vertical="center"/>
    </xf>
    <xf numFmtId="4" fontId="34" fillId="35" borderId="71">
      <alignment horizontal="right" vertical="center"/>
    </xf>
    <xf numFmtId="0" fontId="34" fillId="35" borderId="72">
      <alignment horizontal="right" vertical="center"/>
    </xf>
    <xf numFmtId="4" fontId="34" fillId="35" borderId="72">
      <alignment horizontal="right" vertical="center"/>
    </xf>
    <xf numFmtId="0" fontId="34" fillId="35" borderId="73">
      <alignment horizontal="right" vertical="center"/>
    </xf>
    <xf numFmtId="4" fontId="34" fillId="35" borderId="73">
      <alignment horizontal="right" vertical="center"/>
    </xf>
    <xf numFmtId="0" fontId="48" fillId="57" borderId="76" applyNumberFormat="0" applyAlignment="0" applyProtection="0"/>
    <xf numFmtId="0" fontId="36" fillId="35" borderId="74">
      <alignment horizontal="left" vertical="center" wrapText="1" indent="2"/>
    </xf>
    <xf numFmtId="0" fontId="36" fillId="0" borderId="74">
      <alignment horizontal="left" vertical="center" wrapText="1" indent="2"/>
    </xf>
    <xf numFmtId="0" fontId="36" fillId="33" borderId="72">
      <alignment horizontal="left" vertical="center"/>
    </xf>
    <xf numFmtId="0" fontId="60" fillId="44" borderId="76" applyNumberFormat="0" applyAlignment="0" applyProtection="0"/>
    <xf numFmtId="0" fontId="36" fillId="0" borderId="71">
      <alignment horizontal="right" vertical="center"/>
    </xf>
    <xf numFmtId="4" fontId="36" fillId="0" borderId="71">
      <alignment horizontal="right" vertical="center"/>
    </xf>
    <xf numFmtId="0" fontId="36" fillId="0" borderId="71" applyNumberFormat="0" applyFill="0" applyAlignment="0" applyProtection="0"/>
    <xf numFmtId="0" fontId="64" fillId="57" borderId="75" applyNumberFormat="0" applyAlignment="0" applyProtection="0"/>
    <xf numFmtId="174" fontId="36" fillId="61" borderId="71" applyNumberFormat="0" applyFont="0" applyBorder="0" applyAlignment="0" applyProtection="0">
      <alignment horizontal="right" vertical="center"/>
    </xf>
    <xf numFmtId="0" fontId="36" fillId="34" borderId="71"/>
    <xf numFmtId="4" fontId="36" fillId="34" borderId="71"/>
    <xf numFmtId="0" fontId="67" fillId="0" borderId="77" applyNumberFormat="0" applyFill="0" applyAlignment="0" applyProtection="0"/>
    <xf numFmtId="0" fontId="5" fillId="60" borderId="70" applyNumberFormat="0" applyFont="0" applyAlignment="0" applyProtection="0"/>
    <xf numFmtId="0" fontId="42" fillId="60" borderId="70" applyNumberFormat="0" applyFont="0" applyAlignment="0" applyProtection="0"/>
    <xf numFmtId="0" fontId="36" fillId="0" borderId="71" applyNumberFormat="0" applyFill="0" applyAlignment="0" applyProtection="0"/>
    <xf numFmtId="0" fontId="52" fillId="0" borderId="77" applyNumberFormat="0" applyFill="0" applyAlignment="0" applyProtection="0"/>
    <xf numFmtId="0" fontId="67" fillId="0" borderId="77" applyNumberFormat="0" applyFill="0" applyAlignment="0" applyProtection="0"/>
    <xf numFmtId="0" fontId="51" fillId="44" borderId="76" applyNumberFormat="0" applyAlignment="0" applyProtection="0"/>
    <xf numFmtId="0" fontId="48" fillId="57" borderId="76" applyNumberFormat="0" applyAlignment="0" applyProtection="0"/>
    <xf numFmtId="4" fontId="38" fillId="33" borderId="71">
      <alignment horizontal="right" vertical="center"/>
    </xf>
    <xf numFmtId="0" fontId="34" fillId="33" borderId="71">
      <alignment horizontal="right" vertical="center"/>
    </xf>
    <xf numFmtId="174" fontId="36" fillId="61" borderId="71" applyNumberFormat="0" applyFont="0" applyBorder="0" applyAlignment="0" applyProtection="0">
      <alignment horizontal="right" vertical="center"/>
    </xf>
    <xf numFmtId="0" fontId="52" fillId="0" borderId="77" applyNumberFormat="0" applyFill="0" applyAlignment="0" applyProtection="0"/>
    <xf numFmtId="49" fontId="36" fillId="0" borderId="71" applyNumberFormat="0" applyFont="0" applyFill="0" applyBorder="0" applyProtection="0">
      <alignment horizontal="left" vertical="center" indent="2"/>
    </xf>
    <xf numFmtId="49" fontId="36" fillId="0" borderId="72" applyNumberFormat="0" applyFont="0" applyFill="0" applyBorder="0" applyProtection="0">
      <alignment horizontal="left" vertical="center" indent="5"/>
    </xf>
    <xf numFmtId="49" fontId="36" fillId="0" borderId="71" applyNumberFormat="0" applyFont="0" applyFill="0" applyBorder="0" applyProtection="0">
      <alignment horizontal="left" vertical="center" indent="2"/>
    </xf>
    <xf numFmtId="4" fontId="36" fillId="0" borderId="71" applyFill="0" applyBorder="0" applyProtection="0">
      <alignment horizontal="right" vertical="center"/>
    </xf>
    <xf numFmtId="49" fontId="35" fillId="0" borderId="71" applyNumberFormat="0" applyFill="0" applyBorder="0" applyProtection="0">
      <alignment horizontal="left" vertical="center"/>
    </xf>
    <xf numFmtId="0" fontId="36" fillId="0" borderId="74">
      <alignment horizontal="left" vertical="center" wrapText="1" indent="2"/>
    </xf>
    <xf numFmtId="0" fontId="64" fillId="57" borderId="75" applyNumberFormat="0" applyAlignment="0" applyProtection="0"/>
    <xf numFmtId="0" fontId="34" fillId="35" borderId="73">
      <alignment horizontal="right" vertical="center"/>
    </xf>
    <xf numFmtId="0" fontId="51" fillId="44" borderId="76" applyNumberFormat="0" applyAlignment="0" applyProtection="0"/>
    <xf numFmtId="0" fontId="34" fillId="35" borderId="73">
      <alignment horizontal="right" vertical="center"/>
    </xf>
    <xf numFmtId="4" fontId="34" fillId="35" borderId="71">
      <alignment horizontal="right" vertical="center"/>
    </xf>
    <xf numFmtId="0" fontId="34" fillId="35" borderId="71">
      <alignment horizontal="right" vertical="center"/>
    </xf>
    <xf numFmtId="0" fontId="45" fillId="57" borderId="75" applyNumberFormat="0" applyAlignment="0" applyProtection="0"/>
    <xf numFmtId="0" fontId="47" fillId="57" borderId="76" applyNumberFormat="0" applyAlignment="0" applyProtection="0"/>
    <xf numFmtId="0" fontId="52" fillId="0" borderId="77" applyNumberFormat="0" applyFill="0" applyAlignment="0" applyProtection="0"/>
    <xf numFmtId="0" fontId="36" fillId="34" borderId="71"/>
    <xf numFmtId="4" fontId="36" fillId="34" borderId="71"/>
    <xf numFmtId="4" fontId="34" fillId="35" borderId="71">
      <alignment horizontal="right" vertical="center"/>
    </xf>
    <xf numFmtId="0" fontId="38" fillId="33" borderId="71">
      <alignment horizontal="right" vertical="center"/>
    </xf>
    <xf numFmtId="0" fontId="51" fillId="44" borderId="76" applyNumberFormat="0" applyAlignment="0" applyProtection="0"/>
    <xf numFmtId="0" fontId="48" fillId="57" borderId="76" applyNumberFormat="0" applyAlignment="0" applyProtection="0"/>
    <xf numFmtId="4" fontId="36" fillId="0" borderId="71">
      <alignment horizontal="right" vertical="center"/>
    </xf>
    <xf numFmtId="0" fontId="36" fillId="35" borderId="74">
      <alignment horizontal="left" vertical="center" wrapText="1" indent="2"/>
    </xf>
    <xf numFmtId="0" fontId="36" fillId="0" borderId="74">
      <alignment horizontal="left" vertical="center" wrapText="1" indent="2"/>
    </xf>
    <xf numFmtId="0" fontId="64" fillId="57" borderId="75" applyNumberFormat="0" applyAlignment="0" applyProtection="0"/>
    <xf numFmtId="0" fontId="60" fillId="44" borderId="76" applyNumberFormat="0" applyAlignment="0" applyProtection="0"/>
    <xf numFmtId="0" fontId="47" fillId="57" borderId="76" applyNumberFormat="0" applyAlignment="0" applyProtection="0"/>
    <xf numFmtId="0" fontId="45" fillId="57" borderId="75" applyNumberFormat="0" applyAlignment="0" applyProtection="0"/>
    <xf numFmtId="0" fontId="34" fillId="35" borderId="73">
      <alignment horizontal="right" vertical="center"/>
    </xf>
    <xf numFmtId="0" fontId="38" fillId="33" borderId="71">
      <alignment horizontal="right" vertical="center"/>
    </xf>
    <xf numFmtId="4" fontId="34" fillId="33" borderId="71">
      <alignment horizontal="right" vertical="center"/>
    </xf>
    <xf numFmtId="4" fontId="34" fillId="35" borderId="71">
      <alignment horizontal="right" vertical="center"/>
    </xf>
    <xf numFmtId="49" fontId="36" fillId="0" borderId="72" applyNumberFormat="0" applyFont="0" applyFill="0" applyBorder="0" applyProtection="0">
      <alignment horizontal="left" vertical="center" indent="5"/>
    </xf>
    <xf numFmtId="4" fontId="36" fillId="0" borderId="71" applyFill="0" applyBorder="0" applyProtection="0">
      <alignment horizontal="right" vertical="center"/>
    </xf>
    <xf numFmtId="4" fontId="34" fillId="33" borderId="71">
      <alignment horizontal="right" vertical="center"/>
    </xf>
    <xf numFmtId="0" fontId="60" fillId="44" borderId="76" applyNumberFormat="0" applyAlignment="0" applyProtection="0"/>
    <xf numFmtId="0" fontId="51" fillId="44" borderId="76" applyNumberFormat="0" applyAlignment="0" applyProtection="0"/>
    <xf numFmtId="0" fontId="47" fillId="57" borderId="76" applyNumberFormat="0" applyAlignment="0" applyProtection="0"/>
    <xf numFmtId="0" fontId="36" fillId="35" borderId="74">
      <alignment horizontal="left" vertical="center" wrapText="1" indent="2"/>
    </xf>
    <xf numFmtId="0" fontId="36" fillId="0" borderId="74">
      <alignment horizontal="left" vertical="center" wrapText="1" indent="2"/>
    </xf>
    <xf numFmtId="0" fontId="36" fillId="35" borderId="74">
      <alignment horizontal="left" vertical="center" wrapText="1" indent="2"/>
    </xf>
    <xf numFmtId="0" fontId="45" fillId="57" borderId="86" applyNumberFormat="0" applyAlignment="0" applyProtection="0"/>
    <xf numFmtId="0" fontId="36" fillId="0" borderId="106">
      <alignment horizontal="right" vertical="center"/>
    </xf>
    <xf numFmtId="4" fontId="34" fillId="35" borderId="106">
      <alignment horizontal="right" vertical="center"/>
    </xf>
    <xf numFmtId="4" fontId="34" fillId="35" borderId="106">
      <alignment horizontal="right" vertical="center"/>
    </xf>
    <xf numFmtId="0" fontId="60" fillId="44" borderId="95" applyNumberFormat="0" applyAlignment="0" applyProtection="0"/>
    <xf numFmtId="0" fontId="60" fillId="44" borderId="87" applyNumberFormat="0" applyAlignment="0" applyProtection="0"/>
    <xf numFmtId="4" fontId="36" fillId="0" borderId="98">
      <alignment horizontal="right" vertical="center"/>
    </xf>
    <xf numFmtId="0" fontId="34" fillId="35" borderId="98">
      <alignment horizontal="right" vertical="center"/>
    </xf>
    <xf numFmtId="0" fontId="47" fillId="57" borderId="103" applyNumberFormat="0" applyAlignment="0" applyProtection="0"/>
    <xf numFmtId="0" fontId="28" fillId="18" borderId="0" applyNumberFormat="0" applyBorder="0" applyAlignment="0" applyProtection="0"/>
    <xf numFmtId="4" fontId="38" fillId="33" borderId="98">
      <alignment horizontal="right" vertical="center"/>
    </xf>
    <xf numFmtId="0" fontId="48" fillId="57" borderId="87" applyNumberFormat="0" applyAlignment="0" applyProtection="0"/>
    <xf numFmtId="0" fontId="48" fillId="57" borderId="95" applyNumberFormat="0" applyAlignment="0" applyProtection="0"/>
    <xf numFmtId="0" fontId="36" fillId="0" borderId="109">
      <alignment horizontal="left" vertical="center" wrapText="1" indent="2"/>
    </xf>
    <xf numFmtId="0" fontId="36" fillId="0" borderId="98">
      <alignment horizontal="right" vertical="center"/>
    </xf>
    <xf numFmtId="4" fontId="34" fillId="35" borderId="106">
      <alignment horizontal="right" vertical="center"/>
    </xf>
    <xf numFmtId="0" fontId="28" fillId="30" borderId="0" applyNumberFormat="0" applyBorder="0" applyAlignment="0" applyProtection="0"/>
    <xf numFmtId="0" fontId="13" fillId="26" borderId="0" applyNumberFormat="0" applyBorder="0" applyAlignment="0" applyProtection="0"/>
    <xf numFmtId="174" fontId="36" fillId="61" borderId="106" applyNumberFormat="0" applyFont="0" applyBorder="0" applyAlignment="0" applyProtection="0">
      <alignment horizontal="right" vertical="center"/>
    </xf>
    <xf numFmtId="0" fontId="36" fillId="0" borderId="106" applyNumberFormat="0" applyFill="0" applyAlignment="0" applyProtection="0"/>
    <xf numFmtId="49" fontId="36" fillId="0" borderId="99" applyNumberFormat="0" applyFont="0" applyFill="0" applyBorder="0" applyProtection="0">
      <alignment horizontal="left" vertical="center" indent="5"/>
    </xf>
    <xf numFmtId="0" fontId="28" fillId="15" borderId="0" applyNumberFormat="0" applyBorder="0" applyAlignment="0" applyProtection="0"/>
    <xf numFmtId="0" fontId="64" fillId="57" borderId="102" applyNumberFormat="0" applyAlignment="0" applyProtection="0"/>
    <xf numFmtId="0" fontId="48" fillId="57" borderId="103" applyNumberFormat="0" applyAlignment="0" applyProtection="0"/>
    <xf numFmtId="0" fontId="36" fillId="34" borderId="106"/>
    <xf numFmtId="0" fontId="36" fillId="0" borderId="82" applyNumberFormat="0" applyFill="0" applyAlignment="0" applyProtection="0"/>
    <xf numFmtId="0" fontId="34" fillId="35" borderId="83">
      <alignment horizontal="right" vertical="center"/>
    </xf>
    <xf numFmtId="0" fontId="36" fillId="0" borderId="82">
      <alignment horizontal="right" vertical="center"/>
    </xf>
    <xf numFmtId="0" fontId="38" fillId="33" borderId="82">
      <alignment horizontal="right" vertical="center"/>
    </xf>
    <xf numFmtId="0" fontId="36" fillId="0" borderId="85">
      <alignment horizontal="left" vertical="center" wrapText="1" indent="2"/>
    </xf>
    <xf numFmtId="0" fontId="34" fillId="35" borderId="82">
      <alignment horizontal="right" vertical="center"/>
    </xf>
    <xf numFmtId="0" fontId="13" fillId="29" borderId="0" applyNumberFormat="0" applyBorder="0" applyAlignment="0" applyProtection="0"/>
    <xf numFmtId="0" fontId="28" fillId="27" borderId="0" applyNumberFormat="0" applyBorder="0" applyAlignment="0" applyProtection="0"/>
    <xf numFmtId="0" fontId="34" fillId="35" borderId="106">
      <alignment horizontal="right" vertical="center"/>
    </xf>
    <xf numFmtId="0" fontId="28" fillId="24" borderId="0" applyNumberFormat="0" applyBorder="0" applyAlignment="0" applyProtection="0"/>
    <xf numFmtId="0" fontId="28" fillId="22" borderId="0" applyNumberFormat="0" applyBorder="0" applyAlignment="0" applyProtection="0"/>
    <xf numFmtId="0" fontId="28" fillId="16" borderId="0" applyNumberFormat="0" applyBorder="0" applyAlignment="0" applyProtection="0"/>
    <xf numFmtId="4" fontId="34" fillId="35" borderId="91">
      <alignment horizontal="right" vertical="center"/>
    </xf>
    <xf numFmtId="4" fontId="34" fillId="35" borderId="90">
      <alignment horizontal="right" vertical="center"/>
    </xf>
    <xf numFmtId="4" fontId="34" fillId="35" borderId="82">
      <alignment horizontal="right" vertical="center"/>
    </xf>
    <xf numFmtId="0" fontId="36" fillId="34" borderId="82"/>
    <xf numFmtId="0" fontId="47" fillId="57" borderId="79" applyNumberFormat="0" applyAlignment="0" applyProtection="0"/>
    <xf numFmtId="0" fontId="34" fillId="33" borderId="82">
      <alignment horizontal="right" vertical="center"/>
    </xf>
    <xf numFmtId="0" fontId="36" fillId="0" borderId="82">
      <alignment horizontal="right" vertical="center"/>
    </xf>
    <xf numFmtId="0" fontId="67" fillId="0" borderId="80" applyNumberFormat="0" applyFill="0" applyAlignment="0" applyProtection="0"/>
    <xf numFmtId="0" fontId="36" fillId="33" borderId="83">
      <alignment horizontal="left" vertical="center"/>
    </xf>
    <xf numFmtId="0" fontId="60" fillId="44" borderId="79" applyNumberFormat="0" applyAlignment="0" applyProtection="0"/>
    <xf numFmtId="174" fontId="36" fillId="61" borderId="82" applyNumberFormat="0" applyFont="0" applyBorder="0" applyAlignment="0" applyProtection="0">
      <alignment horizontal="right" vertical="center"/>
    </xf>
    <xf numFmtId="0" fontId="42" fillId="60" borderId="81" applyNumberFormat="0" applyFont="0" applyAlignment="0" applyProtection="0"/>
    <xf numFmtId="0" fontId="36" fillId="0" borderId="85">
      <alignment horizontal="left" vertical="center" wrapText="1" indent="2"/>
    </xf>
    <xf numFmtId="4" fontId="36" fillId="34" borderId="82"/>
    <xf numFmtId="49" fontId="35" fillId="0" borderId="82" applyNumberFormat="0" applyFill="0" applyBorder="0" applyProtection="0">
      <alignment horizontal="left" vertical="center"/>
    </xf>
    <xf numFmtId="0" fontId="36" fillId="0" borderId="82">
      <alignment horizontal="right" vertical="center"/>
    </xf>
    <xf numFmtId="4" fontId="34" fillId="35" borderId="84">
      <alignment horizontal="right" vertical="center"/>
    </xf>
    <xf numFmtId="4" fontId="34" fillId="35" borderId="82">
      <alignment horizontal="right" vertical="center"/>
    </xf>
    <xf numFmtId="4" fontId="34" fillId="35" borderId="82">
      <alignment horizontal="right" vertical="center"/>
    </xf>
    <xf numFmtId="0" fontId="38" fillId="33" borderId="82">
      <alignment horizontal="right" vertical="center"/>
    </xf>
    <xf numFmtId="0" fontId="34" fillId="33" borderId="82">
      <alignment horizontal="right" vertical="center"/>
    </xf>
    <xf numFmtId="49" fontId="36" fillId="0" borderId="82" applyNumberFormat="0" applyFont="0" applyFill="0" applyBorder="0" applyProtection="0">
      <alignment horizontal="left" vertical="center" indent="2"/>
    </xf>
    <xf numFmtId="0" fontId="60" fillId="44" borderId="79" applyNumberFormat="0" applyAlignment="0" applyProtection="0"/>
    <xf numFmtId="0" fontId="45" fillId="57" borderId="78" applyNumberFormat="0" applyAlignment="0" applyProtection="0"/>
    <xf numFmtId="49" fontId="36" fillId="0" borderId="82" applyNumberFormat="0" applyFont="0" applyFill="0" applyBorder="0" applyProtection="0">
      <alignment horizontal="left" vertical="center" indent="2"/>
    </xf>
    <xf numFmtId="0" fontId="51" fillId="44" borderId="79" applyNumberFormat="0" applyAlignment="0" applyProtection="0"/>
    <xf numFmtId="4" fontId="36" fillId="0" borderId="82" applyFill="0" applyBorder="0" applyProtection="0">
      <alignment horizontal="right" vertical="center"/>
    </xf>
    <xf numFmtId="0" fontId="48" fillId="57" borderId="79" applyNumberFormat="0" applyAlignment="0" applyProtection="0"/>
    <xf numFmtId="0" fontId="67" fillId="0" borderId="80" applyNumberFormat="0" applyFill="0" applyAlignment="0" applyProtection="0"/>
    <xf numFmtId="0" fontId="64" fillId="57" borderId="78" applyNumberFormat="0" applyAlignment="0" applyProtection="0"/>
    <xf numFmtId="0" fontId="36" fillId="0" borderId="82" applyNumberFormat="0" applyFill="0" applyAlignment="0" applyProtection="0"/>
    <xf numFmtId="4" fontId="36" fillId="0" borderId="82">
      <alignment horizontal="right" vertical="center"/>
    </xf>
    <xf numFmtId="0" fontId="36" fillId="0" borderId="82">
      <alignment horizontal="right" vertical="center"/>
    </xf>
    <xf numFmtId="0" fontId="60" fillId="44" borderId="79" applyNumberFormat="0" applyAlignment="0" applyProtection="0"/>
    <xf numFmtId="0" fontId="45" fillId="57" borderId="78" applyNumberFormat="0" applyAlignment="0" applyProtection="0"/>
    <xf numFmtId="0" fontId="47" fillId="57" borderId="79" applyNumberFormat="0" applyAlignment="0" applyProtection="0"/>
    <xf numFmtId="0" fontId="36" fillId="35" borderId="85">
      <alignment horizontal="left" vertical="center" wrapText="1" indent="2"/>
    </xf>
    <xf numFmtId="0" fontId="48" fillId="57" borderId="79" applyNumberFormat="0" applyAlignment="0" applyProtection="0"/>
    <xf numFmtId="0" fontId="48" fillId="57" borderId="79" applyNumberFormat="0" applyAlignment="0" applyProtection="0"/>
    <xf numFmtId="4" fontId="34" fillId="35" borderId="83">
      <alignment horizontal="right" vertical="center"/>
    </xf>
    <xf numFmtId="0" fontId="34" fillId="35" borderId="83">
      <alignment horizontal="right" vertical="center"/>
    </xf>
    <xf numFmtId="0" fontId="34" fillId="35" borderId="82">
      <alignment horizontal="right" vertical="center"/>
    </xf>
    <xf numFmtId="4" fontId="38" fillId="33" borderId="82">
      <alignment horizontal="right" vertical="center"/>
    </xf>
    <xf numFmtId="0" fontId="51" fillId="44" borderId="79" applyNumberFormat="0" applyAlignment="0" applyProtection="0"/>
    <xf numFmtId="0" fontId="52" fillId="0" borderId="80" applyNumberFormat="0" applyFill="0" applyAlignment="0" applyProtection="0"/>
    <xf numFmtId="0" fontId="67" fillId="0" borderId="80" applyNumberFormat="0" applyFill="0" applyAlignment="0" applyProtection="0"/>
    <xf numFmtId="0" fontId="42" fillId="60" borderId="81" applyNumberFormat="0" applyFont="0" applyAlignment="0" applyProtection="0"/>
    <xf numFmtId="0" fontId="60" fillId="44" borderId="79" applyNumberFormat="0" applyAlignment="0" applyProtection="0"/>
    <xf numFmtId="49" fontId="35" fillId="0" borderId="82" applyNumberFormat="0" applyFill="0" applyBorder="0" applyProtection="0">
      <alignment horizontal="left" vertical="center"/>
    </xf>
    <xf numFmtId="0" fontId="36" fillId="35" borderId="85">
      <alignment horizontal="left" vertical="center" wrapText="1" indent="2"/>
    </xf>
    <xf numFmtId="0" fontId="48" fillId="57" borderId="79" applyNumberFormat="0" applyAlignment="0" applyProtection="0"/>
    <xf numFmtId="0" fontId="36" fillId="0" borderId="85">
      <alignment horizontal="left" vertical="center" wrapText="1" indent="2"/>
    </xf>
    <xf numFmtId="0" fontId="42" fillId="60" borderId="81" applyNumberFormat="0" applyFont="0" applyAlignment="0" applyProtection="0"/>
    <xf numFmtId="0" fontId="5" fillId="60" borderId="81" applyNumberFormat="0" applyFont="0" applyAlignment="0" applyProtection="0"/>
    <xf numFmtId="0" fontId="64" fillId="57" borderId="78" applyNumberFormat="0" applyAlignment="0" applyProtection="0"/>
    <xf numFmtId="0" fontId="67" fillId="0" borderId="80" applyNumberFormat="0" applyFill="0" applyAlignment="0" applyProtection="0"/>
    <xf numFmtId="4" fontId="36" fillId="34" borderId="82"/>
    <xf numFmtId="0" fontId="34" fillId="35" borderId="82">
      <alignment horizontal="right" vertical="center"/>
    </xf>
    <xf numFmtId="0" fontId="67" fillId="0" borderId="80" applyNumberFormat="0" applyFill="0" applyAlignment="0" applyProtection="0"/>
    <xf numFmtId="4" fontId="34" fillId="35" borderId="84">
      <alignment horizontal="right" vertical="center"/>
    </xf>
    <xf numFmtId="0" fontId="47" fillId="57" borderId="79" applyNumberFormat="0" applyAlignment="0" applyProtection="0"/>
    <xf numFmtId="0" fontId="34" fillId="35" borderId="83">
      <alignment horizontal="right" vertical="center"/>
    </xf>
    <xf numFmtId="0" fontId="48" fillId="57" borderId="79" applyNumberFormat="0" applyAlignment="0" applyProtection="0"/>
    <xf numFmtId="0" fontId="52" fillId="0" borderId="80" applyNumberFormat="0" applyFill="0" applyAlignment="0" applyProtection="0"/>
    <xf numFmtId="0" fontId="42" fillId="60" borderId="81" applyNumberFormat="0" applyFont="0" applyAlignment="0" applyProtection="0"/>
    <xf numFmtId="4" fontId="34" fillId="35" borderId="83">
      <alignment horizontal="right" vertical="center"/>
    </xf>
    <xf numFmtId="0" fontId="36" fillId="35" borderId="85">
      <alignment horizontal="left" vertical="center" wrapText="1" indent="2"/>
    </xf>
    <xf numFmtId="0" fontId="36" fillId="34" borderId="82"/>
    <xf numFmtId="174" fontId="36" fillId="61" borderId="82" applyNumberFormat="0" applyFont="0" applyBorder="0" applyAlignment="0" applyProtection="0">
      <alignment horizontal="right" vertical="center"/>
    </xf>
    <xf numFmtId="0" fontId="36" fillId="0" borderId="82" applyNumberFormat="0" applyFill="0" applyAlignment="0" applyProtection="0"/>
    <xf numFmtId="4" fontId="36" fillId="0" borderId="82" applyFill="0" applyBorder="0" applyProtection="0">
      <alignment horizontal="right" vertical="center"/>
    </xf>
    <xf numFmtId="4" fontId="34" fillId="33" borderId="82">
      <alignment horizontal="right" vertical="center"/>
    </xf>
    <xf numFmtId="0" fontId="52" fillId="0" borderId="80" applyNumberFormat="0" applyFill="0" applyAlignment="0" applyProtection="0"/>
    <xf numFmtId="49" fontId="35" fillId="0" borderId="82" applyNumberFormat="0" applyFill="0" applyBorder="0" applyProtection="0">
      <alignment horizontal="left" vertical="center"/>
    </xf>
    <xf numFmtId="49" fontId="36" fillId="0" borderId="83" applyNumberFormat="0" applyFont="0" applyFill="0" applyBorder="0" applyProtection="0">
      <alignment horizontal="left" vertical="center" indent="5"/>
    </xf>
    <xf numFmtId="0" fontId="36" fillId="33" borderId="83">
      <alignment horizontal="left" vertical="center"/>
    </xf>
    <xf numFmtId="0" fontId="48" fillId="57" borderId="79" applyNumberFormat="0" applyAlignment="0" applyProtection="0"/>
    <xf numFmtId="4" fontId="34" fillId="35" borderId="84">
      <alignment horizontal="right" vertical="center"/>
    </xf>
    <xf numFmtId="0" fontId="60" fillId="44" borderId="79" applyNumberFormat="0" applyAlignment="0" applyProtection="0"/>
    <xf numFmtId="0" fontId="60" fillId="44" borderId="79" applyNumberFormat="0" applyAlignment="0" applyProtection="0"/>
    <xf numFmtId="0" fontId="42" fillId="60" borderId="81" applyNumberFormat="0" applyFont="0" applyAlignment="0" applyProtection="0"/>
    <xf numFmtId="0" fontId="64" fillId="57" borderId="78" applyNumberFormat="0" applyAlignment="0" applyProtection="0"/>
    <xf numFmtId="0" fontId="67" fillId="0" borderId="80" applyNumberFormat="0" applyFill="0" applyAlignment="0" applyProtection="0"/>
    <xf numFmtId="0" fontId="34" fillId="35" borderId="82">
      <alignment horizontal="right" vertical="center"/>
    </xf>
    <xf numFmtId="0" fontId="5" fillId="60" borderId="81" applyNumberFormat="0" applyFont="0" applyAlignment="0" applyProtection="0"/>
    <xf numFmtId="4" fontId="36" fillId="0" borderId="82">
      <alignment horizontal="right" vertical="center"/>
    </xf>
    <xf numFmtId="0" fontId="67" fillId="0" borderId="80" applyNumberFormat="0" applyFill="0" applyAlignment="0" applyProtection="0"/>
    <xf numFmtId="0" fontId="34" fillId="35" borderId="82">
      <alignment horizontal="right" vertical="center"/>
    </xf>
    <xf numFmtId="0" fontId="34" fillId="35" borderId="82">
      <alignment horizontal="right" vertical="center"/>
    </xf>
    <xf numFmtId="4" fontId="38" fillId="33" borderId="82">
      <alignment horizontal="right" vertical="center"/>
    </xf>
    <xf numFmtId="0" fontId="34" fillId="33" borderId="82">
      <alignment horizontal="right" vertical="center"/>
    </xf>
    <xf numFmtId="4" fontId="34" fillId="33" borderId="82">
      <alignment horizontal="right" vertical="center"/>
    </xf>
    <xf numFmtId="0" fontId="38" fillId="33" borderId="82">
      <alignment horizontal="right" vertical="center"/>
    </xf>
    <xf numFmtId="4" fontId="38" fillId="33" borderId="82">
      <alignment horizontal="right" vertical="center"/>
    </xf>
    <xf numFmtId="0" fontId="34" fillId="35" borderId="82">
      <alignment horizontal="right" vertical="center"/>
    </xf>
    <xf numFmtId="4" fontId="34" fillId="35" borderId="82">
      <alignment horizontal="right" vertical="center"/>
    </xf>
    <xf numFmtId="0" fontId="34" fillId="35" borderId="82">
      <alignment horizontal="right" vertical="center"/>
    </xf>
    <xf numFmtId="4" fontId="34" fillId="35" borderId="82">
      <alignment horizontal="right" vertical="center"/>
    </xf>
    <xf numFmtId="0" fontId="34" fillId="35" borderId="83">
      <alignment horizontal="right" vertical="center"/>
    </xf>
    <xf numFmtId="4" fontId="34" fillId="35" borderId="83">
      <alignment horizontal="right" vertical="center"/>
    </xf>
    <xf numFmtId="0" fontId="34" fillId="35" borderId="84">
      <alignment horizontal="right" vertical="center"/>
    </xf>
    <xf numFmtId="4" fontId="34" fillId="35" borderId="84">
      <alignment horizontal="right" vertical="center"/>
    </xf>
    <xf numFmtId="0" fontId="48" fillId="57" borderId="79" applyNumberFormat="0" applyAlignment="0" applyProtection="0"/>
    <xf numFmtId="0" fontId="36" fillId="35" borderId="85">
      <alignment horizontal="left" vertical="center" wrapText="1" indent="2"/>
    </xf>
    <xf numFmtId="0" fontId="36" fillId="0" borderId="85">
      <alignment horizontal="left" vertical="center" wrapText="1" indent="2"/>
    </xf>
    <xf numFmtId="0" fontId="36" fillId="33" borderId="83">
      <alignment horizontal="left" vertical="center"/>
    </xf>
    <xf numFmtId="0" fontId="60" fillId="44" borderId="79" applyNumberFormat="0" applyAlignment="0" applyProtection="0"/>
    <xf numFmtId="0" fontId="36" fillId="0" borderId="82">
      <alignment horizontal="right" vertical="center"/>
    </xf>
    <xf numFmtId="4" fontId="36" fillId="0" borderId="82">
      <alignment horizontal="right" vertical="center"/>
    </xf>
    <xf numFmtId="0" fontId="36" fillId="0" borderId="82" applyNumberFormat="0" applyFill="0" applyAlignment="0" applyProtection="0"/>
    <xf numFmtId="0" fontId="64" fillId="57" borderId="78" applyNumberFormat="0" applyAlignment="0" applyProtection="0"/>
    <xf numFmtId="174" fontId="36" fillId="61" borderId="82" applyNumberFormat="0" applyFont="0" applyBorder="0" applyAlignment="0" applyProtection="0">
      <alignment horizontal="right" vertical="center"/>
    </xf>
    <xf numFmtId="0" fontId="36" fillId="34" borderId="82"/>
    <xf numFmtId="4" fontId="36" fillId="34" borderId="82"/>
    <xf numFmtId="0" fontId="67" fillId="0" borderId="80" applyNumberFormat="0" applyFill="0" applyAlignment="0" applyProtection="0"/>
    <xf numFmtId="0" fontId="5" fillId="60" borderId="81" applyNumberFormat="0" applyFont="0" applyAlignment="0" applyProtection="0"/>
    <xf numFmtId="0" fontId="42" fillId="60" borderId="81" applyNumberFormat="0" applyFont="0" applyAlignment="0" applyProtection="0"/>
    <xf numFmtId="0" fontId="36" fillId="0" borderId="82" applyNumberFormat="0" applyFill="0" applyAlignment="0" applyProtection="0"/>
    <xf numFmtId="0" fontId="52" fillId="0" borderId="80" applyNumberFormat="0" applyFill="0" applyAlignment="0" applyProtection="0"/>
    <xf numFmtId="0" fontId="67" fillId="0" borderId="80" applyNumberFormat="0" applyFill="0" applyAlignment="0" applyProtection="0"/>
    <xf numFmtId="0" fontId="51" fillId="44" borderId="79" applyNumberFormat="0" applyAlignment="0" applyProtection="0"/>
    <xf numFmtId="0" fontId="48" fillId="57" borderId="79" applyNumberFormat="0" applyAlignment="0" applyProtection="0"/>
    <xf numFmtId="4" fontId="38" fillId="33" borderId="82">
      <alignment horizontal="right" vertical="center"/>
    </xf>
    <xf numFmtId="0" fontId="34" fillId="33" borderId="82">
      <alignment horizontal="right" vertical="center"/>
    </xf>
    <xf numFmtId="174" fontId="36" fillId="61" borderId="82" applyNumberFormat="0" applyFont="0" applyBorder="0" applyAlignment="0" applyProtection="0">
      <alignment horizontal="right" vertical="center"/>
    </xf>
    <xf numFmtId="0" fontId="52" fillId="0" borderId="80" applyNumberFormat="0" applyFill="0" applyAlignment="0" applyProtection="0"/>
    <xf numFmtId="49" fontId="36" fillId="0" borderId="82" applyNumberFormat="0" applyFont="0" applyFill="0" applyBorder="0" applyProtection="0">
      <alignment horizontal="left" vertical="center" indent="2"/>
    </xf>
    <xf numFmtId="49" fontId="36" fillId="0" borderId="83" applyNumberFormat="0" applyFont="0" applyFill="0" applyBorder="0" applyProtection="0">
      <alignment horizontal="left" vertical="center" indent="5"/>
    </xf>
    <xf numFmtId="49" fontId="36" fillId="0" borderId="82" applyNumberFormat="0" applyFont="0" applyFill="0" applyBorder="0" applyProtection="0">
      <alignment horizontal="left" vertical="center" indent="2"/>
    </xf>
    <xf numFmtId="4" fontId="36" fillId="0" borderId="82" applyFill="0" applyBorder="0" applyProtection="0">
      <alignment horizontal="right" vertical="center"/>
    </xf>
    <xf numFmtId="49" fontId="35" fillId="0" borderId="82" applyNumberFormat="0" applyFill="0" applyBorder="0" applyProtection="0">
      <alignment horizontal="left" vertical="center"/>
    </xf>
    <xf numFmtId="0" fontId="36" fillId="0" borderId="85">
      <alignment horizontal="left" vertical="center" wrapText="1" indent="2"/>
    </xf>
    <xf numFmtId="0" fontId="64" fillId="57" borderId="78" applyNumberFormat="0" applyAlignment="0" applyProtection="0"/>
    <xf numFmtId="0" fontId="34" fillId="35" borderId="84">
      <alignment horizontal="right" vertical="center"/>
    </xf>
    <xf numFmtId="0" fontId="51" fillId="44" borderId="79" applyNumberFormat="0" applyAlignment="0" applyProtection="0"/>
    <xf numFmtId="0" fontId="34" fillId="35" borderId="84">
      <alignment horizontal="right" vertical="center"/>
    </xf>
    <xf numFmtId="4" fontId="34" fillId="35" borderId="82">
      <alignment horizontal="right" vertical="center"/>
    </xf>
    <xf numFmtId="0" fontId="34" fillId="35" borderId="82">
      <alignment horizontal="right" vertical="center"/>
    </xf>
    <xf numFmtId="0" fontId="45" fillId="57" borderId="78" applyNumberFormat="0" applyAlignment="0" applyProtection="0"/>
    <xf numFmtId="0" fontId="47" fillId="57" borderId="79" applyNumberFormat="0" applyAlignment="0" applyProtection="0"/>
    <xf numFmtId="0" fontId="52" fillId="0" borderId="80" applyNumberFormat="0" applyFill="0" applyAlignment="0" applyProtection="0"/>
    <xf numFmtId="0" fontId="36" fillId="34" borderId="82"/>
    <xf numFmtId="4" fontId="36" fillId="34" borderId="82"/>
    <xf numFmtId="4" fontId="34" fillId="35" borderId="82">
      <alignment horizontal="right" vertical="center"/>
    </xf>
    <xf numFmtId="0" fontId="38" fillId="33" borderId="82">
      <alignment horizontal="right" vertical="center"/>
    </xf>
    <xf numFmtId="0" fontId="51" fillId="44" borderId="79" applyNumberFormat="0" applyAlignment="0" applyProtection="0"/>
    <xf numFmtId="0" fontId="48" fillId="57" borderId="79" applyNumberFormat="0" applyAlignment="0" applyProtection="0"/>
    <xf numFmtId="4" fontId="36" fillId="0" borderId="82">
      <alignment horizontal="right" vertical="center"/>
    </xf>
    <xf numFmtId="0" fontId="36" fillId="35" borderId="85">
      <alignment horizontal="left" vertical="center" wrapText="1" indent="2"/>
    </xf>
    <xf numFmtId="0" fontId="36" fillId="0" borderId="85">
      <alignment horizontal="left" vertical="center" wrapText="1" indent="2"/>
    </xf>
    <xf numFmtId="0" fontId="64" fillId="57" borderId="78" applyNumberFormat="0" applyAlignment="0" applyProtection="0"/>
    <xf numFmtId="0" fontId="60" fillId="44" borderId="79" applyNumberFormat="0" applyAlignment="0" applyProtection="0"/>
    <xf numFmtId="0" fontId="47" fillId="57" borderId="79" applyNumberFormat="0" applyAlignment="0" applyProtection="0"/>
    <xf numFmtId="0" fontId="45" fillId="57" borderId="78" applyNumberFormat="0" applyAlignment="0" applyProtection="0"/>
    <xf numFmtId="0" fontId="34" fillId="35" borderId="84">
      <alignment horizontal="right" vertical="center"/>
    </xf>
    <xf numFmtId="0" fontId="38" fillId="33" borderId="82">
      <alignment horizontal="right" vertical="center"/>
    </xf>
    <xf numFmtId="4" fontId="34" fillId="33" borderId="82">
      <alignment horizontal="right" vertical="center"/>
    </xf>
    <xf numFmtId="4" fontId="34" fillId="35" borderId="82">
      <alignment horizontal="right" vertical="center"/>
    </xf>
    <xf numFmtId="49" fontId="36" fillId="0" borderId="83" applyNumberFormat="0" applyFont="0" applyFill="0" applyBorder="0" applyProtection="0">
      <alignment horizontal="left" vertical="center" indent="5"/>
    </xf>
    <xf numFmtId="4" fontId="36" fillId="0" borderId="82" applyFill="0" applyBorder="0" applyProtection="0">
      <alignment horizontal="right" vertical="center"/>
    </xf>
    <xf numFmtId="4" fontId="34" fillId="33" borderId="82">
      <alignment horizontal="right" vertical="center"/>
    </xf>
    <xf numFmtId="0" fontId="60" fillId="44" borderId="79" applyNumberFormat="0" applyAlignment="0" applyProtection="0"/>
    <xf numFmtId="0" fontId="51" fillId="44" borderId="79" applyNumberFormat="0" applyAlignment="0" applyProtection="0"/>
    <xf numFmtId="0" fontId="47" fillId="57" borderId="79" applyNumberFormat="0" applyAlignment="0" applyProtection="0"/>
    <xf numFmtId="0" fontId="36" fillId="35" borderId="85">
      <alignment horizontal="left" vertical="center" wrapText="1" indent="2"/>
    </xf>
    <xf numFmtId="0" fontId="36" fillId="0" borderId="85">
      <alignment horizontal="left" vertical="center" wrapText="1" indent="2"/>
    </xf>
    <xf numFmtId="0" fontId="36" fillId="35" borderId="85">
      <alignment horizontal="left" vertical="center" wrapText="1" indent="2"/>
    </xf>
    <xf numFmtId="0" fontId="36" fillId="0" borderId="85">
      <alignment horizontal="left" vertical="center" wrapText="1" indent="2"/>
    </xf>
    <xf numFmtId="0" fontId="45" fillId="57" borderId="78" applyNumberFormat="0" applyAlignment="0" applyProtection="0"/>
    <xf numFmtId="0" fontId="47" fillId="57" borderId="79" applyNumberFormat="0" applyAlignment="0" applyProtection="0"/>
    <xf numFmtId="0" fontId="48" fillId="57" borderId="79" applyNumberFormat="0" applyAlignment="0" applyProtection="0"/>
    <xf numFmtId="0" fontId="51" fillId="44" borderId="79" applyNumberFormat="0" applyAlignment="0" applyProtection="0"/>
    <xf numFmtId="0" fontId="52" fillId="0" borderId="80" applyNumberFormat="0" applyFill="0" applyAlignment="0" applyProtection="0"/>
    <xf numFmtId="0" fontId="60" fillId="44" borderId="79" applyNumberFormat="0" applyAlignment="0" applyProtection="0"/>
    <xf numFmtId="0" fontId="42" fillId="60" borderId="81" applyNumberFormat="0" applyFont="0" applyAlignment="0" applyProtection="0"/>
    <xf numFmtId="0" fontId="5" fillId="60" borderId="81" applyNumberFormat="0" applyFont="0" applyAlignment="0" applyProtection="0"/>
    <xf numFmtId="0" fontId="64" fillId="57" borderId="78" applyNumberFormat="0" applyAlignment="0" applyProtection="0"/>
    <xf numFmtId="0" fontId="67" fillId="0" borderId="80" applyNumberFormat="0" applyFill="0" applyAlignment="0" applyProtection="0"/>
    <xf numFmtId="0" fontId="48" fillId="57" borderId="79" applyNumberFormat="0" applyAlignment="0" applyProtection="0"/>
    <xf numFmtId="0" fontId="60" fillId="44" borderId="79" applyNumberFormat="0" applyAlignment="0" applyProtection="0"/>
    <xf numFmtId="0" fontId="42" fillId="60" borderId="81" applyNumberFormat="0" applyFont="0" applyAlignment="0" applyProtection="0"/>
    <xf numFmtId="0" fontId="64" fillId="57" borderId="78" applyNumberFormat="0" applyAlignment="0" applyProtection="0"/>
    <xf numFmtId="0" fontId="67" fillId="0" borderId="80" applyNumberFormat="0" applyFill="0" applyAlignment="0" applyProtection="0"/>
    <xf numFmtId="0" fontId="64" fillId="57" borderId="94" applyNumberFormat="0" applyAlignment="0" applyProtection="0"/>
    <xf numFmtId="0" fontId="5" fillId="60" borderId="105" applyNumberFormat="0" applyFont="0" applyAlignment="0" applyProtection="0"/>
    <xf numFmtId="0" fontId="31" fillId="14" borderId="12" applyNumberFormat="0" applyAlignment="0" applyProtection="0"/>
    <xf numFmtId="0" fontId="48" fillId="57" borderId="103" applyNumberFormat="0" applyAlignment="0" applyProtection="0"/>
    <xf numFmtId="0" fontId="48" fillId="57" borderId="79" applyNumberFormat="0" applyAlignment="0" applyProtection="0"/>
    <xf numFmtId="0" fontId="34" fillId="35" borderId="91">
      <alignment horizontal="right" vertical="center"/>
    </xf>
    <xf numFmtId="4" fontId="38" fillId="33" borderId="90">
      <alignment horizontal="right" vertical="center"/>
    </xf>
    <xf numFmtId="4" fontId="36" fillId="0" borderId="98" applyFill="0" applyBorder="0" applyProtection="0">
      <alignment horizontal="right" vertical="center"/>
    </xf>
    <xf numFmtId="0" fontId="60" fillId="44" borderId="79" applyNumberFormat="0" applyAlignment="0" applyProtection="0"/>
    <xf numFmtId="0" fontId="64" fillId="57" borderId="78" applyNumberFormat="0" applyAlignment="0" applyProtection="0"/>
    <xf numFmtId="0" fontId="67" fillId="0" borderId="80" applyNumberFormat="0" applyFill="0" applyAlignment="0" applyProtection="0"/>
    <xf numFmtId="0" fontId="36" fillId="0" borderId="106" applyNumberFormat="0" applyFill="0" applyAlignment="0" applyProtection="0"/>
    <xf numFmtId="0" fontId="45" fillId="57" borderId="78" applyNumberFormat="0" applyAlignment="0" applyProtection="0"/>
    <xf numFmtId="0" fontId="47" fillId="57" borderId="79" applyNumberFormat="0" applyAlignment="0" applyProtection="0"/>
    <xf numFmtId="0" fontId="52" fillId="0" borderId="80" applyNumberFormat="0" applyFill="0" applyAlignment="0" applyProtection="0"/>
    <xf numFmtId="49" fontId="36" fillId="0" borderId="82" applyNumberFormat="0" applyFont="0" applyFill="0" applyBorder="0" applyProtection="0">
      <alignment horizontal="left" vertical="center" indent="2"/>
    </xf>
    <xf numFmtId="0" fontId="34" fillId="33" borderId="82">
      <alignment horizontal="right" vertical="center"/>
    </xf>
    <xf numFmtId="4" fontId="34" fillId="33" borderId="82">
      <alignment horizontal="right" vertical="center"/>
    </xf>
    <xf numFmtId="0" fontId="38" fillId="33" borderId="82">
      <alignment horizontal="right" vertical="center"/>
    </xf>
    <xf numFmtId="4" fontId="38" fillId="33" borderId="82">
      <alignment horizontal="right" vertical="center"/>
    </xf>
    <xf numFmtId="0" fontId="34" fillId="35" borderId="82">
      <alignment horizontal="right" vertical="center"/>
    </xf>
    <xf numFmtId="4" fontId="34" fillId="35" borderId="82">
      <alignment horizontal="right" vertical="center"/>
    </xf>
    <xf numFmtId="0" fontId="34" fillId="35" borderId="82">
      <alignment horizontal="right" vertical="center"/>
    </xf>
    <xf numFmtId="4" fontId="34" fillId="35" borderId="82">
      <alignment horizontal="right" vertical="center"/>
    </xf>
    <xf numFmtId="0" fontId="51" fillId="44" borderId="79" applyNumberFormat="0" applyAlignment="0" applyProtection="0"/>
    <xf numFmtId="0" fontId="36" fillId="0" borderId="82">
      <alignment horizontal="right" vertical="center"/>
    </xf>
    <xf numFmtId="4" fontId="36" fillId="0" borderId="82">
      <alignment horizontal="right" vertical="center"/>
    </xf>
    <xf numFmtId="4" fontId="36" fillId="0" borderId="82" applyFill="0" applyBorder="0" applyProtection="0">
      <alignment horizontal="right" vertical="center"/>
    </xf>
    <xf numFmtId="49" fontId="35" fillId="0" borderId="82" applyNumberFormat="0" applyFill="0" applyBorder="0" applyProtection="0">
      <alignment horizontal="left" vertical="center"/>
    </xf>
    <xf numFmtId="0" fontId="36" fillId="0" borderId="82" applyNumberFormat="0" applyFill="0" applyAlignment="0" applyProtection="0"/>
    <xf numFmtId="174" fontId="36" fillId="61" borderId="82" applyNumberFormat="0" applyFont="0" applyBorder="0" applyAlignment="0" applyProtection="0">
      <alignment horizontal="right" vertical="center"/>
    </xf>
    <xf numFmtId="0" fontId="36" fillId="34" borderId="82"/>
    <xf numFmtId="4" fontId="36" fillId="34" borderId="82"/>
    <xf numFmtId="4" fontId="34" fillId="35" borderId="82">
      <alignment horizontal="right" vertical="center"/>
    </xf>
    <xf numFmtId="0" fontId="36" fillId="34" borderId="82"/>
    <xf numFmtId="0" fontId="47" fillId="57" borderId="79" applyNumberFormat="0" applyAlignment="0" applyProtection="0"/>
    <xf numFmtId="0" fontId="34" fillId="33" borderId="82">
      <alignment horizontal="right" vertical="center"/>
    </xf>
    <xf numFmtId="0" fontId="36" fillId="0" borderId="82">
      <alignment horizontal="right" vertical="center"/>
    </xf>
    <xf numFmtId="0" fontId="67" fillId="0" borderId="80" applyNumberFormat="0" applyFill="0" applyAlignment="0" applyProtection="0"/>
    <xf numFmtId="0" fontId="36" fillId="33" borderId="83">
      <alignment horizontal="left" vertical="center"/>
    </xf>
    <xf numFmtId="0" fontId="60" fillId="44" borderId="79" applyNumberFormat="0" applyAlignment="0" applyProtection="0"/>
    <xf numFmtId="174" fontId="36" fillId="61" borderId="82" applyNumberFormat="0" applyFont="0" applyBorder="0" applyAlignment="0" applyProtection="0">
      <alignment horizontal="right" vertical="center"/>
    </xf>
    <xf numFmtId="0" fontId="42" fillId="60" borderId="81" applyNumberFormat="0" applyFont="0" applyAlignment="0" applyProtection="0"/>
    <xf numFmtId="0" fontId="36" fillId="0" borderId="85">
      <alignment horizontal="left" vertical="center" wrapText="1" indent="2"/>
    </xf>
    <xf numFmtId="4" fontId="36" fillId="34" borderId="82"/>
    <xf numFmtId="49" fontId="35" fillId="0" borderId="82" applyNumberFormat="0" applyFill="0" applyBorder="0" applyProtection="0">
      <alignment horizontal="left" vertical="center"/>
    </xf>
    <xf numFmtId="0" fontId="36" fillId="0" borderId="82">
      <alignment horizontal="right" vertical="center"/>
    </xf>
    <xf numFmtId="4" fontId="34" fillId="35" borderId="84">
      <alignment horizontal="right" vertical="center"/>
    </xf>
    <xf numFmtId="4" fontId="34" fillId="35" borderId="82">
      <alignment horizontal="right" vertical="center"/>
    </xf>
    <xf numFmtId="4" fontId="34" fillId="35" borderId="82">
      <alignment horizontal="right" vertical="center"/>
    </xf>
    <xf numFmtId="0" fontId="38" fillId="33" borderId="82">
      <alignment horizontal="right" vertical="center"/>
    </xf>
    <xf numFmtId="0" fontId="34" fillId="33" borderId="82">
      <alignment horizontal="right" vertical="center"/>
    </xf>
    <xf numFmtId="49" fontId="36" fillId="0" borderId="82" applyNumberFormat="0" applyFont="0" applyFill="0" applyBorder="0" applyProtection="0">
      <alignment horizontal="left" vertical="center" indent="2"/>
    </xf>
    <xf numFmtId="0" fontId="60" fillId="44" borderId="79" applyNumberFormat="0" applyAlignment="0" applyProtection="0"/>
    <xf numFmtId="0" fontId="45" fillId="57" borderId="78" applyNumberFormat="0" applyAlignment="0" applyProtection="0"/>
    <xf numFmtId="49" fontId="36" fillId="0" borderId="82" applyNumberFormat="0" applyFont="0" applyFill="0" applyBorder="0" applyProtection="0">
      <alignment horizontal="left" vertical="center" indent="2"/>
    </xf>
    <xf numFmtId="0" fontId="51" fillId="44" borderId="79" applyNumberFormat="0" applyAlignment="0" applyProtection="0"/>
    <xf numFmtId="4" fontId="36" fillId="0" borderId="82" applyFill="0" applyBorder="0" applyProtection="0">
      <alignment horizontal="right" vertical="center"/>
    </xf>
    <xf numFmtId="0" fontId="48" fillId="57" borderId="79" applyNumberFormat="0" applyAlignment="0" applyProtection="0"/>
    <xf numFmtId="0" fontId="67" fillId="0" borderId="80" applyNumberFormat="0" applyFill="0" applyAlignment="0" applyProtection="0"/>
    <xf numFmtId="0" fontId="64" fillId="57" borderId="78" applyNumberFormat="0" applyAlignment="0" applyProtection="0"/>
    <xf numFmtId="0" fontId="36" fillId="0" borderId="82" applyNumberFormat="0" applyFill="0" applyAlignment="0" applyProtection="0"/>
    <xf numFmtId="4" fontId="36" fillId="0" borderId="82">
      <alignment horizontal="right" vertical="center"/>
    </xf>
    <xf numFmtId="0" fontId="36" fillId="0" borderId="82">
      <alignment horizontal="right" vertical="center"/>
    </xf>
    <xf numFmtId="0" fontId="60" fillId="44" borderId="79" applyNumberFormat="0" applyAlignment="0" applyProtection="0"/>
    <xf numFmtId="0" fontId="45" fillId="57" borderId="78" applyNumberFormat="0" applyAlignment="0" applyProtection="0"/>
    <xf numFmtId="0" fontId="47" fillId="57" borderId="79" applyNumberFormat="0" applyAlignment="0" applyProtection="0"/>
    <xf numFmtId="0" fontId="36" fillId="35" borderId="85">
      <alignment horizontal="left" vertical="center" wrapText="1" indent="2"/>
    </xf>
    <xf numFmtId="0" fontId="48" fillId="57" borderId="79" applyNumberFormat="0" applyAlignment="0" applyProtection="0"/>
    <xf numFmtId="0" fontId="48" fillId="57" borderId="79" applyNumberFormat="0" applyAlignment="0" applyProtection="0"/>
    <xf numFmtId="4" fontId="34" fillId="35" borderId="83">
      <alignment horizontal="right" vertical="center"/>
    </xf>
    <xf numFmtId="0" fontId="34" fillId="35" borderId="83">
      <alignment horizontal="right" vertical="center"/>
    </xf>
    <xf numFmtId="0" fontId="34" fillId="35" borderId="82">
      <alignment horizontal="right" vertical="center"/>
    </xf>
    <xf numFmtId="4" fontId="38" fillId="33" borderId="82">
      <alignment horizontal="right" vertical="center"/>
    </xf>
    <xf numFmtId="0" fontId="51" fillId="44" borderId="79" applyNumberFormat="0" applyAlignment="0" applyProtection="0"/>
    <xf numFmtId="0" fontId="52" fillId="0" borderId="80" applyNumberFormat="0" applyFill="0" applyAlignment="0" applyProtection="0"/>
    <xf numFmtId="0" fontId="67" fillId="0" borderId="80" applyNumberFormat="0" applyFill="0" applyAlignment="0" applyProtection="0"/>
    <xf numFmtId="0" fontId="42" fillId="60" borderId="81" applyNumberFormat="0" applyFont="0" applyAlignment="0" applyProtection="0"/>
    <xf numFmtId="0" fontId="60" fillId="44" borderId="79" applyNumberFormat="0" applyAlignment="0" applyProtection="0"/>
    <xf numFmtId="49" fontId="35" fillId="0" borderId="82" applyNumberFormat="0" applyFill="0" applyBorder="0" applyProtection="0">
      <alignment horizontal="left" vertical="center"/>
    </xf>
    <xf numFmtId="0" fontId="36" fillId="35" borderId="85">
      <alignment horizontal="left" vertical="center" wrapText="1" indent="2"/>
    </xf>
    <xf numFmtId="0" fontId="48" fillId="57" borderId="79" applyNumberFormat="0" applyAlignment="0" applyProtection="0"/>
    <xf numFmtId="0" fontId="36" fillId="0" borderId="85">
      <alignment horizontal="left" vertical="center" wrapText="1" indent="2"/>
    </xf>
    <xf numFmtId="0" fontId="42" fillId="60" borderId="81" applyNumberFormat="0" applyFont="0" applyAlignment="0" applyProtection="0"/>
    <xf numFmtId="0" fontId="5" fillId="60" borderId="81" applyNumberFormat="0" applyFont="0" applyAlignment="0" applyProtection="0"/>
    <xf numFmtId="0" fontId="64" fillId="57" borderId="78" applyNumberFormat="0" applyAlignment="0" applyProtection="0"/>
    <xf numFmtId="0" fontId="67" fillId="0" borderId="80" applyNumberFormat="0" applyFill="0" applyAlignment="0" applyProtection="0"/>
    <xf numFmtId="4" fontId="36" fillId="34" borderId="82"/>
    <xf numFmtId="0" fontId="34" fillId="35" borderId="82">
      <alignment horizontal="right" vertical="center"/>
    </xf>
    <xf numFmtId="0" fontId="67" fillId="0" borderId="80" applyNumberFormat="0" applyFill="0" applyAlignment="0" applyProtection="0"/>
    <xf numFmtId="4" fontId="34" fillId="35" borderId="84">
      <alignment horizontal="right" vertical="center"/>
    </xf>
    <xf numFmtId="0" fontId="47" fillId="57" borderId="79" applyNumberFormat="0" applyAlignment="0" applyProtection="0"/>
    <xf numFmtId="0" fontId="34" fillId="35" borderId="83">
      <alignment horizontal="right" vertical="center"/>
    </xf>
    <xf numFmtId="0" fontId="48" fillId="57" borderId="79" applyNumberFormat="0" applyAlignment="0" applyProtection="0"/>
    <xf numFmtId="0" fontId="52" fillId="0" borderId="80" applyNumberFormat="0" applyFill="0" applyAlignment="0" applyProtection="0"/>
    <xf numFmtId="0" fontId="42" fillId="60" borderId="81" applyNumberFormat="0" applyFont="0" applyAlignment="0" applyProtection="0"/>
    <xf numFmtId="4" fontId="34" fillId="35" borderId="83">
      <alignment horizontal="right" vertical="center"/>
    </xf>
    <xf numFmtId="0" fontId="36" fillId="35" borderId="85">
      <alignment horizontal="left" vertical="center" wrapText="1" indent="2"/>
    </xf>
    <xf numFmtId="0" fontId="36" fillId="34" borderId="82"/>
    <xf numFmtId="174" fontId="36" fillId="61" borderId="82" applyNumberFormat="0" applyFont="0" applyBorder="0" applyAlignment="0" applyProtection="0">
      <alignment horizontal="right" vertical="center"/>
    </xf>
    <xf numFmtId="0" fontId="36" fillId="0" borderId="82" applyNumberFormat="0" applyFill="0" applyAlignment="0" applyProtection="0"/>
    <xf numFmtId="4" fontId="36" fillId="0" borderId="82" applyFill="0" applyBorder="0" applyProtection="0">
      <alignment horizontal="right" vertical="center"/>
    </xf>
    <xf numFmtId="4" fontId="34" fillId="33" borderId="82">
      <alignment horizontal="right" vertical="center"/>
    </xf>
    <xf numFmtId="0" fontId="52" fillId="0" borderId="80" applyNumberFormat="0" applyFill="0" applyAlignment="0" applyProtection="0"/>
    <xf numFmtId="49" fontId="35" fillId="0" borderId="82" applyNumberFormat="0" applyFill="0" applyBorder="0" applyProtection="0">
      <alignment horizontal="left" vertical="center"/>
    </xf>
    <xf numFmtId="49" fontId="36" fillId="0" borderId="83" applyNumberFormat="0" applyFont="0" applyFill="0" applyBorder="0" applyProtection="0">
      <alignment horizontal="left" vertical="center" indent="5"/>
    </xf>
    <xf numFmtId="0" fontId="36" fillId="33" borderId="83">
      <alignment horizontal="left" vertical="center"/>
    </xf>
    <xf numFmtId="0" fontId="48" fillId="57" borderId="79" applyNumberFormat="0" applyAlignment="0" applyProtection="0"/>
    <xf numFmtId="4" fontId="34" fillId="35" borderId="84">
      <alignment horizontal="right" vertical="center"/>
    </xf>
    <xf numFmtId="0" fontId="60" fillId="44" borderId="79" applyNumberFormat="0" applyAlignment="0" applyProtection="0"/>
    <xf numFmtId="0" fontId="60" fillId="44" borderId="79" applyNumberFormat="0" applyAlignment="0" applyProtection="0"/>
    <xf numFmtId="0" fontId="42" fillId="60" borderId="81" applyNumberFormat="0" applyFont="0" applyAlignment="0" applyProtection="0"/>
    <xf numFmtId="0" fontId="64" fillId="57" borderId="78" applyNumberFormat="0" applyAlignment="0" applyProtection="0"/>
    <xf numFmtId="0" fontId="67" fillId="0" borderId="80" applyNumberFormat="0" applyFill="0" applyAlignment="0" applyProtection="0"/>
    <xf numFmtId="0" fontId="34" fillId="35" borderId="82">
      <alignment horizontal="right" vertical="center"/>
    </xf>
    <xf numFmtId="0" fontId="5" fillId="60" borderId="81" applyNumberFormat="0" applyFont="0" applyAlignment="0" applyProtection="0"/>
    <xf numFmtId="4" fontId="36" fillId="0" borderId="82">
      <alignment horizontal="right" vertical="center"/>
    </xf>
    <xf numFmtId="0" fontId="67" fillId="0" borderId="80" applyNumberFormat="0" applyFill="0" applyAlignment="0" applyProtection="0"/>
    <xf numFmtId="0" fontId="34" fillId="35" borderId="82">
      <alignment horizontal="right" vertical="center"/>
    </xf>
    <xf numFmtId="0" fontId="34" fillId="35" borderId="82">
      <alignment horizontal="right" vertical="center"/>
    </xf>
    <xf numFmtId="4" fontId="38" fillId="33" borderId="82">
      <alignment horizontal="right" vertical="center"/>
    </xf>
    <xf numFmtId="0" fontId="34" fillId="33" borderId="82">
      <alignment horizontal="right" vertical="center"/>
    </xf>
    <xf numFmtId="4" fontId="34" fillId="33" borderId="82">
      <alignment horizontal="right" vertical="center"/>
    </xf>
    <xf numFmtId="0" fontId="38" fillId="33" borderId="82">
      <alignment horizontal="right" vertical="center"/>
    </xf>
    <xf numFmtId="4" fontId="38" fillId="33" borderId="82">
      <alignment horizontal="right" vertical="center"/>
    </xf>
    <xf numFmtId="0" fontId="34" fillId="35" borderId="82">
      <alignment horizontal="right" vertical="center"/>
    </xf>
    <xf numFmtId="4" fontId="34" fillId="35" borderId="82">
      <alignment horizontal="right" vertical="center"/>
    </xf>
    <xf numFmtId="0" fontId="34" fillId="35" borderId="82">
      <alignment horizontal="right" vertical="center"/>
    </xf>
    <xf numFmtId="4" fontId="34" fillId="35" borderId="82">
      <alignment horizontal="right" vertical="center"/>
    </xf>
    <xf numFmtId="0" fontId="34" fillId="35" borderId="83">
      <alignment horizontal="right" vertical="center"/>
    </xf>
    <xf numFmtId="4" fontId="34" fillId="35" borderId="83">
      <alignment horizontal="right" vertical="center"/>
    </xf>
    <xf numFmtId="0" fontId="34" fillId="35" borderId="84">
      <alignment horizontal="right" vertical="center"/>
    </xf>
    <xf numFmtId="4" fontId="34" fillId="35" borderId="84">
      <alignment horizontal="right" vertical="center"/>
    </xf>
    <xf numFmtId="0" fontId="48" fillId="57" borderId="79" applyNumberFormat="0" applyAlignment="0" applyProtection="0"/>
    <xf numFmtId="0" fontId="36" fillId="35" borderId="85">
      <alignment horizontal="left" vertical="center" wrapText="1" indent="2"/>
    </xf>
    <xf numFmtId="0" fontId="36" fillId="0" borderId="85">
      <alignment horizontal="left" vertical="center" wrapText="1" indent="2"/>
    </xf>
    <xf numFmtId="0" fontId="36" fillId="33" borderId="83">
      <alignment horizontal="left" vertical="center"/>
    </xf>
    <xf numFmtId="0" fontId="60" fillId="44" borderId="79" applyNumberFormat="0" applyAlignment="0" applyProtection="0"/>
    <xf numFmtId="0" fontId="36" fillId="0" borderId="82">
      <alignment horizontal="right" vertical="center"/>
    </xf>
    <xf numFmtId="4" fontId="36" fillId="0" borderId="82">
      <alignment horizontal="right" vertical="center"/>
    </xf>
    <xf numFmtId="0" fontId="36" fillId="0" borderId="82" applyNumberFormat="0" applyFill="0" applyAlignment="0" applyProtection="0"/>
    <xf numFmtId="0" fontId="64" fillId="57" borderId="78" applyNumberFormat="0" applyAlignment="0" applyProtection="0"/>
    <xf numFmtId="174" fontId="36" fillId="61" borderId="82" applyNumberFormat="0" applyFont="0" applyBorder="0" applyAlignment="0" applyProtection="0">
      <alignment horizontal="right" vertical="center"/>
    </xf>
    <xf numFmtId="0" fontId="36" fillId="34" borderId="82"/>
    <xf numFmtId="4" fontId="36" fillId="34" borderId="82"/>
    <xf numFmtId="0" fontId="67" fillId="0" borderId="80" applyNumberFormat="0" applyFill="0" applyAlignment="0" applyProtection="0"/>
    <xf numFmtId="0" fontId="5" fillId="60" borderId="81" applyNumberFormat="0" applyFont="0" applyAlignment="0" applyProtection="0"/>
    <xf numFmtId="0" fontId="42" fillId="60" borderId="81" applyNumberFormat="0" applyFont="0" applyAlignment="0" applyProtection="0"/>
    <xf numFmtId="0" fontId="36" fillId="0" borderId="82" applyNumberFormat="0" applyFill="0" applyAlignment="0" applyProtection="0"/>
    <xf numFmtId="0" fontId="52" fillId="0" borderId="80" applyNumberFormat="0" applyFill="0" applyAlignment="0" applyProtection="0"/>
    <xf numFmtId="0" fontId="67" fillId="0" borderId="80" applyNumberFormat="0" applyFill="0" applyAlignment="0" applyProtection="0"/>
    <xf numFmtId="0" fontId="51" fillId="44" borderId="79" applyNumberFormat="0" applyAlignment="0" applyProtection="0"/>
    <xf numFmtId="0" fontId="48" fillId="57" borderId="79" applyNumberFormat="0" applyAlignment="0" applyProtection="0"/>
    <xf numFmtId="4" fontId="38" fillId="33" borderId="82">
      <alignment horizontal="right" vertical="center"/>
    </xf>
    <xf numFmtId="0" fontId="34" fillId="33" borderId="82">
      <alignment horizontal="right" vertical="center"/>
    </xf>
    <xf numFmtId="174" fontId="36" fillId="61" borderId="82" applyNumberFormat="0" applyFont="0" applyBorder="0" applyAlignment="0" applyProtection="0">
      <alignment horizontal="right" vertical="center"/>
    </xf>
    <xf numFmtId="0" fontId="52" fillId="0" borderId="80" applyNumberFormat="0" applyFill="0" applyAlignment="0" applyProtection="0"/>
    <xf numFmtId="49" fontId="36" fillId="0" borderId="82" applyNumberFormat="0" applyFont="0" applyFill="0" applyBorder="0" applyProtection="0">
      <alignment horizontal="left" vertical="center" indent="2"/>
    </xf>
    <xf numFmtId="49" fontId="36" fillId="0" borderId="83" applyNumberFormat="0" applyFont="0" applyFill="0" applyBorder="0" applyProtection="0">
      <alignment horizontal="left" vertical="center" indent="5"/>
    </xf>
    <xf numFmtId="49" fontId="36" fillId="0" borderId="82" applyNumberFormat="0" applyFont="0" applyFill="0" applyBorder="0" applyProtection="0">
      <alignment horizontal="left" vertical="center" indent="2"/>
    </xf>
    <xf numFmtId="4" fontId="36" fillId="0" borderId="82" applyFill="0" applyBorder="0" applyProtection="0">
      <alignment horizontal="right" vertical="center"/>
    </xf>
    <xf numFmtId="49" fontId="35" fillId="0" borderId="82" applyNumberFormat="0" applyFill="0" applyBorder="0" applyProtection="0">
      <alignment horizontal="left" vertical="center"/>
    </xf>
    <xf numFmtId="0" fontId="36" fillId="0" borderId="85">
      <alignment horizontal="left" vertical="center" wrapText="1" indent="2"/>
    </xf>
    <xf numFmtId="0" fontId="64" fillId="57" borderId="78" applyNumberFormat="0" applyAlignment="0" applyProtection="0"/>
    <xf numFmtId="0" fontId="34" fillId="35" borderId="84">
      <alignment horizontal="right" vertical="center"/>
    </xf>
    <xf numFmtId="0" fontId="51" fillId="44" borderId="79" applyNumberFormat="0" applyAlignment="0" applyProtection="0"/>
    <xf numFmtId="0" fontId="34" fillId="35" borderId="84">
      <alignment horizontal="right" vertical="center"/>
    </xf>
    <xf numFmtId="4" fontId="34" fillId="35" borderId="82">
      <alignment horizontal="right" vertical="center"/>
    </xf>
    <xf numFmtId="0" fontId="34" fillId="35" borderId="82">
      <alignment horizontal="right" vertical="center"/>
    </xf>
    <xf numFmtId="0" fontId="45" fillId="57" borderId="78" applyNumberFormat="0" applyAlignment="0" applyProtection="0"/>
    <xf numFmtId="0" fontId="47" fillId="57" borderId="79" applyNumberFormat="0" applyAlignment="0" applyProtection="0"/>
    <xf numFmtId="0" fontId="52" fillId="0" borderId="80" applyNumberFormat="0" applyFill="0" applyAlignment="0" applyProtection="0"/>
    <xf numFmtId="0" fontId="36" fillId="34" borderId="82"/>
    <xf numFmtId="4" fontId="36" fillId="34" borderId="82"/>
    <xf numFmtId="4" fontId="34" fillId="35" borderId="82">
      <alignment horizontal="right" vertical="center"/>
    </xf>
    <xf numFmtId="0" fontId="38" fillId="33" borderId="82">
      <alignment horizontal="right" vertical="center"/>
    </xf>
    <xf numFmtId="0" fontId="51" fillId="44" borderId="79" applyNumberFormat="0" applyAlignment="0" applyProtection="0"/>
    <xf numFmtId="0" fontId="48" fillId="57" borderId="79" applyNumberFormat="0" applyAlignment="0" applyProtection="0"/>
    <xf numFmtId="4" fontId="36" fillId="0" borderId="82">
      <alignment horizontal="right" vertical="center"/>
    </xf>
    <xf numFmtId="0" fontId="36" fillId="35" borderId="85">
      <alignment horizontal="left" vertical="center" wrapText="1" indent="2"/>
    </xf>
    <xf numFmtId="0" fontId="36" fillId="0" borderId="85">
      <alignment horizontal="left" vertical="center" wrapText="1" indent="2"/>
    </xf>
    <xf numFmtId="0" fontId="64" fillId="57" borderId="78" applyNumberFormat="0" applyAlignment="0" applyProtection="0"/>
    <xf numFmtId="0" fontId="60" fillId="44" borderId="79" applyNumberFormat="0" applyAlignment="0" applyProtection="0"/>
    <xf numFmtId="0" fontId="47" fillId="57" borderId="79" applyNumberFormat="0" applyAlignment="0" applyProtection="0"/>
    <xf numFmtId="0" fontId="45" fillId="57" borderId="78" applyNumberFormat="0" applyAlignment="0" applyProtection="0"/>
    <xf numFmtId="0" fontId="34" fillId="35" borderId="84">
      <alignment horizontal="right" vertical="center"/>
    </xf>
    <xf numFmtId="0" fontId="38" fillId="33" borderId="82">
      <alignment horizontal="right" vertical="center"/>
    </xf>
    <xf numFmtId="4" fontId="34" fillId="33" borderId="82">
      <alignment horizontal="right" vertical="center"/>
    </xf>
    <xf numFmtId="4" fontId="34" fillId="35" borderId="82">
      <alignment horizontal="right" vertical="center"/>
    </xf>
    <xf numFmtId="49" fontId="36" fillId="0" borderId="83" applyNumberFormat="0" applyFont="0" applyFill="0" applyBorder="0" applyProtection="0">
      <alignment horizontal="left" vertical="center" indent="5"/>
    </xf>
    <xf numFmtId="4" fontId="36" fillId="0" borderId="82" applyFill="0" applyBorder="0" applyProtection="0">
      <alignment horizontal="right" vertical="center"/>
    </xf>
    <xf numFmtId="4" fontId="34" fillId="33" borderId="82">
      <alignment horizontal="right" vertical="center"/>
    </xf>
    <xf numFmtId="0" fontId="60" fillId="44" borderId="79" applyNumberFormat="0" applyAlignment="0" applyProtection="0"/>
    <xf numFmtId="0" fontId="51" fillId="44" borderId="79" applyNumberFormat="0" applyAlignment="0" applyProtection="0"/>
    <xf numFmtId="0" fontId="47" fillId="57" borderId="79" applyNumberFormat="0" applyAlignment="0" applyProtection="0"/>
    <xf numFmtId="0" fontId="36" fillId="35" borderId="85">
      <alignment horizontal="left" vertical="center" wrapText="1" indent="2"/>
    </xf>
    <xf numFmtId="0" fontId="36" fillId="0" borderId="85">
      <alignment horizontal="left" vertical="center" wrapText="1" indent="2"/>
    </xf>
    <xf numFmtId="0" fontId="36" fillId="35" borderId="85">
      <alignment horizontal="left" vertical="center" wrapText="1" indent="2"/>
    </xf>
    <xf numFmtId="0" fontId="34" fillId="35" borderId="90">
      <alignment horizontal="right" vertical="center"/>
    </xf>
    <xf numFmtId="174" fontId="36" fillId="61" borderId="106" applyNumberFormat="0" applyFont="0" applyBorder="0" applyAlignment="0" applyProtection="0">
      <alignment horizontal="right" vertical="center"/>
    </xf>
    <xf numFmtId="49" fontId="36" fillId="0" borderId="106" applyNumberFormat="0" applyFont="0" applyFill="0" applyBorder="0" applyProtection="0">
      <alignment horizontal="left" vertical="center" indent="2"/>
    </xf>
    <xf numFmtId="0" fontId="28" fillId="19" borderId="0" applyNumberFormat="0" applyBorder="0" applyAlignment="0" applyProtection="0"/>
    <xf numFmtId="0" fontId="36" fillId="35" borderId="109">
      <alignment horizontal="left" vertical="center" wrapText="1" indent="2"/>
    </xf>
    <xf numFmtId="0" fontId="51" fillId="44" borderId="103" applyNumberFormat="0" applyAlignment="0" applyProtection="0"/>
    <xf numFmtId="0" fontId="60" fillId="44" borderId="103" applyNumberFormat="0" applyAlignment="0" applyProtection="0"/>
    <xf numFmtId="49" fontId="36" fillId="0" borderId="107" applyNumberFormat="0" applyFont="0" applyFill="0" applyBorder="0" applyProtection="0">
      <alignment horizontal="left" vertical="center" indent="5"/>
    </xf>
    <xf numFmtId="0" fontId="34" fillId="35" borderId="108">
      <alignment horizontal="right" vertical="center"/>
    </xf>
    <xf numFmtId="0" fontId="34" fillId="35" borderId="108">
      <alignment horizontal="right" vertical="center"/>
    </xf>
    <xf numFmtId="4" fontId="34" fillId="35" borderId="106">
      <alignment horizontal="right" vertical="center"/>
    </xf>
    <xf numFmtId="0" fontId="36" fillId="35" borderId="109">
      <alignment horizontal="left" vertical="center" wrapText="1" indent="2"/>
    </xf>
    <xf numFmtId="0" fontId="36" fillId="33" borderId="107">
      <alignment horizontal="left" vertical="center"/>
    </xf>
    <xf numFmtId="0" fontId="64" fillId="57" borderId="102" applyNumberFormat="0" applyAlignment="0" applyProtection="0"/>
    <xf numFmtId="0" fontId="48" fillId="57" borderId="103" applyNumberFormat="0" applyAlignment="0" applyProtection="0"/>
    <xf numFmtId="0" fontId="64" fillId="57" borderId="102" applyNumberFormat="0" applyAlignment="0" applyProtection="0"/>
    <xf numFmtId="0" fontId="13" fillId="23" borderId="0" applyNumberFormat="0" applyBorder="0" applyAlignment="0" applyProtection="0"/>
    <xf numFmtId="0" fontId="34" fillId="33" borderId="106">
      <alignment horizontal="right" vertical="center"/>
    </xf>
    <xf numFmtId="0" fontId="52" fillId="0" borderId="104" applyNumberFormat="0" applyFill="0" applyAlignment="0" applyProtection="0"/>
    <xf numFmtId="0" fontId="34" fillId="35" borderId="106">
      <alignment horizontal="right" vertical="center"/>
    </xf>
    <xf numFmtId="4" fontId="34" fillId="35" borderId="106">
      <alignment horizontal="right" vertical="center"/>
    </xf>
    <xf numFmtId="0" fontId="34" fillId="35" borderId="106">
      <alignment horizontal="right" vertical="center"/>
    </xf>
    <xf numFmtId="0" fontId="48" fillId="57" borderId="103" applyNumberFormat="0" applyAlignment="0" applyProtection="0"/>
    <xf numFmtId="0" fontId="28" fillId="24" borderId="0" applyNumberFormat="0" applyBorder="0" applyAlignment="0" applyProtection="0"/>
    <xf numFmtId="0" fontId="13" fillId="29" borderId="0" applyNumberFormat="0" applyBorder="0" applyAlignment="0" applyProtection="0"/>
    <xf numFmtId="0" fontId="28" fillId="31" borderId="0" applyNumberFormat="0" applyBorder="0" applyAlignment="0" applyProtection="0"/>
    <xf numFmtId="0" fontId="13" fillId="32" borderId="0" applyNumberFormat="0" applyBorder="0" applyAlignment="0" applyProtection="0"/>
    <xf numFmtId="0" fontId="28" fillId="24" borderId="0" applyNumberFormat="0" applyBorder="0" applyAlignment="0" applyProtection="0"/>
    <xf numFmtId="0" fontId="13" fillId="26" borderId="0" applyNumberFormat="0" applyBorder="0" applyAlignment="0" applyProtection="0"/>
    <xf numFmtId="0" fontId="28" fillId="24" borderId="0" applyNumberFormat="0" applyBorder="0" applyAlignment="0" applyProtection="0"/>
    <xf numFmtId="0" fontId="28" fillId="18" borderId="0" applyNumberFormat="0" applyBorder="0" applyAlignment="0" applyProtection="0"/>
    <xf numFmtId="0" fontId="60" fillId="44" borderId="103" applyNumberFormat="0" applyAlignment="0" applyProtection="0"/>
    <xf numFmtId="0" fontId="13" fillId="17" borderId="0" applyNumberFormat="0" applyBorder="0" applyAlignment="0" applyProtection="0"/>
    <xf numFmtId="4" fontId="34" fillId="33" borderId="98">
      <alignment horizontal="right" vertical="center"/>
    </xf>
    <xf numFmtId="4" fontId="34" fillId="35" borderId="90">
      <alignment horizontal="right" vertical="center"/>
    </xf>
    <xf numFmtId="0" fontId="36" fillId="34" borderId="90"/>
    <xf numFmtId="0" fontId="47" fillId="57" borderId="87" applyNumberFormat="0" applyAlignment="0" applyProtection="0"/>
    <xf numFmtId="0" fontId="34" fillId="33" borderId="90">
      <alignment horizontal="right" vertical="center"/>
    </xf>
    <xf numFmtId="0" fontId="36" fillId="0" borderId="90">
      <alignment horizontal="right" vertical="center"/>
    </xf>
    <xf numFmtId="0" fontId="67" fillId="0" borderId="88" applyNumberFormat="0" applyFill="0" applyAlignment="0" applyProtection="0"/>
    <xf numFmtId="0" fontId="36" fillId="33" borderId="91">
      <alignment horizontal="left" vertical="center"/>
    </xf>
    <xf numFmtId="0" fontId="60" fillId="44" borderId="87" applyNumberFormat="0" applyAlignment="0" applyProtection="0"/>
    <xf numFmtId="174" fontId="36" fillId="61" borderId="90" applyNumberFormat="0" applyFont="0" applyBorder="0" applyAlignment="0" applyProtection="0">
      <alignment horizontal="right" vertical="center"/>
    </xf>
    <xf numFmtId="0" fontId="42" fillId="60" borderId="89" applyNumberFormat="0" applyFont="0" applyAlignment="0" applyProtection="0"/>
    <xf numFmtId="0" fontId="36" fillId="0" borderId="93">
      <alignment horizontal="left" vertical="center" wrapText="1" indent="2"/>
    </xf>
    <xf numFmtId="4" fontId="36" fillId="34" borderId="90"/>
    <xf numFmtId="49" fontId="35" fillId="0" borderId="90" applyNumberFormat="0" applyFill="0" applyBorder="0" applyProtection="0">
      <alignment horizontal="left" vertical="center"/>
    </xf>
    <xf numFmtId="0" fontId="36" fillId="0" borderId="90">
      <alignment horizontal="right" vertical="center"/>
    </xf>
    <xf numFmtId="4" fontId="34" fillId="35" borderId="92">
      <alignment horizontal="right" vertical="center"/>
    </xf>
    <xf numFmtId="4" fontId="34" fillId="35" borderId="90">
      <alignment horizontal="right" vertical="center"/>
    </xf>
    <xf numFmtId="4" fontId="34" fillId="35" borderId="90">
      <alignment horizontal="right" vertical="center"/>
    </xf>
    <xf numFmtId="0" fontId="38" fillId="33" borderId="90">
      <alignment horizontal="right" vertical="center"/>
    </xf>
    <xf numFmtId="0" fontId="34" fillId="33" borderId="90">
      <alignment horizontal="right" vertical="center"/>
    </xf>
    <xf numFmtId="49" fontId="36" fillId="0" borderId="90" applyNumberFormat="0" applyFont="0" applyFill="0" applyBorder="0" applyProtection="0">
      <alignment horizontal="left" vertical="center" indent="2"/>
    </xf>
    <xf numFmtId="0" fontId="60" fillId="44" borderId="87" applyNumberFormat="0" applyAlignment="0" applyProtection="0"/>
    <xf numFmtId="0" fontId="45" fillId="57" borderId="86" applyNumberFormat="0" applyAlignment="0" applyProtection="0"/>
    <xf numFmtId="49" fontId="36" fillId="0" borderId="90" applyNumberFormat="0" applyFont="0" applyFill="0" applyBorder="0" applyProtection="0">
      <alignment horizontal="left" vertical="center" indent="2"/>
    </xf>
    <xf numFmtId="0" fontId="51" fillId="44" borderId="87" applyNumberFormat="0" applyAlignment="0" applyProtection="0"/>
    <xf numFmtId="4" fontId="36" fillId="0" borderId="90" applyFill="0" applyBorder="0" applyProtection="0">
      <alignment horizontal="right" vertical="center"/>
    </xf>
    <xf numFmtId="0" fontId="48" fillId="57" borderId="87" applyNumberFormat="0" applyAlignment="0" applyProtection="0"/>
    <xf numFmtId="0" fontId="67" fillId="0" borderId="88" applyNumberFormat="0" applyFill="0" applyAlignment="0" applyProtection="0"/>
    <xf numFmtId="0" fontId="64" fillId="57" borderId="86" applyNumberFormat="0" applyAlignment="0" applyProtection="0"/>
    <xf numFmtId="0" fontId="36" fillId="0" borderId="90" applyNumberFormat="0" applyFill="0" applyAlignment="0" applyProtection="0"/>
    <xf numFmtId="4" fontId="36" fillId="0" borderId="90">
      <alignment horizontal="right" vertical="center"/>
    </xf>
    <xf numFmtId="0" fontId="36" fillId="0" borderId="90">
      <alignment horizontal="right" vertical="center"/>
    </xf>
    <xf numFmtId="0" fontId="60" fillId="44" borderId="87" applyNumberFormat="0" applyAlignment="0" applyProtection="0"/>
    <xf numFmtId="0" fontId="45" fillId="57" borderId="86" applyNumberFormat="0" applyAlignment="0" applyProtection="0"/>
    <xf numFmtId="0" fontId="47" fillId="57" borderId="87" applyNumberFormat="0" applyAlignment="0" applyProtection="0"/>
    <xf numFmtId="0" fontId="36" fillId="35" borderId="93">
      <alignment horizontal="left" vertical="center" wrapText="1" indent="2"/>
    </xf>
    <xf numFmtId="0" fontId="48" fillId="57" borderId="87" applyNumberFormat="0" applyAlignment="0" applyProtection="0"/>
    <xf numFmtId="0" fontId="48" fillId="57" borderId="87" applyNumberFormat="0" applyAlignment="0" applyProtection="0"/>
    <xf numFmtId="4" fontId="34" fillId="35" borderId="91">
      <alignment horizontal="right" vertical="center"/>
    </xf>
    <xf numFmtId="0" fontId="34" fillId="35" borderId="91">
      <alignment horizontal="right" vertical="center"/>
    </xf>
    <xf numFmtId="0" fontId="34" fillId="35" borderId="90">
      <alignment horizontal="right" vertical="center"/>
    </xf>
    <xf numFmtId="4" fontId="38" fillId="33" borderId="90">
      <alignment horizontal="right" vertical="center"/>
    </xf>
    <xf numFmtId="0" fontId="51" fillId="44" borderId="87" applyNumberFormat="0" applyAlignment="0" applyProtection="0"/>
    <xf numFmtId="0" fontId="52" fillId="0" borderId="88" applyNumberFormat="0" applyFill="0" applyAlignment="0" applyProtection="0"/>
    <xf numFmtId="0" fontId="67" fillId="0" borderId="88" applyNumberFormat="0" applyFill="0" applyAlignment="0" applyProtection="0"/>
    <xf numFmtId="0" fontId="42" fillId="60" borderId="89" applyNumberFormat="0" applyFont="0" applyAlignment="0" applyProtection="0"/>
    <xf numFmtId="0" fontId="60" fillId="44" borderId="87" applyNumberFormat="0" applyAlignment="0" applyProtection="0"/>
    <xf numFmtId="49" fontId="35" fillId="0" borderId="90" applyNumberFormat="0" applyFill="0" applyBorder="0" applyProtection="0">
      <alignment horizontal="left" vertical="center"/>
    </xf>
    <xf numFmtId="0" fontId="36" fillId="35" borderId="93">
      <alignment horizontal="left" vertical="center" wrapText="1" indent="2"/>
    </xf>
    <xf numFmtId="0" fontId="48" fillId="57" borderId="87" applyNumberFormat="0" applyAlignment="0" applyProtection="0"/>
    <xf numFmtId="0" fontId="36" fillId="0" borderId="93">
      <alignment horizontal="left" vertical="center" wrapText="1" indent="2"/>
    </xf>
    <xf numFmtId="0" fontId="42" fillId="60" borderId="89" applyNumberFormat="0" applyFont="0" applyAlignment="0" applyProtection="0"/>
    <xf numFmtId="0" fontId="5" fillId="60" borderId="89" applyNumberFormat="0" applyFont="0" applyAlignment="0" applyProtection="0"/>
    <xf numFmtId="0" fontId="64" fillId="57" borderId="86" applyNumberFormat="0" applyAlignment="0" applyProtection="0"/>
    <xf numFmtId="0" fontId="67" fillId="0" borderId="88" applyNumberFormat="0" applyFill="0" applyAlignment="0" applyProtection="0"/>
    <xf numFmtId="4" fontId="36" fillId="34" borderId="90"/>
    <xf numFmtId="0" fontId="34" fillId="35" borderId="90">
      <alignment horizontal="right" vertical="center"/>
    </xf>
    <xf numFmtId="0" fontId="67" fillId="0" borderId="88" applyNumberFormat="0" applyFill="0" applyAlignment="0" applyProtection="0"/>
    <xf numFmtId="4" fontId="34" fillId="35" borderId="92">
      <alignment horizontal="right" vertical="center"/>
    </xf>
    <xf numFmtId="0" fontId="47" fillId="57" borderId="87" applyNumberFormat="0" applyAlignment="0" applyProtection="0"/>
    <xf numFmtId="0" fontId="34" fillId="35" borderId="91">
      <alignment horizontal="right" vertical="center"/>
    </xf>
    <xf numFmtId="0" fontId="48" fillId="57" borderId="87" applyNumberFormat="0" applyAlignment="0" applyProtection="0"/>
    <xf numFmtId="0" fontId="52" fillId="0" borderId="88" applyNumberFormat="0" applyFill="0" applyAlignment="0" applyProtection="0"/>
    <xf numFmtId="0" fontId="42" fillId="60" borderId="89" applyNumberFormat="0" applyFont="0" applyAlignment="0" applyProtection="0"/>
    <xf numFmtId="4" fontId="34" fillId="35" borderId="91">
      <alignment horizontal="right" vertical="center"/>
    </xf>
    <xf numFmtId="0" fontId="36" fillId="35" borderId="93">
      <alignment horizontal="left" vertical="center" wrapText="1" indent="2"/>
    </xf>
    <xf numFmtId="0" fontId="36" fillId="34" borderId="90"/>
    <xf numFmtId="174" fontId="36" fillId="61" borderId="90" applyNumberFormat="0" applyFont="0" applyBorder="0" applyAlignment="0" applyProtection="0">
      <alignment horizontal="right" vertical="center"/>
    </xf>
    <xf numFmtId="0" fontId="36" fillId="0" borderId="90" applyNumberFormat="0" applyFill="0" applyAlignment="0" applyProtection="0"/>
    <xf numFmtId="4" fontId="36" fillId="0" borderId="90" applyFill="0" applyBorder="0" applyProtection="0">
      <alignment horizontal="right" vertical="center"/>
    </xf>
    <xf numFmtId="4" fontId="34" fillId="33" borderId="90">
      <alignment horizontal="right" vertical="center"/>
    </xf>
    <xf numFmtId="0" fontId="52" fillId="0" borderId="88" applyNumberFormat="0" applyFill="0" applyAlignment="0" applyProtection="0"/>
    <xf numFmtId="49" fontId="35" fillId="0" borderId="90" applyNumberFormat="0" applyFill="0" applyBorder="0" applyProtection="0">
      <alignment horizontal="left" vertical="center"/>
    </xf>
    <xf numFmtId="49" fontId="36" fillId="0" borderId="91" applyNumberFormat="0" applyFont="0" applyFill="0" applyBorder="0" applyProtection="0">
      <alignment horizontal="left" vertical="center" indent="5"/>
    </xf>
    <xf numFmtId="0" fontId="36" fillId="33" borderId="91">
      <alignment horizontal="left" vertical="center"/>
    </xf>
    <xf numFmtId="0" fontId="48" fillId="57" borderId="87" applyNumberFormat="0" applyAlignment="0" applyProtection="0"/>
    <xf numFmtId="4" fontId="34" fillId="35" borderId="92">
      <alignment horizontal="right" vertical="center"/>
    </xf>
    <xf numFmtId="0" fontId="60" fillId="44" borderId="87" applyNumberFormat="0" applyAlignment="0" applyProtection="0"/>
    <xf numFmtId="0" fontId="60" fillId="44" borderId="87" applyNumberFormat="0" applyAlignment="0" applyProtection="0"/>
    <xf numFmtId="0" fontId="42" fillId="60" borderId="89" applyNumberFormat="0" applyFont="0" applyAlignment="0" applyProtection="0"/>
    <xf numFmtId="0" fontId="64" fillId="57" borderId="86" applyNumberFormat="0" applyAlignment="0" applyProtection="0"/>
    <xf numFmtId="0" fontId="67" fillId="0" borderId="88" applyNumberFormat="0" applyFill="0" applyAlignment="0" applyProtection="0"/>
    <xf numFmtId="0" fontId="34" fillId="35" borderId="90">
      <alignment horizontal="right" vertical="center"/>
    </xf>
    <xf numFmtId="0" fontId="5" fillId="60" borderId="89" applyNumberFormat="0" applyFont="0" applyAlignment="0" applyProtection="0"/>
    <xf numFmtId="4" fontId="36" fillId="0" borderId="90">
      <alignment horizontal="right" vertical="center"/>
    </xf>
    <xf numFmtId="0" fontId="67" fillId="0" borderId="88" applyNumberFormat="0" applyFill="0" applyAlignment="0" applyProtection="0"/>
    <xf numFmtId="0" fontId="34" fillId="35" borderId="90">
      <alignment horizontal="right" vertical="center"/>
    </xf>
    <xf numFmtId="0" fontId="34" fillId="35" borderId="90">
      <alignment horizontal="right" vertical="center"/>
    </xf>
    <xf numFmtId="4" fontId="38" fillId="33" borderId="90">
      <alignment horizontal="right" vertical="center"/>
    </xf>
    <xf numFmtId="0" fontId="34" fillId="33" borderId="90">
      <alignment horizontal="right" vertical="center"/>
    </xf>
    <xf numFmtId="4" fontId="34" fillId="33" borderId="90">
      <alignment horizontal="right" vertical="center"/>
    </xf>
    <xf numFmtId="0" fontId="38" fillId="33" borderId="90">
      <alignment horizontal="right" vertical="center"/>
    </xf>
    <xf numFmtId="4" fontId="38" fillId="33" borderId="90">
      <alignment horizontal="right" vertical="center"/>
    </xf>
    <xf numFmtId="0" fontId="34" fillId="35" borderId="90">
      <alignment horizontal="right" vertical="center"/>
    </xf>
    <xf numFmtId="4" fontId="34" fillId="35" borderId="90">
      <alignment horizontal="right" vertical="center"/>
    </xf>
    <xf numFmtId="0" fontId="34" fillId="35" borderId="90">
      <alignment horizontal="right" vertical="center"/>
    </xf>
    <xf numFmtId="4" fontId="34" fillId="35" borderId="90">
      <alignment horizontal="right" vertical="center"/>
    </xf>
    <xf numFmtId="0" fontId="34" fillId="35" borderId="91">
      <alignment horizontal="right" vertical="center"/>
    </xf>
    <xf numFmtId="4" fontId="34" fillId="35" borderId="91">
      <alignment horizontal="right" vertical="center"/>
    </xf>
    <xf numFmtId="0" fontId="34" fillId="35" borderId="92">
      <alignment horizontal="right" vertical="center"/>
    </xf>
    <xf numFmtId="4" fontId="34" fillId="35" borderId="92">
      <alignment horizontal="right" vertical="center"/>
    </xf>
    <xf numFmtId="0" fontId="48" fillId="57" borderId="87" applyNumberFormat="0" applyAlignment="0" applyProtection="0"/>
    <xf numFmtId="0" fontId="36" fillId="35" borderId="93">
      <alignment horizontal="left" vertical="center" wrapText="1" indent="2"/>
    </xf>
    <xf numFmtId="0" fontId="36" fillId="0" borderId="93">
      <alignment horizontal="left" vertical="center" wrapText="1" indent="2"/>
    </xf>
    <xf numFmtId="0" fontId="36" fillId="33" borderId="91">
      <alignment horizontal="left" vertical="center"/>
    </xf>
    <xf numFmtId="0" fontId="60" fillId="44" borderId="87" applyNumberFormat="0" applyAlignment="0" applyProtection="0"/>
    <xf numFmtId="0" fontId="36" fillId="0" borderId="90">
      <alignment horizontal="right" vertical="center"/>
    </xf>
    <xf numFmtId="4" fontId="36" fillId="0" borderId="90">
      <alignment horizontal="right" vertical="center"/>
    </xf>
    <xf numFmtId="0" fontId="36" fillId="0" borderId="90" applyNumberFormat="0" applyFill="0" applyAlignment="0" applyProtection="0"/>
    <xf numFmtId="0" fontId="64" fillId="57" borderId="86" applyNumberFormat="0" applyAlignment="0" applyProtection="0"/>
    <xf numFmtId="174" fontId="36" fillId="61" borderId="90" applyNumberFormat="0" applyFont="0" applyBorder="0" applyAlignment="0" applyProtection="0">
      <alignment horizontal="right" vertical="center"/>
    </xf>
    <xf numFmtId="0" fontId="36" fillId="34" borderId="90"/>
    <xf numFmtId="4" fontId="36" fillId="34" borderId="90"/>
    <xf numFmtId="0" fontId="67" fillId="0" borderId="88" applyNumberFormat="0" applyFill="0" applyAlignment="0" applyProtection="0"/>
    <xf numFmtId="0" fontId="5" fillId="60" borderId="89" applyNumberFormat="0" applyFont="0" applyAlignment="0" applyProtection="0"/>
    <xf numFmtId="0" fontId="42" fillId="60" borderId="89" applyNumberFormat="0" applyFont="0" applyAlignment="0" applyProtection="0"/>
    <xf numFmtId="0" fontId="36" fillId="0" borderId="90" applyNumberFormat="0" applyFill="0" applyAlignment="0" applyProtection="0"/>
    <xf numFmtId="0" fontId="52" fillId="0" borderId="88" applyNumberFormat="0" applyFill="0" applyAlignment="0" applyProtection="0"/>
    <xf numFmtId="0" fontId="67" fillId="0" borderId="88" applyNumberFormat="0" applyFill="0" applyAlignment="0" applyProtection="0"/>
    <xf numFmtId="0" fontId="51" fillId="44" borderId="87" applyNumberFormat="0" applyAlignment="0" applyProtection="0"/>
    <xf numFmtId="0" fontId="48" fillId="57" borderId="87" applyNumberFormat="0" applyAlignment="0" applyProtection="0"/>
    <xf numFmtId="4" fontId="38" fillId="33" borderId="90">
      <alignment horizontal="right" vertical="center"/>
    </xf>
    <xf numFmtId="0" fontId="34" fillId="33" borderId="90">
      <alignment horizontal="right" vertical="center"/>
    </xf>
    <xf numFmtId="174" fontId="36" fillId="61" borderId="90" applyNumberFormat="0" applyFont="0" applyBorder="0" applyAlignment="0" applyProtection="0">
      <alignment horizontal="right" vertical="center"/>
    </xf>
    <xf numFmtId="0" fontId="52" fillId="0" borderId="88" applyNumberFormat="0" applyFill="0" applyAlignment="0" applyProtection="0"/>
    <xf numFmtId="49" fontId="36" fillId="0" borderId="90" applyNumberFormat="0" applyFont="0" applyFill="0" applyBorder="0" applyProtection="0">
      <alignment horizontal="left" vertical="center" indent="2"/>
    </xf>
    <xf numFmtId="49" fontId="36" fillId="0" borderId="91" applyNumberFormat="0" applyFont="0" applyFill="0" applyBorder="0" applyProtection="0">
      <alignment horizontal="left" vertical="center" indent="5"/>
    </xf>
    <xf numFmtId="49" fontId="36" fillId="0" borderId="90" applyNumberFormat="0" applyFont="0" applyFill="0" applyBorder="0" applyProtection="0">
      <alignment horizontal="left" vertical="center" indent="2"/>
    </xf>
    <xf numFmtId="4" fontId="36" fillId="0" borderId="90" applyFill="0" applyBorder="0" applyProtection="0">
      <alignment horizontal="right" vertical="center"/>
    </xf>
    <xf numFmtId="49" fontId="35" fillId="0" borderId="90" applyNumberFormat="0" applyFill="0" applyBorder="0" applyProtection="0">
      <alignment horizontal="left" vertical="center"/>
    </xf>
    <xf numFmtId="0" fontId="36" fillId="0" borderId="93">
      <alignment horizontal="left" vertical="center" wrapText="1" indent="2"/>
    </xf>
    <xf numFmtId="0" fontId="64" fillId="57" borderId="86" applyNumberFormat="0" applyAlignment="0" applyProtection="0"/>
    <xf numFmtId="0" fontId="34" fillId="35" borderId="92">
      <alignment horizontal="right" vertical="center"/>
    </xf>
    <xf numFmtId="0" fontId="51" fillId="44" borderId="87" applyNumberFormat="0" applyAlignment="0" applyProtection="0"/>
    <xf numFmtId="0" fontId="34" fillId="35" borderId="92">
      <alignment horizontal="right" vertical="center"/>
    </xf>
    <xf numFmtId="4" fontId="34" fillId="35" borderId="90">
      <alignment horizontal="right" vertical="center"/>
    </xf>
    <xf numFmtId="0" fontId="34" fillId="35" borderId="90">
      <alignment horizontal="right" vertical="center"/>
    </xf>
    <xf numFmtId="0" fontId="45" fillId="57" borderId="86" applyNumberFormat="0" applyAlignment="0" applyProtection="0"/>
    <xf numFmtId="0" fontId="47" fillId="57" borderId="87" applyNumberFormat="0" applyAlignment="0" applyProtection="0"/>
    <xf numFmtId="0" fontId="52" fillId="0" borderId="88" applyNumberFormat="0" applyFill="0" applyAlignment="0" applyProtection="0"/>
    <xf numFmtId="0" fontId="36" fillId="34" borderId="90"/>
    <xf numFmtId="4" fontId="36" fillId="34" borderId="90"/>
    <xf numFmtId="4" fontId="34" fillId="35" borderId="90">
      <alignment horizontal="right" vertical="center"/>
    </xf>
    <xf numFmtId="0" fontId="38" fillId="33" borderId="90">
      <alignment horizontal="right" vertical="center"/>
    </xf>
    <xf numFmtId="0" fontId="51" fillId="44" borderId="87" applyNumberFormat="0" applyAlignment="0" applyProtection="0"/>
    <xf numFmtId="0" fontId="48" fillId="57" borderId="87" applyNumberFormat="0" applyAlignment="0" applyProtection="0"/>
    <xf numFmtId="4" fontId="36" fillId="0" borderId="90">
      <alignment horizontal="right" vertical="center"/>
    </xf>
    <xf numFmtId="0" fontId="36" fillId="35" borderId="93">
      <alignment horizontal="left" vertical="center" wrapText="1" indent="2"/>
    </xf>
    <xf numFmtId="0" fontId="36" fillId="0" borderId="93">
      <alignment horizontal="left" vertical="center" wrapText="1" indent="2"/>
    </xf>
    <xf numFmtId="0" fontId="64" fillId="57" borderId="86" applyNumberFormat="0" applyAlignment="0" applyProtection="0"/>
    <xf numFmtId="0" fontId="60" fillId="44" borderId="87" applyNumberFormat="0" applyAlignment="0" applyProtection="0"/>
    <xf numFmtId="0" fontId="47" fillId="57" borderId="87" applyNumberFormat="0" applyAlignment="0" applyProtection="0"/>
    <xf numFmtId="0" fontId="45" fillId="57" borderId="86" applyNumberFormat="0" applyAlignment="0" applyProtection="0"/>
    <xf numFmtId="0" fontId="34" fillId="35" borderId="92">
      <alignment horizontal="right" vertical="center"/>
    </xf>
    <xf numFmtId="0" fontId="38" fillId="33" borderId="90">
      <alignment horizontal="right" vertical="center"/>
    </xf>
    <xf numFmtId="4" fontId="34" fillId="33" borderId="90">
      <alignment horizontal="right" vertical="center"/>
    </xf>
    <xf numFmtId="4" fontId="34" fillId="35" borderId="90">
      <alignment horizontal="right" vertical="center"/>
    </xf>
    <xf numFmtId="49" fontId="36" fillId="0" borderId="91" applyNumberFormat="0" applyFont="0" applyFill="0" applyBorder="0" applyProtection="0">
      <alignment horizontal="left" vertical="center" indent="5"/>
    </xf>
    <xf numFmtId="4" fontId="36" fillId="0" borderId="90" applyFill="0" applyBorder="0" applyProtection="0">
      <alignment horizontal="right" vertical="center"/>
    </xf>
    <xf numFmtId="4" fontId="34" fillId="33" borderId="90">
      <alignment horizontal="right" vertical="center"/>
    </xf>
    <xf numFmtId="0" fontId="36" fillId="0" borderId="109">
      <alignment horizontal="left" vertical="center" wrapText="1" indent="2"/>
    </xf>
    <xf numFmtId="0" fontId="60" fillId="44" borderId="87" applyNumberFormat="0" applyAlignment="0" applyProtection="0"/>
    <xf numFmtId="0" fontId="51" fillId="44" borderId="87" applyNumberFormat="0" applyAlignment="0" applyProtection="0"/>
    <xf numFmtId="0" fontId="47" fillId="57" borderId="87" applyNumberFormat="0" applyAlignment="0" applyProtection="0"/>
    <xf numFmtId="0" fontId="36" fillId="35" borderId="93">
      <alignment horizontal="left" vertical="center" wrapText="1" indent="2"/>
    </xf>
    <xf numFmtId="0" fontId="36" fillId="0" borderId="93">
      <alignment horizontal="left" vertical="center" wrapText="1" indent="2"/>
    </xf>
    <xf numFmtId="0" fontId="36" fillId="35" borderId="93">
      <alignment horizontal="left" vertical="center" wrapText="1" indent="2"/>
    </xf>
    <xf numFmtId="0" fontId="36" fillId="0" borderId="93">
      <alignment horizontal="left" vertical="center" wrapText="1" indent="2"/>
    </xf>
    <xf numFmtId="0" fontId="45" fillId="57" borderId="86" applyNumberFormat="0" applyAlignment="0" applyProtection="0"/>
    <xf numFmtId="0" fontId="47" fillId="57" borderId="87" applyNumberFormat="0" applyAlignment="0" applyProtection="0"/>
    <xf numFmtId="0" fontId="48" fillId="57" borderId="87" applyNumberFormat="0" applyAlignment="0" applyProtection="0"/>
    <xf numFmtId="0" fontId="51" fillId="44" borderId="87" applyNumberFormat="0" applyAlignment="0" applyProtection="0"/>
    <xf numFmtId="0" fontId="52" fillId="0" borderId="88" applyNumberFormat="0" applyFill="0" applyAlignment="0" applyProtection="0"/>
    <xf numFmtId="0" fontId="60" fillId="44" borderId="87" applyNumberFormat="0" applyAlignment="0" applyProtection="0"/>
    <xf numFmtId="0" fontId="42" fillId="60" borderId="89" applyNumberFormat="0" applyFont="0" applyAlignment="0" applyProtection="0"/>
    <xf numFmtId="0" fontId="5" fillId="60" borderId="89" applyNumberFormat="0" applyFont="0" applyAlignment="0" applyProtection="0"/>
    <xf numFmtId="0" fontId="64" fillId="57" borderId="86" applyNumberFormat="0" applyAlignment="0" applyProtection="0"/>
    <xf numFmtId="0" fontId="67" fillId="0" borderId="88" applyNumberFormat="0" applyFill="0" applyAlignment="0" applyProtection="0"/>
    <xf numFmtId="0" fontId="48" fillId="57" borderId="87" applyNumberFormat="0" applyAlignment="0" applyProtection="0"/>
    <xf numFmtId="0" fontId="60" fillId="44" borderId="87" applyNumberFormat="0" applyAlignment="0" applyProtection="0"/>
    <xf numFmtId="0" fontId="42" fillId="60" borderId="89" applyNumberFormat="0" applyFont="0" applyAlignment="0" applyProtection="0"/>
    <xf numFmtId="0" fontId="64" fillId="57" borderId="86" applyNumberFormat="0" applyAlignment="0" applyProtection="0"/>
    <xf numFmtId="0" fontId="67" fillId="0" borderId="88" applyNumberFormat="0" applyFill="0" applyAlignment="0" applyProtection="0"/>
    <xf numFmtId="0" fontId="34" fillId="35" borderId="83">
      <alignment horizontal="right" vertical="center"/>
    </xf>
    <xf numFmtId="4" fontId="34" fillId="35" borderId="83">
      <alignment horizontal="right" vertical="center"/>
    </xf>
    <xf numFmtId="0" fontId="34" fillId="35" borderId="84">
      <alignment horizontal="right" vertical="center"/>
    </xf>
    <xf numFmtId="4" fontId="34" fillId="35" borderId="84">
      <alignment horizontal="right" vertical="center"/>
    </xf>
    <xf numFmtId="0" fontId="48" fillId="57" borderId="87" applyNumberFormat="0" applyAlignment="0" applyProtection="0"/>
    <xf numFmtId="0" fontId="36" fillId="35" borderId="85">
      <alignment horizontal="left" vertical="center" wrapText="1" indent="2"/>
    </xf>
    <xf numFmtId="0" fontId="36" fillId="0" borderId="85">
      <alignment horizontal="left" vertical="center" wrapText="1" indent="2"/>
    </xf>
    <xf numFmtId="0" fontId="36" fillId="33" borderId="83">
      <alignment horizontal="left" vertical="center"/>
    </xf>
    <xf numFmtId="0" fontId="60" fillId="44" borderId="87" applyNumberFormat="0" applyAlignment="0" applyProtection="0"/>
    <xf numFmtId="0" fontId="64" fillId="57" borderId="86" applyNumberFormat="0" applyAlignment="0" applyProtection="0"/>
    <xf numFmtId="0" fontId="67" fillId="0" borderId="88" applyNumberFormat="0" applyFill="0" applyAlignment="0" applyProtection="0"/>
    <xf numFmtId="49" fontId="36" fillId="0" borderId="83" applyNumberFormat="0" applyFont="0" applyFill="0" applyBorder="0" applyProtection="0">
      <alignment horizontal="left" vertical="center" indent="5"/>
    </xf>
    <xf numFmtId="0" fontId="45" fillId="57" borderId="86" applyNumberFormat="0" applyAlignment="0" applyProtection="0"/>
    <xf numFmtId="0" fontId="47" fillId="57" borderId="87" applyNumberFormat="0" applyAlignment="0" applyProtection="0"/>
    <xf numFmtId="0" fontId="52" fillId="0" borderId="88" applyNumberFormat="0" applyFill="0" applyAlignment="0" applyProtection="0"/>
    <xf numFmtId="49" fontId="36" fillId="0" borderId="90" applyNumberFormat="0" applyFont="0" applyFill="0" applyBorder="0" applyProtection="0">
      <alignment horizontal="left" vertical="center" indent="2"/>
    </xf>
    <xf numFmtId="0" fontId="34" fillId="33" borderId="90">
      <alignment horizontal="right" vertical="center"/>
    </xf>
    <xf numFmtId="4" fontId="34" fillId="33" borderId="90">
      <alignment horizontal="right" vertical="center"/>
    </xf>
    <xf numFmtId="0" fontId="38" fillId="33" borderId="90">
      <alignment horizontal="right" vertical="center"/>
    </xf>
    <xf numFmtId="4" fontId="38" fillId="33" borderId="90">
      <alignment horizontal="right" vertical="center"/>
    </xf>
    <xf numFmtId="0" fontId="34" fillId="35" borderId="90">
      <alignment horizontal="right" vertical="center"/>
    </xf>
    <xf numFmtId="4" fontId="34" fillId="35" borderId="90">
      <alignment horizontal="right" vertical="center"/>
    </xf>
    <xf numFmtId="0" fontId="34" fillId="35" borderId="90">
      <alignment horizontal="right" vertical="center"/>
    </xf>
    <xf numFmtId="4" fontId="34" fillId="35" borderId="90">
      <alignment horizontal="right" vertical="center"/>
    </xf>
    <xf numFmtId="0" fontId="51" fillId="44" borderId="87" applyNumberFormat="0" applyAlignment="0" applyProtection="0"/>
    <xf numFmtId="0" fontId="36" fillId="0" borderId="90">
      <alignment horizontal="right" vertical="center"/>
    </xf>
    <xf numFmtId="4" fontId="36" fillId="0" borderId="90">
      <alignment horizontal="right" vertical="center"/>
    </xf>
    <xf numFmtId="4" fontId="36" fillId="0" borderId="90" applyFill="0" applyBorder="0" applyProtection="0">
      <alignment horizontal="right" vertical="center"/>
    </xf>
    <xf numFmtId="49" fontId="35" fillId="0" borderId="90" applyNumberFormat="0" applyFill="0" applyBorder="0" applyProtection="0">
      <alignment horizontal="left" vertical="center"/>
    </xf>
    <xf numFmtId="0" fontId="36" fillId="0" borderId="90" applyNumberFormat="0" applyFill="0" applyAlignment="0" applyProtection="0"/>
    <xf numFmtId="174" fontId="36" fillId="61" borderId="90" applyNumberFormat="0" applyFont="0" applyBorder="0" applyAlignment="0" applyProtection="0">
      <alignment horizontal="right" vertical="center"/>
    </xf>
    <xf numFmtId="0" fontId="36" fillId="34" borderId="90"/>
    <xf numFmtId="4" fontId="36" fillId="34" borderId="90"/>
    <xf numFmtId="4" fontId="34" fillId="35" borderId="90">
      <alignment horizontal="right" vertical="center"/>
    </xf>
    <xf numFmtId="0" fontId="36" fillId="34" borderId="90"/>
    <xf numFmtId="0" fontId="47" fillId="57" borderId="87" applyNumberFormat="0" applyAlignment="0" applyProtection="0"/>
    <xf numFmtId="0" fontId="34" fillId="33" borderId="90">
      <alignment horizontal="right" vertical="center"/>
    </xf>
    <xf numFmtId="0" fontId="36" fillId="0" borderId="90">
      <alignment horizontal="right" vertical="center"/>
    </xf>
    <xf numFmtId="0" fontId="67" fillId="0" borderId="88" applyNumberFormat="0" applyFill="0" applyAlignment="0" applyProtection="0"/>
    <xf numFmtId="0" fontId="36" fillId="33" borderId="91">
      <alignment horizontal="left" vertical="center"/>
    </xf>
    <xf numFmtId="0" fontId="60" fillId="44" borderId="87" applyNumberFormat="0" applyAlignment="0" applyProtection="0"/>
    <xf numFmtId="174" fontId="36" fillId="61" borderId="90" applyNumberFormat="0" applyFont="0" applyBorder="0" applyAlignment="0" applyProtection="0">
      <alignment horizontal="right" vertical="center"/>
    </xf>
    <xf numFmtId="0" fontId="42" fillId="60" borderId="89" applyNumberFormat="0" applyFont="0" applyAlignment="0" applyProtection="0"/>
    <xf numFmtId="0" fontId="36" fillId="0" borderId="93">
      <alignment horizontal="left" vertical="center" wrapText="1" indent="2"/>
    </xf>
    <xf numFmtId="4" fontId="36" fillId="34" borderId="90"/>
    <xf numFmtId="49" fontId="35" fillId="0" borderId="90" applyNumberFormat="0" applyFill="0" applyBorder="0" applyProtection="0">
      <alignment horizontal="left" vertical="center"/>
    </xf>
    <xf numFmtId="0" fontId="36" fillId="0" borderId="90">
      <alignment horizontal="right" vertical="center"/>
    </xf>
    <xf numFmtId="4" fontId="34" fillId="35" borderId="92">
      <alignment horizontal="right" vertical="center"/>
    </xf>
    <xf numFmtId="4" fontId="34" fillId="35" borderId="90">
      <alignment horizontal="right" vertical="center"/>
    </xf>
    <xf numFmtId="4" fontId="34" fillId="35" borderId="90">
      <alignment horizontal="right" vertical="center"/>
    </xf>
    <xf numFmtId="0" fontId="38" fillId="33" borderId="90">
      <alignment horizontal="right" vertical="center"/>
    </xf>
    <xf numFmtId="0" fontId="34" fillId="33" borderId="90">
      <alignment horizontal="right" vertical="center"/>
    </xf>
    <xf numFmtId="49" fontId="36" fillId="0" borderId="90" applyNumberFormat="0" applyFont="0" applyFill="0" applyBorder="0" applyProtection="0">
      <alignment horizontal="left" vertical="center" indent="2"/>
    </xf>
    <xf numFmtId="0" fontId="60" fillId="44" borderId="87" applyNumberFormat="0" applyAlignment="0" applyProtection="0"/>
    <xf numFmtId="0" fontId="45" fillId="57" borderId="86" applyNumberFormat="0" applyAlignment="0" applyProtection="0"/>
    <xf numFmtId="49" fontId="36" fillId="0" borderId="90" applyNumberFormat="0" applyFont="0" applyFill="0" applyBorder="0" applyProtection="0">
      <alignment horizontal="left" vertical="center" indent="2"/>
    </xf>
    <xf numFmtId="0" fontId="51" fillId="44" borderId="87" applyNumberFormat="0" applyAlignment="0" applyProtection="0"/>
    <xf numFmtId="4" fontId="36" fillId="0" borderId="90" applyFill="0" applyBorder="0" applyProtection="0">
      <alignment horizontal="right" vertical="center"/>
    </xf>
    <xf numFmtId="0" fontId="48" fillId="57" borderId="87" applyNumberFormat="0" applyAlignment="0" applyProtection="0"/>
    <xf numFmtId="0" fontId="67" fillId="0" borderId="88" applyNumberFormat="0" applyFill="0" applyAlignment="0" applyProtection="0"/>
    <xf numFmtId="0" fontId="64" fillId="57" borderId="86" applyNumberFormat="0" applyAlignment="0" applyProtection="0"/>
    <xf numFmtId="0" fontId="36" fillId="0" borderId="90" applyNumberFormat="0" applyFill="0" applyAlignment="0" applyProtection="0"/>
    <xf numFmtId="4" fontId="36" fillId="0" borderId="90">
      <alignment horizontal="right" vertical="center"/>
    </xf>
    <xf numFmtId="0" fontId="36" fillId="0" borderId="90">
      <alignment horizontal="right" vertical="center"/>
    </xf>
    <xf numFmtId="0" fontId="60" fillId="44" borderId="87" applyNumberFormat="0" applyAlignment="0" applyProtection="0"/>
    <xf numFmtId="0" fontId="45" fillId="57" borderId="86" applyNumberFormat="0" applyAlignment="0" applyProtection="0"/>
    <xf numFmtId="0" fontId="47" fillId="57" borderId="87" applyNumberFormat="0" applyAlignment="0" applyProtection="0"/>
    <xf numFmtId="0" fontId="36" fillId="35" borderId="93">
      <alignment horizontal="left" vertical="center" wrapText="1" indent="2"/>
    </xf>
    <xf numFmtId="0" fontId="48" fillId="57" borderId="87" applyNumberFormat="0" applyAlignment="0" applyProtection="0"/>
    <xf numFmtId="0" fontId="48" fillId="57" borderId="87" applyNumberFormat="0" applyAlignment="0" applyProtection="0"/>
    <xf numFmtId="4" fontId="34" fillId="35" borderId="91">
      <alignment horizontal="right" vertical="center"/>
    </xf>
    <xf numFmtId="0" fontId="34" fillId="35" borderId="91">
      <alignment horizontal="right" vertical="center"/>
    </xf>
    <xf numFmtId="0" fontId="34" fillId="35" borderId="90">
      <alignment horizontal="right" vertical="center"/>
    </xf>
    <xf numFmtId="4" fontId="38" fillId="33" borderId="90">
      <alignment horizontal="right" vertical="center"/>
    </xf>
    <xf numFmtId="0" fontId="51" fillId="44" borderId="87" applyNumberFormat="0" applyAlignment="0" applyProtection="0"/>
    <xf numFmtId="0" fontId="52" fillId="0" borderId="88" applyNumberFormat="0" applyFill="0" applyAlignment="0" applyProtection="0"/>
    <xf numFmtId="0" fontId="67" fillId="0" borderId="88" applyNumberFormat="0" applyFill="0" applyAlignment="0" applyProtection="0"/>
    <xf numFmtId="0" fontId="42" fillId="60" borderId="89" applyNumberFormat="0" applyFont="0" applyAlignment="0" applyProtection="0"/>
    <xf numFmtId="0" fontId="60" fillId="44" borderId="87" applyNumberFormat="0" applyAlignment="0" applyProtection="0"/>
    <xf numFmtId="49" fontId="35" fillId="0" borderId="90" applyNumberFormat="0" applyFill="0" applyBorder="0" applyProtection="0">
      <alignment horizontal="left" vertical="center"/>
    </xf>
    <xf numFmtId="0" fontId="36" fillId="35" borderId="93">
      <alignment horizontal="left" vertical="center" wrapText="1" indent="2"/>
    </xf>
    <xf numFmtId="0" fontId="48" fillId="57" borderId="87" applyNumberFormat="0" applyAlignment="0" applyProtection="0"/>
    <xf numFmtId="0" fontId="36" fillId="0" borderId="93">
      <alignment horizontal="left" vertical="center" wrapText="1" indent="2"/>
    </xf>
    <xf numFmtId="0" fontId="42" fillId="60" borderId="89" applyNumberFormat="0" applyFont="0" applyAlignment="0" applyProtection="0"/>
    <xf numFmtId="0" fontId="5" fillId="60" borderId="89" applyNumberFormat="0" applyFont="0" applyAlignment="0" applyProtection="0"/>
    <xf numFmtId="0" fontId="64" fillId="57" borderId="86" applyNumberFormat="0" applyAlignment="0" applyProtection="0"/>
    <xf numFmtId="0" fontId="67" fillId="0" borderId="88" applyNumberFormat="0" applyFill="0" applyAlignment="0" applyProtection="0"/>
    <xf numFmtId="4" fontId="36" fillId="34" borderId="90"/>
    <xf numFmtId="0" fontId="34" fillId="35" borderId="90">
      <alignment horizontal="right" vertical="center"/>
    </xf>
    <xf numFmtId="0" fontId="67" fillId="0" borderId="88" applyNumberFormat="0" applyFill="0" applyAlignment="0" applyProtection="0"/>
    <xf numFmtId="4" fontId="34" fillId="35" borderId="92">
      <alignment horizontal="right" vertical="center"/>
    </xf>
    <xf numFmtId="0" fontId="47" fillId="57" borderId="87" applyNumberFormat="0" applyAlignment="0" applyProtection="0"/>
    <xf numFmtId="0" fontId="34" fillId="35" borderId="91">
      <alignment horizontal="right" vertical="center"/>
    </xf>
    <xf numFmtId="0" fontId="48" fillId="57" borderId="87" applyNumberFormat="0" applyAlignment="0" applyProtection="0"/>
    <xf numFmtId="0" fontId="52" fillId="0" borderId="88" applyNumberFormat="0" applyFill="0" applyAlignment="0" applyProtection="0"/>
    <xf numFmtId="0" fontId="42" fillId="60" borderId="89" applyNumberFormat="0" applyFont="0" applyAlignment="0" applyProtection="0"/>
    <xf numFmtId="4" fontId="34" fillId="35" borderId="91">
      <alignment horizontal="right" vertical="center"/>
    </xf>
    <xf numFmtId="0" fontId="36" fillId="35" borderId="93">
      <alignment horizontal="left" vertical="center" wrapText="1" indent="2"/>
    </xf>
    <xf numFmtId="0" fontId="36" fillId="34" borderId="90"/>
    <xf numFmtId="174" fontId="36" fillId="61" borderId="90" applyNumberFormat="0" applyFont="0" applyBorder="0" applyAlignment="0" applyProtection="0">
      <alignment horizontal="right" vertical="center"/>
    </xf>
    <xf numFmtId="0" fontId="36" fillId="0" borderId="90" applyNumberFormat="0" applyFill="0" applyAlignment="0" applyProtection="0"/>
    <xf numFmtId="4" fontId="36" fillId="0" borderId="90" applyFill="0" applyBorder="0" applyProtection="0">
      <alignment horizontal="right" vertical="center"/>
    </xf>
    <xf numFmtId="4" fontId="34" fillId="33" borderId="90">
      <alignment horizontal="right" vertical="center"/>
    </xf>
    <xf numFmtId="0" fontId="52" fillId="0" borderId="88" applyNumberFormat="0" applyFill="0" applyAlignment="0" applyProtection="0"/>
    <xf numFmtId="49" fontId="35" fillId="0" borderId="90" applyNumberFormat="0" applyFill="0" applyBorder="0" applyProtection="0">
      <alignment horizontal="left" vertical="center"/>
    </xf>
    <xf numFmtId="49" fontId="36" fillId="0" borderId="91" applyNumberFormat="0" applyFont="0" applyFill="0" applyBorder="0" applyProtection="0">
      <alignment horizontal="left" vertical="center" indent="5"/>
    </xf>
    <xf numFmtId="0" fontId="36" fillId="33" borderId="91">
      <alignment horizontal="left" vertical="center"/>
    </xf>
    <xf numFmtId="0" fontId="48" fillId="57" borderId="87" applyNumberFormat="0" applyAlignment="0" applyProtection="0"/>
    <xf numFmtId="4" fontId="34" fillId="35" borderId="92">
      <alignment horizontal="right" vertical="center"/>
    </xf>
    <xf numFmtId="0" fontId="60" fillId="44" borderId="87" applyNumberFormat="0" applyAlignment="0" applyProtection="0"/>
    <xf numFmtId="0" fontId="60" fillId="44" borderId="87" applyNumberFormat="0" applyAlignment="0" applyProtection="0"/>
    <xf numFmtId="0" fontId="42" fillId="60" borderId="89" applyNumberFormat="0" applyFont="0" applyAlignment="0" applyProtection="0"/>
    <xf numFmtId="0" fontId="64" fillId="57" borderId="86" applyNumberFormat="0" applyAlignment="0" applyProtection="0"/>
    <xf numFmtId="0" fontId="67" fillId="0" borderId="88" applyNumberFormat="0" applyFill="0" applyAlignment="0" applyProtection="0"/>
    <xf numFmtId="0" fontId="34" fillId="35" borderId="90">
      <alignment horizontal="right" vertical="center"/>
    </xf>
    <xf numFmtId="0" fontId="5" fillId="60" borderId="89" applyNumberFormat="0" applyFont="0" applyAlignment="0" applyProtection="0"/>
    <xf numFmtId="4" fontId="36" fillId="0" borderId="90">
      <alignment horizontal="right" vertical="center"/>
    </xf>
    <xf numFmtId="0" fontId="67" fillId="0" borderId="88" applyNumberFormat="0" applyFill="0" applyAlignment="0" applyProtection="0"/>
    <xf numFmtId="0" fontId="34" fillId="35" borderId="90">
      <alignment horizontal="right" vertical="center"/>
    </xf>
    <xf numFmtId="0" fontId="34" fillId="35" borderId="90">
      <alignment horizontal="right" vertical="center"/>
    </xf>
    <xf numFmtId="4" fontId="38" fillId="33" borderId="90">
      <alignment horizontal="right" vertical="center"/>
    </xf>
    <xf numFmtId="0" fontId="34" fillId="33" borderId="90">
      <alignment horizontal="right" vertical="center"/>
    </xf>
    <xf numFmtId="4" fontId="34" fillId="33" borderId="90">
      <alignment horizontal="right" vertical="center"/>
    </xf>
    <xf numFmtId="0" fontId="38" fillId="33" borderId="90">
      <alignment horizontal="right" vertical="center"/>
    </xf>
    <xf numFmtId="4" fontId="38" fillId="33" borderId="90">
      <alignment horizontal="right" vertical="center"/>
    </xf>
    <xf numFmtId="0" fontId="34" fillId="35" borderId="90">
      <alignment horizontal="right" vertical="center"/>
    </xf>
    <xf numFmtId="4" fontId="34" fillId="35" borderId="90">
      <alignment horizontal="right" vertical="center"/>
    </xf>
    <xf numFmtId="0" fontId="34" fillId="35" borderId="90">
      <alignment horizontal="right" vertical="center"/>
    </xf>
    <xf numFmtId="4" fontId="34" fillId="35" borderId="90">
      <alignment horizontal="right" vertical="center"/>
    </xf>
    <xf numFmtId="0" fontId="34" fillId="35" borderId="91">
      <alignment horizontal="right" vertical="center"/>
    </xf>
    <xf numFmtId="4" fontId="34" fillId="35" borderId="91">
      <alignment horizontal="right" vertical="center"/>
    </xf>
    <xf numFmtId="0" fontId="34" fillId="35" borderId="92">
      <alignment horizontal="right" vertical="center"/>
    </xf>
    <xf numFmtId="4" fontId="34" fillId="35" borderId="92">
      <alignment horizontal="right" vertical="center"/>
    </xf>
    <xf numFmtId="0" fontId="48" fillId="57" borderId="87" applyNumberFormat="0" applyAlignment="0" applyProtection="0"/>
    <xf numFmtId="0" fontId="36" fillId="35" borderId="93">
      <alignment horizontal="left" vertical="center" wrapText="1" indent="2"/>
    </xf>
    <xf numFmtId="0" fontId="36" fillId="0" borderId="93">
      <alignment horizontal="left" vertical="center" wrapText="1" indent="2"/>
    </xf>
    <xf numFmtId="0" fontId="36" fillId="33" borderId="91">
      <alignment horizontal="left" vertical="center"/>
    </xf>
    <xf numFmtId="0" fontId="60" fillId="44" borderId="87" applyNumberFormat="0" applyAlignment="0" applyProtection="0"/>
    <xf numFmtId="0" fontId="36" fillId="0" borderId="90">
      <alignment horizontal="right" vertical="center"/>
    </xf>
    <xf numFmtId="4" fontId="36" fillId="0" borderId="90">
      <alignment horizontal="right" vertical="center"/>
    </xf>
    <xf numFmtId="0" fontId="36" fillId="0" borderId="90" applyNumberFormat="0" applyFill="0" applyAlignment="0" applyProtection="0"/>
    <xf numFmtId="0" fontId="64" fillId="57" borderId="86" applyNumberFormat="0" applyAlignment="0" applyProtection="0"/>
    <xf numFmtId="174" fontId="36" fillId="61" borderId="90" applyNumberFormat="0" applyFont="0" applyBorder="0" applyAlignment="0" applyProtection="0">
      <alignment horizontal="right" vertical="center"/>
    </xf>
    <xf numFmtId="0" fontId="36" fillId="34" borderId="90"/>
    <xf numFmtId="4" fontId="36" fillId="34" borderId="90"/>
    <xf numFmtId="0" fontId="67" fillId="0" borderId="88" applyNumberFormat="0" applyFill="0" applyAlignment="0" applyProtection="0"/>
    <xf numFmtId="0" fontId="5" fillId="60" borderId="89" applyNumberFormat="0" applyFont="0" applyAlignment="0" applyProtection="0"/>
    <xf numFmtId="0" fontId="42" fillId="60" borderId="89" applyNumberFormat="0" applyFont="0" applyAlignment="0" applyProtection="0"/>
    <xf numFmtId="0" fontId="36" fillId="0" borderId="90" applyNumberFormat="0" applyFill="0" applyAlignment="0" applyProtection="0"/>
    <xf numFmtId="0" fontId="52" fillId="0" borderId="88" applyNumberFormat="0" applyFill="0" applyAlignment="0" applyProtection="0"/>
    <xf numFmtId="0" fontId="67" fillId="0" borderId="88" applyNumberFormat="0" applyFill="0" applyAlignment="0" applyProtection="0"/>
    <xf numFmtId="0" fontId="51" fillId="44" borderId="87" applyNumberFormat="0" applyAlignment="0" applyProtection="0"/>
    <xf numFmtId="0" fontId="48" fillId="57" borderId="87" applyNumberFormat="0" applyAlignment="0" applyProtection="0"/>
    <xf numFmtId="4" fontId="38" fillId="33" borderId="90">
      <alignment horizontal="right" vertical="center"/>
    </xf>
    <xf numFmtId="0" fontId="34" fillId="33" borderId="90">
      <alignment horizontal="right" vertical="center"/>
    </xf>
    <xf numFmtId="174" fontId="36" fillId="61" borderId="90" applyNumberFormat="0" applyFont="0" applyBorder="0" applyAlignment="0" applyProtection="0">
      <alignment horizontal="right" vertical="center"/>
    </xf>
    <xf numFmtId="0" fontId="52" fillId="0" borderId="88" applyNumberFormat="0" applyFill="0" applyAlignment="0" applyProtection="0"/>
    <xf numFmtId="49" fontId="36" fillId="0" borderId="90" applyNumberFormat="0" applyFont="0" applyFill="0" applyBorder="0" applyProtection="0">
      <alignment horizontal="left" vertical="center" indent="2"/>
    </xf>
    <xf numFmtId="49" fontId="36" fillId="0" borderId="91" applyNumberFormat="0" applyFont="0" applyFill="0" applyBorder="0" applyProtection="0">
      <alignment horizontal="left" vertical="center" indent="5"/>
    </xf>
    <xf numFmtId="49" fontId="36" fillId="0" borderId="90" applyNumberFormat="0" applyFont="0" applyFill="0" applyBorder="0" applyProtection="0">
      <alignment horizontal="left" vertical="center" indent="2"/>
    </xf>
    <xf numFmtId="4" fontId="36" fillId="0" borderId="90" applyFill="0" applyBorder="0" applyProtection="0">
      <alignment horizontal="right" vertical="center"/>
    </xf>
    <xf numFmtId="49" fontId="35" fillId="0" borderId="90" applyNumberFormat="0" applyFill="0" applyBorder="0" applyProtection="0">
      <alignment horizontal="left" vertical="center"/>
    </xf>
    <xf numFmtId="0" fontId="36" fillId="0" borderId="93">
      <alignment horizontal="left" vertical="center" wrapText="1" indent="2"/>
    </xf>
    <xf numFmtId="0" fontId="64" fillId="57" borderId="86" applyNumberFormat="0" applyAlignment="0" applyProtection="0"/>
    <xf numFmtId="0" fontId="34" fillId="35" borderId="92">
      <alignment horizontal="right" vertical="center"/>
    </xf>
    <xf numFmtId="0" fontId="51" fillId="44" borderId="87" applyNumberFormat="0" applyAlignment="0" applyProtection="0"/>
    <xf numFmtId="0" fontId="34" fillId="35" borderId="92">
      <alignment horizontal="right" vertical="center"/>
    </xf>
    <xf numFmtId="4" fontId="34" fillId="35" borderId="90">
      <alignment horizontal="right" vertical="center"/>
    </xf>
    <xf numFmtId="0" fontId="34" fillId="35" borderId="90">
      <alignment horizontal="right" vertical="center"/>
    </xf>
    <xf numFmtId="0" fontId="45" fillId="57" borderId="86" applyNumberFormat="0" applyAlignment="0" applyProtection="0"/>
    <xf numFmtId="0" fontId="47" fillId="57" borderId="87" applyNumberFormat="0" applyAlignment="0" applyProtection="0"/>
    <xf numFmtId="0" fontId="52" fillId="0" borderId="88" applyNumberFormat="0" applyFill="0" applyAlignment="0" applyProtection="0"/>
    <xf numFmtId="0" fontId="36" fillId="34" borderId="90"/>
    <xf numFmtId="4" fontId="36" fillId="34" borderId="90"/>
    <xf numFmtId="4" fontId="34" fillId="35" borderId="90">
      <alignment horizontal="right" vertical="center"/>
    </xf>
    <xf numFmtId="0" fontId="38" fillId="33" borderId="90">
      <alignment horizontal="right" vertical="center"/>
    </xf>
    <xf numFmtId="0" fontId="51" fillId="44" borderId="87" applyNumberFormat="0" applyAlignment="0" applyProtection="0"/>
    <xf numFmtId="0" fontId="48" fillId="57" borderId="87" applyNumberFormat="0" applyAlignment="0" applyProtection="0"/>
    <xf numFmtId="4" fontId="36" fillId="0" borderId="90">
      <alignment horizontal="right" vertical="center"/>
    </xf>
    <xf numFmtId="0" fontId="36" fillId="35" borderId="93">
      <alignment horizontal="left" vertical="center" wrapText="1" indent="2"/>
    </xf>
    <xf numFmtId="0" fontId="36" fillId="0" borderId="93">
      <alignment horizontal="left" vertical="center" wrapText="1" indent="2"/>
    </xf>
    <xf numFmtId="0" fontId="64" fillId="57" borderId="86" applyNumberFormat="0" applyAlignment="0" applyProtection="0"/>
    <xf numFmtId="0" fontId="60" fillId="44" borderId="87" applyNumberFormat="0" applyAlignment="0" applyProtection="0"/>
    <xf numFmtId="0" fontId="47" fillId="57" borderId="87" applyNumberFormat="0" applyAlignment="0" applyProtection="0"/>
    <xf numFmtId="0" fontId="45" fillId="57" borderId="86" applyNumberFormat="0" applyAlignment="0" applyProtection="0"/>
    <xf numFmtId="0" fontId="34" fillId="35" borderId="92">
      <alignment horizontal="right" vertical="center"/>
    </xf>
    <xf numFmtId="0" fontId="38" fillId="33" borderId="90">
      <alignment horizontal="right" vertical="center"/>
    </xf>
    <xf numFmtId="4" fontId="34" fillId="33" borderId="90">
      <alignment horizontal="right" vertical="center"/>
    </xf>
    <xf numFmtId="4" fontId="34" fillId="35" borderId="90">
      <alignment horizontal="right" vertical="center"/>
    </xf>
    <xf numFmtId="49" fontId="36" fillId="0" borderId="91" applyNumberFormat="0" applyFont="0" applyFill="0" applyBorder="0" applyProtection="0">
      <alignment horizontal="left" vertical="center" indent="5"/>
    </xf>
    <xf numFmtId="4" fontId="36" fillId="0" borderId="90" applyFill="0" applyBorder="0" applyProtection="0">
      <alignment horizontal="right" vertical="center"/>
    </xf>
    <xf numFmtId="4" fontId="34" fillId="33" borderId="90">
      <alignment horizontal="right" vertical="center"/>
    </xf>
    <xf numFmtId="0" fontId="60" fillId="44" borderId="87" applyNumberFormat="0" applyAlignment="0" applyProtection="0"/>
    <xf numFmtId="0" fontId="51" fillId="44" borderId="87" applyNumberFormat="0" applyAlignment="0" applyProtection="0"/>
    <xf numFmtId="0" fontId="47" fillId="57" borderId="87" applyNumberFormat="0" applyAlignment="0" applyProtection="0"/>
    <xf numFmtId="0" fontId="36" fillId="35" borderId="93">
      <alignment horizontal="left" vertical="center" wrapText="1" indent="2"/>
    </xf>
    <xf numFmtId="0" fontId="36" fillId="0" borderId="93">
      <alignment horizontal="left" vertical="center" wrapText="1" indent="2"/>
    </xf>
    <xf numFmtId="0" fontId="36" fillId="35" borderId="93">
      <alignment horizontal="left" vertical="center" wrapText="1" indent="2"/>
    </xf>
    <xf numFmtId="49" fontId="35" fillId="0" borderId="106" applyNumberFormat="0" applyFill="0" applyBorder="0" applyProtection="0">
      <alignment horizontal="left" vertical="center"/>
    </xf>
    <xf numFmtId="0" fontId="30" fillId="14" borderId="13" applyNumberFormat="0" applyAlignment="0" applyProtection="0"/>
    <xf numFmtId="0" fontId="34" fillId="35" borderId="106">
      <alignment horizontal="right" vertical="center"/>
    </xf>
    <xf numFmtId="0" fontId="34" fillId="35" borderId="108">
      <alignment horizontal="right" vertical="center"/>
    </xf>
    <xf numFmtId="0" fontId="36" fillId="35" borderId="101">
      <alignment horizontal="left" vertical="center" wrapText="1" indent="2"/>
    </xf>
    <xf numFmtId="0" fontId="36" fillId="0" borderId="101">
      <alignment horizontal="left" vertical="center" wrapText="1" indent="2"/>
    </xf>
    <xf numFmtId="0" fontId="13" fillId="23" borderId="0" applyNumberFormat="0" applyBorder="0" applyAlignment="0" applyProtection="0"/>
    <xf numFmtId="4" fontId="36" fillId="34" borderId="106"/>
    <xf numFmtId="0" fontId="28" fillId="28" borderId="0" applyNumberFormat="0" applyBorder="0" applyAlignment="0" applyProtection="0"/>
    <xf numFmtId="0" fontId="34" fillId="35" borderId="106">
      <alignment horizontal="right" vertical="center"/>
    </xf>
    <xf numFmtId="4" fontId="36" fillId="34" borderId="106"/>
    <xf numFmtId="0" fontId="36" fillId="35" borderId="109">
      <alignment horizontal="left" vertical="center" wrapText="1" indent="2"/>
    </xf>
    <xf numFmtId="0" fontId="36" fillId="34" borderId="106"/>
    <xf numFmtId="4" fontId="36" fillId="34" borderId="106"/>
    <xf numFmtId="0" fontId="32" fillId="0" borderId="0" applyNumberFormat="0" applyFill="0" applyBorder="0" applyAlignment="0" applyProtection="0"/>
    <xf numFmtId="4" fontId="34" fillId="33" borderId="106">
      <alignment horizontal="right" vertical="center"/>
    </xf>
    <xf numFmtId="4" fontId="34" fillId="35" borderId="107">
      <alignment horizontal="right" vertical="center"/>
    </xf>
    <xf numFmtId="0" fontId="67" fillId="0" borderId="104" applyNumberFormat="0" applyFill="0" applyAlignment="0" applyProtection="0"/>
    <xf numFmtId="0" fontId="64" fillId="57" borderId="102" applyNumberFormat="0" applyAlignment="0" applyProtection="0"/>
    <xf numFmtId="0" fontId="60" fillId="44" borderId="103" applyNumberFormat="0" applyAlignment="0" applyProtection="0"/>
    <xf numFmtId="0" fontId="36" fillId="35" borderId="109">
      <alignment horizontal="left" vertical="center" wrapText="1" indent="2"/>
    </xf>
    <xf numFmtId="4" fontId="34" fillId="33" borderId="106">
      <alignment horizontal="right" vertical="center"/>
    </xf>
    <xf numFmtId="0" fontId="38" fillId="33" borderId="106">
      <alignment horizontal="right" vertical="center"/>
    </xf>
    <xf numFmtId="0" fontId="36" fillId="34" borderId="106"/>
    <xf numFmtId="4" fontId="34" fillId="35" borderId="108">
      <alignment horizontal="right" vertical="center"/>
    </xf>
    <xf numFmtId="0" fontId="36" fillId="0" borderId="106" applyNumberFormat="0" applyFill="0" applyAlignment="0" applyProtection="0"/>
    <xf numFmtId="4" fontId="36" fillId="0" borderId="106">
      <alignment horizontal="right" vertical="center"/>
    </xf>
    <xf numFmtId="49" fontId="36" fillId="0" borderId="106" applyNumberFormat="0" applyFont="0" applyFill="0" applyBorder="0" applyProtection="0">
      <alignment horizontal="left" vertical="center" indent="2"/>
    </xf>
    <xf numFmtId="0" fontId="47" fillId="57" borderId="103" applyNumberFormat="0" applyAlignment="0" applyProtection="0"/>
    <xf numFmtId="0" fontId="13" fillId="20" borderId="0" applyNumberFormat="0" applyBorder="0" applyAlignment="0" applyProtection="0"/>
    <xf numFmtId="0" fontId="13" fillId="32" borderId="0" applyNumberFormat="0" applyBorder="0" applyAlignment="0" applyProtection="0"/>
    <xf numFmtId="0" fontId="45" fillId="57" borderId="102" applyNumberFormat="0" applyAlignment="0" applyProtection="0"/>
    <xf numFmtId="174" fontId="36" fillId="61" borderId="106" applyNumberFormat="0" applyFont="0" applyBorder="0" applyAlignment="0" applyProtection="0">
      <alignment horizontal="right" vertical="center"/>
    </xf>
    <xf numFmtId="0" fontId="13" fillId="26" borderId="0" applyNumberFormat="0" applyBorder="0" applyAlignment="0" applyProtection="0"/>
    <xf numFmtId="0" fontId="28" fillId="28" borderId="0" applyNumberFormat="0" applyBorder="0" applyAlignment="0" applyProtection="0"/>
    <xf numFmtId="0" fontId="13" fillId="29" borderId="0" applyNumberFormat="0" applyBorder="0" applyAlignment="0" applyProtection="0"/>
    <xf numFmtId="174" fontId="36" fillId="61" borderId="106" applyNumberFormat="0" applyFont="0" applyBorder="0" applyAlignment="0" applyProtection="0">
      <alignment horizontal="right" vertical="center"/>
    </xf>
    <xf numFmtId="0" fontId="13" fillId="23" borderId="0" applyNumberFormat="0" applyBorder="0" applyAlignment="0" applyProtection="0"/>
    <xf numFmtId="0" fontId="60" fillId="44" borderId="103" applyNumberFormat="0" applyAlignment="0" applyProtection="0"/>
    <xf numFmtId="0" fontId="28" fillId="21" borderId="0" applyNumberFormat="0" applyBorder="0" applyAlignment="0" applyProtection="0"/>
    <xf numFmtId="0" fontId="28" fillId="15" borderId="0" applyNumberFormat="0" applyBorder="0" applyAlignment="0" applyProtection="0"/>
    <xf numFmtId="0" fontId="48" fillId="57" borderId="103" applyNumberFormat="0" applyAlignment="0" applyProtection="0"/>
    <xf numFmtId="0" fontId="60" fillId="44" borderId="103" applyNumberFormat="0" applyAlignment="0" applyProtection="0"/>
    <xf numFmtId="0" fontId="13" fillId="32" borderId="0" applyNumberFormat="0" applyBorder="0" applyAlignment="0" applyProtection="0"/>
    <xf numFmtId="0" fontId="45" fillId="57" borderId="102" applyNumberFormat="0" applyAlignment="0" applyProtection="0"/>
    <xf numFmtId="4" fontId="34" fillId="35" borderId="98">
      <alignment horizontal="right" vertical="center"/>
    </xf>
    <xf numFmtId="0" fontId="36" fillId="34" borderId="98"/>
    <xf numFmtId="0" fontId="47" fillId="57" borderId="95" applyNumberFormat="0" applyAlignment="0" applyProtection="0"/>
    <xf numFmtId="0" fontId="34" fillId="33" borderId="98">
      <alignment horizontal="right" vertical="center"/>
    </xf>
    <xf numFmtId="0" fontId="36" fillId="0" borderId="98">
      <alignment horizontal="right" vertical="center"/>
    </xf>
    <xf numFmtId="0" fontId="67" fillId="0" borderId="96" applyNumberFormat="0" applyFill="0" applyAlignment="0" applyProtection="0"/>
    <xf numFmtId="0" fontId="36" fillId="33" borderId="99">
      <alignment horizontal="left" vertical="center"/>
    </xf>
    <xf numFmtId="0" fontId="60" fillId="44" borderId="95" applyNumberFormat="0" applyAlignment="0" applyProtection="0"/>
    <xf numFmtId="174" fontId="36" fillId="61" borderId="98" applyNumberFormat="0" applyFont="0" applyBorder="0" applyAlignment="0" applyProtection="0">
      <alignment horizontal="right" vertical="center"/>
    </xf>
    <xf numFmtId="0" fontId="42" fillId="60" borderId="97" applyNumberFormat="0" applyFont="0" applyAlignment="0" applyProtection="0"/>
    <xf numFmtId="0" fontId="36" fillId="0" borderId="101">
      <alignment horizontal="left" vertical="center" wrapText="1" indent="2"/>
    </xf>
    <xf numFmtId="4" fontId="36" fillId="34" borderId="98"/>
    <xf numFmtId="49" fontId="35" fillId="0" borderId="98" applyNumberFormat="0" applyFill="0" applyBorder="0" applyProtection="0">
      <alignment horizontal="left" vertical="center"/>
    </xf>
    <xf numFmtId="0" fontId="36" fillId="0" borderId="98">
      <alignment horizontal="right" vertical="center"/>
    </xf>
    <xf numFmtId="4" fontId="34" fillId="35" borderId="100">
      <alignment horizontal="right" vertical="center"/>
    </xf>
    <xf numFmtId="4" fontId="34" fillId="35" borderId="98">
      <alignment horizontal="right" vertical="center"/>
    </xf>
    <xf numFmtId="4" fontId="34" fillId="35" borderId="98">
      <alignment horizontal="right" vertical="center"/>
    </xf>
    <xf numFmtId="0" fontId="38" fillId="33" borderId="98">
      <alignment horizontal="right" vertical="center"/>
    </xf>
    <xf numFmtId="0" fontId="34" fillId="33" borderId="98">
      <alignment horizontal="right" vertical="center"/>
    </xf>
    <xf numFmtId="49" fontId="36" fillId="0" borderId="98" applyNumberFormat="0" applyFont="0" applyFill="0" applyBorder="0" applyProtection="0">
      <alignment horizontal="left" vertical="center" indent="2"/>
    </xf>
    <xf numFmtId="0" fontId="60" fillId="44" borderId="95" applyNumberFormat="0" applyAlignment="0" applyProtection="0"/>
    <xf numFmtId="0" fontId="45" fillId="57" borderId="94" applyNumberFormat="0" applyAlignment="0" applyProtection="0"/>
    <xf numFmtId="49" fontId="36" fillId="0" borderId="98" applyNumberFormat="0" applyFont="0" applyFill="0" applyBorder="0" applyProtection="0">
      <alignment horizontal="left" vertical="center" indent="2"/>
    </xf>
    <xf numFmtId="0" fontId="51" fillId="44" borderId="95" applyNumberFormat="0" applyAlignment="0" applyProtection="0"/>
    <xf numFmtId="4" fontId="36" fillId="0" borderId="98" applyFill="0" applyBorder="0" applyProtection="0">
      <alignment horizontal="right" vertical="center"/>
    </xf>
    <xf numFmtId="0" fontId="48" fillId="57" borderId="95" applyNumberFormat="0" applyAlignment="0" applyProtection="0"/>
    <xf numFmtId="0" fontId="67" fillId="0" borderId="96" applyNumberFormat="0" applyFill="0" applyAlignment="0" applyProtection="0"/>
    <xf numFmtId="0" fontId="64" fillId="57" borderId="94" applyNumberFormat="0" applyAlignment="0" applyProtection="0"/>
    <xf numFmtId="0" fontId="36" fillId="0" borderId="98" applyNumberFormat="0" applyFill="0" applyAlignment="0" applyProtection="0"/>
    <xf numFmtId="4" fontId="36" fillId="0" borderId="98">
      <alignment horizontal="right" vertical="center"/>
    </xf>
    <xf numFmtId="0" fontId="36" fillId="0" borderId="98">
      <alignment horizontal="right" vertical="center"/>
    </xf>
    <xf numFmtId="0" fontId="60" fillId="44" borderId="95" applyNumberFormat="0" applyAlignment="0" applyProtection="0"/>
    <xf numFmtId="0" fontId="45" fillId="57" borderId="94" applyNumberFormat="0" applyAlignment="0" applyProtection="0"/>
    <xf numFmtId="0" fontId="47" fillId="57" borderId="95" applyNumberFormat="0" applyAlignment="0" applyProtection="0"/>
    <xf numFmtId="0" fontId="36" fillId="35" borderId="101">
      <alignment horizontal="left" vertical="center" wrapText="1" indent="2"/>
    </xf>
    <xf numFmtId="0" fontId="48" fillId="57" borderId="95" applyNumberFormat="0" applyAlignment="0" applyProtection="0"/>
    <xf numFmtId="0" fontId="48" fillId="57" borderId="95" applyNumberFormat="0" applyAlignment="0" applyProtection="0"/>
    <xf numFmtId="4" fontId="34" fillId="35" borderId="99">
      <alignment horizontal="right" vertical="center"/>
    </xf>
    <xf numFmtId="0" fontId="34" fillId="35" borderId="99">
      <alignment horizontal="right" vertical="center"/>
    </xf>
    <xf numFmtId="0" fontId="34" fillId="35" borderId="98">
      <alignment horizontal="right" vertical="center"/>
    </xf>
    <xf numFmtId="4" fontId="38" fillId="33" borderId="98">
      <alignment horizontal="right" vertical="center"/>
    </xf>
    <xf numFmtId="0" fontId="51" fillId="44" borderId="95" applyNumberFormat="0" applyAlignment="0" applyProtection="0"/>
    <xf numFmtId="0" fontId="52" fillId="0" borderId="96" applyNumberFormat="0" applyFill="0" applyAlignment="0" applyProtection="0"/>
    <xf numFmtId="0" fontId="67" fillId="0" borderId="96" applyNumberFormat="0" applyFill="0" applyAlignment="0" applyProtection="0"/>
    <xf numFmtId="0" fontId="42" fillId="60" borderId="97" applyNumberFormat="0" applyFont="0" applyAlignment="0" applyProtection="0"/>
    <xf numFmtId="0" fontId="60" fillId="44" borderId="95" applyNumberFormat="0" applyAlignment="0" applyProtection="0"/>
    <xf numFmtId="49" fontId="35" fillId="0" borderId="98" applyNumberFormat="0" applyFill="0" applyBorder="0" applyProtection="0">
      <alignment horizontal="left" vertical="center"/>
    </xf>
    <xf numFmtId="0" fontId="36" fillId="35" borderId="101">
      <alignment horizontal="left" vertical="center" wrapText="1" indent="2"/>
    </xf>
    <xf numFmtId="0" fontId="48" fillId="57" borderId="95" applyNumberFormat="0" applyAlignment="0" applyProtection="0"/>
    <xf numFmtId="0" fontId="36" fillId="0" borderId="101">
      <alignment horizontal="left" vertical="center" wrapText="1" indent="2"/>
    </xf>
    <xf numFmtId="0" fontId="42" fillId="60" borderId="97" applyNumberFormat="0" applyFont="0" applyAlignment="0" applyProtection="0"/>
    <xf numFmtId="0" fontId="5" fillId="60" borderId="97" applyNumberFormat="0" applyFont="0" applyAlignment="0" applyProtection="0"/>
    <xf numFmtId="0" fontId="64" fillId="57" borderId="94" applyNumberFormat="0" applyAlignment="0" applyProtection="0"/>
    <xf numFmtId="0" fontId="67" fillId="0" borderId="96" applyNumberFormat="0" applyFill="0" applyAlignment="0" applyProtection="0"/>
    <xf numFmtId="4" fontId="36" fillId="34" borderId="98"/>
    <xf numFmtId="0" fontId="34" fillId="35" borderId="98">
      <alignment horizontal="right" vertical="center"/>
    </xf>
    <xf numFmtId="0" fontId="67" fillId="0" borderId="96" applyNumberFormat="0" applyFill="0" applyAlignment="0" applyProtection="0"/>
    <xf numFmtId="4" fontId="34" fillId="35" borderId="100">
      <alignment horizontal="right" vertical="center"/>
    </xf>
    <xf numFmtId="0" fontId="47" fillId="57" borderId="95" applyNumberFormat="0" applyAlignment="0" applyProtection="0"/>
    <xf numFmtId="0" fontId="34" fillId="35" borderId="99">
      <alignment horizontal="right" vertical="center"/>
    </xf>
    <xf numFmtId="0" fontId="48" fillId="57" borderId="95" applyNumberFormat="0" applyAlignment="0" applyProtection="0"/>
    <xf numFmtId="0" fontId="52" fillId="0" borderId="96" applyNumberFormat="0" applyFill="0" applyAlignment="0" applyProtection="0"/>
    <xf numFmtId="0" fontId="42" fillId="60" borderId="97" applyNumberFormat="0" applyFont="0" applyAlignment="0" applyProtection="0"/>
    <xf numFmtId="4" fontId="34" fillId="35" borderId="99">
      <alignment horizontal="right" vertical="center"/>
    </xf>
    <xf numFmtId="0" fontId="36" fillId="35" borderId="101">
      <alignment horizontal="left" vertical="center" wrapText="1" indent="2"/>
    </xf>
    <xf numFmtId="0" fontId="36" fillId="34" borderId="98"/>
    <xf numFmtId="174" fontId="36" fillId="61" borderId="98" applyNumberFormat="0" applyFont="0" applyBorder="0" applyAlignment="0" applyProtection="0">
      <alignment horizontal="right" vertical="center"/>
    </xf>
    <xf numFmtId="0" fontId="36" fillId="0" borderId="98" applyNumberFormat="0" applyFill="0" applyAlignment="0" applyProtection="0"/>
    <xf numFmtId="4" fontId="36" fillId="0" borderId="98" applyFill="0" applyBorder="0" applyProtection="0">
      <alignment horizontal="right" vertical="center"/>
    </xf>
    <xf numFmtId="4" fontId="34" fillId="33" borderId="98">
      <alignment horizontal="right" vertical="center"/>
    </xf>
    <xf numFmtId="0" fontId="52" fillId="0" borderId="96" applyNumberFormat="0" applyFill="0" applyAlignment="0" applyProtection="0"/>
    <xf numFmtId="49" fontId="35" fillId="0" borderId="98" applyNumberFormat="0" applyFill="0" applyBorder="0" applyProtection="0">
      <alignment horizontal="left" vertical="center"/>
    </xf>
    <xf numFmtId="49" fontId="36" fillId="0" borderId="99" applyNumberFormat="0" applyFont="0" applyFill="0" applyBorder="0" applyProtection="0">
      <alignment horizontal="left" vertical="center" indent="5"/>
    </xf>
    <xf numFmtId="0" fontId="36" fillId="33" borderId="99">
      <alignment horizontal="left" vertical="center"/>
    </xf>
    <xf numFmtId="0" fontId="48" fillId="57" borderId="95" applyNumberFormat="0" applyAlignment="0" applyProtection="0"/>
    <xf numFmtId="4" fontId="34" fillId="35" borderId="100">
      <alignment horizontal="right" vertical="center"/>
    </xf>
    <xf numFmtId="0" fontId="60" fillId="44" borderId="95" applyNumberFormat="0" applyAlignment="0" applyProtection="0"/>
    <xf numFmtId="0" fontId="60" fillId="44" borderId="95" applyNumberFormat="0" applyAlignment="0" applyProtection="0"/>
    <xf numFmtId="0" fontId="42" fillId="60" borderId="97" applyNumberFormat="0" applyFont="0" applyAlignment="0" applyProtection="0"/>
    <xf numFmtId="0" fontId="64" fillId="57" borderId="94" applyNumberFormat="0" applyAlignment="0" applyProtection="0"/>
    <xf numFmtId="0" fontId="67" fillId="0" borderId="96" applyNumberFormat="0" applyFill="0" applyAlignment="0" applyProtection="0"/>
    <xf numFmtId="0" fontId="34" fillId="35" borderId="98">
      <alignment horizontal="right" vertical="center"/>
    </xf>
    <xf numFmtId="0" fontId="5" fillId="60" borderId="97" applyNumberFormat="0" applyFont="0" applyAlignment="0" applyProtection="0"/>
    <xf numFmtId="4" fontId="36" fillId="0" borderId="98">
      <alignment horizontal="right" vertical="center"/>
    </xf>
    <xf numFmtId="0" fontId="67" fillId="0" borderId="96" applyNumberFormat="0" applyFill="0" applyAlignment="0" applyProtection="0"/>
    <xf numFmtId="0" fontId="34" fillId="35" borderId="98">
      <alignment horizontal="right" vertical="center"/>
    </xf>
    <xf numFmtId="0" fontId="34" fillId="35" borderId="98">
      <alignment horizontal="right" vertical="center"/>
    </xf>
    <xf numFmtId="4" fontId="38" fillId="33" borderId="98">
      <alignment horizontal="right" vertical="center"/>
    </xf>
    <xf numFmtId="0" fontId="34" fillId="33" borderId="98">
      <alignment horizontal="right" vertical="center"/>
    </xf>
    <xf numFmtId="4" fontId="34" fillId="33" borderId="98">
      <alignment horizontal="right" vertical="center"/>
    </xf>
    <xf numFmtId="0" fontId="38" fillId="33" borderId="98">
      <alignment horizontal="right" vertical="center"/>
    </xf>
    <xf numFmtId="4" fontId="38" fillId="33" borderId="98">
      <alignment horizontal="right" vertical="center"/>
    </xf>
    <xf numFmtId="0" fontId="34" fillId="35" borderId="98">
      <alignment horizontal="right" vertical="center"/>
    </xf>
    <xf numFmtId="4" fontId="34" fillId="35" borderId="98">
      <alignment horizontal="right" vertical="center"/>
    </xf>
    <xf numFmtId="0" fontId="34" fillId="35" borderId="98">
      <alignment horizontal="right" vertical="center"/>
    </xf>
    <xf numFmtId="4" fontId="34" fillId="35" borderId="98">
      <alignment horizontal="right" vertical="center"/>
    </xf>
    <xf numFmtId="0" fontId="34" fillId="35" borderId="99">
      <alignment horizontal="right" vertical="center"/>
    </xf>
    <xf numFmtId="4" fontId="34" fillId="35" borderId="99">
      <alignment horizontal="right" vertical="center"/>
    </xf>
    <xf numFmtId="0" fontId="34" fillId="35" borderId="100">
      <alignment horizontal="right" vertical="center"/>
    </xf>
    <xf numFmtId="4" fontId="34" fillId="35" borderId="100">
      <alignment horizontal="right" vertical="center"/>
    </xf>
    <xf numFmtId="0" fontId="48" fillId="57" borderId="95" applyNumberFormat="0" applyAlignment="0" applyProtection="0"/>
    <xf numFmtId="0" fontId="36" fillId="35" borderId="101">
      <alignment horizontal="left" vertical="center" wrapText="1" indent="2"/>
    </xf>
    <xf numFmtId="0" fontId="36" fillId="0" borderId="101">
      <alignment horizontal="left" vertical="center" wrapText="1" indent="2"/>
    </xf>
    <xf numFmtId="0" fontId="36" fillId="33" borderId="99">
      <alignment horizontal="left" vertical="center"/>
    </xf>
    <xf numFmtId="0" fontId="60" fillId="44" borderId="95" applyNumberFormat="0" applyAlignment="0" applyProtection="0"/>
    <xf numFmtId="0" fontId="36" fillId="0" borderId="98">
      <alignment horizontal="right" vertical="center"/>
    </xf>
    <xf numFmtId="4" fontId="36" fillId="0" borderId="98">
      <alignment horizontal="right" vertical="center"/>
    </xf>
    <xf numFmtId="0" fontId="36" fillId="0" borderId="98" applyNumberFormat="0" applyFill="0" applyAlignment="0" applyProtection="0"/>
    <xf numFmtId="0" fontId="64" fillId="57" borderId="94" applyNumberFormat="0" applyAlignment="0" applyProtection="0"/>
    <xf numFmtId="174" fontId="36" fillId="61" borderId="98" applyNumberFormat="0" applyFont="0" applyBorder="0" applyAlignment="0" applyProtection="0">
      <alignment horizontal="right" vertical="center"/>
    </xf>
    <xf numFmtId="0" fontId="36" fillId="34" borderId="98"/>
    <xf numFmtId="4" fontId="36" fillId="34" borderId="98"/>
    <xf numFmtId="0" fontId="67" fillId="0" borderId="96" applyNumberFormat="0" applyFill="0" applyAlignment="0" applyProtection="0"/>
    <xf numFmtId="0" fontId="5" fillId="60" borderId="97" applyNumberFormat="0" applyFont="0" applyAlignment="0" applyProtection="0"/>
    <xf numFmtId="0" fontId="42" fillId="60" borderId="97" applyNumberFormat="0" applyFont="0" applyAlignment="0" applyProtection="0"/>
    <xf numFmtId="0" fontId="36" fillId="0" borderId="98" applyNumberFormat="0" applyFill="0" applyAlignment="0" applyProtection="0"/>
    <xf numFmtId="0" fontId="52" fillId="0" borderId="96" applyNumberFormat="0" applyFill="0" applyAlignment="0" applyProtection="0"/>
    <xf numFmtId="0" fontId="67" fillId="0" borderId="96" applyNumberFormat="0" applyFill="0" applyAlignment="0" applyProtection="0"/>
    <xf numFmtId="0" fontId="51" fillId="44" borderId="95" applyNumberFormat="0" applyAlignment="0" applyProtection="0"/>
    <xf numFmtId="0" fontId="48" fillId="57" borderId="95" applyNumberFormat="0" applyAlignment="0" applyProtection="0"/>
    <xf numFmtId="4" fontId="38" fillId="33" borderId="98">
      <alignment horizontal="right" vertical="center"/>
    </xf>
    <xf numFmtId="0" fontId="34" fillId="33" borderId="98">
      <alignment horizontal="right" vertical="center"/>
    </xf>
    <xf numFmtId="174" fontId="36" fillId="61" borderId="98" applyNumberFormat="0" applyFont="0" applyBorder="0" applyAlignment="0" applyProtection="0">
      <alignment horizontal="right" vertical="center"/>
    </xf>
    <xf numFmtId="0" fontId="52" fillId="0" borderId="96" applyNumberFormat="0" applyFill="0" applyAlignment="0" applyProtection="0"/>
    <xf numFmtId="49" fontId="36" fillId="0" borderId="98" applyNumberFormat="0" applyFont="0" applyFill="0" applyBorder="0" applyProtection="0">
      <alignment horizontal="left" vertical="center" indent="2"/>
    </xf>
    <xf numFmtId="49" fontId="36" fillId="0" borderId="99" applyNumberFormat="0" applyFont="0" applyFill="0" applyBorder="0" applyProtection="0">
      <alignment horizontal="left" vertical="center" indent="5"/>
    </xf>
    <xf numFmtId="49" fontId="36" fillId="0" borderId="98" applyNumberFormat="0" applyFont="0" applyFill="0" applyBorder="0" applyProtection="0">
      <alignment horizontal="left" vertical="center" indent="2"/>
    </xf>
    <xf numFmtId="4" fontId="36" fillId="0" borderId="98" applyFill="0" applyBorder="0" applyProtection="0">
      <alignment horizontal="right" vertical="center"/>
    </xf>
    <xf numFmtId="49" fontId="35" fillId="0" borderId="98" applyNumberFormat="0" applyFill="0" applyBorder="0" applyProtection="0">
      <alignment horizontal="left" vertical="center"/>
    </xf>
    <xf numFmtId="0" fontId="36" fillId="0" borderId="101">
      <alignment horizontal="left" vertical="center" wrapText="1" indent="2"/>
    </xf>
    <xf numFmtId="0" fontId="64" fillId="57" borderId="94" applyNumberFormat="0" applyAlignment="0" applyProtection="0"/>
    <xf numFmtId="0" fontId="34" fillId="35" borderId="100">
      <alignment horizontal="right" vertical="center"/>
    </xf>
    <xf numFmtId="0" fontId="51" fillId="44" borderId="95" applyNumberFormat="0" applyAlignment="0" applyProtection="0"/>
    <xf numFmtId="0" fontId="34" fillId="35" borderId="100">
      <alignment horizontal="right" vertical="center"/>
    </xf>
    <xf numFmtId="4" fontId="34" fillId="35" borderId="98">
      <alignment horizontal="right" vertical="center"/>
    </xf>
    <xf numFmtId="0" fontId="34" fillId="35" borderId="98">
      <alignment horizontal="right" vertical="center"/>
    </xf>
    <xf numFmtId="0" fontId="45" fillId="57" borderId="94" applyNumberFormat="0" applyAlignment="0" applyProtection="0"/>
    <xf numFmtId="0" fontId="47" fillId="57" borderId="95" applyNumberFormat="0" applyAlignment="0" applyProtection="0"/>
    <xf numFmtId="0" fontId="52" fillId="0" borderId="96" applyNumberFormat="0" applyFill="0" applyAlignment="0" applyProtection="0"/>
    <xf numFmtId="0" fontId="36" fillId="34" borderId="98"/>
    <xf numFmtId="4" fontId="36" fillId="34" borderId="98"/>
    <xf numFmtId="4" fontId="34" fillId="35" borderId="98">
      <alignment horizontal="right" vertical="center"/>
    </xf>
    <xf numFmtId="0" fontId="38" fillId="33" borderId="98">
      <alignment horizontal="right" vertical="center"/>
    </xf>
    <xf numFmtId="0" fontId="51" fillId="44" borderId="95" applyNumberFormat="0" applyAlignment="0" applyProtection="0"/>
    <xf numFmtId="0" fontId="48" fillId="57" borderId="95" applyNumberFormat="0" applyAlignment="0" applyProtection="0"/>
    <xf numFmtId="4" fontId="36" fillId="0" borderId="98">
      <alignment horizontal="right" vertical="center"/>
    </xf>
    <xf numFmtId="0" fontId="36" fillId="35" borderId="101">
      <alignment horizontal="left" vertical="center" wrapText="1" indent="2"/>
    </xf>
    <xf numFmtId="0" fontId="36" fillId="0" borderId="101">
      <alignment horizontal="left" vertical="center" wrapText="1" indent="2"/>
    </xf>
    <xf numFmtId="0" fontId="64" fillId="57" borderId="94" applyNumberFormat="0" applyAlignment="0" applyProtection="0"/>
    <xf numFmtId="0" fontId="60" fillId="44" borderId="95" applyNumberFormat="0" applyAlignment="0" applyProtection="0"/>
    <xf numFmtId="0" fontId="47" fillId="57" borderId="95" applyNumberFormat="0" applyAlignment="0" applyProtection="0"/>
    <xf numFmtId="0" fontId="45" fillId="57" borderId="94" applyNumberFormat="0" applyAlignment="0" applyProtection="0"/>
    <xf numFmtId="0" fontId="34" fillId="35" borderId="100">
      <alignment horizontal="right" vertical="center"/>
    </xf>
    <xf numFmtId="0" fontId="38" fillId="33" borderId="98">
      <alignment horizontal="right" vertical="center"/>
    </xf>
    <xf numFmtId="4" fontId="34" fillId="33" borderId="98">
      <alignment horizontal="right" vertical="center"/>
    </xf>
    <xf numFmtId="4" fontId="34" fillId="35" borderId="98">
      <alignment horizontal="right" vertical="center"/>
    </xf>
    <xf numFmtId="49" fontId="36" fillId="0" borderId="99" applyNumberFormat="0" applyFont="0" applyFill="0" applyBorder="0" applyProtection="0">
      <alignment horizontal="left" vertical="center" indent="5"/>
    </xf>
    <xf numFmtId="4" fontId="36" fillId="0" borderId="98" applyFill="0" applyBorder="0" applyProtection="0">
      <alignment horizontal="right" vertical="center"/>
    </xf>
    <xf numFmtId="4" fontId="34" fillId="33" borderId="98">
      <alignment horizontal="right" vertical="center"/>
    </xf>
    <xf numFmtId="0" fontId="67" fillId="0" borderId="104" applyNumberFormat="0" applyFill="0" applyAlignment="0" applyProtection="0"/>
    <xf numFmtId="0" fontId="60" fillId="44" borderId="95" applyNumberFormat="0" applyAlignment="0" applyProtection="0"/>
    <xf numFmtId="0" fontId="51" fillId="44" borderId="95" applyNumberFormat="0" applyAlignment="0" applyProtection="0"/>
    <xf numFmtId="0" fontId="47" fillId="57" borderId="95" applyNumberFormat="0" applyAlignment="0" applyProtection="0"/>
    <xf numFmtId="0" fontId="36" fillId="35" borderId="101">
      <alignment horizontal="left" vertical="center" wrapText="1" indent="2"/>
    </xf>
    <xf numFmtId="0" fontId="36" fillId="0" borderId="101">
      <alignment horizontal="left" vertical="center" wrapText="1" indent="2"/>
    </xf>
    <xf numFmtId="0" fontId="36" fillId="35" borderId="101">
      <alignment horizontal="left" vertical="center" wrapText="1" indent="2"/>
    </xf>
    <xf numFmtId="0" fontId="36" fillId="0" borderId="101">
      <alignment horizontal="left" vertical="center" wrapText="1" indent="2"/>
    </xf>
    <xf numFmtId="0" fontId="45" fillId="57" borderId="94" applyNumberFormat="0" applyAlignment="0" applyProtection="0"/>
    <xf numFmtId="0" fontId="47" fillId="57" borderId="95" applyNumberFormat="0" applyAlignment="0" applyProtection="0"/>
    <xf numFmtId="0" fontId="48" fillId="57" borderId="95" applyNumberFormat="0" applyAlignment="0" applyProtection="0"/>
    <xf numFmtId="0" fontId="51" fillId="44" borderId="95" applyNumberFormat="0" applyAlignment="0" applyProtection="0"/>
    <xf numFmtId="0" fontId="52" fillId="0" borderId="96" applyNumberFormat="0" applyFill="0" applyAlignment="0" applyProtection="0"/>
    <xf numFmtId="0" fontId="60" fillId="44" borderId="95" applyNumberFormat="0" applyAlignment="0" applyProtection="0"/>
    <xf numFmtId="0" fontId="42" fillId="60" borderId="97" applyNumberFormat="0" applyFont="0" applyAlignment="0" applyProtection="0"/>
    <xf numFmtId="0" fontId="5" fillId="60" borderId="97" applyNumberFormat="0" applyFont="0" applyAlignment="0" applyProtection="0"/>
    <xf numFmtId="0" fontId="64" fillId="57" borderId="94" applyNumberFormat="0" applyAlignment="0" applyProtection="0"/>
    <xf numFmtId="0" fontId="67" fillId="0" borderId="96" applyNumberFormat="0" applyFill="0" applyAlignment="0" applyProtection="0"/>
    <xf numFmtId="0" fontId="48" fillId="57" borderId="95" applyNumberFormat="0" applyAlignment="0" applyProtection="0"/>
    <xf numFmtId="0" fontId="60" fillId="44" borderId="95" applyNumberFormat="0" applyAlignment="0" applyProtection="0"/>
    <xf numFmtId="0" fontId="42" fillId="60" borderId="97" applyNumberFormat="0" applyFont="0" applyAlignment="0" applyProtection="0"/>
    <xf numFmtId="0" fontId="64" fillId="57" borderId="94" applyNumberFormat="0" applyAlignment="0" applyProtection="0"/>
    <xf numFmtId="0" fontId="67" fillId="0" borderId="96" applyNumberFormat="0" applyFill="0" applyAlignment="0" applyProtection="0"/>
    <xf numFmtId="4" fontId="38" fillId="33" borderId="106">
      <alignment horizontal="right" vertical="center"/>
    </xf>
    <xf numFmtId="0" fontId="52" fillId="0" borderId="104" applyNumberFormat="0" applyFill="0" applyAlignment="0" applyProtection="0"/>
    <xf numFmtId="0" fontId="47" fillId="57" borderId="103" applyNumberFormat="0" applyAlignment="0" applyProtection="0"/>
    <xf numFmtId="0" fontId="48" fillId="57" borderId="95" applyNumberFormat="0" applyAlignment="0" applyProtection="0"/>
    <xf numFmtId="4" fontId="34" fillId="33" borderId="106">
      <alignment horizontal="right" vertical="center"/>
    </xf>
    <xf numFmtId="0" fontId="47" fillId="57" borderId="103" applyNumberFormat="0" applyAlignment="0" applyProtection="0"/>
    <xf numFmtId="0" fontId="60" fillId="44" borderId="95" applyNumberFormat="0" applyAlignment="0" applyProtection="0"/>
    <xf numFmtId="0" fontId="64" fillId="57" borderId="94" applyNumberFormat="0" applyAlignment="0" applyProtection="0"/>
    <xf numFmtId="0" fontId="67" fillId="0" borderId="96" applyNumberFormat="0" applyFill="0" applyAlignment="0" applyProtection="0"/>
    <xf numFmtId="49" fontId="36" fillId="0" borderId="106" applyNumberFormat="0" applyFont="0" applyFill="0" applyBorder="0" applyProtection="0">
      <alignment horizontal="left" vertical="center" indent="2"/>
    </xf>
    <xf numFmtId="0" fontId="45" fillId="57" borderId="94" applyNumberFormat="0" applyAlignment="0" applyProtection="0"/>
    <xf numFmtId="0" fontId="47" fillId="57" borderId="95" applyNumberFormat="0" applyAlignment="0" applyProtection="0"/>
    <xf numFmtId="0" fontId="52" fillId="0" borderId="96" applyNumberFormat="0" applyFill="0" applyAlignment="0" applyProtection="0"/>
    <xf numFmtId="49" fontId="36" fillId="0" borderId="98" applyNumberFormat="0" applyFont="0" applyFill="0" applyBorder="0" applyProtection="0">
      <alignment horizontal="left" vertical="center" indent="2"/>
    </xf>
    <xf numFmtId="0" fontId="34" fillId="33" borderId="98">
      <alignment horizontal="right" vertical="center"/>
    </xf>
    <xf numFmtId="4" fontId="34" fillId="33" borderId="98">
      <alignment horizontal="right" vertical="center"/>
    </xf>
    <xf numFmtId="0" fontId="38" fillId="33" borderId="98">
      <alignment horizontal="right" vertical="center"/>
    </xf>
    <xf numFmtId="4" fontId="38" fillId="33" borderId="98">
      <alignment horizontal="right" vertical="center"/>
    </xf>
    <xf numFmtId="0" fontId="34" fillId="35" borderId="98">
      <alignment horizontal="right" vertical="center"/>
    </xf>
    <xf numFmtId="4" fontId="34" fillId="35" borderId="98">
      <alignment horizontal="right" vertical="center"/>
    </xf>
    <xf numFmtId="0" fontId="34" fillId="35" borderId="98">
      <alignment horizontal="right" vertical="center"/>
    </xf>
    <xf numFmtId="4" fontId="34" fillId="35" borderId="98">
      <alignment horizontal="right" vertical="center"/>
    </xf>
    <xf numFmtId="0" fontId="51" fillId="44" borderId="95" applyNumberFormat="0" applyAlignment="0" applyProtection="0"/>
    <xf numFmtId="0" fontId="36" fillId="0" borderId="98">
      <alignment horizontal="right" vertical="center"/>
    </xf>
    <xf numFmtId="4" fontId="36" fillId="0" borderId="98">
      <alignment horizontal="right" vertical="center"/>
    </xf>
    <xf numFmtId="4" fontId="36" fillId="0" borderId="98" applyFill="0" applyBorder="0" applyProtection="0">
      <alignment horizontal="right" vertical="center"/>
    </xf>
    <xf numFmtId="49" fontId="35" fillId="0" borderId="98" applyNumberFormat="0" applyFill="0" applyBorder="0" applyProtection="0">
      <alignment horizontal="left" vertical="center"/>
    </xf>
    <xf numFmtId="0" fontId="36" fillId="0" borderId="98" applyNumberFormat="0" applyFill="0" applyAlignment="0" applyProtection="0"/>
    <xf numFmtId="174" fontId="36" fillId="61" borderId="98" applyNumberFormat="0" applyFont="0" applyBorder="0" applyAlignment="0" applyProtection="0">
      <alignment horizontal="right" vertical="center"/>
    </xf>
    <xf numFmtId="0" fontId="36" fillId="34" borderId="98"/>
    <xf numFmtId="4" fontId="36" fillId="34" borderId="98"/>
    <xf numFmtId="4" fontId="34" fillId="35" borderId="98">
      <alignment horizontal="right" vertical="center"/>
    </xf>
    <xf numFmtId="0" fontId="36" fillId="34" borderId="98"/>
    <xf numFmtId="0" fontId="47" fillId="57" borderId="95" applyNumberFormat="0" applyAlignment="0" applyProtection="0"/>
    <xf numFmtId="0" fontId="34" fillId="33" borderId="98">
      <alignment horizontal="right" vertical="center"/>
    </xf>
    <xf numFmtId="0" fontId="36" fillId="0" borderId="98">
      <alignment horizontal="right" vertical="center"/>
    </xf>
    <xf numFmtId="0" fontId="67" fillId="0" borderId="96" applyNumberFormat="0" applyFill="0" applyAlignment="0" applyProtection="0"/>
    <xf numFmtId="0" fontId="36" fillId="33" borderId="99">
      <alignment horizontal="left" vertical="center"/>
    </xf>
    <xf numFmtId="0" fontId="60" fillId="44" borderId="95" applyNumberFormat="0" applyAlignment="0" applyProtection="0"/>
    <xf numFmtId="174" fontId="36" fillId="61" borderId="98" applyNumberFormat="0" applyFont="0" applyBorder="0" applyAlignment="0" applyProtection="0">
      <alignment horizontal="right" vertical="center"/>
    </xf>
    <xf numFmtId="0" fontId="42" fillId="60" borderId="97" applyNumberFormat="0" applyFont="0" applyAlignment="0" applyProtection="0"/>
    <xf numFmtId="0" fontId="36" fillId="0" borderId="101">
      <alignment horizontal="left" vertical="center" wrapText="1" indent="2"/>
    </xf>
    <xf numFmtId="4" fontId="36" fillId="34" borderId="98"/>
    <xf numFmtId="49" fontId="35" fillId="0" borderId="98" applyNumberFormat="0" applyFill="0" applyBorder="0" applyProtection="0">
      <alignment horizontal="left" vertical="center"/>
    </xf>
    <xf numFmtId="0" fontId="36" fillId="0" borderId="98">
      <alignment horizontal="right" vertical="center"/>
    </xf>
    <xf numFmtId="4" fontId="34" fillId="35" borderId="100">
      <alignment horizontal="right" vertical="center"/>
    </xf>
    <xf numFmtId="4" fontId="34" fillId="35" borderId="98">
      <alignment horizontal="right" vertical="center"/>
    </xf>
    <xf numFmtId="4" fontId="34" fillId="35" borderId="98">
      <alignment horizontal="right" vertical="center"/>
    </xf>
    <xf numFmtId="0" fontId="38" fillId="33" borderId="98">
      <alignment horizontal="right" vertical="center"/>
    </xf>
    <xf numFmtId="0" fontId="34" fillId="33" borderId="98">
      <alignment horizontal="right" vertical="center"/>
    </xf>
    <xf numFmtId="49" fontId="36" fillId="0" borderId="98" applyNumberFormat="0" applyFont="0" applyFill="0" applyBorder="0" applyProtection="0">
      <alignment horizontal="left" vertical="center" indent="2"/>
    </xf>
    <xf numFmtId="0" fontId="60" fillId="44" borderId="95" applyNumberFormat="0" applyAlignment="0" applyProtection="0"/>
    <xf numFmtId="0" fontId="45" fillId="57" borderId="94" applyNumberFormat="0" applyAlignment="0" applyProtection="0"/>
    <xf numFmtId="49" fontId="36" fillId="0" borderId="98" applyNumberFormat="0" applyFont="0" applyFill="0" applyBorder="0" applyProtection="0">
      <alignment horizontal="left" vertical="center" indent="2"/>
    </xf>
    <xf numFmtId="0" fontId="51" fillId="44" borderId="95" applyNumberFormat="0" applyAlignment="0" applyProtection="0"/>
    <xf numFmtId="4" fontId="36" fillId="0" borderId="98" applyFill="0" applyBorder="0" applyProtection="0">
      <alignment horizontal="right" vertical="center"/>
    </xf>
    <xf numFmtId="0" fontId="48" fillId="57" borderId="95" applyNumberFormat="0" applyAlignment="0" applyProtection="0"/>
    <xf numFmtId="0" fontId="67" fillId="0" borderId="96" applyNumberFormat="0" applyFill="0" applyAlignment="0" applyProtection="0"/>
    <xf numFmtId="0" fontId="64" fillId="57" borderId="94" applyNumberFormat="0" applyAlignment="0" applyProtection="0"/>
    <xf numFmtId="0" fontId="36" fillId="0" borderId="98" applyNumberFormat="0" applyFill="0" applyAlignment="0" applyProtection="0"/>
    <xf numFmtId="4" fontId="36" fillId="0" borderId="98">
      <alignment horizontal="right" vertical="center"/>
    </xf>
    <xf numFmtId="0" fontId="36" fillId="0" borderId="98">
      <alignment horizontal="right" vertical="center"/>
    </xf>
    <xf numFmtId="0" fontId="60" fillId="44" borderId="95" applyNumberFormat="0" applyAlignment="0" applyProtection="0"/>
    <xf numFmtId="0" fontId="45" fillId="57" borderId="94" applyNumberFormat="0" applyAlignment="0" applyProtection="0"/>
    <xf numFmtId="0" fontId="47" fillId="57" borderId="95" applyNumberFormat="0" applyAlignment="0" applyProtection="0"/>
    <xf numFmtId="0" fontId="36" fillId="35" borderId="101">
      <alignment horizontal="left" vertical="center" wrapText="1" indent="2"/>
    </xf>
    <xf numFmtId="0" fontId="48" fillId="57" borderId="95" applyNumberFormat="0" applyAlignment="0" applyProtection="0"/>
    <xf numFmtId="0" fontId="48" fillId="57" borderId="95" applyNumberFormat="0" applyAlignment="0" applyProtection="0"/>
    <xf numFmtId="4" fontId="34" fillId="35" borderId="99">
      <alignment horizontal="right" vertical="center"/>
    </xf>
    <xf numFmtId="0" fontId="34" fillId="35" borderId="99">
      <alignment horizontal="right" vertical="center"/>
    </xf>
    <xf numFmtId="0" fontId="34" fillId="35" borderId="98">
      <alignment horizontal="right" vertical="center"/>
    </xf>
    <xf numFmtId="4" fontId="38" fillId="33" borderId="98">
      <alignment horizontal="right" vertical="center"/>
    </xf>
    <xf numFmtId="0" fontId="51" fillId="44" borderId="95" applyNumberFormat="0" applyAlignment="0" applyProtection="0"/>
    <xf numFmtId="0" fontId="52" fillId="0" borderId="96" applyNumberFormat="0" applyFill="0" applyAlignment="0" applyProtection="0"/>
    <xf numFmtId="0" fontId="67" fillId="0" borderId="96" applyNumberFormat="0" applyFill="0" applyAlignment="0" applyProtection="0"/>
    <xf numFmtId="0" fontId="42" fillId="60" borderId="97" applyNumberFormat="0" applyFont="0" applyAlignment="0" applyProtection="0"/>
    <xf numFmtId="0" fontId="60" fillId="44" borderId="95" applyNumberFormat="0" applyAlignment="0" applyProtection="0"/>
    <xf numFmtId="49" fontId="35" fillId="0" borderId="98" applyNumberFormat="0" applyFill="0" applyBorder="0" applyProtection="0">
      <alignment horizontal="left" vertical="center"/>
    </xf>
    <xf numFmtId="0" fontId="36" fillId="35" borderId="101">
      <alignment horizontal="left" vertical="center" wrapText="1" indent="2"/>
    </xf>
    <xf numFmtId="0" fontId="48" fillId="57" borderId="95" applyNumberFormat="0" applyAlignment="0" applyProtection="0"/>
    <xf numFmtId="0" fontId="36" fillId="0" borderId="101">
      <alignment horizontal="left" vertical="center" wrapText="1" indent="2"/>
    </xf>
    <xf numFmtId="0" fontId="42" fillId="60" borderId="97" applyNumberFormat="0" applyFont="0" applyAlignment="0" applyProtection="0"/>
    <xf numFmtId="0" fontId="5" fillId="60" borderId="97" applyNumberFormat="0" applyFont="0" applyAlignment="0" applyProtection="0"/>
    <xf numFmtId="0" fontId="64" fillId="57" borderId="94" applyNumberFormat="0" applyAlignment="0" applyProtection="0"/>
    <xf numFmtId="0" fontId="67" fillId="0" borderId="96" applyNumberFormat="0" applyFill="0" applyAlignment="0" applyProtection="0"/>
    <xf numFmtId="4" fontId="36" fillId="34" borderId="98"/>
    <xf numFmtId="0" fontId="34" fillId="35" borderId="98">
      <alignment horizontal="right" vertical="center"/>
    </xf>
    <xf numFmtId="0" fontId="67" fillId="0" borderId="96" applyNumberFormat="0" applyFill="0" applyAlignment="0" applyProtection="0"/>
    <xf numFmtId="4" fontId="34" fillId="35" borderId="100">
      <alignment horizontal="right" vertical="center"/>
    </xf>
    <xf numFmtId="0" fontId="47" fillId="57" borderId="95" applyNumberFormat="0" applyAlignment="0" applyProtection="0"/>
    <xf numFmtId="0" fontId="34" fillId="35" borderId="99">
      <alignment horizontal="right" vertical="center"/>
    </xf>
    <xf numFmtId="0" fontId="48" fillId="57" borderId="95" applyNumberFormat="0" applyAlignment="0" applyProtection="0"/>
    <xf numFmtId="0" fontId="52" fillId="0" borderId="96" applyNumberFormat="0" applyFill="0" applyAlignment="0" applyProtection="0"/>
    <xf numFmtId="0" fontId="42" fillId="60" borderId="97" applyNumberFormat="0" applyFont="0" applyAlignment="0" applyProtection="0"/>
    <xf numFmtId="4" fontId="34" fillId="35" borderId="99">
      <alignment horizontal="right" vertical="center"/>
    </xf>
    <xf numFmtId="0" fontId="36" fillId="35" borderId="101">
      <alignment horizontal="left" vertical="center" wrapText="1" indent="2"/>
    </xf>
    <xf numFmtId="0" fontId="36" fillId="34" borderId="98"/>
    <xf numFmtId="174" fontId="36" fillId="61" borderId="98" applyNumberFormat="0" applyFont="0" applyBorder="0" applyAlignment="0" applyProtection="0">
      <alignment horizontal="right" vertical="center"/>
    </xf>
    <xf numFmtId="0" fontId="36" fillId="0" borderId="98" applyNumberFormat="0" applyFill="0" applyAlignment="0" applyProtection="0"/>
    <xf numFmtId="4" fontId="36" fillId="0" borderId="98" applyFill="0" applyBorder="0" applyProtection="0">
      <alignment horizontal="right" vertical="center"/>
    </xf>
    <xf numFmtId="4" fontId="34" fillId="33" borderId="98">
      <alignment horizontal="right" vertical="center"/>
    </xf>
    <xf numFmtId="0" fontId="52" fillId="0" borderId="96" applyNumberFormat="0" applyFill="0" applyAlignment="0" applyProtection="0"/>
    <xf numFmtId="49" fontId="35" fillId="0" borderId="98" applyNumberFormat="0" applyFill="0" applyBorder="0" applyProtection="0">
      <alignment horizontal="left" vertical="center"/>
    </xf>
    <xf numFmtId="49" fontId="36" fillId="0" borderId="99" applyNumberFormat="0" applyFont="0" applyFill="0" applyBorder="0" applyProtection="0">
      <alignment horizontal="left" vertical="center" indent="5"/>
    </xf>
    <xf numFmtId="0" fontId="36" fillId="33" borderId="99">
      <alignment horizontal="left" vertical="center"/>
    </xf>
    <xf numFmtId="0" fontId="48" fillId="57" borderId="95" applyNumberFormat="0" applyAlignment="0" applyProtection="0"/>
    <xf numFmtId="4" fontId="34" fillId="35" borderId="100">
      <alignment horizontal="right" vertical="center"/>
    </xf>
    <xf numFmtId="0" fontId="60" fillId="44" borderId="95" applyNumberFormat="0" applyAlignment="0" applyProtection="0"/>
    <xf numFmtId="0" fontId="60" fillId="44" borderId="95" applyNumberFormat="0" applyAlignment="0" applyProtection="0"/>
    <xf numFmtId="0" fontId="42" fillId="60" borderId="97" applyNumberFormat="0" applyFont="0" applyAlignment="0" applyProtection="0"/>
    <xf numFmtId="0" fontId="64" fillId="57" borderId="94" applyNumberFormat="0" applyAlignment="0" applyProtection="0"/>
    <xf numFmtId="0" fontId="67" fillId="0" borderId="96" applyNumberFormat="0" applyFill="0" applyAlignment="0" applyProtection="0"/>
    <xf numFmtId="0" fontId="34" fillId="35" borderId="98">
      <alignment horizontal="right" vertical="center"/>
    </xf>
    <xf numFmtId="0" fontId="5" fillId="60" borderId="97" applyNumberFormat="0" applyFont="0" applyAlignment="0" applyProtection="0"/>
    <xf numFmtId="4" fontId="36" fillId="0" borderId="98">
      <alignment horizontal="right" vertical="center"/>
    </xf>
    <xf numFmtId="0" fontId="67" fillId="0" borderId="96" applyNumberFormat="0" applyFill="0" applyAlignment="0" applyProtection="0"/>
    <xf numFmtId="0" fontId="34" fillId="35" borderId="98">
      <alignment horizontal="right" vertical="center"/>
    </xf>
    <xf numFmtId="0" fontId="34" fillId="35" borderId="98">
      <alignment horizontal="right" vertical="center"/>
    </xf>
    <xf numFmtId="4" fontId="38" fillId="33" borderId="98">
      <alignment horizontal="right" vertical="center"/>
    </xf>
    <xf numFmtId="0" fontId="34" fillId="33" borderId="98">
      <alignment horizontal="right" vertical="center"/>
    </xf>
    <xf numFmtId="4" fontId="34" fillId="33" borderId="98">
      <alignment horizontal="right" vertical="center"/>
    </xf>
    <xf numFmtId="0" fontId="38" fillId="33" borderId="98">
      <alignment horizontal="right" vertical="center"/>
    </xf>
    <xf numFmtId="4" fontId="38" fillId="33" borderId="98">
      <alignment horizontal="right" vertical="center"/>
    </xf>
    <xf numFmtId="0" fontId="34" fillId="35" borderId="98">
      <alignment horizontal="right" vertical="center"/>
    </xf>
    <xf numFmtId="4" fontId="34" fillId="35" borderId="98">
      <alignment horizontal="right" vertical="center"/>
    </xf>
    <xf numFmtId="0" fontId="34" fillId="35" borderId="98">
      <alignment horizontal="right" vertical="center"/>
    </xf>
    <xf numFmtId="4" fontId="34" fillId="35" borderId="98">
      <alignment horizontal="right" vertical="center"/>
    </xf>
    <xf numFmtId="0" fontId="34" fillId="35" borderId="99">
      <alignment horizontal="right" vertical="center"/>
    </xf>
    <xf numFmtId="4" fontId="34" fillId="35" borderId="99">
      <alignment horizontal="right" vertical="center"/>
    </xf>
    <xf numFmtId="0" fontId="34" fillId="35" borderId="100">
      <alignment horizontal="right" vertical="center"/>
    </xf>
    <xf numFmtId="4" fontId="34" fillId="35" borderId="100">
      <alignment horizontal="right" vertical="center"/>
    </xf>
    <xf numFmtId="0" fontId="48" fillId="57" borderId="95" applyNumberFormat="0" applyAlignment="0" applyProtection="0"/>
    <xf numFmtId="0" fontId="36" fillId="35" borderId="101">
      <alignment horizontal="left" vertical="center" wrapText="1" indent="2"/>
    </xf>
    <xf numFmtId="0" fontId="36" fillId="0" borderId="101">
      <alignment horizontal="left" vertical="center" wrapText="1" indent="2"/>
    </xf>
    <xf numFmtId="0" fontId="36" fillId="33" borderId="99">
      <alignment horizontal="left" vertical="center"/>
    </xf>
    <xf numFmtId="0" fontId="60" fillId="44" borderId="95" applyNumberFormat="0" applyAlignment="0" applyProtection="0"/>
    <xf numFmtId="0" fontId="36" fillId="0" borderId="98">
      <alignment horizontal="right" vertical="center"/>
    </xf>
    <xf numFmtId="4" fontId="36" fillId="0" borderId="98">
      <alignment horizontal="right" vertical="center"/>
    </xf>
    <xf numFmtId="0" fontId="36" fillId="0" borderId="98" applyNumberFormat="0" applyFill="0" applyAlignment="0" applyProtection="0"/>
    <xf numFmtId="0" fontId="64" fillId="57" borderId="94" applyNumberFormat="0" applyAlignment="0" applyProtection="0"/>
    <xf numFmtId="174" fontId="36" fillId="61" borderId="98" applyNumberFormat="0" applyFont="0" applyBorder="0" applyAlignment="0" applyProtection="0">
      <alignment horizontal="right" vertical="center"/>
    </xf>
    <xf numFmtId="0" fontId="36" fillId="34" borderId="98"/>
    <xf numFmtId="4" fontId="36" fillId="34" borderId="98"/>
    <xf numFmtId="0" fontId="67" fillId="0" borderId="96" applyNumberFormat="0" applyFill="0" applyAlignment="0" applyProtection="0"/>
    <xf numFmtId="0" fontId="5" fillId="60" borderId="97" applyNumberFormat="0" applyFont="0" applyAlignment="0" applyProtection="0"/>
    <xf numFmtId="0" fontId="42" fillId="60" borderId="97" applyNumberFormat="0" applyFont="0" applyAlignment="0" applyProtection="0"/>
    <xf numFmtId="0" fontId="36" fillId="0" borderId="98" applyNumberFormat="0" applyFill="0" applyAlignment="0" applyProtection="0"/>
    <xf numFmtId="0" fontId="52" fillId="0" borderId="96" applyNumberFormat="0" applyFill="0" applyAlignment="0" applyProtection="0"/>
    <xf numFmtId="0" fontId="67" fillId="0" borderId="96" applyNumberFormat="0" applyFill="0" applyAlignment="0" applyProtection="0"/>
    <xf numFmtId="0" fontId="51" fillId="44" borderId="95" applyNumberFormat="0" applyAlignment="0" applyProtection="0"/>
    <xf numFmtId="0" fontId="48" fillId="57" borderId="95" applyNumberFormat="0" applyAlignment="0" applyProtection="0"/>
    <xf numFmtId="4" fontId="38" fillId="33" borderId="98">
      <alignment horizontal="right" vertical="center"/>
    </xf>
    <xf numFmtId="0" fontId="34" fillId="33" borderId="98">
      <alignment horizontal="right" vertical="center"/>
    </xf>
    <xf numFmtId="174" fontId="36" fillId="61" borderId="98" applyNumberFormat="0" applyFont="0" applyBorder="0" applyAlignment="0" applyProtection="0">
      <alignment horizontal="right" vertical="center"/>
    </xf>
    <xf numFmtId="0" fontId="52" fillId="0" borderId="96" applyNumberFormat="0" applyFill="0" applyAlignment="0" applyProtection="0"/>
    <xf numFmtId="49" fontId="36" fillId="0" borderId="98" applyNumberFormat="0" applyFont="0" applyFill="0" applyBorder="0" applyProtection="0">
      <alignment horizontal="left" vertical="center" indent="2"/>
    </xf>
    <xf numFmtId="49" fontId="36" fillId="0" borderId="99" applyNumberFormat="0" applyFont="0" applyFill="0" applyBorder="0" applyProtection="0">
      <alignment horizontal="left" vertical="center" indent="5"/>
    </xf>
    <xf numFmtId="49" fontId="36" fillId="0" borderId="98" applyNumberFormat="0" applyFont="0" applyFill="0" applyBorder="0" applyProtection="0">
      <alignment horizontal="left" vertical="center" indent="2"/>
    </xf>
    <xf numFmtId="4" fontId="36" fillId="0" borderId="98" applyFill="0" applyBorder="0" applyProtection="0">
      <alignment horizontal="right" vertical="center"/>
    </xf>
    <xf numFmtId="49" fontId="35" fillId="0" borderId="98" applyNumberFormat="0" applyFill="0" applyBorder="0" applyProtection="0">
      <alignment horizontal="left" vertical="center"/>
    </xf>
    <xf numFmtId="0" fontId="36" fillId="0" borderId="101">
      <alignment horizontal="left" vertical="center" wrapText="1" indent="2"/>
    </xf>
    <xf numFmtId="0" fontId="64" fillId="57" borderId="94" applyNumberFormat="0" applyAlignment="0" applyProtection="0"/>
    <xf numFmtId="0" fontId="34" fillId="35" borderId="100">
      <alignment horizontal="right" vertical="center"/>
    </xf>
    <xf numFmtId="0" fontId="51" fillId="44" borderId="95" applyNumberFormat="0" applyAlignment="0" applyProtection="0"/>
    <xf numFmtId="0" fontId="34" fillId="35" borderId="100">
      <alignment horizontal="right" vertical="center"/>
    </xf>
    <xf numFmtId="4" fontId="34" fillId="35" borderId="98">
      <alignment horizontal="right" vertical="center"/>
    </xf>
    <xf numFmtId="0" fontId="34" fillId="35" borderId="98">
      <alignment horizontal="right" vertical="center"/>
    </xf>
    <xf numFmtId="0" fontId="45" fillId="57" borderId="94" applyNumberFormat="0" applyAlignment="0" applyProtection="0"/>
    <xf numFmtId="0" fontId="47" fillId="57" borderId="95" applyNumberFormat="0" applyAlignment="0" applyProtection="0"/>
    <xf numFmtId="0" fontId="52" fillId="0" borderId="96" applyNumberFormat="0" applyFill="0" applyAlignment="0" applyProtection="0"/>
    <xf numFmtId="0" fontId="36" fillId="34" borderId="98"/>
    <xf numFmtId="4" fontId="36" fillId="34" borderId="98"/>
    <xf numFmtId="4" fontId="34" fillId="35" borderId="98">
      <alignment horizontal="right" vertical="center"/>
    </xf>
    <xf numFmtId="0" fontId="38" fillId="33" borderId="98">
      <alignment horizontal="right" vertical="center"/>
    </xf>
    <xf numFmtId="0" fontId="51" fillId="44" borderId="95" applyNumberFormat="0" applyAlignment="0" applyProtection="0"/>
    <xf numFmtId="0" fontId="48" fillId="57" borderId="95" applyNumberFormat="0" applyAlignment="0" applyProtection="0"/>
    <xf numFmtId="4" fontId="36" fillId="0" borderId="98">
      <alignment horizontal="right" vertical="center"/>
    </xf>
    <xf numFmtId="0" fontId="36" fillId="35" borderId="101">
      <alignment horizontal="left" vertical="center" wrapText="1" indent="2"/>
    </xf>
    <xf numFmtId="0" fontId="36" fillId="0" borderId="101">
      <alignment horizontal="left" vertical="center" wrapText="1" indent="2"/>
    </xf>
    <xf numFmtId="0" fontId="64" fillId="57" borderId="94" applyNumberFormat="0" applyAlignment="0" applyProtection="0"/>
    <xf numFmtId="0" fontId="60" fillId="44" borderId="95" applyNumberFormat="0" applyAlignment="0" applyProtection="0"/>
    <xf numFmtId="0" fontId="47" fillId="57" borderId="95" applyNumberFormat="0" applyAlignment="0" applyProtection="0"/>
    <xf numFmtId="0" fontId="45" fillId="57" borderId="94" applyNumberFormat="0" applyAlignment="0" applyProtection="0"/>
    <xf numFmtId="0" fontId="34" fillId="35" borderId="100">
      <alignment horizontal="right" vertical="center"/>
    </xf>
    <xf numFmtId="0" fontId="38" fillId="33" borderId="98">
      <alignment horizontal="right" vertical="center"/>
    </xf>
    <xf numFmtId="4" fontId="34" fillId="33" borderId="98">
      <alignment horizontal="right" vertical="center"/>
    </xf>
    <xf numFmtId="4" fontId="34" fillId="35" borderId="98">
      <alignment horizontal="right" vertical="center"/>
    </xf>
    <xf numFmtId="49" fontId="36" fillId="0" borderId="99" applyNumberFormat="0" applyFont="0" applyFill="0" applyBorder="0" applyProtection="0">
      <alignment horizontal="left" vertical="center" indent="5"/>
    </xf>
    <xf numFmtId="4" fontId="36" fillId="0" borderId="98" applyFill="0" applyBorder="0" applyProtection="0">
      <alignment horizontal="right" vertical="center"/>
    </xf>
    <xf numFmtId="4" fontId="34" fillId="33" borderId="98">
      <alignment horizontal="right" vertical="center"/>
    </xf>
    <xf numFmtId="0" fontId="60" fillId="44" borderId="95" applyNumberFormat="0" applyAlignment="0" applyProtection="0"/>
    <xf numFmtId="0" fontId="51" fillId="44" borderId="95" applyNumberFormat="0" applyAlignment="0" applyProtection="0"/>
    <xf numFmtId="0" fontId="47" fillId="57" borderId="95" applyNumberFormat="0" applyAlignment="0" applyProtection="0"/>
    <xf numFmtId="0" fontId="36" fillId="35" borderId="101">
      <alignment horizontal="left" vertical="center" wrapText="1" indent="2"/>
    </xf>
    <xf numFmtId="0" fontId="36" fillId="0" borderId="101">
      <alignment horizontal="left" vertical="center" wrapText="1" indent="2"/>
    </xf>
    <xf numFmtId="0" fontId="36" fillId="35" borderId="101">
      <alignment horizontal="left" vertical="center" wrapText="1" indent="2"/>
    </xf>
    <xf numFmtId="0" fontId="36" fillId="0" borderId="101">
      <alignment horizontal="left" vertical="center" wrapText="1" indent="2"/>
    </xf>
    <xf numFmtId="0" fontId="1" fillId="0" borderId="0" applyNumberFormat="0" applyFill="0" applyBorder="0" applyAlignment="0" applyProtection="0"/>
    <xf numFmtId="174" fontId="36" fillId="61" borderId="106" applyNumberFormat="0" applyFont="0" applyBorder="0" applyAlignment="0" applyProtection="0">
      <alignment horizontal="right" vertical="center"/>
    </xf>
    <xf numFmtId="0" fontId="28" fillId="24" borderId="0" applyNumberFormat="0" applyBorder="0" applyAlignment="0" applyProtection="0"/>
    <xf numFmtId="0" fontId="67" fillId="0" borderId="104" applyNumberFormat="0" applyFill="0" applyAlignment="0" applyProtection="0"/>
    <xf numFmtId="0" fontId="42" fillId="60" borderId="105" applyNumberFormat="0" applyFont="0" applyAlignment="0" applyProtection="0"/>
    <xf numFmtId="0" fontId="51" fillId="44" borderId="103" applyNumberFormat="0" applyAlignment="0" applyProtection="0"/>
    <xf numFmtId="0" fontId="48" fillId="57" borderId="103" applyNumberFormat="0" applyAlignment="0" applyProtection="0"/>
    <xf numFmtId="0" fontId="34" fillId="35" borderId="106">
      <alignment horizontal="right" vertical="center"/>
    </xf>
    <xf numFmtId="4" fontId="36" fillId="34" borderId="106"/>
    <xf numFmtId="0" fontId="28" fillId="16" borderId="0" applyNumberFormat="0" applyBorder="0" applyAlignment="0" applyProtection="0"/>
    <xf numFmtId="0" fontId="48" fillId="57" borderId="103" applyNumberFormat="0" applyAlignment="0" applyProtection="0"/>
    <xf numFmtId="0" fontId="48" fillId="57" borderId="103" applyNumberFormat="0" applyAlignment="0" applyProtection="0"/>
    <xf numFmtId="0" fontId="34" fillId="35" borderId="106">
      <alignment horizontal="right" vertical="center"/>
    </xf>
    <xf numFmtId="0" fontId="36" fillId="35" borderId="109">
      <alignment horizontal="left" vertical="center" wrapText="1" indent="2"/>
    </xf>
    <xf numFmtId="0" fontId="60" fillId="44" borderId="103" applyNumberFormat="0" applyAlignment="0" applyProtection="0"/>
    <xf numFmtId="0" fontId="28" fillId="31" borderId="0" applyNumberFormat="0" applyBorder="0" applyAlignment="0" applyProtection="0"/>
    <xf numFmtId="0" fontId="60" fillId="44" borderId="103" applyNumberFormat="0" applyAlignment="0" applyProtection="0"/>
    <xf numFmtId="0" fontId="42" fillId="60" borderId="105" applyNumberFormat="0" applyFont="0" applyAlignment="0" applyProtection="0"/>
    <xf numFmtId="0" fontId="13" fillId="20" borderId="0" applyNumberFormat="0" applyBorder="0" applyAlignment="0" applyProtection="0"/>
    <xf numFmtId="0" fontId="36" fillId="0" borderId="106">
      <alignment horizontal="right" vertical="center"/>
    </xf>
    <xf numFmtId="0" fontId="38" fillId="33" borderId="106">
      <alignment horizontal="right" vertical="center"/>
    </xf>
    <xf numFmtId="0" fontId="45" fillId="57" borderId="102" applyNumberFormat="0" applyAlignment="0" applyProtection="0"/>
    <xf numFmtId="0" fontId="52" fillId="0" borderId="104" applyNumberFormat="0" applyFill="0" applyAlignment="0" applyProtection="0"/>
    <xf numFmtId="0" fontId="36" fillId="33" borderId="107">
      <alignment horizontal="left" vertical="center"/>
    </xf>
    <xf numFmtId="0" fontId="60" fillId="44" borderId="103" applyNumberFormat="0" applyAlignment="0" applyProtection="0"/>
    <xf numFmtId="0" fontId="42" fillId="60" borderId="105" applyNumberFormat="0" applyFont="0" applyAlignment="0" applyProtection="0"/>
    <xf numFmtId="0" fontId="28" fillId="28" borderId="0" applyNumberFormat="0" applyBorder="0" applyAlignment="0" applyProtection="0"/>
    <xf numFmtId="0" fontId="28" fillId="19" borderId="0" applyNumberFormat="0" applyBorder="0" applyAlignment="0" applyProtection="0"/>
    <xf numFmtId="0" fontId="52" fillId="0" borderId="104" applyNumberFormat="0" applyFill="0" applyAlignment="0" applyProtection="0"/>
    <xf numFmtId="49" fontId="36" fillId="0" borderId="106" applyNumberFormat="0" applyFont="0" applyFill="0" applyBorder="0" applyProtection="0">
      <alignment horizontal="left" vertical="center" indent="2"/>
    </xf>
    <xf numFmtId="0" fontId="48" fillId="57" borderId="103" applyNumberFormat="0" applyAlignment="0" applyProtection="0"/>
    <xf numFmtId="0" fontId="36" fillId="0" borderId="109">
      <alignment horizontal="left" vertical="center" wrapText="1" indent="2"/>
    </xf>
    <xf numFmtId="0" fontId="36" fillId="35" borderId="109">
      <alignment horizontal="left" vertical="center" wrapText="1" indent="2"/>
    </xf>
    <xf numFmtId="4" fontId="36" fillId="0" borderId="106" applyFill="0" applyBorder="0" applyProtection="0">
      <alignment horizontal="right" vertical="center"/>
    </xf>
    <xf numFmtId="0" fontId="34" fillId="35" borderId="106">
      <alignment horizontal="right" vertical="center"/>
    </xf>
    <xf numFmtId="0" fontId="34" fillId="35" borderId="106">
      <alignment horizontal="right" vertical="center"/>
    </xf>
    <xf numFmtId="0" fontId="51" fillId="44" borderId="103" applyNumberFormat="0" applyAlignment="0" applyProtection="0"/>
    <xf numFmtId="4" fontId="38" fillId="33" borderId="106">
      <alignment horizontal="right" vertical="center"/>
    </xf>
    <xf numFmtId="0" fontId="28" fillId="22" borderId="0" applyNumberFormat="0" applyBorder="0" applyAlignment="0" applyProtection="0"/>
    <xf numFmtId="0" fontId="2" fillId="0" borderId="14" applyNumberFormat="0" applyFill="0" applyAlignment="0" applyProtection="0"/>
    <xf numFmtId="0" fontId="67" fillId="0" borderId="104" applyNumberFormat="0" applyFill="0" applyAlignment="0" applyProtection="0"/>
    <xf numFmtId="49" fontId="35" fillId="0" borderId="106" applyNumberFormat="0" applyFill="0" applyBorder="0" applyProtection="0">
      <alignment horizontal="left" vertical="center"/>
    </xf>
    <xf numFmtId="0" fontId="28" fillId="25" borderId="0" applyNumberFormat="0" applyBorder="0" applyAlignment="0" applyProtection="0"/>
    <xf numFmtId="0" fontId="28" fillId="18" borderId="0" applyNumberFormat="0" applyBorder="0" applyAlignment="0" applyProtection="0"/>
    <xf numFmtId="0" fontId="13" fillId="29" borderId="0" applyNumberFormat="0" applyBorder="0" applyAlignment="0" applyProtection="0"/>
    <xf numFmtId="0" fontId="34" fillId="35" borderId="106">
      <alignment horizontal="right" vertical="center"/>
    </xf>
    <xf numFmtId="0" fontId="28" fillId="18" borderId="0" applyNumberFormat="0" applyBorder="0" applyAlignment="0" applyProtection="0"/>
    <xf numFmtId="0" fontId="28" fillId="22" borderId="0" applyNumberFormat="0" applyBorder="0" applyAlignment="0" applyProtection="0"/>
    <xf numFmtId="0" fontId="64" fillId="57" borderId="102" applyNumberFormat="0" applyAlignment="0" applyProtection="0"/>
    <xf numFmtId="4" fontId="36" fillId="34" borderId="106"/>
    <xf numFmtId="0" fontId="67" fillId="0" borderId="104" applyNumberFormat="0" applyFill="0" applyAlignment="0" applyProtection="0"/>
    <xf numFmtId="0" fontId="28" fillId="27" borderId="0" applyNumberFormat="0" applyBorder="0" applyAlignment="0" applyProtection="0"/>
    <xf numFmtId="4" fontId="34" fillId="35" borderId="106">
      <alignment horizontal="right" vertical="center"/>
    </xf>
    <xf numFmtId="0" fontId="51" fillId="44" borderId="103" applyNumberFormat="0" applyAlignment="0" applyProtection="0"/>
    <xf numFmtId="49" fontId="36" fillId="0" borderId="106" applyNumberFormat="0" applyFont="0" applyFill="0" applyBorder="0" applyProtection="0">
      <alignment horizontal="left" vertical="center" indent="2"/>
    </xf>
    <xf numFmtId="49" fontId="36" fillId="0" borderId="107" applyNumberFormat="0" applyFont="0" applyFill="0" applyBorder="0" applyProtection="0">
      <alignment horizontal="left" vertical="center" indent="5"/>
    </xf>
    <xf numFmtId="0" fontId="36" fillId="35" borderId="109">
      <alignment horizontal="left" vertical="center" wrapText="1" indent="2"/>
    </xf>
    <xf numFmtId="4" fontId="36" fillId="0" borderId="106" applyFill="0" applyBorder="0" applyProtection="0">
      <alignment horizontal="right" vertical="center"/>
    </xf>
    <xf numFmtId="4" fontId="38" fillId="33" borderId="106">
      <alignment horizontal="right" vertical="center"/>
    </xf>
    <xf numFmtId="0" fontId="52" fillId="0" borderId="104" applyNumberFormat="0" applyFill="0" applyAlignment="0" applyProtection="0"/>
    <xf numFmtId="49" fontId="35" fillId="0" borderId="106" applyNumberFormat="0" applyFill="0" applyBorder="0" applyProtection="0">
      <alignment horizontal="left" vertical="center"/>
    </xf>
    <xf numFmtId="4" fontId="36" fillId="0" borderId="106" applyFill="0" applyBorder="0" applyProtection="0">
      <alignment horizontal="right" vertical="center"/>
    </xf>
    <xf numFmtId="0" fontId="51" fillId="44" borderId="103" applyNumberFormat="0" applyAlignment="0" applyProtection="0"/>
    <xf numFmtId="0" fontId="36" fillId="34" borderId="106"/>
    <xf numFmtId="0" fontId="36" fillId="0" borderId="109">
      <alignment horizontal="left" vertical="center" wrapText="1" indent="2"/>
    </xf>
    <xf numFmtId="0" fontId="34" fillId="35" borderId="106">
      <alignment horizontal="right" vertical="center"/>
    </xf>
    <xf numFmtId="0" fontId="36" fillId="34" borderId="106"/>
    <xf numFmtId="4" fontId="36" fillId="34" borderId="106"/>
    <xf numFmtId="0" fontId="67" fillId="0" borderId="104" applyNumberFormat="0" applyFill="0" applyAlignment="0" applyProtection="0"/>
    <xf numFmtId="0" fontId="45" fillId="57" borderId="102" applyNumberFormat="0" applyAlignment="0" applyProtection="0"/>
    <xf numFmtId="0" fontId="60" fillId="44" borderId="103" applyNumberFormat="0" applyAlignment="0" applyProtection="0"/>
    <xf numFmtId="0" fontId="13" fillId="26" borderId="0" applyNumberFormat="0" applyBorder="0" applyAlignment="0" applyProtection="0"/>
    <xf numFmtId="4" fontId="34" fillId="35" borderId="108">
      <alignment horizontal="right" vertical="center"/>
    </xf>
    <xf numFmtId="4" fontId="38" fillId="33" borderId="106">
      <alignment horizontal="right" vertical="center"/>
    </xf>
    <xf numFmtId="0" fontId="34" fillId="35" borderId="107">
      <alignment horizontal="right" vertical="center"/>
    </xf>
    <xf numFmtId="0" fontId="34" fillId="35" borderId="106">
      <alignment horizontal="right" vertical="center"/>
    </xf>
    <xf numFmtId="0" fontId="34" fillId="35" borderId="106">
      <alignment horizontal="right" vertical="center"/>
    </xf>
    <xf numFmtId="0" fontId="13" fillId="32" borderId="0" applyNumberFormat="0" applyBorder="0" applyAlignment="0" applyProtection="0"/>
    <xf numFmtId="0" fontId="45" fillId="57" borderId="102" applyNumberFormat="0" applyAlignment="0" applyProtection="0"/>
    <xf numFmtId="0" fontId="64" fillId="57" borderId="102" applyNumberFormat="0" applyAlignment="0" applyProtection="0"/>
    <xf numFmtId="0" fontId="28" fillId="30" borderId="0" applyNumberFormat="0" applyBorder="0" applyAlignment="0" applyProtection="0"/>
    <xf numFmtId="0" fontId="52" fillId="0" borderId="104" applyNumberFormat="0" applyFill="0" applyAlignment="0" applyProtection="0"/>
    <xf numFmtId="0" fontId="42" fillId="60" borderId="105" applyNumberFormat="0" applyFont="0" applyAlignment="0" applyProtection="0"/>
    <xf numFmtId="0" fontId="67" fillId="0" borderId="104" applyNumberFormat="0" applyFill="0" applyAlignment="0" applyProtection="0"/>
    <xf numFmtId="4" fontId="34" fillId="33" borderId="106">
      <alignment horizontal="right" vertical="center"/>
    </xf>
    <xf numFmtId="49" fontId="36" fillId="0" borderId="106" applyNumberFormat="0" applyFont="0" applyFill="0" applyBorder="0" applyProtection="0">
      <alignment horizontal="left" vertical="center" indent="2"/>
    </xf>
    <xf numFmtId="4" fontId="38" fillId="33" borderId="106">
      <alignment horizontal="right" vertical="center"/>
    </xf>
    <xf numFmtId="0" fontId="28" fillId="21" borderId="0" applyNumberFormat="0" applyBorder="0" applyAlignment="0" applyProtection="0"/>
    <xf numFmtId="0" fontId="64" fillId="57" borderId="102" applyNumberFormat="0" applyAlignment="0" applyProtection="0"/>
    <xf numFmtId="0" fontId="60" fillId="44" borderId="103" applyNumberFormat="0" applyAlignment="0" applyProtection="0"/>
    <xf numFmtId="0" fontId="36" fillId="0" borderId="106" applyNumberFormat="0" applyFill="0" applyAlignment="0" applyProtection="0"/>
    <xf numFmtId="0" fontId="67" fillId="0" borderId="104" applyNumberFormat="0" applyFill="0" applyAlignment="0" applyProtection="0"/>
    <xf numFmtId="0" fontId="34" fillId="33" borderId="106">
      <alignment horizontal="right" vertical="center"/>
    </xf>
    <xf numFmtId="4" fontId="34" fillId="35" borderId="106">
      <alignment horizontal="right" vertical="center"/>
    </xf>
    <xf numFmtId="0" fontId="47" fillId="57" borderId="103" applyNumberFormat="0" applyAlignment="0" applyProtection="0"/>
    <xf numFmtId="49" fontId="35" fillId="0" borderId="106" applyNumberFormat="0" applyFill="0" applyBorder="0" applyProtection="0">
      <alignment horizontal="left" vertical="center"/>
    </xf>
    <xf numFmtId="4" fontId="34" fillId="35" borderId="106">
      <alignment horizontal="right" vertical="center"/>
    </xf>
    <xf numFmtId="0" fontId="64" fillId="57" borderId="102" applyNumberFormat="0" applyAlignment="0" applyProtection="0"/>
    <xf numFmtId="0" fontId="28" fillId="30" borderId="0" applyNumberFormat="0" applyBorder="0" applyAlignment="0" applyProtection="0"/>
    <xf numFmtId="4" fontId="34" fillId="35" borderId="108">
      <alignment horizontal="right" vertical="center"/>
    </xf>
    <xf numFmtId="4" fontId="34" fillId="35" borderId="106">
      <alignment horizontal="right" vertical="center"/>
    </xf>
    <xf numFmtId="4" fontId="36" fillId="0" borderId="106">
      <alignment horizontal="right" vertical="center"/>
    </xf>
    <xf numFmtId="0" fontId="34" fillId="33" borderId="106">
      <alignment horizontal="right" vertical="center"/>
    </xf>
    <xf numFmtId="4" fontId="36" fillId="34" borderId="106"/>
    <xf numFmtId="0" fontId="47" fillId="57" borderId="103" applyNumberFormat="0" applyAlignment="0" applyProtection="0"/>
    <xf numFmtId="0" fontId="31" fillId="14" borderId="12" applyNumberFormat="0" applyAlignment="0" applyProtection="0"/>
    <xf numFmtId="0" fontId="28" fillId="28" borderId="0" applyNumberFormat="0" applyBorder="0" applyAlignment="0" applyProtection="0"/>
    <xf numFmtId="0" fontId="5" fillId="60" borderId="105" applyNumberFormat="0" applyFont="0" applyAlignment="0" applyProtection="0"/>
    <xf numFmtId="0" fontId="34" fillId="33" borderId="106">
      <alignment horizontal="right" vertical="center"/>
    </xf>
    <xf numFmtId="4" fontId="36" fillId="34" borderId="106"/>
    <xf numFmtId="4" fontId="36" fillId="0" borderId="106">
      <alignment horizontal="right" vertical="center"/>
    </xf>
    <xf numFmtId="0" fontId="28" fillId="25" borderId="0" applyNumberFormat="0" applyBorder="0" applyAlignment="0" applyProtection="0"/>
    <xf numFmtId="0" fontId="51" fillId="44" borderId="103" applyNumberFormat="0" applyAlignment="0" applyProtection="0"/>
    <xf numFmtId="4" fontId="34" fillId="35" borderId="107">
      <alignment horizontal="right" vertical="center"/>
    </xf>
    <xf numFmtId="0" fontId="13" fillId="29" borderId="0" applyNumberFormat="0" applyBorder="0" applyAlignment="0" applyProtection="0"/>
    <xf numFmtId="0" fontId="64" fillId="57" borderId="102" applyNumberFormat="0" applyAlignment="0" applyProtection="0"/>
    <xf numFmtId="0" fontId="2" fillId="0" borderId="14" applyNumberFormat="0" applyFill="0" applyAlignment="0" applyProtection="0"/>
    <xf numFmtId="174" fontId="36" fillId="61" borderId="106" applyNumberFormat="0" applyFont="0" applyBorder="0" applyAlignment="0" applyProtection="0">
      <alignment horizontal="right" vertical="center"/>
    </xf>
    <xf numFmtId="0" fontId="36" fillId="0" borderId="109">
      <alignment horizontal="left" vertical="center" wrapText="1" indent="2"/>
    </xf>
    <xf numFmtId="0" fontId="34" fillId="35" borderId="108">
      <alignment horizontal="right" vertical="center"/>
    </xf>
    <xf numFmtId="0" fontId="38" fillId="33" borderId="106">
      <alignment horizontal="right" vertical="center"/>
    </xf>
    <xf numFmtId="4" fontId="34" fillId="35" borderId="107">
      <alignment horizontal="right" vertical="center"/>
    </xf>
    <xf numFmtId="4" fontId="38" fillId="33" borderId="106">
      <alignment horizontal="right" vertical="center"/>
    </xf>
    <xf numFmtId="0" fontId="34" fillId="33" borderId="106">
      <alignment horizontal="right" vertical="center"/>
    </xf>
    <xf numFmtId="0" fontId="13" fillId="29" borderId="0" applyNumberFormat="0" applyBorder="0" applyAlignment="0" applyProtection="0"/>
    <xf numFmtId="0" fontId="67" fillId="0" borderId="104" applyNumberFormat="0" applyFill="0" applyAlignment="0" applyProtection="0"/>
    <xf numFmtId="0" fontId="34" fillId="33" borderId="106">
      <alignment horizontal="right" vertical="center"/>
    </xf>
    <xf numFmtId="0" fontId="60" fillId="44" borderId="103" applyNumberFormat="0" applyAlignment="0" applyProtection="0"/>
    <xf numFmtId="4" fontId="38" fillId="33" borderId="106">
      <alignment horizontal="right" vertical="center"/>
    </xf>
    <xf numFmtId="0" fontId="13" fillId="26" borderId="0" applyNumberFormat="0" applyBorder="0" applyAlignment="0" applyProtection="0"/>
    <xf numFmtId="4" fontId="36" fillId="0" borderId="106">
      <alignment horizontal="right" vertical="center"/>
    </xf>
    <xf numFmtId="0" fontId="36" fillId="34" borderId="106"/>
    <xf numFmtId="0" fontId="67" fillId="0" borderId="104" applyNumberFormat="0" applyFill="0" applyAlignment="0" applyProtection="0"/>
    <xf numFmtId="0" fontId="36" fillId="34" borderId="106"/>
    <xf numFmtId="0" fontId="47" fillId="57" borderId="103" applyNumberFormat="0" applyAlignment="0" applyProtection="0"/>
    <xf numFmtId="0" fontId="28" fillId="25" borderId="0" applyNumberFormat="0" applyBorder="0" applyAlignment="0" applyProtection="0"/>
    <xf numFmtId="4" fontId="34" fillId="35" borderId="108">
      <alignment horizontal="right" vertical="center"/>
    </xf>
    <xf numFmtId="4" fontId="36" fillId="34" borderId="106"/>
    <xf numFmtId="0" fontId="5" fillId="60" borderId="105" applyNumberFormat="0" applyFont="0" applyAlignment="0" applyProtection="0"/>
    <xf numFmtId="0" fontId="28" fillId="21" borderId="0" applyNumberFormat="0" applyBorder="0" applyAlignment="0" applyProtection="0"/>
    <xf numFmtId="0" fontId="48" fillId="57" borderId="103" applyNumberFormat="0" applyAlignment="0" applyProtection="0"/>
    <xf numFmtId="0" fontId="32" fillId="0" borderId="0" applyNumberFormat="0" applyFill="0" applyBorder="0" applyAlignment="0" applyProtection="0"/>
    <xf numFmtId="4" fontId="34" fillId="35" borderId="107">
      <alignment horizontal="right" vertical="center"/>
    </xf>
    <xf numFmtId="0" fontId="42" fillId="60" borderId="105" applyNumberFormat="0" applyFont="0" applyAlignment="0" applyProtection="0"/>
    <xf numFmtId="0" fontId="34" fillId="33" borderId="106">
      <alignment horizontal="right" vertical="center"/>
    </xf>
    <xf numFmtId="49" fontId="36" fillId="0" borderId="107" applyNumberFormat="0" applyFont="0" applyFill="0" applyBorder="0" applyProtection="0">
      <alignment horizontal="left" vertical="center" indent="5"/>
    </xf>
    <xf numFmtId="4" fontId="34" fillId="35" borderId="107">
      <alignment horizontal="right" vertical="center"/>
    </xf>
    <xf numFmtId="0" fontId="48" fillId="57" borderId="103" applyNumberFormat="0" applyAlignment="0" applyProtection="0"/>
    <xf numFmtId="0" fontId="51" fillId="44" borderId="103" applyNumberFormat="0" applyAlignment="0" applyProtection="0"/>
    <xf numFmtId="0" fontId="36" fillId="0" borderId="109">
      <alignment horizontal="left" vertical="center" wrapText="1" indent="2"/>
    </xf>
    <xf numFmtId="0" fontId="36" fillId="35" borderId="109">
      <alignment horizontal="left" vertical="center" wrapText="1" indent="2"/>
    </xf>
    <xf numFmtId="0" fontId="42" fillId="60" borderId="105" applyNumberFormat="0" applyFont="0" applyAlignment="0" applyProtection="0"/>
    <xf numFmtId="0" fontId="34" fillId="35" borderId="106">
      <alignment horizontal="right" vertical="center"/>
    </xf>
    <xf numFmtId="0" fontId="2" fillId="0" borderId="14" applyNumberFormat="0" applyFill="0" applyAlignment="0" applyProtection="0"/>
    <xf numFmtId="0" fontId="28" fillId="22" borderId="0" applyNumberFormat="0" applyBorder="0" applyAlignment="0" applyProtection="0"/>
    <xf numFmtId="0" fontId="28" fillId="30" borderId="0" applyNumberFormat="0" applyBorder="0" applyAlignment="0" applyProtection="0"/>
    <xf numFmtId="0" fontId="48" fillId="57" borderId="103" applyNumberFormat="0" applyAlignment="0" applyProtection="0"/>
    <xf numFmtId="4" fontId="34" fillId="35" borderId="106">
      <alignment horizontal="right" vertical="center"/>
    </xf>
    <xf numFmtId="0" fontId="67" fillId="0" borderId="104" applyNumberFormat="0" applyFill="0" applyAlignment="0" applyProtection="0"/>
    <xf numFmtId="0" fontId="5" fillId="60" borderId="105" applyNumberFormat="0" applyFont="0" applyAlignment="0" applyProtection="0"/>
    <xf numFmtId="0" fontId="28" fillId="30" borderId="0" applyNumberFormat="0" applyBorder="0" applyAlignment="0" applyProtection="0"/>
    <xf numFmtId="0" fontId="34" fillId="35" borderId="106">
      <alignment horizontal="right" vertical="center"/>
    </xf>
    <xf numFmtId="0" fontId="38" fillId="33" borderId="106">
      <alignment horizontal="right" vertical="center"/>
    </xf>
    <xf numFmtId="0" fontId="13" fillId="32" borderId="0" applyNumberFormat="0" applyBorder="0" applyAlignment="0" applyProtection="0"/>
    <xf numFmtId="0" fontId="28" fillId="27" borderId="0" applyNumberFormat="0" applyBorder="0" applyAlignment="0" applyProtection="0"/>
    <xf numFmtId="0" fontId="38" fillId="33" borderId="106">
      <alignment horizontal="right" vertical="center"/>
    </xf>
    <xf numFmtId="4" fontId="34" fillId="35" borderId="106">
      <alignment horizontal="right" vertical="center"/>
    </xf>
    <xf numFmtId="0" fontId="42" fillId="60" borderId="105" applyNumberFormat="0" applyFont="0" applyAlignment="0" applyProtection="0"/>
    <xf numFmtId="0" fontId="67" fillId="0" borderId="104" applyNumberFormat="0" applyFill="0" applyAlignment="0" applyProtection="0"/>
    <xf numFmtId="0" fontId="13" fillId="26" borderId="0" applyNumberFormat="0" applyBorder="0" applyAlignment="0" applyProtection="0"/>
    <xf numFmtId="0" fontId="34" fillId="35" borderId="106">
      <alignment horizontal="right" vertical="center"/>
    </xf>
    <xf numFmtId="0" fontId="48" fillId="57" borderId="103" applyNumberFormat="0" applyAlignment="0" applyProtection="0"/>
    <xf numFmtId="0" fontId="45" fillId="57" borderId="102" applyNumberFormat="0" applyAlignment="0" applyProtection="0"/>
    <xf numFmtId="0" fontId="42" fillId="60" borderId="105" applyNumberFormat="0" applyFont="0" applyAlignment="0" applyProtection="0"/>
    <xf numFmtId="0" fontId="47" fillId="57" borderId="103" applyNumberFormat="0" applyAlignment="0" applyProtection="0"/>
    <xf numFmtId="0" fontId="36" fillId="35" borderId="109">
      <alignment horizontal="left" vertical="center" wrapText="1" indent="2"/>
    </xf>
    <xf numFmtId="49" fontId="36" fillId="0" borderId="106" applyNumberFormat="0" applyFont="0" applyFill="0" applyBorder="0" applyProtection="0">
      <alignment horizontal="left" vertical="center" indent="2"/>
    </xf>
    <xf numFmtId="0" fontId="42" fillId="60" borderId="105" applyNumberFormat="0" applyFont="0" applyAlignment="0" applyProtection="0"/>
    <xf numFmtId="0" fontId="64" fillId="57" borderId="102" applyNumberFormat="0" applyAlignment="0" applyProtection="0"/>
    <xf numFmtId="0" fontId="28" fillId="31" borderId="0" applyNumberFormat="0" applyBorder="0" applyAlignment="0" applyProtection="0"/>
    <xf numFmtId="4" fontId="38" fillId="33" borderId="106">
      <alignment horizontal="right" vertical="center"/>
    </xf>
    <xf numFmtId="0" fontId="36" fillId="34" borderId="106"/>
    <xf numFmtId="0" fontId="13" fillId="23" borderId="0" applyNumberFormat="0" applyBorder="0" applyAlignment="0" applyProtection="0"/>
    <xf numFmtId="0" fontId="48" fillId="57" borderId="103" applyNumberFormat="0" applyAlignment="0" applyProtection="0"/>
    <xf numFmtId="0" fontId="60" fillId="44" borderId="103" applyNumberFormat="0" applyAlignment="0" applyProtection="0"/>
    <xf numFmtId="0" fontId="60" fillId="44" borderId="103" applyNumberFormat="0" applyAlignment="0" applyProtection="0"/>
    <xf numFmtId="0" fontId="5" fillId="60" borderId="105" applyNumberFormat="0" applyFont="0" applyAlignment="0" applyProtection="0"/>
    <xf numFmtId="0" fontId="60" fillId="44" borderId="103" applyNumberFormat="0" applyAlignment="0" applyProtection="0"/>
    <xf numFmtId="0" fontId="67" fillId="0" borderId="104" applyNumberFormat="0" applyFill="0" applyAlignment="0" applyProtection="0"/>
    <xf numFmtId="174" fontId="36" fillId="61" borderId="106" applyNumberFormat="0" applyFont="0" applyBorder="0" applyAlignment="0" applyProtection="0">
      <alignment horizontal="right" vertical="center"/>
    </xf>
    <xf numFmtId="0" fontId="28" fillId="21" borderId="0" applyNumberFormat="0" applyBorder="0" applyAlignment="0" applyProtection="0"/>
    <xf numFmtId="0" fontId="36" fillId="33" borderId="107">
      <alignment horizontal="left" vertical="center"/>
    </xf>
    <xf numFmtId="4" fontId="36" fillId="0" borderId="106" applyFill="0" applyBorder="0" applyProtection="0">
      <alignment horizontal="right" vertical="center"/>
    </xf>
    <xf numFmtId="174" fontId="36" fillId="61" borderId="106" applyNumberFormat="0" applyFont="0" applyBorder="0" applyAlignment="0" applyProtection="0">
      <alignment horizontal="right" vertical="center"/>
    </xf>
    <xf numFmtId="0" fontId="45" fillId="57" borderId="102" applyNumberFormat="0" applyAlignment="0" applyProtection="0"/>
    <xf numFmtId="0" fontId="64" fillId="57" borderId="102" applyNumberFormat="0" applyAlignment="0" applyProtection="0"/>
    <xf numFmtId="0" fontId="28" fillId="18" borderId="0" applyNumberFormat="0" applyBorder="0" applyAlignment="0" applyProtection="0"/>
    <xf numFmtId="4" fontId="36" fillId="0" borderId="106">
      <alignment horizontal="right" vertical="center"/>
    </xf>
    <xf numFmtId="0" fontId="36" fillId="33" borderId="107">
      <alignment horizontal="left" vertical="center"/>
    </xf>
    <xf numFmtId="0" fontId="13" fillId="23" borderId="0" applyNumberFormat="0" applyBorder="0" applyAlignment="0" applyProtection="0"/>
    <xf numFmtId="4" fontId="34" fillId="35" borderId="106">
      <alignment horizontal="right" vertical="center"/>
    </xf>
    <xf numFmtId="4" fontId="34" fillId="35" borderId="106">
      <alignment horizontal="right" vertical="center"/>
    </xf>
    <xf numFmtId="0" fontId="52" fillId="0" borderId="104" applyNumberFormat="0" applyFill="0" applyAlignment="0" applyProtection="0"/>
    <xf numFmtId="0" fontId="67" fillId="0" borderId="104" applyNumberFormat="0" applyFill="0" applyAlignment="0" applyProtection="0"/>
    <xf numFmtId="0" fontId="45" fillId="57" borderId="102" applyNumberFormat="0" applyAlignment="0" applyProtection="0"/>
    <xf numFmtId="0" fontId="51" fillId="44" borderId="103" applyNumberFormat="0" applyAlignment="0" applyProtection="0"/>
    <xf numFmtId="0" fontId="13" fillId="20" borderId="0" applyNumberFormat="0" applyBorder="0" applyAlignment="0" applyProtection="0"/>
    <xf numFmtId="49" fontId="35" fillId="0" borderId="106" applyNumberFormat="0" applyFill="0" applyBorder="0" applyProtection="0">
      <alignment horizontal="left" vertical="center"/>
    </xf>
    <xf numFmtId="4" fontId="34" fillId="35" borderId="107">
      <alignment horizontal="right" vertical="center"/>
    </xf>
    <xf numFmtId="0" fontId="28" fillId="15" borderId="0" applyNumberFormat="0" applyBorder="0" applyAlignment="0" applyProtection="0"/>
    <xf numFmtId="0" fontId="51" fillId="44" borderId="103" applyNumberFormat="0" applyAlignment="0" applyProtection="0"/>
    <xf numFmtId="0" fontId="38" fillId="33" borderId="106">
      <alignment horizontal="right" vertical="center"/>
    </xf>
    <xf numFmtId="0" fontId="5" fillId="60" borderId="105" applyNumberFormat="0" applyFont="0" applyAlignment="0" applyProtection="0"/>
    <xf numFmtId="0" fontId="38" fillId="33" borderId="106">
      <alignment horizontal="right" vertical="center"/>
    </xf>
    <xf numFmtId="0" fontId="30" fillId="14" borderId="13" applyNumberFormat="0" applyAlignment="0" applyProtection="0"/>
    <xf numFmtId="0" fontId="67" fillId="0" borderId="104" applyNumberFormat="0" applyFill="0" applyAlignment="0" applyProtection="0"/>
    <xf numFmtId="0" fontId="13" fillId="17" borderId="0" applyNumberFormat="0" applyBorder="0" applyAlignment="0" applyProtection="0"/>
    <xf numFmtId="0" fontId="36" fillId="0" borderId="106">
      <alignment horizontal="right" vertical="center"/>
    </xf>
    <xf numFmtId="0" fontId="28" fillId="24" borderId="0" applyNumberFormat="0" applyBorder="0" applyAlignment="0" applyProtection="0"/>
    <xf numFmtId="0" fontId="51" fillId="44" borderId="103" applyNumberFormat="0" applyAlignment="0" applyProtection="0"/>
    <xf numFmtId="0" fontId="36" fillId="0" borderId="106">
      <alignment horizontal="right" vertical="center"/>
    </xf>
    <xf numFmtId="0" fontId="47" fillId="57" borderId="103" applyNumberFormat="0" applyAlignment="0" applyProtection="0"/>
    <xf numFmtId="4" fontId="34" fillId="33" borderId="106">
      <alignment horizontal="right" vertical="center"/>
    </xf>
    <xf numFmtId="0" fontId="34" fillId="35" borderId="107">
      <alignment horizontal="right" vertical="center"/>
    </xf>
    <xf numFmtId="0" fontId="48" fillId="57" borderId="103" applyNumberFormat="0" applyAlignment="0" applyProtection="0"/>
    <xf numFmtId="0" fontId="34" fillId="35" borderId="108">
      <alignment horizontal="right" vertical="center"/>
    </xf>
    <xf numFmtId="0" fontId="52" fillId="0" borderId="104" applyNumberFormat="0" applyFill="0" applyAlignment="0" applyProtection="0"/>
    <xf numFmtId="0" fontId="36" fillId="35" borderId="109">
      <alignment horizontal="left" vertical="center" wrapText="1" indent="2"/>
    </xf>
    <xf numFmtId="0" fontId="28" fillId="25" borderId="0" applyNumberFormat="0" applyBorder="0" applyAlignment="0" applyProtection="0"/>
    <xf numFmtId="4" fontId="36" fillId="0" borderId="106">
      <alignment horizontal="right" vertical="center"/>
    </xf>
    <xf numFmtId="0" fontId="36" fillId="0" borderId="106">
      <alignment horizontal="right" vertical="center"/>
    </xf>
    <xf numFmtId="49" fontId="36" fillId="0" borderId="107" applyNumberFormat="0" applyFont="0" applyFill="0" applyBorder="0" applyProtection="0">
      <alignment horizontal="left" vertical="center" indent="5"/>
    </xf>
    <xf numFmtId="0" fontId="36" fillId="33" borderId="107">
      <alignment horizontal="left" vertical="center"/>
    </xf>
    <xf numFmtId="0" fontId="36" fillId="0" borderId="109">
      <alignment horizontal="left" vertical="center" wrapText="1" indent="2"/>
    </xf>
    <xf numFmtId="0" fontId="64" fillId="57" borderId="102" applyNumberFormat="0" applyAlignment="0" applyProtection="0"/>
    <xf numFmtId="0" fontId="34" fillId="33" borderId="106">
      <alignment horizontal="right" vertical="center"/>
    </xf>
    <xf numFmtId="0" fontId="52" fillId="0" borderId="104" applyNumberFormat="0" applyFill="0" applyAlignment="0" applyProtection="0"/>
    <xf numFmtId="0" fontId="36" fillId="0" borderId="106" applyNumberFormat="0" applyFill="0" applyAlignment="0" applyProtection="0"/>
    <xf numFmtId="0" fontId="52" fillId="0" borderId="104" applyNumberFormat="0" applyFill="0" applyAlignment="0" applyProtection="0"/>
    <xf numFmtId="4" fontId="36" fillId="0" borderId="106" applyFill="0" applyBorder="0" applyProtection="0">
      <alignment horizontal="right" vertical="center"/>
    </xf>
    <xf numFmtId="49" fontId="36" fillId="0" borderId="107" applyNumberFormat="0" applyFont="0" applyFill="0" applyBorder="0" applyProtection="0">
      <alignment horizontal="left" vertical="center" indent="5"/>
    </xf>
    <xf numFmtId="0" fontId="36" fillId="0" borderId="106" applyNumberFormat="0" applyFill="0" applyAlignment="0" applyProtection="0"/>
    <xf numFmtId="0" fontId="36" fillId="0" borderId="106" applyNumberFormat="0" applyFill="0" applyAlignment="0" applyProtection="0"/>
    <xf numFmtId="4" fontId="34" fillId="35" borderId="106">
      <alignment horizontal="right" vertical="center"/>
    </xf>
    <xf numFmtId="0" fontId="13" fillId="20" borderId="0" applyNumberFormat="0" applyBorder="0" applyAlignment="0" applyProtection="0"/>
    <xf numFmtId="0" fontId="51" fillId="44" borderId="103" applyNumberFormat="0" applyAlignment="0" applyProtection="0"/>
    <xf numFmtId="0" fontId="48" fillId="57" borderId="103" applyNumberFormat="0" applyAlignment="0" applyProtection="0"/>
    <xf numFmtId="4" fontId="36" fillId="0" borderId="106">
      <alignment horizontal="right" vertical="center"/>
    </xf>
    <xf numFmtId="0" fontId="36" fillId="35" borderId="109">
      <alignment horizontal="left" vertical="center" wrapText="1" indent="2"/>
    </xf>
    <xf numFmtId="0" fontId="36" fillId="0" borderId="109">
      <alignment horizontal="left" vertical="center" wrapText="1" indent="2"/>
    </xf>
    <xf numFmtId="0" fontId="64" fillId="57" borderId="102" applyNumberFormat="0" applyAlignment="0" applyProtection="0"/>
    <xf numFmtId="0" fontId="60" fillId="44" borderId="103" applyNumberFormat="0" applyAlignment="0" applyProtection="0"/>
    <xf numFmtId="0" fontId="47" fillId="57" borderId="103" applyNumberFormat="0" applyAlignment="0" applyProtection="0"/>
    <xf numFmtId="0" fontId="45" fillId="57" borderId="102" applyNumberFormat="0" applyAlignment="0" applyProtection="0"/>
    <xf numFmtId="0" fontId="34" fillId="35" borderId="108">
      <alignment horizontal="right" vertical="center"/>
    </xf>
    <xf numFmtId="0" fontId="38" fillId="33" borderId="106">
      <alignment horizontal="right" vertical="center"/>
    </xf>
    <xf numFmtId="4" fontId="34" fillId="33" borderId="106">
      <alignment horizontal="right" vertical="center"/>
    </xf>
    <xf numFmtId="4" fontId="34" fillId="35" borderId="106">
      <alignment horizontal="right" vertical="center"/>
    </xf>
    <xf numFmtId="49" fontId="36" fillId="0" borderId="107" applyNumberFormat="0" applyFont="0" applyFill="0" applyBorder="0" applyProtection="0">
      <alignment horizontal="left" vertical="center" indent="5"/>
    </xf>
    <xf numFmtId="4" fontId="36" fillId="0" borderId="106" applyFill="0" applyBorder="0" applyProtection="0">
      <alignment horizontal="right" vertical="center"/>
    </xf>
    <xf numFmtId="4" fontId="34" fillId="33" borderId="106">
      <alignment horizontal="right" vertical="center"/>
    </xf>
    <xf numFmtId="0" fontId="60" fillId="44" borderId="103" applyNumberFormat="0" applyAlignment="0" applyProtection="0"/>
    <xf numFmtId="0" fontId="51" fillId="44" borderId="103" applyNumberFormat="0" applyAlignment="0" applyProtection="0"/>
    <xf numFmtId="0" fontId="47" fillId="57" borderId="103" applyNumberFormat="0" applyAlignment="0" applyProtection="0"/>
    <xf numFmtId="0" fontId="36" fillId="35" borderId="109">
      <alignment horizontal="left" vertical="center" wrapText="1" indent="2"/>
    </xf>
    <xf numFmtId="0" fontId="36" fillId="0" borderId="109">
      <alignment horizontal="left" vertical="center" wrapText="1" indent="2"/>
    </xf>
    <xf numFmtId="0" fontId="36" fillId="35" borderId="109">
      <alignment horizontal="left" vertical="center" wrapText="1" indent="2"/>
    </xf>
    <xf numFmtId="0" fontId="36" fillId="34" borderId="122"/>
    <xf numFmtId="0" fontId="5" fillId="60" borderId="121" applyNumberFormat="0" applyFont="0" applyAlignment="0" applyProtection="0"/>
    <xf numFmtId="4" fontId="34" fillId="35" borderId="123">
      <alignment horizontal="right" vertical="center"/>
    </xf>
    <xf numFmtId="0" fontId="36" fillId="0" borderId="122" applyNumberFormat="0" applyFill="0" applyAlignment="0" applyProtection="0"/>
    <xf numFmtId="4" fontId="34" fillId="35" borderId="124">
      <alignment horizontal="right" vertical="center"/>
    </xf>
    <xf numFmtId="0" fontId="34" fillId="35" borderId="122">
      <alignment horizontal="right" vertical="center"/>
    </xf>
    <xf numFmtId="0" fontId="45" fillId="57" borderId="118" applyNumberFormat="0" applyAlignment="0" applyProtection="0"/>
    <xf numFmtId="0" fontId="51" fillId="44" borderId="119" applyNumberFormat="0" applyAlignment="0" applyProtection="0"/>
    <xf numFmtId="4" fontId="36" fillId="34" borderId="122"/>
    <xf numFmtId="0" fontId="34" fillId="35" borderId="122">
      <alignment horizontal="right" vertical="center"/>
    </xf>
    <xf numFmtId="49" fontId="36" fillId="0" borderId="122" applyNumberFormat="0" applyFont="0" applyFill="0" applyBorder="0" applyProtection="0">
      <alignment horizontal="left" vertical="center" indent="2"/>
    </xf>
    <xf numFmtId="0" fontId="34" fillId="33" borderId="122">
      <alignment horizontal="right" vertical="center"/>
    </xf>
    <xf numFmtId="0" fontId="5" fillId="60" borderId="121" applyNumberFormat="0" applyFont="0" applyAlignment="0" applyProtection="0"/>
    <xf numFmtId="4" fontId="38" fillId="33" borderId="122">
      <alignment horizontal="right" vertical="center"/>
    </xf>
    <xf numFmtId="0" fontId="13" fillId="17" borderId="0" applyNumberFormat="0" applyBorder="0" applyAlignment="0" applyProtection="0"/>
    <xf numFmtId="0" fontId="48" fillId="57" borderId="119" applyNumberFormat="0" applyAlignment="0" applyProtection="0"/>
    <xf numFmtId="0" fontId="64" fillId="57" borderId="118" applyNumberFormat="0" applyAlignment="0" applyProtection="0"/>
    <xf numFmtId="0" fontId="42" fillId="60" borderId="121" applyNumberFormat="0" applyFont="0" applyAlignment="0" applyProtection="0"/>
    <xf numFmtId="4" fontId="36" fillId="34" borderId="122"/>
    <xf numFmtId="0" fontId="67" fillId="0" borderId="120" applyNumberFormat="0" applyFill="0" applyAlignment="0" applyProtection="0"/>
    <xf numFmtId="0" fontId="30" fillId="14" borderId="13" applyNumberFormat="0" applyAlignment="0" applyProtection="0"/>
    <xf numFmtId="0" fontId="31" fillId="14" borderId="12" applyNumberFormat="0" applyAlignment="0" applyProtection="0"/>
    <xf numFmtId="0" fontId="60" fillId="44" borderId="119" applyNumberFormat="0" applyAlignment="0" applyProtection="0"/>
    <xf numFmtId="0" fontId="1" fillId="0" borderId="0" applyNumberFormat="0" applyFill="0" applyBorder="0" applyAlignment="0" applyProtection="0"/>
    <xf numFmtId="4" fontId="34" fillId="35" borderId="122">
      <alignment horizontal="right" vertical="center"/>
    </xf>
    <xf numFmtId="0" fontId="32" fillId="0" borderId="0" applyNumberFormat="0" applyFill="0" applyBorder="0" applyAlignment="0" applyProtection="0"/>
    <xf numFmtId="0" fontId="2" fillId="0" borderId="14" applyNumberFormat="0" applyFill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13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13" fillId="20" borderId="0" applyNumberFormat="0" applyBorder="0" applyAlignment="0" applyProtection="0"/>
    <xf numFmtId="0" fontId="28" fillId="21" borderId="0" applyNumberFormat="0" applyBorder="0" applyAlignment="0" applyProtection="0"/>
    <xf numFmtId="0" fontId="28" fillId="22" borderId="0" applyNumberFormat="0" applyBorder="0" applyAlignment="0" applyProtection="0"/>
    <xf numFmtId="0" fontId="13" fillId="23" borderId="0" applyNumberFormat="0" applyBorder="0" applyAlignment="0" applyProtection="0"/>
    <xf numFmtId="0" fontId="28" fillId="24" borderId="0" applyNumberFormat="0" applyBorder="0" applyAlignment="0" applyProtection="0"/>
    <xf numFmtId="0" fontId="28" fillId="25" borderId="0" applyNumberFormat="0" applyBorder="0" applyAlignment="0" applyProtection="0"/>
    <xf numFmtId="0" fontId="13" fillId="26" borderId="0" applyNumberFormat="0" applyBorder="0" applyAlignment="0" applyProtection="0"/>
    <xf numFmtId="0" fontId="28" fillId="27" borderId="0" applyNumberFormat="0" applyBorder="0" applyAlignment="0" applyProtection="0"/>
    <xf numFmtId="0" fontId="28" fillId="28" borderId="0" applyNumberFormat="0" applyBorder="0" applyAlignment="0" applyProtection="0"/>
    <xf numFmtId="0" fontId="13" fillId="29" borderId="0" applyNumberFormat="0" applyBorder="0" applyAlignment="0" applyProtection="0"/>
    <xf numFmtId="0" fontId="28" fillId="30" borderId="0" applyNumberFormat="0" applyBorder="0" applyAlignment="0" applyProtection="0"/>
    <xf numFmtId="0" fontId="28" fillId="31" borderId="0" applyNumberFormat="0" applyBorder="0" applyAlignment="0" applyProtection="0"/>
    <xf numFmtId="0" fontId="13" fillId="32" borderId="0" applyNumberFormat="0" applyBorder="0" applyAlignment="0" applyProtection="0"/>
    <xf numFmtId="0" fontId="36" fillId="0" borderId="106" applyNumberFormat="0" applyFill="0" applyAlignment="0" applyProtection="0"/>
    <xf numFmtId="0" fontId="34" fillId="35" borderId="106">
      <alignment horizontal="right" vertical="center"/>
    </xf>
    <xf numFmtId="0" fontId="34" fillId="35" borderId="106">
      <alignment horizontal="right" vertical="center"/>
    </xf>
    <xf numFmtId="0" fontId="34" fillId="35" borderId="124">
      <alignment horizontal="right" vertical="center"/>
    </xf>
    <xf numFmtId="0" fontId="36" fillId="0" borderId="106">
      <alignment horizontal="right" vertical="center"/>
    </xf>
    <xf numFmtId="0" fontId="38" fillId="33" borderId="106">
      <alignment horizontal="right" vertical="center"/>
    </xf>
    <xf numFmtId="0" fontId="36" fillId="34" borderId="106"/>
    <xf numFmtId="0" fontId="34" fillId="33" borderId="106">
      <alignment horizontal="right" vertical="center"/>
    </xf>
    <xf numFmtId="0" fontId="38" fillId="33" borderId="122">
      <alignment horizontal="right" vertical="center"/>
    </xf>
    <xf numFmtId="0" fontId="36" fillId="0" borderId="122">
      <alignment horizontal="right" vertical="center"/>
    </xf>
    <xf numFmtId="0" fontId="48" fillId="57" borderId="119" applyNumberFormat="0" applyAlignment="0" applyProtection="0"/>
    <xf numFmtId="4" fontId="36" fillId="34" borderId="122"/>
    <xf numFmtId="0" fontId="67" fillId="0" borderId="120" applyNumberFormat="0" applyFill="0" applyAlignment="0" applyProtection="0"/>
    <xf numFmtId="0" fontId="47" fillId="57" borderId="119" applyNumberFormat="0" applyAlignment="0" applyProtection="0"/>
    <xf numFmtId="0" fontId="36" fillId="34" borderId="122"/>
    <xf numFmtId="0" fontId="64" fillId="57" borderId="118" applyNumberFormat="0" applyAlignment="0" applyProtection="0"/>
    <xf numFmtId="4" fontId="34" fillId="35" borderId="122">
      <alignment horizontal="right" vertical="center"/>
    </xf>
    <xf numFmtId="0" fontId="36" fillId="34" borderId="122"/>
    <xf numFmtId="0" fontId="60" fillId="44" borderId="119" applyNumberFormat="0" applyAlignment="0" applyProtection="0"/>
    <xf numFmtId="0" fontId="1" fillId="0" borderId="0" applyNumberFormat="0" applyFill="0" applyBorder="0" applyAlignment="0" applyProtection="0"/>
    <xf numFmtId="0" fontId="36" fillId="35" borderId="125">
      <alignment horizontal="left" vertical="center" wrapText="1" indent="2"/>
    </xf>
    <xf numFmtId="0" fontId="34" fillId="35" borderId="124">
      <alignment horizontal="right" vertical="center"/>
    </xf>
    <xf numFmtId="0" fontId="48" fillId="57" borderId="119" applyNumberFormat="0" applyAlignment="0" applyProtection="0"/>
    <xf numFmtId="4" fontId="34" fillId="35" borderId="122">
      <alignment horizontal="right" vertical="center"/>
    </xf>
    <xf numFmtId="0" fontId="34" fillId="35" borderId="122">
      <alignment horizontal="right" vertical="center"/>
    </xf>
    <xf numFmtId="0" fontId="67" fillId="0" borderId="120" applyNumberFormat="0" applyFill="0" applyAlignment="0" applyProtection="0"/>
    <xf numFmtId="0" fontId="34" fillId="35" borderId="123">
      <alignment horizontal="right" vertical="center"/>
    </xf>
    <xf numFmtId="0" fontId="48" fillId="57" borderId="111" applyNumberFormat="0" applyAlignment="0" applyProtection="0"/>
    <xf numFmtId="0" fontId="52" fillId="0" borderId="120" applyNumberFormat="0" applyFill="0" applyAlignment="0" applyProtection="0"/>
    <xf numFmtId="43" fontId="39" fillId="0" borderId="0" applyFont="0" applyFill="0" applyBorder="0" applyAlignment="0" applyProtection="0"/>
    <xf numFmtId="4" fontId="34" fillId="35" borderId="122">
      <alignment horizontal="right" vertical="center"/>
    </xf>
    <xf numFmtId="43" fontId="39" fillId="0" borderId="0" applyFont="0" applyFill="0" applyBorder="0" applyAlignment="0" applyProtection="0"/>
    <xf numFmtId="0" fontId="36" fillId="35" borderId="125">
      <alignment horizontal="left" vertical="center" wrapText="1" indent="2"/>
    </xf>
    <xf numFmtId="0" fontId="45" fillId="57" borderId="118" applyNumberFormat="0" applyAlignment="0" applyProtection="0"/>
    <xf numFmtId="0" fontId="67" fillId="0" borderId="120" applyNumberFormat="0" applyFill="0" applyAlignment="0" applyProtection="0"/>
    <xf numFmtId="0" fontId="34" fillId="35" borderId="122">
      <alignment horizontal="right" vertical="center"/>
    </xf>
    <xf numFmtId="0" fontId="36" fillId="0" borderId="122">
      <alignment horizontal="right" vertical="center"/>
    </xf>
    <xf numFmtId="0" fontId="34" fillId="35" borderId="122">
      <alignment horizontal="right" vertical="center"/>
    </xf>
    <xf numFmtId="0" fontId="60" fillId="44" borderId="119" applyNumberFormat="0" applyAlignment="0" applyProtection="0"/>
    <xf numFmtId="0" fontId="60" fillId="44" borderId="111" applyNumberFormat="0" applyAlignment="0" applyProtection="0"/>
    <xf numFmtId="4" fontId="36" fillId="0" borderId="122">
      <alignment horizontal="right" vertical="center"/>
    </xf>
    <xf numFmtId="4" fontId="34" fillId="33" borderId="122">
      <alignment horizontal="right" vertical="center"/>
    </xf>
    <xf numFmtId="4" fontId="38" fillId="33" borderId="122">
      <alignment horizontal="right" vertical="center"/>
    </xf>
    <xf numFmtId="49" fontId="35" fillId="0" borderId="122" applyNumberFormat="0" applyFill="0" applyBorder="0" applyProtection="0">
      <alignment horizontal="left" vertical="center"/>
    </xf>
    <xf numFmtId="0" fontId="42" fillId="60" borderId="121" applyNumberFormat="0" applyFont="0" applyAlignment="0" applyProtection="0"/>
    <xf numFmtId="0" fontId="36" fillId="0" borderId="122">
      <alignment horizontal="right" vertical="center"/>
    </xf>
    <xf numFmtId="0" fontId="28" fillId="15" borderId="0" applyNumberFormat="0" applyBorder="0" applyAlignment="0" applyProtection="0"/>
    <xf numFmtId="4" fontId="36" fillId="0" borderId="106" applyFill="0" applyBorder="0" applyProtection="0">
      <alignment horizontal="right" vertical="center"/>
    </xf>
    <xf numFmtId="0" fontId="60" fillId="44" borderId="119" applyNumberFormat="0" applyAlignment="0" applyProtection="0"/>
    <xf numFmtId="0" fontId="38" fillId="33" borderId="122">
      <alignment horizontal="right" vertical="center"/>
    </xf>
    <xf numFmtId="4" fontId="34" fillId="35" borderId="122">
      <alignment horizontal="right" vertical="center"/>
    </xf>
    <xf numFmtId="0" fontId="38" fillId="33" borderId="122">
      <alignment horizontal="right" vertical="center"/>
    </xf>
    <xf numFmtId="0" fontId="42" fillId="60" borderId="113" applyNumberFormat="0" applyFont="0" applyAlignment="0" applyProtection="0"/>
    <xf numFmtId="0" fontId="5" fillId="60" borderId="113" applyNumberFormat="0" applyFont="0" applyAlignment="0" applyProtection="0"/>
    <xf numFmtId="0" fontId="64" fillId="57" borderId="110" applyNumberFormat="0" applyAlignment="0" applyProtection="0"/>
    <xf numFmtId="0" fontId="36" fillId="34" borderId="122"/>
    <xf numFmtId="0" fontId="67" fillId="0" borderId="120" applyNumberFormat="0" applyFill="0" applyAlignment="0" applyProtection="0"/>
    <xf numFmtId="0" fontId="67" fillId="0" borderId="112" applyNumberFormat="0" applyFill="0" applyAlignment="0" applyProtection="0"/>
    <xf numFmtId="0" fontId="36" fillId="33" borderId="123">
      <alignment horizontal="left" vertical="center"/>
    </xf>
    <xf numFmtId="0" fontId="47" fillId="57" borderId="119" applyNumberFormat="0" applyAlignment="0" applyProtection="0"/>
    <xf numFmtId="4" fontId="34" fillId="35" borderId="122">
      <alignment horizontal="right" vertical="center"/>
    </xf>
    <xf numFmtId="0" fontId="28" fillId="16" borderId="0" applyNumberFormat="0" applyBorder="0" applyAlignment="0" applyProtection="0"/>
    <xf numFmtId="0" fontId="51" fillId="44" borderId="119" applyNumberFormat="0" applyAlignment="0" applyProtection="0"/>
    <xf numFmtId="0" fontId="38" fillId="33" borderId="122">
      <alignment horizontal="right" vertical="center"/>
    </xf>
    <xf numFmtId="0" fontId="48" fillId="57" borderId="119" applyNumberFormat="0" applyAlignment="0" applyProtection="0"/>
    <xf numFmtId="4" fontId="34" fillId="35" borderId="124">
      <alignment horizontal="right" vertical="center"/>
    </xf>
    <xf numFmtId="0" fontId="34" fillId="35" borderId="122">
      <alignment horizontal="right" vertical="center"/>
    </xf>
    <xf numFmtId="0" fontId="28" fillId="19" borderId="0" applyNumberFormat="0" applyBorder="0" applyAlignment="0" applyProtection="0"/>
    <xf numFmtId="0" fontId="48" fillId="57" borderId="119" applyNumberFormat="0" applyAlignment="0" applyProtection="0"/>
    <xf numFmtId="4" fontId="36" fillId="0" borderId="122">
      <alignment horizontal="right" vertical="center"/>
    </xf>
    <xf numFmtId="0" fontId="5" fillId="60" borderId="121" applyNumberFormat="0" applyFont="0" applyAlignment="0" applyProtection="0"/>
    <xf numFmtId="4" fontId="34" fillId="35" borderId="123">
      <alignment horizontal="right" vertical="center"/>
    </xf>
    <xf numFmtId="4" fontId="34" fillId="35" borderId="122">
      <alignment horizontal="right" vertical="center"/>
    </xf>
    <xf numFmtId="0" fontId="34" fillId="35" borderId="123">
      <alignment horizontal="right" vertical="center"/>
    </xf>
    <xf numFmtId="4" fontId="38" fillId="33" borderId="122">
      <alignment horizontal="right" vertical="center"/>
    </xf>
    <xf numFmtId="0" fontId="60" fillId="44" borderId="119" applyNumberFormat="0" applyAlignment="0" applyProtection="0"/>
    <xf numFmtId="0" fontId="34" fillId="35" borderId="122">
      <alignment horizontal="right" vertical="center"/>
    </xf>
    <xf numFmtId="0" fontId="48" fillId="57" borderId="111" applyNumberFormat="0" applyAlignment="0" applyProtection="0"/>
    <xf numFmtId="4" fontId="34" fillId="35" borderId="123">
      <alignment horizontal="right" vertical="center"/>
    </xf>
    <xf numFmtId="0" fontId="52" fillId="0" borderId="120" applyNumberFormat="0" applyFill="0" applyAlignment="0" applyProtection="0"/>
    <xf numFmtId="4" fontId="36" fillId="0" borderId="122" applyFill="0" applyBorder="0" applyProtection="0">
      <alignment horizontal="right" vertical="center"/>
    </xf>
    <xf numFmtId="0" fontId="47" fillId="57" borderId="119" applyNumberFormat="0" applyAlignment="0" applyProtection="0"/>
    <xf numFmtId="0" fontId="51" fillId="44" borderId="119" applyNumberFormat="0" applyAlignment="0" applyProtection="0"/>
    <xf numFmtId="0" fontId="36" fillId="35" borderId="125">
      <alignment horizontal="left" vertical="center" wrapText="1" indent="2"/>
    </xf>
    <xf numFmtId="0" fontId="60" fillId="44" borderId="111" applyNumberFormat="0" applyAlignment="0" applyProtection="0"/>
    <xf numFmtId="0" fontId="31" fillId="14" borderId="12" applyNumberFormat="0" applyAlignment="0" applyProtection="0"/>
    <xf numFmtId="0" fontId="42" fillId="60" borderId="113" applyNumberFormat="0" applyFont="0" applyAlignment="0" applyProtection="0"/>
    <xf numFmtId="0" fontId="64" fillId="57" borderId="110" applyNumberFormat="0" applyAlignment="0" applyProtection="0"/>
    <xf numFmtId="0" fontId="52" fillId="0" borderId="120" applyNumberFormat="0" applyFill="0" applyAlignment="0" applyProtection="0"/>
    <xf numFmtId="0" fontId="67" fillId="0" borderId="112" applyNumberFormat="0" applyFill="0" applyAlignment="0" applyProtection="0"/>
    <xf numFmtId="4" fontId="34" fillId="35" borderId="124">
      <alignment horizontal="right" vertical="center"/>
    </xf>
    <xf numFmtId="0" fontId="60" fillId="44" borderId="119" applyNumberFormat="0" applyAlignment="0" applyProtection="0"/>
    <xf numFmtId="0" fontId="48" fillId="57" borderId="119" applyNumberFormat="0" applyAlignment="0" applyProtection="0"/>
    <xf numFmtId="49" fontId="36" fillId="0" borderId="122" applyNumberFormat="0" applyFont="0" applyFill="0" applyBorder="0" applyProtection="0">
      <alignment horizontal="left" vertical="center" indent="2"/>
    </xf>
    <xf numFmtId="49" fontId="36" fillId="0" borderId="123" applyNumberFormat="0" applyFont="0" applyFill="0" applyBorder="0" applyProtection="0">
      <alignment horizontal="left" vertical="center" indent="5"/>
    </xf>
    <xf numFmtId="0" fontId="67" fillId="0" borderId="120" applyNumberFormat="0" applyFill="0" applyAlignment="0" applyProtection="0"/>
    <xf numFmtId="0" fontId="36" fillId="35" borderId="125">
      <alignment horizontal="left" vertical="center" wrapText="1" indent="2"/>
    </xf>
    <xf numFmtId="0" fontId="34" fillId="35" borderId="122">
      <alignment horizontal="right" vertical="center"/>
    </xf>
    <xf numFmtId="0" fontId="34" fillId="35" borderId="124">
      <alignment horizontal="right" vertical="center"/>
    </xf>
    <xf numFmtId="0" fontId="36" fillId="0" borderId="125">
      <alignment horizontal="left" vertical="center" wrapText="1" indent="2"/>
    </xf>
    <xf numFmtId="0" fontId="34" fillId="35" borderId="124">
      <alignment horizontal="right" vertical="center"/>
    </xf>
    <xf numFmtId="0" fontId="47" fillId="57" borderId="119" applyNumberFormat="0" applyAlignment="0" applyProtection="0"/>
    <xf numFmtId="0" fontId="67" fillId="0" borderId="120" applyNumberFormat="0" applyFill="0" applyAlignment="0" applyProtection="0"/>
    <xf numFmtId="0" fontId="45" fillId="57" borderId="118" applyNumberFormat="0" applyAlignment="0" applyProtection="0"/>
    <xf numFmtId="0" fontId="34" fillId="35" borderId="123">
      <alignment horizontal="right" vertical="center"/>
    </xf>
    <xf numFmtId="174" fontId="36" fillId="61" borderId="122" applyNumberFormat="0" applyFont="0" applyBorder="0" applyAlignment="0" applyProtection="0">
      <alignment horizontal="right" vertical="center"/>
    </xf>
    <xf numFmtId="49" fontId="35" fillId="0" borderId="122" applyNumberFormat="0" applyFill="0" applyBorder="0" applyProtection="0">
      <alignment horizontal="left" vertical="center"/>
    </xf>
    <xf numFmtId="0" fontId="34" fillId="33" borderId="114">
      <alignment horizontal="right" vertical="center"/>
    </xf>
    <xf numFmtId="4" fontId="34" fillId="33" borderId="114">
      <alignment horizontal="right" vertical="center"/>
    </xf>
    <xf numFmtId="0" fontId="38" fillId="33" borderId="114">
      <alignment horizontal="right" vertical="center"/>
    </xf>
    <xf numFmtId="4" fontId="38" fillId="33" borderId="114">
      <alignment horizontal="right" vertical="center"/>
    </xf>
    <xf numFmtId="0" fontId="34" fillId="35" borderId="114">
      <alignment horizontal="right" vertical="center"/>
    </xf>
    <xf numFmtId="4" fontId="34" fillId="35" borderId="114">
      <alignment horizontal="right" vertical="center"/>
    </xf>
    <xf numFmtId="0" fontId="34" fillId="35" borderId="114">
      <alignment horizontal="right" vertical="center"/>
    </xf>
    <xf numFmtId="4" fontId="34" fillId="35" borderId="114">
      <alignment horizontal="right" vertical="center"/>
    </xf>
    <xf numFmtId="0" fontId="34" fillId="35" borderId="115">
      <alignment horizontal="right" vertical="center"/>
    </xf>
    <xf numFmtId="4" fontId="34" fillId="35" borderId="115">
      <alignment horizontal="right" vertical="center"/>
    </xf>
    <xf numFmtId="0" fontId="34" fillId="35" borderId="116">
      <alignment horizontal="right" vertical="center"/>
    </xf>
    <xf numFmtId="4" fontId="34" fillId="35" borderId="116">
      <alignment horizontal="right" vertical="center"/>
    </xf>
    <xf numFmtId="0" fontId="48" fillId="57" borderId="111" applyNumberFormat="0" applyAlignment="0" applyProtection="0"/>
    <xf numFmtId="0" fontId="36" fillId="35" borderId="117">
      <alignment horizontal="left" vertical="center" wrapText="1" indent="2"/>
    </xf>
    <xf numFmtId="0" fontId="36" fillId="0" borderId="117">
      <alignment horizontal="left" vertical="center" wrapText="1" indent="2"/>
    </xf>
    <xf numFmtId="0" fontId="36" fillId="33" borderId="115">
      <alignment horizontal="left" vertical="center"/>
    </xf>
    <xf numFmtId="0" fontId="60" fillId="44" borderId="111" applyNumberFormat="0" applyAlignment="0" applyProtection="0"/>
    <xf numFmtId="0" fontId="36" fillId="0" borderId="114">
      <alignment horizontal="right" vertical="center"/>
    </xf>
    <xf numFmtId="4" fontId="36" fillId="0" borderId="114">
      <alignment horizontal="right" vertical="center"/>
    </xf>
    <xf numFmtId="0" fontId="36" fillId="0" borderId="114" applyNumberFormat="0" applyFill="0" applyAlignment="0" applyProtection="0"/>
    <xf numFmtId="0" fontId="64" fillId="57" borderId="110" applyNumberFormat="0" applyAlignment="0" applyProtection="0"/>
    <xf numFmtId="174" fontId="36" fillId="61" borderId="114" applyNumberFormat="0" applyFont="0" applyBorder="0" applyAlignment="0" applyProtection="0">
      <alignment horizontal="right" vertical="center"/>
    </xf>
    <xf numFmtId="0" fontId="36" fillId="34" borderId="114"/>
    <xf numFmtId="4" fontId="36" fillId="34" borderId="114"/>
    <xf numFmtId="0" fontId="67" fillId="0" borderId="112" applyNumberFormat="0" applyFill="0" applyAlignment="0" applyProtection="0"/>
    <xf numFmtId="4" fontId="34" fillId="35" borderId="124">
      <alignment horizontal="right" vertical="center"/>
    </xf>
    <xf numFmtId="0" fontId="36" fillId="34" borderId="122"/>
    <xf numFmtId="49" fontId="36" fillId="0" borderId="122" applyNumberFormat="0" applyFont="0" applyFill="0" applyBorder="0" applyProtection="0">
      <alignment horizontal="left" vertical="center" indent="2"/>
    </xf>
    <xf numFmtId="0" fontId="67" fillId="0" borderId="120" applyNumberFormat="0" applyFill="0" applyAlignment="0" applyProtection="0"/>
    <xf numFmtId="0" fontId="28" fillId="22" borderId="0" applyNumberFormat="0" applyBorder="0" applyAlignment="0" applyProtection="0"/>
    <xf numFmtId="4" fontId="38" fillId="33" borderId="122">
      <alignment horizontal="right" vertical="center"/>
    </xf>
    <xf numFmtId="0" fontId="48" fillId="57" borderId="119" applyNumberFormat="0" applyAlignment="0" applyProtection="0"/>
    <xf numFmtId="0" fontId="52" fillId="0" borderId="120" applyNumberFormat="0" applyFill="0" applyAlignment="0" applyProtection="0"/>
    <xf numFmtId="0" fontId="36" fillId="34" borderId="122"/>
    <xf numFmtId="0" fontId="47" fillId="57" borderId="119" applyNumberFormat="0" applyAlignment="0" applyProtection="0"/>
    <xf numFmtId="49" fontId="35" fillId="0" borderId="122" applyNumberFormat="0" applyFill="0" applyBorder="0" applyProtection="0">
      <alignment horizontal="left" vertical="center"/>
    </xf>
    <xf numFmtId="0" fontId="36" fillId="0" borderId="122" applyNumberFormat="0" applyFill="0" applyAlignment="0" applyProtection="0"/>
    <xf numFmtId="0" fontId="5" fillId="60" borderId="121" applyNumberFormat="0" applyFont="0" applyAlignment="0" applyProtection="0"/>
    <xf numFmtId="0" fontId="28" fillId="16" borderId="0" applyNumberFormat="0" applyBorder="0" applyAlignment="0" applyProtection="0"/>
    <xf numFmtId="0" fontId="13" fillId="29" borderId="0" applyNumberFormat="0" applyBorder="0" applyAlignment="0" applyProtection="0"/>
    <xf numFmtId="4" fontId="36" fillId="0" borderId="122">
      <alignment horizontal="right" vertical="center"/>
    </xf>
    <xf numFmtId="0" fontId="28" fillId="21" borderId="0" applyNumberFormat="0" applyBorder="0" applyAlignment="0" applyProtection="0"/>
    <xf numFmtId="0" fontId="47" fillId="57" borderId="119" applyNumberFormat="0" applyAlignment="0" applyProtection="0"/>
    <xf numFmtId="49" fontId="36" fillId="0" borderId="123" applyNumberFormat="0" applyFont="0" applyFill="0" applyBorder="0" applyProtection="0">
      <alignment horizontal="left" vertical="center" indent="5"/>
    </xf>
    <xf numFmtId="0" fontId="67" fillId="0" borderId="120" applyNumberFormat="0" applyFill="0" applyAlignment="0" applyProtection="0"/>
    <xf numFmtId="0" fontId="42" fillId="60" borderId="121" applyNumberFormat="0" applyFont="0" applyAlignment="0" applyProtection="0"/>
    <xf numFmtId="0" fontId="34" fillId="35" borderId="123">
      <alignment horizontal="right" vertical="center"/>
    </xf>
    <xf numFmtId="0" fontId="45" fillId="57" borderId="118" applyNumberFormat="0" applyAlignment="0" applyProtection="0"/>
    <xf numFmtId="4" fontId="34" fillId="35" borderId="124">
      <alignment horizontal="right" vertical="center"/>
    </xf>
    <xf numFmtId="4" fontId="38" fillId="33" borderId="122">
      <alignment horizontal="right" vertical="center"/>
    </xf>
    <xf numFmtId="0" fontId="60" fillId="44" borderId="119" applyNumberFormat="0" applyAlignment="0" applyProtection="0"/>
    <xf numFmtId="0" fontId="48" fillId="57" borderId="119" applyNumberFormat="0" applyAlignment="0" applyProtection="0"/>
    <xf numFmtId="0" fontId="38" fillId="33" borderId="122">
      <alignment horizontal="right" vertical="center"/>
    </xf>
    <xf numFmtId="0" fontId="67" fillId="0" borderId="120" applyNumberFormat="0" applyFill="0" applyAlignment="0" applyProtection="0"/>
    <xf numFmtId="0" fontId="48" fillId="57" borderId="119" applyNumberFormat="0" applyAlignment="0" applyProtection="0"/>
    <xf numFmtId="0" fontId="32" fillId="0" borderId="0" applyNumberFormat="0" applyFill="0" applyBorder="0" applyAlignment="0" applyProtection="0"/>
    <xf numFmtId="0" fontId="13" fillId="26" borderId="0" applyNumberFormat="0" applyBorder="0" applyAlignment="0" applyProtection="0"/>
    <xf numFmtId="0" fontId="28" fillId="31" borderId="0" applyNumberFormat="0" applyBorder="0" applyAlignment="0" applyProtection="0"/>
    <xf numFmtId="0" fontId="5" fillId="60" borderId="121" applyNumberFormat="0" applyFont="0" applyAlignment="0" applyProtection="0"/>
    <xf numFmtId="0" fontId="28" fillId="28" borderId="0" applyNumberFormat="0" applyBorder="0" applyAlignment="0" applyProtection="0"/>
    <xf numFmtId="0" fontId="28" fillId="18" borderId="0" applyNumberFormat="0" applyBorder="0" applyAlignment="0" applyProtection="0"/>
    <xf numFmtId="0" fontId="28" fillId="15" borderId="0" applyNumberFormat="0" applyBorder="0" applyAlignment="0" applyProtection="0"/>
    <xf numFmtId="0" fontId="64" fillId="57" borderId="118" applyNumberFormat="0" applyAlignment="0" applyProtection="0"/>
    <xf numFmtId="4" fontId="38" fillId="33" borderId="122">
      <alignment horizontal="right" vertical="center"/>
    </xf>
    <xf numFmtId="0" fontId="1" fillId="0" borderId="0" applyNumberFormat="0" applyFill="0" applyBorder="0" applyAlignment="0" applyProtection="0"/>
    <xf numFmtId="49" fontId="36" fillId="0" borderId="114" applyNumberFormat="0" applyFont="0" applyFill="0" applyBorder="0" applyProtection="0">
      <alignment horizontal="left" vertical="center" indent="2"/>
    </xf>
    <xf numFmtId="49" fontId="36" fillId="0" borderId="115" applyNumberFormat="0" applyFont="0" applyFill="0" applyBorder="0" applyProtection="0">
      <alignment horizontal="left" vertical="center" indent="5"/>
    </xf>
    <xf numFmtId="0" fontId="34" fillId="35" borderId="124">
      <alignment horizontal="right" vertical="center"/>
    </xf>
    <xf numFmtId="0" fontId="34" fillId="33" borderId="122">
      <alignment horizontal="right" vertical="center"/>
    </xf>
    <xf numFmtId="0" fontId="28" fillId="28" borderId="0" applyNumberFormat="0" applyBorder="0" applyAlignment="0" applyProtection="0"/>
    <xf numFmtId="0" fontId="36" fillId="0" borderId="125">
      <alignment horizontal="left" vertical="center" wrapText="1" indent="2"/>
    </xf>
    <xf numFmtId="4" fontId="36" fillId="0" borderId="114" applyFill="0" applyBorder="0" applyProtection="0">
      <alignment horizontal="right" vertical="center"/>
    </xf>
    <xf numFmtId="49" fontId="35" fillId="0" borderId="114" applyNumberFormat="0" applyFill="0" applyBorder="0" applyProtection="0">
      <alignment horizontal="left" vertical="center"/>
    </xf>
    <xf numFmtId="4" fontId="34" fillId="35" borderId="124">
      <alignment horizontal="right" vertical="center"/>
    </xf>
    <xf numFmtId="0" fontId="64" fillId="57" borderId="118" applyNumberFormat="0" applyAlignment="0" applyProtection="0"/>
    <xf numFmtId="0" fontId="48" fillId="57" borderId="119" applyNumberFormat="0" applyAlignment="0" applyProtection="0"/>
    <xf numFmtId="0" fontId="67" fillId="0" borderId="120" applyNumberFormat="0" applyFill="0" applyAlignment="0" applyProtection="0"/>
    <xf numFmtId="0" fontId="36" fillId="0" borderId="125">
      <alignment horizontal="left" vertical="center" wrapText="1" indent="2"/>
    </xf>
    <xf numFmtId="4" fontId="38" fillId="33" borderId="122">
      <alignment horizontal="right" vertical="center"/>
    </xf>
    <xf numFmtId="0" fontId="47" fillId="57" borderId="119" applyNumberFormat="0" applyAlignment="0" applyProtection="0"/>
    <xf numFmtId="0" fontId="34" fillId="33" borderId="122">
      <alignment horizontal="right" vertical="center"/>
    </xf>
    <xf numFmtId="174" fontId="36" fillId="61" borderId="122" applyNumberFormat="0" applyFont="0" applyBorder="0" applyAlignment="0" applyProtection="0">
      <alignment horizontal="right" vertical="center"/>
    </xf>
    <xf numFmtId="0" fontId="34" fillId="35" borderId="122">
      <alignment horizontal="right" vertical="center"/>
    </xf>
    <xf numFmtId="0" fontId="45" fillId="57" borderId="118" applyNumberFormat="0" applyAlignment="0" applyProtection="0"/>
    <xf numFmtId="0" fontId="67" fillId="0" borderId="120" applyNumberFormat="0" applyFill="0" applyAlignment="0" applyProtection="0"/>
    <xf numFmtId="0" fontId="42" fillId="60" borderId="121" applyNumberFormat="0" applyFont="0" applyAlignment="0" applyProtection="0"/>
    <xf numFmtId="0" fontId="34" fillId="35" borderId="122">
      <alignment horizontal="right" vertical="center"/>
    </xf>
    <xf numFmtId="0" fontId="34" fillId="35" borderId="123">
      <alignment horizontal="right" vertical="center"/>
    </xf>
    <xf numFmtId="0" fontId="48" fillId="57" borderId="119" applyNumberFormat="0" applyAlignment="0" applyProtection="0"/>
    <xf numFmtId="0" fontId="34" fillId="35" borderId="124">
      <alignment horizontal="right" vertical="center"/>
    </xf>
    <xf numFmtId="0" fontId="34" fillId="35" borderId="122">
      <alignment horizontal="right" vertical="center"/>
    </xf>
    <xf numFmtId="0" fontId="51" fillId="44" borderId="119" applyNumberFormat="0" applyAlignment="0" applyProtection="0"/>
    <xf numFmtId="4" fontId="36" fillId="0" borderId="122">
      <alignment horizontal="right" vertical="center"/>
    </xf>
    <xf numFmtId="0" fontId="48" fillId="57" borderId="119" applyNumberFormat="0" applyAlignment="0" applyProtection="0"/>
    <xf numFmtId="0" fontId="36" fillId="33" borderId="123">
      <alignment horizontal="left" vertical="center"/>
    </xf>
    <xf numFmtId="174" fontId="36" fillId="61" borderId="122" applyNumberFormat="0" applyFont="0" applyBorder="0" applyAlignment="0" applyProtection="0">
      <alignment horizontal="right" vertical="center"/>
    </xf>
    <xf numFmtId="0" fontId="45" fillId="57" borderId="110" applyNumberFormat="0" applyAlignment="0" applyProtection="0"/>
    <xf numFmtId="0" fontId="47" fillId="57" borderId="111" applyNumberFormat="0" applyAlignment="0" applyProtection="0"/>
    <xf numFmtId="0" fontId="52" fillId="0" borderId="112" applyNumberFormat="0" applyFill="0" applyAlignment="0" applyProtection="0"/>
    <xf numFmtId="4" fontId="38" fillId="33" borderId="122">
      <alignment horizontal="right" vertical="center"/>
    </xf>
    <xf numFmtId="0" fontId="45" fillId="57" borderId="118" applyNumberFormat="0" applyAlignment="0" applyProtection="0"/>
    <xf numFmtId="0" fontId="48" fillId="57" borderId="119" applyNumberFormat="0" applyAlignment="0" applyProtection="0"/>
    <xf numFmtId="0" fontId="48" fillId="57" borderId="119" applyNumberFormat="0" applyAlignment="0" applyProtection="0"/>
    <xf numFmtId="0" fontId="28" fillId="24" borderId="0" applyNumberFormat="0" applyBorder="0" applyAlignment="0" applyProtection="0"/>
    <xf numFmtId="0" fontId="36" fillId="33" borderId="123">
      <alignment horizontal="left" vertical="center"/>
    </xf>
    <xf numFmtId="4" fontId="36" fillId="0" borderId="122">
      <alignment horizontal="right" vertical="center"/>
    </xf>
    <xf numFmtId="4" fontId="34" fillId="35" borderId="122">
      <alignment horizontal="right" vertical="center"/>
    </xf>
    <xf numFmtId="0" fontId="64" fillId="57" borderId="118" applyNumberFormat="0" applyAlignment="0" applyProtection="0"/>
    <xf numFmtId="0" fontId="52" fillId="0" borderId="120" applyNumberFormat="0" applyFill="0" applyAlignment="0" applyProtection="0"/>
    <xf numFmtId="0" fontId="51" fillId="44" borderId="111" applyNumberFormat="0" applyAlignment="0" applyProtection="0"/>
    <xf numFmtId="49" fontId="36" fillId="0" borderId="122" applyNumberFormat="0" applyFont="0" applyFill="0" applyBorder="0" applyProtection="0">
      <alignment horizontal="left" vertical="center" indent="2"/>
    </xf>
    <xf numFmtId="174" fontId="36" fillId="61" borderId="122" applyNumberFormat="0" applyFont="0" applyBorder="0" applyAlignment="0" applyProtection="0">
      <alignment horizontal="right" vertical="center"/>
    </xf>
    <xf numFmtId="4" fontId="34" fillId="35" borderId="124">
      <alignment horizontal="right" vertical="center"/>
    </xf>
    <xf numFmtId="0" fontId="28" fillId="24" borderId="0" applyNumberFormat="0" applyBorder="0" applyAlignment="0" applyProtection="0"/>
    <xf numFmtId="0" fontId="30" fillId="14" borderId="13" applyNumberFormat="0" applyAlignment="0" applyProtection="0"/>
    <xf numFmtId="0" fontId="60" fillId="44" borderId="119" applyNumberFormat="0" applyAlignment="0" applyProtection="0"/>
    <xf numFmtId="0" fontId="36" fillId="35" borderId="125">
      <alignment horizontal="left" vertical="center" wrapText="1" indent="2"/>
    </xf>
    <xf numFmtId="0" fontId="52" fillId="0" borderId="120" applyNumberFormat="0" applyFill="0" applyAlignment="0" applyProtection="0"/>
    <xf numFmtId="4" fontId="36" fillId="34" borderId="122"/>
    <xf numFmtId="0" fontId="36" fillId="35" borderId="117">
      <alignment horizontal="left" vertical="center" wrapText="1" indent="2"/>
    </xf>
    <xf numFmtId="0" fontId="36" fillId="0" borderId="117">
      <alignment horizontal="left" vertical="center" wrapText="1" indent="2"/>
    </xf>
    <xf numFmtId="0" fontId="60" fillId="44" borderId="119" applyNumberFormat="0" applyAlignment="0" applyProtection="0"/>
    <xf numFmtId="0" fontId="36" fillId="0" borderId="122">
      <alignment horizontal="right" vertical="center"/>
    </xf>
    <xf numFmtId="0" fontId="45" fillId="57" borderId="118" applyNumberFormat="0" applyAlignment="0" applyProtection="0"/>
    <xf numFmtId="4" fontId="34" fillId="33" borderId="122">
      <alignment horizontal="right" vertical="center"/>
    </xf>
    <xf numFmtId="0" fontId="52" fillId="0" borderId="120" applyNumberFormat="0" applyFill="0" applyAlignment="0" applyProtection="0"/>
    <xf numFmtId="0" fontId="48" fillId="57" borderId="119" applyNumberFormat="0" applyAlignment="0" applyProtection="0"/>
    <xf numFmtId="4" fontId="34" fillId="35" borderId="123">
      <alignment horizontal="right" vertical="center"/>
    </xf>
    <xf numFmtId="0" fontId="47" fillId="57" borderId="119" applyNumberFormat="0" applyAlignment="0" applyProtection="0"/>
    <xf numFmtId="0" fontId="36" fillId="0" borderId="125">
      <alignment horizontal="left" vertical="center" wrapText="1" indent="2"/>
    </xf>
    <xf numFmtId="49" fontId="36" fillId="0" borderId="122" applyNumberFormat="0" applyFont="0" applyFill="0" applyBorder="0" applyProtection="0">
      <alignment horizontal="left" vertical="center" indent="2"/>
    </xf>
    <xf numFmtId="0" fontId="60" fillId="44" borderId="119" applyNumberFormat="0" applyAlignment="0" applyProtection="0"/>
    <xf numFmtId="0" fontId="42" fillId="60" borderId="121" applyNumberFormat="0" applyFont="0" applyAlignment="0" applyProtection="0"/>
    <xf numFmtId="4" fontId="34" fillId="35" borderId="123">
      <alignment horizontal="right" vertical="center"/>
    </xf>
    <xf numFmtId="0" fontId="36" fillId="35" borderId="125">
      <alignment horizontal="left" vertical="center" wrapText="1" indent="2"/>
    </xf>
    <xf numFmtId="0" fontId="52" fillId="0" borderId="120" applyNumberFormat="0" applyFill="0" applyAlignment="0" applyProtection="0"/>
    <xf numFmtId="0" fontId="64" fillId="57" borderId="118" applyNumberFormat="0" applyAlignment="0" applyProtection="0"/>
    <xf numFmtId="0" fontId="42" fillId="60" borderId="121" applyNumberFormat="0" applyFont="0" applyAlignment="0" applyProtection="0"/>
    <xf numFmtId="0" fontId="60" fillId="44" borderId="119" applyNumberFormat="0" applyAlignment="0" applyProtection="0"/>
    <xf numFmtId="0" fontId="36" fillId="0" borderId="122" applyNumberFormat="0" applyFill="0" applyAlignment="0" applyProtection="0"/>
    <xf numFmtId="0" fontId="34" fillId="33" borderId="122">
      <alignment horizontal="right" vertical="center"/>
    </xf>
    <xf numFmtId="0" fontId="34" fillId="35" borderId="122">
      <alignment horizontal="right" vertical="center"/>
    </xf>
    <xf numFmtId="0" fontId="42" fillId="60" borderId="121" applyNumberFormat="0" applyFont="0" applyAlignment="0" applyProtection="0"/>
    <xf numFmtId="0" fontId="52" fillId="0" borderId="120" applyNumberFormat="0" applyFill="0" applyAlignment="0" applyProtection="0"/>
    <xf numFmtId="0" fontId="34" fillId="33" borderId="122">
      <alignment horizontal="right" vertical="center"/>
    </xf>
    <xf numFmtId="4" fontId="36" fillId="0" borderId="122" applyFill="0" applyBorder="0" applyProtection="0">
      <alignment horizontal="right" vertical="center"/>
    </xf>
    <xf numFmtId="49" fontId="36" fillId="0" borderId="122" applyNumberFormat="0" applyFont="0" applyFill="0" applyBorder="0" applyProtection="0">
      <alignment horizontal="left" vertical="center" indent="2"/>
    </xf>
    <xf numFmtId="0" fontId="51" fillId="44" borderId="119" applyNumberFormat="0" applyAlignment="0" applyProtection="0"/>
    <xf numFmtId="0" fontId="13" fillId="23" borderId="0" applyNumberFormat="0" applyBorder="0" applyAlignment="0" applyProtection="0"/>
    <xf numFmtId="0" fontId="13" fillId="32" borderId="0" applyNumberFormat="0" applyBorder="0" applyAlignment="0" applyProtection="0"/>
    <xf numFmtId="0" fontId="28" fillId="30" borderId="0" applyNumberFormat="0" applyBorder="0" applyAlignment="0" applyProtection="0"/>
    <xf numFmtId="0" fontId="28" fillId="27" borderId="0" applyNumberFormat="0" applyBorder="0" applyAlignment="0" applyProtection="0"/>
    <xf numFmtId="0" fontId="28" fillId="25" borderId="0" applyNumberFormat="0" applyBorder="0" applyAlignment="0" applyProtection="0"/>
    <xf numFmtId="0" fontId="13" fillId="17" borderId="0" applyNumberFormat="0" applyBorder="0" applyAlignment="0" applyProtection="0"/>
    <xf numFmtId="0" fontId="28" fillId="19" borderId="0" applyNumberFormat="0" applyBorder="0" applyAlignment="0" applyProtection="0"/>
    <xf numFmtId="0" fontId="13" fillId="20" borderId="0" applyNumberFormat="0" applyBorder="0" applyAlignment="0" applyProtection="0"/>
    <xf numFmtId="0" fontId="2" fillId="0" borderId="14" applyNumberFormat="0" applyFill="0" applyAlignment="0" applyProtection="0"/>
    <xf numFmtId="0" fontId="51" fillId="44" borderId="119" applyNumberFormat="0" applyAlignment="0" applyProtection="0"/>
    <xf numFmtId="4" fontId="36" fillId="34" borderId="122"/>
    <xf numFmtId="4" fontId="34" fillId="35" borderId="114">
      <alignment horizontal="right" vertical="center"/>
    </xf>
    <xf numFmtId="0" fontId="36" fillId="34" borderId="114"/>
    <xf numFmtId="0" fontId="47" fillId="57" borderId="111" applyNumberFormat="0" applyAlignment="0" applyProtection="0"/>
    <xf numFmtId="0" fontId="34" fillId="33" borderId="114">
      <alignment horizontal="right" vertical="center"/>
    </xf>
    <xf numFmtId="0" fontId="36" fillId="0" borderId="114">
      <alignment horizontal="right" vertical="center"/>
    </xf>
    <xf numFmtId="0" fontId="67" fillId="0" borderId="112" applyNumberFormat="0" applyFill="0" applyAlignment="0" applyProtection="0"/>
    <xf numFmtId="0" fontId="36" fillId="33" borderId="115">
      <alignment horizontal="left" vertical="center"/>
    </xf>
    <xf numFmtId="0" fontId="60" fillId="44" borderId="111" applyNumberFormat="0" applyAlignment="0" applyProtection="0"/>
    <xf numFmtId="174" fontId="36" fillId="61" borderId="114" applyNumberFormat="0" applyFont="0" applyBorder="0" applyAlignment="0" applyProtection="0">
      <alignment horizontal="right" vertical="center"/>
    </xf>
    <xf numFmtId="0" fontId="42" fillId="60" borderId="113" applyNumberFormat="0" applyFont="0" applyAlignment="0" applyProtection="0"/>
    <xf numFmtId="0" fontId="36" fillId="0" borderId="117">
      <alignment horizontal="left" vertical="center" wrapText="1" indent="2"/>
    </xf>
    <xf numFmtId="4" fontId="36" fillId="34" borderId="114"/>
    <xf numFmtId="49" fontId="35" fillId="0" borderId="114" applyNumberFormat="0" applyFill="0" applyBorder="0" applyProtection="0">
      <alignment horizontal="left" vertical="center"/>
    </xf>
    <xf numFmtId="0" fontId="36" fillId="0" borderId="114">
      <alignment horizontal="right" vertical="center"/>
    </xf>
    <xf numFmtId="4" fontId="34" fillId="35" borderId="116">
      <alignment horizontal="right" vertical="center"/>
    </xf>
    <xf numFmtId="4" fontId="34" fillId="35" borderId="114">
      <alignment horizontal="right" vertical="center"/>
    </xf>
    <xf numFmtId="4" fontId="34" fillId="35" borderId="114">
      <alignment horizontal="right" vertical="center"/>
    </xf>
    <xf numFmtId="0" fontId="38" fillId="33" borderId="114">
      <alignment horizontal="right" vertical="center"/>
    </xf>
    <xf numFmtId="0" fontId="34" fillId="33" borderId="114">
      <alignment horizontal="right" vertical="center"/>
    </xf>
    <xf numFmtId="49" fontId="36" fillId="0" borderId="114" applyNumberFormat="0" applyFont="0" applyFill="0" applyBorder="0" applyProtection="0">
      <alignment horizontal="left" vertical="center" indent="2"/>
    </xf>
    <xf numFmtId="0" fontId="60" fillId="44" borderId="111" applyNumberFormat="0" applyAlignment="0" applyProtection="0"/>
    <xf numFmtId="0" fontId="45" fillId="57" borderId="110" applyNumberFormat="0" applyAlignment="0" applyProtection="0"/>
    <xf numFmtId="49" fontId="36" fillId="0" borderId="114" applyNumberFormat="0" applyFont="0" applyFill="0" applyBorder="0" applyProtection="0">
      <alignment horizontal="left" vertical="center" indent="2"/>
    </xf>
    <xf numFmtId="0" fontId="51" fillId="44" borderId="111" applyNumberFormat="0" applyAlignment="0" applyProtection="0"/>
    <xf numFmtId="4" fontId="36" fillId="0" borderId="114" applyFill="0" applyBorder="0" applyProtection="0">
      <alignment horizontal="right" vertical="center"/>
    </xf>
    <xf numFmtId="0" fontId="48" fillId="57" borderId="111" applyNumberFormat="0" applyAlignment="0" applyProtection="0"/>
    <xf numFmtId="0" fontId="67" fillId="0" borderId="112" applyNumberFormat="0" applyFill="0" applyAlignment="0" applyProtection="0"/>
    <xf numFmtId="0" fontId="64" fillId="57" borderId="110" applyNumberFormat="0" applyAlignment="0" applyProtection="0"/>
    <xf numFmtId="0" fontId="36" fillId="0" borderId="114" applyNumberFormat="0" applyFill="0" applyAlignment="0" applyProtection="0"/>
    <xf numFmtId="4" fontId="36" fillId="0" borderId="114">
      <alignment horizontal="right" vertical="center"/>
    </xf>
    <xf numFmtId="0" fontId="36" fillId="0" borderId="114">
      <alignment horizontal="right" vertical="center"/>
    </xf>
    <xf numFmtId="0" fontId="60" fillId="44" borderId="111" applyNumberFormat="0" applyAlignment="0" applyProtection="0"/>
    <xf numFmtId="0" fontId="45" fillId="57" borderId="110" applyNumberFormat="0" applyAlignment="0" applyProtection="0"/>
    <xf numFmtId="0" fontId="47" fillId="57" borderId="111" applyNumberFormat="0" applyAlignment="0" applyProtection="0"/>
    <xf numFmtId="0" fontId="36" fillId="35" borderId="117">
      <alignment horizontal="left" vertical="center" wrapText="1" indent="2"/>
    </xf>
    <xf numFmtId="0" fontId="48" fillId="57" borderId="111" applyNumberFormat="0" applyAlignment="0" applyProtection="0"/>
    <xf numFmtId="0" fontId="48" fillId="57" borderId="111" applyNumberFormat="0" applyAlignment="0" applyProtection="0"/>
    <xf numFmtId="4" fontId="34" fillId="35" borderId="115">
      <alignment horizontal="right" vertical="center"/>
    </xf>
    <xf numFmtId="0" fontId="34" fillId="35" borderId="115">
      <alignment horizontal="right" vertical="center"/>
    </xf>
    <xf numFmtId="0" fontId="34" fillId="35" borderId="114">
      <alignment horizontal="right" vertical="center"/>
    </xf>
    <xf numFmtId="4" fontId="38" fillId="33" borderId="114">
      <alignment horizontal="right" vertical="center"/>
    </xf>
    <xf numFmtId="0" fontId="51" fillId="44" borderId="111" applyNumberFormat="0" applyAlignment="0" applyProtection="0"/>
    <xf numFmtId="0" fontId="52" fillId="0" borderId="112" applyNumberFormat="0" applyFill="0" applyAlignment="0" applyProtection="0"/>
    <xf numFmtId="0" fontId="67" fillId="0" borderId="112" applyNumberFormat="0" applyFill="0" applyAlignment="0" applyProtection="0"/>
    <xf numFmtId="0" fontId="42" fillId="60" borderId="113" applyNumberFormat="0" applyFont="0" applyAlignment="0" applyProtection="0"/>
    <xf numFmtId="0" fontId="60" fillId="44" borderId="111" applyNumberFormat="0" applyAlignment="0" applyProtection="0"/>
    <xf numFmtId="49" fontId="35" fillId="0" borderId="114" applyNumberFormat="0" applyFill="0" applyBorder="0" applyProtection="0">
      <alignment horizontal="left" vertical="center"/>
    </xf>
    <xf numFmtId="0" fontId="36" fillId="35" borderId="117">
      <alignment horizontal="left" vertical="center" wrapText="1" indent="2"/>
    </xf>
    <xf numFmtId="0" fontId="48" fillId="57" borderId="111" applyNumberFormat="0" applyAlignment="0" applyProtection="0"/>
    <xf numFmtId="0" fontId="36" fillId="0" borderId="117">
      <alignment horizontal="left" vertical="center" wrapText="1" indent="2"/>
    </xf>
    <xf numFmtId="0" fontId="42" fillId="60" borderId="113" applyNumberFormat="0" applyFont="0" applyAlignment="0" applyProtection="0"/>
    <xf numFmtId="0" fontId="5" fillId="60" borderId="113" applyNumberFormat="0" applyFont="0" applyAlignment="0" applyProtection="0"/>
    <xf numFmtId="0" fontId="64" fillId="57" borderId="110" applyNumberFormat="0" applyAlignment="0" applyProtection="0"/>
    <xf numFmtId="0" fontId="67" fillId="0" borderId="112" applyNumberFormat="0" applyFill="0" applyAlignment="0" applyProtection="0"/>
    <xf numFmtId="4" fontId="36" fillId="34" borderId="114"/>
    <xf numFmtId="0" fontId="34" fillId="35" borderId="114">
      <alignment horizontal="right" vertical="center"/>
    </xf>
    <xf numFmtId="0" fontId="67" fillId="0" borderId="112" applyNumberFormat="0" applyFill="0" applyAlignment="0" applyProtection="0"/>
    <xf numFmtId="4" fontId="34" fillId="35" borderId="116">
      <alignment horizontal="right" vertical="center"/>
    </xf>
    <xf numFmtId="0" fontId="47" fillId="57" borderId="111" applyNumberFormat="0" applyAlignment="0" applyProtection="0"/>
    <xf numFmtId="0" fontId="34" fillId="35" borderId="115">
      <alignment horizontal="right" vertical="center"/>
    </xf>
    <xf numFmtId="0" fontId="48" fillId="57" borderId="111" applyNumberFormat="0" applyAlignment="0" applyProtection="0"/>
    <xf numFmtId="0" fontId="52" fillId="0" borderId="112" applyNumberFormat="0" applyFill="0" applyAlignment="0" applyProtection="0"/>
    <xf numFmtId="0" fontId="42" fillId="60" borderId="113" applyNumberFormat="0" applyFont="0" applyAlignment="0" applyProtection="0"/>
    <xf numFmtId="4" fontId="34" fillId="35" borderId="115">
      <alignment horizontal="right" vertical="center"/>
    </xf>
    <xf numFmtId="0" fontId="36" fillId="35" borderId="117">
      <alignment horizontal="left" vertical="center" wrapText="1" indent="2"/>
    </xf>
    <xf numFmtId="0" fontId="36" fillId="34" borderId="114"/>
    <xf numFmtId="174" fontId="36" fillId="61" borderId="114" applyNumberFormat="0" applyFont="0" applyBorder="0" applyAlignment="0" applyProtection="0">
      <alignment horizontal="right" vertical="center"/>
    </xf>
    <xf numFmtId="0" fontId="36" fillId="0" borderId="114" applyNumberFormat="0" applyFill="0" applyAlignment="0" applyProtection="0"/>
    <xf numFmtId="4" fontId="36" fillId="0" borderId="114" applyFill="0" applyBorder="0" applyProtection="0">
      <alignment horizontal="right" vertical="center"/>
    </xf>
    <xf numFmtId="4" fontId="34" fillId="33" borderId="114">
      <alignment horizontal="right" vertical="center"/>
    </xf>
    <xf numFmtId="0" fontId="52" fillId="0" borderId="112" applyNumberFormat="0" applyFill="0" applyAlignment="0" applyProtection="0"/>
    <xf numFmtId="49" fontId="35" fillId="0" borderId="114" applyNumberFormat="0" applyFill="0" applyBorder="0" applyProtection="0">
      <alignment horizontal="left" vertical="center"/>
    </xf>
    <xf numFmtId="49" fontId="36" fillId="0" borderId="115" applyNumberFormat="0" applyFont="0" applyFill="0" applyBorder="0" applyProtection="0">
      <alignment horizontal="left" vertical="center" indent="5"/>
    </xf>
    <xf numFmtId="0" fontId="36" fillId="33" borderId="115">
      <alignment horizontal="left" vertical="center"/>
    </xf>
    <xf numFmtId="0" fontId="48" fillId="57" borderId="111" applyNumberFormat="0" applyAlignment="0" applyProtection="0"/>
    <xf numFmtId="4" fontId="34" fillId="35" borderId="116">
      <alignment horizontal="right" vertical="center"/>
    </xf>
    <xf numFmtId="0" fontId="60" fillId="44" borderId="111" applyNumberFormat="0" applyAlignment="0" applyProtection="0"/>
    <xf numFmtId="0" fontId="60" fillId="44" borderId="111" applyNumberFormat="0" applyAlignment="0" applyProtection="0"/>
    <xf numFmtId="0" fontId="42" fillId="60" borderId="113" applyNumberFormat="0" applyFont="0" applyAlignment="0" applyProtection="0"/>
    <xf numFmtId="0" fontId="64" fillId="57" borderId="110" applyNumberFormat="0" applyAlignment="0" applyProtection="0"/>
    <xf numFmtId="0" fontId="67" fillId="0" borderId="112" applyNumberFormat="0" applyFill="0" applyAlignment="0" applyProtection="0"/>
    <xf numFmtId="0" fontId="34" fillId="35" borderId="114">
      <alignment horizontal="right" vertical="center"/>
    </xf>
    <xf numFmtId="0" fontId="5" fillId="60" borderId="113" applyNumberFormat="0" applyFont="0" applyAlignment="0" applyProtection="0"/>
    <xf numFmtId="4" fontId="36" fillId="0" borderId="114">
      <alignment horizontal="right" vertical="center"/>
    </xf>
    <xf numFmtId="0" fontId="67" fillId="0" borderId="112" applyNumberFormat="0" applyFill="0" applyAlignment="0" applyProtection="0"/>
    <xf numFmtId="0" fontId="34" fillId="35" borderId="114">
      <alignment horizontal="right" vertical="center"/>
    </xf>
    <xf numFmtId="0" fontId="34" fillId="35" borderId="114">
      <alignment horizontal="right" vertical="center"/>
    </xf>
    <xf numFmtId="4" fontId="38" fillId="33" borderId="114">
      <alignment horizontal="right" vertical="center"/>
    </xf>
    <xf numFmtId="0" fontId="34" fillId="33" borderId="114">
      <alignment horizontal="right" vertical="center"/>
    </xf>
    <xf numFmtId="4" fontId="34" fillId="33" borderId="114">
      <alignment horizontal="right" vertical="center"/>
    </xf>
    <xf numFmtId="0" fontId="38" fillId="33" borderId="114">
      <alignment horizontal="right" vertical="center"/>
    </xf>
    <xf numFmtId="4" fontId="38" fillId="33" borderId="114">
      <alignment horizontal="right" vertical="center"/>
    </xf>
    <xf numFmtId="0" fontId="34" fillId="35" borderId="114">
      <alignment horizontal="right" vertical="center"/>
    </xf>
    <xf numFmtId="4" fontId="34" fillId="35" borderId="114">
      <alignment horizontal="right" vertical="center"/>
    </xf>
    <xf numFmtId="0" fontId="34" fillId="35" borderId="114">
      <alignment horizontal="right" vertical="center"/>
    </xf>
    <xf numFmtId="4" fontId="34" fillId="35" borderId="114">
      <alignment horizontal="right" vertical="center"/>
    </xf>
    <xf numFmtId="0" fontId="34" fillId="35" borderId="115">
      <alignment horizontal="right" vertical="center"/>
    </xf>
    <xf numFmtId="4" fontId="34" fillId="35" borderId="115">
      <alignment horizontal="right" vertical="center"/>
    </xf>
    <xf numFmtId="0" fontId="34" fillId="35" borderId="116">
      <alignment horizontal="right" vertical="center"/>
    </xf>
    <xf numFmtId="4" fontId="34" fillId="35" borderId="116">
      <alignment horizontal="right" vertical="center"/>
    </xf>
    <xf numFmtId="0" fontId="48" fillId="57" borderId="111" applyNumberFormat="0" applyAlignment="0" applyProtection="0"/>
    <xf numFmtId="0" fontId="36" fillId="35" borderId="117">
      <alignment horizontal="left" vertical="center" wrapText="1" indent="2"/>
    </xf>
    <xf numFmtId="0" fontId="36" fillId="0" borderId="117">
      <alignment horizontal="left" vertical="center" wrapText="1" indent="2"/>
    </xf>
    <xf numFmtId="0" fontId="36" fillId="33" borderId="115">
      <alignment horizontal="left" vertical="center"/>
    </xf>
    <xf numFmtId="0" fontId="60" fillId="44" borderId="111" applyNumberFormat="0" applyAlignment="0" applyProtection="0"/>
    <xf numFmtId="0" fontId="36" fillId="0" borderId="114">
      <alignment horizontal="right" vertical="center"/>
    </xf>
    <xf numFmtId="4" fontId="36" fillId="0" borderId="114">
      <alignment horizontal="right" vertical="center"/>
    </xf>
    <xf numFmtId="0" fontId="36" fillId="0" borderId="114" applyNumberFormat="0" applyFill="0" applyAlignment="0" applyProtection="0"/>
    <xf numFmtId="0" fontId="64" fillId="57" borderId="110" applyNumberFormat="0" applyAlignment="0" applyProtection="0"/>
    <xf numFmtId="174" fontId="36" fillId="61" borderId="114" applyNumberFormat="0" applyFont="0" applyBorder="0" applyAlignment="0" applyProtection="0">
      <alignment horizontal="right" vertical="center"/>
    </xf>
    <xf numFmtId="0" fontId="36" fillId="34" borderId="114"/>
    <xf numFmtId="4" fontId="36" fillId="34" borderId="114"/>
    <xf numFmtId="0" fontId="67" fillId="0" borderId="112" applyNumberFormat="0" applyFill="0" applyAlignment="0" applyProtection="0"/>
    <xf numFmtId="0" fontId="5" fillId="60" borderId="113" applyNumberFormat="0" applyFont="0" applyAlignment="0" applyProtection="0"/>
    <xf numFmtId="0" fontId="42" fillId="60" borderId="113" applyNumberFormat="0" applyFont="0" applyAlignment="0" applyProtection="0"/>
    <xf numFmtId="0" fontId="36" fillId="0" borderId="114" applyNumberFormat="0" applyFill="0" applyAlignment="0" applyProtection="0"/>
    <xf numFmtId="0" fontId="52" fillId="0" borderId="112" applyNumberFormat="0" applyFill="0" applyAlignment="0" applyProtection="0"/>
    <xf numFmtId="0" fontId="67" fillId="0" borderId="112" applyNumberFormat="0" applyFill="0" applyAlignment="0" applyProtection="0"/>
    <xf numFmtId="0" fontId="51" fillId="44" borderId="111" applyNumberFormat="0" applyAlignment="0" applyProtection="0"/>
    <xf numFmtId="0" fontId="48" fillId="57" borderId="111" applyNumberFormat="0" applyAlignment="0" applyProtection="0"/>
    <xf numFmtId="4" fontId="38" fillId="33" borderId="114">
      <alignment horizontal="right" vertical="center"/>
    </xf>
    <xf numFmtId="0" fontId="34" fillId="33" borderId="114">
      <alignment horizontal="right" vertical="center"/>
    </xf>
    <xf numFmtId="174" fontId="36" fillId="61" borderId="114" applyNumberFormat="0" applyFont="0" applyBorder="0" applyAlignment="0" applyProtection="0">
      <alignment horizontal="right" vertical="center"/>
    </xf>
    <xf numFmtId="0" fontId="52" fillId="0" borderId="112" applyNumberFormat="0" applyFill="0" applyAlignment="0" applyProtection="0"/>
    <xf numFmtId="49" fontId="36" fillId="0" borderId="114" applyNumberFormat="0" applyFont="0" applyFill="0" applyBorder="0" applyProtection="0">
      <alignment horizontal="left" vertical="center" indent="2"/>
    </xf>
    <xf numFmtId="49" fontId="36" fillId="0" borderId="115" applyNumberFormat="0" applyFont="0" applyFill="0" applyBorder="0" applyProtection="0">
      <alignment horizontal="left" vertical="center" indent="5"/>
    </xf>
    <xf numFmtId="49" fontId="36" fillId="0" borderId="114" applyNumberFormat="0" applyFont="0" applyFill="0" applyBorder="0" applyProtection="0">
      <alignment horizontal="left" vertical="center" indent="2"/>
    </xf>
    <xf numFmtId="4" fontId="36" fillId="0" borderId="114" applyFill="0" applyBorder="0" applyProtection="0">
      <alignment horizontal="right" vertical="center"/>
    </xf>
    <xf numFmtId="49" fontId="35" fillId="0" borderId="114" applyNumberFormat="0" applyFill="0" applyBorder="0" applyProtection="0">
      <alignment horizontal="left" vertical="center"/>
    </xf>
    <xf numFmtId="0" fontId="36" fillId="0" borderId="117">
      <alignment horizontal="left" vertical="center" wrapText="1" indent="2"/>
    </xf>
    <xf numFmtId="0" fontId="64" fillId="57" borderId="110" applyNumberFormat="0" applyAlignment="0" applyProtection="0"/>
    <xf numFmtId="0" fontId="34" fillId="35" borderId="116">
      <alignment horizontal="right" vertical="center"/>
    </xf>
    <xf numFmtId="0" fontId="51" fillId="44" borderId="111" applyNumberFormat="0" applyAlignment="0" applyProtection="0"/>
    <xf numFmtId="0" fontId="34" fillId="35" borderId="116">
      <alignment horizontal="right" vertical="center"/>
    </xf>
    <xf numFmtId="4" fontId="34" fillId="35" borderId="114">
      <alignment horizontal="right" vertical="center"/>
    </xf>
    <xf numFmtId="0" fontId="34" fillId="35" borderId="114">
      <alignment horizontal="right" vertical="center"/>
    </xf>
    <xf numFmtId="0" fontId="45" fillId="57" borderId="110" applyNumberFormat="0" applyAlignment="0" applyProtection="0"/>
    <xf numFmtId="0" fontId="47" fillId="57" borderId="111" applyNumberFormat="0" applyAlignment="0" applyProtection="0"/>
    <xf numFmtId="0" fontId="52" fillId="0" borderId="112" applyNumberFormat="0" applyFill="0" applyAlignment="0" applyProtection="0"/>
    <xf numFmtId="0" fontId="36" fillId="34" borderId="114"/>
    <xf numFmtId="4" fontId="36" fillId="34" borderId="114"/>
    <xf numFmtId="4" fontId="34" fillId="35" borderId="114">
      <alignment horizontal="right" vertical="center"/>
    </xf>
    <xf numFmtId="0" fontId="38" fillId="33" borderId="114">
      <alignment horizontal="right" vertical="center"/>
    </xf>
    <xf numFmtId="0" fontId="51" fillId="44" borderId="111" applyNumberFormat="0" applyAlignment="0" applyProtection="0"/>
    <xf numFmtId="0" fontId="48" fillId="57" borderId="111" applyNumberFormat="0" applyAlignment="0" applyProtection="0"/>
    <xf numFmtId="4" fontId="36" fillId="0" borderId="114">
      <alignment horizontal="right" vertical="center"/>
    </xf>
    <xf numFmtId="0" fontId="36" fillId="35" borderId="117">
      <alignment horizontal="left" vertical="center" wrapText="1" indent="2"/>
    </xf>
    <xf numFmtId="0" fontId="36" fillId="0" borderId="117">
      <alignment horizontal="left" vertical="center" wrapText="1" indent="2"/>
    </xf>
    <xf numFmtId="0" fontId="64" fillId="57" borderId="110" applyNumberFormat="0" applyAlignment="0" applyProtection="0"/>
    <xf numFmtId="0" fontId="60" fillId="44" borderId="111" applyNumberFormat="0" applyAlignment="0" applyProtection="0"/>
    <xf numFmtId="0" fontId="47" fillId="57" borderId="111" applyNumberFormat="0" applyAlignment="0" applyProtection="0"/>
    <xf numFmtId="0" fontId="45" fillId="57" borderId="110" applyNumberFormat="0" applyAlignment="0" applyProtection="0"/>
    <xf numFmtId="0" fontId="34" fillId="35" borderId="116">
      <alignment horizontal="right" vertical="center"/>
    </xf>
    <xf numFmtId="0" fontId="38" fillId="33" borderId="114">
      <alignment horizontal="right" vertical="center"/>
    </xf>
    <xf numFmtId="4" fontId="34" fillId="33" borderId="114">
      <alignment horizontal="right" vertical="center"/>
    </xf>
    <xf numFmtId="4" fontId="34" fillId="35" borderId="114">
      <alignment horizontal="right" vertical="center"/>
    </xf>
    <xf numFmtId="49" fontId="36" fillId="0" borderId="115" applyNumberFormat="0" applyFont="0" applyFill="0" applyBorder="0" applyProtection="0">
      <alignment horizontal="left" vertical="center" indent="5"/>
    </xf>
    <xf numFmtId="4" fontId="36" fillId="0" borderId="114" applyFill="0" applyBorder="0" applyProtection="0">
      <alignment horizontal="right" vertical="center"/>
    </xf>
    <xf numFmtId="4" fontId="34" fillId="33" borderId="114">
      <alignment horizontal="right" vertical="center"/>
    </xf>
    <xf numFmtId="0" fontId="60" fillId="44" borderId="111" applyNumberFormat="0" applyAlignment="0" applyProtection="0"/>
    <xf numFmtId="0" fontId="51" fillId="44" borderId="111" applyNumberFormat="0" applyAlignment="0" applyProtection="0"/>
    <xf numFmtId="0" fontId="47" fillId="57" borderId="111" applyNumberFormat="0" applyAlignment="0" applyProtection="0"/>
    <xf numFmtId="0" fontId="36" fillId="35" borderId="117">
      <alignment horizontal="left" vertical="center" wrapText="1" indent="2"/>
    </xf>
    <xf numFmtId="0" fontId="36" fillId="0" borderId="117">
      <alignment horizontal="left" vertical="center" wrapText="1" indent="2"/>
    </xf>
    <xf numFmtId="0" fontId="36" fillId="35" borderId="117">
      <alignment horizontal="left" vertical="center" wrapText="1" indent="2"/>
    </xf>
    <xf numFmtId="0" fontId="36" fillId="0" borderId="117">
      <alignment horizontal="left" vertical="center" wrapText="1" indent="2"/>
    </xf>
    <xf numFmtId="0" fontId="45" fillId="57" borderId="110" applyNumberFormat="0" applyAlignment="0" applyProtection="0"/>
    <xf numFmtId="0" fontId="47" fillId="57" borderId="111" applyNumberFormat="0" applyAlignment="0" applyProtection="0"/>
    <xf numFmtId="0" fontId="48" fillId="57" borderId="111" applyNumberFormat="0" applyAlignment="0" applyProtection="0"/>
    <xf numFmtId="0" fontId="51" fillId="44" borderId="111" applyNumberFormat="0" applyAlignment="0" applyProtection="0"/>
    <xf numFmtId="0" fontId="52" fillId="0" borderId="112" applyNumberFormat="0" applyFill="0" applyAlignment="0" applyProtection="0"/>
    <xf numFmtId="0" fontId="60" fillId="44" borderId="111" applyNumberFormat="0" applyAlignment="0" applyProtection="0"/>
    <xf numFmtId="0" fontId="42" fillId="60" borderId="113" applyNumberFormat="0" applyFont="0" applyAlignment="0" applyProtection="0"/>
    <xf numFmtId="0" fontId="5" fillId="60" borderId="113" applyNumberFormat="0" applyFont="0" applyAlignment="0" applyProtection="0"/>
    <xf numFmtId="0" fontId="64" fillId="57" borderId="110" applyNumberFormat="0" applyAlignment="0" applyProtection="0"/>
    <xf numFmtId="0" fontId="67" fillId="0" borderId="112" applyNumberFormat="0" applyFill="0" applyAlignment="0" applyProtection="0"/>
    <xf numFmtId="0" fontId="48" fillId="57" borderId="111" applyNumberFormat="0" applyAlignment="0" applyProtection="0"/>
    <xf numFmtId="0" fontId="60" fillId="44" borderId="111" applyNumberFormat="0" applyAlignment="0" applyProtection="0"/>
    <xf numFmtId="0" fontId="42" fillId="60" borderId="113" applyNumberFormat="0" applyFont="0" applyAlignment="0" applyProtection="0"/>
    <xf numFmtId="0" fontId="64" fillId="57" borderId="110" applyNumberFormat="0" applyAlignment="0" applyProtection="0"/>
    <xf numFmtId="0" fontId="67" fillId="0" borderId="112" applyNumberFormat="0" applyFill="0" applyAlignment="0" applyProtection="0"/>
    <xf numFmtId="4" fontId="34" fillId="35" borderId="124">
      <alignment horizontal="right" vertical="center"/>
    </xf>
    <xf numFmtId="0" fontId="34" fillId="35" borderId="122">
      <alignment horizontal="right" vertical="center"/>
    </xf>
    <xf numFmtId="0" fontId="48" fillId="57" borderId="111" applyNumberFormat="0" applyAlignment="0" applyProtection="0"/>
    <xf numFmtId="4" fontId="34" fillId="35" borderId="122">
      <alignment horizontal="right" vertical="center"/>
    </xf>
    <xf numFmtId="0" fontId="60" fillId="44" borderId="111" applyNumberFormat="0" applyAlignment="0" applyProtection="0"/>
    <xf numFmtId="0" fontId="64" fillId="57" borderId="110" applyNumberFormat="0" applyAlignment="0" applyProtection="0"/>
    <xf numFmtId="0" fontId="67" fillId="0" borderId="112" applyNumberFormat="0" applyFill="0" applyAlignment="0" applyProtection="0"/>
    <xf numFmtId="0" fontId="45" fillId="57" borderId="110" applyNumberFormat="0" applyAlignment="0" applyProtection="0"/>
    <xf numFmtId="0" fontId="47" fillId="57" borderId="111" applyNumberFormat="0" applyAlignment="0" applyProtection="0"/>
    <xf numFmtId="0" fontId="52" fillId="0" borderId="112" applyNumberFormat="0" applyFill="0" applyAlignment="0" applyProtection="0"/>
    <xf numFmtId="49" fontId="36" fillId="0" borderId="114" applyNumberFormat="0" applyFont="0" applyFill="0" applyBorder="0" applyProtection="0">
      <alignment horizontal="left" vertical="center" indent="2"/>
    </xf>
    <xf numFmtId="0" fontId="34" fillId="33" borderId="114">
      <alignment horizontal="right" vertical="center"/>
    </xf>
    <xf numFmtId="4" fontId="34" fillId="33" borderId="114">
      <alignment horizontal="right" vertical="center"/>
    </xf>
    <xf numFmtId="0" fontId="38" fillId="33" borderId="114">
      <alignment horizontal="right" vertical="center"/>
    </xf>
    <xf numFmtId="4" fontId="38" fillId="33" borderId="114">
      <alignment horizontal="right" vertical="center"/>
    </xf>
    <xf numFmtId="0" fontId="34" fillId="35" borderId="114">
      <alignment horizontal="right" vertical="center"/>
    </xf>
    <xf numFmtId="4" fontId="34" fillId="35" borderId="114">
      <alignment horizontal="right" vertical="center"/>
    </xf>
    <xf numFmtId="0" fontId="34" fillId="35" borderId="114">
      <alignment horizontal="right" vertical="center"/>
    </xf>
    <xf numFmtId="4" fontId="34" fillId="35" borderId="114">
      <alignment horizontal="right" vertical="center"/>
    </xf>
    <xf numFmtId="0" fontId="51" fillId="44" borderId="111" applyNumberFormat="0" applyAlignment="0" applyProtection="0"/>
    <xf numFmtId="0" fontId="36" fillId="0" borderId="114">
      <alignment horizontal="right" vertical="center"/>
    </xf>
    <xf numFmtId="4" fontId="36" fillId="0" borderId="114">
      <alignment horizontal="right" vertical="center"/>
    </xf>
    <xf numFmtId="4" fontId="36" fillId="0" borderId="114" applyFill="0" applyBorder="0" applyProtection="0">
      <alignment horizontal="right" vertical="center"/>
    </xf>
    <xf numFmtId="49" fontId="35" fillId="0" borderId="114" applyNumberFormat="0" applyFill="0" applyBorder="0" applyProtection="0">
      <alignment horizontal="left" vertical="center"/>
    </xf>
    <xf numFmtId="0" fontId="36" fillId="0" borderId="114" applyNumberFormat="0" applyFill="0" applyAlignment="0" applyProtection="0"/>
    <xf numFmtId="174" fontId="36" fillId="61" borderId="114" applyNumberFormat="0" applyFont="0" applyBorder="0" applyAlignment="0" applyProtection="0">
      <alignment horizontal="right" vertical="center"/>
    </xf>
    <xf numFmtId="0" fontId="36" fillId="34" borderId="114"/>
    <xf numFmtId="4" fontId="36" fillId="34" borderId="114"/>
    <xf numFmtId="4" fontId="34" fillId="35" borderId="114">
      <alignment horizontal="right" vertical="center"/>
    </xf>
    <xf numFmtId="0" fontId="36" fillId="34" borderId="114"/>
    <xf numFmtId="0" fontId="47" fillId="57" borderId="111" applyNumberFormat="0" applyAlignment="0" applyProtection="0"/>
    <xf numFmtId="0" fontId="34" fillId="33" borderId="114">
      <alignment horizontal="right" vertical="center"/>
    </xf>
    <xf numFmtId="0" fontId="36" fillId="0" borderId="114">
      <alignment horizontal="right" vertical="center"/>
    </xf>
    <xf numFmtId="0" fontId="67" fillId="0" borderId="112" applyNumberFormat="0" applyFill="0" applyAlignment="0" applyProtection="0"/>
    <xf numFmtId="0" fontId="36" fillId="33" borderId="115">
      <alignment horizontal="left" vertical="center"/>
    </xf>
    <xf numFmtId="0" fontId="60" fillId="44" borderId="111" applyNumberFormat="0" applyAlignment="0" applyProtection="0"/>
    <xf numFmtId="174" fontId="36" fillId="61" borderId="114" applyNumberFormat="0" applyFont="0" applyBorder="0" applyAlignment="0" applyProtection="0">
      <alignment horizontal="right" vertical="center"/>
    </xf>
    <xf numFmtId="0" fontId="42" fillId="60" borderId="113" applyNumberFormat="0" applyFont="0" applyAlignment="0" applyProtection="0"/>
    <xf numFmtId="0" fontId="36" fillId="0" borderId="117">
      <alignment horizontal="left" vertical="center" wrapText="1" indent="2"/>
    </xf>
    <xf numFmtId="4" fontId="36" fillId="34" borderId="114"/>
    <xf numFmtId="49" fontId="35" fillId="0" borderId="114" applyNumberFormat="0" applyFill="0" applyBorder="0" applyProtection="0">
      <alignment horizontal="left" vertical="center"/>
    </xf>
    <xf numFmtId="0" fontId="36" fillId="0" borderId="114">
      <alignment horizontal="right" vertical="center"/>
    </xf>
    <xf numFmtId="4" fontId="34" fillId="35" borderId="116">
      <alignment horizontal="right" vertical="center"/>
    </xf>
    <xf numFmtId="4" fontId="34" fillId="35" borderId="114">
      <alignment horizontal="right" vertical="center"/>
    </xf>
    <xf numFmtId="4" fontId="34" fillId="35" borderId="114">
      <alignment horizontal="right" vertical="center"/>
    </xf>
    <xf numFmtId="0" fontId="38" fillId="33" borderId="114">
      <alignment horizontal="right" vertical="center"/>
    </xf>
    <xf numFmtId="0" fontId="34" fillId="33" borderId="114">
      <alignment horizontal="right" vertical="center"/>
    </xf>
    <xf numFmtId="49" fontId="36" fillId="0" borderId="114" applyNumberFormat="0" applyFont="0" applyFill="0" applyBorder="0" applyProtection="0">
      <alignment horizontal="left" vertical="center" indent="2"/>
    </xf>
    <xf numFmtId="0" fontId="60" fillId="44" borderId="111" applyNumberFormat="0" applyAlignment="0" applyProtection="0"/>
    <xf numFmtId="0" fontId="45" fillId="57" borderId="110" applyNumberFormat="0" applyAlignment="0" applyProtection="0"/>
    <xf numFmtId="49" fontId="36" fillId="0" borderId="114" applyNumberFormat="0" applyFont="0" applyFill="0" applyBorder="0" applyProtection="0">
      <alignment horizontal="left" vertical="center" indent="2"/>
    </xf>
    <xf numFmtId="0" fontId="51" fillId="44" borderId="111" applyNumberFormat="0" applyAlignment="0" applyProtection="0"/>
    <xf numFmtId="4" fontId="36" fillId="0" borderId="114" applyFill="0" applyBorder="0" applyProtection="0">
      <alignment horizontal="right" vertical="center"/>
    </xf>
    <xf numFmtId="0" fontId="48" fillId="57" borderId="111" applyNumberFormat="0" applyAlignment="0" applyProtection="0"/>
    <xf numFmtId="0" fontId="67" fillId="0" borderId="112" applyNumberFormat="0" applyFill="0" applyAlignment="0" applyProtection="0"/>
    <xf numFmtId="0" fontId="64" fillId="57" borderId="110" applyNumberFormat="0" applyAlignment="0" applyProtection="0"/>
    <xf numFmtId="0" fontId="36" fillId="0" borderId="114" applyNumberFormat="0" applyFill="0" applyAlignment="0" applyProtection="0"/>
    <xf numFmtId="4" fontId="36" fillId="0" borderId="114">
      <alignment horizontal="right" vertical="center"/>
    </xf>
    <xf numFmtId="0" fontId="36" fillId="0" borderId="114">
      <alignment horizontal="right" vertical="center"/>
    </xf>
    <xf numFmtId="0" fontId="60" fillId="44" borderId="111" applyNumberFormat="0" applyAlignment="0" applyProtection="0"/>
    <xf numFmtId="0" fontId="45" fillId="57" borderId="110" applyNumberFormat="0" applyAlignment="0" applyProtection="0"/>
    <xf numFmtId="0" fontId="47" fillId="57" borderId="111" applyNumberFormat="0" applyAlignment="0" applyProtection="0"/>
    <xf numFmtId="0" fontId="36" fillId="35" borderId="117">
      <alignment horizontal="left" vertical="center" wrapText="1" indent="2"/>
    </xf>
    <xf numFmtId="0" fontId="48" fillId="57" borderId="111" applyNumberFormat="0" applyAlignment="0" applyProtection="0"/>
    <xf numFmtId="0" fontId="48" fillId="57" borderId="111" applyNumberFormat="0" applyAlignment="0" applyProtection="0"/>
    <xf numFmtId="4" fontId="34" fillId="35" borderId="115">
      <alignment horizontal="right" vertical="center"/>
    </xf>
    <xf numFmtId="0" fontId="34" fillId="35" borderId="115">
      <alignment horizontal="right" vertical="center"/>
    </xf>
    <xf numFmtId="0" fontId="34" fillId="35" borderId="114">
      <alignment horizontal="right" vertical="center"/>
    </xf>
    <xf numFmtId="4" fontId="38" fillId="33" borderId="114">
      <alignment horizontal="right" vertical="center"/>
    </xf>
    <xf numFmtId="0" fontId="51" fillId="44" borderId="111" applyNumberFormat="0" applyAlignment="0" applyProtection="0"/>
    <xf numFmtId="0" fontId="52" fillId="0" borderId="112" applyNumberFormat="0" applyFill="0" applyAlignment="0" applyProtection="0"/>
    <xf numFmtId="0" fontId="67" fillId="0" borderId="112" applyNumberFormat="0" applyFill="0" applyAlignment="0" applyProtection="0"/>
    <xf numFmtId="0" fontId="42" fillId="60" borderId="113" applyNumberFormat="0" applyFont="0" applyAlignment="0" applyProtection="0"/>
    <xf numFmtId="0" fontId="60" fillId="44" borderId="111" applyNumberFormat="0" applyAlignment="0" applyProtection="0"/>
    <xf numFmtId="49" fontId="35" fillId="0" borderId="114" applyNumberFormat="0" applyFill="0" applyBorder="0" applyProtection="0">
      <alignment horizontal="left" vertical="center"/>
    </xf>
    <xf numFmtId="0" fontId="36" fillId="35" borderId="117">
      <alignment horizontal="left" vertical="center" wrapText="1" indent="2"/>
    </xf>
    <xf numFmtId="0" fontId="48" fillId="57" borderId="111" applyNumberFormat="0" applyAlignment="0" applyProtection="0"/>
    <xf numFmtId="0" fontId="36" fillId="0" borderId="117">
      <alignment horizontal="left" vertical="center" wrapText="1" indent="2"/>
    </xf>
    <xf numFmtId="0" fontId="42" fillId="60" borderId="113" applyNumberFormat="0" applyFont="0" applyAlignment="0" applyProtection="0"/>
    <xf numFmtId="0" fontId="5" fillId="60" borderId="113" applyNumberFormat="0" applyFont="0" applyAlignment="0" applyProtection="0"/>
    <xf numFmtId="0" fontId="64" fillId="57" borderId="110" applyNumberFormat="0" applyAlignment="0" applyProtection="0"/>
    <xf numFmtId="0" fontId="67" fillId="0" borderId="112" applyNumberFormat="0" applyFill="0" applyAlignment="0" applyProtection="0"/>
    <xf numFmtId="4" fontId="36" fillId="34" borderId="114"/>
    <xf numFmtId="0" fontId="34" fillId="35" borderId="114">
      <alignment horizontal="right" vertical="center"/>
    </xf>
    <xf numFmtId="0" fontId="67" fillId="0" borderId="112" applyNumberFormat="0" applyFill="0" applyAlignment="0" applyProtection="0"/>
    <xf numFmtId="4" fontId="34" fillId="35" borderId="116">
      <alignment horizontal="right" vertical="center"/>
    </xf>
    <xf numFmtId="0" fontId="47" fillId="57" borderId="111" applyNumberFormat="0" applyAlignment="0" applyProtection="0"/>
    <xf numFmtId="0" fontId="34" fillId="35" borderId="115">
      <alignment horizontal="right" vertical="center"/>
    </xf>
    <xf numFmtId="0" fontId="48" fillId="57" borderId="111" applyNumberFormat="0" applyAlignment="0" applyProtection="0"/>
    <xf numFmtId="0" fontId="52" fillId="0" borderId="112" applyNumberFormat="0" applyFill="0" applyAlignment="0" applyProtection="0"/>
    <xf numFmtId="0" fontId="42" fillId="60" borderId="113" applyNumberFormat="0" applyFont="0" applyAlignment="0" applyProtection="0"/>
    <xf numFmtId="4" fontId="34" fillId="35" borderId="115">
      <alignment horizontal="right" vertical="center"/>
    </xf>
    <xf numFmtId="0" fontId="36" fillId="35" borderId="117">
      <alignment horizontal="left" vertical="center" wrapText="1" indent="2"/>
    </xf>
    <xf numFmtId="0" fontId="36" fillId="34" borderId="114"/>
    <xf numFmtId="174" fontId="36" fillId="61" borderId="114" applyNumberFormat="0" applyFont="0" applyBorder="0" applyAlignment="0" applyProtection="0">
      <alignment horizontal="right" vertical="center"/>
    </xf>
    <xf numFmtId="0" fontId="36" fillId="0" borderId="114" applyNumberFormat="0" applyFill="0" applyAlignment="0" applyProtection="0"/>
    <xf numFmtId="4" fontId="36" fillId="0" borderId="114" applyFill="0" applyBorder="0" applyProtection="0">
      <alignment horizontal="right" vertical="center"/>
    </xf>
    <xf numFmtId="4" fontId="34" fillId="33" borderId="114">
      <alignment horizontal="right" vertical="center"/>
    </xf>
    <xf numFmtId="0" fontId="52" fillId="0" borderId="112" applyNumberFormat="0" applyFill="0" applyAlignment="0" applyProtection="0"/>
    <xf numFmtId="49" fontId="35" fillId="0" borderId="114" applyNumberFormat="0" applyFill="0" applyBorder="0" applyProtection="0">
      <alignment horizontal="left" vertical="center"/>
    </xf>
    <xf numFmtId="49" fontId="36" fillId="0" borderId="115" applyNumberFormat="0" applyFont="0" applyFill="0" applyBorder="0" applyProtection="0">
      <alignment horizontal="left" vertical="center" indent="5"/>
    </xf>
    <xf numFmtId="0" fontId="36" fillId="33" borderId="115">
      <alignment horizontal="left" vertical="center"/>
    </xf>
    <xf numFmtId="0" fontId="48" fillId="57" borderId="111" applyNumberFormat="0" applyAlignment="0" applyProtection="0"/>
    <xf numFmtId="4" fontId="34" fillId="35" borderId="116">
      <alignment horizontal="right" vertical="center"/>
    </xf>
    <xf numFmtId="0" fontId="60" fillId="44" borderId="111" applyNumberFormat="0" applyAlignment="0" applyProtection="0"/>
    <xf numFmtId="0" fontId="60" fillId="44" borderId="111" applyNumberFormat="0" applyAlignment="0" applyProtection="0"/>
    <xf numFmtId="0" fontId="42" fillId="60" borderId="113" applyNumberFormat="0" applyFont="0" applyAlignment="0" applyProtection="0"/>
    <xf numFmtId="0" fontId="64" fillId="57" borderId="110" applyNumberFormat="0" applyAlignment="0" applyProtection="0"/>
    <xf numFmtId="0" fontId="67" fillId="0" borderId="112" applyNumberFormat="0" applyFill="0" applyAlignment="0" applyProtection="0"/>
    <xf numFmtId="0" fontId="34" fillId="35" borderId="114">
      <alignment horizontal="right" vertical="center"/>
    </xf>
    <xf numFmtId="0" fontId="5" fillId="60" borderId="113" applyNumberFormat="0" applyFont="0" applyAlignment="0" applyProtection="0"/>
    <xf numFmtId="4" fontId="36" fillId="0" borderId="114">
      <alignment horizontal="right" vertical="center"/>
    </xf>
    <xf numFmtId="0" fontId="67" fillId="0" borderId="112" applyNumberFormat="0" applyFill="0" applyAlignment="0" applyProtection="0"/>
    <xf numFmtId="0" fontId="34" fillId="35" borderId="114">
      <alignment horizontal="right" vertical="center"/>
    </xf>
    <xf numFmtId="0" fontId="34" fillId="35" borderId="114">
      <alignment horizontal="right" vertical="center"/>
    </xf>
    <xf numFmtId="4" fontId="38" fillId="33" borderId="114">
      <alignment horizontal="right" vertical="center"/>
    </xf>
    <xf numFmtId="0" fontId="34" fillId="33" borderId="114">
      <alignment horizontal="right" vertical="center"/>
    </xf>
    <xf numFmtId="4" fontId="34" fillId="33" borderId="114">
      <alignment horizontal="right" vertical="center"/>
    </xf>
    <xf numFmtId="0" fontId="38" fillId="33" borderId="114">
      <alignment horizontal="right" vertical="center"/>
    </xf>
    <xf numFmtId="4" fontId="38" fillId="33" borderId="114">
      <alignment horizontal="right" vertical="center"/>
    </xf>
    <xf numFmtId="0" fontId="34" fillId="35" borderId="114">
      <alignment horizontal="right" vertical="center"/>
    </xf>
    <xf numFmtId="4" fontId="34" fillId="35" borderId="114">
      <alignment horizontal="right" vertical="center"/>
    </xf>
    <xf numFmtId="0" fontId="34" fillId="35" borderId="114">
      <alignment horizontal="right" vertical="center"/>
    </xf>
    <xf numFmtId="4" fontId="34" fillId="35" borderId="114">
      <alignment horizontal="right" vertical="center"/>
    </xf>
    <xf numFmtId="0" fontId="34" fillId="35" borderId="115">
      <alignment horizontal="right" vertical="center"/>
    </xf>
    <xf numFmtId="4" fontId="34" fillId="35" borderId="115">
      <alignment horizontal="right" vertical="center"/>
    </xf>
    <xf numFmtId="0" fontId="34" fillId="35" borderId="116">
      <alignment horizontal="right" vertical="center"/>
    </xf>
    <xf numFmtId="4" fontId="34" fillId="35" borderId="116">
      <alignment horizontal="right" vertical="center"/>
    </xf>
    <xf numFmtId="0" fontId="48" fillId="57" borderId="111" applyNumberFormat="0" applyAlignment="0" applyProtection="0"/>
    <xf numFmtId="0" fontId="36" fillId="35" borderId="117">
      <alignment horizontal="left" vertical="center" wrapText="1" indent="2"/>
    </xf>
    <xf numFmtId="0" fontId="36" fillId="0" borderId="117">
      <alignment horizontal="left" vertical="center" wrapText="1" indent="2"/>
    </xf>
    <xf numFmtId="0" fontId="36" fillId="33" borderId="115">
      <alignment horizontal="left" vertical="center"/>
    </xf>
    <xf numFmtId="0" fontId="60" fillId="44" borderId="111" applyNumberFormat="0" applyAlignment="0" applyProtection="0"/>
    <xf numFmtId="0" fontId="36" fillId="0" borderId="114">
      <alignment horizontal="right" vertical="center"/>
    </xf>
    <xf numFmtId="4" fontId="36" fillId="0" borderId="114">
      <alignment horizontal="right" vertical="center"/>
    </xf>
    <xf numFmtId="0" fontId="36" fillId="0" borderId="114" applyNumberFormat="0" applyFill="0" applyAlignment="0" applyProtection="0"/>
    <xf numFmtId="0" fontId="64" fillId="57" borderId="110" applyNumberFormat="0" applyAlignment="0" applyProtection="0"/>
    <xf numFmtId="174" fontId="36" fillId="61" borderId="114" applyNumberFormat="0" applyFont="0" applyBorder="0" applyAlignment="0" applyProtection="0">
      <alignment horizontal="right" vertical="center"/>
    </xf>
    <xf numFmtId="0" fontId="36" fillId="34" borderId="114"/>
    <xf numFmtId="4" fontId="36" fillId="34" borderId="114"/>
    <xf numFmtId="0" fontId="67" fillId="0" borderId="112" applyNumberFormat="0" applyFill="0" applyAlignment="0" applyProtection="0"/>
    <xf numFmtId="0" fontId="5" fillId="60" borderId="113" applyNumberFormat="0" applyFont="0" applyAlignment="0" applyProtection="0"/>
    <xf numFmtId="0" fontId="42" fillId="60" borderId="113" applyNumberFormat="0" applyFont="0" applyAlignment="0" applyProtection="0"/>
    <xf numFmtId="0" fontId="36" fillId="0" borderId="114" applyNumberFormat="0" applyFill="0" applyAlignment="0" applyProtection="0"/>
    <xf numFmtId="0" fontId="52" fillId="0" borderId="112" applyNumberFormat="0" applyFill="0" applyAlignment="0" applyProtection="0"/>
    <xf numFmtId="0" fontId="67" fillId="0" borderId="112" applyNumberFormat="0" applyFill="0" applyAlignment="0" applyProtection="0"/>
    <xf numFmtId="0" fontId="51" fillId="44" borderId="111" applyNumberFormat="0" applyAlignment="0" applyProtection="0"/>
    <xf numFmtId="0" fontId="48" fillId="57" borderId="111" applyNumberFormat="0" applyAlignment="0" applyProtection="0"/>
    <xf numFmtId="4" fontId="38" fillId="33" borderId="114">
      <alignment horizontal="right" vertical="center"/>
    </xf>
    <xf numFmtId="0" fontId="34" fillId="33" borderId="114">
      <alignment horizontal="right" vertical="center"/>
    </xf>
    <xf numFmtId="174" fontId="36" fillId="61" borderId="114" applyNumberFormat="0" applyFont="0" applyBorder="0" applyAlignment="0" applyProtection="0">
      <alignment horizontal="right" vertical="center"/>
    </xf>
    <xf numFmtId="0" fontId="52" fillId="0" borderId="112" applyNumberFormat="0" applyFill="0" applyAlignment="0" applyProtection="0"/>
    <xf numFmtId="49" fontId="36" fillId="0" borderId="114" applyNumberFormat="0" applyFont="0" applyFill="0" applyBorder="0" applyProtection="0">
      <alignment horizontal="left" vertical="center" indent="2"/>
    </xf>
    <xf numFmtId="49" fontId="36" fillId="0" borderId="115" applyNumberFormat="0" applyFont="0" applyFill="0" applyBorder="0" applyProtection="0">
      <alignment horizontal="left" vertical="center" indent="5"/>
    </xf>
    <xf numFmtId="49" fontId="36" fillId="0" borderId="114" applyNumberFormat="0" applyFont="0" applyFill="0" applyBorder="0" applyProtection="0">
      <alignment horizontal="left" vertical="center" indent="2"/>
    </xf>
    <xf numFmtId="4" fontId="36" fillId="0" borderId="114" applyFill="0" applyBorder="0" applyProtection="0">
      <alignment horizontal="right" vertical="center"/>
    </xf>
    <xf numFmtId="49" fontId="35" fillId="0" borderId="114" applyNumberFormat="0" applyFill="0" applyBorder="0" applyProtection="0">
      <alignment horizontal="left" vertical="center"/>
    </xf>
    <xf numFmtId="0" fontId="36" fillId="0" borderId="117">
      <alignment horizontal="left" vertical="center" wrapText="1" indent="2"/>
    </xf>
    <xf numFmtId="0" fontId="64" fillId="57" borderId="110" applyNumberFormat="0" applyAlignment="0" applyProtection="0"/>
    <xf numFmtId="0" fontId="34" fillId="35" borderId="116">
      <alignment horizontal="right" vertical="center"/>
    </xf>
    <xf numFmtId="0" fontId="51" fillId="44" borderId="111" applyNumberFormat="0" applyAlignment="0" applyProtection="0"/>
    <xf numFmtId="0" fontId="34" fillId="35" borderId="116">
      <alignment horizontal="right" vertical="center"/>
    </xf>
    <xf numFmtId="4" fontId="34" fillId="35" borderId="114">
      <alignment horizontal="right" vertical="center"/>
    </xf>
    <xf numFmtId="0" fontId="34" fillId="35" borderId="114">
      <alignment horizontal="right" vertical="center"/>
    </xf>
    <xf numFmtId="0" fontId="45" fillId="57" borderId="110" applyNumberFormat="0" applyAlignment="0" applyProtection="0"/>
    <xf numFmtId="0" fontId="47" fillId="57" borderId="111" applyNumberFormat="0" applyAlignment="0" applyProtection="0"/>
    <xf numFmtId="0" fontId="52" fillId="0" borderId="112" applyNumberFormat="0" applyFill="0" applyAlignment="0" applyProtection="0"/>
    <xf numFmtId="0" fontId="36" fillId="34" borderId="114"/>
    <xf numFmtId="4" fontId="36" fillId="34" borderId="114"/>
    <xf numFmtId="4" fontId="34" fillId="35" borderId="114">
      <alignment horizontal="right" vertical="center"/>
    </xf>
    <xf numFmtId="0" fontId="38" fillId="33" borderId="114">
      <alignment horizontal="right" vertical="center"/>
    </xf>
    <xf numFmtId="0" fontId="51" fillId="44" borderId="111" applyNumberFormat="0" applyAlignment="0" applyProtection="0"/>
    <xf numFmtId="0" fontId="48" fillId="57" borderId="111" applyNumberFormat="0" applyAlignment="0" applyProtection="0"/>
    <xf numFmtId="4" fontId="36" fillId="0" borderId="114">
      <alignment horizontal="right" vertical="center"/>
    </xf>
    <xf numFmtId="0" fontId="36" fillId="35" borderId="117">
      <alignment horizontal="left" vertical="center" wrapText="1" indent="2"/>
    </xf>
    <xf numFmtId="0" fontId="36" fillId="0" borderId="117">
      <alignment horizontal="left" vertical="center" wrapText="1" indent="2"/>
    </xf>
    <xf numFmtId="0" fontId="64" fillId="57" borderId="110" applyNumberFormat="0" applyAlignment="0" applyProtection="0"/>
    <xf numFmtId="0" fontId="60" fillId="44" borderId="111" applyNumberFormat="0" applyAlignment="0" applyProtection="0"/>
    <xf numFmtId="0" fontId="47" fillId="57" borderId="111" applyNumberFormat="0" applyAlignment="0" applyProtection="0"/>
    <xf numFmtId="0" fontId="45" fillId="57" borderId="110" applyNumberFormat="0" applyAlignment="0" applyProtection="0"/>
    <xf numFmtId="0" fontId="34" fillId="35" borderId="116">
      <alignment horizontal="right" vertical="center"/>
    </xf>
    <xf numFmtId="0" fontId="38" fillId="33" borderId="114">
      <alignment horizontal="right" vertical="center"/>
    </xf>
    <xf numFmtId="4" fontId="34" fillId="33" borderId="114">
      <alignment horizontal="right" vertical="center"/>
    </xf>
    <xf numFmtId="4" fontId="34" fillId="35" borderId="114">
      <alignment horizontal="right" vertical="center"/>
    </xf>
    <xf numFmtId="49" fontId="36" fillId="0" borderId="115" applyNumberFormat="0" applyFont="0" applyFill="0" applyBorder="0" applyProtection="0">
      <alignment horizontal="left" vertical="center" indent="5"/>
    </xf>
    <xf numFmtId="4" fontId="36" fillId="0" borderId="114" applyFill="0" applyBorder="0" applyProtection="0">
      <alignment horizontal="right" vertical="center"/>
    </xf>
    <xf numFmtId="4" fontId="34" fillId="33" borderId="114">
      <alignment horizontal="right" vertical="center"/>
    </xf>
    <xf numFmtId="0" fontId="60" fillId="44" borderId="111" applyNumberFormat="0" applyAlignment="0" applyProtection="0"/>
    <xf numFmtId="0" fontId="51" fillId="44" borderId="111" applyNumberFormat="0" applyAlignment="0" applyProtection="0"/>
    <xf numFmtId="0" fontId="47" fillId="57" borderId="111" applyNumberFormat="0" applyAlignment="0" applyProtection="0"/>
    <xf numFmtId="0" fontId="36" fillId="35" borderId="117">
      <alignment horizontal="left" vertical="center" wrapText="1" indent="2"/>
    </xf>
    <xf numFmtId="0" fontId="36" fillId="0" borderId="117">
      <alignment horizontal="left" vertical="center" wrapText="1" indent="2"/>
    </xf>
    <xf numFmtId="0" fontId="36" fillId="35" borderId="117">
      <alignment horizontal="left" vertical="center" wrapText="1" indent="2"/>
    </xf>
    <xf numFmtId="0" fontId="36" fillId="33" borderId="123">
      <alignment horizontal="left" vertical="center"/>
    </xf>
    <xf numFmtId="0" fontId="42" fillId="60" borderId="121" applyNumberFormat="0" applyFont="0" applyAlignment="0" applyProtection="0"/>
    <xf numFmtId="0" fontId="28" fillId="27" borderId="0" applyNumberFormat="0" applyBorder="0" applyAlignment="0" applyProtection="0"/>
    <xf numFmtId="0" fontId="28" fillId="18" borderId="0" applyNumberFormat="0" applyBorder="0" applyAlignment="0" applyProtection="0"/>
    <xf numFmtId="0" fontId="36" fillId="35" borderId="125">
      <alignment horizontal="left" vertical="center" wrapText="1" indent="2"/>
    </xf>
    <xf numFmtId="0" fontId="64" fillId="57" borderId="118" applyNumberFormat="0" applyAlignment="0" applyProtection="0"/>
    <xf numFmtId="4" fontId="36" fillId="34" borderId="122"/>
    <xf numFmtId="0" fontId="67" fillId="0" borderId="120" applyNumberFormat="0" applyFill="0" applyAlignment="0" applyProtection="0"/>
    <xf numFmtId="174" fontId="36" fillId="61" borderId="122" applyNumberFormat="0" applyFont="0" applyBorder="0" applyAlignment="0" applyProtection="0">
      <alignment horizontal="right" vertical="center"/>
    </xf>
    <xf numFmtId="0" fontId="36" fillId="0" borderId="122">
      <alignment horizontal="right" vertical="center"/>
    </xf>
    <xf numFmtId="4" fontId="36" fillId="0" borderId="122">
      <alignment horizontal="right" vertical="center"/>
    </xf>
    <xf numFmtId="0" fontId="36" fillId="0" borderId="125">
      <alignment horizontal="left" vertical="center" wrapText="1" indent="2"/>
    </xf>
    <xf numFmtId="4" fontId="34" fillId="35" borderId="122">
      <alignment horizontal="right" vertical="center"/>
    </xf>
    <xf numFmtId="0" fontId="34" fillId="35" borderId="123">
      <alignment horizontal="right" vertical="center"/>
    </xf>
    <xf numFmtId="4" fontId="34" fillId="35" borderId="123">
      <alignment horizontal="right" vertical="center"/>
    </xf>
    <xf numFmtId="0" fontId="34" fillId="35" borderId="122">
      <alignment horizontal="right" vertical="center"/>
    </xf>
    <xf numFmtId="4" fontId="34" fillId="33" borderId="122">
      <alignment horizontal="right" vertical="center"/>
    </xf>
    <xf numFmtId="0" fontId="38" fillId="33" borderId="122">
      <alignment horizontal="right" vertical="center"/>
    </xf>
    <xf numFmtId="0" fontId="67" fillId="0" borderId="120" applyNumberFormat="0" applyFill="0" applyAlignment="0" applyProtection="0"/>
    <xf numFmtId="0" fontId="64" fillId="57" borderId="118" applyNumberFormat="0" applyAlignment="0" applyProtection="0"/>
    <xf numFmtId="0" fontId="67" fillId="0" borderId="120" applyNumberFormat="0" applyFill="0" applyAlignment="0" applyProtection="0"/>
    <xf numFmtId="0" fontId="42" fillId="60" borderId="121" applyNumberFormat="0" applyFont="0" applyAlignment="0" applyProtection="0"/>
    <xf numFmtId="0" fontId="5" fillId="60" borderId="121" applyNumberFormat="0" applyFont="0" applyAlignment="0" applyProtection="0"/>
    <xf numFmtId="0" fontId="60" fillId="44" borderId="119" applyNumberFormat="0" applyAlignment="0" applyProtection="0"/>
    <xf numFmtId="0" fontId="36" fillId="35" borderId="125">
      <alignment horizontal="left" vertical="center" wrapText="1" indent="2"/>
    </xf>
    <xf numFmtId="4" fontId="38" fillId="33" borderId="122">
      <alignment horizontal="right" vertical="center"/>
    </xf>
    <xf numFmtId="0" fontId="28" fillId="22" borderId="0" applyNumberFormat="0" applyBorder="0" applyAlignment="0" applyProtection="0"/>
    <xf numFmtId="0" fontId="2" fillId="0" borderId="14" applyNumberFormat="0" applyFill="0" applyAlignment="0" applyProtection="0"/>
    <xf numFmtId="4" fontId="38" fillId="33" borderId="122">
      <alignment horizontal="right" vertical="center"/>
    </xf>
    <xf numFmtId="4" fontId="34" fillId="33" borderId="122">
      <alignment horizontal="right" vertical="center"/>
    </xf>
    <xf numFmtId="0" fontId="36" fillId="0" borderId="125">
      <alignment horizontal="left" vertical="center" wrapText="1" indent="2"/>
    </xf>
    <xf numFmtId="0" fontId="64" fillId="57" borderId="118" applyNumberFormat="0" applyAlignment="0" applyProtection="0"/>
    <xf numFmtId="0" fontId="36" fillId="0" borderId="122">
      <alignment horizontal="right" vertical="center"/>
    </xf>
    <xf numFmtId="0" fontId="67" fillId="0" borderId="120" applyNumberFormat="0" applyFill="0" applyAlignment="0" applyProtection="0"/>
    <xf numFmtId="49" fontId="35" fillId="0" borderId="122" applyNumberFormat="0" applyFill="0" applyBorder="0" applyProtection="0">
      <alignment horizontal="left" vertical="center"/>
    </xf>
    <xf numFmtId="4" fontId="36" fillId="34" borderId="122"/>
    <xf numFmtId="0" fontId="60" fillId="44" borderId="119" applyNumberFormat="0" applyAlignment="0" applyProtection="0"/>
    <xf numFmtId="174" fontId="36" fillId="61" borderId="122" applyNumberFormat="0" applyFont="0" applyBorder="0" applyAlignment="0" applyProtection="0">
      <alignment horizontal="right" vertical="center"/>
    </xf>
    <xf numFmtId="0" fontId="48" fillId="57" borderId="119" applyNumberFormat="0" applyAlignment="0" applyProtection="0"/>
    <xf numFmtId="0" fontId="60" fillId="44" borderId="119" applyNumberFormat="0" applyAlignment="0" applyProtection="0"/>
    <xf numFmtId="0" fontId="45" fillId="57" borderId="118" applyNumberFormat="0" applyAlignment="0" applyProtection="0"/>
    <xf numFmtId="49" fontId="35" fillId="0" borderId="122" applyNumberFormat="0" applyFill="0" applyBorder="0" applyProtection="0">
      <alignment horizontal="left" vertical="center"/>
    </xf>
    <xf numFmtId="0" fontId="67" fillId="0" borderId="120" applyNumberFormat="0" applyFill="0" applyAlignment="0" applyProtection="0"/>
    <xf numFmtId="0" fontId="36" fillId="0" borderId="122">
      <alignment horizontal="right" vertical="center"/>
    </xf>
    <xf numFmtId="0" fontId="34" fillId="35" borderId="123">
      <alignment horizontal="right" vertical="center"/>
    </xf>
    <xf numFmtId="0" fontId="67" fillId="0" borderId="120" applyNumberFormat="0" applyFill="0" applyAlignment="0" applyProtection="0"/>
    <xf numFmtId="4" fontId="36" fillId="0" borderId="122" applyFill="0" applyBorder="0" applyProtection="0">
      <alignment horizontal="right" vertical="center"/>
    </xf>
    <xf numFmtId="0" fontId="36" fillId="0" borderId="125">
      <alignment horizontal="left" vertical="center" wrapText="1" indent="2"/>
    </xf>
    <xf numFmtId="0" fontId="67" fillId="0" borderId="120" applyNumberFormat="0" applyFill="0" applyAlignment="0" applyProtection="0"/>
    <xf numFmtId="0" fontId="45" fillId="57" borderId="118" applyNumberFormat="0" applyAlignment="0" applyProtection="0"/>
    <xf numFmtId="0" fontId="34" fillId="35" borderId="122">
      <alignment horizontal="right" vertical="center"/>
    </xf>
    <xf numFmtId="0" fontId="47" fillId="57" borderId="119" applyNumberFormat="0" applyAlignment="0" applyProtection="0"/>
    <xf numFmtId="0" fontId="36" fillId="33" borderId="123">
      <alignment horizontal="left" vertical="center"/>
    </xf>
    <xf numFmtId="0" fontId="34" fillId="33" borderId="122">
      <alignment horizontal="right" vertical="center"/>
    </xf>
    <xf numFmtId="0" fontId="52" fillId="0" borderId="120" applyNumberFormat="0" applyFill="0" applyAlignment="0" applyProtection="0"/>
    <xf numFmtId="0" fontId="36" fillId="0" borderId="122">
      <alignment horizontal="right" vertical="center"/>
    </xf>
    <xf numFmtId="0" fontId="5" fillId="60" borderId="121" applyNumberFormat="0" applyFont="0" applyAlignment="0" applyProtection="0"/>
    <xf numFmtId="0" fontId="13" fillId="32" borderId="0" applyNumberFormat="0" applyBorder="0" applyAlignment="0" applyProtection="0"/>
    <xf numFmtId="0" fontId="60" fillId="44" borderId="119" applyNumberFormat="0" applyAlignment="0" applyProtection="0"/>
    <xf numFmtId="49" fontId="36" fillId="0" borderId="123" applyNumberFormat="0" applyFont="0" applyFill="0" applyBorder="0" applyProtection="0">
      <alignment horizontal="left" vertical="center" indent="5"/>
    </xf>
    <xf numFmtId="0" fontId="36" fillId="0" borderId="122" applyNumberFormat="0" applyFill="0" applyAlignment="0" applyProtection="0"/>
    <xf numFmtId="0" fontId="52" fillId="0" borderId="120" applyNumberFormat="0" applyFill="0" applyAlignment="0" applyProtection="0"/>
    <xf numFmtId="0" fontId="64" fillId="57" borderId="118" applyNumberFormat="0" applyAlignment="0" applyProtection="0"/>
    <xf numFmtId="4" fontId="34" fillId="35" borderId="122">
      <alignment horizontal="right" vertical="center"/>
    </xf>
    <xf numFmtId="4" fontId="36" fillId="34" borderId="122"/>
    <xf numFmtId="0" fontId="67" fillId="0" borderId="120" applyNumberFormat="0" applyFill="0" applyAlignment="0" applyProtection="0"/>
    <xf numFmtId="0" fontId="45" fillId="57" borderId="118" applyNumberFormat="0" applyAlignment="0" applyProtection="0"/>
    <xf numFmtId="0" fontId="47" fillId="57" borderId="119" applyNumberFormat="0" applyAlignment="0" applyProtection="0"/>
    <xf numFmtId="0" fontId="48" fillId="57" borderId="119" applyNumberFormat="0" applyAlignment="0" applyProtection="0"/>
    <xf numFmtId="0" fontId="64" fillId="57" borderId="118" applyNumberFormat="0" applyAlignment="0" applyProtection="0"/>
    <xf numFmtId="0" fontId="34" fillId="35" borderId="124">
      <alignment horizontal="right" vertical="center"/>
    </xf>
    <xf numFmtId="0" fontId="36" fillId="0" borderId="122" applyNumberFormat="0" applyFill="0" applyAlignment="0" applyProtection="0"/>
    <xf numFmtId="49" fontId="36" fillId="0" borderId="123" applyNumberFormat="0" applyFont="0" applyFill="0" applyBorder="0" applyProtection="0">
      <alignment horizontal="left" vertical="center" indent="5"/>
    </xf>
    <xf numFmtId="0" fontId="67" fillId="0" borderId="120" applyNumberFormat="0" applyFill="0" applyAlignment="0" applyProtection="0"/>
    <xf numFmtId="0" fontId="36" fillId="0" borderId="122" applyNumberFormat="0" applyFill="0" applyAlignment="0" applyProtection="0"/>
    <xf numFmtId="0" fontId="42" fillId="60" borderId="121" applyNumberFormat="0" applyFont="0" applyAlignment="0" applyProtection="0"/>
    <xf numFmtId="0" fontId="36" fillId="0" borderId="125">
      <alignment horizontal="left" vertical="center" wrapText="1" indent="2"/>
    </xf>
    <xf numFmtId="4" fontId="34" fillId="33" borderId="122">
      <alignment horizontal="right" vertical="center"/>
    </xf>
    <xf numFmtId="0" fontId="64" fillId="57" borderId="118" applyNumberFormat="0" applyAlignment="0" applyProtection="0"/>
    <xf numFmtId="49" fontId="36" fillId="0" borderId="123" applyNumberFormat="0" applyFont="0" applyFill="0" applyBorder="0" applyProtection="0">
      <alignment horizontal="left" vertical="center" indent="5"/>
    </xf>
    <xf numFmtId="4" fontId="36" fillId="0" borderId="122">
      <alignment horizontal="right" vertical="center"/>
    </xf>
    <xf numFmtId="0" fontId="28" fillId="30" borderId="0" applyNumberFormat="0" applyBorder="0" applyAlignment="0" applyProtection="0"/>
    <xf numFmtId="0" fontId="52" fillId="0" borderId="120" applyNumberFormat="0" applyFill="0" applyAlignment="0" applyProtection="0"/>
    <xf numFmtId="4" fontId="34" fillId="35" borderId="124">
      <alignment horizontal="right" vertical="center"/>
    </xf>
    <xf numFmtId="4" fontId="34" fillId="35" borderId="122">
      <alignment horizontal="right" vertical="center"/>
    </xf>
    <xf numFmtId="4" fontId="34" fillId="35" borderId="122">
      <alignment horizontal="right" vertical="center"/>
    </xf>
    <xf numFmtId="0" fontId="67" fillId="0" borderId="120" applyNumberFormat="0" applyFill="0" applyAlignment="0" applyProtection="0"/>
    <xf numFmtId="0" fontId="48" fillId="57" borderId="119" applyNumberFormat="0" applyAlignment="0" applyProtection="0"/>
    <xf numFmtId="0" fontId="51" fillId="44" borderId="119" applyNumberFormat="0" applyAlignment="0" applyProtection="0"/>
    <xf numFmtId="0" fontId="31" fillId="14" borderId="12" applyNumberFormat="0" applyAlignment="0" applyProtection="0"/>
    <xf numFmtId="49" fontId="35" fillId="0" borderId="122" applyNumberFormat="0" applyFill="0" applyBorder="0" applyProtection="0">
      <alignment horizontal="left" vertical="center"/>
    </xf>
    <xf numFmtId="0" fontId="5" fillId="60" borderId="121" applyNumberFormat="0" applyFont="0" applyAlignment="0" applyProtection="0"/>
    <xf numFmtId="4" fontId="34" fillId="35" borderId="122">
      <alignment horizontal="right" vertical="center"/>
    </xf>
    <xf numFmtId="49" fontId="36" fillId="0" borderId="122" applyNumberFormat="0" applyFont="0" applyFill="0" applyBorder="0" applyProtection="0">
      <alignment horizontal="left" vertical="center" indent="2"/>
    </xf>
    <xf numFmtId="0" fontId="67" fillId="0" borderId="120" applyNumberFormat="0" applyFill="0" applyAlignment="0" applyProtection="0"/>
    <xf numFmtId="4" fontId="36" fillId="0" borderId="122" applyFill="0" applyBorder="0" applyProtection="0">
      <alignment horizontal="right" vertical="center"/>
    </xf>
    <xf numFmtId="0" fontId="60" fillId="44" borderId="119" applyNumberFormat="0" applyAlignment="0" applyProtection="0"/>
    <xf numFmtId="49" fontId="35" fillId="0" borderId="122" applyNumberFormat="0" applyFill="0" applyBorder="0" applyProtection="0">
      <alignment horizontal="left" vertical="center"/>
    </xf>
    <xf numFmtId="49" fontId="36" fillId="0" borderId="122" applyNumberFormat="0" applyFont="0" applyFill="0" applyBorder="0" applyProtection="0">
      <alignment horizontal="left" vertical="center" indent="2"/>
    </xf>
    <xf numFmtId="4" fontId="36" fillId="0" borderId="122" applyFill="0" applyBorder="0" applyProtection="0">
      <alignment horizontal="right" vertical="center"/>
    </xf>
    <xf numFmtId="174" fontId="36" fillId="61" borderId="122" applyNumberFormat="0" applyFont="0" applyBorder="0" applyAlignment="0" applyProtection="0">
      <alignment horizontal="right" vertical="center"/>
    </xf>
    <xf numFmtId="0" fontId="38" fillId="33" borderId="122">
      <alignment horizontal="right" vertical="center"/>
    </xf>
    <xf numFmtId="0" fontId="51" fillId="44" borderId="119" applyNumberFormat="0" applyAlignment="0" applyProtection="0"/>
    <xf numFmtId="4" fontId="34" fillId="35" borderId="122">
      <alignment horizontal="right" vertical="center"/>
    </xf>
    <xf numFmtId="0" fontId="36" fillId="33" borderId="123">
      <alignment horizontal="left" vertical="center"/>
    </xf>
    <xf numFmtId="0" fontId="13" fillId="29" borderId="0" applyNumberFormat="0" applyBorder="0" applyAlignment="0" applyProtection="0"/>
    <xf numFmtId="0" fontId="34" fillId="35" borderId="122">
      <alignment horizontal="right" vertical="center"/>
    </xf>
    <xf numFmtId="0" fontId="36" fillId="35" borderId="125">
      <alignment horizontal="left" vertical="center" wrapText="1" indent="2"/>
    </xf>
    <xf numFmtId="174" fontId="36" fillId="61" borderId="122" applyNumberFormat="0" applyFont="0" applyBorder="0" applyAlignment="0" applyProtection="0">
      <alignment horizontal="right" vertical="center"/>
    </xf>
    <xf numFmtId="0" fontId="42" fillId="60" borderId="121" applyNumberFormat="0" applyFont="0" applyAlignment="0" applyProtection="0"/>
    <xf numFmtId="49" fontId="36" fillId="0" borderId="122" applyNumberFormat="0" applyFont="0" applyFill="0" applyBorder="0" applyProtection="0">
      <alignment horizontal="left" vertical="center" indent="2"/>
    </xf>
    <xf numFmtId="49" fontId="35" fillId="0" borderId="122" applyNumberFormat="0" applyFill="0" applyBorder="0" applyProtection="0">
      <alignment horizontal="left" vertical="center"/>
    </xf>
    <xf numFmtId="174" fontId="36" fillId="61" borderId="122" applyNumberFormat="0" applyFont="0" applyBorder="0" applyAlignment="0" applyProtection="0">
      <alignment horizontal="right" vertical="center"/>
    </xf>
    <xf numFmtId="0" fontId="64" fillId="57" borderId="118" applyNumberFormat="0" applyAlignment="0" applyProtection="0"/>
    <xf numFmtId="0" fontId="36" fillId="0" borderId="122">
      <alignment horizontal="right" vertical="center"/>
    </xf>
    <xf numFmtId="0" fontId="36" fillId="34" borderId="122"/>
    <xf numFmtId="4" fontId="34" fillId="35" borderId="122">
      <alignment horizontal="right" vertical="center"/>
    </xf>
    <xf numFmtId="0" fontId="36" fillId="34" borderId="122"/>
    <xf numFmtId="0" fontId="60" fillId="44" borderId="119" applyNumberFormat="0" applyAlignment="0" applyProtection="0"/>
    <xf numFmtId="0" fontId="38" fillId="33" borderId="122">
      <alignment horizontal="right" vertical="center"/>
    </xf>
    <xf numFmtId="0" fontId="36" fillId="0" borderId="125">
      <alignment horizontal="left" vertical="center" wrapText="1" indent="2"/>
    </xf>
    <xf numFmtId="0" fontId="34" fillId="33" borderId="122">
      <alignment horizontal="right" vertical="center"/>
    </xf>
    <xf numFmtId="0" fontId="51" fillId="44" borderId="119" applyNumberFormat="0" applyAlignment="0" applyProtection="0"/>
    <xf numFmtId="0" fontId="36" fillId="35" borderId="125">
      <alignment horizontal="left" vertical="center" wrapText="1" indent="2"/>
    </xf>
    <xf numFmtId="0" fontId="28" fillId="25" borderId="0" applyNumberFormat="0" applyBorder="0" applyAlignment="0" applyProtection="0"/>
    <xf numFmtId="0" fontId="47" fillId="57" borderId="119" applyNumberFormat="0" applyAlignment="0" applyProtection="0"/>
    <xf numFmtId="0" fontId="38" fillId="33" borderId="122">
      <alignment horizontal="right" vertical="center"/>
    </xf>
    <xf numFmtId="0" fontId="28" fillId="21" borderId="0" applyNumberFormat="0" applyBorder="0" applyAlignment="0" applyProtection="0"/>
    <xf numFmtId="0" fontId="32" fillId="0" borderId="0" applyNumberFormat="0" applyFill="0" applyBorder="0" applyAlignment="0" applyProtection="0"/>
    <xf numFmtId="0" fontId="34" fillId="35" borderId="122">
      <alignment horizontal="right" vertical="center"/>
    </xf>
    <xf numFmtId="4" fontId="36" fillId="0" borderId="122" applyFill="0" applyBorder="0" applyProtection="0">
      <alignment horizontal="right" vertical="center"/>
    </xf>
    <xf numFmtId="0" fontId="36" fillId="35" borderId="125">
      <alignment horizontal="left" vertical="center" wrapText="1" indent="2"/>
    </xf>
    <xf numFmtId="0" fontId="42" fillId="60" borderId="121" applyNumberFormat="0" applyFont="0" applyAlignment="0" applyProtection="0"/>
    <xf numFmtId="0" fontId="51" fillId="44" borderId="119" applyNumberFormat="0" applyAlignment="0" applyProtection="0"/>
    <xf numFmtId="4" fontId="36" fillId="34" borderId="122"/>
    <xf numFmtId="4" fontId="36" fillId="0" borderId="122" applyFill="0" applyBorder="0" applyProtection="0">
      <alignment horizontal="right" vertical="center"/>
    </xf>
    <xf numFmtId="0" fontId="67" fillId="0" borderId="120" applyNumberFormat="0" applyFill="0" applyAlignment="0" applyProtection="0"/>
    <xf numFmtId="0" fontId="36" fillId="33" borderId="123">
      <alignment horizontal="left" vertical="center"/>
    </xf>
    <xf numFmtId="0" fontId="36" fillId="0" borderId="125">
      <alignment horizontal="left" vertical="center" wrapText="1" indent="2"/>
    </xf>
    <xf numFmtId="0" fontId="60" fillId="44" borderId="119" applyNumberFormat="0" applyAlignment="0" applyProtection="0"/>
    <xf numFmtId="0" fontId="36" fillId="35" borderId="125">
      <alignment horizontal="left" vertical="center" wrapText="1" indent="2"/>
    </xf>
    <xf numFmtId="0" fontId="42" fillId="60" borderId="121" applyNumberFormat="0" applyFont="0" applyAlignment="0" applyProtection="0"/>
    <xf numFmtId="0" fontId="60" fillId="44" borderId="119" applyNumberFormat="0" applyAlignment="0" applyProtection="0"/>
    <xf numFmtId="4" fontId="36" fillId="34" borderId="122"/>
    <xf numFmtId="0" fontId="48" fillId="57" borderId="119" applyNumberFormat="0" applyAlignment="0" applyProtection="0"/>
    <xf numFmtId="0" fontId="60" fillId="44" borderId="119" applyNumberFormat="0" applyAlignment="0" applyProtection="0"/>
    <xf numFmtId="4" fontId="34" fillId="35" borderId="122">
      <alignment horizontal="right" vertical="center"/>
    </xf>
    <xf numFmtId="0" fontId="52" fillId="0" borderId="120" applyNumberFormat="0" applyFill="0" applyAlignment="0" applyProtection="0"/>
    <xf numFmtId="0" fontId="48" fillId="57" borderId="119" applyNumberFormat="0" applyAlignment="0" applyProtection="0"/>
    <xf numFmtId="0" fontId="51" fillId="44" borderId="119" applyNumberFormat="0" applyAlignment="0" applyProtection="0"/>
    <xf numFmtId="0" fontId="36" fillId="35" borderId="125">
      <alignment horizontal="left" vertical="center" wrapText="1" indent="2"/>
    </xf>
    <xf numFmtId="0" fontId="64" fillId="57" borderId="118" applyNumberFormat="0" applyAlignment="0" applyProtection="0"/>
    <xf numFmtId="0" fontId="60" fillId="44" borderId="119" applyNumberFormat="0" applyAlignment="0" applyProtection="0"/>
    <xf numFmtId="4" fontId="34" fillId="35" borderId="122">
      <alignment horizontal="right" vertical="center"/>
    </xf>
    <xf numFmtId="0" fontId="36" fillId="34" borderId="122"/>
    <xf numFmtId="0" fontId="36" fillId="0" borderId="125">
      <alignment horizontal="left" vertical="center" wrapText="1" indent="2"/>
    </xf>
    <xf numFmtId="0" fontId="13" fillId="26" borderId="0" applyNumberFormat="0" applyBorder="0" applyAlignment="0" applyProtection="0"/>
    <xf numFmtId="0" fontId="47" fillId="57" borderId="119" applyNumberFormat="0" applyAlignment="0" applyProtection="0"/>
    <xf numFmtId="4" fontId="34" fillId="33" borderId="122">
      <alignment horizontal="right" vertical="center"/>
    </xf>
    <xf numFmtId="0" fontId="34" fillId="33" borderId="122">
      <alignment horizontal="right" vertical="center"/>
    </xf>
    <xf numFmtId="0" fontId="34" fillId="35" borderId="122">
      <alignment horizontal="right" vertical="center"/>
    </xf>
    <xf numFmtId="0" fontId="28" fillId="31" borderId="0" applyNumberFormat="0" applyBorder="0" applyAlignment="0" applyProtection="0"/>
    <xf numFmtId="0" fontId="64" fillId="57" borderId="118" applyNumberFormat="0" applyAlignment="0" applyProtection="0"/>
    <xf numFmtId="49" fontId="36" fillId="0" borderId="122" applyNumberFormat="0" applyFont="0" applyFill="0" applyBorder="0" applyProtection="0">
      <alignment horizontal="left" vertical="center" indent="2"/>
    </xf>
    <xf numFmtId="0" fontId="42" fillId="60" borderId="121" applyNumberFormat="0" applyFont="0" applyAlignment="0" applyProtection="0"/>
    <xf numFmtId="174" fontId="36" fillId="61" borderId="122" applyNumberFormat="0" applyFont="0" applyBorder="0" applyAlignment="0" applyProtection="0">
      <alignment horizontal="right" vertical="center"/>
    </xf>
    <xf numFmtId="0" fontId="60" fillId="44" borderId="119" applyNumberFormat="0" applyAlignment="0" applyProtection="0"/>
    <xf numFmtId="0" fontId="34" fillId="35" borderId="122">
      <alignment horizontal="right" vertical="center"/>
    </xf>
    <xf numFmtId="0" fontId="36" fillId="34" borderId="122"/>
    <xf numFmtId="0" fontId="64" fillId="57" borderId="118" applyNumberFormat="0" applyAlignment="0" applyProtection="0"/>
    <xf numFmtId="0" fontId="48" fillId="57" borderId="119" applyNumberFormat="0" applyAlignment="0" applyProtection="0"/>
    <xf numFmtId="0" fontId="47" fillId="57" borderId="119" applyNumberFormat="0" applyAlignment="0" applyProtection="0"/>
    <xf numFmtId="0" fontId="51" fillId="44" borderId="119" applyNumberFormat="0" applyAlignment="0" applyProtection="0"/>
    <xf numFmtId="0" fontId="51" fillId="44" borderId="119" applyNumberFormat="0" applyAlignment="0" applyProtection="0"/>
    <xf numFmtId="0" fontId="36" fillId="0" borderId="125">
      <alignment horizontal="left" vertical="center" wrapText="1" indent="2"/>
    </xf>
    <xf numFmtId="4" fontId="34" fillId="35" borderId="123">
      <alignment horizontal="right" vertical="center"/>
    </xf>
    <xf numFmtId="4" fontId="36" fillId="0" borderId="122">
      <alignment horizontal="right" vertical="center"/>
    </xf>
    <xf numFmtId="49" fontId="35" fillId="0" borderId="122" applyNumberFormat="0" applyFill="0" applyBorder="0" applyProtection="0">
      <alignment horizontal="left" vertical="center"/>
    </xf>
    <xf numFmtId="4" fontId="36" fillId="0" borderId="122">
      <alignment horizontal="right" vertical="center"/>
    </xf>
    <xf numFmtId="0" fontId="64" fillId="57" borderId="118" applyNumberFormat="0" applyAlignment="0" applyProtection="0"/>
    <xf numFmtId="0" fontId="36" fillId="0" borderId="125">
      <alignment horizontal="left" vertical="center" wrapText="1" indent="2"/>
    </xf>
    <xf numFmtId="0" fontId="13" fillId="23" borderId="0" applyNumberFormat="0" applyBorder="0" applyAlignment="0" applyProtection="0"/>
    <xf numFmtId="0" fontId="42" fillId="60" borderId="121" applyNumberFormat="0" applyFont="0" applyAlignment="0" applyProtection="0"/>
    <xf numFmtId="0" fontId="34" fillId="33" borderId="122">
      <alignment horizontal="right" vertical="center"/>
    </xf>
    <xf numFmtId="0" fontId="13" fillId="20" borderId="0" applyNumberFormat="0" applyBorder="0" applyAlignment="0" applyProtection="0"/>
    <xf numFmtId="0" fontId="36" fillId="0" borderId="122" applyNumberFormat="0" applyFill="0" applyAlignment="0" applyProtection="0"/>
    <xf numFmtId="49" fontId="35" fillId="0" borderId="122" applyNumberFormat="0" applyFill="0" applyBorder="0" applyProtection="0">
      <alignment horizontal="left" vertical="center"/>
    </xf>
    <xf numFmtId="0" fontId="36" fillId="0" borderId="122">
      <alignment horizontal="right" vertical="center"/>
    </xf>
    <xf numFmtId="4" fontId="34" fillId="33" borderId="122">
      <alignment horizontal="right" vertical="center"/>
    </xf>
    <xf numFmtId="0" fontId="48" fillId="57" borderId="119" applyNumberFormat="0" applyAlignment="0" applyProtection="0"/>
    <xf numFmtId="0" fontId="34" fillId="35" borderId="124">
      <alignment horizontal="right" vertical="center"/>
    </xf>
    <xf numFmtId="4" fontId="34" fillId="33" borderId="122">
      <alignment horizontal="right" vertical="center"/>
    </xf>
    <xf numFmtId="0" fontId="34" fillId="35" borderId="122">
      <alignment horizontal="right" vertical="center"/>
    </xf>
    <xf numFmtId="0" fontId="48" fillId="57" borderId="119" applyNumberFormat="0" applyAlignment="0" applyProtection="0"/>
    <xf numFmtId="0" fontId="30" fillId="14" borderId="13" applyNumberFormat="0" applyAlignment="0" applyProtection="0"/>
    <xf numFmtId="4" fontId="36" fillId="0" borderId="122" applyFill="0" applyBorder="0" applyProtection="0">
      <alignment horizontal="right" vertical="center"/>
    </xf>
    <xf numFmtId="0" fontId="42" fillId="60" borderId="121" applyNumberFormat="0" applyFont="0" applyAlignment="0" applyProtection="0"/>
    <xf numFmtId="0" fontId="34" fillId="33" borderId="122">
      <alignment horizontal="right" vertical="center"/>
    </xf>
    <xf numFmtId="0" fontId="52" fillId="0" borderId="120" applyNumberFormat="0" applyFill="0" applyAlignment="0" applyProtection="0"/>
    <xf numFmtId="0" fontId="36" fillId="0" borderId="122" applyNumberFormat="0" applyFill="0" applyAlignment="0" applyProtection="0"/>
    <xf numFmtId="0" fontId="52" fillId="0" borderId="120" applyNumberFormat="0" applyFill="0" applyAlignment="0" applyProtection="0"/>
    <xf numFmtId="4" fontId="36" fillId="0" borderId="122" applyFill="0" applyBorder="0" applyProtection="0">
      <alignment horizontal="right" vertical="center"/>
    </xf>
    <xf numFmtId="49" fontId="36" fillId="0" borderId="123" applyNumberFormat="0" applyFont="0" applyFill="0" applyBorder="0" applyProtection="0">
      <alignment horizontal="left" vertical="center" indent="5"/>
    </xf>
    <xf numFmtId="0" fontId="36" fillId="0" borderId="122" applyNumberFormat="0" applyFill="0" applyAlignment="0" applyProtection="0"/>
    <xf numFmtId="0" fontId="36" fillId="0" borderId="122" applyNumberFormat="0" applyFill="0" applyAlignment="0" applyProtection="0"/>
    <xf numFmtId="4" fontId="34" fillId="35" borderId="122">
      <alignment horizontal="right" vertical="center"/>
    </xf>
    <xf numFmtId="0" fontId="51" fillId="44" borderId="119" applyNumberFormat="0" applyAlignment="0" applyProtection="0"/>
    <xf numFmtId="0" fontId="48" fillId="57" borderId="119" applyNumberFormat="0" applyAlignment="0" applyProtection="0"/>
    <xf numFmtId="4" fontId="36" fillId="0" borderId="122">
      <alignment horizontal="right" vertical="center"/>
    </xf>
    <xf numFmtId="0" fontId="36" fillId="35" borderId="125">
      <alignment horizontal="left" vertical="center" wrapText="1" indent="2"/>
    </xf>
    <xf numFmtId="0" fontId="36" fillId="0" borderId="125">
      <alignment horizontal="left" vertical="center" wrapText="1" indent="2"/>
    </xf>
    <xf numFmtId="0" fontId="64" fillId="57" borderId="118" applyNumberFormat="0" applyAlignment="0" applyProtection="0"/>
    <xf numFmtId="0" fontId="60" fillId="44" borderId="119" applyNumberFormat="0" applyAlignment="0" applyProtection="0"/>
    <xf numFmtId="0" fontId="47" fillId="57" borderId="119" applyNumberFormat="0" applyAlignment="0" applyProtection="0"/>
    <xf numFmtId="0" fontId="45" fillId="57" borderId="118" applyNumberFormat="0" applyAlignment="0" applyProtection="0"/>
    <xf numFmtId="0" fontId="34" fillId="35" borderId="124">
      <alignment horizontal="right" vertical="center"/>
    </xf>
    <xf numFmtId="0" fontId="38" fillId="33" borderId="122">
      <alignment horizontal="right" vertical="center"/>
    </xf>
    <xf numFmtId="4" fontId="34" fillId="33" borderId="122">
      <alignment horizontal="right" vertical="center"/>
    </xf>
    <xf numFmtId="4" fontId="34" fillId="35" borderId="122">
      <alignment horizontal="right" vertical="center"/>
    </xf>
    <xf numFmtId="49" fontId="36" fillId="0" borderId="123" applyNumberFormat="0" applyFont="0" applyFill="0" applyBorder="0" applyProtection="0">
      <alignment horizontal="left" vertical="center" indent="5"/>
    </xf>
    <xf numFmtId="4" fontId="36" fillId="0" borderId="122" applyFill="0" applyBorder="0" applyProtection="0">
      <alignment horizontal="right" vertical="center"/>
    </xf>
    <xf numFmtId="4" fontId="34" fillId="33" borderId="122">
      <alignment horizontal="right" vertical="center"/>
    </xf>
    <xf numFmtId="0" fontId="60" fillId="44" borderId="119" applyNumberFormat="0" applyAlignment="0" applyProtection="0"/>
    <xf numFmtId="0" fontId="51" fillId="44" borderId="119" applyNumberFormat="0" applyAlignment="0" applyProtection="0"/>
    <xf numFmtId="0" fontId="47" fillId="57" borderId="119" applyNumberFormat="0" applyAlignment="0" applyProtection="0"/>
    <xf numFmtId="0" fontId="36" fillId="35" borderId="125">
      <alignment horizontal="left" vertical="center" wrapText="1" indent="2"/>
    </xf>
    <xf numFmtId="0" fontId="36" fillId="0" borderId="125">
      <alignment horizontal="left" vertical="center" wrapText="1" indent="2"/>
    </xf>
    <xf numFmtId="0" fontId="36" fillId="35" borderId="125">
      <alignment horizontal="left" vertical="center" wrapText="1" indent="2"/>
    </xf>
  </cellStyleXfs>
  <cellXfs count="334">
    <xf numFmtId="0" fontId="0" fillId="0" borderId="0" xfId="0"/>
    <xf numFmtId="0" fontId="3" fillId="0" borderId="0" xfId="0" applyFont="1"/>
    <xf numFmtId="0" fontId="4" fillId="0" borderId="0" xfId="0" applyFont="1"/>
    <xf numFmtId="0" fontId="7" fillId="0" borderId="0" xfId="0" applyFont="1"/>
    <xf numFmtId="164" fontId="0" fillId="0" borderId="0" xfId="0" applyNumberFormat="1"/>
    <xf numFmtId="165" fontId="0" fillId="0" borderId="0" xfId="0" applyNumberFormat="1"/>
    <xf numFmtId="0" fontId="9" fillId="0" borderId="0" xfId="0" applyFont="1"/>
    <xf numFmtId="0" fontId="1" fillId="0" borderId="0" xfId="0" applyFont="1"/>
    <xf numFmtId="0" fontId="10" fillId="0" borderId="0" xfId="0" applyFont="1"/>
    <xf numFmtId="0" fontId="0" fillId="0" borderId="0" xfId="0" applyAlignment="1">
      <alignment vertical="center"/>
    </xf>
    <xf numFmtId="4" fontId="0" fillId="0" borderId="0" xfId="0" applyNumberFormat="1"/>
    <xf numFmtId="2" fontId="0" fillId="0" borderId="0" xfId="0" applyNumberFormat="1"/>
    <xf numFmtId="0" fontId="0" fillId="0" borderId="0" xfId="0" applyAlignment="1">
      <alignment horizontal="left" vertical="top"/>
    </xf>
    <xf numFmtId="0" fontId="14" fillId="0" borderId="0" xfId="0" applyFont="1"/>
    <xf numFmtId="165" fontId="14" fillId="0" borderId="0" xfId="0" applyNumberFormat="1" applyFont="1"/>
    <xf numFmtId="2" fontId="14" fillId="0" borderId="0" xfId="0" applyNumberFormat="1" applyFont="1"/>
    <xf numFmtId="0" fontId="8" fillId="0" borderId="0" xfId="0" applyFont="1"/>
    <xf numFmtId="3" fontId="0" fillId="0" borderId="0" xfId="0" applyNumberFormat="1"/>
    <xf numFmtId="2" fontId="8" fillId="0" borderId="0" xfId="0" applyNumberFormat="1" applyFont="1"/>
    <xf numFmtId="164" fontId="8" fillId="0" borderId="0" xfId="0" applyNumberFormat="1" applyFont="1"/>
    <xf numFmtId="2" fontId="16" fillId="0" borderId="0" xfId="0" applyNumberFormat="1" applyFont="1"/>
    <xf numFmtId="49" fontId="0" fillId="0" borderId="0" xfId="0" applyNumberFormat="1"/>
    <xf numFmtId="0" fontId="8" fillId="0" borderId="0" xfId="0" applyFont="1" applyAlignment="1">
      <alignment horizontal="left"/>
    </xf>
    <xf numFmtId="2" fontId="16" fillId="0" borderId="0" xfId="0" applyNumberFormat="1" applyFont="1" applyAlignment="1">
      <alignment horizontal="right"/>
    </xf>
    <xf numFmtId="3" fontId="2" fillId="5" borderId="2" xfId="0" applyNumberFormat="1" applyFont="1" applyFill="1" applyBorder="1"/>
    <xf numFmtId="0" fontId="8" fillId="5" borderId="2" xfId="0" applyFont="1" applyFill="1" applyBorder="1"/>
    <xf numFmtId="164" fontId="8" fillId="5" borderId="2" xfId="0" applyNumberFormat="1" applyFont="1" applyFill="1" applyBorder="1"/>
    <xf numFmtId="11" fontId="16" fillId="0" borderId="0" xfId="0" applyNumberFormat="1" applyFont="1"/>
    <xf numFmtId="11" fontId="8" fillId="0" borderId="0" xfId="0" applyNumberFormat="1" applyFont="1"/>
    <xf numFmtId="11" fontId="8" fillId="5" borderId="2" xfId="0" applyNumberFormat="1" applyFont="1" applyFill="1" applyBorder="1"/>
    <xf numFmtId="0" fontId="0" fillId="0" borderId="0" xfId="0" applyAlignment="1">
      <alignment horizontal="left"/>
    </xf>
    <xf numFmtId="164" fontId="14" fillId="0" borderId="0" xfId="0" applyNumberFormat="1" applyFont="1" applyAlignment="1">
      <alignment vertical="center"/>
    </xf>
    <xf numFmtId="2" fontId="0" fillId="0" borderId="0" xfId="0" applyNumberFormat="1" applyAlignment="1">
      <alignment vertical="center"/>
    </xf>
    <xf numFmtId="166" fontId="8" fillId="0" borderId="0" xfId="0" applyNumberFormat="1" applyFont="1"/>
    <xf numFmtId="166" fontId="0" fillId="0" borderId="0" xfId="0" applyNumberFormat="1"/>
    <xf numFmtId="11" fontId="8" fillId="0" borderId="0" xfId="0" applyNumberFormat="1" applyFont="1" applyAlignment="1">
      <alignment horizontal="left" vertical="top"/>
    </xf>
    <xf numFmtId="165" fontId="14" fillId="0" borderId="0" xfId="0" applyNumberFormat="1" applyFont="1" applyAlignment="1">
      <alignment vertical="center"/>
    </xf>
    <xf numFmtId="3" fontId="0" fillId="0" borderId="0" xfId="0" applyNumberFormat="1" applyAlignment="1">
      <alignment horizontal="left" vertical="top"/>
    </xf>
    <xf numFmtId="3" fontId="0" fillId="4" borderId="0" xfId="0" applyNumberFormat="1" applyFill="1"/>
    <xf numFmtId="164" fontId="16" fillId="0" borderId="0" xfId="0" applyNumberFormat="1" applyFont="1"/>
    <xf numFmtId="2" fontId="2" fillId="3" borderId="0" xfId="0" applyNumberFormat="1" applyFont="1" applyFill="1" applyAlignment="1">
      <alignment horizontal="left" vertical="center"/>
    </xf>
    <xf numFmtId="11" fontId="2" fillId="3" borderId="0" xfId="0" applyNumberFormat="1" applyFont="1" applyFill="1" applyAlignment="1">
      <alignment horizontal="left" vertical="center"/>
    </xf>
    <xf numFmtId="0" fontId="0" fillId="5" borderId="0" xfId="0" applyFill="1"/>
    <xf numFmtId="3" fontId="2" fillId="5" borderId="0" xfId="0" applyNumberFormat="1" applyFont="1" applyFill="1"/>
    <xf numFmtId="0" fontId="8" fillId="5" borderId="0" xfId="0" applyFont="1" applyFill="1"/>
    <xf numFmtId="11" fontId="8" fillId="5" borderId="0" xfId="0" applyNumberFormat="1" applyFont="1" applyFill="1"/>
    <xf numFmtId="0" fontId="8" fillId="3" borderId="0" xfId="0" applyFont="1" applyFill="1"/>
    <xf numFmtId="11" fontId="0" fillId="0" borderId="0" xfId="0" applyNumberFormat="1"/>
    <xf numFmtId="0" fontId="13" fillId="7" borderId="0" xfId="0" applyFont="1" applyFill="1"/>
    <xf numFmtId="0" fontId="12" fillId="7" borderId="0" xfId="0" applyFont="1" applyFill="1"/>
    <xf numFmtId="166" fontId="12" fillId="7" borderId="0" xfId="0" applyNumberFormat="1" applyFont="1" applyFill="1"/>
    <xf numFmtId="166" fontId="0" fillId="2" borderId="0" xfId="0" applyNumberFormat="1" applyFill="1" applyAlignment="1">
      <alignment horizontal="center" vertical="center" wrapText="1"/>
    </xf>
    <xf numFmtId="0" fontId="0" fillId="3" borderId="0" xfId="0" applyFill="1"/>
    <xf numFmtId="0" fontId="0" fillId="3" borderId="0" xfId="0" applyFill="1" applyAlignment="1">
      <alignment horizontal="left" vertical="top"/>
    </xf>
    <xf numFmtId="166" fontId="2" fillId="3" borderId="0" xfId="0" applyNumberFormat="1" applyFont="1" applyFill="1" applyAlignment="1">
      <alignment horizontal="left" vertical="center"/>
    </xf>
    <xf numFmtId="166" fontId="0" fillId="3" borderId="0" xfId="0" applyNumberFormat="1" applyFill="1" applyAlignment="1">
      <alignment horizontal="center" vertical="center" wrapText="1"/>
    </xf>
    <xf numFmtId="166" fontId="0" fillId="3" borderId="0" xfId="0" applyNumberFormat="1" applyFill="1"/>
    <xf numFmtId="166" fontId="2" fillId="3" borderId="0" xfId="0" applyNumberFormat="1" applyFont="1" applyFill="1"/>
    <xf numFmtId="0" fontId="13" fillId="3" borderId="0" xfId="0" applyFont="1" applyFill="1"/>
    <xf numFmtId="166" fontId="13" fillId="3" borderId="0" xfId="0" applyNumberFormat="1" applyFont="1" applyFill="1"/>
    <xf numFmtId="0" fontId="11" fillId="7" borderId="0" xfId="0" applyFont="1" applyFill="1"/>
    <xf numFmtId="0" fontId="10" fillId="3" borderId="0" xfId="0" applyFont="1" applyFill="1"/>
    <xf numFmtId="11" fontId="10" fillId="0" borderId="0" xfId="0" applyNumberFormat="1" applyFont="1"/>
    <xf numFmtId="0" fontId="4" fillId="0" borderId="0" xfId="0" applyFont="1" applyAlignment="1">
      <alignment horizontal="left"/>
    </xf>
    <xf numFmtId="0" fontId="13" fillId="7" borderId="0" xfId="0" applyFont="1" applyFill="1" applyAlignment="1">
      <alignment horizontal="left"/>
    </xf>
    <xf numFmtId="49" fontId="2" fillId="3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center" vertical="center" wrapText="1"/>
    </xf>
    <xf numFmtId="49" fontId="0" fillId="2" borderId="0" xfId="0" applyNumberFormat="1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8" fillId="4" borderId="0" xfId="0" applyFont="1" applyFill="1"/>
    <xf numFmtId="1" fontId="8" fillId="2" borderId="0" xfId="0" applyNumberFormat="1" applyFont="1" applyFill="1" applyAlignment="1">
      <alignment horizontal="center" vertical="center" wrapText="1"/>
    </xf>
    <xf numFmtId="2" fontId="8" fillId="2" borderId="0" xfId="0" applyNumberFormat="1" applyFont="1" applyFill="1" applyAlignment="1">
      <alignment horizontal="center" vertical="center" wrapText="1"/>
    </xf>
    <xf numFmtId="168" fontId="0" fillId="2" borderId="0" xfId="0" applyNumberFormat="1" applyFill="1" applyAlignment="1">
      <alignment horizontal="center" vertical="center" wrapText="1"/>
    </xf>
    <xf numFmtId="11" fontId="0" fillId="2" borderId="0" xfId="0" applyNumberFormat="1" applyFill="1" applyAlignment="1">
      <alignment horizontal="center" vertical="center" wrapText="1"/>
    </xf>
    <xf numFmtId="49" fontId="0" fillId="0" borderId="1" xfId="0" applyNumberFormat="1" applyBorder="1"/>
    <xf numFmtId="164" fontId="14" fillId="0" borderId="0" xfId="0" applyNumberFormat="1" applyFont="1"/>
    <xf numFmtId="2" fontId="8" fillId="0" borderId="0" xfId="0" applyNumberFormat="1" applyFont="1" applyAlignment="1">
      <alignment horizontal="right" vertical="center"/>
    </xf>
    <xf numFmtId="11" fontId="8" fillId="0" borderId="0" xfId="0" applyNumberFormat="1" applyFont="1" applyAlignment="1">
      <alignment horizontal="right" vertical="center"/>
    </xf>
    <xf numFmtId="0" fontId="6" fillId="0" borderId="0" xfId="0" applyFont="1" applyAlignment="1">
      <alignment horizontal="left" vertical="center"/>
    </xf>
    <xf numFmtId="2" fontId="8" fillId="0" borderId="0" xfId="0" applyNumberFormat="1" applyFont="1" applyAlignment="1">
      <alignment horizontal="left" vertical="center"/>
    </xf>
    <xf numFmtId="0" fontId="0" fillId="3" borderId="0" xfId="0" applyFill="1" applyAlignment="1">
      <alignment horizontal="left"/>
    </xf>
    <xf numFmtId="0" fontId="0" fillId="7" borderId="0" xfId="0" applyFill="1" applyAlignment="1">
      <alignment horizontal="left"/>
    </xf>
    <xf numFmtId="0" fontId="0" fillId="7" borderId="0" xfId="0" applyFill="1"/>
    <xf numFmtId="0" fontId="0" fillId="7" borderId="0" xfId="0" applyFill="1" applyAlignment="1">
      <alignment horizontal="left" vertical="top"/>
    </xf>
    <xf numFmtId="0" fontId="1" fillId="7" borderId="0" xfId="0" applyFont="1" applyFill="1"/>
    <xf numFmtId="0" fontId="10" fillId="7" borderId="0" xfId="0" applyFont="1" applyFill="1"/>
    <xf numFmtId="0" fontId="18" fillId="0" borderId="0" xfId="0" applyFont="1"/>
    <xf numFmtId="3" fontId="7" fillId="0" borderId="0" xfId="0" applyNumberFormat="1" applyFont="1"/>
    <xf numFmtId="167" fontId="7" fillId="0" borderId="0" xfId="0" applyNumberFormat="1" applyFont="1"/>
    <xf numFmtId="0" fontId="7" fillId="0" borderId="0" xfId="0" applyFont="1" applyAlignment="1">
      <alignment vertical="center"/>
    </xf>
    <xf numFmtId="0" fontId="15" fillId="0" borderId="0" xfId="0" applyFont="1"/>
    <xf numFmtId="0" fontId="19" fillId="0" borderId="0" xfId="0" applyFont="1"/>
    <xf numFmtId="0" fontId="0" fillId="8" borderId="0" xfId="0" applyFill="1" applyAlignment="1">
      <alignment horizontal="left" vertical="center"/>
    </xf>
    <xf numFmtId="166" fontId="0" fillId="8" borderId="0" xfId="0" applyNumberFormat="1" applyFill="1" applyAlignment="1">
      <alignment horizontal="center" vertical="center" wrapText="1"/>
    </xf>
    <xf numFmtId="166" fontId="14" fillId="0" borderId="0" xfId="0" applyNumberFormat="1" applyFont="1"/>
    <xf numFmtId="169" fontId="14" fillId="0" borderId="0" xfId="0" applyNumberFormat="1" applyFont="1"/>
    <xf numFmtId="11" fontId="14" fillId="0" borderId="0" xfId="0" applyNumberFormat="1" applyFont="1"/>
    <xf numFmtId="0" fontId="8" fillId="5" borderId="2" xfId="0" applyFont="1" applyFill="1" applyBorder="1" applyAlignment="1">
      <alignment horizontal="left"/>
    </xf>
    <xf numFmtId="166" fontId="0" fillId="6" borderId="0" xfId="0" applyNumberFormat="1" applyFill="1" applyAlignment="1">
      <alignment horizontal="center" vertical="center"/>
    </xf>
    <xf numFmtId="166" fontId="2" fillId="6" borderId="0" xfId="0" applyNumberFormat="1" applyFont="1" applyFill="1" applyAlignment="1">
      <alignment horizontal="center" vertical="center" wrapText="1"/>
    </xf>
    <xf numFmtId="2" fontId="1" fillId="0" borderId="0" xfId="0" applyNumberFormat="1" applyFont="1"/>
    <xf numFmtId="164" fontId="1" fillId="0" borderId="0" xfId="0" applyNumberFormat="1" applyFont="1"/>
    <xf numFmtId="164" fontId="8" fillId="0" borderId="0" xfId="0" applyNumberFormat="1" applyFont="1" applyAlignment="1">
      <alignment horizontal="right" vertical="center"/>
    </xf>
    <xf numFmtId="170" fontId="0" fillId="0" borderId="0" xfId="0" applyNumberFormat="1"/>
    <xf numFmtId="0" fontId="0" fillId="6" borderId="0" xfId="0" applyFill="1" applyAlignment="1">
      <alignment horizontal="left"/>
    </xf>
    <xf numFmtId="0" fontId="0" fillId="4" borderId="0" xfId="0" applyFill="1" applyAlignment="1">
      <alignment horizontal="left"/>
    </xf>
    <xf numFmtId="0" fontId="2" fillId="0" borderId="0" xfId="0" applyFont="1" applyAlignment="1">
      <alignment horizontal="left"/>
    </xf>
    <xf numFmtId="2" fontId="8" fillId="4" borderId="0" xfId="0" applyNumberFormat="1" applyFont="1" applyFill="1"/>
    <xf numFmtId="11" fontId="1" fillId="0" borderId="0" xfId="0" applyNumberFormat="1" applyFont="1"/>
    <xf numFmtId="0" fontId="14" fillId="0" borderId="0" xfId="0" applyFont="1" applyAlignment="1">
      <alignment horizontal="right"/>
    </xf>
    <xf numFmtId="0" fontId="14" fillId="0" borderId="0" xfId="0" applyFont="1" applyAlignment="1">
      <alignment horizontal="right" vertical="center"/>
    </xf>
    <xf numFmtId="2" fontId="14" fillId="0" borderId="0" xfId="0" applyNumberFormat="1" applyFont="1" applyAlignment="1">
      <alignment vertical="center"/>
    </xf>
    <xf numFmtId="0" fontId="0" fillId="4" borderId="0" xfId="0" applyFill="1"/>
    <xf numFmtId="2" fontId="8" fillId="0" borderId="0" xfId="0" applyNumberFormat="1" applyFont="1" applyAlignment="1">
      <alignment horizontal="right"/>
    </xf>
    <xf numFmtId="166" fontId="8" fillId="0" borderId="0" xfId="0" applyNumberFormat="1" applyFont="1" applyAlignment="1">
      <alignment horizontal="right"/>
    </xf>
    <xf numFmtId="2" fontId="8" fillId="0" borderId="0" xfId="0" applyNumberFormat="1" applyFont="1" applyAlignment="1">
      <alignment horizontal="right" vertical="center" wrapText="1"/>
    </xf>
    <xf numFmtId="1" fontId="8" fillId="0" borderId="0" xfId="0" applyNumberFormat="1" applyFont="1" applyAlignment="1">
      <alignment vertical="center"/>
    </xf>
    <xf numFmtId="165" fontId="8" fillId="0" borderId="0" xfId="0" applyNumberFormat="1" applyFont="1" applyAlignment="1">
      <alignment vertical="center"/>
    </xf>
    <xf numFmtId="165" fontId="8" fillId="0" borderId="0" xfId="0" applyNumberFormat="1" applyFont="1"/>
    <xf numFmtId="0" fontId="19" fillId="0" borderId="0" xfId="0" applyFont="1" applyAlignment="1">
      <alignment horizontal="left" vertical="center"/>
    </xf>
    <xf numFmtId="0" fontId="19" fillId="0" borderId="0" xfId="0" applyFont="1" applyAlignment="1">
      <alignment vertical="center"/>
    </xf>
    <xf numFmtId="1" fontId="0" fillId="0" borderId="0" xfId="0" applyNumberFormat="1"/>
    <xf numFmtId="0" fontId="0" fillId="9" borderId="0" xfId="0" applyFill="1"/>
    <xf numFmtId="11" fontId="8" fillId="0" borderId="0" xfId="0" applyNumberFormat="1" applyFont="1" applyAlignment="1">
      <alignment horizontal="right"/>
    </xf>
    <xf numFmtId="1" fontId="8" fillId="0" borderId="0" xfId="0" applyNumberFormat="1" applyFont="1"/>
    <xf numFmtId="0" fontId="20" fillId="0" borderId="0" xfId="0" applyFont="1" applyAlignment="1">
      <alignment horizontal="left" vertical="center" wrapText="1"/>
    </xf>
    <xf numFmtId="0" fontId="0" fillId="8" borderId="0" xfId="0" applyFill="1"/>
    <xf numFmtId="4" fontId="0" fillId="4" borderId="0" xfId="0" applyNumberFormat="1" applyFill="1"/>
    <xf numFmtId="0" fontId="0" fillId="4" borderId="2" xfId="0" applyFill="1" applyBorder="1" applyAlignment="1">
      <alignment horizontal="left" vertical="top"/>
    </xf>
    <xf numFmtId="0" fontId="8" fillId="4" borderId="2" xfId="0" applyFont="1" applyFill="1" applyBorder="1"/>
    <xf numFmtId="3" fontId="0" fillId="4" borderId="2" xfId="0" applyNumberFormat="1" applyFill="1" applyBorder="1"/>
    <xf numFmtId="11" fontId="8" fillId="4" borderId="2" xfId="0" applyNumberFormat="1" applyFont="1" applyFill="1" applyBorder="1" applyAlignment="1">
      <alignment horizontal="left" vertical="top"/>
    </xf>
    <xf numFmtId="164" fontId="8" fillId="4" borderId="2" xfId="0" applyNumberFormat="1" applyFont="1" applyFill="1" applyBorder="1"/>
    <xf numFmtId="11" fontId="8" fillId="4" borderId="3" xfId="0" applyNumberFormat="1" applyFont="1" applyFill="1" applyBorder="1" applyAlignment="1">
      <alignment horizontal="left" vertical="top"/>
    </xf>
    <xf numFmtId="2" fontId="8" fillId="4" borderId="4" xfId="0" applyNumberFormat="1" applyFont="1" applyFill="1" applyBorder="1"/>
    <xf numFmtId="171" fontId="14" fillId="0" borderId="0" xfId="0" applyNumberFormat="1" applyFont="1"/>
    <xf numFmtId="170" fontId="14" fillId="0" borderId="0" xfId="0" applyNumberFormat="1" applyFont="1"/>
    <xf numFmtId="0" fontId="0" fillId="6" borderId="0" xfId="0" applyFill="1" applyAlignment="1">
      <alignment horizontal="center" vertical="center"/>
    </xf>
    <xf numFmtId="166" fontId="2" fillId="6" borderId="0" xfId="0" applyNumberFormat="1" applyFont="1" applyFill="1" applyAlignment="1">
      <alignment horizontal="center" vertical="center"/>
    </xf>
    <xf numFmtId="166" fontId="0" fillId="6" borderId="0" xfId="0" applyNumberForma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 wrapText="1"/>
    </xf>
    <xf numFmtId="0" fontId="0" fillId="5" borderId="2" xfId="0" applyFill="1" applyBorder="1"/>
    <xf numFmtId="2" fontId="18" fillId="0" borderId="0" xfId="0" applyNumberFormat="1" applyFont="1"/>
    <xf numFmtId="0" fontId="21" fillId="5" borderId="2" xfId="0" applyFont="1" applyFill="1" applyBorder="1"/>
    <xf numFmtId="0" fontId="2" fillId="6" borderId="0" xfId="0" applyFont="1" applyFill="1" applyAlignment="1">
      <alignment vertical="center"/>
    </xf>
    <xf numFmtId="0" fontId="21" fillId="5" borderId="0" xfId="0" applyFont="1" applyFill="1"/>
    <xf numFmtId="2" fontId="0" fillId="11" borderId="0" xfId="0" applyNumberFormat="1" applyFill="1"/>
    <xf numFmtId="0" fontId="0" fillId="4" borderId="2" xfId="0" applyFill="1" applyBorder="1"/>
    <xf numFmtId="2" fontId="8" fillId="4" borderId="5" xfId="0" applyNumberFormat="1" applyFont="1" applyFill="1" applyBorder="1"/>
    <xf numFmtId="0" fontId="2" fillId="6" borderId="0" xfId="0" applyFont="1" applyFill="1"/>
    <xf numFmtId="0" fontId="0" fillId="6" borderId="0" xfId="0" applyFill="1"/>
    <xf numFmtId="2" fontId="2" fillId="6" borderId="0" xfId="0" applyNumberFormat="1" applyFont="1" applyFill="1" applyAlignment="1">
      <alignment horizontal="left" vertical="center"/>
    </xf>
    <xf numFmtId="11" fontId="2" fillId="6" borderId="0" xfId="0" applyNumberFormat="1" applyFont="1" applyFill="1" applyAlignment="1">
      <alignment horizontal="left" vertical="center"/>
    </xf>
    <xf numFmtId="166" fontId="2" fillId="6" borderId="0" xfId="0" applyNumberFormat="1" applyFont="1" applyFill="1"/>
    <xf numFmtId="0" fontId="0" fillId="8" borderId="0" xfId="0" applyFill="1" applyAlignment="1">
      <alignment horizontal="center" vertical="center"/>
    </xf>
    <xf numFmtId="0" fontId="7" fillId="4" borderId="0" xfId="0" applyFont="1" applyFill="1"/>
    <xf numFmtId="2" fontId="2" fillId="0" borderId="0" xfId="0" applyNumberFormat="1" applyFont="1"/>
    <xf numFmtId="0" fontId="19" fillId="0" borderId="0" xfId="0" applyFont="1" applyAlignment="1">
      <alignment horizontal="left"/>
    </xf>
    <xf numFmtId="164" fontId="8" fillId="4" borderId="6" xfId="0" applyNumberFormat="1" applyFont="1" applyFill="1" applyBorder="1"/>
    <xf numFmtId="168" fontId="8" fillId="0" borderId="0" xfId="0" applyNumberFormat="1" applyFont="1" applyAlignment="1">
      <alignment horizontal="right" vertical="center"/>
    </xf>
    <xf numFmtId="1" fontId="8" fillId="8" borderId="0" xfId="0" applyNumberFormat="1" applyFont="1" applyFill="1" applyAlignment="1">
      <alignment horizontal="center" vertical="center" wrapText="1"/>
    </xf>
    <xf numFmtId="2" fontId="8" fillId="8" borderId="0" xfId="0" applyNumberFormat="1" applyFont="1" applyFill="1" applyAlignment="1">
      <alignment horizontal="center" vertical="center" wrapText="1"/>
    </xf>
    <xf numFmtId="168" fontId="0" fillId="8" borderId="0" xfId="0" applyNumberFormat="1" applyFill="1" applyAlignment="1">
      <alignment horizontal="center" vertical="center" wrapText="1"/>
    </xf>
    <xf numFmtId="11" fontId="0" fillId="8" borderId="0" xfId="0" applyNumberFormat="1" applyFill="1" applyAlignment="1">
      <alignment horizontal="center" vertical="center" wrapText="1"/>
    </xf>
    <xf numFmtId="4" fontId="8" fillId="0" borderId="0" xfId="0" applyNumberFormat="1" applyFont="1"/>
    <xf numFmtId="0" fontId="2" fillId="0" borderId="0" xfId="0" applyFont="1"/>
    <xf numFmtId="1" fontId="8" fillId="2" borderId="0" xfId="0" applyNumberFormat="1" applyFont="1" applyFill="1" applyAlignment="1">
      <alignment horizontal="left" vertical="top" wrapText="1"/>
    </xf>
    <xf numFmtId="1" fontId="0" fillId="2" borderId="0" xfId="0" applyNumberFormat="1" applyFill="1" applyAlignment="1">
      <alignment horizontal="left" vertical="top" wrapText="1"/>
    </xf>
    <xf numFmtId="0" fontId="2" fillId="3" borderId="0" xfId="0" applyFont="1" applyFill="1"/>
    <xf numFmtId="0" fontId="23" fillId="0" borderId="0" xfId="0" applyFont="1"/>
    <xf numFmtId="0" fontId="19" fillId="12" borderId="0" xfId="0" applyFont="1" applyFill="1"/>
    <xf numFmtId="3" fontId="23" fillId="0" borderId="0" xfId="0" applyNumberFormat="1" applyFont="1"/>
    <xf numFmtId="0" fontId="19" fillId="8" borderId="0" xfId="0" applyFont="1" applyFill="1"/>
    <xf numFmtId="0" fontId="24" fillId="0" borderId="0" xfId="0" applyFont="1"/>
    <xf numFmtId="0" fontId="23" fillId="8" borderId="0" xfId="0" applyFont="1" applyFill="1"/>
    <xf numFmtId="0" fontId="18" fillId="0" borderId="1" xfId="1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25" fillId="0" borderId="0" xfId="0" applyFont="1"/>
    <xf numFmtId="0" fontId="27" fillId="0" borderId="0" xfId="0" applyFont="1"/>
    <xf numFmtId="3" fontId="8" fillId="0" borderId="0" xfId="0" applyNumberFormat="1" applyFont="1"/>
    <xf numFmtId="4" fontId="8" fillId="4" borderId="0" xfId="0" applyNumberFormat="1" applyFont="1" applyFill="1"/>
    <xf numFmtId="3" fontId="17" fillId="0" borderId="0" xfId="0" applyNumberFormat="1" applyFont="1"/>
    <xf numFmtId="3" fontId="8" fillId="4" borderId="0" xfId="0" applyNumberFormat="1" applyFont="1" applyFill="1"/>
    <xf numFmtId="170" fontId="10" fillId="0" borderId="0" xfId="0" applyNumberFormat="1" applyFont="1"/>
    <xf numFmtId="167" fontId="8" fillId="0" borderId="0" xfId="0" applyNumberFormat="1" applyFont="1"/>
    <xf numFmtId="172" fontId="17" fillId="0" borderId="0" xfId="0" applyNumberFormat="1" applyFont="1"/>
    <xf numFmtId="166" fontId="10" fillId="0" borderId="0" xfId="0" applyNumberFormat="1" applyFont="1"/>
    <xf numFmtId="0" fontId="22" fillId="0" borderId="0" xfId="0" applyFont="1"/>
    <xf numFmtId="0" fontId="8" fillId="9" borderId="0" xfId="0" applyFont="1" applyFill="1"/>
    <xf numFmtId="0" fontId="14" fillId="8" borderId="0" xfId="0" applyFont="1" applyFill="1"/>
    <xf numFmtId="2" fontId="25" fillId="0" borderId="0" xfId="0" applyNumberFormat="1" applyFont="1"/>
    <xf numFmtId="0" fontId="18" fillId="0" borderId="7" xfId="1" applyFont="1" applyBorder="1" applyAlignment="1">
      <alignment horizontal="left" vertical="center"/>
    </xf>
    <xf numFmtId="2" fontId="14" fillId="0" borderId="1" xfId="1" applyNumberFormat="1" applyFont="1" applyBorder="1" applyAlignment="1">
      <alignment horizontal="right" vertical="center"/>
    </xf>
    <xf numFmtId="2" fontId="14" fillId="0" borderId="7" xfId="1" applyNumberFormat="1" applyFont="1" applyBorder="1" applyAlignment="1">
      <alignment horizontal="right" vertical="center"/>
    </xf>
    <xf numFmtId="0" fontId="0" fillId="0" borderId="1" xfId="0" applyBorder="1"/>
    <xf numFmtId="0" fontId="0" fillId="0" borderId="7" xfId="0" applyBorder="1"/>
    <xf numFmtId="0" fontId="23" fillId="4" borderId="1" xfId="0" applyFont="1" applyFill="1" applyBorder="1"/>
    <xf numFmtId="0" fontId="23" fillId="4" borderId="7" xfId="0" applyFont="1" applyFill="1" applyBorder="1"/>
    <xf numFmtId="164" fontId="14" fillId="0" borderId="1" xfId="1" applyNumberFormat="1" applyFont="1" applyBorder="1" applyAlignment="1">
      <alignment horizontal="right" vertical="center"/>
    </xf>
    <xf numFmtId="2" fontId="14" fillId="0" borderId="1" xfId="0" applyNumberFormat="1" applyFont="1" applyBorder="1" applyAlignment="1">
      <alignment horizontal="right" vertical="center"/>
    </xf>
    <xf numFmtId="0" fontId="14" fillId="0" borderId="1" xfId="0" applyFont="1" applyBorder="1"/>
    <xf numFmtId="0" fontId="14" fillId="0" borderId="7" xfId="0" applyFont="1" applyBorder="1"/>
    <xf numFmtId="0" fontId="0" fillId="4" borderId="1" xfId="0" applyFill="1" applyBorder="1"/>
    <xf numFmtId="0" fontId="0" fillId="4" borderId="7" xfId="0" applyFill="1" applyBorder="1"/>
    <xf numFmtId="1" fontId="0" fillId="0" borderId="1" xfId="0" applyNumberFormat="1" applyBorder="1"/>
    <xf numFmtId="1" fontId="0" fillId="0" borderId="7" xfId="0" applyNumberFormat="1" applyBorder="1"/>
    <xf numFmtId="2" fontId="0" fillId="0" borderId="1" xfId="0" applyNumberFormat="1" applyBorder="1"/>
    <xf numFmtId="2" fontId="0" fillId="0" borderId="7" xfId="0" applyNumberFormat="1" applyBorder="1"/>
    <xf numFmtId="164" fontId="0" fillId="0" borderId="7" xfId="0" applyNumberFormat="1" applyBorder="1"/>
    <xf numFmtId="165" fontId="14" fillId="0" borderId="1" xfId="1" applyNumberFormat="1" applyFont="1" applyBorder="1" applyAlignment="1">
      <alignment horizontal="right" vertical="center"/>
    </xf>
    <xf numFmtId="165" fontId="14" fillId="0" borderId="7" xfId="1" applyNumberFormat="1" applyFont="1" applyBorder="1" applyAlignment="1">
      <alignment horizontal="right" vertical="center"/>
    </xf>
    <xf numFmtId="165" fontId="0" fillId="0" borderId="1" xfId="0" applyNumberFormat="1" applyBorder="1"/>
    <xf numFmtId="165" fontId="0" fillId="0" borderId="7" xfId="0" applyNumberFormat="1" applyBorder="1"/>
    <xf numFmtId="1" fontId="8" fillId="0" borderId="1" xfId="0" applyNumberFormat="1" applyFont="1" applyBorder="1"/>
    <xf numFmtId="2" fontId="14" fillId="0" borderId="1" xfId="0" applyNumberFormat="1" applyFont="1" applyBorder="1"/>
    <xf numFmtId="2" fontId="14" fillId="0" borderId="7" xfId="0" applyNumberFormat="1" applyFont="1" applyBorder="1"/>
    <xf numFmtId="0" fontId="1" fillId="0" borderId="1" xfId="0" applyFont="1" applyBorder="1"/>
    <xf numFmtId="0" fontId="1" fillId="0" borderId="7" xfId="0" applyFont="1" applyBorder="1"/>
    <xf numFmtId="1" fontId="8" fillId="4" borderId="1" xfId="0" applyNumberFormat="1" applyFont="1" applyFill="1" applyBorder="1"/>
    <xf numFmtId="165" fontId="8" fillId="0" borderId="1" xfId="0" applyNumberFormat="1" applyFont="1" applyBorder="1"/>
    <xf numFmtId="165" fontId="8" fillId="0" borderId="7" xfId="0" applyNumberFormat="1" applyFont="1" applyBorder="1"/>
    <xf numFmtId="164" fontId="0" fillId="0" borderId="1" xfId="0" applyNumberFormat="1" applyBorder="1"/>
    <xf numFmtId="1" fontId="14" fillId="0" borderId="0" xfId="0" applyNumberFormat="1" applyFont="1"/>
    <xf numFmtId="170" fontId="14" fillId="0" borderId="1" xfId="0" applyNumberFormat="1" applyFont="1" applyBorder="1"/>
    <xf numFmtId="170" fontId="14" fillId="0" borderId="7" xfId="0" applyNumberFormat="1" applyFont="1" applyBorder="1"/>
    <xf numFmtId="165" fontId="0" fillId="4" borderId="1" xfId="0" applyNumberFormat="1" applyFill="1" applyBorder="1"/>
    <xf numFmtId="165" fontId="0" fillId="4" borderId="0" xfId="0" applyNumberFormat="1" applyFill="1"/>
    <xf numFmtId="165" fontId="0" fillId="4" borderId="7" xfId="0" applyNumberFormat="1" applyFill="1" applyBorder="1"/>
    <xf numFmtId="2" fontId="7" fillId="0" borderId="1" xfId="0" applyNumberFormat="1" applyFont="1" applyBorder="1"/>
    <xf numFmtId="2" fontId="7" fillId="0" borderId="7" xfId="0" applyNumberFormat="1" applyFont="1" applyBorder="1"/>
    <xf numFmtId="0" fontId="23" fillId="0" borderId="1" xfId="0" applyFont="1" applyBorder="1"/>
    <xf numFmtId="0" fontId="0" fillId="0" borderId="8" xfId="0" applyBorder="1"/>
    <xf numFmtId="0" fontId="0" fillId="0" borderId="2" xfId="0" applyBorder="1"/>
    <xf numFmtId="0" fontId="0" fillId="0" borderId="9" xfId="0" applyBorder="1"/>
    <xf numFmtId="0" fontId="0" fillId="0" borderId="10" xfId="0" applyBorder="1"/>
    <xf numFmtId="2" fontId="18" fillId="0" borderId="10" xfId="0" applyNumberFormat="1" applyFont="1" applyBorder="1"/>
    <xf numFmtId="0" fontId="18" fillId="0" borderId="10" xfId="0" applyFont="1" applyBorder="1"/>
    <xf numFmtId="0" fontId="8" fillId="6" borderId="10" xfId="1" applyFont="1" applyFill="1" applyBorder="1" applyAlignment="1">
      <alignment horizontal="left" vertical="center"/>
    </xf>
    <xf numFmtId="0" fontId="0" fillId="4" borderId="10" xfId="0" applyFill="1" applyBorder="1"/>
    <xf numFmtId="0" fontId="7" fillId="0" borderId="10" xfId="0" applyFont="1" applyBorder="1" applyAlignment="1">
      <alignment horizontal="left" vertical="center"/>
    </xf>
    <xf numFmtId="0" fontId="18" fillId="0" borderId="10" xfId="1" applyFont="1" applyBorder="1" applyAlignment="1">
      <alignment horizontal="left" vertical="center"/>
    </xf>
    <xf numFmtId="0" fontId="7" fillId="4" borderId="10" xfId="0" applyFont="1" applyFill="1" applyBorder="1" applyAlignment="1">
      <alignment horizontal="left" vertical="center"/>
    </xf>
    <xf numFmtId="0" fontId="18" fillId="4" borderId="10" xfId="1" applyFont="1" applyFill="1" applyBorder="1" applyAlignment="1">
      <alignment horizontal="left" vertical="center"/>
    </xf>
    <xf numFmtId="0" fontId="7" fillId="0" borderId="10" xfId="0" applyFont="1" applyBorder="1"/>
    <xf numFmtId="0" fontId="26" fillId="0" borderId="10" xfId="1" applyFont="1" applyBorder="1" applyAlignment="1">
      <alignment horizontal="left" vertical="center"/>
    </xf>
    <xf numFmtId="0" fontId="7" fillId="4" borderId="10" xfId="0" applyFont="1" applyFill="1" applyBorder="1"/>
    <xf numFmtId="0" fontId="0" fillId="0" borderId="11" xfId="0" applyBorder="1"/>
    <xf numFmtId="0" fontId="0" fillId="6" borderId="1" xfId="0" applyFill="1" applyBorder="1"/>
    <xf numFmtId="0" fontId="20" fillId="0" borderId="0" xfId="0" applyFont="1" applyAlignment="1">
      <alignment horizontal="left" vertical="center"/>
    </xf>
    <xf numFmtId="1" fontId="0" fillId="4" borderId="0" xfId="0" applyNumberFormat="1" applyFill="1"/>
    <xf numFmtId="2" fontId="0" fillId="4" borderId="0" xfId="0" applyNumberFormat="1" applyFill="1"/>
    <xf numFmtId="0" fontId="0" fillId="0" borderId="0" xfId="0" applyAlignment="1">
      <alignment horizontal="left" vertical="center" wrapText="1"/>
    </xf>
    <xf numFmtId="165" fontId="0" fillId="10" borderId="0" xfId="0" applyNumberFormat="1" applyFill="1"/>
    <xf numFmtId="2" fontId="8" fillId="0" borderId="1" xfId="0" applyNumberFormat="1" applyFont="1" applyBorder="1"/>
    <xf numFmtId="166" fontId="8" fillId="0" borderId="0" xfId="0" applyNumberFormat="1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81" fillId="0" borderId="0" xfId="0" applyFont="1"/>
    <xf numFmtId="0" fontId="22" fillId="0" borderId="0" xfId="0" applyFont="1" applyAlignment="1">
      <alignment horizontal="right" vertical="center"/>
    </xf>
    <xf numFmtId="11" fontId="22" fillId="0" borderId="0" xfId="0" applyNumberFormat="1" applyFont="1" applyAlignment="1">
      <alignment horizontal="right" vertical="center"/>
    </xf>
    <xf numFmtId="11" fontId="22" fillId="0" borderId="7" xfId="0" applyNumberFormat="1" applyFont="1" applyBorder="1" applyAlignment="1">
      <alignment horizontal="right" vertical="center"/>
    </xf>
    <xf numFmtId="0" fontId="18" fillId="0" borderId="0" xfId="1" applyFont="1" applyAlignment="1">
      <alignment horizontal="left" vertical="center"/>
    </xf>
    <xf numFmtId="2" fontId="14" fillId="0" borderId="0" xfId="1" applyNumberFormat="1" applyFont="1" applyAlignment="1">
      <alignment horizontal="right" vertical="center"/>
    </xf>
    <xf numFmtId="0" fontId="0" fillId="6" borderId="7" xfId="0" applyFill="1" applyBorder="1"/>
    <xf numFmtId="0" fontId="23" fillId="4" borderId="0" xfId="0" applyFont="1" applyFill="1"/>
    <xf numFmtId="1" fontId="8" fillId="4" borderId="0" xfId="0" applyNumberFormat="1" applyFont="1" applyFill="1"/>
    <xf numFmtId="165" fontId="14" fillId="0" borderId="0" xfId="1" applyNumberFormat="1" applyFont="1" applyAlignment="1">
      <alignment horizontal="right" vertical="center"/>
    </xf>
    <xf numFmtId="2" fontId="7" fillId="0" borderId="0" xfId="0" applyNumberFormat="1" applyFont="1"/>
    <xf numFmtId="49" fontId="0" fillId="0" borderId="0" xfId="0" applyNumberFormat="1" applyAlignment="1">
      <alignment horizontal="left" vertical="top"/>
    </xf>
    <xf numFmtId="164" fontId="22" fillId="0" borderId="0" xfId="0" applyNumberFormat="1" applyFont="1" applyAlignment="1">
      <alignment horizontal="right" vertical="center"/>
    </xf>
    <xf numFmtId="0" fontId="3" fillId="4" borderId="0" xfId="0" applyFont="1" applyFill="1"/>
    <xf numFmtId="0" fontId="2" fillId="62" borderId="0" xfId="0" applyFont="1" applyFill="1"/>
    <xf numFmtId="0" fontId="0" fillId="62" borderId="0" xfId="0" applyFill="1"/>
    <xf numFmtId="166" fontId="2" fillId="62" borderId="0" xfId="0" applyNumberFormat="1" applyFont="1" applyFill="1" applyAlignment="1">
      <alignment horizontal="left" vertical="center"/>
    </xf>
    <xf numFmtId="166" fontId="0" fillId="62" borderId="0" xfId="0" applyNumberFormat="1" applyFill="1" applyAlignment="1">
      <alignment horizontal="center" vertical="center" wrapText="1"/>
    </xf>
    <xf numFmtId="166" fontId="0" fillId="62" borderId="0" xfId="0" applyNumberFormat="1" applyFill="1"/>
    <xf numFmtId="166" fontId="2" fillId="62" borderId="0" xfId="0" applyNumberFormat="1" applyFont="1" applyFill="1"/>
    <xf numFmtId="0" fontId="0" fillId="2" borderId="0" xfId="0" applyFill="1" applyAlignment="1">
      <alignment horizontal="left" vertical="center"/>
    </xf>
    <xf numFmtId="0" fontId="0" fillId="2" borderId="0" xfId="0" applyFill="1" applyAlignment="1">
      <alignment horizontal="left" vertical="top" wrapText="1"/>
    </xf>
    <xf numFmtId="0" fontId="2" fillId="2" borderId="0" xfId="0" applyFont="1" applyFill="1" applyAlignment="1">
      <alignment horizontal="left" vertical="center" wrapText="1"/>
    </xf>
    <xf numFmtId="166" fontId="0" fillId="0" borderId="0" xfId="0" applyNumberFormat="1" applyAlignment="1">
      <alignment horizontal="left" vertical="center" wrapText="1"/>
    </xf>
    <xf numFmtId="166" fontId="2" fillId="0" borderId="0" xfId="0" applyNumberFormat="1" applyFont="1"/>
    <xf numFmtId="166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8" fontId="0" fillId="0" borderId="0" xfId="0" applyNumberFormat="1"/>
    <xf numFmtId="2" fontId="22" fillId="0" borderId="0" xfId="0" applyNumberFormat="1" applyFont="1" applyAlignment="1">
      <alignment horizontal="right" vertical="center"/>
    </xf>
    <xf numFmtId="170" fontId="8" fillId="0" borderId="0" xfId="0" applyNumberFormat="1" applyFont="1"/>
    <xf numFmtId="164" fontId="81" fillId="0" borderId="0" xfId="0" applyNumberFormat="1" applyFont="1"/>
    <xf numFmtId="1" fontId="14" fillId="0" borderId="0" xfId="0" applyNumberFormat="1" applyFont="1" applyAlignment="1">
      <alignment vertical="center"/>
    </xf>
    <xf numFmtId="167" fontId="0" fillId="0" borderId="0" xfId="0" applyNumberFormat="1"/>
    <xf numFmtId="0" fontId="0" fillId="0" borderId="53" xfId="0" applyBorder="1" applyAlignment="1">
      <alignment horizontal="left" vertical="top"/>
    </xf>
    <xf numFmtId="0" fontId="8" fillId="0" borderId="53" xfId="0" applyFont="1" applyBorder="1"/>
    <xf numFmtId="3" fontId="0" fillId="0" borderId="53" xfId="0" applyNumberFormat="1" applyBorder="1"/>
    <xf numFmtId="3" fontId="0" fillId="0" borderId="53" xfId="0" applyNumberFormat="1" applyBorder="1" applyAlignment="1">
      <alignment horizontal="left" vertical="top"/>
    </xf>
    <xf numFmtId="164" fontId="8" fillId="0" borderId="53" xfId="0" applyNumberFormat="1" applyFont="1" applyBorder="1"/>
    <xf numFmtId="164" fontId="0" fillId="0" borderId="53" xfId="0" applyNumberFormat="1" applyBorder="1"/>
    <xf numFmtId="0" fontId="0" fillId="0" borderId="53" xfId="0" applyBorder="1"/>
    <xf numFmtId="0" fontId="10" fillId="0" borderId="53" xfId="0" applyFont="1" applyBorder="1"/>
    <xf numFmtId="2" fontId="0" fillId="0" borderId="53" xfId="0" applyNumberFormat="1" applyBorder="1"/>
    <xf numFmtId="0" fontId="0" fillId="8" borderId="54" xfId="0" applyFill="1" applyBorder="1"/>
    <xf numFmtId="0" fontId="0" fillId="8" borderId="55" xfId="0" applyFill="1" applyBorder="1"/>
    <xf numFmtId="0" fontId="0" fillId="8" borderId="53" xfId="0" applyFill="1" applyBorder="1"/>
    <xf numFmtId="0" fontId="0" fillId="8" borderId="56" xfId="0" applyFill="1" applyBorder="1"/>
    <xf numFmtId="166" fontId="14" fillId="0" borderId="53" xfId="0" applyNumberFormat="1" applyFont="1" applyBorder="1"/>
    <xf numFmtId="169" fontId="14" fillId="0" borderId="53" xfId="0" applyNumberFormat="1" applyFont="1" applyBorder="1"/>
    <xf numFmtId="2" fontId="14" fillId="0" borderId="53" xfId="0" applyNumberFormat="1" applyFont="1" applyBorder="1"/>
    <xf numFmtId="0" fontId="14" fillId="0" borderId="53" xfId="0" applyFont="1" applyBorder="1"/>
    <xf numFmtId="11" fontId="14" fillId="0" borderId="53" xfId="0" applyNumberFormat="1" applyFont="1" applyBorder="1"/>
    <xf numFmtId="2" fontId="18" fillId="0" borderId="53" xfId="0" applyNumberFormat="1" applyFont="1" applyBorder="1"/>
    <xf numFmtId="49" fontId="0" fillId="0" borderId="53" xfId="0" applyNumberFormat="1" applyBorder="1"/>
    <xf numFmtId="0" fontId="22" fillId="0" borderId="53" xfId="0" applyFont="1" applyBorder="1"/>
    <xf numFmtId="166" fontId="17" fillId="6" borderId="0" xfId="0" applyNumberFormat="1" applyFont="1" applyFill="1" applyAlignment="1">
      <alignment horizontal="center" vertical="center"/>
    </xf>
    <xf numFmtId="0" fontId="17" fillId="8" borderId="0" xfId="0" applyFont="1" applyFill="1" applyAlignment="1">
      <alignment horizontal="left" vertical="center" wrapText="1"/>
    </xf>
    <xf numFmtId="11" fontId="8" fillId="0" borderId="53" xfId="0" applyNumberFormat="1" applyFont="1" applyBorder="1" applyAlignment="1">
      <alignment horizontal="right"/>
    </xf>
    <xf numFmtId="171" fontId="0" fillId="0" borderId="0" xfId="0" applyNumberFormat="1"/>
    <xf numFmtId="0" fontId="0" fillId="0" borderId="57" xfId="0" applyBorder="1"/>
    <xf numFmtId="0" fontId="0" fillId="0" borderId="58" xfId="0" applyBorder="1"/>
    <xf numFmtId="164" fontId="0" fillId="0" borderId="58" xfId="0" applyNumberFormat="1" applyBorder="1"/>
    <xf numFmtId="164" fontId="0" fillId="0" borderId="59" xfId="0" applyNumberFormat="1" applyBorder="1"/>
    <xf numFmtId="164" fontId="0" fillId="0" borderId="2" xfId="0" applyNumberFormat="1" applyBorder="1"/>
    <xf numFmtId="171" fontId="0" fillId="0" borderId="2" xfId="0" applyNumberFormat="1" applyBorder="1"/>
    <xf numFmtId="164" fontId="0" fillId="0" borderId="9" xfId="0" applyNumberFormat="1" applyBorder="1"/>
    <xf numFmtId="49" fontId="0" fillId="0" borderId="60" xfId="0" applyNumberFormat="1" applyBorder="1"/>
    <xf numFmtId="0" fontId="0" fillId="0" borderId="61" xfId="0" applyBorder="1"/>
    <xf numFmtId="2" fontId="0" fillId="0" borderId="61" xfId="0" applyNumberFormat="1" applyBorder="1"/>
    <xf numFmtId="170" fontId="0" fillId="0" borderId="61" xfId="0" applyNumberFormat="1" applyBorder="1"/>
    <xf numFmtId="11" fontId="0" fillId="0" borderId="61" xfId="0" applyNumberFormat="1" applyBorder="1"/>
    <xf numFmtId="170" fontId="0" fillId="0" borderId="2" xfId="0" applyNumberFormat="1" applyBorder="1"/>
    <xf numFmtId="0" fontId="0" fillId="0" borderId="60" xfId="0" applyBorder="1"/>
    <xf numFmtId="164" fontId="2" fillId="0" borderId="0" xfId="0" applyNumberFormat="1" applyFont="1"/>
    <xf numFmtId="0" fontId="0" fillId="63" borderId="0" xfId="0" applyFill="1" applyAlignment="1">
      <alignment horizontal="left"/>
    </xf>
    <xf numFmtId="0" fontId="0" fillId="64" borderId="0" xfId="0" applyFill="1"/>
  </cellXfs>
  <cellStyles count="5485">
    <cellStyle name="???????????" xfId="39" xr:uid="{8E55C96E-B6C4-42C7-8A77-1D222F139B87}"/>
    <cellStyle name="20 % - Akzent1" xfId="897" hidden="1" xr:uid="{742B2FB3-88C1-440E-ABD5-31D2E15EAE69}"/>
    <cellStyle name="20 % - Akzent1" xfId="971" hidden="1" xr:uid="{F6C29430-E793-433B-93A3-40C478BD78FF}"/>
    <cellStyle name="20 % - Akzent1" xfId="1530" hidden="1" xr:uid="{3774188B-D62F-4FD9-A5D8-637A54084CBD}"/>
    <cellStyle name="20 % - Akzent1" xfId="50" hidden="1" xr:uid="{4CF27CCE-BDB1-477C-8444-DAF4AD78D0BB}"/>
    <cellStyle name="20 % - Akzent1" xfId="1391" hidden="1" xr:uid="{5DB6C647-25B7-45F3-AB4B-1D3708E37156}"/>
    <cellStyle name="20 % - Akzent1" xfId="1863" hidden="1" xr:uid="{BC2C472D-CDAB-4266-BE73-AB4A03EBE274}"/>
    <cellStyle name="20 % - Akzent1" xfId="2064" hidden="1" xr:uid="{9A01FF62-ABB6-41AB-8B0E-7100C816A53E}"/>
    <cellStyle name="20 % - Akzent1" xfId="2665" hidden="1" xr:uid="{571EBF36-15CD-4211-89C6-C5DE422688F8}"/>
    <cellStyle name="20 % - Akzent1" xfId="2630" hidden="1" xr:uid="{EFCA7322-3B6C-4CB6-907F-D651DDABFFDB}"/>
    <cellStyle name="20 % - Akzent1" xfId="2120" hidden="1" xr:uid="{8CF729B6-4680-41D5-BC1D-7ADB2635404A}"/>
    <cellStyle name="20 % - Akzent1" xfId="3921" hidden="1" xr:uid="{EFDBB71A-4915-4ACA-918A-6ADC05CEA741}"/>
    <cellStyle name="20 % - Akzent1" xfId="1844" hidden="1" xr:uid="{D30FD2D0-D813-4A1D-9A49-B1EB3D68C6C6}"/>
    <cellStyle name="20 % - Akzent1" xfId="1943" hidden="1" xr:uid="{A7C8A590-6AD3-4CBA-80CD-2162C885A511}"/>
    <cellStyle name="20 % - Akzent1" xfId="3070" hidden="1" xr:uid="{F030E964-4528-4807-A419-D3ECCC47DC30}"/>
    <cellStyle name="20 % - Akzent1" xfId="4514" hidden="1" xr:uid="{9B936913-09CF-4A4F-BDFC-B86EBFBD9AFB}"/>
    <cellStyle name="20 % - Akzent1" xfId="4599" hidden="1" xr:uid="{2B02EE94-5300-4A5F-8143-1B12A779E021}"/>
    <cellStyle name="20 % - Akzent1" xfId="4785" hidden="1" xr:uid="{7942E277-3D5F-420C-854B-82B1FA8E9911}"/>
    <cellStyle name="20 % - Akzent1" xfId="4663" hidden="1" xr:uid="{9948A6C1-079D-4257-B660-BAEC3F54F819}"/>
    <cellStyle name="20 % - Akzent1 2" xfId="373" xr:uid="{F49C62F8-48F9-4014-B7E0-85FCD17B02E0}"/>
    <cellStyle name="20 % - Akzent1 3" xfId="242" xr:uid="{AF4F0FC3-D995-4C50-A4D6-5A767FDD2CD1}"/>
    <cellStyle name="20 % - Akzent2" xfId="1585" hidden="1" xr:uid="{31213AC6-C585-41AE-A20C-77A4B326340F}"/>
    <cellStyle name="20 % - Akzent2" xfId="1394" hidden="1" xr:uid="{2C1AA855-D89B-4665-8062-EF2EFC1E2CC9}"/>
    <cellStyle name="20 % - Akzent2" xfId="970" hidden="1" xr:uid="{5258DB7B-5FD3-4667-9C6C-76289DA0BAD0}"/>
    <cellStyle name="20 % - Akzent2" xfId="53" hidden="1" xr:uid="{39DC5C72-D557-4819-B763-D00C7B53D0E9}"/>
    <cellStyle name="20 % - Akzent2" xfId="900" hidden="1" xr:uid="{85D3D6AF-4AC8-41A4-ABBA-C4277DB56FC7}"/>
    <cellStyle name="20 % - Akzent2" xfId="1866" hidden="1" xr:uid="{4606A7FC-D53C-4184-8A90-39EF3A2ACD30}"/>
    <cellStyle name="20 % - Akzent2" xfId="2202" hidden="1" xr:uid="{716D49CF-1090-4357-90C7-7D5629503AF8}"/>
    <cellStyle name="20 % - Akzent2" xfId="2662" hidden="1" xr:uid="{AA738AAD-321F-4208-81D5-07CA3BBB137D}"/>
    <cellStyle name="20 % - Akzent2" xfId="1938" hidden="1" xr:uid="{E19AA9F8-313A-4196-9810-90D0307F65BB}"/>
    <cellStyle name="20 % - Akzent2" xfId="3497" hidden="1" xr:uid="{E31CA582-408A-4DCE-8F30-3FF1C1C075DE}"/>
    <cellStyle name="20 % - Akzent2" xfId="2194" hidden="1" xr:uid="{36082FFF-4825-4711-ADF6-DAA82D859808}"/>
    <cellStyle name="20 % - Akzent2" xfId="3058" hidden="1" xr:uid="{B1B7D98A-81DB-4324-BBF9-92568D389422}"/>
    <cellStyle name="20 % - Akzent2" xfId="4501" hidden="1" xr:uid="{550C4C77-0FEB-48A6-B0E4-527E4C8311F9}"/>
    <cellStyle name="20 % - Akzent2" xfId="4351" hidden="1" xr:uid="{16F9F7F9-11EE-4603-99FC-8D74EE7BD28C}"/>
    <cellStyle name="20 % - Akzent2" xfId="4348" hidden="1" xr:uid="{9B365E81-81B5-494B-BEE7-3538C24B4C1B}"/>
    <cellStyle name="20 % - Akzent2" xfId="4602" hidden="1" xr:uid="{9249B9A8-128C-4925-B953-7F617FAD93EA}"/>
    <cellStyle name="20 % - Akzent2" xfId="4784" hidden="1" xr:uid="{9B39C55D-D8AB-4BEF-8C1E-CFCF984CF95C}"/>
    <cellStyle name="20 % - Akzent2" xfId="5260" hidden="1" xr:uid="{BE4158CB-7757-4B66-8E0E-2A5C3402EDE3}"/>
    <cellStyle name="20 % - Akzent2 2" xfId="374" xr:uid="{D0A7CE44-B584-433D-9B5F-14CAB15EB167}"/>
    <cellStyle name="20 % - Akzent2 3" xfId="243" xr:uid="{72BCC5F1-7136-42FE-B124-F0ACE54CD89C}"/>
    <cellStyle name="20 % - Akzent3" xfId="56" hidden="1" xr:uid="{C27A76FA-7E9C-4E10-A5AF-08C219EFA868}"/>
    <cellStyle name="20 % - Akzent3" xfId="1397" hidden="1" xr:uid="{24C08171-01EB-44D5-BF70-8B5C082C8FCB}"/>
    <cellStyle name="20 % - Akzent3" xfId="965" hidden="1" xr:uid="{D508CE07-7ACF-4FC3-89D4-6AC0B205677C}"/>
    <cellStyle name="20 % - Akzent3" xfId="903" hidden="1" xr:uid="{D551EB9B-1586-4B61-BA40-1EC9D8A92158}"/>
    <cellStyle name="20 % - Akzent3" xfId="1650" hidden="1" xr:uid="{7FC266BF-9BDF-4ECC-B8D5-3BA78D5BE69F}"/>
    <cellStyle name="20 % - Akzent3" xfId="1870" hidden="1" xr:uid="{33494DAE-F5A3-4121-A927-7C86AA0AA168}"/>
    <cellStyle name="20 % - Akzent3" xfId="2056" hidden="1" xr:uid="{64FC3BDB-E73B-4B4D-B9B4-1E93A8D849F7}"/>
    <cellStyle name="20 % - Akzent3" xfId="2663" hidden="1" xr:uid="{5A654D1C-3AEE-40E0-8E63-422B68F09913}"/>
    <cellStyle name="20 % - Akzent3" xfId="2184" hidden="1" xr:uid="{150945C7-4BAC-44CF-969B-863074F484DF}"/>
    <cellStyle name="20 % - Akzent3" xfId="1906" hidden="1" xr:uid="{F9901CA5-05C3-4C04-BF19-39A7644CED28}"/>
    <cellStyle name="20 % - Akzent3" xfId="3920" hidden="1" xr:uid="{96963C84-AFE7-4AA0-93FD-7133ACC3DA6D}"/>
    <cellStyle name="20 % - Akzent3" xfId="4444" hidden="1" xr:uid="{9E7E98AD-2751-44D8-AA86-446289C1105E}"/>
    <cellStyle name="20 % - Akzent3" xfId="1896" hidden="1" xr:uid="{3B6CBF05-6960-4253-8273-6BB9E1E9C8F4}"/>
    <cellStyle name="20 % - Akzent3" xfId="4392" hidden="1" xr:uid="{423B92F1-F955-494B-839B-A23AA1BF4F64}"/>
    <cellStyle name="20 % - Akzent3" xfId="4495" hidden="1" xr:uid="{DC6C90D0-F3B0-4A75-9A09-6004E06BC0E2}"/>
    <cellStyle name="20 % - Akzent3" xfId="4605" hidden="1" xr:uid="{D6532E8B-D4A9-44E1-A390-9D44548D5973}"/>
    <cellStyle name="20 % - Akzent3" xfId="4765" hidden="1" xr:uid="{A5A853F2-EA87-4F95-9478-30735093E7CD}"/>
    <cellStyle name="20 % - Akzent3" xfId="5384" hidden="1" xr:uid="{8186F375-77C0-4B26-B001-B7DDD7E69FC2}"/>
    <cellStyle name="20 % - Akzent3 2" xfId="375" xr:uid="{8BA6554F-8CFD-4164-A288-9998545F1E67}"/>
    <cellStyle name="20 % - Akzent3 3" xfId="244" xr:uid="{7AAAB643-86B0-4984-BB8C-A24913301F6C}"/>
    <cellStyle name="20 % - Akzent4" xfId="906" hidden="1" xr:uid="{5C751A74-5F92-4AD4-B1C3-ACD6CAE5CFB5}"/>
    <cellStyle name="20 % - Akzent4" xfId="1400" hidden="1" xr:uid="{D7A7CE3E-98EB-4B9B-826E-B7F576CE5792}"/>
    <cellStyle name="20 % - Akzent4" xfId="59" hidden="1" xr:uid="{A89BFD5D-55EA-43BF-9A8C-6B404439BE69}"/>
    <cellStyle name="20 % - Akzent4" xfId="1670" hidden="1" xr:uid="{849B187B-ADBC-41E7-A7E5-4C33B7E1C31A}"/>
    <cellStyle name="20 % - Akzent4" xfId="981" hidden="1" xr:uid="{92C276FE-9F83-4AFB-A132-7F734CE2A588}"/>
    <cellStyle name="20 % - Akzent4" xfId="1874" hidden="1" xr:uid="{B12A4D38-EA34-4F54-9ED5-A0062AEDE02F}"/>
    <cellStyle name="20 % - Akzent4" xfId="2132" hidden="1" xr:uid="{BA42D6E5-A92D-4415-9944-9C16B7BFC6B2}"/>
    <cellStyle name="20 % - Akzent4" xfId="2655" hidden="1" xr:uid="{595AE032-DEED-46CF-AE91-5908CEE893CB}"/>
    <cellStyle name="20 % - Akzent4" xfId="3083" hidden="1" xr:uid="{7D1A768F-74B2-4DB7-AA17-696EE79392EA}"/>
    <cellStyle name="20 % - Akzent4" xfId="3496" hidden="1" xr:uid="{0EC07B48-D23F-41EF-8DE8-2B89F6AC5BEB}"/>
    <cellStyle name="20 % - Akzent4" xfId="2182" hidden="1" xr:uid="{DACDF375-B857-44FC-90B4-D828EFEA0A75}"/>
    <cellStyle name="20 % - Akzent4" xfId="3490" hidden="1" xr:uid="{48C58868-12EA-4156-8353-3544D4EBCC80}"/>
    <cellStyle name="20 % - Akzent4" xfId="4307" hidden="1" xr:uid="{3E7A98DE-661C-4FC7-A099-4C2AB3979F4C}"/>
    <cellStyle name="20 % - Akzent4" xfId="3494" hidden="1" xr:uid="{9C7EB9F4-C712-4889-9203-B49586C2BF72}"/>
    <cellStyle name="20 % - Akzent4" xfId="4523" hidden="1" xr:uid="{6F4ECDF0-BFAB-450C-BD68-265311877D26}"/>
    <cellStyle name="20 % - Akzent4" xfId="4608" hidden="1" xr:uid="{1CB4EE6D-7EB6-4488-B183-F44EE9710082}"/>
    <cellStyle name="20 % - Akzent4" xfId="4837" hidden="1" xr:uid="{7D3DCF83-0350-419C-AE81-61B1C4232289}"/>
    <cellStyle name="20 % - Akzent4" xfId="4827" hidden="1" xr:uid="{F68A0598-2FFE-4CCB-B821-B8CA5415D2F6}"/>
    <cellStyle name="20 % - Akzent4 2" xfId="376" xr:uid="{736169A7-F9F5-4D56-B800-29FDC2F8A4F5}"/>
    <cellStyle name="20 % - Akzent4 3" xfId="245" xr:uid="{CFDBA1EE-01B8-49EC-9542-2DACD8A3FBF3}"/>
    <cellStyle name="20 % - Akzent5" xfId="1616" hidden="1" xr:uid="{4B058411-B134-489E-95B0-37BBCEF4A77B}"/>
    <cellStyle name="20 % - Akzent5" xfId="909" hidden="1" xr:uid="{8C8B9AE8-1980-4AE1-A86D-2917FC8C24B9}"/>
    <cellStyle name="20 % - Akzent5" xfId="988" hidden="1" xr:uid="{3E5490D8-496B-473C-B535-9C671E63ACC8}"/>
    <cellStyle name="20 % - Akzent5" xfId="1403" hidden="1" xr:uid="{4EA89299-1FEE-4A54-8CCE-CCDEDD870803}"/>
    <cellStyle name="20 % - Akzent5" xfId="62" hidden="1" xr:uid="{BAF91388-AED1-454A-9281-509DD4251F2D}"/>
    <cellStyle name="20 % - Akzent5" xfId="1877" hidden="1" xr:uid="{44B2924E-BAEE-43CE-A4B1-FB46FB68F05C}"/>
    <cellStyle name="20 % - Akzent5" xfId="2098" hidden="1" xr:uid="{0B9DB402-9CE7-44F5-9897-F7184285505B}"/>
    <cellStyle name="20 % - Akzent5" xfId="2408" hidden="1" xr:uid="{9DC40CDD-09CB-49BB-819E-33C8429C4D00}"/>
    <cellStyle name="20 % - Akzent5" xfId="3081" hidden="1" xr:uid="{93901671-7A17-4921-8DF2-C2F80FB06865}"/>
    <cellStyle name="20 % - Akzent5" xfId="1880" hidden="1" xr:uid="{681B3184-114A-4BB7-9CDE-4DE2833414FE}"/>
    <cellStyle name="20 % - Akzent5" xfId="2623" hidden="1" xr:uid="{3D5245CA-ADD6-47EB-B38E-75B4E5B4EA94}"/>
    <cellStyle name="20 % - Akzent5" xfId="2173" hidden="1" xr:uid="{E9A84FC9-29EA-4893-A987-5FE01D545BA2}"/>
    <cellStyle name="20 % - Akzent5" xfId="4356" hidden="1" xr:uid="{8D2D854C-0C5A-4CEA-A29A-BDE01E19B830}"/>
    <cellStyle name="20 % - Akzent5" xfId="4469" hidden="1" xr:uid="{F92F9681-4F1C-40AE-B902-B8420EBD1BF1}"/>
    <cellStyle name="20 % - Akzent5" xfId="2608" hidden="1" xr:uid="{3B7E2EC5-B5B1-482F-9A5C-1879E2DA9AB3}"/>
    <cellStyle name="20 % - Akzent5" xfId="4611" hidden="1" xr:uid="{CD0130E3-34D1-4430-9D2C-8DCDB45561B5}"/>
    <cellStyle name="20 % - Akzent5" xfId="4875" hidden="1" xr:uid="{4AF081A8-330A-4DF4-A9E0-1AD25B38131B}"/>
    <cellStyle name="20 % - Akzent5" xfId="5259" hidden="1" xr:uid="{72E8AC89-EFBE-4578-A0DB-0022CA3D27AD}"/>
    <cellStyle name="20 % - Akzent5 2" xfId="377" xr:uid="{FE988F92-8B2C-48C0-AA2B-E3D42B954A3C}"/>
    <cellStyle name="20 % - Akzent5 3" xfId="246" xr:uid="{9D6EF741-6748-47A1-8CD4-69B83540045C}"/>
    <cellStyle name="20 % - Akzent6" xfId="65" hidden="1" xr:uid="{9C0E854E-32DF-4B95-96FB-9BDDB5BF02A7}"/>
    <cellStyle name="20 % - Akzent6" xfId="1406" hidden="1" xr:uid="{6F2E4FAA-A4AC-473D-BE45-50BD11447781}"/>
    <cellStyle name="20 % - Akzent6" xfId="987" hidden="1" xr:uid="{CBC7FD8A-87FF-4A60-9AC1-31C60BCF29B4}"/>
    <cellStyle name="20 % - Akzent6" xfId="912" hidden="1" xr:uid="{DB317E85-BE48-4BA7-BD0A-D21D0E129D90}"/>
    <cellStyle name="20 % - Akzent6" xfId="1626" hidden="1" xr:uid="{643A797F-8900-46EA-BDF3-6A943271829E}"/>
    <cellStyle name="20 % - Akzent6" xfId="1881" hidden="1" xr:uid="{15E7A746-A319-439B-9F98-E720999D25C0}"/>
    <cellStyle name="20 % - Akzent6" xfId="2196" hidden="1" xr:uid="{2236337C-C87C-4AE8-970A-0246BC6CDF91}"/>
    <cellStyle name="20 % - Akzent6" xfId="1909" hidden="1" xr:uid="{749919CF-E353-4B6F-934E-B1882B5931E0}"/>
    <cellStyle name="20 % - Akzent6" xfId="1901" hidden="1" xr:uid="{64791840-EFBB-4D63-8E4A-99868F830327}"/>
    <cellStyle name="20 % - Akzent6" xfId="2195" hidden="1" xr:uid="{0CCBA58E-4966-4D72-B154-B512FAC59541}"/>
    <cellStyle name="20 % - Akzent6" xfId="3065" hidden="1" xr:uid="{6CEA8967-2B22-465E-8D16-44C429CFE545}"/>
    <cellStyle name="20 % - Akzent6" xfId="4403" hidden="1" xr:uid="{1C21F9CD-3F88-4B75-9657-1E31EBF6FD0C}"/>
    <cellStyle name="20 % - Akzent6" xfId="4385" hidden="1" xr:uid="{D783BEEF-C074-4F0D-9408-6C8A0E59DA04}"/>
    <cellStyle name="20 % - Akzent6" xfId="4460" hidden="1" xr:uid="{9BC0B8CC-F52F-4BC3-BD86-6CA5C85558A0}"/>
    <cellStyle name="20 % - Akzent6" xfId="4465" hidden="1" xr:uid="{B8584B5C-4FB8-42AA-8B68-D89FC925217E}"/>
    <cellStyle name="20 % - Akzent6" xfId="4614" hidden="1" xr:uid="{68A7E26F-B96F-4383-9D0D-D794AF3BC038}"/>
    <cellStyle name="20 % - Akzent6" xfId="4874" hidden="1" xr:uid="{AAD0A044-F852-4DF8-BC29-E6907E9CE5CE}"/>
    <cellStyle name="20 % - Akzent6" xfId="5338" hidden="1" xr:uid="{D5988917-5058-40F4-82BA-B8195DB0E314}"/>
    <cellStyle name="20 % - Akzent6 2" xfId="378" xr:uid="{5850BF70-A2EC-4AB5-95C4-B74DA708EC03}"/>
    <cellStyle name="20 % - Akzent6 3" xfId="247" xr:uid="{A69A9D41-3CEC-4757-885B-E7827CF64CE4}"/>
    <cellStyle name="20% - Accent1 2" xfId="79" xr:uid="{4193717C-FFEC-4794-B249-323D150DEAAA}"/>
    <cellStyle name="20% - Accent1 3" xfId="199" xr:uid="{C9BAA905-758C-402F-815B-FCB0EA621BD3}"/>
    <cellStyle name="20% - Accent2 2" xfId="80" xr:uid="{3367C226-7B3A-4974-8F7E-518C6BCCFE09}"/>
    <cellStyle name="20% - Accent2 3" xfId="200" xr:uid="{36A78BAE-F5B7-4734-83A0-73A323ED0297}"/>
    <cellStyle name="20% - Accent3 2" xfId="81" xr:uid="{4751DC7A-BC27-43A2-A539-96B6D33685C7}"/>
    <cellStyle name="20% - Accent3 3" xfId="201" xr:uid="{0673E65C-C905-4031-8715-EFAEEB4105D7}"/>
    <cellStyle name="20% - Accent4 2" xfId="82" xr:uid="{1E7667DA-48AB-4E15-9321-A6A4761322F5}"/>
    <cellStyle name="20% - Accent4 3" xfId="202" xr:uid="{3E488966-8BE0-4181-8362-093FE6F82FB4}"/>
    <cellStyle name="20% - Accent5 2" xfId="83" xr:uid="{BE21D9F4-8FCB-43B7-94B9-5249D0C6B312}"/>
    <cellStyle name="20% - Accent5 3" xfId="203" xr:uid="{DC1A1614-93E3-4297-94ED-87DE3966017A}"/>
    <cellStyle name="20% - Accent6 2" xfId="84" xr:uid="{D96070ED-B653-4242-A32D-79B8B2727994}"/>
    <cellStyle name="20% - Accent6 3" xfId="204" xr:uid="{E843DBC9-5725-4D85-957B-433B18F3384A}"/>
    <cellStyle name="2x indented GHG Textfiels" xfId="9" xr:uid="{F7089D7B-3400-4E54-98E4-547CC2BEF91B}"/>
    <cellStyle name="2x indented GHG Textfiels 2" xfId="85" xr:uid="{CCF6551B-D6A7-4865-B7D6-4B5D864DFEC0}"/>
    <cellStyle name="2x indented GHG Textfiels 2 2" xfId="86" xr:uid="{73E2564E-CF61-409B-8CE5-AFEB2E3DE202}"/>
    <cellStyle name="2x indented GHG Textfiels 3" xfId="87" xr:uid="{F1C25705-7861-488C-92E9-B89B38F602C0}"/>
    <cellStyle name="2x indented GHG Textfiels 3 2" xfId="400" xr:uid="{C1F5881A-58D9-4F1B-BD47-1B7547073139}"/>
    <cellStyle name="2x indented GHG Textfiels 3 2 2" xfId="530" xr:uid="{D8876BF9-2D4D-4834-9234-5BDB78A13398}"/>
    <cellStyle name="2x indented GHG Textfiels 3 2 2 10" xfId="4117" xr:uid="{0DFE4F13-0D43-4A73-8FCA-F20CF37942D5}"/>
    <cellStyle name="2x indented GHG Textfiels 3 2 2 11" xfId="4902" xr:uid="{758CC819-D436-4275-BA72-2CE328FB99F3}"/>
    <cellStyle name="2x indented GHG Textfiels 3 2 2 12" xfId="5350" xr:uid="{939A6DD4-BFB6-452E-A6B3-5E2DD3D9C5F8}"/>
    <cellStyle name="2x indented GHG Textfiels 3 2 2 2" xfId="745" xr:uid="{04BDF264-ACC0-49B0-96B5-52A5AA632BE7}"/>
    <cellStyle name="2x indented GHG Textfiels 3 2 2 2 10" xfId="5111" xr:uid="{D86CFE6E-CF80-4220-B84F-363FF15C08D6}"/>
    <cellStyle name="2x indented GHG Textfiels 3 2 2 2 11" xfId="4854" xr:uid="{FA3B5C9A-7ECB-4157-9583-F67F33FB786A}"/>
    <cellStyle name="2x indented GHG Textfiels 3 2 2 2 2" xfId="1219" xr:uid="{AFBCC0A0-C51E-4E7C-86C3-CA5214DFC989}"/>
    <cellStyle name="2x indented GHG Textfiels 3 2 2 2 3" xfId="1434" xr:uid="{646DDDA3-F706-4F6D-A9E3-BFC07DDE008C}"/>
    <cellStyle name="2x indented GHG Textfiels 3 2 2 2 4" xfId="2449" xr:uid="{57663356-835D-49DC-8832-3EB2B8DC0933}"/>
    <cellStyle name="2x indented GHG Textfiels 3 2 2 2 5" xfId="2903" xr:uid="{BDFF2637-9FD0-4402-AB63-579F2A04705E}"/>
    <cellStyle name="2x indented GHG Textfiels 3 2 2 2 6" xfId="3321" xr:uid="{E1AE7AC2-2BBA-4E2F-8DCF-3E0C6CE1EB2B}"/>
    <cellStyle name="2x indented GHG Textfiels 3 2 2 2 7" xfId="3735" xr:uid="{E5D5C1A6-6C83-4E09-8A31-8B75ECEC4895}"/>
    <cellStyle name="2x indented GHG Textfiels 3 2 2 2 8" xfId="4158" xr:uid="{E37CD3A1-5D91-445B-B869-D75F958A4B09}"/>
    <cellStyle name="2x indented GHG Textfiels 3 2 2 2 9" xfId="4334" xr:uid="{8EF0D228-C161-41F7-ABAC-218B68CFD3F8}"/>
    <cellStyle name="2x indented GHG Textfiels 3 2 2 3" xfId="1013" xr:uid="{5875B3B2-D470-469F-A45B-074D534063F7}"/>
    <cellStyle name="2x indented GHG Textfiels 3 2 2 4" xfId="1660" xr:uid="{436315F3-75CC-4577-9116-E04845517F8A}"/>
    <cellStyle name="2x indented GHG Textfiels 3 2 2 5" xfId="2236" xr:uid="{2EB6A6AA-A21D-4DC8-A57C-5F278D2C70E4}"/>
    <cellStyle name="2x indented GHG Textfiels 3 2 2 6" xfId="2690" xr:uid="{A6A4F3CE-EC4D-4C2F-9D9B-4177CF1D9236}"/>
    <cellStyle name="2x indented GHG Textfiels 3 2 2 7" xfId="3107" xr:uid="{62037F67-35AF-4B68-80A8-F260AA8B43C7}"/>
    <cellStyle name="2x indented GHG Textfiels 3 2 2 8" xfId="3520" xr:uid="{7B96C717-0A84-4E23-AB70-950F65136A73}"/>
    <cellStyle name="2x indented GHG Textfiels 3 2 2 9" xfId="3945" xr:uid="{54E3B60E-70EB-4F27-B3CF-0E2C8ECB4159}"/>
    <cellStyle name="2x indented GHG Textfiels 3 2 3" xfId="708" xr:uid="{701C347E-6889-48D3-B21D-28CBDD86F52B}"/>
    <cellStyle name="2x indented GHG Textfiels 3 2 3 10" xfId="5074" xr:uid="{4D1ACA8B-AAA3-4A67-8C82-AC03697A9646}"/>
    <cellStyle name="2x indented GHG Textfiels 3 2 3 11" xfId="4870" xr:uid="{85F566FF-8F1D-41DE-BC01-0C1AF304B31C}"/>
    <cellStyle name="2x indented GHG Textfiels 3 2 3 2" xfId="1182" xr:uid="{02AD6ADA-C412-4F31-B66D-62EE26B7A28E}"/>
    <cellStyle name="2x indented GHG Textfiels 3 2 3 3" xfId="1472" xr:uid="{93E584BA-BD6F-4A25-B5AF-125E4C1F9D53}"/>
    <cellStyle name="2x indented GHG Textfiels 3 2 3 4" xfId="2412" xr:uid="{9E4CD8BA-7AA3-4CC9-8907-0FFAF3DACA68}"/>
    <cellStyle name="2x indented GHG Textfiels 3 2 3 5" xfId="2866" xr:uid="{CFCB1787-07AD-4BD1-BE7E-12107407C5A4}"/>
    <cellStyle name="2x indented GHG Textfiels 3 2 3 6" xfId="3284" xr:uid="{46807A98-84B2-47AE-86D3-4CAB34217D98}"/>
    <cellStyle name="2x indented GHG Textfiels 3 2 3 7" xfId="3698" xr:uid="{7DD4B3EF-57E2-4F59-86B0-49CCD980B8A7}"/>
    <cellStyle name="2x indented GHG Textfiels 3 2 3 8" xfId="4121" xr:uid="{AEE6C1C0-E4BD-42EF-9203-48081C3CA122}"/>
    <cellStyle name="2x indented GHG Textfiels 3 2 3 9" xfId="3908" xr:uid="{2843B46A-8BB2-4475-B79F-E3CE639A3BEA}"/>
    <cellStyle name="2x indented GHG Textfiels 3 3" xfId="348" xr:uid="{69BB0C6B-D3B0-4FB0-B883-650C5371FDB3}"/>
    <cellStyle name="2x indented GHG Textfiels 3 3 10" xfId="1945" xr:uid="{D903F4EC-B75E-4502-AF49-A3FB0DCB9ED3}"/>
    <cellStyle name="2x indented GHG Textfiels 3 3 11" xfId="1824" xr:uid="{832A2CD5-8EAF-41CB-873D-173715D93B7A}"/>
    <cellStyle name="2x indented GHG Textfiels 3 3 12" xfId="1916" xr:uid="{8136C355-FA86-4759-B748-54B179C8CF2D}"/>
    <cellStyle name="2x indented GHG Textfiels 3 3 13" xfId="4789" xr:uid="{EFD73046-EF4D-4711-8AB0-10DB0105D58B}"/>
    <cellStyle name="2x indented GHG Textfiels 3 3 14" xfId="5420" xr:uid="{C32B720B-7F5D-4081-B239-9480D05F0CCE}"/>
    <cellStyle name="2x indented GHG Textfiels 3 3 2" xfId="635" xr:uid="{AF4E6AB3-3048-4EB7-AEF9-B5F81380EC44}"/>
    <cellStyle name="2x indented GHG Textfiels 3 3 2 10" xfId="4359" xr:uid="{7562C121-EC2D-4975-AB17-F4FD58D723B0}"/>
    <cellStyle name="2x indented GHG Textfiels 3 3 2 11" xfId="5007" xr:uid="{4033F38A-8D91-4DFE-9004-7F606D2B7944}"/>
    <cellStyle name="2x indented GHG Textfiels 3 3 2 12" xfId="4710" xr:uid="{6E23AAA5-3FD9-4E93-B6B1-3122FD3E20D0}"/>
    <cellStyle name="2x indented GHG Textfiels 3 3 2 2" xfId="850" xr:uid="{F87089C7-60FC-403E-A939-C56BA2BC3A95}"/>
    <cellStyle name="2x indented GHG Textfiels 3 3 2 2 10" xfId="5216" xr:uid="{4939C11E-9133-4548-8BCD-3C1E86194B86}"/>
    <cellStyle name="2x indented GHG Textfiels 3 3 2 2 11" xfId="4834" xr:uid="{2EAB7A09-C2B9-4F11-AC7F-2A079D2BA479}"/>
    <cellStyle name="2x indented GHG Textfiels 3 3 2 2 2" xfId="1324" xr:uid="{A8751235-AB7F-40C4-AA7D-43284C17EBFC}"/>
    <cellStyle name="2x indented GHG Textfiels 3 3 2 2 3" xfId="1773" xr:uid="{FB1E4E39-9D8A-4561-8ADD-877C85142DAB}"/>
    <cellStyle name="2x indented GHG Textfiels 3 3 2 2 4" xfId="2554" xr:uid="{B7290157-0C4D-401D-AB6F-E3D50F8BAB55}"/>
    <cellStyle name="2x indented GHG Textfiels 3 3 2 2 5" xfId="3008" xr:uid="{29B6036C-507B-4AC1-9896-063F7A426301}"/>
    <cellStyle name="2x indented GHG Textfiels 3 3 2 2 6" xfId="3426" xr:uid="{34CAE63A-4770-4DEA-A492-379000DB5893}"/>
    <cellStyle name="2x indented GHG Textfiels 3 3 2 2 7" xfId="3840" xr:uid="{9EA48B92-32D9-4F3C-B9F9-CA32FBAE55F6}"/>
    <cellStyle name="2x indented GHG Textfiels 3 3 2 2 8" xfId="4263" xr:uid="{D31DFB81-A261-4660-B07F-9EC052A4D7D3}"/>
    <cellStyle name="2x indented GHG Textfiels 3 3 2 2 9" xfId="3469" xr:uid="{50F5BB92-B767-4D8B-A982-E9C0D191C790}"/>
    <cellStyle name="2x indented GHG Textfiels 3 3 2 3" xfId="1118" xr:uid="{00EA6642-7FA3-4B26-B99D-8D1D2CC98DAB}"/>
    <cellStyle name="2x indented GHG Textfiels 3 3 2 4" xfId="1745" xr:uid="{20052DA6-32FF-4430-AD19-873C30C48E27}"/>
    <cellStyle name="2x indented GHG Textfiels 3 3 2 5" xfId="2341" xr:uid="{49184ABD-CF5A-43C2-A7E0-EE6F6268002A}"/>
    <cellStyle name="2x indented GHG Textfiels 3 3 2 6" xfId="2795" xr:uid="{A0165030-83FB-4245-BEBA-CFD8E4E57B95}"/>
    <cellStyle name="2x indented GHG Textfiels 3 3 2 7" xfId="3212" xr:uid="{545A1084-C132-48AB-91C7-2CA45BA9312C}"/>
    <cellStyle name="2x indented GHG Textfiels 3 3 2 8" xfId="3625" xr:uid="{B6E9B1DA-569D-40D8-B7B3-FDB9CBDD1314}"/>
    <cellStyle name="2x indented GHG Textfiels 3 3 2 9" xfId="4050" xr:uid="{72313D13-A26A-44E3-9530-A138A2E5E015}"/>
    <cellStyle name="2x indented GHG Textfiels 3 3 3" xfId="637" xr:uid="{B882AD9F-4B0E-4D2C-9A9A-5583AF43EDE2}"/>
    <cellStyle name="2x indented GHG Textfiels 3 3 3 10" xfId="1990" xr:uid="{4B3BEF2D-0D8A-4BDC-9BB6-A00969FF20C8}"/>
    <cellStyle name="2x indented GHG Textfiels 3 3 3 11" xfId="5009" xr:uid="{50AAC204-9C47-4A20-8F34-DAD38EE53025}"/>
    <cellStyle name="2x indented GHG Textfiels 3 3 3 12" xfId="5355" xr:uid="{E52F7A5E-AD68-44FC-9EC7-0172A3832E79}"/>
    <cellStyle name="2x indented GHG Textfiels 3 3 3 2" xfId="852" xr:uid="{979DDFEA-D618-4817-8F1C-6DE0B5D1DAC3}"/>
    <cellStyle name="2x indented GHG Textfiels 3 3 3 2 10" xfId="5218" xr:uid="{96BFC7A2-FAEA-43EA-92DD-E08378DA1755}"/>
    <cellStyle name="2x indented GHG Textfiels 3 3 3 2 11" xfId="4582" xr:uid="{42CFE3A0-207B-4D21-AFE3-AE9743CA0876}"/>
    <cellStyle name="2x indented GHG Textfiels 3 3 3 2 2" xfId="1326" xr:uid="{3AC65A83-D817-4E70-8F7E-0ABEC31C1BE8}"/>
    <cellStyle name="2x indented GHG Textfiels 3 3 3 2 3" xfId="1775" xr:uid="{45A58CE4-67DA-43FB-8117-4C2804D70100}"/>
    <cellStyle name="2x indented GHG Textfiels 3 3 3 2 4" xfId="2556" xr:uid="{F6AEC3BB-269C-477A-B7D3-BF8974F3F842}"/>
    <cellStyle name="2x indented GHG Textfiels 3 3 3 2 5" xfId="3010" xr:uid="{B495622E-76C4-49ED-88E5-9CD6C6D91FDA}"/>
    <cellStyle name="2x indented GHG Textfiels 3 3 3 2 6" xfId="3428" xr:uid="{B89F5365-C8B8-4992-A216-7EC4DC1118EB}"/>
    <cellStyle name="2x indented GHG Textfiels 3 3 3 2 7" xfId="3842" xr:uid="{8F97B0E0-6EAD-410F-931F-CDBCA5749DC7}"/>
    <cellStyle name="2x indented GHG Textfiels 3 3 3 2 8" xfId="4265" xr:uid="{20B32C1A-90F7-4A24-81A0-4BC378C5A83F}"/>
    <cellStyle name="2x indented GHG Textfiels 3 3 3 2 9" xfId="4390" xr:uid="{1B169456-20D6-467E-B31B-547DF3EA1D38}"/>
    <cellStyle name="2x indented GHG Textfiels 3 3 3 3" xfId="1120" xr:uid="{3B4631F1-1885-4A3A-88BE-47052D74B0A4}"/>
    <cellStyle name="2x indented GHG Textfiels 3 3 3 4" xfId="1576" xr:uid="{5F35E4F0-4B86-4E87-AA07-5BE247D234B6}"/>
    <cellStyle name="2x indented GHG Textfiels 3 3 3 5" xfId="2343" xr:uid="{8935C9C3-2AA7-4F53-B343-76EAEE6FD77F}"/>
    <cellStyle name="2x indented GHG Textfiels 3 3 3 6" xfId="2797" xr:uid="{23066262-C8A4-4915-9FCD-53D331EBB810}"/>
    <cellStyle name="2x indented GHG Textfiels 3 3 3 7" xfId="3214" xr:uid="{CB3C901F-C12B-4034-B6EE-E2AD1656D428}"/>
    <cellStyle name="2x indented GHG Textfiels 3 3 3 8" xfId="3627" xr:uid="{136CF7A2-E566-4927-9740-238918692BE2}"/>
    <cellStyle name="2x indented GHG Textfiels 3 3 3 9" xfId="4052" xr:uid="{903D7DFD-8250-42E7-9304-0323DBA90F89}"/>
    <cellStyle name="2x indented GHG Textfiels 3 3 4" xfId="533" xr:uid="{EA5FAD9A-31EB-4955-9C1F-AC47E7F333B7}"/>
    <cellStyle name="2x indented GHG Textfiels 3 3 4 10" xfId="1988" xr:uid="{57D6F80A-B13E-4954-9DFA-B80EEE933F98}"/>
    <cellStyle name="2x indented GHG Textfiels 3 3 4 11" xfId="4905" xr:uid="{B141EA42-702B-4A4B-A19A-6D3992B0D6D5}"/>
    <cellStyle name="2x indented GHG Textfiels 3 3 4 12" xfId="5367" xr:uid="{92F35115-3863-46C7-A634-5FB93A6710A9}"/>
    <cellStyle name="2x indented GHG Textfiels 3 3 4 2" xfId="748" xr:uid="{F4E1E718-131E-44F2-8B84-A54C06AE7149}"/>
    <cellStyle name="2x indented GHG Textfiels 3 3 4 2 10" xfId="5114" xr:uid="{D94BCC86-1CBD-412B-88C7-1E492FD660BA}"/>
    <cellStyle name="2x indented GHG Textfiels 3 3 4 2 11" xfId="4751" xr:uid="{05FE1BB8-FC41-4F2E-B2DB-599B20FBEF0B}"/>
    <cellStyle name="2x indented GHG Textfiels 3 3 4 2 2" xfId="1222" xr:uid="{E310CF6B-655F-4DA4-8E8F-F499A598836A}"/>
    <cellStyle name="2x indented GHG Textfiels 3 3 4 2 3" xfId="1515" xr:uid="{49DE6E74-2734-4DCC-BAD7-7F6226E80AC5}"/>
    <cellStyle name="2x indented GHG Textfiels 3 3 4 2 4" xfId="2452" xr:uid="{D8985CFF-DF3D-4113-8337-4225A89A4B14}"/>
    <cellStyle name="2x indented GHG Textfiels 3 3 4 2 5" xfId="2906" xr:uid="{693F4982-2B41-4DBC-9039-788FA000E81D}"/>
    <cellStyle name="2x indented GHG Textfiels 3 3 4 2 6" xfId="3324" xr:uid="{26F4081A-F565-4E43-993F-D09A7C463245}"/>
    <cellStyle name="2x indented GHG Textfiels 3 3 4 2 7" xfId="3738" xr:uid="{8DA27F73-4AA7-43EF-BEAC-5C9C8A1E9027}"/>
    <cellStyle name="2x indented GHG Textfiels 3 3 4 2 8" xfId="4161" xr:uid="{8D29BDF3-687F-4A8F-80F7-635DCF5D8558}"/>
    <cellStyle name="2x indented GHG Textfiels 3 3 4 2 9" xfId="4481" xr:uid="{CD2557D5-4A48-4289-86C1-B920F660627F}"/>
    <cellStyle name="2x indented GHG Textfiels 3 3 4 3" xfId="1016" xr:uid="{C063B459-1749-4B08-A9A5-228C539BFC71}"/>
    <cellStyle name="2x indented GHG Textfiels 3 3 4 4" xfId="1677" xr:uid="{0A87A948-29CE-499B-B305-400215ABFE32}"/>
    <cellStyle name="2x indented GHG Textfiels 3 3 4 5" xfId="2239" xr:uid="{A7591ECC-95A9-4A40-A9F3-F276553A4680}"/>
    <cellStyle name="2x indented GHG Textfiels 3 3 4 6" xfId="2693" xr:uid="{12721380-537C-4581-AF3D-2CE91462AD2B}"/>
    <cellStyle name="2x indented GHG Textfiels 3 3 4 7" xfId="3110" xr:uid="{81BE2722-8564-43D9-ADC3-85C8C6F1DFA5}"/>
    <cellStyle name="2x indented GHG Textfiels 3 3 4 8" xfId="3523" xr:uid="{9A14C531-71EE-47CB-839A-DCFB7191044E}"/>
    <cellStyle name="2x indented GHG Textfiels 3 3 4 9" xfId="3948" xr:uid="{25CC064B-7FC2-4C08-A9DC-C476995C0A63}"/>
    <cellStyle name="2x indented GHG Textfiels 3 3 5" xfId="973" xr:uid="{9D812214-4BCF-4261-9DAA-8A1151378911}"/>
    <cellStyle name="2x indented GHG Textfiels 3 3 6" xfId="1668" xr:uid="{131AC1A8-8956-474A-9BEA-7AA4BA0FA8A7}"/>
    <cellStyle name="2x indented GHG Textfiels 3 3 7" xfId="2092" xr:uid="{F2F8D5FA-5389-45CE-8541-FFC97193B401}"/>
    <cellStyle name="2x indented GHG Textfiels 3 3 8" xfId="1900" xr:uid="{446EE86E-DA89-42CC-85D3-2D2AAF975341}"/>
    <cellStyle name="2x indented GHG Textfiels 3 3 9" xfId="1957" xr:uid="{60B7287A-0A10-4B2B-A534-D18347914048}"/>
    <cellStyle name="40 % - Akzent1" xfId="898" hidden="1" xr:uid="{54931308-1325-490A-B3FC-CA135017E7D0}"/>
    <cellStyle name="40 % - Akzent1" xfId="1392" hidden="1" xr:uid="{361C22AB-C54F-41B2-9DA2-F2E621107C08}"/>
    <cellStyle name="40 % - Akzent1" xfId="51" hidden="1" xr:uid="{1116FDB7-DEC2-4E6A-95A9-2E1321CB8E91}"/>
    <cellStyle name="40 % - Akzent1" xfId="1688" hidden="1" xr:uid="{F9B9668A-2038-4FE3-B3EF-22555C631042}"/>
    <cellStyle name="40 % - Akzent1" xfId="963" hidden="1" xr:uid="{A8D4DD3E-F870-4E99-866B-9DEEC184A63A}"/>
    <cellStyle name="40 % - Akzent1" xfId="1864" hidden="1" xr:uid="{92A25E6A-3233-41DA-9E38-9E194053A217}"/>
    <cellStyle name="40 % - Akzent1" xfId="2201" hidden="1" xr:uid="{7824536F-D940-44AE-9EEC-09D298933237}"/>
    <cellStyle name="40 % - Akzent1" xfId="2666" hidden="1" xr:uid="{29D432B7-4735-4483-A210-8ADC744556A2}"/>
    <cellStyle name="40 % - Akzent1" xfId="3085" hidden="1" xr:uid="{73BCD663-2181-4646-9147-01F518AEB56E}"/>
    <cellStyle name="40 % - Akzent1" xfId="2108" hidden="1" xr:uid="{8996377C-5E12-4BE6-AEBA-62A0B17644C1}"/>
    <cellStyle name="40 % - Akzent1" xfId="2095" hidden="1" xr:uid="{4F3E9D60-521C-42F7-B8A1-8B4E7265D6F5}"/>
    <cellStyle name="40 % - Akzent1" xfId="2633" hidden="1" xr:uid="{1E63E102-CD0D-480A-8A95-A9AAEF3AEE58}"/>
    <cellStyle name="40 % - Akzent1" xfId="2085" hidden="1" xr:uid="{99DD2E99-6642-4CB3-957E-EE828CF43C21}"/>
    <cellStyle name="40 % - Akzent1" xfId="4314" hidden="1" xr:uid="{942503F8-58EE-4315-A49D-58641557DBC2}"/>
    <cellStyle name="40 % - Akzent1" xfId="2086" hidden="1" xr:uid="{549C107E-CDDA-41C5-993F-0EE7A26CBAE9}"/>
    <cellStyle name="40 % - Akzent1" xfId="4600" hidden="1" xr:uid="{FA449476-5A51-4626-92DC-860A76DE9E61}"/>
    <cellStyle name="40 % - Akzent1" xfId="4762" hidden="1" xr:uid="{16FEC871-DBFF-4C97-A40D-71BCA0FFBAE8}"/>
    <cellStyle name="40 % - Akzent1" xfId="4678" hidden="1" xr:uid="{AB497C63-F53C-44CB-9729-4606072DD9A0}"/>
    <cellStyle name="40 % - Akzent1 2" xfId="379" xr:uid="{8F1AB9A1-CC89-4947-A758-850A6CBB969C}"/>
    <cellStyle name="40 % - Akzent1 3" xfId="248" xr:uid="{A9FBB85D-0636-4B79-860B-785CBBFFCB1A}"/>
    <cellStyle name="40 % - Akzent2" xfId="901" hidden="1" xr:uid="{F0FC1111-89A4-48D5-A1FC-958CFF3809F7}"/>
    <cellStyle name="40 % - Akzent2" xfId="1395" hidden="1" xr:uid="{B46837C1-5C12-462E-B760-0D59F3DEF737}"/>
    <cellStyle name="40 % - Akzent2" xfId="54" hidden="1" xr:uid="{BB7658DE-5FC8-44DA-8DD0-864E1D7978A5}"/>
    <cellStyle name="40 % - Akzent2" xfId="1470" hidden="1" xr:uid="{82CD9350-D756-4AB8-98AE-47A0F10199C6}"/>
    <cellStyle name="40 % - Akzent2" xfId="991" hidden="1" xr:uid="{CCCAB30D-7BBE-4D58-B7E2-B1543F40DA0C}"/>
    <cellStyle name="40 % - Akzent2" xfId="1867" hidden="1" xr:uid="{846748F3-D131-44FE-8AD9-A68EFC68A748}"/>
    <cellStyle name="40 % - Akzent2" xfId="2203" hidden="1" xr:uid="{5A9F8A00-C475-4BCA-AFD6-CA14905A6276}"/>
    <cellStyle name="40 % - Akzent2" xfId="2664" hidden="1" xr:uid="{21B0A088-C302-41AB-BB4C-1CC2AC0B3BE7}"/>
    <cellStyle name="40 % - Akzent2" xfId="2147" hidden="1" xr:uid="{00E558B4-D4CB-426C-B99A-C77A0BA8959D}"/>
    <cellStyle name="40 % - Akzent2" xfId="2644" hidden="1" xr:uid="{926F6540-38C2-47A1-94A3-E9E6A539F7C5}"/>
    <cellStyle name="40 % - Akzent2" xfId="2624" hidden="1" xr:uid="{2337AB67-89A3-44F4-AEDF-592839C75DB0}"/>
    <cellStyle name="40 % - Akzent2" xfId="1981" hidden="1" xr:uid="{6B0729D2-672E-4CE1-B26C-E955A5327A5C}"/>
    <cellStyle name="40 % - Akzent2" xfId="4332" hidden="1" xr:uid="{335B65A1-4B24-496B-83F1-5E007AA32F02}"/>
    <cellStyle name="40 % - Akzent2" xfId="3470" hidden="1" xr:uid="{542EFF13-4699-4AD2-9F8B-6524E826A075}"/>
    <cellStyle name="40 % - Akzent2" xfId="1833" hidden="1" xr:uid="{33837E0E-99D0-422D-8DCD-6D24AEDEA229}"/>
    <cellStyle name="40 % - Akzent2" xfId="4603" hidden="1" xr:uid="{DB510D02-802B-48D3-AEEF-864AFECFA973}"/>
    <cellStyle name="40 % - Akzent2" xfId="4878" hidden="1" xr:uid="{D568B567-C708-4F01-A11F-26D7877D5F35}"/>
    <cellStyle name="40 % - Akzent2" xfId="4684" hidden="1" xr:uid="{C9DAE120-3DA6-4A07-AFA8-E3DB7DE8F578}"/>
    <cellStyle name="40 % - Akzent2 2" xfId="380" xr:uid="{CAA25B9B-C8CC-40A0-9389-8BD1DA02B807}"/>
    <cellStyle name="40 % - Akzent2 3" xfId="249" xr:uid="{AE7A220D-FAE0-4FFF-9EA4-425BFB48CD15}"/>
    <cellStyle name="40 % - Akzent3" xfId="904" hidden="1" xr:uid="{34736E43-686E-4033-86BA-33676ABF98DF}"/>
    <cellStyle name="40 % - Akzent3" xfId="1398" hidden="1" xr:uid="{E867C0AE-138D-4673-AEEE-CC895ED717BA}"/>
    <cellStyle name="40 % - Akzent3" xfId="57" hidden="1" xr:uid="{753232A9-9212-4054-B79B-6D0D98E69460}"/>
    <cellStyle name="40 % - Akzent3" xfId="1717" hidden="1" xr:uid="{B4D0CF0B-5265-4F90-B0A8-206DB36D7AC2}"/>
    <cellStyle name="40 % - Akzent3" xfId="962" hidden="1" xr:uid="{A107E949-65D5-4F38-9D50-062BA5610472}"/>
    <cellStyle name="40 % - Akzent3" xfId="1871" hidden="1" xr:uid="{65EE9A5D-EA23-451A-A8B6-FF78E9F572B7}"/>
    <cellStyle name="40 % - Akzent3" xfId="2050" hidden="1" xr:uid="{EEFB1BA4-CD9B-4234-A11D-298D2B6F3316}"/>
    <cellStyle name="40 % - Akzent3" xfId="1826" hidden="1" xr:uid="{EEE5713D-F400-4FF6-B8B5-CE116335DEFF}"/>
    <cellStyle name="40 % - Akzent3" xfId="3084" hidden="1" xr:uid="{AA0A3D3B-FE95-4352-9363-18EF996D5AFD}"/>
    <cellStyle name="40 % - Akzent3" xfId="2642" hidden="1" xr:uid="{651EE4FC-62DF-4055-9705-75EA335740F6}"/>
    <cellStyle name="40 % - Akzent3" xfId="1907" hidden="1" xr:uid="{A02FA344-E92F-40FA-8DAF-7EC8F53A5B95}"/>
    <cellStyle name="40 % - Akzent3" xfId="4343" hidden="1" xr:uid="{CE7C51F8-7FB4-4C8F-B3E9-BDF82A11733D}"/>
    <cellStyle name="40 % - Akzent3" xfId="4352" hidden="1" xr:uid="{569F6A34-64A3-48CC-8A5B-D0CE1CC7E2CC}"/>
    <cellStyle name="40 % - Akzent3" xfId="4459" hidden="1" xr:uid="{0B5B2CFB-488A-48B3-BA21-B5C9D97A27C2}"/>
    <cellStyle name="40 % - Akzent3" xfId="1969" hidden="1" xr:uid="{EB9B421B-EECD-4624-B086-B853B4DC156A}"/>
    <cellStyle name="40 % - Akzent3" xfId="4606" hidden="1" xr:uid="{2AFFF1CE-FD6A-4ACE-B13E-D54034A05E4F}"/>
    <cellStyle name="40 % - Akzent3" xfId="4753" hidden="1" xr:uid="{AC602D02-CA36-443A-8CED-A46DAD850A03}"/>
    <cellStyle name="40 % - Akzent3" xfId="5283" hidden="1" xr:uid="{2DB8F3A2-6FDA-4C92-AB58-5C10EEB9F9F1}"/>
    <cellStyle name="40 % - Akzent3 2" xfId="381" xr:uid="{F74AA296-87D0-46BC-B934-2F7A2B494F0F}"/>
    <cellStyle name="40 % - Akzent3 3" xfId="250" xr:uid="{8D1F624A-A59A-421B-A3DE-D4EF9739334C}"/>
    <cellStyle name="40 % - Akzent4" xfId="907" hidden="1" xr:uid="{90E8AC1A-2FA9-45B9-99FE-C66678BBBE28}"/>
    <cellStyle name="40 % - Akzent4" xfId="1401" hidden="1" xr:uid="{465AE0F8-35C8-49DF-8401-833B67C98E46}"/>
    <cellStyle name="40 % - Akzent4" xfId="60" hidden="1" xr:uid="{8C225A08-17D4-4E8B-9272-2EB92E443870}"/>
    <cellStyle name="40 % - Akzent4" xfId="1750" hidden="1" xr:uid="{6E28945A-6DBC-4A46-A59E-3E219D7B25A8}"/>
    <cellStyle name="40 % - Akzent4" xfId="989" hidden="1" xr:uid="{B230F99E-E014-47C0-AEEF-BA689B426B61}"/>
    <cellStyle name="40 % - Akzent4" xfId="1875" hidden="1" xr:uid="{9D6C0140-6495-45C1-A44E-BBC11B4DD5FA}"/>
    <cellStyle name="40 % - Akzent4" xfId="2198" hidden="1" xr:uid="{2B9F3967-6022-4972-BE8D-234AAC48C945}"/>
    <cellStyle name="40 % - Akzent4" xfId="2661" hidden="1" xr:uid="{819CC088-9401-44D3-A1E5-B2186EC21FF0}"/>
    <cellStyle name="40 % - Akzent4" xfId="2106" hidden="1" xr:uid="{70CAD02D-D668-4B39-A481-7A447457E182}"/>
    <cellStyle name="40 % - Akzent4" xfId="2653" hidden="1" xr:uid="{8E8F496B-D40C-4AC8-BCE3-7CC6D755801D}"/>
    <cellStyle name="40 % - Akzent4" xfId="2153" hidden="1" xr:uid="{B7D9E9BC-F17F-4E0C-B242-1DEB4E879A41}"/>
    <cellStyle name="40 % - Akzent4" xfId="4440" hidden="1" xr:uid="{76F87C05-1DB7-4B75-8F16-21678BB7DA4A}"/>
    <cellStyle name="40 % - Akzent4" xfId="4416" hidden="1" xr:uid="{769C0A0E-AA56-42E0-9624-3A864031C06E}"/>
    <cellStyle name="40 % - Akzent4" xfId="4347" hidden="1" xr:uid="{5A4DA5E8-AAE4-4348-A3DD-2FC3BC155E74}"/>
    <cellStyle name="40 % - Akzent4" xfId="4533" hidden="1" xr:uid="{EBD2B6B3-8FDD-43FF-ADB7-CC9C1AF0220D}"/>
    <cellStyle name="40 % - Akzent4" xfId="4609" hidden="1" xr:uid="{535E72D4-CD36-4B2D-B0DF-BD30DBE14D61}"/>
    <cellStyle name="40 % - Akzent4" xfId="4876" hidden="1" xr:uid="{1D06BBE9-357E-47FB-9BB2-087EEE2A065D}"/>
    <cellStyle name="40 % - Akzent4" xfId="5381" hidden="1" xr:uid="{F3DD5BA9-3E5E-4DA9-A058-7DC6AC728B1A}"/>
    <cellStyle name="40 % - Akzent4 2" xfId="382" xr:uid="{A3239340-E897-4D73-B3E6-731E19A73927}"/>
    <cellStyle name="40 % - Akzent4 3" xfId="251" xr:uid="{9933D03B-068B-470F-AE62-805188C6127E}"/>
    <cellStyle name="40 % - Akzent5" xfId="1469" hidden="1" xr:uid="{69009A43-5AE8-4CEB-8A40-38C1889E9459}"/>
    <cellStyle name="40 % - Akzent5" xfId="910" hidden="1" xr:uid="{D7035AF8-4CB7-40A8-897B-1456048E2F9D}"/>
    <cellStyle name="40 % - Akzent5" xfId="1404" hidden="1" xr:uid="{B98ABFEC-9786-408C-9473-AFF2BA939B93}"/>
    <cellStyle name="40 % - Akzent5" xfId="969" hidden="1" xr:uid="{1440ADC8-3C1D-49A0-91ED-9AC882B459EF}"/>
    <cellStyle name="40 % - Akzent5" xfId="63" hidden="1" xr:uid="{F0E72AC6-1BB1-4588-98E1-05458798C8E0}"/>
    <cellStyle name="40 % - Akzent5" xfId="1878" hidden="1" xr:uid="{A80BD34F-689C-406E-8873-9C11AE2116F4}"/>
    <cellStyle name="40 % - Akzent5" xfId="2197" hidden="1" xr:uid="{2263CCA5-DB78-4EDD-8C42-3B1B844B39C8}"/>
    <cellStyle name="40 % - Akzent5" xfId="2659" hidden="1" xr:uid="{EDE9D9B4-654A-43B4-B2B5-BC596298365C}"/>
    <cellStyle name="40 % - Akzent5" xfId="1854" hidden="1" xr:uid="{A71DF741-F14C-490F-B8B1-E0B6D61565B0}"/>
    <cellStyle name="40 % - Akzent5" xfId="2062" hidden="1" xr:uid="{0E2BF6C2-6599-4C75-9EDD-CDDDB6DA6661}"/>
    <cellStyle name="40 % - Akzent5" xfId="3915" hidden="1" xr:uid="{B80FB69A-256D-4117-AE54-E0684BFD88D9}"/>
    <cellStyle name="40 % - Akzent5" xfId="3889" hidden="1" xr:uid="{2556BDB8-FDB8-49F8-AEE4-07F61E01BC3F}"/>
    <cellStyle name="40 % - Akzent5" xfId="4331" hidden="1" xr:uid="{68CAC043-6E77-4AE2-8BAA-9832A82AB4B9}"/>
    <cellStyle name="40 % - Akzent5" xfId="1951" hidden="1" xr:uid="{D7047AB8-CFC2-49DA-964F-11929C33C5CF}"/>
    <cellStyle name="40 % - Akzent5" xfId="4411" hidden="1" xr:uid="{233E1E27-1A51-46FF-9DC6-8B0F4C303569}"/>
    <cellStyle name="40 % - Akzent5" xfId="4612" hidden="1" xr:uid="{29748CE8-A0B3-4865-B3BB-3B57640D020B}"/>
    <cellStyle name="40 % - Akzent5" xfId="4783" hidden="1" xr:uid="{0E79038D-9817-42CB-9D8E-6AEE12244A1E}"/>
    <cellStyle name="40 % - Akzent5" xfId="4793" hidden="1" xr:uid="{9BED7574-538C-4A78-A44D-1F1176AEBBAE}"/>
    <cellStyle name="40 % - Akzent5 2" xfId="383" xr:uid="{CF74D0EA-14A0-4294-AC99-F566B137052A}"/>
    <cellStyle name="40 % - Akzent5 3" xfId="252" xr:uid="{5ED70F5E-F7FF-4F30-8C63-C651B3CA6A47}"/>
    <cellStyle name="40 % - Akzent6" xfId="1736" hidden="1" xr:uid="{C634E771-B734-4DD6-A76F-AE6E7DCB3056}"/>
    <cellStyle name="40 % - Akzent6" xfId="913" hidden="1" xr:uid="{411462E9-1FEB-46C4-AE76-337DC083EDBE}"/>
    <cellStyle name="40 % - Akzent6" xfId="968" hidden="1" xr:uid="{107575DB-CDED-45AC-8E89-35B0CA0AAE07}"/>
    <cellStyle name="40 % - Akzent6" xfId="1407" hidden="1" xr:uid="{BFE3945F-22CE-4B9F-8B89-6B3C8950C31C}"/>
    <cellStyle name="40 % - Akzent6" xfId="66" hidden="1" xr:uid="{08271F9F-9A5A-4881-A19F-930C6DFC324D}"/>
    <cellStyle name="40 % - Akzent6" xfId="1882" hidden="1" xr:uid="{699C1A7E-3DD1-4B67-9FFE-70811BC6311B}"/>
    <cellStyle name="40 % - Akzent6" xfId="2081" hidden="1" xr:uid="{31795070-B1F8-4908-9D0B-E7A12A3E7356}"/>
    <cellStyle name="40 % - Akzent6" xfId="2656" hidden="1" xr:uid="{C78853F6-1BCF-4888-8AF3-054D498DC34D}"/>
    <cellStyle name="40 % - Akzent6" xfId="1964" hidden="1" xr:uid="{007B4B48-1B51-4C94-9BAC-67E383549F82}"/>
    <cellStyle name="40 % - Akzent6" xfId="3492" hidden="1" xr:uid="{5159CB62-388F-4909-AD93-3744CB3C89A0}"/>
    <cellStyle name="40 % - Akzent6" xfId="2596" hidden="1" xr:uid="{FACAE2B2-0715-4A01-9A3E-022E8E87E173}"/>
    <cellStyle name="40 % - Akzent6" xfId="4484" hidden="1" xr:uid="{6E6958B0-9A69-4581-89AE-C71E190EA485}"/>
    <cellStyle name="40 % - Akzent6" xfId="2599" hidden="1" xr:uid="{36C7F67F-3EBD-4125-8BEF-832FE199E200}"/>
    <cellStyle name="40 % - Akzent6" xfId="4320" hidden="1" xr:uid="{E568FC97-2278-42E0-8C7C-A60A6740E8F5}"/>
    <cellStyle name="40 % - Akzent6" xfId="1820" hidden="1" xr:uid="{8F684920-B0CC-4EFA-A667-AC719E732C78}"/>
    <cellStyle name="40 % - Akzent6" xfId="4615" hidden="1" xr:uid="{C27CF0DF-7FC0-454F-BBB5-E8790B98E36D}"/>
    <cellStyle name="40 % - Akzent6" xfId="4781" hidden="1" xr:uid="{735B280D-FC77-45BF-A069-EA9BB317A2CC}"/>
    <cellStyle name="40 % - Akzent6" xfId="5418" hidden="1" xr:uid="{E5833C8B-FEFB-42DE-A96C-816B738C7BD0}"/>
    <cellStyle name="40 % - Akzent6 2" xfId="384" xr:uid="{DB22614E-8FEC-4578-B4AD-FBCCBAC18346}"/>
    <cellStyle name="40 % - Akzent6 3" xfId="253" xr:uid="{E5927E5E-7705-4476-971F-F5BDCC9D52E7}"/>
    <cellStyle name="40% - Accent1 2" xfId="88" xr:uid="{6EA4D19C-9799-446A-A274-40668EB8F728}"/>
    <cellStyle name="40% - Accent1 3" xfId="205" xr:uid="{1EF3A8D3-3DE4-4861-A9C3-04BC54F34BF6}"/>
    <cellStyle name="40% - Accent2 2" xfId="89" xr:uid="{10370418-D1F6-4C2A-9528-79EE03D23523}"/>
    <cellStyle name="40% - Accent2 3" xfId="206" xr:uid="{11360B46-B0AB-4EB7-9CE4-7B8666A7165A}"/>
    <cellStyle name="40% - Accent3 2" xfId="90" xr:uid="{6F7E7786-26D4-4E5D-AB82-48D5346EEB7D}"/>
    <cellStyle name="40% - Accent3 3" xfId="207" xr:uid="{65B69500-D307-49C3-9665-C8BBDB9A5BB6}"/>
    <cellStyle name="40% - Accent4 2" xfId="91" xr:uid="{C02091DC-9CE0-4EB9-952F-4D6576856CC1}"/>
    <cellStyle name="40% - Accent4 3" xfId="208" xr:uid="{5D2F47A7-E6C6-4EF6-841E-C1B580364C83}"/>
    <cellStyle name="40% - Accent5 2" xfId="92" xr:uid="{2FC63498-D7FD-425A-AA38-217F01A5EFC3}"/>
    <cellStyle name="40% - Accent5 3" xfId="209" xr:uid="{1FA4611A-EB98-46A9-9BA9-7650EB0675DF}"/>
    <cellStyle name="40% - Accent6 2" xfId="93" xr:uid="{801E359F-5427-4B40-ADD2-6DA68D7D8C4E}"/>
    <cellStyle name="40% - Accent6 3" xfId="210" xr:uid="{1CDAFEF5-28D0-4FD5-929E-8460A87ACA4B}"/>
    <cellStyle name="5x indented GHG Textfiels" xfId="13" xr:uid="{AAEC2FE7-D252-468E-8DBD-F1DABE055202}"/>
    <cellStyle name="5x indented GHG Textfiels 2" xfId="94" xr:uid="{8AF138E5-36F0-44C9-A045-795C0EDE420C}"/>
    <cellStyle name="5x indented GHG Textfiels 2 2" xfId="95" xr:uid="{94083574-A87A-4CD6-8C28-B28F70BFA2B9}"/>
    <cellStyle name="5x indented GHG Textfiels 3" xfId="96" xr:uid="{EE811506-EE3C-4234-A241-975285613CFE}"/>
    <cellStyle name="5x indented GHG Textfiels 3 2" xfId="401" xr:uid="{529368B6-F0CA-42DD-9019-CD491E356F83}"/>
    <cellStyle name="5x indented GHG Textfiels 3 2 2" xfId="1915" xr:uid="{C9EF3C70-D2A7-4DCB-9996-323B1E94260C}"/>
    <cellStyle name="5x indented GHG Textfiels 3 3" xfId="349" xr:uid="{CC26FF87-F3FC-42E8-A0CC-441B017D38F9}"/>
    <cellStyle name="5x indented GHG Textfiels 3 3 10" xfId="2183" xr:uid="{B107E261-1253-4A51-B4CD-48451F286F56}"/>
    <cellStyle name="5x indented GHG Textfiels 3 3 11" xfId="1929" xr:uid="{96325101-A147-4AAA-9A2D-BFE11A35D93C}"/>
    <cellStyle name="5x indented GHG Textfiels 3 3 12" xfId="3069" xr:uid="{EEC9B71E-F7FC-47A1-98B2-4A98ED1492EB}"/>
    <cellStyle name="5x indented GHG Textfiels 3 3 13" xfId="2214" xr:uid="{86321C2C-3F37-48DF-AD49-78C510CFA8F1}"/>
    <cellStyle name="5x indented GHG Textfiels 3 3 14" xfId="4790" xr:uid="{802BAE5A-FF3A-4AC7-A0A8-694F4E46FE91}"/>
    <cellStyle name="5x indented GHG Textfiels 3 3 15" xfId="5316" xr:uid="{AF435689-9DFF-4251-8CCB-6BA494F73B42}"/>
    <cellStyle name="5x indented GHG Textfiels 3 3 2" xfId="636" xr:uid="{8436DB46-35A0-4475-9F9F-897EE6005F05}"/>
    <cellStyle name="5x indented GHG Textfiels 3 3 2 10" xfId="4545" xr:uid="{D1236EDA-6A2C-47DE-ACC1-54687C185BDF}"/>
    <cellStyle name="5x indented GHG Textfiels 3 3 2 11" xfId="5008" xr:uid="{B0C55052-B1DA-41E4-AAF7-640C835A867E}"/>
    <cellStyle name="5x indented GHG Textfiels 3 3 2 12" xfId="5459" xr:uid="{5901CFDF-53EB-4713-AF7F-95A3802C68B2}"/>
    <cellStyle name="5x indented GHG Textfiels 3 3 2 2" xfId="851" xr:uid="{5304F04D-A160-429C-B0E0-0A625113CF54}"/>
    <cellStyle name="5x indented GHG Textfiels 3 3 2 2 10" xfId="5217" xr:uid="{44C5A32E-FB29-4A93-9836-71B1FAC47093}"/>
    <cellStyle name="5x indented GHG Textfiels 3 3 2 2 11" xfId="4767" xr:uid="{C3529E05-5796-437F-A151-07D56F46705F}"/>
    <cellStyle name="5x indented GHG Textfiels 3 3 2 2 2" xfId="1325" xr:uid="{C2ED9743-F2FE-4CBD-89DD-4180AC9D8E59}"/>
    <cellStyle name="5x indented GHG Textfiels 3 3 2 2 3" xfId="1774" xr:uid="{3EA8B3F7-0E24-4465-BB86-DA1724015D8E}"/>
    <cellStyle name="5x indented GHG Textfiels 3 3 2 2 4" xfId="2555" xr:uid="{9BC1D85C-D4C0-406B-AF5A-C01631298343}"/>
    <cellStyle name="5x indented GHG Textfiels 3 3 2 2 5" xfId="3009" xr:uid="{65DA5E53-BEFE-4AB7-BF79-D582456BA626}"/>
    <cellStyle name="5x indented GHG Textfiels 3 3 2 2 6" xfId="3427" xr:uid="{B2C45B4F-048B-4D9E-801B-005AF6395173}"/>
    <cellStyle name="5x indented GHG Textfiels 3 3 2 2 7" xfId="3841" xr:uid="{F8DD8879-3A26-4078-A650-16A37DDD7F9C}"/>
    <cellStyle name="5x indented GHG Textfiels 3 3 2 2 8" xfId="4264" xr:uid="{86E0B187-E465-46BE-BCC6-0E86CB05855F}"/>
    <cellStyle name="5x indented GHG Textfiels 3 3 2 2 9" xfId="3474" xr:uid="{A28B2B8E-C085-4E42-BEDC-5C50F9A230FA}"/>
    <cellStyle name="5x indented GHG Textfiels 3 3 2 3" xfId="1119" xr:uid="{0E024B7C-4C34-4D57-BE49-629A97EC7374}"/>
    <cellStyle name="5x indented GHG Textfiels 3 3 2 4" xfId="1654" xr:uid="{79F808A4-1E98-42A5-A65A-DDC024FBB2AA}"/>
    <cellStyle name="5x indented GHG Textfiels 3 3 2 5" xfId="2342" xr:uid="{428A567E-2DCE-412F-B0EF-D1AFC1386E60}"/>
    <cellStyle name="5x indented GHG Textfiels 3 3 2 6" xfId="2796" xr:uid="{EE1C5E5D-B1BB-44FD-951C-7AA584598B8B}"/>
    <cellStyle name="5x indented GHG Textfiels 3 3 2 7" xfId="3213" xr:uid="{8E2AC85D-C89E-4B12-BF1D-19D51E994FF9}"/>
    <cellStyle name="5x indented GHG Textfiels 3 3 2 8" xfId="3626" xr:uid="{C90D3A74-5CC5-4CE6-9276-F83D56EB4CD7}"/>
    <cellStyle name="5x indented GHG Textfiels 3 3 2 9" xfId="4051" xr:uid="{9574D098-9D85-4214-832D-A938EAC5875B}"/>
    <cellStyle name="5x indented GHG Textfiels 3 3 3" xfId="583" xr:uid="{33656A2F-5481-4B2D-9C64-694300B997CA}"/>
    <cellStyle name="5x indented GHG Textfiels 3 3 3 10" xfId="4360" xr:uid="{F5B01684-7B51-4FE6-926A-8FE7E1212C8C}"/>
    <cellStyle name="5x indented GHG Textfiels 3 3 3 11" xfId="4955" xr:uid="{93668A2F-C113-4BA6-BE61-CCDB454ED877}"/>
    <cellStyle name="5x indented GHG Textfiels 3 3 3 12" xfId="5329" xr:uid="{F474EB8D-D124-4EE5-A483-79B19A024C14}"/>
    <cellStyle name="5x indented GHG Textfiels 3 3 3 2" xfId="798" xr:uid="{9BF57869-6B20-4C72-BFDA-40D4ECC3ACAB}"/>
    <cellStyle name="5x indented GHG Textfiels 3 3 3 2 10" xfId="5164" xr:uid="{820D8338-9125-446C-9B26-A1D4A81B89E7}"/>
    <cellStyle name="5x indented GHG Textfiels 3 3 3 2 11" xfId="5336" xr:uid="{1CE1AEE8-59A5-49A3-975D-4CC14EDC1D00}"/>
    <cellStyle name="5x indented GHG Textfiels 3 3 3 2 2" xfId="1272" xr:uid="{F563BF76-E83B-445A-BE2D-1C5B91FDEC0E}"/>
    <cellStyle name="5x indented GHG Textfiels 3 3 3 2 3" xfId="1741" xr:uid="{35872052-8CCD-4B0D-9675-40C054953D6D}"/>
    <cellStyle name="5x indented GHG Textfiels 3 3 3 2 4" xfId="2502" xr:uid="{605989AB-4F24-42AA-80ED-687A7B78D511}"/>
    <cellStyle name="5x indented GHG Textfiels 3 3 3 2 5" xfId="2956" xr:uid="{E72A6868-21ED-4C08-8C57-355565862B8C}"/>
    <cellStyle name="5x indented GHG Textfiels 3 3 3 2 6" xfId="3374" xr:uid="{6D72460D-7354-4366-B6CC-4866B2A6E45B}"/>
    <cellStyle name="5x indented GHG Textfiels 3 3 3 2 7" xfId="3788" xr:uid="{A59402CB-6748-42DF-B087-B83406E0A32C}"/>
    <cellStyle name="5x indented GHG Textfiels 3 3 3 2 8" xfId="4211" xr:uid="{B389AF36-2E6F-4AF9-B436-BC91DFCFB3DD}"/>
    <cellStyle name="5x indented GHG Textfiels 3 3 3 2 9" xfId="4536" xr:uid="{485402AF-4B85-45FD-BECA-8B4773C48A6C}"/>
    <cellStyle name="5x indented GHG Textfiels 3 3 3 3" xfId="1066" xr:uid="{660A40CF-BCED-4C51-9D63-FDE2F4492400}"/>
    <cellStyle name="5x indented GHG Textfiels 3 3 3 4" xfId="1612" xr:uid="{FF0E9ECD-1BF2-4780-82DB-6910233B072E}"/>
    <cellStyle name="5x indented GHG Textfiels 3 3 3 5" xfId="2289" xr:uid="{95848150-0558-4F90-A59A-26776D1450DD}"/>
    <cellStyle name="5x indented GHG Textfiels 3 3 3 6" xfId="2743" xr:uid="{9C0F7E75-9597-4BA2-BEBB-9178543ECA9E}"/>
    <cellStyle name="5x indented GHG Textfiels 3 3 3 7" xfId="3160" xr:uid="{F5D35FF4-5E5D-4A50-9C5A-B10092C22950}"/>
    <cellStyle name="5x indented GHG Textfiels 3 3 3 8" xfId="3573" xr:uid="{39D7B21D-6857-436D-8B2C-0F0046FE6BAA}"/>
    <cellStyle name="5x indented GHG Textfiels 3 3 3 9" xfId="3998" xr:uid="{278ACE24-CAB8-4955-B9D6-4D6CC3D705E3}"/>
    <cellStyle name="5x indented GHG Textfiels 3 3 4" xfId="667" xr:uid="{B386C1A4-0774-461C-A62D-7C3D63E3F127}"/>
    <cellStyle name="5x indented GHG Textfiels 3 3 4 10" xfId="4450" xr:uid="{937D89F5-41A3-4E4C-902A-40202B15E535}"/>
    <cellStyle name="5x indented GHG Textfiels 3 3 4 11" xfId="5039" xr:uid="{0ED860A3-9481-462D-B6CC-6940CB387A2D}"/>
    <cellStyle name="5x indented GHG Textfiels 3 3 4 12" xfId="4711" xr:uid="{BBFA1752-5D65-4E51-8FB8-7A0D92DFC87B}"/>
    <cellStyle name="5x indented GHG Textfiels 3 3 4 2" xfId="882" xr:uid="{DA61810E-7D56-49A0-8959-DBF88982A3F2}"/>
    <cellStyle name="5x indented GHG Textfiels 3 3 4 2 10" xfId="5248" xr:uid="{F24A8F27-0727-4A1F-8B8F-BD7E78A5C839}"/>
    <cellStyle name="5x indented GHG Textfiels 3 3 4 2 11" xfId="5476" xr:uid="{6CD09856-230A-4446-9BE8-FBDE791CC4D8}"/>
    <cellStyle name="5x indented GHG Textfiels 3 3 4 2 2" xfId="1356" xr:uid="{35093040-1266-4932-8A03-3C62F43F6935}"/>
    <cellStyle name="5x indented GHG Textfiels 3 3 4 2 3" xfId="1805" xr:uid="{56F07873-F359-430B-A518-C59E81D1BBBF}"/>
    <cellStyle name="5x indented GHG Textfiels 3 3 4 2 4" xfId="2586" xr:uid="{A2894A6A-835A-48C1-A730-986A8CCB4EEA}"/>
    <cellStyle name="5x indented GHG Textfiels 3 3 4 2 5" xfId="3040" xr:uid="{8155A1E3-CE50-4660-BBF5-D3249263D623}"/>
    <cellStyle name="5x indented GHG Textfiels 3 3 4 2 6" xfId="3458" xr:uid="{7098A68A-228D-450E-AAF0-0C2B0065E98C}"/>
    <cellStyle name="5x indented GHG Textfiels 3 3 4 2 7" xfId="3872" xr:uid="{EDE42492-3866-4192-BE45-7E403D572AB4}"/>
    <cellStyle name="5x indented GHG Textfiels 3 3 4 2 8" xfId="4295" xr:uid="{92A68BA2-77E8-4150-BA57-0F92179BF84A}"/>
    <cellStyle name="5x indented GHG Textfiels 3 3 4 2 9" xfId="4563" xr:uid="{5F69DD11-B610-4FA3-9263-41EE804AFC19}"/>
    <cellStyle name="5x indented GHG Textfiels 3 3 4 3" xfId="1150" xr:uid="{1424F3A3-1648-4EC7-9F98-0D0780F35927}"/>
    <cellStyle name="5x indented GHG Textfiels 3 3 4 4" xfId="1724" xr:uid="{2C4B83FE-E930-4ED6-92F5-5AE3301A05F8}"/>
    <cellStyle name="5x indented GHG Textfiels 3 3 4 5" xfId="2373" xr:uid="{3186868B-AEC9-4C76-BBCA-09B2DC1E96CC}"/>
    <cellStyle name="5x indented GHG Textfiels 3 3 4 6" xfId="2827" xr:uid="{A221303A-0E82-4095-B41F-75C320445120}"/>
    <cellStyle name="5x indented GHG Textfiels 3 3 4 7" xfId="3244" xr:uid="{92A728A3-C7A3-4689-832A-A267D4580AA7}"/>
    <cellStyle name="5x indented GHG Textfiels 3 3 4 8" xfId="3657" xr:uid="{60722C7A-C874-4FEC-B98E-A4C9243833F4}"/>
    <cellStyle name="5x indented GHG Textfiels 3 3 4 9" xfId="4082" xr:uid="{5BD01170-8ABA-4054-9109-AF032786EBD9}"/>
    <cellStyle name="5x indented GHG Textfiels 3 3 5" xfId="704" xr:uid="{B336D516-0C59-4D60-BC6C-54FC64EA3937}"/>
    <cellStyle name="5x indented GHG Textfiels 3 3 5 2" xfId="3694" xr:uid="{346E83A6-8DA7-4CB9-9940-85762EA08572}"/>
    <cellStyle name="5x indented GHG Textfiels 3 3 6" xfId="974" xr:uid="{BB1B997E-DADF-469A-9DCE-FFFBF2BA54C1}"/>
    <cellStyle name="5x indented GHG Textfiels 3 3 7" xfId="1758" xr:uid="{42237DF0-05F0-49E1-BF7A-7B9BEA7CC6E8}"/>
    <cellStyle name="5x indented GHG Textfiels 3 3 8" xfId="2093" xr:uid="{4672691F-7B7F-4158-9603-E170136450D8}"/>
    <cellStyle name="5x indented GHG Textfiels 3 3 9" xfId="1986" xr:uid="{785DB25F-ED0A-48DF-8CD6-CE92F3FFC582}"/>
    <cellStyle name="5x indented GHG Textfiels_Table 4(II)" xfId="191" xr:uid="{FF0E2976-742B-48E3-8234-3B5986D449B9}"/>
    <cellStyle name="60 % - Akzent1" xfId="52" hidden="1" xr:uid="{B6CB9620-4AFB-4C2E-8B84-B0063CE9CE79}"/>
    <cellStyle name="60 % - Akzent1" xfId="1393" hidden="1" xr:uid="{CE03A2C4-3B52-44C3-B0DB-A5D8371737A8}"/>
    <cellStyle name="60 % - Akzent1" xfId="990" hidden="1" xr:uid="{8A71DDD6-3E64-4A36-89D9-56D8C41DC6F5}"/>
    <cellStyle name="60 % - Akzent1" xfId="899" hidden="1" xr:uid="{DF6F6970-4D9A-4AFA-B2BC-C4ED0DBBFBF3}"/>
    <cellStyle name="60 % - Akzent1" xfId="1713" hidden="1" xr:uid="{1DDB25EF-C7CB-4F00-B240-76048DC992FD}"/>
    <cellStyle name="60 % - Akzent1" xfId="1865" hidden="1" xr:uid="{DCF5E359-03AA-4A5D-B81E-AA4A0B13CC58}"/>
    <cellStyle name="60 % - Akzent1" xfId="2204" hidden="1" xr:uid="{00941D6F-B72C-4363-A6B5-37925137ABA8}"/>
    <cellStyle name="60 % - Akzent1" xfId="1989" hidden="1" xr:uid="{BBF772F5-CAB8-41A2-9129-5152184C014C}"/>
    <cellStyle name="60 % - Akzent1" xfId="2155" hidden="1" xr:uid="{AD6143CD-4A2F-409D-A676-F51F04A10B0F}"/>
    <cellStyle name="60 % - Akzent1" xfId="2604" hidden="1" xr:uid="{09A3896E-9B7F-45E7-AFBB-DE8343055586}"/>
    <cellStyle name="60 % - Akzent1" xfId="1936" hidden="1" xr:uid="{16A1D00B-910C-4721-8981-85C152E51A42}"/>
    <cellStyle name="60 % - Akzent1" xfId="2068" hidden="1" xr:uid="{7DC12AD8-55A5-4197-82DE-60167FAC8825}"/>
    <cellStyle name="60 % - Akzent1" xfId="1818" hidden="1" xr:uid="{B18F4EAB-93A8-46B0-9697-897372C56779}"/>
    <cellStyle name="60 % - Akzent1" xfId="4521" hidden="1" xr:uid="{959EA4CA-D1A8-49D4-8A86-8312DC949E65}"/>
    <cellStyle name="60 % - Akzent1" xfId="3499" hidden="1" xr:uid="{B7D1B437-F065-42FA-A562-B52ACB5D3F31}"/>
    <cellStyle name="60 % - Akzent1" xfId="4601" hidden="1" xr:uid="{35E0B0B4-25DC-48AC-A6F5-B55D6FA10099}"/>
    <cellStyle name="60 % - Akzent1" xfId="4877" hidden="1" xr:uid="{893AB127-9CFB-414B-B235-0B7A046D60C8}"/>
    <cellStyle name="60 % - Akzent1" xfId="4586" hidden="1" xr:uid="{F71A88CF-E0F6-48AA-B9C9-504C02E98ECD}"/>
    <cellStyle name="60 % - Akzent1 2" xfId="385" xr:uid="{E1E1EC5C-C443-4A67-9C2E-0E426D3CF30E}"/>
    <cellStyle name="60 % - Akzent1 3" xfId="254" xr:uid="{5B730AF1-CE19-4AA3-B7B9-0FA38E1E9908}"/>
    <cellStyle name="60 % - Akzent2" xfId="902" hidden="1" xr:uid="{213B3F1F-3D6C-485A-9E49-A7E24156AF1D}"/>
    <cellStyle name="60 % - Akzent2" xfId="1396" hidden="1" xr:uid="{9D18A6C7-A267-406A-8165-58578E75CC61}"/>
    <cellStyle name="60 % - Akzent2" xfId="55" hidden="1" xr:uid="{05E7B000-BFDD-4D0E-82B2-9F83D7D4BC02}"/>
    <cellStyle name="60 % - Akzent2" xfId="1671" hidden="1" xr:uid="{5A511A59-4D7D-4F64-9F90-9FE797DAFD83}"/>
    <cellStyle name="60 % - Akzent2" xfId="992" hidden="1" xr:uid="{382E1057-1C73-4BAA-B685-9BEBC9FA07A9}"/>
    <cellStyle name="60 % - Akzent2" xfId="1868" hidden="1" xr:uid="{C7ECD91D-3CFE-47AE-973E-B3D4051D65E3}"/>
    <cellStyle name="60 % - Akzent2" xfId="2083" hidden="1" xr:uid="{C676E065-08EA-4CBA-BA5D-EBACBE358E75}"/>
    <cellStyle name="60 % - Akzent2" xfId="1903" hidden="1" xr:uid="{E6B31349-D781-4EEE-AC40-86A53488DC2C}"/>
    <cellStyle name="60 % - Akzent2" xfId="2181" hidden="1" xr:uid="{03A92E7D-9AEF-42A3-B362-38A6CDF1D735}"/>
    <cellStyle name="60 % - Akzent2" xfId="2040" hidden="1" xr:uid="{4C34AB99-B6C2-49E3-B919-B98144E7315F}"/>
    <cellStyle name="60 % - Akzent2" xfId="3910" hidden="1" xr:uid="{3397EFAE-906A-4E56-8E8A-4DC59772A35B}"/>
    <cellStyle name="60 % - Akzent2" xfId="4511" hidden="1" xr:uid="{6005AF48-6133-4981-881B-3431A0CB4574}"/>
    <cellStyle name="60 % - Akzent2" xfId="1974" hidden="1" xr:uid="{4F17C5D5-B355-49A4-B69D-D5A713AFEEFA}"/>
    <cellStyle name="60 % - Akzent2" xfId="4323" hidden="1" xr:uid="{9B51882D-8DC9-413F-8B5A-8F5791F98379}"/>
    <cellStyle name="60 % - Akzent2" xfId="4549" hidden="1" xr:uid="{430A2A92-DE86-4CF9-BD60-FF2EEBB0790E}"/>
    <cellStyle name="60 % - Akzent2" xfId="4604" hidden="1" xr:uid="{79CFA41E-83E4-4287-A373-8B1F6580E305}"/>
    <cellStyle name="60 % - Akzent2" xfId="4879" hidden="1" xr:uid="{41D1CAB8-3146-42E9-A1E5-EF18079BF206}"/>
    <cellStyle name="60 % - Akzent2" xfId="5441" hidden="1" xr:uid="{34C593CF-8977-423D-8CC4-820D717443A9}"/>
    <cellStyle name="60 % - Akzent2 2" xfId="386" xr:uid="{4CCE6D14-8135-49D8-A898-65A732D4E1B2}"/>
    <cellStyle name="60 % - Akzent2 3" xfId="255" xr:uid="{97B01030-04C7-4ECA-B5E0-A78E17A14BB0}"/>
    <cellStyle name="60 % - Akzent3" xfId="905" hidden="1" xr:uid="{4A0B4046-2B63-4746-B9AB-829A5DDB01E6}"/>
    <cellStyle name="60 % - Akzent3" xfId="1399" hidden="1" xr:uid="{6B9F1B52-3BBE-423B-A3F1-E0827B247F4D}"/>
    <cellStyle name="60 % - Akzent3" xfId="58" hidden="1" xr:uid="{A1CE8FCF-82DF-4F52-B232-EE6D57F519A0}"/>
    <cellStyle name="60 % - Akzent3" xfId="1624" hidden="1" xr:uid="{3B695693-98D3-48C8-8790-1B5D1F24D74A}"/>
    <cellStyle name="60 % - Akzent3" xfId="985" hidden="1" xr:uid="{A3320FE8-05B5-49C0-8D63-617F7192B355}"/>
    <cellStyle name="60 % - Akzent3" xfId="1872" hidden="1" xr:uid="{B9585371-37E7-487B-9730-62DCB5375103}"/>
    <cellStyle name="60 % - Akzent3" xfId="1846" hidden="1" xr:uid="{35938077-7C39-4B17-BCAD-730F59F5034E}"/>
    <cellStyle name="60 % - Akzent3" xfId="1908" hidden="1" xr:uid="{E71C5B2D-0DD7-4B33-B0E8-E4664F6C8640}"/>
    <cellStyle name="60 % - Akzent3" xfId="2008" hidden="1" xr:uid="{DB52049F-9FCC-467C-BBD5-659AAAFB0574}"/>
    <cellStyle name="60 % - Akzent3" xfId="3483" hidden="1" xr:uid="{724B88D4-8E4B-4BB7-9922-29094F5FC9EA}"/>
    <cellStyle name="60 % - Akzent3" xfId="3918" hidden="1" xr:uid="{488C5898-0CD9-4F12-B47D-E3E53AB024A1}"/>
    <cellStyle name="60 % - Akzent3" xfId="4504" hidden="1" xr:uid="{824A5452-01E1-484A-A245-3BD4C1E3C86A}"/>
    <cellStyle name="60 % - Akzent3" xfId="2177" hidden="1" xr:uid="{9CF7E953-B15A-4C3A-9BDE-78745EB4CF97}"/>
    <cellStyle name="60 % - Akzent3" xfId="4487" hidden="1" xr:uid="{7C42C84E-B66B-4AD7-B809-DC4FC8A028A6}"/>
    <cellStyle name="60 % - Akzent3" xfId="3887" hidden="1" xr:uid="{B82FC08B-E8D5-46E3-8009-8309C71F2F8D}"/>
    <cellStyle name="60 % - Akzent3" xfId="4607" hidden="1" xr:uid="{37C23AC0-7DC3-49AA-977E-BDB9A1509CC4}"/>
    <cellStyle name="60 % - Akzent3" xfId="4872" hidden="1" xr:uid="{466014CF-4CCB-45DF-AE00-33955DA7CE70}"/>
    <cellStyle name="60 % - Akzent3" xfId="5438" hidden="1" xr:uid="{2C9B420D-9C53-4196-A93B-FC62B60FE22D}"/>
    <cellStyle name="60 % - Akzent3 2" xfId="387" xr:uid="{89DD920A-66EE-47DF-8F70-028B578EC3E6}"/>
    <cellStyle name="60 % - Akzent3 3" xfId="256" xr:uid="{18CE76D5-AA6D-44B4-BC3D-EAE9171D6D64}"/>
    <cellStyle name="60 % - Akzent4" xfId="908" hidden="1" xr:uid="{C3270EDC-7FB1-4737-BCBC-C31CC8EE5553}"/>
    <cellStyle name="60 % - Akzent4" xfId="1402" hidden="1" xr:uid="{F382879A-AA61-4F68-8CEB-6CF892219BDA}"/>
    <cellStyle name="60 % - Akzent4" xfId="61" hidden="1" xr:uid="{6F8F5E7B-A634-40BB-8539-327D6EDDCFB8}"/>
    <cellStyle name="60 % - Akzent4" xfId="1659" hidden="1" xr:uid="{79B6468F-6702-4123-A045-F72BC36B97C8}"/>
    <cellStyle name="60 % - Akzent4" xfId="967" hidden="1" xr:uid="{8610C595-11C7-4F22-B399-C1139A339B9C}"/>
    <cellStyle name="60 % - Akzent4" xfId="1876" hidden="1" xr:uid="{E6CE7F43-EE6D-4ADF-AB73-96EA229A0640}"/>
    <cellStyle name="60 % - Akzent4" xfId="2129" hidden="1" xr:uid="{0CBEBA4A-8C2D-4E62-A8DA-DF80EF45602C}"/>
    <cellStyle name="60 % - Akzent4" xfId="2618" hidden="1" xr:uid="{3A4F9AE4-F18B-4979-9A1B-6A15CB0C3F52}"/>
    <cellStyle name="60 % - Akzent4" xfId="1980" hidden="1" xr:uid="{5B53EC12-7A36-4B53-A0D0-FF792DB7C431}"/>
    <cellStyle name="60 % - Akzent4" xfId="3495" hidden="1" xr:uid="{BB9196D0-8DB9-41C0-BCFA-D6AD3F42A0A3}"/>
    <cellStyle name="60 % - Akzent4" xfId="3914" hidden="1" xr:uid="{D28D587C-C4BE-4C27-A050-B4415656AB80}"/>
    <cellStyle name="60 % - Akzent4" xfId="4474" hidden="1" xr:uid="{26BF8CC3-8CE7-4FF0-A30B-DF2F026F926D}"/>
    <cellStyle name="60 % - Akzent4" xfId="4434" hidden="1" xr:uid="{D595B273-B86D-48E0-859F-E9E0A1CE750C}"/>
    <cellStyle name="60 % - Akzent4" xfId="3066" hidden="1" xr:uid="{A69FD1DA-F1AD-4C29-A2A6-F5C6EE748323}"/>
    <cellStyle name="60 % - Akzent4" xfId="4376" hidden="1" xr:uid="{2F0169C4-9A5A-40AB-B857-5B0C03101FBD}"/>
    <cellStyle name="60 % - Akzent4" xfId="4610" hidden="1" xr:uid="{1702ADA8-FA1A-484C-A528-0C81B839D191}"/>
    <cellStyle name="60 % - Akzent4" xfId="4780" hidden="1" xr:uid="{2F2E8397-42D9-4E7C-925E-E03A15EF737E}"/>
    <cellStyle name="60 % - Akzent4" xfId="5413" hidden="1" xr:uid="{FF6ED304-B96C-40DE-87BC-DB2E3542C250}"/>
    <cellStyle name="60 % - Akzent4 2" xfId="388" xr:uid="{B8B184E1-D715-49E5-8B41-1281FFDBF683}"/>
    <cellStyle name="60 % - Akzent4 3" xfId="257" xr:uid="{949204EA-18E4-4510-95BC-858C1086F6B6}"/>
    <cellStyle name="60 % - Akzent5" xfId="911" hidden="1" xr:uid="{4F2B590A-77B9-4DB1-B6DA-81C43219E109}"/>
    <cellStyle name="60 % - Akzent5" xfId="1405" hidden="1" xr:uid="{BA1EF6BA-A7E8-4685-B3C1-0E2886FF9667}"/>
    <cellStyle name="60 % - Akzent5" xfId="64" hidden="1" xr:uid="{DB0EB156-FDF2-4B2A-9023-F8EC207F19C7}"/>
    <cellStyle name="60 % - Akzent5" xfId="1669" hidden="1" xr:uid="{585C7B64-A9C7-4DB5-84E0-0B4C08C76274}"/>
    <cellStyle name="60 % - Akzent5" xfId="964" hidden="1" xr:uid="{51CE8200-398B-4A2B-BA3B-83710F487119}"/>
    <cellStyle name="60 % - Akzent5" xfId="1879" hidden="1" xr:uid="{E67E1939-19A0-417F-83A6-45AE2F02FCFB}"/>
    <cellStyle name="60 % - Akzent5" xfId="2073" hidden="1" xr:uid="{C117FB1D-046A-47FF-9C40-6B7F0768A014}"/>
    <cellStyle name="60 % - Akzent5" xfId="2660" hidden="1" xr:uid="{F48EACA9-41C9-46DB-BAD3-79FD785C6416}"/>
    <cellStyle name="60 % - Akzent5" xfId="3080" hidden="1" xr:uid="{48E74F98-188A-4F18-A325-8D7942CF05E9}"/>
    <cellStyle name="60 % - Akzent5" xfId="3491" hidden="1" xr:uid="{F3D20926-41B9-4ED5-839C-44540D564577}"/>
    <cellStyle name="60 % - Akzent5" xfId="3916" hidden="1" xr:uid="{57F53012-8FF6-491D-89E7-28FB07463914}"/>
    <cellStyle name="60 % - Akzent5" xfId="4429" hidden="1" xr:uid="{EFB16D93-0049-4567-91E2-ED40EC7D59DD}"/>
    <cellStyle name="60 % - Akzent5" xfId="4349" hidden="1" xr:uid="{32455A74-12F7-400A-B0C3-5ACE05D9F2AA}"/>
    <cellStyle name="60 % - Akzent5" xfId="4419" hidden="1" xr:uid="{28FCE0F8-7660-4AAB-9D0C-79C258D4C69D}"/>
    <cellStyle name="60 % - Akzent5" xfId="2122" hidden="1" xr:uid="{EAE12E9E-77A4-4BA5-824F-65F60A291694}"/>
    <cellStyle name="60 % - Akzent5" xfId="4613" hidden="1" xr:uid="{E63A657F-27A3-4714-A97A-F3BB88C64887}"/>
    <cellStyle name="60 % - Akzent5" xfId="4763" hidden="1" xr:uid="{B91E4C75-45BC-431D-B47A-1FE36CC71C56}"/>
    <cellStyle name="60 % - Akzent5" xfId="5362" hidden="1" xr:uid="{4B071EC6-8AEE-4AE4-9C54-B3B853D2918E}"/>
    <cellStyle name="60 % - Akzent5 2" xfId="389" xr:uid="{2EA6E9C5-1E75-43E0-B2B2-02CD16E4B4F0}"/>
    <cellStyle name="60 % - Akzent5 3" xfId="258" xr:uid="{BFED8363-ED89-440D-A30E-823B6C73EC7F}"/>
    <cellStyle name="60 % - Akzent6" xfId="914" hidden="1" xr:uid="{8674E744-206F-444D-A689-891E98E81CB2}"/>
    <cellStyle name="60 % - Akzent6" xfId="1408" hidden="1" xr:uid="{47AF9AAC-6B60-4390-8D32-078CB8BE8F45}"/>
    <cellStyle name="60 % - Akzent6" xfId="67" hidden="1" xr:uid="{C809C567-5E04-48B6-98EB-FFD7162C26E8}"/>
    <cellStyle name="60 % - Akzent6" xfId="1643" hidden="1" xr:uid="{A95A8FFB-093D-47BD-855D-900C0326AAF4}"/>
    <cellStyle name="60 % - Akzent6" xfId="986" hidden="1" xr:uid="{6491E521-41D4-46E3-8C42-5DB87C01F032}"/>
    <cellStyle name="60 % - Akzent6" xfId="1883" hidden="1" xr:uid="{F9FB7400-6B0E-4EF2-8526-13528D6756A9}"/>
    <cellStyle name="60 % - Akzent6" xfId="2059" hidden="1" xr:uid="{9A10BEC1-A824-494F-9C85-BAA5FED152DB}"/>
    <cellStyle name="60 % - Akzent6" xfId="2658" hidden="1" xr:uid="{45607555-C15B-4EC2-B2B8-382ACCB013EB}"/>
    <cellStyle name="60 % - Akzent6" xfId="2605" hidden="1" xr:uid="{ED7C1068-CF96-4A68-98EC-EFF8E81B0DAF}"/>
    <cellStyle name="60 % - Akzent6" xfId="3493" hidden="1" xr:uid="{15D41907-06AA-46F2-A76D-8CA06547FE59}"/>
    <cellStyle name="60 % - Akzent6" xfId="3911" hidden="1" xr:uid="{8A344ED3-90FE-47B6-AB87-E36D7E6669AE}"/>
    <cellStyle name="60 % - Akzent6" xfId="4382" hidden="1" xr:uid="{C897E0D3-A1B1-4B01-BB7E-C94281D9FE78}"/>
    <cellStyle name="60 % - Akzent6" xfId="4468" hidden="1" xr:uid="{543C134C-DE9D-413F-9851-8C585CEB07B4}"/>
    <cellStyle name="60 % - Akzent6" xfId="3924" hidden="1" xr:uid="{4668C720-8FC3-4227-B0D8-ED1E2F1C8205}"/>
    <cellStyle name="60 % - Akzent6" xfId="2595" hidden="1" xr:uid="{3E39BAE5-BE76-413E-A04E-B4AEAE8626D0}"/>
    <cellStyle name="60 % - Akzent6" xfId="4616" hidden="1" xr:uid="{66E6B2FD-5AD9-4AD6-9EDF-7AE879880920}"/>
    <cellStyle name="60 % - Akzent6" xfId="4873" hidden="1" xr:uid="{FEE13C66-9FDB-44B9-82FD-8F0DCCC3F363}"/>
    <cellStyle name="60 % - Akzent6" xfId="5314" hidden="1" xr:uid="{76546A8D-6203-467A-AE6C-93B99D82FA81}"/>
    <cellStyle name="60 % - Akzent6 2" xfId="390" xr:uid="{ED38029A-1F32-4A55-A543-CE31F5A2AEE6}"/>
    <cellStyle name="60 % - Akzent6 3" xfId="259" xr:uid="{339666D8-D348-4A67-ABD3-E7E3947954EE}"/>
    <cellStyle name="60% - Accent1 2" xfId="97" xr:uid="{F671E5EB-2223-4B55-8E9E-71665E539F5A}"/>
    <cellStyle name="60% - Accent1 3" xfId="211" xr:uid="{19180E92-D422-457F-AEB7-01F1FE79809E}"/>
    <cellStyle name="60% - Accent2 2" xfId="98" xr:uid="{3FA07E09-F688-4C67-87C9-964F2F391B2C}"/>
    <cellStyle name="60% - Accent2 3" xfId="212" xr:uid="{F2F533CA-74D0-4181-83FA-EC20ADBA2042}"/>
    <cellStyle name="60% - Accent3 2" xfId="99" xr:uid="{C386BA72-F2FB-4B34-9E9C-3F66F1B70446}"/>
    <cellStyle name="60% - Accent3 3" xfId="213" xr:uid="{64F7F714-15B3-4776-92AD-5D8F97404597}"/>
    <cellStyle name="60% - Accent4 2" xfId="100" xr:uid="{4AD8EF6C-AD1C-4382-A933-C7E56E31B38D}"/>
    <cellStyle name="60% - Accent4 3" xfId="214" xr:uid="{6DDC0C25-2C7C-47FA-8769-996ED3ECE077}"/>
    <cellStyle name="60% - Accent5 2" xfId="101" xr:uid="{48848F6B-5E09-4BFA-B453-E352BB97E1B1}"/>
    <cellStyle name="60% - Accent5 3" xfId="215" xr:uid="{85B62436-2873-44BF-BFC7-D460DB720E81}"/>
    <cellStyle name="60% - Accent6 2" xfId="102" xr:uid="{2438BFCC-2584-4169-9A49-9ED858DFDD85}"/>
    <cellStyle name="60% - Accent6 3" xfId="216" xr:uid="{F253D282-5120-4135-A02C-BB49C14492F4}"/>
    <cellStyle name="Accent1 2" xfId="103" xr:uid="{4644432D-E8A9-4C99-B0A2-C098E01EF40C}"/>
    <cellStyle name="Accent1 3" xfId="217" xr:uid="{E66D2875-3E78-4A98-9851-C847517E15DC}"/>
    <cellStyle name="Accent1 4" xfId="350" xr:uid="{EA8B0187-D8F3-425C-8633-56220D696D7C}"/>
    <cellStyle name="Accent2 2" xfId="104" xr:uid="{9B4DD576-CEE6-4542-A8D8-BF106841E155}"/>
    <cellStyle name="Accent2 3" xfId="218" xr:uid="{AB7EEFCE-8646-438F-AA2B-B7069CFAACA3}"/>
    <cellStyle name="Accent2 4" xfId="351" xr:uid="{2D40B2FB-46C8-4CB5-8CA4-28331A7B7678}"/>
    <cellStyle name="Accent3 2" xfId="105" xr:uid="{E882D0ED-4B10-49F4-8442-12414EE61A38}"/>
    <cellStyle name="Accent3 3" xfId="219" xr:uid="{BAB48B74-4017-42F2-AC06-5E61E4483344}"/>
    <cellStyle name="Accent3 4" xfId="352" xr:uid="{3E1E25CE-638F-477A-9264-1F6511451003}"/>
    <cellStyle name="Accent4 2" xfId="106" xr:uid="{10FC07CE-9CFA-4DAA-A58A-CDA5A6A0C982}"/>
    <cellStyle name="Accent4 3" xfId="220" xr:uid="{37A1C33B-95AC-4C73-926E-B7FAC49EC28F}"/>
    <cellStyle name="Accent4 4" xfId="353" xr:uid="{10682EF0-88EA-4F80-8574-E1619334F174}"/>
    <cellStyle name="Accent5 2" xfId="107" xr:uid="{289BC1C2-D641-41E7-AF4D-4102C26E72D3}"/>
    <cellStyle name="Accent5 3" xfId="221" xr:uid="{AEA28261-2288-48FC-A5B4-D877C1384C4E}"/>
    <cellStyle name="Accent5 4" xfId="354" xr:uid="{760B3EB4-EA45-448C-82D6-54DE23E728AA}"/>
    <cellStyle name="Accent6 2" xfId="108" xr:uid="{73054212-2C7F-4EE6-8D08-32958EE3B8E7}"/>
    <cellStyle name="Accent6 3" xfId="222" xr:uid="{C73A00F3-4D54-46BE-8D6E-74549833B506}"/>
    <cellStyle name="Accent6 4" xfId="355" xr:uid="{E3D5935D-DFD8-49A5-8C09-F3CB8692F8FD}"/>
    <cellStyle name="AggblueBoldCels" xfId="109" xr:uid="{7D98279E-2B36-4BB5-A7DA-3E1370E63B70}"/>
    <cellStyle name="AggblueBoldCels 2" xfId="110" xr:uid="{EAE765CD-2E53-41CB-81AB-7C30115DE771}"/>
    <cellStyle name="AggblueCels" xfId="34" xr:uid="{CC62676A-58BA-411B-9F13-98D4251778A9}"/>
    <cellStyle name="AggblueCels 2" xfId="111" xr:uid="{ACB74AEE-9A93-423C-A545-ED7E2EC84477}"/>
    <cellStyle name="AggblueCels_1x" xfId="33" xr:uid="{62C9F8B1-1FDC-4CB5-BACF-B503E53A4584}"/>
    <cellStyle name="AggBoldCells" xfId="7" xr:uid="{ECE90527-38B7-4EDE-86E5-CD066C7444DA}"/>
    <cellStyle name="AggBoldCells 2" xfId="112" xr:uid="{38074CF8-6358-4969-8D6F-678F804F8846}"/>
    <cellStyle name="AggBoldCells 3" xfId="192" xr:uid="{7BE98330-DFF1-4803-BB23-AB0BE726EAEA}"/>
    <cellStyle name="AggBoldCells 4" xfId="344" xr:uid="{E4708E72-8C9F-452F-8D5C-9739C63D8800}"/>
    <cellStyle name="AggCels" xfId="10" xr:uid="{F2E58BDF-C996-4301-9038-C15ABD52A2FD}"/>
    <cellStyle name="AggCels 2" xfId="113" xr:uid="{5569A551-3E3D-4C4B-9EDE-4067016F40EF}"/>
    <cellStyle name="AggCels 3" xfId="193" xr:uid="{7134E7D4-5410-4346-AB07-CB7EAA2F35E6}"/>
    <cellStyle name="AggCels 4" xfId="345" xr:uid="{75B0E38B-1AAD-4166-A221-774ED8FEE653}"/>
    <cellStyle name="AggCels_T(2)" xfId="8" xr:uid="{2B1C0887-C83B-4D98-BAD0-82542FE26652}"/>
    <cellStyle name="AggGreen" xfId="24" xr:uid="{D7E77597-1EA6-4E3B-981C-CD40285B9ABC}"/>
    <cellStyle name="AggGreen 2" xfId="114" xr:uid="{5F268720-4959-4378-85EE-DFB7DAB0A84C}"/>
    <cellStyle name="AggGreen 2 2" xfId="403" xr:uid="{3FB5F721-1F69-4FB9-BEEA-66CAA4BAFA3A}"/>
    <cellStyle name="AggGreen 2 2 2" xfId="580" xr:uid="{20B86D32-EFC1-4333-8E5F-D3BBDE1198BC}"/>
    <cellStyle name="AggGreen 2 2 2 10" xfId="2125" xr:uid="{9A57F8EB-D860-45FD-8DB6-E077D6F63104}"/>
    <cellStyle name="AggGreen 2 2 2 11" xfId="4952" xr:uid="{C72AD5D0-F755-42CA-8506-A52D919D436C}"/>
    <cellStyle name="AggGreen 2 2 2 12" xfId="5445" xr:uid="{E85DC6D6-BB81-4911-90E3-8C2563012D5B}"/>
    <cellStyle name="AggGreen 2 2 2 2" xfId="795" xr:uid="{6E4C33D3-6149-41D4-8D20-DAD9A51DE70A}"/>
    <cellStyle name="AggGreen 2 2 2 2 10" xfId="5161" xr:uid="{71F0629A-CBC5-43B7-877C-469F87EA90AC}"/>
    <cellStyle name="AggGreen 2 2 2 2 11" xfId="5415" xr:uid="{2356D9DF-A155-4C63-A2BA-74EA71A6B224}"/>
    <cellStyle name="AggGreen 2 2 2 2 2" xfId="1269" xr:uid="{BB215E9C-52EB-4F51-B1A5-450D78E6D519}"/>
    <cellStyle name="AggGreen 2 2 2 2 3" xfId="1557" xr:uid="{BEFFA260-DA9F-4EFF-8B2C-1949DDD1C0DE}"/>
    <cellStyle name="AggGreen 2 2 2 2 4" xfId="2499" xr:uid="{C764CD08-11F2-4F8C-A6FA-F33522152E69}"/>
    <cellStyle name="AggGreen 2 2 2 2 5" xfId="2953" xr:uid="{19E92DEB-7F54-4C9C-91E4-3A026BD6A34E}"/>
    <cellStyle name="AggGreen 2 2 2 2 6" xfId="3371" xr:uid="{A83F096B-DA75-438C-AD44-D3FACEFEBD76}"/>
    <cellStyle name="AggGreen 2 2 2 2 7" xfId="3785" xr:uid="{B84E60D6-CD36-4202-A859-0B77A06E90D0}"/>
    <cellStyle name="AggGreen 2 2 2 2 8" xfId="4208" xr:uid="{0D3BAB6A-1B6B-435F-AD92-7A0038E6D8C4}"/>
    <cellStyle name="AggGreen 2 2 2 2 9" xfId="4527" xr:uid="{369CA392-39F7-4519-86CE-0AC3B7C42658}"/>
    <cellStyle name="AggGreen 2 2 2 3" xfId="1063" xr:uid="{3445CC69-9D11-469D-BF49-390D8BB3999C}"/>
    <cellStyle name="AggGreen 2 2 2 4" xfId="1711" xr:uid="{D9BC716D-58C0-4E40-8AD0-7A419C2E6CD7}"/>
    <cellStyle name="AggGreen 2 2 2 5" xfId="2286" xr:uid="{D9A47528-EC5C-4DBE-A193-5742A48F1EC8}"/>
    <cellStyle name="AggGreen 2 2 2 6" xfId="2740" xr:uid="{D66A3DD6-2BCE-4DDC-B215-DE32A2483F79}"/>
    <cellStyle name="AggGreen 2 2 2 7" xfId="3157" xr:uid="{16F69A81-78F6-487A-895D-CF978C167ABD}"/>
    <cellStyle name="AggGreen 2 2 2 8" xfId="3570" xr:uid="{3BEB5145-08CF-49AB-8715-1BFF3083ECCD}"/>
    <cellStyle name="AggGreen 2 2 2 9" xfId="3995" xr:uid="{C8654B49-060B-4113-BE83-B534DF98272D}"/>
    <cellStyle name="AggGreen 2 2 3" xfId="710" xr:uid="{FF87A847-1BB8-4D78-8B2A-CAB92C3B5652}"/>
    <cellStyle name="AggGreen 2 2 3 10" xfId="5076" xr:uid="{26EE6F85-1451-447B-8652-1CEA64A7D42B}"/>
    <cellStyle name="AggGreen 2 2 3 11" xfId="5334" xr:uid="{4A549176-A258-4CA0-8847-95C74AD029D7}"/>
    <cellStyle name="AggGreen 2 2 3 2" xfId="1184" xr:uid="{73913C7B-9CD4-46B3-A408-FD829ED5C211}"/>
    <cellStyle name="AggGreen 2 2 3 3" xfId="1365" xr:uid="{76DFD927-7DC8-4F7E-8EEC-DB83D24B51AA}"/>
    <cellStyle name="AggGreen 2 2 3 4" xfId="2414" xr:uid="{226776E5-625D-431A-9D69-500D9CC283E8}"/>
    <cellStyle name="AggGreen 2 2 3 5" xfId="2868" xr:uid="{C0236932-B9AF-47DC-B14F-CE403B4E9FF8}"/>
    <cellStyle name="AggGreen 2 2 3 6" xfId="3286" xr:uid="{4E408488-C7CA-4FAE-B8B6-AE0F3EFBC984}"/>
    <cellStyle name="AggGreen 2 2 3 7" xfId="3700" xr:uid="{8C97C636-D8EA-4EDC-AD18-086DD44D1E0B}"/>
    <cellStyle name="AggGreen 2 2 3 8" xfId="4123" xr:uid="{005553A1-D00C-4AC2-9669-87D324601C16}"/>
    <cellStyle name="AggGreen 2 2 3 9" xfId="4112" xr:uid="{869F1A33-C766-4557-BE0F-5A8B291591F8}"/>
    <cellStyle name="AggGreen 2 3" xfId="261" xr:uid="{0E3E3B2A-8D19-45B0-8700-2C9C5497068E}"/>
    <cellStyle name="AggGreen 2 3 10" xfId="2090" xr:uid="{9B16C084-12AE-4747-84C1-6FC678CB4C18}"/>
    <cellStyle name="AggGreen 2 3 11" xfId="3500" xr:uid="{8F6AD1E3-802F-4368-8496-EF509CAE3D13}"/>
    <cellStyle name="AggGreen 2 3 12" xfId="2185" xr:uid="{63751B46-7E1F-467E-A981-422C5035AD92}"/>
    <cellStyle name="AggGreen 2 3 13" xfId="4725" xr:uid="{AFBECE7F-3F99-45DD-A735-3E8E40DD2917}"/>
    <cellStyle name="AggGreen 2 3 14" xfId="5273" xr:uid="{5D71B4D1-5A46-4A0D-9A5C-9A9DFCBA3273}"/>
    <cellStyle name="AggGreen 2 3 2" xfId="600" xr:uid="{0B092B21-96D7-4EF8-BDDB-FCAB125E63A5}"/>
    <cellStyle name="AggGreen 2 3 2 10" xfId="4389" xr:uid="{05EC7BAA-A24E-4964-9221-E49CA298960B}"/>
    <cellStyle name="AggGreen 2 3 2 11" xfId="4972" xr:uid="{C9C25B26-38A4-44F9-8FBD-AD0A83A3FF5C}"/>
    <cellStyle name="AggGreen 2 3 2 12" xfId="4848" xr:uid="{10CE3F75-6717-40D4-A8A8-DB5E0474C392}"/>
    <cellStyle name="AggGreen 2 3 2 2" xfId="815" xr:uid="{F14051DB-90D9-4AE6-BD78-CB0BDA3E601F}"/>
    <cellStyle name="AggGreen 2 3 2 2 10" xfId="5181" xr:uid="{972F745B-F774-48D2-B73E-B15FBBD9F8D6}"/>
    <cellStyle name="AggGreen 2 3 2 2 11" xfId="4658" xr:uid="{CC0363F4-0F6E-43C5-8794-5350EC5F538C}"/>
    <cellStyle name="AggGreen 2 3 2 2 2" xfId="1289" xr:uid="{2EEA54D4-8400-49D6-87D1-32BE1002E9DE}"/>
    <cellStyle name="AggGreen 2 3 2 2 3" xfId="1476" xr:uid="{E7C8CC29-3419-4D73-911F-18269297935C}"/>
    <cellStyle name="AggGreen 2 3 2 2 4" xfId="2519" xr:uid="{436D9C95-B4F8-4FE1-AF66-164A9D23F2C3}"/>
    <cellStyle name="AggGreen 2 3 2 2 5" xfId="2973" xr:uid="{DBA92EB9-F142-458B-8A9F-B1160ECC5653}"/>
    <cellStyle name="AggGreen 2 3 2 2 6" xfId="3391" xr:uid="{2C5C4CF6-0FBB-47E4-A8ED-EB137B76B23B}"/>
    <cellStyle name="AggGreen 2 3 2 2 7" xfId="3805" xr:uid="{C99782B3-E053-445D-8228-D7F80C610770}"/>
    <cellStyle name="AggGreen 2 3 2 2 8" xfId="4228" xr:uid="{0B68897E-48C8-4816-8E21-29E0FAC9AA54}"/>
    <cellStyle name="AggGreen 2 3 2 2 9" xfId="3896" xr:uid="{4CF028BE-57AC-4A54-82F7-1A09BDE6470B}"/>
    <cellStyle name="AggGreen 2 3 2 3" xfId="1083" xr:uid="{99D9CCB7-6923-4806-9BE0-A7AFE0E9A698}"/>
    <cellStyle name="AggGreen 2 3 2 4" xfId="1409" xr:uid="{1C77F209-2AF9-443D-8F4A-9195D7EA9B90}"/>
    <cellStyle name="AggGreen 2 3 2 5" xfId="2306" xr:uid="{90CA8C13-5431-4733-80DE-C87DDC244951}"/>
    <cellStyle name="AggGreen 2 3 2 6" xfId="2760" xr:uid="{F89E2F06-CE97-4018-808D-4D333CDD0F7E}"/>
    <cellStyle name="AggGreen 2 3 2 7" xfId="3177" xr:uid="{D44B3A39-E496-4E30-B815-08A8FC91D8E6}"/>
    <cellStyle name="AggGreen 2 3 2 8" xfId="3590" xr:uid="{3B93FD2F-78A9-4F7A-AA84-1FF555B58E13}"/>
    <cellStyle name="AggGreen 2 3 2 9" xfId="4015" xr:uid="{8B2D3012-C2B0-4359-9847-52F761A890FD}"/>
    <cellStyle name="AggGreen 2 3 3" xfId="669" xr:uid="{EAED8A06-CCE3-437D-AF64-3CACD89B8B01}"/>
    <cellStyle name="AggGreen 2 3 3 10" xfId="3902" xr:uid="{F64FBC78-F8C0-4F02-A066-9CF250CA7040}"/>
    <cellStyle name="AggGreen 2 3 3 11" xfId="5041" xr:uid="{4A1D0C88-98AF-4103-9261-9B3E03745D34}"/>
    <cellStyle name="AggGreen 2 3 3 12" xfId="5286" xr:uid="{3939D8E3-0955-4D4C-AC11-D1B2F51B35B2}"/>
    <cellStyle name="AggGreen 2 3 3 2" xfId="884" xr:uid="{B0F9F1A4-1E57-4692-B0B0-A6B3EEC22B5E}"/>
    <cellStyle name="AggGreen 2 3 3 2 10" xfId="5250" xr:uid="{376C7066-1F07-45D7-80F4-733B774ADBE0}"/>
    <cellStyle name="AggGreen 2 3 3 2 11" xfId="5478" xr:uid="{B4137566-D925-4260-BE1D-4892D78EC925}"/>
    <cellStyle name="AggGreen 2 3 3 2 2" xfId="1358" xr:uid="{37517B14-F1D4-46E7-A6CF-CAA8F45DECF4}"/>
    <cellStyle name="AggGreen 2 3 3 2 3" xfId="1807" xr:uid="{D7677D58-F2E3-48EA-A512-BDC97993A79E}"/>
    <cellStyle name="AggGreen 2 3 3 2 4" xfId="2588" xr:uid="{FC61B322-386D-4DA1-ABD1-3DED3A10AE8A}"/>
    <cellStyle name="AggGreen 2 3 3 2 5" xfId="3042" xr:uid="{8733D272-A3F2-4487-A3C1-953ECF1605F2}"/>
    <cellStyle name="AggGreen 2 3 3 2 6" xfId="3460" xr:uid="{6222098C-B723-4D28-80CF-A0B8A1204536}"/>
    <cellStyle name="AggGreen 2 3 3 2 7" xfId="3874" xr:uid="{8FB30F28-D881-4060-BB1B-222AE039E1E8}"/>
    <cellStyle name="AggGreen 2 3 3 2 8" xfId="4297" xr:uid="{FC25F70E-4CF5-4F22-A6F6-E86E2A2B5E59}"/>
    <cellStyle name="AggGreen 2 3 3 2 9" xfId="4565" xr:uid="{EDD59B3B-4D85-4790-B26D-B68E6CF0B993}"/>
    <cellStyle name="AggGreen 2 3 3 3" xfId="1152" xr:uid="{472978E8-98EA-418E-9E38-C621FD525C27}"/>
    <cellStyle name="AggGreen 2 3 3 4" xfId="1519" xr:uid="{6EC2FF48-20CC-4CBB-9B36-0EE46F1A9D9A}"/>
    <cellStyle name="AggGreen 2 3 3 5" xfId="2375" xr:uid="{0FC79302-84D0-46F9-98BC-2560A286923F}"/>
    <cellStyle name="AggGreen 2 3 3 6" xfId="2829" xr:uid="{68119511-1BFA-46A2-9CBD-55ECC35535E1}"/>
    <cellStyle name="AggGreen 2 3 3 7" xfId="3246" xr:uid="{C458143A-583C-478B-827C-797B7429F4A2}"/>
    <cellStyle name="AggGreen 2 3 3 8" xfId="3659" xr:uid="{A2B7740B-5A56-4C3E-A1B7-534CCAEFD44D}"/>
    <cellStyle name="AggGreen 2 3 3 9" xfId="4084" xr:uid="{062B2108-E8A7-42BE-9686-66D9D5DC0A8A}"/>
    <cellStyle name="AggGreen 2 3 4" xfId="665" xr:uid="{AB15F646-F093-415D-8F00-A7E7D4F74A97}"/>
    <cellStyle name="AggGreen 2 3 4 10" xfId="2854" xr:uid="{D4ACD895-8F54-489C-94EF-384ABCD40755}"/>
    <cellStyle name="AggGreen 2 3 4 11" xfId="5037" xr:uid="{2E6407AE-F417-4FDF-A777-D70FCD06F0C7}"/>
    <cellStyle name="AggGreen 2 3 4 12" xfId="5448" xr:uid="{B2C12008-FF92-4815-9371-0B74FA26B7BA}"/>
    <cellStyle name="AggGreen 2 3 4 2" xfId="880" xr:uid="{FFC7D059-E429-4763-8207-0B368921C360}"/>
    <cellStyle name="AggGreen 2 3 4 2 10" xfId="5246" xr:uid="{6A839EBB-FDD8-470E-9DF0-93F15F08D7AD}"/>
    <cellStyle name="AggGreen 2 3 4 2 11" xfId="5474" xr:uid="{20DA5C82-18DF-40DD-9ADC-178FB0D590C4}"/>
    <cellStyle name="AggGreen 2 3 4 2 2" xfId="1354" xr:uid="{59D77F2A-11B8-4871-A8E3-DFF975CF2A93}"/>
    <cellStyle name="AggGreen 2 3 4 2 3" xfId="1803" xr:uid="{EC9BF55B-BABB-411F-898F-24908E033AFB}"/>
    <cellStyle name="AggGreen 2 3 4 2 4" xfId="2584" xr:uid="{28C69685-B687-48BA-AB2C-B70C0AD1D0F8}"/>
    <cellStyle name="AggGreen 2 3 4 2 5" xfId="3038" xr:uid="{34C8070E-7996-45AD-ADAE-3A106513ACCF}"/>
    <cellStyle name="AggGreen 2 3 4 2 6" xfId="3456" xr:uid="{BC92D213-F7DA-484D-925A-5B49413857A6}"/>
    <cellStyle name="AggGreen 2 3 4 2 7" xfId="3870" xr:uid="{349CCC18-4487-472A-8C98-46C8053C178E}"/>
    <cellStyle name="AggGreen 2 3 4 2 8" xfId="4293" xr:uid="{C6F23BD8-F18F-4EC9-B47C-CF63B824D94B}"/>
    <cellStyle name="AggGreen 2 3 4 2 9" xfId="4561" xr:uid="{500CD5BE-6D45-407C-89EC-6637C447CEA1}"/>
    <cellStyle name="AggGreen 2 3 4 3" xfId="1148" xr:uid="{0BE5076B-0024-4A29-8D19-46534362A2AB}"/>
    <cellStyle name="AggGreen 2 3 4 4" xfId="1706" xr:uid="{750C245B-D85E-4C29-AE4F-42E54F485977}"/>
    <cellStyle name="AggGreen 2 3 4 5" xfId="2371" xr:uid="{3ABE658F-9C76-4F99-BD7F-7B80A83A4CC5}"/>
    <cellStyle name="AggGreen 2 3 4 6" xfId="2825" xr:uid="{745D1C21-B48B-4018-96E8-727ABBF5D33E}"/>
    <cellStyle name="AggGreen 2 3 4 7" xfId="3242" xr:uid="{35DF8CED-0322-4A3E-8715-F15A8E969DF8}"/>
    <cellStyle name="AggGreen 2 3 4 8" xfId="3655" xr:uid="{772C7B98-763B-48E3-AAAF-8C38772B9ADD}"/>
    <cellStyle name="AggGreen 2 3 4 9" xfId="4080" xr:uid="{9F0B7341-50AC-47EC-A6B4-78582307259C}"/>
    <cellStyle name="AggGreen 2 3 5" xfId="938" xr:uid="{85131384-7FA2-4FBA-9B4F-5A45B931865E}"/>
    <cellStyle name="AggGreen 2 3 6" xfId="1591" xr:uid="{81C00B2B-0C17-4C56-A7C4-283A24D0D07A}"/>
    <cellStyle name="AggGreen 2 3 7" xfId="2025" xr:uid="{00545ED1-98FD-4090-BBB2-2E61A42E9066}"/>
    <cellStyle name="AggGreen 2 3 8" xfId="2142" xr:uid="{09ECD2EF-EC2B-4FC1-AE3A-91BB6071D260}"/>
    <cellStyle name="AggGreen 2 3 9" xfId="2670" xr:uid="{BE8ACECC-EB81-494D-9304-25693469B12D}"/>
    <cellStyle name="AggGreen 3" xfId="402" xr:uid="{C1CA799E-509A-43B9-9C0C-EBFE30F0D853}"/>
    <cellStyle name="AggGreen 3 2" xfId="529" xr:uid="{B02C68B2-1F5F-4556-AC6C-86A6174002B4}"/>
    <cellStyle name="AggGreen 3 2 10" xfId="4540" xr:uid="{41007917-C680-4409-B7ED-5533F75BA8E4}"/>
    <cellStyle name="AggGreen 3 2 11" xfId="4901" xr:uid="{B5E9A412-52DF-43C1-A3D0-DF3DAB8ABFAE}"/>
    <cellStyle name="AggGreen 3 2 12" xfId="5454" xr:uid="{9BED9FFC-CBBA-4170-B33D-F7776714E095}"/>
    <cellStyle name="AggGreen 3 2 2" xfId="744" xr:uid="{D934068F-A725-4503-89A1-C72881D53159}"/>
    <cellStyle name="AggGreen 3 2 2 10" xfId="5110" xr:uid="{56A4E42F-A11E-4DF8-9802-E7C77DBF3233}"/>
    <cellStyle name="AggGreen 3 2 2 11" xfId="4583" xr:uid="{08AE610C-7E1E-43CA-8CF3-E1A81325E76E}"/>
    <cellStyle name="AggGreen 3 2 2 2" xfId="1218" xr:uid="{187C69C2-2133-413E-A4FD-D6607043959C}"/>
    <cellStyle name="AggGreen 3 2 2 3" xfId="1485" xr:uid="{BF3FC57B-F38B-4916-BC4F-3282694DF4B2}"/>
    <cellStyle name="AggGreen 3 2 2 4" xfId="2448" xr:uid="{C519367B-FCFE-4D93-89E8-57B00C6A337B}"/>
    <cellStyle name="AggGreen 3 2 2 5" xfId="2902" xr:uid="{68570163-1C4D-4B9F-924C-EE9763701764}"/>
    <cellStyle name="AggGreen 3 2 2 6" xfId="3320" xr:uid="{AE2A4E76-3825-4721-B3E0-9F3B23D95BDE}"/>
    <cellStyle name="AggGreen 3 2 2 7" xfId="3734" xr:uid="{A77394B8-E025-4620-91FA-B5B3F18F763A}"/>
    <cellStyle name="AggGreen 3 2 2 8" xfId="4157" xr:uid="{3A6E73A2-FFE9-471E-AF0A-E7C5E4BC6045}"/>
    <cellStyle name="AggGreen 3 2 2 9" xfId="4407" xr:uid="{74CE9634-65F1-42D5-B6B7-F3B82878303D}"/>
    <cellStyle name="AggGreen 3 2 3" xfId="1012" xr:uid="{DD1851D3-B167-48DF-8899-ED2063E9BE15}"/>
    <cellStyle name="AggGreen 3 2 4" xfId="1751" xr:uid="{3105A556-EA98-4B59-A8AE-2969B6A14424}"/>
    <cellStyle name="AggGreen 3 2 5" xfId="2235" xr:uid="{6F4C848D-CB80-4A30-8B64-9C3B560D09DB}"/>
    <cellStyle name="AggGreen 3 2 6" xfId="2689" xr:uid="{683F453F-50B7-45C3-A696-BCD8DD8B0CEF}"/>
    <cellStyle name="AggGreen 3 2 7" xfId="3106" xr:uid="{FBE7FC35-08E0-4D27-A9D0-F83AC035AA6D}"/>
    <cellStyle name="AggGreen 3 2 8" xfId="3519" xr:uid="{A3352260-26CF-42A6-BF4F-50199C255534}"/>
    <cellStyle name="AggGreen 3 2 9" xfId="3944" xr:uid="{49A21670-97AD-49CB-838E-D23AEC29ED2A}"/>
    <cellStyle name="AggGreen 3 3" xfId="709" xr:uid="{FBEA734C-D946-4456-A448-C15C24639246}"/>
    <cellStyle name="AggGreen 3 3 10" xfId="5075" xr:uid="{17D790B1-E128-4504-AD0E-A9858E8D0445}"/>
    <cellStyle name="AggGreen 3 3 11" xfId="5440" xr:uid="{9E753ABF-B5FB-4138-9B44-0574D25DE4EE}"/>
    <cellStyle name="AggGreen 3 3 2" xfId="1183" xr:uid="{76F306E9-6371-4D71-A2C6-D387BEC4D37A}"/>
    <cellStyle name="AggGreen 3 3 3" xfId="1449" xr:uid="{418B5F6E-F671-4694-90BF-DA6412EB9342}"/>
    <cellStyle name="AggGreen 3 3 4" xfId="2413" xr:uid="{1DBDDD37-2A15-4CCD-9D01-77D5F35721D2}"/>
    <cellStyle name="AggGreen 3 3 5" xfId="2867" xr:uid="{2C577363-7D3D-4283-83D0-CE78F9EBBE1A}"/>
    <cellStyle name="AggGreen 3 3 6" xfId="3285" xr:uid="{9F67E000-28A0-49D2-8D91-0EE9088362F2}"/>
    <cellStyle name="AggGreen 3 3 7" xfId="3699" xr:uid="{CE458A0B-306A-4FA0-A6C0-DA31A3FD50EB}"/>
    <cellStyle name="AggGreen 3 3 8" xfId="4122" xr:uid="{AEAE5951-BF5F-4A6D-A998-03CCF5B913E4}"/>
    <cellStyle name="AggGreen 3 3 9" xfId="4428" xr:uid="{B9DB075A-9414-42ED-92E0-EDAFB9222684}"/>
    <cellStyle name="AggGreen 4" xfId="260" xr:uid="{00FC83E1-1D75-438F-AFCC-2394AAFB8A1A}"/>
    <cellStyle name="AggGreen 4 10" xfId="2016" xr:uid="{8361A70C-4231-485A-8F54-80C5EE7E878A}"/>
    <cellStyle name="AggGreen 4 11" xfId="2082" xr:uid="{CF1DFE1A-ED83-480A-BA30-C73975862BEB}"/>
    <cellStyle name="AggGreen 4 12" xfId="4413" xr:uid="{A1AC80CE-E8E8-4CBD-BA1E-7FC2272CF45E}"/>
    <cellStyle name="AggGreen 4 13" xfId="4724" xr:uid="{E28EF836-F739-4577-9F5B-AAFB766C6E1B}"/>
    <cellStyle name="AggGreen 4 14" xfId="4792" xr:uid="{44A4AEE0-A0A8-4AEC-B8BB-EEF582B39981}"/>
    <cellStyle name="AggGreen 4 2" xfId="599" xr:uid="{909419BC-9DE0-46FB-B1DE-7E686EFA637E}"/>
    <cellStyle name="AggGreen 4 2 10" xfId="3484" xr:uid="{1519E14A-0FDF-461F-95A6-957F14551379}"/>
    <cellStyle name="AggGreen 4 2 11" xfId="4971" xr:uid="{975E017E-688E-4C3A-AF1C-322422B7B7B9}"/>
    <cellStyle name="AggGreen 4 2 12" xfId="4804" xr:uid="{B428E2CA-165D-4745-8102-36B02D5DA1E3}"/>
    <cellStyle name="AggGreen 4 2 2" xfId="814" xr:uid="{4132A7C0-7354-4DE9-B909-0A64F2FE9636}"/>
    <cellStyle name="AggGreen 4 2 2 10" xfId="5180" xr:uid="{D419D794-F46E-453E-83C8-D894A834257A}"/>
    <cellStyle name="AggGreen 4 2 2 11" xfId="4864" xr:uid="{B012AE16-38E2-49E8-9809-0486B80B72AC}"/>
    <cellStyle name="AggGreen 4 2 2 2" xfId="1288" xr:uid="{F8ED2C57-2B86-4AB6-8C9C-3AAAA8088C6C}"/>
    <cellStyle name="AggGreen 4 2 2 3" xfId="1420" xr:uid="{F4DD594D-5050-46F2-9931-BCA57F84F6BB}"/>
    <cellStyle name="AggGreen 4 2 2 4" xfId="2518" xr:uid="{6E2D847D-8240-4C3E-A263-20A2C8D527C8}"/>
    <cellStyle name="AggGreen 4 2 2 5" xfId="2972" xr:uid="{BDF14493-2893-44B9-BA20-A398C5F2E06C}"/>
    <cellStyle name="AggGreen 4 2 2 6" xfId="3390" xr:uid="{7DCBC2DB-CD85-4C7B-A521-B4071BF6D4E4}"/>
    <cellStyle name="AggGreen 4 2 2 7" xfId="3804" xr:uid="{C36A2E53-EBE1-4806-B6FE-3DEEE9F39155}"/>
    <cellStyle name="AggGreen 4 2 2 8" xfId="4227" xr:uid="{7EA3CD51-47BD-4D7A-AADA-251CDCD9288D}"/>
    <cellStyle name="AggGreen 4 2 2 9" xfId="4431" xr:uid="{25D67211-411C-4732-920C-5EB04E013225}"/>
    <cellStyle name="AggGreen 4 2 3" xfId="1082" xr:uid="{DDB74BDE-3BDE-4207-95E4-22E863CB481B}"/>
    <cellStyle name="AggGreen 4 2 4" xfId="1376" xr:uid="{A677C579-7EF1-4A42-876F-3C7B0D7CB1BF}"/>
    <cellStyle name="AggGreen 4 2 5" xfId="2305" xr:uid="{79DFC23B-143D-4AC4-AD3F-35FE9E9450F2}"/>
    <cellStyle name="AggGreen 4 2 6" xfId="2759" xr:uid="{65CEA9F1-BE35-486C-AE0F-DE5D3871822D}"/>
    <cellStyle name="AggGreen 4 2 7" xfId="3176" xr:uid="{36E047C1-045B-4CF1-BD60-F73C8EA9EC02}"/>
    <cellStyle name="AggGreen 4 2 8" xfId="3589" xr:uid="{52582647-9DA7-4FC2-B73A-D329AC9D67AC}"/>
    <cellStyle name="AggGreen 4 2 9" xfId="4014" xr:uid="{73F11268-DC95-4752-9521-880248360398}"/>
    <cellStyle name="AggGreen 4 3" xfId="514" xr:uid="{639012D1-F55E-4DEF-AC95-C2E4AFACCBAD}"/>
    <cellStyle name="AggGreen 4 3 10" xfId="4397" xr:uid="{D467BC96-EF96-4376-8F41-5D4DCBAC3A94}"/>
    <cellStyle name="AggGreen 4 3 11" xfId="4886" xr:uid="{249A33E4-60FD-4755-8C41-9B6082E3EEB6}"/>
    <cellStyle name="AggGreen 4 3 12" xfId="5416" xr:uid="{A8F2DCEE-D07E-452A-9F9D-B79B84EF4FB9}"/>
    <cellStyle name="AggGreen 4 3 2" xfId="729" xr:uid="{B4654C8C-FBB2-424E-BCC2-C1C402A09DA7}"/>
    <cellStyle name="AggGreen 4 3 2 10" xfId="5095" xr:uid="{C285BDDC-8D98-4594-A280-60484CFAFEAC}"/>
    <cellStyle name="AggGreen 4 3 2 11" xfId="5310" xr:uid="{E9B7C38B-4881-4BC8-9706-6A3F3D5B9CB5}"/>
    <cellStyle name="AggGreen 4 3 2 2" xfId="1203" xr:uid="{5A3842F8-0948-43FD-81B3-9AEED38D462E}"/>
    <cellStyle name="AggGreen 4 3 2 3" xfId="1492" xr:uid="{0E69793D-8000-46ED-84DD-8CA462EDFB4C}"/>
    <cellStyle name="AggGreen 4 3 2 4" xfId="2433" xr:uid="{E8297422-1692-4442-9C59-BC6A4BD7A17A}"/>
    <cellStyle name="AggGreen 4 3 2 5" xfId="2887" xr:uid="{B3631042-E2B0-4246-9B0F-0BA63B6773C9}"/>
    <cellStyle name="AggGreen 4 3 2 6" xfId="3305" xr:uid="{08C1D935-20B0-4ED9-BA48-B7DDF7DB4B65}"/>
    <cellStyle name="AggGreen 4 3 2 7" xfId="3719" xr:uid="{1E410971-E29C-4CB7-AE49-8DFB3FC54085}"/>
    <cellStyle name="AggGreen 4 3 2 8" xfId="4142" xr:uid="{F35D48BF-A68C-4A06-AA83-B279B50727C9}"/>
    <cellStyle name="AggGreen 4 3 2 9" xfId="1996" xr:uid="{ED4424DF-5186-41B5-9378-2F32C6513516}"/>
    <cellStyle name="AggGreen 4 3 3" xfId="997" xr:uid="{DA03FE0C-F846-4845-BE33-AED7B1FD03BA}"/>
    <cellStyle name="AggGreen 4 3 4" xfId="1733" xr:uid="{35DEDE6E-8D28-4CC0-91A0-6EDABA954195}"/>
    <cellStyle name="AggGreen 4 3 5" xfId="2220" xr:uid="{5BC39F98-905F-4CAA-89B5-A4B73061E24B}"/>
    <cellStyle name="AggGreen 4 3 6" xfId="2674" xr:uid="{D315CB43-8E1A-48D3-8434-301AF477F635}"/>
    <cellStyle name="AggGreen 4 3 7" xfId="3091" xr:uid="{576E3BA4-083D-48F1-B672-A2882BC461E9}"/>
    <cellStyle name="AggGreen 4 3 8" xfId="3504" xr:uid="{663677A7-ADA4-43E5-A0F7-4367A67C2EC6}"/>
    <cellStyle name="AggGreen 4 3 9" xfId="3929" xr:uid="{96E1809E-54AF-4AC8-B959-19CDAA02A461}"/>
    <cellStyle name="AggGreen 4 4" xfId="632" xr:uid="{3A7643F8-54FE-40DA-9228-64F66CE5278D}"/>
    <cellStyle name="AggGreen 4 4 10" xfId="2830" xr:uid="{9F021D8A-942C-41A0-AF4A-9D101CCBC1E1}"/>
    <cellStyle name="AggGreen 4 4 11" xfId="5004" xr:uid="{62F856CB-8B49-4766-BE2D-D42844A60498}"/>
    <cellStyle name="AggGreen 4 4 12" xfId="5378" xr:uid="{E936F4DA-820E-4DE9-A0CC-760C18BF7472}"/>
    <cellStyle name="AggGreen 4 4 2" xfId="847" xr:uid="{A8A79DA9-F94B-4AF5-9A23-E7C8EF805176}"/>
    <cellStyle name="AggGreen 4 4 2 10" xfId="5213" xr:uid="{9573C726-54BA-4B30-85AB-CC87DCAA7843}"/>
    <cellStyle name="AggGreen 4 4 2 11" xfId="4868" xr:uid="{E5FD6536-4640-496F-8D8D-45C136449571}"/>
    <cellStyle name="AggGreen 4 4 2 2" xfId="1321" xr:uid="{4E4F955C-19CD-4CCA-96EA-056443FC43C2}"/>
    <cellStyle name="AggGreen 4 4 2 3" xfId="1770" xr:uid="{F546BB60-4A71-4CDA-8E46-CAF62618E900}"/>
    <cellStyle name="AggGreen 4 4 2 4" xfId="2551" xr:uid="{573ADA20-D183-40FE-97BB-A5520E0B554D}"/>
    <cellStyle name="AggGreen 4 4 2 5" xfId="3005" xr:uid="{C5B20709-FE21-45ED-98A9-AE07019AA2C1}"/>
    <cellStyle name="AggGreen 4 4 2 6" xfId="3423" xr:uid="{6273F14F-9021-44E7-8129-0CC79B00F3D1}"/>
    <cellStyle name="AggGreen 4 4 2 7" xfId="3837" xr:uid="{4CCD772F-529B-4F2B-B7AC-A43B3B3DB189}"/>
    <cellStyle name="AggGreen 4 4 2 8" xfId="4260" xr:uid="{F98B431D-B8E6-4B2E-95B4-9F59A4835424}"/>
    <cellStyle name="AggGreen 4 4 2 9" xfId="4449" xr:uid="{3EE822BB-0464-4513-947F-E1BF722DE9D7}"/>
    <cellStyle name="AggGreen 4 4 3" xfId="1115" xr:uid="{769CEEF6-7D90-4B54-A59C-E195F82B8EBA}"/>
    <cellStyle name="AggGreen 4 4 4" xfId="1633" xr:uid="{BE0F5E07-021B-4008-9601-4B509749108E}"/>
    <cellStyle name="AggGreen 4 4 5" xfId="2338" xr:uid="{D5ACDB45-0F0A-4193-99CB-14126192DC58}"/>
    <cellStyle name="AggGreen 4 4 6" xfId="2792" xr:uid="{C4730EB0-32A1-4253-A884-D9F619EA536A}"/>
    <cellStyle name="AggGreen 4 4 7" xfId="3209" xr:uid="{CF41AD60-5017-4E0C-9C53-84B1BF84BF70}"/>
    <cellStyle name="AggGreen 4 4 8" xfId="3622" xr:uid="{70FC190A-F40F-450D-9BF9-727049D74CFC}"/>
    <cellStyle name="AggGreen 4 4 9" xfId="4047" xr:uid="{88160C05-2C4D-4BD9-89E7-9EBED321CEF4}"/>
    <cellStyle name="AggGreen 4 5" xfId="937" xr:uid="{8AE992C3-7813-41AD-83CF-C30F2F9E69A1}"/>
    <cellStyle name="AggGreen 4 6" xfId="1534" xr:uid="{0122B9DA-813D-419C-9536-94BDC3DDA563}"/>
    <cellStyle name="AggGreen 4 7" xfId="2024" xr:uid="{D39B1C88-052C-487D-9C80-CBE697ED8051}"/>
    <cellStyle name="AggGreen 4 8" xfId="1840" xr:uid="{BEEEBD05-2427-43EE-BD7E-679D3696887E}"/>
    <cellStyle name="AggGreen 4 9" xfId="2856" xr:uid="{C737B432-47E4-4F89-B19F-A58A29BE2E65}"/>
    <cellStyle name="AggGreen 5" xfId="76" xr:uid="{74782D46-EE93-4856-85F0-93DC50C466F2}"/>
    <cellStyle name="AggGreen 5 2" xfId="921" xr:uid="{28E525F4-757E-4A0D-8CA0-C3A867CD0037}"/>
    <cellStyle name="AggGreen 5 3" xfId="1891" xr:uid="{4A43A418-C573-4161-AE50-B7F7553A3631}"/>
    <cellStyle name="AggGreen 5 4" xfId="1839" xr:uid="{582A22A3-24FB-4A5C-99F8-F1983B6BDBB3}"/>
    <cellStyle name="AggGreen 5 5" xfId="4624" xr:uid="{CBCC6DEC-8021-4EBE-94B9-E2A67A8AEED8}"/>
    <cellStyle name="AggGreen_Bbdr" xfId="25" xr:uid="{6AF3ED15-6184-4190-B432-7DD1899DD1D6}"/>
    <cellStyle name="AggGreen12" xfId="22" xr:uid="{7FBA6500-DA27-44F6-BD14-3A6FF781C884}"/>
    <cellStyle name="AggGreen12 2" xfId="115" xr:uid="{EE1B7331-A7DD-45BC-9BC0-7144F65CFB6F}"/>
    <cellStyle name="AggGreen12 2 2" xfId="405" xr:uid="{FE8470F5-6E8E-48DD-82DE-4CC091F37F07}"/>
    <cellStyle name="AggGreen12 2 2 2" xfId="598" xr:uid="{7093A909-17B6-4E06-84D8-E6800D7789A7}"/>
    <cellStyle name="AggGreen12 2 2 2 10" xfId="1849" xr:uid="{87378613-6459-4BDC-B605-F2FCC8E98E5F}"/>
    <cellStyle name="AggGreen12 2 2 2 11" xfId="4970" xr:uid="{5BAA8C08-4A05-4968-86A8-5A23AB913764}"/>
    <cellStyle name="AggGreen12 2 2 2 12" xfId="5285" xr:uid="{8A756A7C-C33B-4834-BFC6-3E6B691BBDC6}"/>
    <cellStyle name="AggGreen12 2 2 2 2" xfId="813" xr:uid="{5D8A91BF-D59B-4330-911E-5048781661B4}"/>
    <cellStyle name="AggGreen12 2 2 2 2 10" xfId="5179" xr:uid="{BC657778-07FF-4A30-A7D5-9D31C351842B}"/>
    <cellStyle name="AggGreen12 2 2 2 2 11" xfId="4787" xr:uid="{3954F21B-D60C-42C2-B45A-A5CFEDD66F6E}"/>
    <cellStyle name="AggGreen12 2 2 2 2 2" xfId="1287" xr:uid="{556B5014-CF80-4AA1-8D44-33082B4F9ABB}"/>
    <cellStyle name="AggGreen12 2 2 2 2 3" xfId="1477" xr:uid="{CEC976EB-858E-4932-80AC-C04A02D8D2B0}"/>
    <cellStyle name="AggGreen12 2 2 2 2 4" xfId="2517" xr:uid="{2863ADAB-A798-4B75-BAB7-1005F69EBF13}"/>
    <cellStyle name="AggGreen12 2 2 2 2 5" xfId="2971" xr:uid="{2BF046FC-F05B-478D-BD20-2D0A87C64672}"/>
    <cellStyle name="AggGreen12 2 2 2 2 6" xfId="3389" xr:uid="{1404961C-FA20-4A40-B7E8-4222524C1142}"/>
    <cellStyle name="AggGreen12 2 2 2 2 7" xfId="3803" xr:uid="{5FE88919-1434-4FA8-AD8F-AAEA938C69F0}"/>
    <cellStyle name="AggGreen12 2 2 2 2 8" xfId="4226" xr:uid="{EF8DDBDD-E453-4105-9D91-5B3DE2450CC5}"/>
    <cellStyle name="AggGreen12 2 2 2 2 9" xfId="4363" xr:uid="{9D561A30-42DB-4DDF-8BC1-BACD7D1A0A75}"/>
    <cellStyle name="AggGreen12 2 2 2 3" xfId="1081" xr:uid="{529B8053-34D2-4BAB-AC86-7E0E55484BDE}"/>
    <cellStyle name="AggGreen12 2 2 2 4" xfId="1378" xr:uid="{D48B82FA-B0FF-4C93-AD7D-52D6E440F885}"/>
    <cellStyle name="AggGreen12 2 2 2 5" xfId="2304" xr:uid="{54AAF166-E1B9-469A-9364-0C0F09548D0D}"/>
    <cellStyle name="AggGreen12 2 2 2 6" xfId="2758" xr:uid="{8DC02588-F8FC-4034-9008-F106F8316980}"/>
    <cellStyle name="AggGreen12 2 2 2 7" xfId="3175" xr:uid="{5BCC310E-637F-47E4-9692-3FB7DCB5D8FE}"/>
    <cellStyle name="AggGreen12 2 2 2 8" xfId="3588" xr:uid="{BDB1FB96-0001-4E6E-9FE5-7A6B92301805}"/>
    <cellStyle name="AggGreen12 2 2 2 9" xfId="4013" xr:uid="{7A98F2A1-9DFE-467C-951E-3CFEC03656D6}"/>
    <cellStyle name="AggGreen12 2 2 3" xfId="712" xr:uid="{B3163420-C6FC-4683-8480-07DAFA446AE5}"/>
    <cellStyle name="AggGreen12 2 2 3 10" xfId="5078" xr:uid="{AE6ABEC8-E68D-4468-BEA6-632FE117F307}"/>
    <cellStyle name="AggGreen12 2 2 3 11" xfId="5282" xr:uid="{6328C841-E009-4725-BF11-01D748E3C760}"/>
    <cellStyle name="AggGreen12 2 2 3 2" xfId="1186" xr:uid="{7F6053C8-0CB2-408D-9C9D-28DC851C6F2D}"/>
    <cellStyle name="AggGreen12 2 2 3 3" xfId="1448" xr:uid="{7B33E0B4-3DB1-421D-91F3-46D72369229F}"/>
    <cellStyle name="AggGreen12 2 2 3 4" xfId="2416" xr:uid="{B28BB635-BAED-44D3-8358-EBE53AD37CC9}"/>
    <cellStyle name="AggGreen12 2 2 3 5" xfId="2870" xr:uid="{9BCB9CC3-2015-4103-B240-ED141A03B73B}"/>
    <cellStyle name="AggGreen12 2 2 3 6" xfId="3288" xr:uid="{98F5AD55-C37D-4EC7-997B-EF53F57369A6}"/>
    <cellStyle name="AggGreen12 2 2 3 7" xfId="3702" xr:uid="{131659D7-29C6-48C7-BDD8-25B69E6DB943}"/>
    <cellStyle name="AggGreen12 2 2 3 8" xfId="4125" xr:uid="{2938BF85-0976-4E19-AF98-6135A40B26B4}"/>
    <cellStyle name="AggGreen12 2 2 3 9" xfId="2075" xr:uid="{1AC3DAE3-2C66-4241-8E8A-62DD0C906399}"/>
    <cellStyle name="AggGreen12 2 3" xfId="263" xr:uid="{FB690A81-7D2F-468E-8D98-74D7821A2FD2}"/>
    <cellStyle name="AggGreen12 2 3 10" xfId="3275" xr:uid="{7C7526C3-A657-419E-977F-CD35E963BE79}"/>
    <cellStyle name="AggGreen12 2 3 11" xfId="3059" xr:uid="{FC4C16B7-F9B6-40B3-A0F8-460362F2E83F}"/>
    <cellStyle name="AggGreen12 2 3 12" xfId="4108" xr:uid="{32111E81-C944-4BD6-B0C7-67BB1584EDD4}"/>
    <cellStyle name="AggGreen12 2 3 13" xfId="4727" xr:uid="{9A99C080-4FB5-40EF-9576-7B11CF1E041E}"/>
    <cellStyle name="AggGreen12 2 3 14" xfId="4691" xr:uid="{E2FF237A-62CA-4BE4-B595-0FBFF80CBEA1}"/>
    <cellStyle name="AggGreen12 2 3 2" xfId="602" xr:uid="{5CD3E4F8-C7D0-4A90-80F4-EEE361081FD9}"/>
    <cellStyle name="AggGreen12 2 3 2 10" xfId="4378" xr:uid="{D2511591-DC00-4DF2-BD64-A5A219BA208E}"/>
    <cellStyle name="AggGreen12 2 3 2 11" xfId="4974" xr:uid="{A201164E-4EEE-4B47-A359-3A6C0D056394}"/>
    <cellStyle name="AggGreen12 2 3 2 12" xfId="4823" xr:uid="{F966834F-3BBA-494D-9C8D-7F6BECBF2D64}"/>
    <cellStyle name="AggGreen12 2 3 2 2" xfId="817" xr:uid="{EC637064-10AF-47AC-B0BC-7F6FF8747A8C}"/>
    <cellStyle name="AggGreen12 2 3 2 2 10" xfId="5183" xr:uid="{D6968470-B95A-4A71-8F2C-B06E4846741E}"/>
    <cellStyle name="AggGreen12 2 3 2 2 11" xfId="4802" xr:uid="{53CEA197-88D8-47B1-A258-16BA01E75ECB}"/>
    <cellStyle name="AggGreen12 2 3 2 2 2" xfId="1291" xr:uid="{0F118FBE-EF25-4CDA-BBD3-C87078A2B8CE}"/>
    <cellStyle name="AggGreen12 2 3 2 2 3" xfId="1475" xr:uid="{1B383BEA-6831-43E8-AA00-FD0F22350672}"/>
    <cellStyle name="AggGreen12 2 3 2 2 4" xfId="2521" xr:uid="{698A944F-29C5-46AC-8CA4-662C55B90CEA}"/>
    <cellStyle name="AggGreen12 2 3 2 2 5" xfId="2975" xr:uid="{E09CF10A-BEB2-489F-A5A1-8ED4D1FCB37D}"/>
    <cellStyle name="AggGreen12 2 3 2 2 6" xfId="3393" xr:uid="{AB219E7E-6EDD-4726-BB46-FF7237489431}"/>
    <cellStyle name="AggGreen12 2 3 2 2 7" xfId="3807" xr:uid="{BB1B44F9-2A37-432A-9D03-821058D24DD3}"/>
    <cellStyle name="AggGreen12 2 3 2 2 8" xfId="4230" xr:uid="{1951AAD1-0A5E-44E8-8D6B-54D04F90EC2E}"/>
    <cellStyle name="AggGreen12 2 3 2 2 9" xfId="4433" xr:uid="{6BACD4E6-7A55-49E9-8BDE-E5CCC7368C2B}"/>
    <cellStyle name="AggGreen12 2 3 2 3" xfId="1085" xr:uid="{A19FD46A-4F94-45B2-B32E-889D93D6EF5D}"/>
    <cellStyle name="AggGreen12 2 3 2 4" xfId="1627" xr:uid="{EDEA5592-5180-4CE4-AACA-8B2E5853E5FB}"/>
    <cellStyle name="AggGreen12 2 3 2 5" xfId="2308" xr:uid="{BB6A209A-0829-4603-A27E-0BD8361980EC}"/>
    <cellStyle name="AggGreen12 2 3 2 6" xfId="2762" xr:uid="{65178164-372F-41D5-8832-972DD21EE2B3}"/>
    <cellStyle name="AggGreen12 2 3 2 7" xfId="3179" xr:uid="{67CBDEE9-F8ED-4D5A-A663-A5A38695F687}"/>
    <cellStyle name="AggGreen12 2 3 2 8" xfId="3592" xr:uid="{37AC26B7-68FC-485D-9043-2C6F102A564F}"/>
    <cellStyle name="AggGreen12 2 3 2 9" xfId="4017" xr:uid="{3842A476-B9DF-4329-B2E5-DA18ED0D3391}"/>
    <cellStyle name="AggGreen12 2 3 3" xfId="551" xr:uid="{4C123CD4-E1D9-448C-B5E7-C1CD179A2BC8}"/>
    <cellStyle name="AggGreen12 2 3 3 10" xfId="4342" xr:uid="{0DA2BFEA-8570-452E-8B4B-0A2B5D1FC527}"/>
    <cellStyle name="AggGreen12 2 3 3 11" xfId="4923" xr:uid="{EFF3A53A-8FD5-4D82-BAA1-AF9363734F39}"/>
    <cellStyle name="AggGreen12 2 3 3 12" xfId="4754" xr:uid="{AA25220C-8BF0-4FFB-B01A-E3C7F1373587}"/>
    <cellStyle name="AggGreen12 2 3 3 2" xfId="766" xr:uid="{98A57A07-A801-48EF-A21F-31D1497301A1}"/>
    <cellStyle name="AggGreen12 2 3 3 2 10" xfId="5132" xr:uid="{72F1574A-0A54-41E9-B66A-4D8E1178C133}"/>
    <cellStyle name="AggGreen12 2 3 3 2 11" xfId="4773" xr:uid="{9D7DF8C0-4F59-46D9-B3D5-E1EE870DED1A}"/>
    <cellStyle name="AggGreen12 2 3 3 2 2" xfId="1240" xr:uid="{B77DD33F-81A9-49F0-B3B6-1F6DF0F9F987}"/>
    <cellStyle name="AggGreen12 2 3 3 2 3" xfId="1541" xr:uid="{6FD51C54-DE68-433A-B379-DB8E04250954}"/>
    <cellStyle name="AggGreen12 2 3 3 2 4" xfId="2470" xr:uid="{82AABCA7-6FE5-4BE0-AD15-2B98FF294262}"/>
    <cellStyle name="AggGreen12 2 3 3 2 5" xfId="2924" xr:uid="{739B0C10-B884-46DA-8616-3F305DB4383C}"/>
    <cellStyle name="AggGreen12 2 3 3 2 6" xfId="3342" xr:uid="{A90FCAD2-227B-4CB2-872A-F07EFB817629}"/>
    <cellStyle name="AggGreen12 2 3 3 2 7" xfId="3756" xr:uid="{D75CF82E-0EAD-4B54-A41E-F07CCA62179F}"/>
    <cellStyle name="AggGreen12 2 3 3 2 8" xfId="4179" xr:uid="{2EA61C84-CB10-45EC-9116-A096B7BA355E}"/>
    <cellStyle name="AggGreen12 2 3 3 2 9" xfId="4485" xr:uid="{33BC9765-BEDC-41DF-9E7B-03180C64F72B}"/>
    <cellStyle name="AggGreen12 2 3 3 3" xfId="1034" xr:uid="{C0DCE4C1-9AA2-4C80-9893-74E7DE54A11B}"/>
    <cellStyle name="AggGreen12 2 3 3 4" xfId="1379" xr:uid="{4F81F0FA-7DCE-4205-BB5B-ECF79EC19885}"/>
    <cellStyle name="AggGreen12 2 3 3 5" xfId="2257" xr:uid="{8E195F2F-48F3-403B-A722-F7A0946FDD2D}"/>
    <cellStyle name="AggGreen12 2 3 3 6" xfId="2711" xr:uid="{64FE4195-FDAC-452D-9EE3-148B880045D8}"/>
    <cellStyle name="AggGreen12 2 3 3 7" xfId="3128" xr:uid="{29CA0999-61C5-4CA4-B846-C9AF5D484E7D}"/>
    <cellStyle name="AggGreen12 2 3 3 8" xfId="3541" xr:uid="{4B21D6FC-045F-4F5B-AD16-3561EFED349F}"/>
    <cellStyle name="AggGreen12 2 3 3 9" xfId="3966" xr:uid="{8965894F-F01D-40D6-8BB6-812DF5C923CE}"/>
    <cellStyle name="AggGreen12 2 3 4" xfId="631" xr:uid="{618E212C-5964-4C75-8A95-2B58C6B84CC8}"/>
    <cellStyle name="AggGreen12 2 3 4 10" xfId="4391" xr:uid="{66CF8812-F6BA-4776-BCC7-447AA473FC22}"/>
    <cellStyle name="AggGreen12 2 3 4 11" xfId="5003" xr:uid="{3D3E5275-14AD-45A6-B01C-7BB22751B2BC}"/>
    <cellStyle name="AggGreen12 2 3 4 12" xfId="4585" xr:uid="{1E68FB1D-525A-4F5F-B3B4-6D3E0EC620BB}"/>
    <cellStyle name="AggGreen12 2 3 4 2" xfId="846" xr:uid="{B3E68385-607E-4942-B875-22ECFA2CD40B}"/>
    <cellStyle name="AggGreen12 2 3 4 2 10" xfId="5212" xr:uid="{31E74F71-5546-494A-AD82-F31FEE4C6E77}"/>
    <cellStyle name="AggGreen12 2 3 4 2 11" xfId="4659" xr:uid="{DB4DD291-ED88-42D8-9170-0E72AC75201A}"/>
    <cellStyle name="AggGreen12 2 3 4 2 2" xfId="1320" xr:uid="{265309A4-9A6A-45EC-AD66-26BC566E3AF3}"/>
    <cellStyle name="AggGreen12 2 3 4 2 3" xfId="1769" xr:uid="{6D664288-09E4-4E0C-8BFF-A55D857DAC38}"/>
    <cellStyle name="AggGreen12 2 3 4 2 4" xfId="2550" xr:uid="{46BF860F-975A-4887-804D-1C17C8E82E26}"/>
    <cellStyle name="AggGreen12 2 3 4 2 5" xfId="3004" xr:uid="{1194D8BB-5CFF-4E52-AD8B-0298420C4E2B}"/>
    <cellStyle name="AggGreen12 2 3 4 2 6" xfId="3422" xr:uid="{7F559590-0CAF-4E2E-99B0-A176B862947F}"/>
    <cellStyle name="AggGreen12 2 3 4 2 7" xfId="3836" xr:uid="{1F4C6617-900D-4966-B36E-AA7D77D0A892}"/>
    <cellStyle name="AggGreen12 2 3 4 2 8" xfId="4259" xr:uid="{3A8A08E4-22C4-41DB-B77A-39B6D99B8663}"/>
    <cellStyle name="AggGreen12 2 3 4 2 9" xfId="4427" xr:uid="{DA703B54-521E-4404-A05C-A06308EF841B}"/>
    <cellStyle name="AggGreen12 2 3 4 3" xfId="1114" xr:uid="{A04B3E37-54AE-4CB7-8A1D-226814EE3E09}"/>
    <cellStyle name="AggGreen12 2 3 4 4" xfId="1725" xr:uid="{A4EFEE12-59BF-45BB-AA09-785B166AECB6}"/>
    <cellStyle name="AggGreen12 2 3 4 5" xfId="2337" xr:uid="{961EC6D4-A763-43F3-BE0B-2CF337256A36}"/>
    <cellStyle name="AggGreen12 2 3 4 6" xfId="2791" xr:uid="{0EF0A230-1966-47C0-8AEB-A3BC35F98CA1}"/>
    <cellStyle name="AggGreen12 2 3 4 7" xfId="3208" xr:uid="{EF6A576C-498A-495F-8006-5EB7C0CE9390}"/>
    <cellStyle name="AggGreen12 2 3 4 8" xfId="3621" xr:uid="{79CDA5A3-A90A-4196-BC16-EE09AB84BE88}"/>
    <cellStyle name="AggGreen12 2 3 4 9" xfId="4046" xr:uid="{5EEE3618-BA8F-49CF-AE6B-3F51CBDF5F5D}"/>
    <cellStyle name="AggGreen12 2 3 5" xfId="940" xr:uid="{D97E27E1-8D8F-4472-AAFF-920C29B9CB5B}"/>
    <cellStyle name="AggGreen12 2 3 6" xfId="1537" xr:uid="{E85D206E-687A-4D9D-B6BF-792C36616F3B}"/>
    <cellStyle name="AggGreen12 2 3 7" xfId="2027" xr:uid="{1DEE141F-57DE-4D98-B906-39E2DC006A98}"/>
    <cellStyle name="AggGreen12 2 3 8" xfId="1923" xr:uid="{3A03F179-F08F-4DCD-8FAE-A524CE45B180}"/>
    <cellStyle name="AggGreen12 2 3 9" xfId="2154" xr:uid="{24815DE2-D02D-4CF7-924A-19F75CF89FE5}"/>
    <cellStyle name="AggGreen12 3" xfId="404" xr:uid="{83396624-5A8E-48EF-9C44-A992673DB914}"/>
    <cellStyle name="AggGreen12 3 2" xfId="528" xr:uid="{68985DA6-95E4-4C82-B9FD-7ECFB67D5EFB}"/>
    <cellStyle name="AggGreen12 3 2 10" xfId="4470" xr:uid="{540906AE-443F-4CD8-90D2-20085204AE84}"/>
    <cellStyle name="AggGreen12 3 2 11" xfId="4900" xr:uid="{FA67DEBE-6EF9-42AC-9632-48C3815CD23C}"/>
    <cellStyle name="AggGreen12 3 2 12" xfId="5358" xr:uid="{31793150-4658-4484-A247-4774922B3AF1}"/>
    <cellStyle name="AggGreen12 3 2 2" xfId="743" xr:uid="{98BD573D-D526-4FCF-9EFF-79440AA82A94}"/>
    <cellStyle name="AggGreen12 3 2 2 10" xfId="5109" xr:uid="{32DADF8A-DFEA-4DF3-810F-CD420CABB6F9}"/>
    <cellStyle name="AggGreen12 3 2 2 11" xfId="4668" xr:uid="{B158F4CE-C322-4F38-A76F-91A7872D5F9D}"/>
    <cellStyle name="AggGreen12 3 2 2 2" xfId="1217" xr:uid="{A8CFF091-CFA7-4627-88B9-D4DAC50846B2}"/>
    <cellStyle name="AggGreen12 3 2 2 3" xfId="1435" xr:uid="{68E54D82-B66D-4345-9703-EA830CB85521}"/>
    <cellStyle name="AggGreen12 3 2 2 4" xfId="2447" xr:uid="{530CD6B9-594D-4D80-9481-C7AB12BCD7AE}"/>
    <cellStyle name="AggGreen12 3 2 2 5" xfId="2901" xr:uid="{AAF533E6-4DA8-4FE4-AE4B-EB66F8181508}"/>
    <cellStyle name="AggGreen12 3 2 2 6" xfId="3319" xr:uid="{C1FAEE0A-2DE3-4324-8B18-34A29CEA816B}"/>
    <cellStyle name="AggGreen12 3 2 2 7" xfId="3733" xr:uid="{E9EAA04C-D28C-4E7D-A2F4-4BC66AEC445D}"/>
    <cellStyle name="AggGreen12 3 2 2 8" xfId="4156" xr:uid="{D1792785-CEBB-43FD-A4F7-DC3EDE139EF1}"/>
    <cellStyle name="AggGreen12 3 2 2 9" xfId="4325" xr:uid="{BB119476-4B9E-4610-83B9-4D7CA2D37855}"/>
    <cellStyle name="AggGreen12 3 2 3" xfId="1011" xr:uid="{55DEB196-726D-4E42-8460-165014DA6C75}"/>
    <cellStyle name="AggGreen12 3 2 4" xfId="1667" xr:uid="{C17E92AC-9E8E-4EA0-ADEF-B7B3A7B98AC5}"/>
    <cellStyle name="AggGreen12 3 2 5" xfId="2234" xr:uid="{42CC89B0-76EA-4F55-9D66-A7AE9CACEB80}"/>
    <cellStyle name="AggGreen12 3 2 6" xfId="2688" xr:uid="{016755C9-550D-42FD-93D8-33918E04BF33}"/>
    <cellStyle name="AggGreen12 3 2 7" xfId="3105" xr:uid="{4001E33B-5AEC-4F3B-8344-5916F91AC5F3}"/>
    <cellStyle name="AggGreen12 3 2 8" xfId="3518" xr:uid="{54B2B87E-28E0-4734-930D-9D3585B3042C}"/>
    <cellStyle name="AggGreen12 3 2 9" xfId="3943" xr:uid="{323E4291-AE67-40F7-8CE4-5B30732BED54}"/>
    <cellStyle name="AggGreen12 3 3" xfId="711" xr:uid="{C099825D-315B-48A5-B9ED-54ED4873A1DD}"/>
    <cellStyle name="AggGreen12 3 3 10" xfId="5077" xr:uid="{480B38B7-0DE5-4EFF-B52C-9B087B2EDEC7}"/>
    <cellStyle name="AggGreen12 3 3 11" xfId="5383" xr:uid="{D1D7D845-402E-46E7-84A7-E63DFF90EE68}"/>
    <cellStyle name="AggGreen12 3 3 2" xfId="1185" xr:uid="{C749F530-1CAA-418F-BA5E-A0829F0E4388}"/>
    <cellStyle name="AggGreen12 3 3 3" xfId="1380" xr:uid="{C3A97A5F-EF18-4AD6-ACE2-0505A52114D1}"/>
    <cellStyle name="AggGreen12 3 3 4" xfId="2415" xr:uid="{38BCE640-6D17-40C4-960A-53CFF9A61842}"/>
    <cellStyle name="AggGreen12 3 3 5" xfId="2869" xr:uid="{5DC226D0-CD49-4FA2-AAB3-9401C5D43363}"/>
    <cellStyle name="AggGreen12 3 3 6" xfId="3287" xr:uid="{6A50398F-4128-4E99-B9D7-CD3542923A6E}"/>
    <cellStyle name="AggGreen12 3 3 7" xfId="3701" xr:uid="{FE6EF937-8FE1-4C5A-96AC-DF677BBD22CF}"/>
    <cellStyle name="AggGreen12 3 3 8" xfId="4124" xr:uid="{D3F7DEF5-82E6-42B1-9BE1-244B889E56A5}"/>
    <cellStyle name="AggGreen12 3 3 9" xfId="4516" xr:uid="{A068B9EF-1EB1-46FC-8E46-3D0BFD2BE194}"/>
    <cellStyle name="AggGreen12 4" xfId="262" xr:uid="{31E622B0-E25F-4CBB-9244-D926143FD719}"/>
    <cellStyle name="AggGreen12 4 10" xfId="1905" xr:uid="{96B04E0E-CE18-4DB5-B852-A2EC02D11FD4}"/>
    <cellStyle name="AggGreen12 4 11" xfId="2650" xr:uid="{467D4C6F-DE27-43E3-B64E-D6112D1AE931}"/>
    <cellStyle name="AggGreen12 4 12" xfId="4518" xr:uid="{D2A11DCA-2465-4FC6-8843-6C80251F63AC}"/>
    <cellStyle name="AggGreen12 4 13" xfId="4726" xr:uid="{70CDC91B-4385-4F66-9698-E1B5C019A5FF}"/>
    <cellStyle name="AggGreen12 4 14" xfId="5274" xr:uid="{22604EDF-B2BD-48A2-B2BD-3FD84681D5E4}"/>
    <cellStyle name="AggGreen12 4 2" xfId="601" xr:uid="{044FA821-8406-4D6C-8CCB-D8D2E012D1CB}"/>
    <cellStyle name="AggGreen12 4 2 10" xfId="4467" xr:uid="{927663E9-DCC3-4A3E-8985-892601FA32C1}"/>
    <cellStyle name="AggGreen12 4 2 11" xfId="4973" xr:uid="{6EA26DFE-0D55-47D6-8B0B-D6469AB32609}"/>
    <cellStyle name="AggGreen12 4 2 12" xfId="4680" xr:uid="{F95C0C1F-1536-4E65-BEE5-9B457172638A}"/>
    <cellStyle name="AggGreen12 4 2 2" xfId="816" xr:uid="{630ED325-8520-4D39-BDF9-F74BFB3F1DBD}"/>
    <cellStyle name="AggGreen12 4 2 2 10" xfId="5182" xr:uid="{8DDBEE5C-BAEC-42DC-90B3-23794EA3C334}"/>
    <cellStyle name="AggGreen12 4 2 2 11" xfId="4776" xr:uid="{D4E8DA1B-6F68-4FCA-8E08-92F05C5C4E5C}"/>
    <cellStyle name="AggGreen12 4 2 2 2" xfId="1290" xr:uid="{C34F5283-97CE-42D7-9F57-04C44845EC36}"/>
    <cellStyle name="AggGreen12 4 2 2 3" xfId="1419" xr:uid="{7751A398-1DA5-46D1-AF9F-8B15BE9DF07B}"/>
    <cellStyle name="AggGreen12 4 2 2 4" xfId="2520" xr:uid="{7CD41EAF-75BC-44D1-B7C4-D2EB877015C0}"/>
    <cellStyle name="AggGreen12 4 2 2 5" xfId="2974" xr:uid="{CCDB3D1F-B623-4DD0-8FF2-DB57F649E7E9}"/>
    <cellStyle name="AggGreen12 4 2 2 6" xfId="3392" xr:uid="{45323CD4-7E99-41DB-8F9C-1B28545A0F15}"/>
    <cellStyle name="AggGreen12 4 2 2 7" xfId="3806" xr:uid="{3DCB6CC2-0E12-446E-A1A4-66CC923D8FAB}"/>
    <cellStyle name="AggGreen12 4 2 2 8" xfId="4229" xr:uid="{C9E453E3-D4F6-4A33-A427-66DDA91E64DC}"/>
    <cellStyle name="AggGreen12 4 2 2 9" xfId="1873" xr:uid="{3B382885-EE22-44F0-ABC0-8738E6350003}"/>
    <cellStyle name="AggGreen12 4 2 3" xfId="1084" xr:uid="{DB3D6027-074B-41BF-A378-9C6BC0923E52}"/>
    <cellStyle name="AggGreen12 4 2 4" xfId="1719" xr:uid="{88682BAE-4552-4735-999A-54E7D075FFD0}"/>
    <cellStyle name="AggGreen12 4 2 5" xfId="2307" xr:uid="{D5BED313-58FC-41E6-82A9-95BBA3BD092C}"/>
    <cellStyle name="AggGreen12 4 2 6" xfId="2761" xr:uid="{1F3E42B9-7548-485A-AD50-115D6F81DD20}"/>
    <cellStyle name="AggGreen12 4 2 7" xfId="3178" xr:uid="{A2E5179D-3C7F-44BA-B8D2-CE00D82314E3}"/>
    <cellStyle name="AggGreen12 4 2 8" xfId="3591" xr:uid="{8460E3E0-BA10-4B49-80D1-FE50827B8C6E}"/>
    <cellStyle name="AggGreen12 4 2 9" xfId="4016" xr:uid="{1D0F1043-90A0-4870-A12C-830D49B0BDF3}"/>
    <cellStyle name="AggGreen12 4 3" xfId="653" xr:uid="{AAD2EDE7-F3ED-4A6B-9F67-19491EF26994}"/>
    <cellStyle name="AggGreen12 4 3 10" xfId="3903" xr:uid="{1FC5F4E7-9170-4F2E-B27E-CE564782AF77}"/>
    <cellStyle name="AggGreen12 4 3 11" xfId="5025" xr:uid="{CFFF0107-5BB9-45D0-9E36-A454BA9EBD6F}"/>
    <cellStyle name="AggGreen12 4 3 12" xfId="4625" xr:uid="{E2898D3B-5C1D-452B-B54E-29B98847AD0C}"/>
    <cellStyle name="AggGreen12 4 3 2" xfId="868" xr:uid="{40713929-9F93-441F-B0ED-31DEC22CE183}"/>
    <cellStyle name="AggGreen12 4 3 2 10" xfId="5234" xr:uid="{FAC76F23-30F6-44D8-AB36-8347AE4E3EE1}"/>
    <cellStyle name="AggGreen12 4 3 2 11" xfId="4666" xr:uid="{03FCA5B9-566C-42C5-B3E8-EB8EB6AF8B13}"/>
    <cellStyle name="AggGreen12 4 3 2 2" xfId="1342" xr:uid="{5766724B-D9EA-4F6F-A318-F2504081E7A3}"/>
    <cellStyle name="AggGreen12 4 3 2 3" xfId="1791" xr:uid="{F87309E9-BACC-4000-B768-A8F352F1A150}"/>
    <cellStyle name="AggGreen12 4 3 2 4" xfId="2572" xr:uid="{50FA3597-B03B-4EE0-9272-020364743E34}"/>
    <cellStyle name="AggGreen12 4 3 2 5" xfId="3026" xr:uid="{443319F6-9C7B-48C2-9ADD-4B80FE90C8A9}"/>
    <cellStyle name="AggGreen12 4 3 2 6" xfId="3444" xr:uid="{7C9DBD50-188E-4FAD-8706-AA609A4391E7}"/>
    <cellStyle name="AggGreen12 4 3 2 7" xfId="3858" xr:uid="{C88ABB86-13AD-4DBE-B73E-F6FDCD391D32}"/>
    <cellStyle name="AggGreen12 4 3 2 8" xfId="4281" xr:uid="{00ED010A-CDE9-4E45-AA6C-54662E16EA2A}"/>
    <cellStyle name="AggGreen12 4 3 2 9" xfId="4425" xr:uid="{09EDB18C-B60F-411C-83B3-8E7CB2A045F1}"/>
    <cellStyle name="AggGreen12 4 3 3" xfId="1136" xr:uid="{794AAD20-9CAE-4184-A6F5-C842892D94E5}"/>
    <cellStyle name="AggGreen12 4 3 4" xfId="1662" xr:uid="{C6F60D8F-93F9-4F75-97A9-56F70327C212}"/>
    <cellStyle name="AggGreen12 4 3 5" xfId="2359" xr:uid="{55BF59CE-31D9-4B89-847C-171838FBC65B}"/>
    <cellStyle name="AggGreen12 4 3 6" xfId="2813" xr:uid="{024F65F6-BFEE-4C62-B8B4-6E5AE38A7CFA}"/>
    <cellStyle name="AggGreen12 4 3 7" xfId="3230" xr:uid="{05D8BEC2-63F5-48E5-9A3E-4AABD24ECA4B}"/>
    <cellStyle name="AggGreen12 4 3 8" xfId="3643" xr:uid="{2DF4324E-B04F-4E2E-A72F-05C86F06EFEA}"/>
    <cellStyle name="AggGreen12 4 3 9" xfId="4068" xr:uid="{C3EB3494-0478-4927-A52A-335C7DAF3EF5}"/>
    <cellStyle name="AggGreen12 4 4" xfId="664" xr:uid="{22471F15-5F48-4126-8B29-3073D31CEA6C}"/>
    <cellStyle name="AggGreen12 4 4 10" xfId="2629" xr:uid="{7A98D2B3-1023-4C02-B22D-FC0C67EE7E59}"/>
    <cellStyle name="AggGreen12 4 4 11" xfId="5036" xr:uid="{BF845346-7ED6-4578-880A-11868C528FC2}"/>
    <cellStyle name="AggGreen12 4 4 12" xfId="5376" xr:uid="{A78CAF0B-4D48-4676-A426-6D6952EDDD4C}"/>
    <cellStyle name="AggGreen12 4 4 2" xfId="879" xr:uid="{AC3E1F07-34DA-4A2F-929D-BFFBED741C90}"/>
    <cellStyle name="AggGreen12 4 4 2 10" xfId="5245" xr:uid="{E5C0ECD2-DB6F-4E88-B3A0-60C7E0EA190D}"/>
    <cellStyle name="AggGreen12 4 4 2 11" xfId="5473" xr:uid="{9399A5B5-4436-4847-A419-55DEB6602501}"/>
    <cellStyle name="AggGreen12 4 4 2 2" xfId="1353" xr:uid="{2D199D63-2BBA-4E50-8FF8-8BDC490252F5}"/>
    <cellStyle name="AggGreen12 4 4 2 3" xfId="1802" xr:uid="{C3761ACB-A983-4F72-B8FF-D04E1CE74912}"/>
    <cellStyle name="AggGreen12 4 4 2 4" xfId="2583" xr:uid="{FAFA5AF4-FBFA-4F1A-BE4D-6BA5870FF106}"/>
    <cellStyle name="AggGreen12 4 4 2 5" xfId="3037" xr:uid="{A3137297-5163-4F73-BBE4-A0A78B30FE72}"/>
    <cellStyle name="AggGreen12 4 4 2 6" xfId="3455" xr:uid="{0963ACB2-1959-468F-9D5D-E0BE04F47D1C}"/>
    <cellStyle name="AggGreen12 4 4 2 7" xfId="3869" xr:uid="{519C44C7-4DA1-4300-9BB6-D52E789B7F7A}"/>
    <cellStyle name="AggGreen12 4 4 2 8" xfId="4292" xr:uid="{21C3ED71-0524-441D-89E5-5849BBCD7C96}"/>
    <cellStyle name="AggGreen12 4 4 2 9" xfId="4560" xr:uid="{37BE011F-0527-4E6A-B659-F343B6385399}"/>
    <cellStyle name="AggGreen12 4 4 3" xfId="1147" xr:uid="{3D14DB11-B930-41DE-9050-5523315050D1}"/>
    <cellStyle name="AggGreen12 4 4 4" xfId="1644" xr:uid="{4BE55187-2923-45D6-BDBB-3D24E17080A9}"/>
    <cellStyle name="AggGreen12 4 4 5" xfId="2370" xr:uid="{5D48F5BA-3139-421F-B546-B7D233AE7A5C}"/>
    <cellStyle name="AggGreen12 4 4 6" xfId="2824" xr:uid="{E1BF5051-F7E2-418B-8067-5AAB6530E08F}"/>
    <cellStyle name="AggGreen12 4 4 7" xfId="3241" xr:uid="{03D4E255-2F93-4919-813F-A651359D80ED}"/>
    <cellStyle name="AggGreen12 4 4 8" xfId="3654" xr:uid="{66EF136D-9BB4-4A8E-8388-9BA6D430CAC1}"/>
    <cellStyle name="AggGreen12 4 4 9" xfId="4079" xr:uid="{12A29474-A154-4EC7-B245-928E55212E95}"/>
    <cellStyle name="AggGreen12 4 5" xfId="939" xr:uid="{782B3B80-28EF-4D4B-B99E-EF040D96C98C}"/>
    <cellStyle name="AggGreen12 4 6" xfId="1592" xr:uid="{3B5740EA-289D-4FC3-8338-D69A6098BD60}"/>
    <cellStyle name="AggGreen12 4 7" xfId="2026" xr:uid="{0E728220-BD94-4D67-8A37-34082316FBC4}"/>
    <cellStyle name="AggGreen12 4 8" xfId="2143" xr:uid="{E5194D5F-6036-43D7-9001-0106429827AC}"/>
    <cellStyle name="AggGreen12 4 9" xfId="2607" xr:uid="{509C2C99-1F21-438E-BA49-2DEEF16E3240}"/>
    <cellStyle name="AggGreen12 5" xfId="74" xr:uid="{CBF3D1F7-9C3D-4518-8B32-9F51AA30E6E3}"/>
    <cellStyle name="AggGreen12 5 2" xfId="919" xr:uid="{075139A1-3F34-4374-9AA4-D4228ED03F23}"/>
    <cellStyle name="AggGreen12 5 3" xfId="1889" xr:uid="{3001B2D2-7C15-4FC9-9343-E658B3B9B7D1}"/>
    <cellStyle name="AggGreen12 5 4" xfId="3077" xr:uid="{59404269-962D-483A-B75C-432CD1C233A8}"/>
    <cellStyle name="AggGreen12 5 5" xfId="4622" xr:uid="{8FBC284C-8B0B-4CE3-A1E7-82FCF55742F9}"/>
    <cellStyle name="AggOrange" xfId="17" xr:uid="{3232D474-4705-47B0-9794-A3098DBF1BCA}"/>
    <cellStyle name="AggOrange 2" xfId="116" xr:uid="{16A310DD-3F70-401E-B959-30B843761578}"/>
    <cellStyle name="AggOrange 2 2" xfId="407" xr:uid="{5CF16D3A-1BBB-4788-A8ED-5F923037CFDC}"/>
    <cellStyle name="AggOrange 2 2 2" xfId="527" xr:uid="{B7084574-6BE8-430E-8876-572B628B7B11}"/>
    <cellStyle name="AggOrange 2 2 2 10" xfId="4548" xr:uid="{CEF28A5B-6613-45EB-AD6A-B904F7A6FAF4}"/>
    <cellStyle name="AggOrange 2 2 2 11" xfId="4899" xr:uid="{55C30868-A642-41A5-9E26-1D48F6B2AB69}"/>
    <cellStyle name="AggOrange 2 2 2 12" xfId="5462" xr:uid="{64E059CF-D7E2-4D18-B354-E02C2C78B24B}"/>
    <cellStyle name="AggOrange 2 2 2 2" xfId="742" xr:uid="{8D31AB84-8351-40A9-B09D-03647BCA057E}"/>
    <cellStyle name="AggOrange 2 2 2 2 10" xfId="5108" xr:uid="{D194598A-DB13-4841-B05A-DC76864CC7DD}"/>
    <cellStyle name="AggOrange 2 2 2 2 11" xfId="4667" xr:uid="{2D65542A-0A68-4441-9541-686B1B5A5275}"/>
    <cellStyle name="AggOrange 2 2 2 2 2" xfId="1216" xr:uid="{3FDA8806-19E4-41CC-A740-CB23898E8DB9}"/>
    <cellStyle name="AggOrange 2 2 2 2 3" xfId="1486" xr:uid="{EF421C09-E5CE-4A7D-985C-3D97017B9AE0}"/>
    <cellStyle name="AggOrange 2 2 2 2 4" xfId="2446" xr:uid="{24C8F840-8C91-4716-803D-1E133C43555D}"/>
    <cellStyle name="AggOrange 2 2 2 2 5" xfId="2900" xr:uid="{8D72292F-E331-4731-BF62-D74140A9375F}"/>
    <cellStyle name="AggOrange 2 2 2 2 6" xfId="3318" xr:uid="{F9EAEA1B-42A6-46D0-910E-3457083DAD3C}"/>
    <cellStyle name="AggOrange 2 2 2 2 7" xfId="3732" xr:uid="{4C1B3364-426E-4DDE-B494-E94349ADFBBF}"/>
    <cellStyle name="AggOrange 2 2 2 2 8" xfId="4155" xr:uid="{B85AF83F-79B4-47FA-A82C-476EC4F09B8C}"/>
    <cellStyle name="AggOrange 2 2 2 2 9" xfId="3052" xr:uid="{C0C2DB92-5941-4C1D-8167-3965F1321B24}"/>
    <cellStyle name="AggOrange 2 2 2 3" xfId="1010" xr:uid="{65262B1E-5209-4243-B6BC-EA21A6F5BEAC}"/>
    <cellStyle name="AggOrange 2 2 2 4" xfId="1462" xr:uid="{873CA7E5-C539-47E8-B457-184F864F4876}"/>
    <cellStyle name="AggOrange 2 2 2 5" xfId="2233" xr:uid="{664862B3-E5F7-4B42-A227-274368DED68B}"/>
    <cellStyle name="AggOrange 2 2 2 6" xfId="2687" xr:uid="{DC75FB22-4822-4C60-BFB3-F64A311E957F}"/>
    <cellStyle name="AggOrange 2 2 2 7" xfId="3104" xr:uid="{908B5BDE-25FC-4B92-897F-0B39F20CAE2F}"/>
    <cellStyle name="AggOrange 2 2 2 8" xfId="3517" xr:uid="{4EB3FC07-CEE4-421D-97E6-CCBA2A10CFF0}"/>
    <cellStyle name="AggOrange 2 2 2 9" xfId="3942" xr:uid="{8DADC0C9-F5D0-4367-B859-0A72C2F2A7E3}"/>
    <cellStyle name="AggOrange 2 2 3" xfId="714" xr:uid="{AA90DC32-7577-45DF-A7B9-F412ACD85143}"/>
    <cellStyle name="AggOrange 2 2 3 10" xfId="5080" xr:uid="{2FD14137-80D3-45AE-8E08-09EE114EA79C}"/>
    <cellStyle name="AggOrange 2 2 3 11" xfId="5320" xr:uid="{EDE20C7C-43D1-477B-93F0-2E97366D265E}"/>
    <cellStyle name="AggOrange 2 2 3 2" xfId="1188" xr:uid="{E96D53A7-73C7-40D1-9789-847EDA103CB3}"/>
    <cellStyle name="AggOrange 2 2 3 3" xfId="1447" xr:uid="{C39459A1-1868-465E-B135-D485C77A2D5A}"/>
    <cellStyle name="AggOrange 2 2 3 4" xfId="2418" xr:uid="{6C59F57F-4A4F-4687-82ED-EB71003680B9}"/>
    <cellStyle name="AggOrange 2 2 3 5" xfId="2872" xr:uid="{965EAA5A-7C50-4319-9166-B6CC566AD905}"/>
    <cellStyle name="AggOrange 2 2 3 6" xfId="3290" xr:uid="{29017EB2-6EEE-48C1-9BD7-0EB74CF16679}"/>
    <cellStyle name="AggOrange 2 2 3 7" xfId="3704" xr:uid="{CFDF4799-46EB-41D8-A94A-3AF9F3389340}"/>
    <cellStyle name="AggOrange 2 2 3 8" xfId="4127" xr:uid="{088AA244-59EB-4578-A283-07E7AA17C8B1}"/>
    <cellStyle name="AggOrange 2 2 3 9" xfId="4471" xr:uid="{81E66A68-B1B5-408E-94E4-DEA0DA35A7D2}"/>
    <cellStyle name="AggOrange 2 3" xfId="265" xr:uid="{C7CD7D98-A246-4C6C-AA3C-CE573F310133}"/>
    <cellStyle name="AggOrange 2 3 10" xfId="3087" xr:uid="{25448135-5D57-4A9C-A1B7-346F00A73DB9}"/>
    <cellStyle name="AggOrange 2 3 11" xfId="2654" xr:uid="{03EBA300-FADE-40D9-851C-84E3FC2222B9}"/>
    <cellStyle name="AggOrange 2 3 12" xfId="3477" xr:uid="{EE3851BB-1BC3-4706-98AB-22DD749B51B8}"/>
    <cellStyle name="AggOrange 2 3 13" xfId="4729" xr:uid="{9F992B19-67DE-424D-BC42-2A5E09536B15}"/>
    <cellStyle name="AggOrange 2 3 14" xfId="5269" xr:uid="{D078ADF1-4BBC-45B3-A925-937500B7C2DC}"/>
    <cellStyle name="AggOrange 2 3 2" xfId="604" xr:uid="{7972CDDA-14A1-45E8-BB2A-C632F5037DB5}"/>
    <cellStyle name="AggOrange 2 3 2 10" xfId="2051" xr:uid="{5406E000-7CDD-40B5-952A-924AA8C340AF}"/>
    <cellStyle name="AggOrange 2 3 2 11" xfId="4976" xr:uid="{44EAC42D-EF47-41ED-8EAE-BAEDAD5C279E}"/>
    <cellStyle name="AggOrange 2 3 2 12" xfId="5410" xr:uid="{0EB607DE-4483-4F9A-876F-58C15379DB57}"/>
    <cellStyle name="AggOrange 2 3 2 2" xfId="819" xr:uid="{17E4C3B2-3378-4A1D-BBCD-1C883858FB52}"/>
    <cellStyle name="AggOrange 2 3 2 2 10" xfId="5185" xr:uid="{0E4818A8-2421-4BF8-A01E-BDADE15A9E47}"/>
    <cellStyle name="AggOrange 2 3 2 2 11" xfId="4647" xr:uid="{D45C4671-75AA-47C6-BE0D-64F074AF5396}"/>
    <cellStyle name="AggOrange 2 3 2 2 2" xfId="1293" xr:uid="{3DE7FC7C-3CE4-4CEE-A01A-C4BB27F07BEB}"/>
    <cellStyle name="AggOrange 2 3 2 2 3" xfId="1474" xr:uid="{705E9301-2A9D-4C42-A33F-6E1913FC01B9}"/>
    <cellStyle name="AggOrange 2 3 2 2 4" xfId="2523" xr:uid="{5C493DEB-4CE1-4D43-811E-67E1D75CC425}"/>
    <cellStyle name="AggOrange 2 3 2 2 5" xfId="2977" xr:uid="{19EF73FF-40CC-4F41-A5B1-A5B79765473F}"/>
    <cellStyle name="AggOrange 2 3 2 2 6" xfId="3395" xr:uid="{1403E500-3345-4E16-A4F4-64A4A579ABDA}"/>
    <cellStyle name="AggOrange 2 3 2 2 7" xfId="3809" xr:uid="{598A0362-E7FC-46C2-9920-8FE7B898464E}"/>
    <cellStyle name="AggOrange 2 3 2 2 8" xfId="4232" xr:uid="{CA767411-8000-4330-ADCA-0727811755D4}"/>
    <cellStyle name="AggOrange 2 3 2 2 9" xfId="3064" xr:uid="{B911E585-08C4-43F3-8CDB-938F931FC9FE}"/>
    <cellStyle name="AggOrange 2 3 2 3" xfId="1087" xr:uid="{BF67A7F1-99CC-4AB2-A38B-932A20C08527}"/>
    <cellStyle name="AggOrange 2 3 2 4" xfId="1613" xr:uid="{59E75589-25BA-47ED-89B7-D366BABA5A86}"/>
    <cellStyle name="AggOrange 2 3 2 5" xfId="2310" xr:uid="{54DC39C1-DE8B-4824-BA67-093F046D6876}"/>
    <cellStyle name="AggOrange 2 3 2 6" xfId="2764" xr:uid="{0981A1B4-CFE3-4808-930F-9CA98C9286A5}"/>
    <cellStyle name="AggOrange 2 3 2 7" xfId="3181" xr:uid="{9F0A302F-FA7A-4AB1-8B47-8EE57627BDC7}"/>
    <cellStyle name="AggOrange 2 3 2 8" xfId="3594" xr:uid="{80F49E2A-8157-4E0A-A486-8789B0CF0EBB}"/>
    <cellStyle name="AggOrange 2 3 2 9" xfId="4019" xr:uid="{7A7D3D81-B394-4F62-9B0D-2B53AF0D0467}"/>
    <cellStyle name="AggOrange 2 3 3" xfId="511" xr:uid="{5F713610-C8F4-4A8F-90FE-FCC2B9760FB5}"/>
    <cellStyle name="AggOrange 2 3 3 10" xfId="4462" xr:uid="{7379E806-661E-4D0C-86BD-1C023A8230DC}"/>
    <cellStyle name="AggOrange 2 3 3 11" xfId="4883" xr:uid="{8603C5EA-CCC5-47C4-9CF5-0E886096B434}"/>
    <cellStyle name="AggOrange 2 3 3 12" xfId="5349" xr:uid="{1CAA979E-0789-4EE2-9682-D30F934747F4}"/>
    <cellStyle name="AggOrange 2 3 3 2" xfId="726" xr:uid="{0B9581BB-3F65-452E-89EA-0CE31E117263}"/>
    <cellStyle name="AggOrange 2 3 3 2 10" xfId="5092" xr:uid="{BA8AA2B3-F9B9-4A10-8531-D27BF57503E3}"/>
    <cellStyle name="AggOrange 2 3 3 2 11" xfId="4640" xr:uid="{CD426F79-9BF8-4EB1-BDF6-35B5F8529E4D}"/>
    <cellStyle name="AggOrange 2 3 3 2 2" xfId="1200" xr:uid="{45A022A3-91DB-4818-9020-5AA07167187A}"/>
    <cellStyle name="AggOrange 2 3 3 2 3" xfId="1493" xr:uid="{8717DE0A-9A64-4DA0-AF53-3F9E49B5FB6F}"/>
    <cellStyle name="AggOrange 2 3 3 2 4" xfId="2430" xr:uid="{D9648F76-2D20-45C6-AA8B-0CF0E2C61444}"/>
    <cellStyle name="AggOrange 2 3 3 2 5" xfId="2884" xr:uid="{5DA8E882-70F1-4148-810C-E97257E844B3}"/>
    <cellStyle name="AggOrange 2 3 3 2 6" xfId="3302" xr:uid="{ABAD2AC9-B16F-4CE2-B1FC-1742906189B2}"/>
    <cellStyle name="AggOrange 2 3 3 2 7" xfId="3716" xr:uid="{A7924851-0946-4571-8B4C-E533F39575EC}"/>
    <cellStyle name="AggOrange 2 3 3 2 8" xfId="4139" xr:uid="{828F0D1E-54C7-445B-B54F-0414E0D9B449}"/>
    <cellStyle name="AggOrange 2 3 3 2 9" xfId="2639" xr:uid="{4DB626E0-BF8F-4B13-ABEE-9FCCD3F2B161}"/>
    <cellStyle name="AggOrange 2 3 3 3" xfId="994" xr:uid="{DF18B942-100E-4AAE-BD50-9CBEB11E2F28}"/>
    <cellStyle name="AggOrange 2 3 3 4" xfId="1615" xr:uid="{B984E0DE-20C4-4E40-823D-B5232F67CBEB}"/>
    <cellStyle name="AggOrange 2 3 3 5" xfId="2217" xr:uid="{FE4239EA-F750-40C2-AA8A-846292ABE9C8}"/>
    <cellStyle name="AggOrange 2 3 3 6" xfId="2671" xr:uid="{83A09613-8C61-4063-833F-8B3D4C7ED193}"/>
    <cellStyle name="AggOrange 2 3 3 7" xfId="3088" xr:uid="{1B030DF7-C3BC-472E-B579-B35AB0C3C00D}"/>
    <cellStyle name="AggOrange 2 3 3 8" xfId="3501" xr:uid="{B12BCD4A-237D-4F78-87EB-F8B5039CB946}"/>
    <cellStyle name="AggOrange 2 3 3 9" xfId="3926" xr:uid="{1A3E8B6A-5E58-49BE-A2BE-9CEBC1431B17}"/>
    <cellStyle name="AggOrange 2 3 4" xfId="526" xr:uid="{9F847DFA-34DC-49EA-B221-03452BFD4A71}"/>
    <cellStyle name="AggOrange 2 3 4 10" xfId="4506" xr:uid="{3D3FA868-D5D0-4EDF-8894-01656F1DB6D7}"/>
    <cellStyle name="AggOrange 2 3 4 11" xfId="4898" xr:uid="{CD1EB789-0E95-44E1-AB58-F440CFE09DA2}"/>
    <cellStyle name="AggOrange 2 3 4 12" xfId="5360" xr:uid="{9ED281E9-B51A-474F-9B00-0C8F174F4792}"/>
    <cellStyle name="AggOrange 2 3 4 2" xfId="741" xr:uid="{76361F92-1AF8-4631-B267-9F490A778225}"/>
    <cellStyle name="AggOrange 2 3 4 2 10" xfId="5107" xr:uid="{BF83C731-48AD-48AD-87CF-58E80BF79348}"/>
    <cellStyle name="AggOrange 2 3 4 2 11" xfId="4596" xr:uid="{AC9BD226-D6AF-4E4D-940C-6E27D6058F86}"/>
    <cellStyle name="AggOrange 2 3 4 2 2" xfId="1215" xr:uid="{EB483BC0-DC26-48BC-8365-AA75C2BD2477}"/>
    <cellStyle name="AggOrange 2 3 4 2 3" xfId="1436" xr:uid="{8D0A622B-4D55-4EFF-BA0A-086075F28934}"/>
    <cellStyle name="AggOrange 2 3 4 2 4" xfId="2445" xr:uid="{009012A8-735C-4126-A030-CE88B67FF994}"/>
    <cellStyle name="AggOrange 2 3 4 2 5" xfId="2899" xr:uid="{3C5EFEC9-11DD-4014-A1C6-0B934F826977}"/>
    <cellStyle name="AggOrange 2 3 4 2 6" xfId="3317" xr:uid="{E2A67816-E719-42E2-8F03-FA26F363E798}"/>
    <cellStyle name="AggOrange 2 3 4 2 7" xfId="3731" xr:uid="{7AE63AB7-4DD8-4055-BC79-6AE55DA66E95}"/>
    <cellStyle name="AggOrange 2 3 4 2 8" xfId="4154" xr:uid="{5FA3A28C-D01F-49E6-8B7C-2A5D350CBB48}"/>
    <cellStyle name="AggOrange 2 3 4 2 9" xfId="4398" xr:uid="{8F1481EF-CE85-41A6-AAC8-165DCFFD7A20}"/>
    <cellStyle name="AggOrange 2 3 4 3" xfId="1009" xr:uid="{F9165D8E-58EA-4CA4-9232-E5F0437227C0}"/>
    <cellStyle name="AggOrange 2 3 4 4" xfId="1497" xr:uid="{F5B115CA-7690-4D23-AFFC-83490263540A}"/>
    <cellStyle name="AggOrange 2 3 4 5" xfId="2232" xr:uid="{98FF0D13-8F8F-4954-B9D2-9FAF8317BAF8}"/>
    <cellStyle name="AggOrange 2 3 4 6" xfId="2686" xr:uid="{6E5DB751-22FB-4246-8BA5-A16D8A1C3952}"/>
    <cellStyle name="AggOrange 2 3 4 7" xfId="3103" xr:uid="{93485206-3E05-40F6-BEEB-B74987435E47}"/>
    <cellStyle name="AggOrange 2 3 4 8" xfId="3516" xr:uid="{EF26CBD0-6665-4650-9A68-11A8E24341F7}"/>
    <cellStyle name="AggOrange 2 3 4 9" xfId="3941" xr:uid="{92CA0674-8397-44C4-8526-C5783714230B}"/>
    <cellStyle name="AggOrange 2 3 5" xfId="942" xr:uid="{3B9A43DC-8E62-493E-8750-A6C44F5E2F25}"/>
    <cellStyle name="AggOrange 2 3 6" xfId="1587" xr:uid="{4046E46A-798D-4ABC-9B26-8C1332983D64}"/>
    <cellStyle name="AggOrange 2 3 7" xfId="2029" xr:uid="{015D507C-F1EC-4AA0-9D0C-4D75A80F1C0D}"/>
    <cellStyle name="AggOrange 2 3 8" xfId="1841" xr:uid="{911FD9FC-5412-407D-B4E3-B25E6D86EB52}"/>
    <cellStyle name="AggOrange 2 3 9" xfId="1869" xr:uid="{9CEF722B-EAE0-4CCF-B1C2-03DD7D5917C9}"/>
    <cellStyle name="AggOrange 3" xfId="406" xr:uid="{79E06FD6-AC3F-4AAD-9C6E-8EE2F52B136D}"/>
    <cellStyle name="AggOrange 3 2" xfId="646" xr:uid="{FF29BFCB-280E-4B96-B520-07915E432E6F}"/>
    <cellStyle name="AggOrange 3 2 10" xfId="4350" xr:uid="{3B5464D9-DB29-4803-B910-69CEC7305CA5}"/>
    <cellStyle name="AggOrange 3 2 11" xfId="5018" xr:uid="{E930B00C-3283-4061-92B9-281EEAD5A630}"/>
    <cellStyle name="AggOrange 3 2 12" xfId="4806" xr:uid="{AF19DCE3-A532-4006-9091-6F4BDC82ACC5}"/>
    <cellStyle name="AggOrange 3 2 2" xfId="861" xr:uid="{E07AEBAC-D16E-4D7B-9999-06D435183EEA}"/>
    <cellStyle name="AggOrange 3 2 2 10" xfId="5227" xr:uid="{235C4631-765B-4D6F-A39B-D17369100696}"/>
    <cellStyle name="AggOrange 3 2 2 11" xfId="4814" xr:uid="{61132264-9FD1-4ED7-838D-7CC10B02DA08}"/>
    <cellStyle name="AggOrange 3 2 2 2" xfId="1335" xr:uid="{A4F5C276-7BCD-454D-83E9-3BED1750D86C}"/>
    <cellStyle name="AggOrange 3 2 2 3" xfId="1784" xr:uid="{39B04DD5-2E64-4B46-9354-47864E3B4F5B}"/>
    <cellStyle name="AggOrange 3 2 2 4" xfId="2565" xr:uid="{CF2081CF-8D6E-4E4E-8C5A-61F739474E24}"/>
    <cellStyle name="AggOrange 3 2 2 5" xfId="3019" xr:uid="{548E3969-B48C-4DF2-85DF-A7C71C05BAFF}"/>
    <cellStyle name="AggOrange 3 2 2 6" xfId="3437" xr:uid="{8074CEC5-3244-41B0-8E13-0BB8AF40C7C5}"/>
    <cellStyle name="AggOrange 3 2 2 7" xfId="3851" xr:uid="{A1C9BAE9-2B07-4F91-A73F-BBAA5AF514E9}"/>
    <cellStyle name="AggOrange 3 2 2 8" xfId="4274" xr:uid="{4EB4C9AC-F67D-4E08-A057-119245FC91F8}"/>
    <cellStyle name="AggOrange 3 2 2 9" xfId="3883" xr:uid="{68CE32F3-96BD-4A9A-9FF2-64A7EB6643E7}"/>
    <cellStyle name="AggOrange 3 2 3" xfId="1129" xr:uid="{A283DA37-6801-4EE7-9B1B-7B1EDE653352}"/>
    <cellStyle name="AggOrange 3 2 4" xfId="1694" xr:uid="{1AF103CB-D549-435B-BA6C-BC74C7DC5F08}"/>
    <cellStyle name="AggOrange 3 2 5" xfId="2352" xr:uid="{BF2A7458-49AA-4FC5-95E8-C2FEB422E001}"/>
    <cellStyle name="AggOrange 3 2 6" xfId="2806" xr:uid="{E2846441-4694-4DEB-BE88-A8F127B11F51}"/>
    <cellStyle name="AggOrange 3 2 7" xfId="3223" xr:uid="{E49DA00D-D69F-4502-AFAB-76048D59EF6F}"/>
    <cellStyle name="AggOrange 3 2 8" xfId="3636" xr:uid="{706EF194-CDFB-42CD-9FC0-5E3CF4E59B6E}"/>
    <cellStyle name="AggOrange 3 2 9" xfId="4061" xr:uid="{ED9EE03E-601E-49C5-8AC6-3F1C2E6D3DAB}"/>
    <cellStyle name="AggOrange 3 3" xfId="713" xr:uid="{F70ADE9A-E893-484A-8A09-24B7C364F118}"/>
    <cellStyle name="AggOrange 3 3 10" xfId="5079" xr:uid="{7AA10F3C-E24B-4940-BFA1-E5E24418817F}"/>
    <cellStyle name="AggOrange 3 3 11" xfId="5424" xr:uid="{3AED9F33-2E0A-4F1D-89AC-F452E7D1CDB0}"/>
    <cellStyle name="AggOrange 3 3 2" xfId="1187" xr:uid="{7F98C0C5-CA1A-4724-9724-8DF24B038D29}"/>
    <cellStyle name="AggOrange 3 3 3" xfId="1381" xr:uid="{CD4C8D51-3370-4CEB-844F-1DAB8B39D9AA}"/>
    <cellStyle name="AggOrange 3 3 4" xfId="2417" xr:uid="{E1334746-7882-4376-9AB5-EC47047E841D}"/>
    <cellStyle name="AggOrange 3 3 5" xfId="2871" xr:uid="{B2C02F24-50A8-465C-8DFE-4E1E01E9834F}"/>
    <cellStyle name="AggOrange 3 3 6" xfId="3289" xr:uid="{F8CCF14F-0B9D-446E-A4F1-FACECBAC2600}"/>
    <cellStyle name="AggOrange 3 3 7" xfId="3703" xr:uid="{195413F5-A5A5-428E-8102-E5E5BD4AF4D6}"/>
    <cellStyle name="AggOrange 3 3 8" xfId="4126" xr:uid="{3FF263A0-A96F-4E55-9946-2D59E141750F}"/>
    <cellStyle name="AggOrange 3 3 9" xfId="4381" xr:uid="{3CCCD023-6922-4432-AB33-200A8DA97267}"/>
    <cellStyle name="AggOrange 4" xfId="264" xr:uid="{C35662C9-7D9C-415E-B5B0-1177B0AE3F09}"/>
    <cellStyle name="AggOrange 4 10" xfId="3467" xr:uid="{1F39A3FB-43BE-4CEB-8722-85052B7B7C20}"/>
    <cellStyle name="AggOrange 4 11" xfId="2636" xr:uid="{9E6F28D0-3215-4B08-8CCD-4A4037C19F38}"/>
    <cellStyle name="AggOrange 4 12" xfId="4339" xr:uid="{F65E4DC1-A176-4C89-AB5B-7F29B12EECE6}"/>
    <cellStyle name="AggOrange 4 13" xfId="4728" xr:uid="{0A06FE0B-12FF-4336-9FD9-FC84040566CF}"/>
    <cellStyle name="AggOrange 4 14" xfId="4581" xr:uid="{A1BEB447-0DD3-4546-9247-3039597ABB40}"/>
    <cellStyle name="AggOrange 4 2" xfId="603" xr:uid="{552C36A4-78F1-4D7D-A829-9509A5DC5AB4}"/>
    <cellStyle name="AggOrange 4 2 10" xfId="3082" xr:uid="{C1F95593-46F6-4D4A-832A-5BCAABC565DB}"/>
    <cellStyle name="AggOrange 4 2 11" xfId="4975" xr:uid="{A48E7F7C-BFD6-42F9-8C57-28F711722540}"/>
    <cellStyle name="AggOrange 4 2 12" xfId="5363" xr:uid="{2C970694-694F-44BB-A46F-43F91E892F7C}"/>
    <cellStyle name="AggOrange 4 2 2" xfId="818" xr:uid="{32214CB4-A887-4B15-B9D7-68FE17335C28}"/>
    <cellStyle name="AggOrange 4 2 2 10" xfId="5184" xr:uid="{0641E8C0-B587-4675-9EDC-FB799A3A7526}"/>
    <cellStyle name="AggOrange 4 2 2 11" xfId="4810" xr:uid="{EAB84DA0-1F72-4D91-8E28-6810A2149FCA}"/>
    <cellStyle name="AggOrange 4 2 2 2" xfId="1292" xr:uid="{B6F0E329-494D-4890-9BC4-73264778C04A}"/>
    <cellStyle name="AggOrange 4 2 2 3" xfId="1418" xr:uid="{29A47493-C98B-4E2E-B8E6-FC95AD233EBE}"/>
    <cellStyle name="AggOrange 4 2 2 4" xfId="2522" xr:uid="{19DBA0AE-4279-4C92-9E69-ADD1EC5E2DCB}"/>
    <cellStyle name="AggOrange 4 2 2 5" xfId="2976" xr:uid="{96C35715-D28D-4EB7-969B-D3220C1AC86B}"/>
    <cellStyle name="AggOrange 4 2 2 6" xfId="3394" xr:uid="{AB50FE77-0B28-493F-860F-5F15DBF046EB}"/>
    <cellStyle name="AggOrange 4 2 2 7" xfId="3808" xr:uid="{DA39B4F0-A376-412B-BD86-5C84D61601F1}"/>
    <cellStyle name="AggOrange 4 2 2 8" xfId="4231" xr:uid="{E44B0B4B-EAD8-4080-992F-82B1C07827C0}"/>
    <cellStyle name="AggOrange 4 2 2 9" xfId="4317" xr:uid="{BC4BACC3-1C33-43A9-9034-5B848733487F}"/>
    <cellStyle name="AggOrange 4 2 3" xfId="1086" xr:uid="{8EEB25B7-CC7A-404A-8E04-B15F8C7CD934}"/>
    <cellStyle name="AggOrange 4 2 4" xfId="1705" xr:uid="{B3A68983-F736-4234-95C0-E7CE2B75B530}"/>
    <cellStyle name="AggOrange 4 2 5" xfId="2309" xr:uid="{DFF2CB10-5E35-46B7-9B4F-5AB9D3F1E24C}"/>
    <cellStyle name="AggOrange 4 2 6" xfId="2763" xr:uid="{69F29B11-CECE-4FA0-A3C1-468AC3EDDC2D}"/>
    <cellStyle name="AggOrange 4 2 7" xfId="3180" xr:uid="{AF6322C0-00D5-450E-867C-027F084CAA00}"/>
    <cellStyle name="AggOrange 4 2 8" xfId="3593" xr:uid="{22C50F6E-154A-443A-992D-C3B268F80DDE}"/>
    <cellStyle name="AggOrange 4 2 9" xfId="4018" xr:uid="{0986CE1E-1CAE-4E42-9AEE-622957B49E89}"/>
    <cellStyle name="AggOrange 4 3" xfId="592" xr:uid="{661EA08E-3D4B-425C-BA91-88FA6E8059EE}"/>
    <cellStyle name="AggOrange 4 3 10" xfId="4466" xr:uid="{14EA6BC9-8595-4603-B197-A7C714CD6AA0}"/>
    <cellStyle name="AggOrange 4 3 11" xfId="4964" xr:uid="{F2FDCBFC-D2CC-404A-B681-6E02D1057BA0}"/>
    <cellStyle name="AggOrange 4 3 12" xfId="5417" xr:uid="{3B2D0A39-F9D0-4BB0-B793-8971FEF5D0BD}"/>
    <cellStyle name="AggOrange 4 3 2" xfId="807" xr:uid="{51D19740-FD12-490D-93B5-2F414F397F06}"/>
    <cellStyle name="AggOrange 4 3 2 10" xfId="5173" xr:uid="{8E73E790-1E9E-44CC-AAB8-33F43534EB24}"/>
    <cellStyle name="AggOrange 4 3 2 11" xfId="4577" xr:uid="{D1924B1D-27A9-4C48-AEB1-00DF31BDBC4B}"/>
    <cellStyle name="AggOrange 4 3 2 2" xfId="1281" xr:uid="{E397BAD7-4760-4E70-B647-567E501DED2E}"/>
    <cellStyle name="AggOrange 4 3 2 3" xfId="1424" xr:uid="{A3ADD858-0F4A-475F-B756-DBA7923EE7EA}"/>
    <cellStyle name="AggOrange 4 3 2 4" xfId="2511" xr:uid="{820964F2-1171-460E-A373-6F3AECEAB301}"/>
    <cellStyle name="AggOrange 4 3 2 5" xfId="2965" xr:uid="{DA8C8490-DF01-466F-BC45-5EFA62F417C9}"/>
    <cellStyle name="AggOrange 4 3 2 6" xfId="3383" xr:uid="{641B3788-ABF7-4295-B071-B422390D9724}"/>
    <cellStyle name="AggOrange 4 3 2 7" xfId="3797" xr:uid="{4469F6FC-A0BE-4354-8E26-270612B555F8}"/>
    <cellStyle name="AggOrange 4 3 2 8" xfId="4220" xr:uid="{A7CC5F0F-8F97-4B61-8A44-BB246A9B8CD3}"/>
    <cellStyle name="AggOrange 4 3 2 9" xfId="2054" xr:uid="{908F6E91-B766-4D0A-9F34-BE07393F657E}"/>
    <cellStyle name="AggOrange 4 3 3" xfId="1075" xr:uid="{BB8AA687-5C86-4742-B5D8-95388164C39F}"/>
    <cellStyle name="AggOrange 4 3 4" xfId="1611" xr:uid="{57AFFFE5-0E8C-4062-AC7A-700E256A94C0}"/>
    <cellStyle name="AggOrange 4 3 5" xfId="2298" xr:uid="{84912455-0A2D-4F25-840D-37EEB0B7604A}"/>
    <cellStyle name="AggOrange 4 3 6" xfId="2752" xr:uid="{3C3D4B2A-B4C0-4039-8AA5-51C6C3D5FBB7}"/>
    <cellStyle name="AggOrange 4 3 7" xfId="3169" xr:uid="{17EA7906-8B08-4B27-8F46-70BEA87AA22C}"/>
    <cellStyle name="AggOrange 4 3 8" xfId="3582" xr:uid="{A85633DB-EBBA-4FD7-8019-92EEBB8F78C5}"/>
    <cellStyle name="AggOrange 4 3 9" xfId="4007" xr:uid="{737EAAAC-07BD-4057-8426-177722F6E348}"/>
    <cellStyle name="AggOrange 4 4" xfId="566" xr:uid="{139FEBED-75BF-47F3-A954-8F22DE319B18}"/>
    <cellStyle name="AggOrange 4 4 10" xfId="4312" xr:uid="{DC06A721-7823-4EA1-8AB6-910763E51192}"/>
    <cellStyle name="AggOrange 4 4 11" xfId="4938" xr:uid="{F4D7C007-68EF-4A15-BF7F-D3DF348CE6EB}"/>
    <cellStyle name="AggOrange 4 4 12" xfId="5449" xr:uid="{DB968210-34B6-4F23-9228-841A0A8B3C06}"/>
    <cellStyle name="AggOrange 4 4 2" xfId="781" xr:uid="{A956E134-A7A6-4740-9098-385507848108}"/>
    <cellStyle name="AggOrange 4 4 2 10" xfId="5147" xr:uid="{0C307CD9-30DA-4802-B57E-DE4D589F326B}"/>
    <cellStyle name="AggOrange 4 4 2 11" xfId="4693" xr:uid="{EE714363-5D49-4FB3-AC53-E0F8E3C40B7E}"/>
    <cellStyle name="AggOrange 4 4 2 2" xfId="1255" xr:uid="{0646D487-8EAE-407D-93BC-31BACFE5CC51}"/>
    <cellStyle name="AggOrange 4 4 2 3" xfId="1426" xr:uid="{6DCB5EA2-26EA-4E33-BE0C-F7F93F0DFE60}"/>
    <cellStyle name="AggOrange 4 4 2 4" xfId="2485" xr:uid="{B008E7A2-6BF1-4FCC-9C32-8F67FA7C901B}"/>
    <cellStyle name="AggOrange 4 4 2 5" xfId="2939" xr:uid="{8CD3EBFA-B2B2-48B2-9CBE-F51E4AA5ECF4}"/>
    <cellStyle name="AggOrange 4 4 2 6" xfId="3357" xr:uid="{70D5D652-96D1-41B7-BA91-762BA9927CF0}"/>
    <cellStyle name="AggOrange 4 4 2 7" xfId="3771" xr:uid="{0E465E3B-01C3-4E29-839A-21CEC2152728}"/>
    <cellStyle name="AggOrange 4 4 2 8" xfId="4194" xr:uid="{73A1DA49-79D2-40F5-973B-FAB26B81F2AA}"/>
    <cellStyle name="AggOrange 4 4 2 9" xfId="2000" xr:uid="{852CB1B1-EFC5-4E8A-8967-2D1230753025}"/>
    <cellStyle name="AggOrange 4 4 3" xfId="1049" xr:uid="{5803FB24-C8FA-4101-A4CE-070598261B56}"/>
    <cellStyle name="AggOrange 4 4 4" xfId="1709" xr:uid="{B5CC380E-82C3-4FAA-8FCC-783B24C78CBA}"/>
    <cellStyle name="AggOrange 4 4 5" xfId="2272" xr:uid="{E79319ED-737B-4556-8FF8-51CFB81A23E1}"/>
    <cellStyle name="AggOrange 4 4 6" xfId="2726" xr:uid="{15E8D2F4-69A4-4CE8-B599-63B5894BBA78}"/>
    <cellStyle name="AggOrange 4 4 7" xfId="3143" xr:uid="{0EA0E6AC-D54D-484A-99E4-11A5C5408CE4}"/>
    <cellStyle name="AggOrange 4 4 8" xfId="3556" xr:uid="{C6CDBD3C-C9DC-4AF6-875B-459B4EE3030F}"/>
    <cellStyle name="AggOrange 4 4 9" xfId="3981" xr:uid="{E4969DD5-1F49-44BB-8B92-6430C8D53882}"/>
    <cellStyle name="AggOrange 4 5" xfId="941" xr:uid="{31D7A7D6-BDBD-4EDB-9F59-7D646C19AACA}"/>
    <cellStyle name="AggOrange 4 6" xfId="1532" xr:uid="{DBF41AD4-077E-45C8-8597-EEFA9D8B6A02}"/>
    <cellStyle name="AggOrange 4 7" xfId="2028" xr:uid="{5C40C121-5C15-4A40-A458-40FB4194EEA4}"/>
    <cellStyle name="AggOrange 4 8" xfId="1828" xr:uid="{D6EBFAF1-85D5-4A16-B0D8-BD3C3648C025}"/>
    <cellStyle name="AggOrange 4 9" xfId="1928" xr:uid="{CB549064-BE69-46A1-AA32-D3AE2D0A7859}"/>
    <cellStyle name="AggOrange 5" xfId="70" xr:uid="{8DE2FC1B-6B2D-4B96-BA00-B0B913C0C5E7}"/>
    <cellStyle name="AggOrange 5 2" xfId="917" xr:uid="{82B5B20F-A80B-4BB5-85F6-EF6E2F69216D}"/>
    <cellStyle name="AggOrange 5 3" xfId="1886" xr:uid="{BFCE482B-6AC7-4F4D-A0F8-A403C30C37E5}"/>
    <cellStyle name="AggOrange 5 4" xfId="2076" xr:uid="{7B6AD5A3-06E2-4BF8-9D1F-E3934E7A66DF}"/>
    <cellStyle name="AggOrange 5 5" xfId="4619" xr:uid="{EBC78E4B-61EE-440A-9C9B-9F425CE8F87A}"/>
    <cellStyle name="AggOrange_B_border" xfId="29" xr:uid="{568A61E4-EC45-45B2-B1AE-1A43505FD0A8}"/>
    <cellStyle name="AggOrange9" xfId="16" xr:uid="{AD8D5365-E0F4-4C37-B16F-5616EC762AE9}"/>
    <cellStyle name="AggOrange9 2" xfId="117" xr:uid="{FF77071B-5D78-4758-85D0-B6672E427B4B}"/>
    <cellStyle name="AggOrange9 2 2" xfId="409" xr:uid="{19F17E67-9182-4A19-9D92-C462313A470A}"/>
    <cellStyle name="AggOrange9 2 2 2" xfId="645" xr:uid="{E4398B53-F138-4FB9-AD49-470D130915CD}"/>
    <cellStyle name="AggOrange9 2 2 2 10" xfId="4405" xr:uid="{14BEC42B-F45B-47F3-8913-4CDE9D28E407}"/>
    <cellStyle name="AggOrange9 2 2 2 11" xfId="5017" xr:uid="{C9D9D04D-D428-44F2-B72F-1226078C6DBE}"/>
    <cellStyle name="AggOrange9 2 2 2 12" xfId="5341" xr:uid="{28B7E9DC-8676-4CC0-9BB2-1DD54E5288E0}"/>
    <cellStyle name="AggOrange9 2 2 2 2" xfId="860" xr:uid="{4D81B17F-F3C9-4570-93D1-C254D40B65B8}"/>
    <cellStyle name="AggOrange9 2 2 2 2 10" xfId="5226" xr:uid="{8A3087FF-9448-4DB6-AF58-C93269E86532}"/>
    <cellStyle name="AggOrange9 2 2 2 2 11" xfId="5067" xr:uid="{76B08342-2AE6-4F35-B217-0A5FEE0C86A8}"/>
    <cellStyle name="AggOrange9 2 2 2 2 2" xfId="1334" xr:uid="{F7BC1BA6-0355-40F0-8E8C-192248B9EA9B}"/>
    <cellStyle name="AggOrange9 2 2 2 2 3" xfId="1783" xr:uid="{F2A96E75-ED40-4B1B-BE0A-79B5020EE1DD}"/>
    <cellStyle name="AggOrange9 2 2 2 2 4" xfId="2564" xr:uid="{3CA28888-A593-47DB-9D6D-0C41AC39A5C4}"/>
    <cellStyle name="AggOrange9 2 2 2 2 5" xfId="3018" xr:uid="{9A71D82D-B64C-42DD-97A0-D4AA3BCD14CA}"/>
    <cellStyle name="AggOrange9 2 2 2 2 6" xfId="3436" xr:uid="{9D2E8C2A-FB1B-43AF-9B53-8D7557D8F352}"/>
    <cellStyle name="AggOrange9 2 2 2 2 7" xfId="3850" xr:uid="{3C081A5A-8989-4FC6-8FE1-94A70E085796}"/>
    <cellStyle name="AggOrange9 2 2 2 2 8" xfId="4273" xr:uid="{0ADDAED6-F092-41A0-9218-7AE222C6184B}"/>
    <cellStyle name="AggOrange9 2 2 2 2 9" xfId="1893" xr:uid="{37D1A7D6-78BD-4CD6-BAF1-59E6D32221EA}"/>
    <cellStyle name="AggOrange9 2 2 2 3" xfId="1128" xr:uid="{4A8387A8-4C83-491E-9BF7-681320C211A2}"/>
    <cellStyle name="AggOrange9 2 2 2 4" xfId="1685" xr:uid="{8A996EB8-B12D-45AC-8CC2-80414FE191D7}"/>
    <cellStyle name="AggOrange9 2 2 2 5" xfId="2351" xr:uid="{F4A6C802-D84F-4953-870B-42270E8BF55B}"/>
    <cellStyle name="AggOrange9 2 2 2 6" xfId="2805" xr:uid="{BE1D71F6-33A1-4710-8BDE-4604DF74FCEE}"/>
    <cellStyle name="AggOrange9 2 2 2 7" xfId="3222" xr:uid="{2B33D96C-2763-4CB2-AB56-30A5115DDE8E}"/>
    <cellStyle name="AggOrange9 2 2 2 8" xfId="3635" xr:uid="{0270C99E-00C9-46C1-AAE2-0602A201E0C8}"/>
    <cellStyle name="AggOrange9 2 2 2 9" xfId="4060" xr:uid="{130BEB1C-C1C1-411F-A6B6-9148AF29E6A0}"/>
    <cellStyle name="AggOrange9 2 2 3" xfId="716" xr:uid="{151840DC-704F-4CA1-BA7E-9B69E96E082B}"/>
    <cellStyle name="AggOrange9 2 2 3 10" xfId="5082" xr:uid="{A80F1548-D518-4C9D-9C45-9CD5ABEF4B67}"/>
    <cellStyle name="AggOrange9 2 2 3 11" xfId="5373" xr:uid="{A8545023-2249-4A7B-BBFA-FDEF593D5CD4}"/>
    <cellStyle name="AggOrange9 2 2 3 2" xfId="1190" xr:uid="{1EE8447A-DBEA-43AE-A53E-EE180D18A217}"/>
    <cellStyle name="AggOrange9 2 2 3 3" xfId="1547" xr:uid="{AB319B4D-D185-436D-99E8-543C8816559B}"/>
    <cellStyle name="AggOrange9 2 2 3 4" xfId="2420" xr:uid="{CE6B4003-9C4F-499F-8A6C-75DB60A5E3E8}"/>
    <cellStyle name="AggOrange9 2 2 3 5" xfId="2874" xr:uid="{A215ABDD-5830-4A9E-A0FC-FABA17D30232}"/>
    <cellStyle name="AggOrange9 2 2 3 6" xfId="3292" xr:uid="{907C7AC1-73CB-49D1-B36B-A9CFBD9A7396}"/>
    <cellStyle name="AggOrange9 2 2 3 7" xfId="3706" xr:uid="{A0E8F89D-CE64-4291-BEB5-34B7E1BB31B9}"/>
    <cellStyle name="AggOrange9 2 2 3 8" xfId="4129" xr:uid="{F4B5715F-B0F4-44E6-8277-646E4B64D539}"/>
    <cellStyle name="AggOrange9 2 2 3 9" xfId="2066" xr:uid="{E7503BA0-84C5-4901-801C-B03AE0A33CEC}"/>
    <cellStyle name="AggOrange9 2 3" xfId="267" xr:uid="{EF9AA66D-A870-4D68-B5C5-147D3E98FC7E}"/>
    <cellStyle name="AggOrange9 2 3 10" xfId="1958" xr:uid="{A15440AC-07A4-4E4F-A09C-1636D4874ECB}"/>
    <cellStyle name="AggOrange9 2 3 11" xfId="2213" xr:uid="{1630ADA0-81E2-43DF-BB6F-6E05A88B808A}"/>
    <cellStyle name="AggOrange9 2 3 12" xfId="4401" xr:uid="{DC90A6D9-7E01-4587-A788-03FAC841F250}"/>
    <cellStyle name="AggOrange9 2 3 13" xfId="4731" xr:uid="{C003CAA6-E104-41D5-8CC8-CC6E17F76F16}"/>
    <cellStyle name="AggOrange9 2 3 14" xfId="4633" xr:uid="{BDA320A3-E3CD-44C5-B1A6-EF6B6C9F9A18}"/>
    <cellStyle name="AggOrange9 2 3 2" xfId="606" xr:uid="{F32A2411-29C7-4A6D-BDE1-741B7AED8853}"/>
    <cellStyle name="AggOrange9 2 3 2 10" xfId="3487" xr:uid="{96D0D9ED-D4D4-4696-A4F6-BDAB6175184A}"/>
    <cellStyle name="AggOrange9 2 3 2 11" xfId="4978" xr:uid="{6FE6562C-FE5D-48C5-B566-2234D77D41E5}"/>
    <cellStyle name="AggOrange9 2 3 2 12" xfId="5403" xr:uid="{B482A607-6682-4C9C-8817-FAFC8F1D852F}"/>
    <cellStyle name="AggOrange9 2 3 2 2" xfId="821" xr:uid="{63C42435-29EC-4149-B5E9-5DBD13136C4E}"/>
    <cellStyle name="AggOrange9 2 3 2 2 10" xfId="5187" xr:uid="{76A2FB85-6BC0-4E96-813A-CAA2AC77112A}"/>
    <cellStyle name="AggOrange9 2 3 2 2 11" xfId="4830" xr:uid="{950671E2-BAC6-43FB-8CC4-D09FD0C49197}"/>
    <cellStyle name="AggOrange9 2 3 2 2 2" xfId="1295" xr:uid="{1D96CBA1-CBCC-44C0-87D9-FDC0888A58CD}"/>
    <cellStyle name="AggOrange9 2 3 2 2 3" xfId="1473" xr:uid="{C853293E-FF27-4185-B4F5-CD0BD1B4DA8E}"/>
    <cellStyle name="AggOrange9 2 3 2 2 4" xfId="2525" xr:uid="{AF8EDA72-F161-436C-9E4B-79257764B11F}"/>
    <cellStyle name="AggOrange9 2 3 2 2 5" xfId="2979" xr:uid="{5EA111A6-E92C-4B2B-A19F-DF4B34E6729D}"/>
    <cellStyle name="AggOrange9 2 3 2 2 6" xfId="3397" xr:uid="{01643B61-93DB-4F90-AADD-1720498A1A99}"/>
    <cellStyle name="AggOrange9 2 3 2 2 7" xfId="3811" xr:uid="{0DB071B0-3D9E-4D0E-9EEF-90D687925EC9}"/>
    <cellStyle name="AggOrange9 2 3 2 2 8" xfId="4234" xr:uid="{27393514-1C6E-440A-AE32-428319B3CAB9}"/>
    <cellStyle name="AggOrange9 2 3 2 2 9" xfId="1999" xr:uid="{2D4EBD13-4419-44E5-9169-D5FA5DBE73DF}"/>
    <cellStyle name="AggOrange9 2 3 2 3" xfId="1089" xr:uid="{3DECD1A5-265F-4569-9563-4353B3730333}"/>
    <cellStyle name="AggOrange9 2 3 2 4" xfId="1635" xr:uid="{E16F8CC6-09C3-4FAC-B524-6B7017651FF2}"/>
    <cellStyle name="AggOrange9 2 3 2 5" xfId="2312" xr:uid="{97ECF628-4A06-41E2-8F2F-621935BF9540}"/>
    <cellStyle name="AggOrange9 2 3 2 6" xfId="2766" xr:uid="{6471B866-B779-4EC1-8893-D2BB48EF303C}"/>
    <cellStyle name="AggOrange9 2 3 2 7" xfId="3183" xr:uid="{23DF57E3-D410-4F81-9D3E-C4C28B74DA72}"/>
    <cellStyle name="AggOrange9 2 3 2 8" xfId="3596" xr:uid="{8B7EDC63-6ECB-47D7-8694-52A6B0C5794D}"/>
    <cellStyle name="AggOrange9 2 3 2 9" xfId="4021" xr:uid="{BF2C8240-1F72-497F-A056-50B4B296F233}"/>
    <cellStyle name="AggOrange9 2 3 3" xfId="652" xr:uid="{BCDC864F-D74F-45EB-BD4E-7CB6AC10E4EE}"/>
    <cellStyle name="AggOrange9 2 3 3 10" xfId="3051" xr:uid="{DD1054E7-7250-4EBC-9FEA-097EB63CBEFA}"/>
    <cellStyle name="AggOrange9 2 3 3 11" xfId="5024" xr:uid="{296B00B1-0D30-43D7-9635-226A1368A75D}"/>
    <cellStyle name="AggOrange9 2 3 3 12" xfId="4677" xr:uid="{69E7418A-8D9C-4B77-88AD-5040A9572215}"/>
    <cellStyle name="AggOrange9 2 3 3 2" xfId="867" xr:uid="{736D2853-87BF-40F6-9EE5-6D0EDC427750}"/>
    <cellStyle name="AggOrange9 2 3 3 2 10" xfId="5233" xr:uid="{76B69D92-D57B-44F7-83FB-A59AB80D4B48}"/>
    <cellStyle name="AggOrange9 2 3 3 2 11" xfId="4689" xr:uid="{DC2694E0-B09F-45F3-A4BB-B1AAE251D0D1}"/>
    <cellStyle name="AggOrange9 2 3 3 2 2" xfId="1341" xr:uid="{16DBF6DE-76D9-4641-98A2-AD371E80D2E1}"/>
    <cellStyle name="AggOrange9 2 3 3 2 3" xfId="1790" xr:uid="{47FF96A8-4308-49C8-9308-6668E1CAF065}"/>
    <cellStyle name="AggOrange9 2 3 3 2 4" xfId="2571" xr:uid="{1B091C7E-EB66-4F5F-99C5-F09E99481403}"/>
    <cellStyle name="AggOrange9 2 3 3 2 5" xfId="3025" xr:uid="{5A068285-D0D8-436D-AA21-9928CAA65EF9}"/>
    <cellStyle name="AggOrange9 2 3 3 2 6" xfId="3443" xr:uid="{76142E1C-EBA4-4F60-A5A7-CBA15D62B1BF}"/>
    <cellStyle name="AggOrange9 2 3 3 2 7" xfId="3857" xr:uid="{EEC998C1-5DAB-4B9F-B957-C872133526B3}"/>
    <cellStyle name="AggOrange9 2 3 3 2 8" xfId="4280" xr:uid="{DBEA9E23-05D6-46E1-99AA-55F88265C8AE}"/>
    <cellStyle name="AggOrange9 2 3 3 2 9" xfId="4357" xr:uid="{BF252424-9CB1-4FB7-866C-BC7F1B3EC3C4}"/>
    <cellStyle name="AggOrange9 2 3 3 3" xfId="1135" xr:uid="{4F14DA53-9E6B-4C1C-AC66-49B4681AD47D}"/>
    <cellStyle name="AggOrange9 2 3 3 4" xfId="1753" xr:uid="{7A9E4D85-EC92-4F48-9F7E-F4B065DD7C92}"/>
    <cellStyle name="AggOrange9 2 3 3 5" xfId="2358" xr:uid="{3943550E-84EE-43B6-BD1B-30D634F516FD}"/>
    <cellStyle name="AggOrange9 2 3 3 6" xfId="2812" xr:uid="{92D535D0-CA76-4843-97D4-99312F0A8756}"/>
    <cellStyle name="AggOrange9 2 3 3 7" xfId="3229" xr:uid="{04B500A1-225B-4A3F-87CD-F48B31FA69E2}"/>
    <cellStyle name="AggOrange9 2 3 3 8" xfId="3642" xr:uid="{28F461AF-BCB9-4AC9-952A-C73E4F4E02B1}"/>
    <cellStyle name="AggOrange9 2 3 3 9" xfId="4067" xr:uid="{BD211E80-1F8A-457C-B520-2575C75E3440}"/>
    <cellStyle name="AggOrange9 2 3 4" xfId="666" xr:uid="{FFD02A73-E680-4E90-A3B2-D2B7580D01FC}"/>
    <cellStyle name="AggOrange9 2 3 4 10" xfId="4505" xr:uid="{FC91D8E4-57CC-4D0A-9C73-553856FC8D1D}"/>
    <cellStyle name="AggOrange9 2 3 4 11" xfId="5038" xr:uid="{6F04CE5D-8E21-4523-B4A0-79010AEF8F0B}"/>
    <cellStyle name="AggOrange9 2 3 4 12" xfId="5342" xr:uid="{5BFB29B8-9B2F-4AD6-BAB8-62F6FFAD9A6A}"/>
    <cellStyle name="AggOrange9 2 3 4 2" xfId="881" xr:uid="{B79842D8-61AD-4E5C-8763-BD2E046C2AE6}"/>
    <cellStyle name="AggOrange9 2 3 4 2 10" xfId="5247" xr:uid="{B1EED367-624A-4F8E-924D-0AA1F6809D44}"/>
    <cellStyle name="AggOrange9 2 3 4 2 11" xfId="5475" xr:uid="{334E9380-195A-46E7-8756-E4C5A27FBA63}"/>
    <cellStyle name="AggOrange9 2 3 4 2 2" xfId="1355" xr:uid="{A0840C97-90CB-4ED8-8AA5-1EDF696BA2FE}"/>
    <cellStyle name="AggOrange9 2 3 4 2 3" xfId="1804" xr:uid="{63F7F672-CB1A-4B26-86BF-8D5B2D420083}"/>
    <cellStyle name="AggOrange9 2 3 4 2 4" xfId="2585" xr:uid="{FCB476EE-2630-4879-A6B3-21B73BD329AF}"/>
    <cellStyle name="AggOrange9 2 3 4 2 5" xfId="3039" xr:uid="{73BE201E-193A-4FCD-8071-622D86630ABA}"/>
    <cellStyle name="AggOrange9 2 3 4 2 6" xfId="3457" xr:uid="{B735804E-3244-4FCC-BCE6-9041ABDB4BD8}"/>
    <cellStyle name="AggOrange9 2 3 4 2 7" xfId="3871" xr:uid="{9AE92FF6-5004-4599-8897-39A64FB6D2D2}"/>
    <cellStyle name="AggOrange9 2 3 4 2 8" xfId="4294" xr:uid="{DABC4F27-EF08-4B2F-866F-34B42541764F}"/>
    <cellStyle name="AggOrange9 2 3 4 2 9" xfId="4562" xr:uid="{CFB66898-3321-42EC-ADE7-2C652B50C81C}"/>
    <cellStyle name="AggOrange9 2 3 4 3" xfId="1149" xr:uid="{E5B1283C-CF85-429D-A4A1-9930DC2AE0AB}"/>
    <cellStyle name="AggOrange9 2 3 4 4" xfId="1614" xr:uid="{94860351-43B4-472E-B70A-9E1EC4DD9A33}"/>
    <cellStyle name="AggOrange9 2 3 4 5" xfId="2372" xr:uid="{299C1904-DAC0-49DB-BF7C-7DF21CFACD51}"/>
    <cellStyle name="AggOrange9 2 3 4 6" xfId="2826" xr:uid="{84962B77-4B14-4B72-9847-D1C1D6470209}"/>
    <cellStyle name="AggOrange9 2 3 4 7" xfId="3243" xr:uid="{35F2E2C5-9827-42E3-BD8C-2C420650413E}"/>
    <cellStyle name="AggOrange9 2 3 4 8" xfId="3656" xr:uid="{746D87F7-91E9-4B7C-97EB-28C88842A966}"/>
    <cellStyle name="AggOrange9 2 3 4 9" xfId="4081" xr:uid="{B2056ED9-90C9-47C5-A3FC-878E4DC8D104}"/>
    <cellStyle name="AggOrange9 2 3 5" xfId="944" xr:uid="{B55CF01E-E485-435F-9356-D06276429D4A}"/>
    <cellStyle name="AggOrange9 2 3 6" xfId="1535" xr:uid="{B28D75CC-AF6F-474C-B5E6-108DA77C50C5}"/>
    <cellStyle name="AggOrange9 2 3 7" xfId="2031" xr:uid="{631A7406-5E5D-4E93-8500-4E1D01F840D4}"/>
    <cellStyle name="AggOrange9 2 3 8" xfId="2141" xr:uid="{D14B2CAA-CABA-4CBA-AAE3-80CECBE2AB93}"/>
    <cellStyle name="AggOrange9 2 3 9" xfId="2606" xr:uid="{1D491AA5-E581-48A2-8ED7-26F33CDF45B1}"/>
    <cellStyle name="AggOrange9 3" xfId="408" xr:uid="{6F42F83B-5566-491D-BEC1-15E34F81203B}"/>
    <cellStyle name="AggOrange9 3 2" xfId="597" xr:uid="{D2BBCFEA-23E9-4463-82F2-E3AA697257B2}"/>
    <cellStyle name="AggOrange9 3 2 10" xfId="3890" xr:uid="{AAE6F39B-C8C7-46B1-A683-95F67EE3659D}"/>
    <cellStyle name="AggOrange9 3 2 11" xfId="4969" xr:uid="{03307FDF-C99A-4AD6-A7CC-1A4E25274790}"/>
    <cellStyle name="AggOrange9 3 2 12" xfId="5386" xr:uid="{698ADD86-909D-42D7-9380-DC4FF79D50B8}"/>
    <cellStyle name="AggOrange9 3 2 2" xfId="812" xr:uid="{953C128A-7A1D-4485-A300-A6244DE41AAA}"/>
    <cellStyle name="AggOrange9 3 2 2 10" xfId="5178" xr:uid="{8AC8C323-2F03-4FD5-8405-E2E78382519B}"/>
    <cellStyle name="AggOrange9 3 2 2 11" xfId="4865" xr:uid="{40ADCC6C-1932-4BFA-A253-C8BFB9E34E11}"/>
    <cellStyle name="AggOrange9 3 2 2 2" xfId="1286" xr:uid="{CC8B8CCE-E90C-48B5-87ED-0F6B00B35E1F}"/>
    <cellStyle name="AggOrange9 3 2 2 3" xfId="1421" xr:uid="{FAC6F471-12C2-4ADD-9BF7-925EC1C00B2E}"/>
    <cellStyle name="AggOrange9 3 2 2 4" xfId="2516" xr:uid="{921B53AD-901D-4098-B99B-95E83B6D77DC}"/>
    <cellStyle name="AggOrange9 3 2 2 5" xfId="2970" xr:uid="{A60E4D8E-4132-405A-AFFD-67265BA785B7}"/>
    <cellStyle name="AggOrange9 3 2 2 6" xfId="3388" xr:uid="{CEA8DFF6-5022-439B-85C4-08A479F9C63A}"/>
    <cellStyle name="AggOrange9 3 2 2 7" xfId="3802" xr:uid="{9B54440A-3668-467E-909B-8840E05ABC1E}"/>
    <cellStyle name="AggOrange9 3 2 2 8" xfId="4225" xr:uid="{03A91E12-7CFA-4DE5-8CCF-A5CEC6102B36}"/>
    <cellStyle name="AggOrange9 3 2 2 9" xfId="3488" xr:uid="{3DCAF553-BA4F-4606-8223-14C55266328D}"/>
    <cellStyle name="AggOrange9 3 2 3" xfId="1080" xr:uid="{D46D383D-CF24-4829-BDC2-06DABDB028EB}"/>
    <cellStyle name="AggOrange9 3 2 4" xfId="1454" xr:uid="{E6C73A95-8F2B-4E05-A0B3-54E4EC34A706}"/>
    <cellStyle name="AggOrange9 3 2 5" xfId="2303" xr:uid="{5691FF8D-2AC6-4445-B2B9-3754AD5037E8}"/>
    <cellStyle name="AggOrange9 3 2 6" xfId="2757" xr:uid="{496CE6C4-15BD-4D0D-B4B3-B22369D69E3F}"/>
    <cellStyle name="AggOrange9 3 2 7" xfId="3174" xr:uid="{74CD0CB9-4114-420D-9C46-5A3FE381F19C}"/>
    <cellStyle name="AggOrange9 3 2 8" xfId="3587" xr:uid="{EBF37641-6028-4182-9752-5CFEF6F5556E}"/>
    <cellStyle name="AggOrange9 3 2 9" xfId="4012" xr:uid="{529C2E94-2BB6-4A71-965D-C49D57D4B8E3}"/>
    <cellStyle name="AggOrange9 3 3" xfId="715" xr:uid="{5D22E125-D3B4-4FEC-95AF-DC72E75B51C7}"/>
    <cellStyle name="AggOrange9 3 3 10" xfId="5081" xr:uid="{4B943FFC-2118-44D9-BE33-DBD6FF4ED068}"/>
    <cellStyle name="AggOrange9 3 3 11" xfId="4641" xr:uid="{4B1C1909-B521-46EA-A62C-B448080ED494}"/>
    <cellStyle name="AggOrange9 3 3 2" xfId="1189" xr:uid="{FD3B597D-53C3-4132-A578-24B228014FC2}"/>
    <cellStyle name="AggOrange9 3 3 3" xfId="1446" xr:uid="{F5A267A7-FC80-4F2C-AE73-3D1A7267458D}"/>
    <cellStyle name="AggOrange9 3 3 4" xfId="2419" xr:uid="{9E2DAF27-A6B7-4DB8-A47A-A5DDABDC835C}"/>
    <cellStyle name="AggOrange9 3 3 5" xfId="2873" xr:uid="{39CA3E63-31D8-47C5-8277-F0976E7EDA43}"/>
    <cellStyle name="AggOrange9 3 3 6" xfId="3291" xr:uid="{6471376B-3D12-4FA9-83D3-F1BEF20029F1}"/>
    <cellStyle name="AggOrange9 3 3 7" xfId="3705" xr:uid="{E94A721A-3D78-4631-B90D-FF8CD668E1C8}"/>
    <cellStyle name="AggOrange9 3 3 8" xfId="4128" xr:uid="{5BF34BCC-C928-4598-90A2-8C4C9C2610D6}"/>
    <cellStyle name="AggOrange9 3 3 9" xfId="2174" xr:uid="{D7C56A0A-A723-4217-8857-44B7D22039B2}"/>
    <cellStyle name="AggOrange9 4" xfId="266" xr:uid="{F19A7FC1-CAB0-4B57-AF9D-5991FC0FDFE3}"/>
    <cellStyle name="AggOrange9 4 10" xfId="1925" xr:uid="{903F5DD3-8220-4281-A6F7-F6704307BA23}"/>
    <cellStyle name="AggOrange9 4 11" xfId="3056" xr:uid="{39035F70-87DC-45C2-A43B-E316EA3A02AE}"/>
    <cellStyle name="AggOrange9 4 12" xfId="4370" xr:uid="{51C7AC54-3F2C-436B-A27E-74A30BAA7D5B}"/>
    <cellStyle name="AggOrange9 4 13" xfId="4730" xr:uid="{FFE9860E-37A1-4158-8D49-241180F6C9B1}"/>
    <cellStyle name="AggOrange9 4 14" xfId="5272" xr:uid="{2505DADE-B85E-451E-AE1D-C6567B11003E}"/>
    <cellStyle name="AggOrange9 4 2" xfId="605" xr:uid="{9643F564-E0CB-4D6D-8B31-EE6B194DE6A6}"/>
    <cellStyle name="AggOrange9 4 2 10" xfId="4475" xr:uid="{84EB6083-3830-4F53-9E5A-7D41FB0E7AAE}"/>
    <cellStyle name="AggOrange9 4 2 11" xfId="4977" xr:uid="{D69214EB-D0E3-4A98-AFFE-078524CDC3D9}"/>
    <cellStyle name="AggOrange9 4 2 12" xfId="5307" xr:uid="{9347CDF8-43B5-45BC-BC94-7EAB6129EE9A}"/>
    <cellStyle name="AggOrange9 4 2 2" xfId="820" xr:uid="{99C0289D-38E4-4189-B84E-3B54A4C7E13A}"/>
    <cellStyle name="AggOrange9 4 2 2 10" xfId="5186" xr:uid="{7C760C39-8C5A-4087-85C4-B5CAB1D3B993}"/>
    <cellStyle name="AggOrange9 4 2 2 11" xfId="4714" xr:uid="{F6BAAD7F-4ECC-4059-BD53-1368969B53CF}"/>
    <cellStyle name="AggOrange9 4 2 2 2" xfId="1294" xr:uid="{D1B4EAE7-46AA-4CFE-8F3E-002067E7AC1D}"/>
    <cellStyle name="AggOrange9 4 2 2 3" xfId="1417" xr:uid="{D36C77D6-017B-43EF-BAF8-D1B817019ACD}"/>
    <cellStyle name="AggOrange9 4 2 2 4" xfId="2524" xr:uid="{724AFB34-67A9-4CFC-B94B-442A62B6BA70}"/>
    <cellStyle name="AggOrange9 4 2 2 5" xfId="2978" xr:uid="{D47C4406-1287-42CE-A89E-4481B3DDE748}"/>
    <cellStyle name="AggOrange9 4 2 2 6" xfId="3396" xr:uid="{BB686A6E-D303-412E-A3A8-C25F3C146D24}"/>
    <cellStyle name="AggOrange9 4 2 2 7" xfId="3810" xr:uid="{723C5C60-6860-41BF-8036-024537152AEE}"/>
    <cellStyle name="AggOrange9 4 2 2 8" xfId="4233" xr:uid="{036015C7-8837-48E2-861A-DBAD65672471}"/>
    <cellStyle name="AggOrange9 4 2 2 9" xfId="4380" xr:uid="{963250BD-A1CF-43AE-9FD0-E9F4938ABA51}"/>
    <cellStyle name="AggOrange9 4 2 3" xfId="1088" xr:uid="{C288C543-0466-4F5E-92C5-7B4A6948B82F}"/>
    <cellStyle name="AggOrange9 4 2 4" xfId="1727" xr:uid="{C4E7B601-FC19-462A-B4CC-77AC0FD1E64C}"/>
    <cellStyle name="AggOrange9 4 2 5" xfId="2311" xr:uid="{1811CDF8-4DD8-47F6-95E8-5E548E89A4E2}"/>
    <cellStyle name="AggOrange9 4 2 6" xfId="2765" xr:uid="{FE281524-6FCE-43B6-A0F8-DA2FFF3920CF}"/>
    <cellStyle name="AggOrange9 4 2 7" xfId="3182" xr:uid="{63CBFE5C-EEDE-4570-9068-486522546CAD}"/>
    <cellStyle name="AggOrange9 4 2 8" xfId="3595" xr:uid="{24EAB4E8-1E89-451A-B8A1-3CD1C6435B0A}"/>
    <cellStyle name="AggOrange9 4 2 9" xfId="4020" xr:uid="{217E109A-A215-4ACE-B321-48C6951E0093}"/>
    <cellStyle name="AggOrange9 4 3" xfId="550" xr:uid="{75A3D90F-29A3-4F41-8BF4-77ED2E06F35B}"/>
    <cellStyle name="AggOrange9 4 3 10" xfId="4340" xr:uid="{5FE0794F-7621-43C1-9FE5-78D27D8AC20E}"/>
    <cellStyle name="AggOrange9 4 3 11" xfId="4922" xr:uid="{E9953EE0-1F8C-4279-8EBE-234881AA7888}"/>
    <cellStyle name="AggOrange9 4 3 12" xfId="4652" xr:uid="{0E4B8611-B564-4396-8E40-E39757CD2A4E}"/>
    <cellStyle name="AggOrange9 4 3 2" xfId="765" xr:uid="{CA1ECDF8-CD70-448B-B773-B39D4D9ED5BE}"/>
    <cellStyle name="AggOrange9 4 3 2 10" xfId="5131" xr:uid="{3042E629-5082-494C-AA38-5EC3590825E7}"/>
    <cellStyle name="AggOrange9 4 3 2 11" xfId="4654" xr:uid="{15B8D9E7-445A-4752-A57E-BF5789C1686A}"/>
    <cellStyle name="AggOrange9 4 3 2 2" xfId="1239" xr:uid="{FC6DCDF0-8E6E-4E09-9A8F-80B508832AFB}"/>
    <cellStyle name="AggOrange9 4 3 2 3" xfId="1648" xr:uid="{3E51A010-C52F-465C-A376-78396AC042CF}"/>
    <cellStyle name="AggOrange9 4 3 2 4" xfId="2469" xr:uid="{1F16A11A-3BD0-4F42-A8FF-70C66896015B}"/>
    <cellStyle name="AggOrange9 4 3 2 5" xfId="2923" xr:uid="{0A5F0648-FC8A-42AC-8B45-4417D026A925}"/>
    <cellStyle name="AggOrange9 4 3 2 6" xfId="3341" xr:uid="{447AB453-9AE6-427D-A8C0-D69FCC14F4DD}"/>
    <cellStyle name="AggOrange9 4 3 2 7" xfId="3755" xr:uid="{D6F9B2B0-D964-4DC4-81FB-B157152836BC}"/>
    <cellStyle name="AggOrange9 4 3 2 8" xfId="4178" xr:uid="{7EE37F9B-D9B2-4E9D-A20D-644F066BEA86}"/>
    <cellStyle name="AggOrange9 4 3 2 9" xfId="3486" xr:uid="{292991EE-BA9D-4D49-BC7E-CE3BEC3E217A}"/>
    <cellStyle name="AggOrange9 4 3 3" xfId="1033" xr:uid="{C7C36FD1-4794-4EFE-9487-2B08EF5398F9}"/>
    <cellStyle name="AggOrange9 4 3 4" xfId="1456" xr:uid="{2ECD35EE-BA8C-49C3-B0E1-717B37E48AAA}"/>
    <cellStyle name="AggOrange9 4 3 5" xfId="2256" xr:uid="{A175339B-D504-4AAD-A328-FCD4F4AF193A}"/>
    <cellStyle name="AggOrange9 4 3 6" xfId="2710" xr:uid="{8A290A5E-6655-4089-ACB3-795682804876}"/>
    <cellStyle name="AggOrange9 4 3 7" xfId="3127" xr:uid="{064D4AE2-BE5C-47B0-B2B5-EE625356F1F2}"/>
    <cellStyle name="AggOrange9 4 3 8" xfId="3540" xr:uid="{1CBB920A-CAE0-4595-A2E2-787D11C189E7}"/>
    <cellStyle name="AggOrange9 4 3 9" xfId="3965" xr:uid="{E69DC9EE-B05E-408B-97B2-A7346EE47507}"/>
    <cellStyle name="AggOrange9 4 4" xfId="596" xr:uid="{7B33F60E-248D-4227-B80D-2AFE44CEB7EF}"/>
    <cellStyle name="AggOrange9 4 4 10" xfId="2023" xr:uid="{82120E29-663B-4BFE-8B8E-813396DBAFAD}"/>
    <cellStyle name="AggOrange9 4 4 11" xfId="4968" xr:uid="{3448AA3D-93F0-45AC-B6E9-3ECEB920482B}"/>
    <cellStyle name="AggOrange9 4 4 12" xfId="5065" xr:uid="{47AEBC4B-4B2A-4541-B669-C74B0CB7A58F}"/>
    <cellStyle name="AggOrange9 4 4 2" xfId="811" xr:uid="{C269180F-39A6-4C77-9E44-20FF5D738C88}"/>
    <cellStyle name="AggOrange9 4 4 2 10" xfId="5177" xr:uid="{DF67EA89-C11D-4755-91E5-2DD9E2A16E3E}"/>
    <cellStyle name="AggOrange9 4 4 2 11" xfId="4683" xr:uid="{77993397-5644-4197-A159-0E3BCE90C571}"/>
    <cellStyle name="AggOrange9 4 4 2 2" xfId="1285" xr:uid="{AE467267-8512-4584-8697-C92BC5B4C27B}"/>
    <cellStyle name="AggOrange9 4 4 2 3" xfId="1478" xr:uid="{BDD5CEF5-BDCB-40C2-938A-C3E2695A5FCC}"/>
    <cellStyle name="AggOrange9 4 4 2 4" xfId="2515" xr:uid="{6382DF63-5436-4A77-92D7-C8D132EA2F2A}"/>
    <cellStyle name="AggOrange9 4 4 2 5" xfId="2969" xr:uid="{8D0B37A7-7572-4C2D-899F-0809F467099C}"/>
    <cellStyle name="AggOrange9 4 4 2 6" xfId="3387" xr:uid="{2717C274-8FF8-4727-A53C-1B9AFE437179}"/>
    <cellStyle name="AggOrange9 4 4 2 7" xfId="3801" xr:uid="{E1A23887-4316-4A90-829E-FCE6AC274D7F}"/>
    <cellStyle name="AggOrange9 4 4 2 8" xfId="4224" xr:uid="{13506962-46DE-4C78-9088-DDAEB9097392}"/>
    <cellStyle name="AggOrange9 4 4 2 9" xfId="4457" xr:uid="{C1A83390-3EB7-4E62-A1F5-1B24D2E525D8}"/>
    <cellStyle name="AggOrange9 4 4 3" xfId="1079" xr:uid="{C55640FF-311C-406F-8E0E-B09E0DF06539}"/>
    <cellStyle name="AggOrange9 4 4 4" xfId="1581" xr:uid="{1A415F67-EABB-4A83-A877-C1B90E87D85A}"/>
    <cellStyle name="AggOrange9 4 4 5" xfId="2302" xr:uid="{9E1C8CEB-6645-4409-AD4F-10388AAEE583}"/>
    <cellStyle name="AggOrange9 4 4 6" xfId="2756" xr:uid="{70B9E92C-C3B5-4857-AFF2-1840D1533529}"/>
    <cellStyle name="AggOrange9 4 4 7" xfId="3173" xr:uid="{8911D45D-EC1F-471F-BE33-9A5B48B24930}"/>
    <cellStyle name="AggOrange9 4 4 8" xfId="3586" xr:uid="{E5763D22-A9DC-45F0-87BC-263D0B915EC3}"/>
    <cellStyle name="AggOrange9 4 4 9" xfId="4011" xr:uid="{BC15F12B-C696-4D93-B818-C605A31853FB}"/>
    <cellStyle name="AggOrange9 4 5" xfId="943" xr:uid="{2697D08C-3864-47F5-8CD7-50A7CE080E92}"/>
    <cellStyle name="AggOrange9 4 6" xfId="1590" xr:uid="{6A10806A-96B6-4F38-9F87-53E02B52EC45}"/>
    <cellStyle name="AggOrange9 4 7" xfId="2030" xr:uid="{480141E6-BE11-41A6-9340-D1A74307E103}"/>
    <cellStyle name="AggOrange9 4 8" xfId="2140" xr:uid="{75A74E18-7EB7-47C7-9422-21F77AA43E4C}"/>
    <cellStyle name="AggOrange9 4 9" xfId="2175" xr:uid="{C1AFBE13-52B7-47CB-A49A-ACA34684AD22}"/>
    <cellStyle name="AggOrange9 5" xfId="69" xr:uid="{FC7CD900-2D58-4E90-B9B5-2048B46E06D5}"/>
    <cellStyle name="AggOrange9 5 2" xfId="916" xr:uid="{E8C92826-2960-4A85-B1EB-0F51F4A151BB}"/>
    <cellStyle name="AggOrange9 5 3" xfId="1885" xr:uid="{921D894A-CA90-410E-8D61-05421AE8BAF6}"/>
    <cellStyle name="AggOrange9 5 4" xfId="3079" xr:uid="{936BC308-5B23-407A-A19C-87D89267C2AD}"/>
    <cellStyle name="AggOrange9 5 5" xfId="4618" xr:uid="{EE907369-8EDA-4D49-B16D-92CF1925A0C6}"/>
    <cellStyle name="AggOrangeLB_2x" xfId="28" xr:uid="{CC991F6A-F108-4DC1-A1A4-83BD1C3785D5}"/>
    <cellStyle name="AggOrangeLBorder" xfId="30" xr:uid="{8D130D96-ED23-4673-8CFE-2D02F908505E}"/>
    <cellStyle name="AggOrangeLBorder 2" xfId="118" xr:uid="{A47EB40F-5715-43A7-9A42-54800B57DDB3}"/>
    <cellStyle name="AggOrangeLBorder 2 2" xfId="411" xr:uid="{752D987F-3B32-462D-BD06-8572576B875A}"/>
    <cellStyle name="AggOrangeLBorder 2 2 2" xfId="2121" xr:uid="{8F7B9AE0-550D-42A7-B128-DACEAFEC2AE5}"/>
    <cellStyle name="AggOrangeLBorder 2 3" xfId="269" xr:uid="{2F4F0801-1BB3-46C9-8F7A-19C3806E2C03}"/>
    <cellStyle name="AggOrangeLBorder 2 3 10" xfId="2052" xr:uid="{8C057C4D-66A1-4104-A33D-C208CF2E089E}"/>
    <cellStyle name="AggOrangeLBorder 2 3 11" xfId="3086" xr:uid="{69B96CC2-A659-4FB9-87FB-757D622EEC2F}"/>
    <cellStyle name="AggOrangeLBorder 2 3 12" xfId="2168" xr:uid="{8ADB5B08-F620-43BF-AEC5-6CEDF92D3603}"/>
    <cellStyle name="AggOrangeLBorder 2 3 13" xfId="4451" xr:uid="{2C6CA9B1-2ACC-4A45-937F-C29135B59F78}"/>
    <cellStyle name="AggOrangeLBorder 2 3 14" xfId="4733" xr:uid="{5B776FE3-6704-4397-9F14-877A796A79C6}"/>
    <cellStyle name="AggOrangeLBorder 2 3 15" xfId="5271" xr:uid="{938D3EA0-6CC5-4E9C-A294-4C4E3E64B6C0}"/>
    <cellStyle name="AggOrangeLBorder 2 3 2" xfId="608" xr:uid="{0E4CD936-AECF-43A6-896B-FF396200207A}"/>
    <cellStyle name="AggOrangeLBorder 2 3 2 10" xfId="3897" xr:uid="{B31B2ABF-DC6A-4BC8-98AF-2669E3070E31}"/>
    <cellStyle name="AggOrangeLBorder 2 3 2 11" xfId="4980" xr:uid="{E74BD455-EFEF-47A6-B490-AE34423166C9}"/>
    <cellStyle name="AggOrangeLBorder 2 3 2 12" xfId="5432" xr:uid="{18998F0C-7FAC-479F-A479-634C0A2A617C}"/>
    <cellStyle name="AggOrangeLBorder 2 3 2 2" xfId="823" xr:uid="{52003FF5-B18C-46B6-BE4F-CF4D5ECF747C}"/>
    <cellStyle name="AggOrangeLBorder 2 3 2 2 10" xfId="5189" xr:uid="{8429C55D-68B1-4549-A7AF-C5828311F6E6}"/>
    <cellStyle name="AggOrangeLBorder 2 3 2 2 11" xfId="4574" xr:uid="{6A0784B6-7DA7-4D9E-A2AA-85A363BEAC4A}"/>
    <cellStyle name="AggOrangeLBorder 2 3 2 2 2" xfId="1297" xr:uid="{D14C8E9C-D9E6-4B61-A37D-243B823D58D2}"/>
    <cellStyle name="AggOrangeLBorder 2 3 2 2 3" xfId="1504" xr:uid="{E021295B-2B86-4B12-ABF7-2FE5D4A260D5}"/>
    <cellStyle name="AggOrangeLBorder 2 3 2 2 4" xfId="2527" xr:uid="{904D9355-2C70-49B4-A4A7-5FFF2F067FA1}"/>
    <cellStyle name="AggOrangeLBorder 2 3 2 2 5" xfId="2981" xr:uid="{BC90ED9D-DC44-4990-849C-6D889792DB07}"/>
    <cellStyle name="AggOrangeLBorder 2 3 2 2 6" xfId="3399" xr:uid="{332201C0-650C-4987-BC68-F07A8B724C05}"/>
    <cellStyle name="AggOrangeLBorder 2 3 2 2 7" xfId="3813" xr:uid="{38E496F3-43C6-4F0F-8F12-4F1463843022}"/>
    <cellStyle name="AggOrangeLBorder 2 3 2 2 8" xfId="4236" xr:uid="{4F938853-8D33-4C91-9A2E-6EE01FE487D3}"/>
    <cellStyle name="AggOrangeLBorder 2 3 2 2 9" xfId="1948" xr:uid="{B71F9972-EDA2-4E7D-9541-C38362586894}"/>
    <cellStyle name="AggOrangeLBorder 2 3 2 3" xfId="1091" xr:uid="{FD2D35C9-A18B-40EA-A173-1E898199931D}"/>
    <cellStyle name="AggOrangeLBorder 2 3 2 4" xfId="1686" xr:uid="{B291267E-991E-4FAC-B776-FF514227F15F}"/>
    <cellStyle name="AggOrangeLBorder 2 3 2 5" xfId="2314" xr:uid="{095B0EB2-29A5-47C0-A53B-5ED2C292AB7A}"/>
    <cellStyle name="AggOrangeLBorder 2 3 2 6" xfId="2768" xr:uid="{4CE949EC-81C2-48B6-991F-AFE9CFACD7B4}"/>
    <cellStyle name="AggOrangeLBorder 2 3 2 7" xfId="3185" xr:uid="{A7C77A7E-F77A-42C8-9341-B0C45AC81C8F}"/>
    <cellStyle name="AggOrangeLBorder 2 3 2 8" xfId="3598" xr:uid="{A6CEA695-BAB2-4A0B-A4E0-C3F7B9BF88B2}"/>
    <cellStyle name="AggOrangeLBorder 2 3 2 9" xfId="4023" xr:uid="{052989E4-E610-4481-97F7-13A7BF3E5B71}"/>
    <cellStyle name="AggOrangeLBorder 2 3 3" xfId="548" xr:uid="{D1E2162A-7FF6-4CE4-BD94-180E233BD522}"/>
    <cellStyle name="AggOrangeLBorder 2 3 3 10" xfId="4447" xr:uid="{10141D2E-8FB2-455A-9926-07F874CF2E15}"/>
    <cellStyle name="AggOrangeLBorder 2 3 3 11" xfId="4920" xr:uid="{A55960A0-FBC2-4E44-B919-130EAB71F32E}"/>
    <cellStyle name="AggOrangeLBorder 2 3 3 12" xfId="4688" xr:uid="{C10A8924-2551-49E0-AC9F-7883C187F7B5}"/>
    <cellStyle name="AggOrangeLBorder 2 3 3 2" xfId="763" xr:uid="{E1F57CBC-41A0-4F52-BF25-9613FA7A8CA9}"/>
    <cellStyle name="AggOrangeLBorder 2 3 3 2 10" xfId="5129" xr:uid="{6F63E587-0C74-40F3-A397-57925C32ACF0}"/>
    <cellStyle name="AggOrangeLBorder 2 3 3 2 11" xfId="4857" xr:uid="{919D11E7-B129-4972-951B-5D73D01C6821}"/>
    <cellStyle name="AggOrangeLBorder 2 3 3 2 2" xfId="1237" xr:uid="{48636564-C995-4C07-B210-205DCBA081CC}"/>
    <cellStyle name="AggOrangeLBorder 2 3 3 2 3" xfId="1622" xr:uid="{282E61BA-8A82-46DB-AC38-FFB3E01126C8}"/>
    <cellStyle name="AggOrangeLBorder 2 3 3 2 4" xfId="2467" xr:uid="{750854E9-5E1C-4B35-AD70-226EA688904A}"/>
    <cellStyle name="AggOrangeLBorder 2 3 3 2 5" xfId="2921" xr:uid="{3249AC2C-4F91-45F8-80A1-CF0D457D57A9}"/>
    <cellStyle name="AggOrangeLBorder 2 3 3 2 6" xfId="3339" xr:uid="{23517CC7-4D11-4DF0-A26B-8F39B820488C}"/>
    <cellStyle name="AggOrangeLBorder 2 3 3 2 7" xfId="3753" xr:uid="{39B1B152-5D9D-43FA-8309-5DAF4531879D}"/>
    <cellStyle name="AggOrangeLBorder 2 3 3 2 8" xfId="4176" xr:uid="{DE77B995-18E7-48AD-9E3D-6F2F5888AB97}"/>
    <cellStyle name="AggOrangeLBorder 2 3 3 2 9" xfId="4426" xr:uid="{1DB76A51-7B58-4978-A02F-3994C448AAC8}"/>
    <cellStyle name="AggOrangeLBorder 2 3 3 3" xfId="1031" xr:uid="{0C5A87E3-983B-4B46-BC75-91ECFCC96474}"/>
    <cellStyle name="AggOrangeLBorder 2 3 3 4" xfId="1458" xr:uid="{CA7B6A29-2B53-40B3-AF78-1BED0786D9CE}"/>
    <cellStyle name="AggOrangeLBorder 2 3 3 5" xfId="2254" xr:uid="{435AA264-2E0E-4319-AA77-7F7A9004422F}"/>
    <cellStyle name="AggOrangeLBorder 2 3 3 6" xfId="2708" xr:uid="{CC5BCE02-31D6-4BFE-8170-EBB7740CD29E}"/>
    <cellStyle name="AggOrangeLBorder 2 3 3 7" xfId="3125" xr:uid="{05B2EA26-D12F-47F3-B88A-D50B3DC86511}"/>
    <cellStyle name="AggOrangeLBorder 2 3 3 8" xfId="3538" xr:uid="{2A7BDB4B-ABE4-45BF-ABD0-37C93DEB3B88}"/>
    <cellStyle name="AggOrangeLBorder 2 3 3 9" xfId="3963" xr:uid="{28788692-6656-4745-8B3B-166C8CA9EA23}"/>
    <cellStyle name="AggOrangeLBorder 2 3 4" xfId="574" xr:uid="{A953E283-BF29-4FC5-AF9A-C44235210B41}"/>
    <cellStyle name="AggOrangeLBorder 2 3 4 10" xfId="4513" xr:uid="{DB352E60-E2DB-433F-A428-03993C2FD40E}"/>
    <cellStyle name="AggOrangeLBorder 2 3 4 11" xfId="4946" xr:uid="{AF85CF9A-56D3-4928-92E8-77539D3F3DC0}"/>
    <cellStyle name="AggOrangeLBorder 2 3 4 12" xfId="4851" xr:uid="{06A2A240-C8CD-4E8F-B3BF-5667A7F6BE77}"/>
    <cellStyle name="AggOrangeLBorder 2 3 4 2" xfId="789" xr:uid="{4E91DA4B-45E7-4F4A-83DD-F07402C3DF5F}"/>
    <cellStyle name="AggOrangeLBorder 2 3 4 2 10" xfId="5155" xr:uid="{7EE444F6-5878-4D58-9418-14AAA76D4C87}"/>
    <cellStyle name="AggOrangeLBorder 2 3 4 2 11" xfId="4695" xr:uid="{2017B67C-7D16-4E55-BED3-64BFB4953440}"/>
    <cellStyle name="AggOrangeLBorder 2 3 4 2 2" xfId="1263" xr:uid="{169AD3A1-A1D3-4097-94B9-E5656E37BBBF}"/>
    <cellStyle name="AggOrangeLBorder 2 3 4 2 3" xfId="1560" xr:uid="{8BF15D64-F85A-46EA-A1E8-120A144CCBA4}"/>
    <cellStyle name="AggOrangeLBorder 2 3 4 2 4" xfId="2493" xr:uid="{F6A1D3C1-8BA7-4253-BD83-423BE85B7E5A}"/>
    <cellStyle name="AggOrangeLBorder 2 3 4 2 5" xfId="2947" xr:uid="{74684C88-4BE8-431A-9B43-25A2202845F4}"/>
    <cellStyle name="AggOrangeLBorder 2 3 4 2 6" xfId="3365" xr:uid="{E44BD033-D6F5-429F-8476-4862179BF341}"/>
    <cellStyle name="AggOrangeLBorder 2 3 4 2 7" xfId="3779" xr:uid="{706C6356-189B-47FB-8561-77BBB91F449F}"/>
    <cellStyle name="AggOrangeLBorder 2 3 4 2 8" xfId="4202" xr:uid="{4D351BAA-FDD1-4B29-9C71-AD74246E9E29}"/>
    <cellStyle name="AggOrangeLBorder 2 3 4 2 9" xfId="4418" xr:uid="{56BB41AF-A476-4A4A-8E5B-CE7ACF3397EE}"/>
    <cellStyle name="AggOrangeLBorder 2 3 4 3" xfId="1057" xr:uid="{3F541256-B0A3-41B1-8657-68663D0758DD}"/>
    <cellStyle name="AggOrangeLBorder 2 3 4 4" xfId="1600" xr:uid="{867631B8-BA93-49AD-B8F2-47AB8948BB27}"/>
    <cellStyle name="AggOrangeLBorder 2 3 4 5" xfId="2280" xr:uid="{16793381-EA31-43A9-9E97-F6B60FE23807}"/>
    <cellStyle name="AggOrangeLBorder 2 3 4 6" xfId="2734" xr:uid="{E65D5591-E27E-4C7A-B54A-9E75AAD41889}"/>
    <cellStyle name="AggOrangeLBorder 2 3 4 7" xfId="3151" xr:uid="{FEC4AE85-988C-4B5C-9B4B-AB56FBAF665C}"/>
    <cellStyle name="AggOrangeLBorder 2 3 4 8" xfId="3564" xr:uid="{B6C3580A-F5BE-4EC0-A861-C5BCD99B2B5D}"/>
    <cellStyle name="AggOrangeLBorder 2 3 4 9" xfId="3989" xr:uid="{2A4CE2D8-F760-4B5C-B02E-A96B6D559C61}"/>
    <cellStyle name="AggOrangeLBorder 2 3 5" xfId="694" xr:uid="{076DE6C4-B3F0-423C-8D76-041B49EABAFE}"/>
    <cellStyle name="AggOrangeLBorder 2 3 5 2" xfId="3684" xr:uid="{B9EDCF6A-68CC-4B30-8123-3CD46D4098E3}"/>
    <cellStyle name="AggOrangeLBorder 2 3 6" xfId="946" xr:uid="{96C4FF16-1A65-4559-AA0A-07DD8AE3D080}"/>
    <cellStyle name="AggOrangeLBorder 2 3 7" xfId="1589" xr:uid="{50255718-0DD7-4555-9AC4-EA65D0C4B6C1}"/>
    <cellStyle name="AggOrangeLBorder 2 3 8" xfId="2033" xr:uid="{90204EB1-EE80-41A1-92EA-41E228A4102B}"/>
    <cellStyle name="AggOrangeLBorder 2 3 9" xfId="1829" xr:uid="{B56C73C1-CD7D-45A4-8484-834EAFCAE58F}"/>
    <cellStyle name="AggOrangeLBorder 3" xfId="410" xr:uid="{C1908E62-12C2-473A-8694-8302058E3F10}"/>
    <cellStyle name="AggOrangeLBorder 3 2" xfId="2610" xr:uid="{B86C071D-1367-4014-92BE-2888C2C4C8A2}"/>
    <cellStyle name="AggOrangeLBorder 4" xfId="268" xr:uid="{BA9CC048-045E-467E-807B-AFF08F0CA33D}"/>
    <cellStyle name="AggOrangeLBorder 4 10" xfId="2169" xr:uid="{EDCC4E42-A36A-46EC-9A1E-6FEF0BBBF46A}"/>
    <cellStyle name="AggOrangeLBorder 4 11" xfId="3274" xr:uid="{B33F89B1-2DD5-45A0-8BC3-A92BC338038C}"/>
    <cellStyle name="AggOrangeLBorder 4 12" xfId="1852" xr:uid="{C00C31BF-EF2A-482F-B0B3-EE960B1D0107}"/>
    <cellStyle name="AggOrangeLBorder 4 13" xfId="2014" xr:uid="{A0000CED-4014-4F7F-96D3-0B6C3C984455}"/>
    <cellStyle name="AggOrangeLBorder 4 14" xfId="4732" xr:uid="{F3338E42-9BD7-4674-B8B8-82A904FC077F}"/>
    <cellStyle name="AggOrangeLBorder 4 15" xfId="5270" xr:uid="{3E237CFD-9C1D-4199-93B7-4CB1744FB1FE}"/>
    <cellStyle name="AggOrangeLBorder 4 2" xfId="607" xr:uid="{3761E87B-B348-4352-8869-D79966437C99}"/>
    <cellStyle name="AggOrangeLBorder 4 2 10" xfId="4379" xr:uid="{CE8C4CF7-89C4-4746-B3C9-7CF3B52F382D}"/>
    <cellStyle name="AggOrangeLBorder 4 2 11" xfId="4979" xr:uid="{E6DECA91-820A-4B9F-8C92-76FFE5560B8A}"/>
    <cellStyle name="AggOrangeLBorder 4 2 12" xfId="5301" xr:uid="{B0CC2997-BED3-4CFB-B044-801872432A3A}"/>
    <cellStyle name="AggOrangeLBorder 4 2 2" xfId="822" xr:uid="{3C7200B8-0D32-40DD-A098-8AA7EA5A3D17}"/>
    <cellStyle name="AggOrangeLBorder 4 2 2 10" xfId="5188" xr:uid="{D8466AED-D887-48BA-A424-BD0E1A0DC03C}"/>
    <cellStyle name="AggOrangeLBorder 4 2 2 11" xfId="4811" xr:uid="{0A9C7732-A7FB-4154-BAB5-3E02E93816F7}"/>
    <cellStyle name="AggOrangeLBorder 4 2 2 2" xfId="1296" xr:uid="{63E1B6EC-A380-4DB6-8CEB-045DB567F4F5}"/>
    <cellStyle name="AggOrangeLBorder 4 2 2 3" xfId="1416" xr:uid="{7EB6326D-796E-42FA-8FB9-7E60842193B9}"/>
    <cellStyle name="AggOrangeLBorder 4 2 2 4" xfId="2526" xr:uid="{5058FE92-FAE9-4BF3-A1EF-41438984E22B}"/>
    <cellStyle name="AggOrangeLBorder 4 2 2 5" xfId="2980" xr:uid="{BDEC1A04-2681-4B72-B3BC-B8F8D1675F4B}"/>
    <cellStyle name="AggOrangeLBorder 4 2 2 6" xfId="3398" xr:uid="{A14D2C32-F5C7-4470-B799-ECB47E6AE7CF}"/>
    <cellStyle name="AggOrangeLBorder 4 2 2 7" xfId="3812" xr:uid="{BB7A38F6-9A68-4D69-A08D-CA29A4D4A8F3}"/>
    <cellStyle name="AggOrangeLBorder 4 2 2 8" xfId="4235" xr:uid="{0A98E396-CCD7-4B8C-BAA5-B4A91BCBA5E7}"/>
    <cellStyle name="AggOrangeLBorder 4 2 2 9" xfId="1992" xr:uid="{6F02782A-3846-4334-ACD1-8F38B27BDD39}"/>
    <cellStyle name="AggOrangeLBorder 4 2 3" xfId="1090" xr:uid="{492395FA-8BE2-4715-BB90-DA5B1010846F}"/>
    <cellStyle name="AggOrangeLBorder 4 2 4" xfId="1522" xr:uid="{14C2909D-58F1-4DD5-BBE8-3BB36C6258C6}"/>
    <cellStyle name="AggOrangeLBorder 4 2 5" xfId="2313" xr:uid="{1EF3E594-7E99-4954-8893-01991EEFD2CE}"/>
    <cellStyle name="AggOrangeLBorder 4 2 6" xfId="2767" xr:uid="{289E641A-A9F8-4CA3-B046-5311E6AA004B}"/>
    <cellStyle name="AggOrangeLBorder 4 2 7" xfId="3184" xr:uid="{11870D47-F436-45D1-A49F-8DE03CF05ED4}"/>
    <cellStyle name="AggOrangeLBorder 4 2 8" xfId="3597" xr:uid="{A1D11A6A-E74F-446C-AAB3-5E16E88A6EF8}"/>
    <cellStyle name="AggOrangeLBorder 4 2 9" xfId="4022" xr:uid="{BD8D5F2C-27DC-4D8E-AFEB-EBF24FDD39DB}"/>
    <cellStyle name="AggOrangeLBorder 4 3" xfId="549" xr:uid="{DA466A5D-C337-4134-8E17-B82726A57CC0}"/>
    <cellStyle name="AggOrangeLBorder 4 3 10" xfId="1970" xr:uid="{80F6A48F-72FD-4FA0-92B7-207824E17DEF}"/>
    <cellStyle name="AggOrangeLBorder 4 3 11" xfId="4921" xr:uid="{1525287C-74B1-405C-99AA-FF171906ECAE}"/>
    <cellStyle name="AggOrangeLBorder 4 3 12" xfId="4690" xr:uid="{6E00BB85-0706-49B5-8B8F-FEFD104D5D55}"/>
    <cellStyle name="AggOrangeLBorder 4 3 2" xfId="764" xr:uid="{CEF07C67-37DE-499D-A67A-77226F86054F}"/>
    <cellStyle name="AggOrangeLBorder 4 3 2 10" xfId="5130" xr:uid="{D8C07603-0952-4506-BB80-199E11754E34}"/>
    <cellStyle name="AggOrangeLBorder 4 3 2 11" xfId="4721" xr:uid="{407E5958-1B46-4527-AA01-25259D3CDFCB}"/>
    <cellStyle name="AggOrangeLBorder 4 3 2 2" xfId="1238" xr:uid="{96C5E97E-E128-4800-8F03-82E2CE67EAB1}"/>
    <cellStyle name="AggOrangeLBorder 4 3 2 3" xfId="1740" xr:uid="{F9D4ED72-CDC8-421D-AAFD-0F0962C528AD}"/>
    <cellStyle name="AggOrangeLBorder 4 3 2 4" xfId="2468" xr:uid="{9C6095F6-728A-4DCB-8A1D-89C2ACF9380A}"/>
    <cellStyle name="AggOrangeLBorder 4 3 2 5" xfId="2922" xr:uid="{34F1ECA3-3B6A-4507-AAE8-C213B07DBA34}"/>
    <cellStyle name="AggOrangeLBorder 4 3 2 6" xfId="3340" xr:uid="{E5B927B5-BD9D-4E16-A9ED-1051F34DFD9E}"/>
    <cellStyle name="AggOrangeLBorder 4 3 2 7" xfId="3754" xr:uid="{C1DCED0D-43C3-4CEB-90B9-225D5627F08A}"/>
    <cellStyle name="AggOrangeLBorder 4 3 2 8" xfId="4177" xr:uid="{6F7782D1-A2F2-4ED7-8E1C-204211D347B6}"/>
    <cellStyle name="AggOrangeLBorder 4 3 2 9" xfId="1926" xr:uid="{57790F45-1008-4B07-8795-31BDAF7683C9}"/>
    <cellStyle name="AggOrangeLBorder 4 3 3" xfId="1032" xr:uid="{EBAE6C41-8411-4F3E-B3CD-76C7CEE795B7}"/>
    <cellStyle name="AggOrangeLBorder 4 3 4" xfId="1457" xr:uid="{549A723E-7084-4892-B133-6C46CC8EE80B}"/>
    <cellStyle name="AggOrangeLBorder 4 3 5" xfId="2255" xr:uid="{D83C69A3-A965-4A3D-A316-A1B64382A9F7}"/>
    <cellStyle name="AggOrangeLBorder 4 3 6" xfId="2709" xr:uid="{EF243B8D-376A-456B-B345-CD6A86E0CB23}"/>
    <cellStyle name="AggOrangeLBorder 4 3 7" xfId="3126" xr:uid="{FFDFD329-2BF9-4394-A723-E47694A39E57}"/>
    <cellStyle name="AggOrangeLBorder 4 3 8" xfId="3539" xr:uid="{ED5EE6BA-2181-4251-9449-DE91CA8C6085}"/>
    <cellStyle name="AggOrangeLBorder 4 3 9" xfId="3964" xr:uid="{D4125BA4-9018-44D3-8852-728525690487}"/>
    <cellStyle name="AggOrangeLBorder 4 4" xfId="570" xr:uid="{502CC28D-1109-45C1-B6CC-F38E797BC80B}"/>
    <cellStyle name="AggOrangeLBorder 4 4 10" xfId="4528" xr:uid="{89B30DC7-3A0A-405F-B3B7-3CB0A9C82E45}"/>
    <cellStyle name="AggOrangeLBorder 4 4 11" xfId="4942" xr:uid="{E36422B1-4408-481B-ABEA-0902FDEC83F6}"/>
    <cellStyle name="AggOrangeLBorder 4 4 12" xfId="4770" xr:uid="{79938266-C53A-4A5C-BAE5-E3124C5EFD75}"/>
    <cellStyle name="AggOrangeLBorder 4 4 2" xfId="785" xr:uid="{5DDACE16-FD17-47CE-92EA-FCD786B905DE}"/>
    <cellStyle name="AggOrangeLBorder 4 4 2 10" xfId="5151" xr:uid="{86B8CBFF-1785-43ED-A653-EE5EE96C8EEE}"/>
    <cellStyle name="AggOrangeLBorder 4 4 2 11" xfId="4643" xr:uid="{F98A7AA2-D747-4CC0-B607-AA31818C4711}"/>
    <cellStyle name="AggOrangeLBorder 4 4 2 2" xfId="1259" xr:uid="{337FC2D7-D18A-4A00-A13E-73EEA2784A0D}"/>
    <cellStyle name="AggOrangeLBorder 4 4 2 3" xfId="1562" xr:uid="{F239E1F7-BF66-4E40-A18B-01A7986AAACC}"/>
    <cellStyle name="AggOrangeLBorder 4 4 2 4" xfId="2489" xr:uid="{B8C3E09D-E16F-47D6-8951-5747D04EEF26}"/>
    <cellStyle name="AggOrangeLBorder 4 4 2 5" xfId="2943" xr:uid="{3D206690-D2ED-41D3-A1ED-5C6F93560716}"/>
    <cellStyle name="AggOrangeLBorder 4 4 2 6" xfId="3361" xr:uid="{41787876-762E-4E69-8717-9196B29DD5DD}"/>
    <cellStyle name="AggOrangeLBorder 4 4 2 7" xfId="3775" xr:uid="{A451FDB2-2C4C-46E1-989D-B7A2CCC0B6DD}"/>
    <cellStyle name="AggOrangeLBorder 4 4 2 8" xfId="4198" xr:uid="{E4651F27-1BAE-460A-945D-4DCBD24075F3}"/>
    <cellStyle name="AggOrangeLBorder 4 4 2 9" xfId="2643" xr:uid="{70558EB7-B6B5-428F-B90C-85C07D7FD5C9}"/>
    <cellStyle name="AggOrangeLBorder 4 4 3" xfId="1053" xr:uid="{1F4A5728-AA40-4690-8A03-1020370A5110}"/>
    <cellStyle name="AggOrangeLBorder 4 4 4" xfId="1732" xr:uid="{F254E39B-E661-4334-8699-525A22B54788}"/>
    <cellStyle name="AggOrangeLBorder 4 4 5" xfId="2276" xr:uid="{0A2291A9-5AF1-492F-BA78-D1A7F3E85BCF}"/>
    <cellStyle name="AggOrangeLBorder 4 4 6" xfId="2730" xr:uid="{0E59225E-B38C-4B62-B819-C6D5E3C710FB}"/>
    <cellStyle name="AggOrangeLBorder 4 4 7" xfId="3147" xr:uid="{675E303C-9C3B-440A-945B-7E4473A9F972}"/>
    <cellStyle name="AggOrangeLBorder 4 4 8" xfId="3560" xr:uid="{1158B181-E104-4639-94AD-5D39815080E9}"/>
    <cellStyle name="AggOrangeLBorder 4 4 9" xfId="3985" xr:uid="{6E16E7C5-238E-4C23-B8C4-48C086DAB42B}"/>
    <cellStyle name="AggOrangeLBorder 4 5" xfId="693" xr:uid="{A971E2FC-1129-4779-BE81-C8AAA0A76EAB}"/>
    <cellStyle name="AggOrangeLBorder 4 5 2" xfId="3683" xr:uid="{6AA0F729-6D12-4C43-B404-035484D176C1}"/>
    <cellStyle name="AggOrangeLBorder 4 6" xfId="945" xr:uid="{3249D5D9-9B68-4AFA-AD4C-739E94A638DC}"/>
    <cellStyle name="AggOrangeLBorder 4 7" xfId="1588" xr:uid="{A76513F8-D836-4C86-A999-151ABD4B3328}"/>
    <cellStyle name="AggOrangeLBorder 4 8" xfId="2032" xr:uid="{DCBB8092-7B0C-4C31-896C-2B0199116B86}"/>
    <cellStyle name="AggOrangeLBorder 4 9" xfId="1922" xr:uid="{F0F14AB4-D73E-4C2B-A679-6204C4546E1B}"/>
    <cellStyle name="AggOrangeLBorder 5" xfId="77" xr:uid="{EB5CA716-4A0A-45E1-84C2-443E6321562C}"/>
    <cellStyle name="AggOrangeLBorder 5 2" xfId="3075" xr:uid="{BD844BCF-6E77-4B80-94D3-BAD191CBF81E}"/>
    <cellStyle name="AggOrangeRBorder" xfId="19" xr:uid="{8D8A4B21-4DF8-4D08-903C-AFF08CBBF8E1}"/>
    <cellStyle name="AggOrangeRBorder 2" xfId="119" xr:uid="{50C1C0CA-B400-4C81-B242-3A06CD4B0166}"/>
    <cellStyle name="AggOrangeRBorder 2 2" xfId="413" xr:uid="{99F60842-29AF-440B-BA1A-5983B0EEDC1B}"/>
    <cellStyle name="AggOrangeRBorder 2 2 2" xfId="525" xr:uid="{6D924AED-6C10-4002-88B9-36ACBCEC2996}"/>
    <cellStyle name="AggOrangeRBorder 2 2 2 10" xfId="1853" xr:uid="{3204C7B3-1BBE-4253-9163-FF4907CD8C3E}"/>
    <cellStyle name="AggOrangeRBorder 2 2 2 11" xfId="4897" xr:uid="{05CB1485-5F7A-4FF8-AE22-14BE6A741BC8}"/>
    <cellStyle name="AggOrangeRBorder 2 2 2 12" xfId="4749" xr:uid="{5748543B-672C-42FD-B7EB-E9042DD44516}"/>
    <cellStyle name="AggOrangeRBorder 2 2 2 2" xfId="740" xr:uid="{099FF38E-B1AF-4DAE-AF4F-528DBB827FD4}"/>
    <cellStyle name="AggOrangeRBorder 2 2 2 2 10" xfId="5106" xr:uid="{0B556805-C0AC-4471-9287-B92D656C704A}"/>
    <cellStyle name="AggOrangeRBorder 2 2 2 2 11" xfId="4836" xr:uid="{F97D3B74-DC82-4182-9C58-4C7EC89F7937}"/>
    <cellStyle name="AggOrangeRBorder 2 2 2 2 2" xfId="1214" xr:uid="{DC101EE4-0AE9-4B31-BF03-8E4845E5E50A}"/>
    <cellStyle name="AggOrangeRBorder 2 2 2 2 3" xfId="1487" xr:uid="{A5E9792F-3829-470E-934B-E8FC16F70F04}"/>
    <cellStyle name="AggOrangeRBorder 2 2 2 2 4" xfId="2444" xr:uid="{177DACB6-87A5-47EC-AF4F-E5CD78DB578C}"/>
    <cellStyle name="AggOrangeRBorder 2 2 2 2 5" xfId="2898" xr:uid="{2768A1B6-5E55-4A20-BF4B-47AB6194D27C}"/>
    <cellStyle name="AggOrangeRBorder 2 2 2 2 6" xfId="3316" xr:uid="{B5B70D74-5A25-4979-BDBE-11429515D07E}"/>
    <cellStyle name="AggOrangeRBorder 2 2 2 2 7" xfId="3730" xr:uid="{AAC15C57-DAD0-440C-9B5E-90B035155399}"/>
    <cellStyle name="AggOrangeRBorder 2 2 2 2 8" xfId="4153" xr:uid="{E601A0F6-3851-4010-9635-F79A447D40ED}"/>
    <cellStyle name="AggOrangeRBorder 2 2 2 2 9" xfId="2631" xr:uid="{44535CE0-2D81-41A6-991B-18AB8A574923}"/>
    <cellStyle name="AggOrangeRBorder 2 2 2 3" xfId="1008" xr:uid="{1CD14584-B6A1-4278-B8F3-EB88C7836D7B}"/>
    <cellStyle name="AggOrangeRBorder 2 2 2 4" xfId="1549" xr:uid="{5EA7724D-4417-4A6E-BD53-676DFBF90C5A}"/>
    <cellStyle name="AggOrangeRBorder 2 2 2 5" xfId="2231" xr:uid="{2B7A3247-91FE-45AC-A286-A2213F105B29}"/>
    <cellStyle name="AggOrangeRBorder 2 2 2 6" xfId="2685" xr:uid="{7621F847-C306-449D-9853-77ADFBAD10E4}"/>
    <cellStyle name="AggOrangeRBorder 2 2 2 7" xfId="3102" xr:uid="{2886FDF4-8B7F-415A-A30E-AC3ACF4600D9}"/>
    <cellStyle name="AggOrangeRBorder 2 2 2 8" xfId="3515" xr:uid="{6AE62ED3-4E6F-46A3-B8C3-9FCE8FFB8298}"/>
    <cellStyle name="AggOrangeRBorder 2 2 2 9" xfId="3940" xr:uid="{26DD6A79-B44C-428F-BB0A-1335534862EB}"/>
    <cellStyle name="AggOrangeRBorder 2 3" xfId="271" xr:uid="{2DC8BC9D-87DC-43C9-96DB-603A54B33BE1}"/>
    <cellStyle name="AggOrangeRBorder 2 3 10" xfId="2402" xr:uid="{8A53083F-934B-44F3-AD40-85F7C097B0E0}"/>
    <cellStyle name="AggOrangeRBorder 2 3 11" xfId="1950" xr:uid="{3F64E850-7F4D-4252-A1DC-4A253E86E8BC}"/>
    <cellStyle name="AggOrangeRBorder 2 3 12" xfId="2635" xr:uid="{50389A99-52B9-42B8-BADA-101335E05B43}"/>
    <cellStyle name="AggOrangeRBorder 2 3 13" xfId="4441" xr:uid="{A3193288-D0AD-437B-B088-02D712D937DA}"/>
    <cellStyle name="AggOrangeRBorder 2 3 14" xfId="4735" xr:uid="{2D3691CA-DE75-4A74-A4F8-A8A4DEB68083}"/>
    <cellStyle name="AggOrangeRBorder 2 3 15" xfId="4682" xr:uid="{4A14914F-C125-4982-A6B1-812C5611D547}"/>
    <cellStyle name="AggOrangeRBorder 2 3 2" xfId="610" xr:uid="{B89BEFDA-FF0B-4D37-BE82-29C2FF3F2991}"/>
    <cellStyle name="AggOrangeRBorder 2 3 2 10" xfId="4377" xr:uid="{3F54602E-766C-4C4C-8375-EC4F2AB863A1}"/>
    <cellStyle name="AggOrangeRBorder 2 3 2 11" xfId="4982" xr:uid="{C61E7F34-F3B1-47AA-9FEC-FF1301CD7465}"/>
    <cellStyle name="AggOrangeRBorder 2 3 2 12" xfId="5064" xr:uid="{0F23022B-1F73-4777-A005-F1BDA17C645B}"/>
    <cellStyle name="AggOrangeRBorder 2 3 2 2" xfId="825" xr:uid="{40AF0C93-35EA-4CBC-895F-C94165B4FC4D}"/>
    <cellStyle name="AggOrangeRBorder 2 3 2 2 10" xfId="5191" xr:uid="{B0D5EB4C-6698-46E6-A308-2E549B81623E}"/>
    <cellStyle name="AggOrangeRBorder 2 3 2 2 11" xfId="4707" xr:uid="{507CB331-562C-482B-A624-767D3D17E859}"/>
    <cellStyle name="AggOrangeRBorder 2 3 2 2 2" xfId="1299" xr:uid="{77FCEBBC-1CEA-49E9-B9D4-F294FE526E33}"/>
    <cellStyle name="AggOrangeRBorder 2 3 2 2 3" xfId="1503" xr:uid="{ADB56C23-A26D-4328-B344-E1FBCF53E2A4}"/>
    <cellStyle name="AggOrangeRBorder 2 3 2 2 4" xfId="2529" xr:uid="{E86FBD86-23CA-44E0-AB0D-2024C1B4350A}"/>
    <cellStyle name="AggOrangeRBorder 2 3 2 2 5" xfId="2983" xr:uid="{04D97AFE-8E34-4F09-A60D-A98299030E4B}"/>
    <cellStyle name="AggOrangeRBorder 2 3 2 2 6" xfId="3401" xr:uid="{6E4B0DEA-82F8-4DD3-9D1E-7C0A4A3C0849}"/>
    <cellStyle name="AggOrangeRBorder 2 3 2 2 7" xfId="3815" xr:uid="{38FA31A9-C0FE-4839-BE75-C6971E37A1F4}"/>
    <cellStyle name="AggOrangeRBorder 2 3 2 2 8" xfId="4238" xr:uid="{46EE86EB-D623-4D52-869D-7722220F0A97}"/>
    <cellStyle name="AggOrangeRBorder 2 3 2 2 9" xfId="2158" xr:uid="{5009801D-90AB-4F20-AA54-25524F60C0BA}"/>
    <cellStyle name="AggOrangeRBorder 2 3 2 3" xfId="1093" xr:uid="{E90E1843-5E83-4B25-AA2D-6E365AE1B8F0}"/>
    <cellStyle name="AggOrangeRBorder 2 3 2 4" xfId="1628" xr:uid="{3B81A163-CDFD-49E5-8CE1-6B207C5D60DF}"/>
    <cellStyle name="AggOrangeRBorder 2 3 2 5" xfId="2316" xr:uid="{6DA2565F-2EFB-4067-8AD6-00750D337752}"/>
    <cellStyle name="AggOrangeRBorder 2 3 2 6" xfId="2770" xr:uid="{254F1C15-E7A7-4ED6-9E91-602CA3CD6253}"/>
    <cellStyle name="AggOrangeRBorder 2 3 2 7" xfId="3187" xr:uid="{81FB41A8-3688-4F81-A202-83117B8D9E3E}"/>
    <cellStyle name="AggOrangeRBorder 2 3 2 8" xfId="3600" xr:uid="{F1D2C012-A6EE-4E8E-8A16-0559F04EBB86}"/>
    <cellStyle name="AggOrangeRBorder 2 3 2 9" xfId="4025" xr:uid="{B5D700F3-98E3-413B-B88B-EF4892FA6ED9}"/>
    <cellStyle name="AggOrangeRBorder 2 3 3" xfId="586" xr:uid="{AA7D6A97-4B7B-43E4-97B3-470A0E1808FB}"/>
    <cellStyle name="AggOrangeRBorder 2 3 3 10" xfId="2123" xr:uid="{04AB99F2-1466-456C-959B-C12AB325860B}"/>
    <cellStyle name="AggOrangeRBorder 2 3 3 11" xfId="4958" xr:uid="{652C54D4-8D27-4604-B6CA-411D4192D80A}"/>
    <cellStyle name="AggOrangeRBorder 2 3 3 12" xfId="5340" xr:uid="{528CEB70-1C30-48F4-971A-CCBE314491CC}"/>
    <cellStyle name="AggOrangeRBorder 2 3 3 2" xfId="801" xr:uid="{02FA6421-3F7D-4A39-9E89-BFAF14902B99}"/>
    <cellStyle name="AggOrangeRBorder 2 3 3 2 10" xfId="5167" xr:uid="{86445012-588C-455A-B7D2-6AAB19C3E4B0}"/>
    <cellStyle name="AggOrangeRBorder 2 3 3 2 11" xfId="4772" xr:uid="{59C6D015-880F-4941-8050-7751984170FB}"/>
    <cellStyle name="AggOrangeRBorder 2 3 3 2 2" xfId="1275" xr:uid="{41B5412D-4CA0-4856-A67C-F53547A12E8B}"/>
    <cellStyle name="AggOrangeRBorder 2 3 3 2 3" xfId="1647" xr:uid="{D83F4F2C-2B93-4043-BC23-9D9C3B351CDE}"/>
    <cellStyle name="AggOrangeRBorder 2 3 3 2 4" xfId="2505" xr:uid="{586286F6-A0BE-4D4F-B4B3-DA36DF48DC76}"/>
    <cellStyle name="AggOrangeRBorder 2 3 3 2 5" xfId="2959" xr:uid="{C0F34825-8D34-4677-8BFC-966DF8CBDE73}"/>
    <cellStyle name="AggOrangeRBorder 2 3 3 2 6" xfId="3377" xr:uid="{3BD66409-AEA2-4ED6-9452-4C17C0673B6D}"/>
    <cellStyle name="AggOrangeRBorder 2 3 3 2 7" xfId="3791" xr:uid="{B60A650D-8C8B-46FA-8C71-A1CA90A5B641}"/>
    <cellStyle name="AggOrangeRBorder 2 3 3 2 8" xfId="4214" xr:uid="{B88C8569-2B56-487F-8E88-F30C07765B6C}"/>
    <cellStyle name="AggOrangeRBorder 2 3 3 2 9" xfId="3905" xr:uid="{0B36F528-8167-41C6-846F-9B484ED74C39}"/>
    <cellStyle name="AggOrangeRBorder 2 3 3 3" xfId="1069" xr:uid="{A5EC4597-8DBA-4BEB-9DB5-27F694D3AF0B}"/>
    <cellStyle name="AggOrangeRBorder 2 3 3 4" xfId="1524" xr:uid="{AE372526-05F6-45D1-9CDA-610941FDAE9D}"/>
    <cellStyle name="AggOrangeRBorder 2 3 3 5" xfId="2292" xr:uid="{84F2F0F7-D1EE-47CD-A02E-79A4F00E9845}"/>
    <cellStyle name="AggOrangeRBorder 2 3 3 6" xfId="2746" xr:uid="{C6C67784-953A-498C-ABC7-8228B33229E2}"/>
    <cellStyle name="AggOrangeRBorder 2 3 3 7" xfId="3163" xr:uid="{B7DEBC07-62C2-4CB9-A858-CBD5D728EF9A}"/>
    <cellStyle name="AggOrangeRBorder 2 3 3 8" xfId="3576" xr:uid="{B0C10A57-EEB5-4597-9C5A-ED7158889742}"/>
    <cellStyle name="AggOrangeRBorder 2 3 3 9" xfId="4001" xr:uid="{0F8078F6-D8C2-43CE-8E02-B7EACD18A229}"/>
    <cellStyle name="AggOrangeRBorder 2 3 4" xfId="568" xr:uid="{5DD55455-57CE-41BF-893A-AA02779FD01B}"/>
    <cellStyle name="AggOrangeRBorder 2 3 4 10" xfId="1895" xr:uid="{9D899F9B-F383-4F96-9108-00AFA9EDC99C}"/>
    <cellStyle name="AggOrangeRBorder 2 3 4 11" xfId="4940" xr:uid="{F5F7B66E-DE90-4A9F-942D-9F2B5DA657AF}"/>
    <cellStyle name="AggOrangeRBorder 2 3 4 12" xfId="4576" xr:uid="{40BF393C-48E8-479A-840D-9E45CA8D19EA}"/>
    <cellStyle name="AggOrangeRBorder 2 3 4 2" xfId="783" xr:uid="{C75D32A1-1058-4BEB-9BF1-C4FB33BD1563}"/>
    <cellStyle name="AggOrangeRBorder 2 3 4 2 10" xfId="5149" xr:uid="{9EF180D9-C337-424D-8F5E-BE383EAC3CC5}"/>
    <cellStyle name="AggOrangeRBorder 2 3 4 2 11" xfId="4797" xr:uid="{69A6414F-122A-46FE-BF24-8E7615E70320}"/>
    <cellStyle name="AggOrangeRBorder 2 3 4 2 2" xfId="1257" xr:uid="{1C81316B-1754-4CFD-AED1-6ACF3DDEA9DD}"/>
    <cellStyle name="AggOrangeRBorder 2 3 4 2 3" xfId="1425" xr:uid="{CF8F88F8-D3B5-44A4-93A9-984CF13CB5FA}"/>
    <cellStyle name="AggOrangeRBorder 2 3 4 2 4" xfId="2487" xr:uid="{7DE72FF6-33A2-41F0-A197-99E2E18064B8}"/>
    <cellStyle name="AggOrangeRBorder 2 3 4 2 5" xfId="2941" xr:uid="{AC8B7C28-B455-4BA7-A48F-A1442F2E5F26}"/>
    <cellStyle name="AggOrangeRBorder 2 3 4 2 6" xfId="3359" xr:uid="{53DFE677-C639-42AA-8A3F-18E0E1D14AD2}"/>
    <cellStyle name="AggOrangeRBorder 2 3 4 2 7" xfId="3773" xr:uid="{AEE07375-CDDA-420E-A152-4D4F566E43DC}"/>
    <cellStyle name="AggOrangeRBorder 2 3 4 2 8" xfId="4196" xr:uid="{C8248359-C958-458A-BAA8-872CE7F1176D}"/>
    <cellStyle name="AggOrangeRBorder 2 3 4 2 9" xfId="4404" xr:uid="{6391C3FD-61C9-47FB-897A-3E4A3F835327}"/>
    <cellStyle name="AggOrangeRBorder 2 3 4 3" xfId="1051" xr:uid="{36B0DA7D-2402-4B63-BF60-AD0FFD9FBFFB}"/>
    <cellStyle name="AggOrangeRBorder 2 3 4 4" xfId="1716" xr:uid="{2A80F205-C02D-461B-9C8D-D6ECBE6B4026}"/>
    <cellStyle name="AggOrangeRBorder 2 3 4 5" xfId="2274" xr:uid="{6C39AE6D-D46F-4192-AE06-98E8A1350157}"/>
    <cellStyle name="AggOrangeRBorder 2 3 4 6" xfId="2728" xr:uid="{84B333C6-35DA-4A8E-884E-F48B9E2D6760}"/>
    <cellStyle name="AggOrangeRBorder 2 3 4 7" xfId="3145" xr:uid="{FAE7F920-36A5-49B3-B1AA-EE5AA92F30F7}"/>
    <cellStyle name="AggOrangeRBorder 2 3 4 8" xfId="3558" xr:uid="{9C27D74D-1E55-4FDB-9587-734A95F3AC64}"/>
    <cellStyle name="AggOrangeRBorder 2 3 4 9" xfId="3983" xr:uid="{E0471D96-DDE7-4BB7-9F1F-2B00043931C3}"/>
    <cellStyle name="AggOrangeRBorder 2 3 5" xfId="696" xr:uid="{E8CAE640-33BD-468B-A4B1-1603DB2B7D26}"/>
    <cellStyle name="AggOrangeRBorder 2 3 5 2" xfId="3686" xr:uid="{6407EE4E-7A22-48D8-ADC7-06FA942CF7B1}"/>
    <cellStyle name="AggOrangeRBorder 2 3 6" xfId="948" xr:uid="{7BADE54F-E330-4B4C-A8BB-E9225737B494}"/>
    <cellStyle name="AggOrangeRBorder 2 3 7" xfId="1533" xr:uid="{82445B80-9B9F-42A7-9539-3899DB71715B}"/>
    <cellStyle name="AggOrangeRBorder 2 3 8" xfId="2035" xr:uid="{AF7450DF-57D8-4EFB-9D6F-349457B14D8D}"/>
    <cellStyle name="AggOrangeRBorder 2 3 9" xfId="2139" xr:uid="{031F5745-3EA3-402B-909C-898C9B00623E}"/>
    <cellStyle name="AggOrangeRBorder 3" xfId="412" xr:uid="{7A3B9651-F864-47F4-8291-EBAB23A9AFA0}"/>
    <cellStyle name="AggOrangeRBorder 3 2" xfId="44" xr:uid="{A1680057-236D-4E78-848D-1C1262F54CA4}"/>
    <cellStyle name="AggOrangeRBorder 3 2 2" xfId="644" xr:uid="{231A8365-1988-4AC7-81F1-468B3D98B559}"/>
    <cellStyle name="AggOrangeRBorder 3 2 2 10" xfId="5016" xr:uid="{1C84E3E8-B40A-4403-9710-BA5ECF8EED3C}"/>
    <cellStyle name="AggOrangeRBorder 3 2 2 11" xfId="5447" xr:uid="{C375786A-A76E-47CB-881A-07D60869F47D}"/>
    <cellStyle name="AggOrangeRBorder 3 2 2 2" xfId="1127" xr:uid="{9A29F241-9999-4F78-93E3-BF59D426D4C4}"/>
    <cellStyle name="AggOrangeRBorder 3 2 2 3" xfId="1521" xr:uid="{682311E9-E511-4B52-B7B3-F992715A0F97}"/>
    <cellStyle name="AggOrangeRBorder 3 2 2 4" xfId="2350" xr:uid="{FC05946F-EBE7-4411-A245-87A287E6A568}"/>
    <cellStyle name="AggOrangeRBorder 3 2 2 5" xfId="2804" xr:uid="{7CD4151D-41FC-4B6C-9226-B7D4D399F76B}"/>
    <cellStyle name="AggOrangeRBorder 3 2 2 6" xfId="3221" xr:uid="{FB4C5FF6-0864-453D-B9DE-A93C031F2595}"/>
    <cellStyle name="AggOrangeRBorder 3 2 2 7" xfId="3634" xr:uid="{23ECB57E-6C18-4D23-9B36-E458FC40F696}"/>
    <cellStyle name="AggOrangeRBorder 3 2 2 8" xfId="4059" xr:uid="{09F4B23D-5C12-4E4E-85FC-78530A48DD3C}"/>
    <cellStyle name="AggOrangeRBorder 3 2 2 9" xfId="3476" xr:uid="{5347DB1B-C35E-4FBF-82A3-157830E81AD0}"/>
    <cellStyle name="AggOrangeRBorder 3 2 3" xfId="859" xr:uid="{1F3DBFD2-93D4-4634-9098-CBC40F4AD027}"/>
    <cellStyle name="AggOrangeRBorder 3 2 3 10" xfId="5225" xr:uid="{FDAA37CF-A1BC-4697-AAF4-BF371C816049}"/>
    <cellStyle name="AggOrangeRBorder 3 2 3 11" xfId="4717" xr:uid="{40026147-AAC6-43C7-8E6B-4D866EA809A6}"/>
    <cellStyle name="AggOrangeRBorder 3 2 3 2" xfId="1333" xr:uid="{8E5CA5E2-FAE9-4999-8F90-F708DB245A2B}"/>
    <cellStyle name="AggOrangeRBorder 3 2 3 3" xfId="1782" xr:uid="{D6271B2E-CCD2-434A-B363-EBA63D8CEC7A}"/>
    <cellStyle name="AggOrangeRBorder 3 2 3 4" xfId="2563" xr:uid="{4ED96C7C-A390-4E11-8EA9-E2E5FDB67153}"/>
    <cellStyle name="AggOrangeRBorder 3 2 3 5" xfId="3017" xr:uid="{D5EE944A-77BF-4A2D-95CA-CB1A2D1D8241}"/>
    <cellStyle name="AggOrangeRBorder 3 2 3 6" xfId="3435" xr:uid="{6149BCAE-FA33-4116-B135-D56BF210CDD6}"/>
    <cellStyle name="AggOrangeRBorder 3 2 3 7" xfId="3849" xr:uid="{BC93AEF3-76B4-4230-80A3-E2FFB8936630}"/>
    <cellStyle name="AggOrangeRBorder 3 2 3 8" xfId="4272" xr:uid="{D6AD4CDC-0A70-4C5A-806B-4F7BDA922F5F}"/>
    <cellStyle name="AggOrangeRBorder 3 2 3 9" xfId="4424" xr:uid="{BA7A3391-629B-4E45-AF20-BA6726EDBAF3}"/>
    <cellStyle name="AggOrangeRBorder 4" xfId="270" xr:uid="{51C982D1-0C6B-4FDF-B4C3-28BE0C0805A8}"/>
    <cellStyle name="AggOrangeRBorder 4 10" xfId="1822" xr:uid="{0E0AF746-C083-4950-A916-4BC0937669C5}"/>
    <cellStyle name="AggOrangeRBorder 4 11" xfId="2114" xr:uid="{19D6E560-2432-492D-9D94-6415EA0F49A3}"/>
    <cellStyle name="AggOrangeRBorder 4 12" xfId="2648" xr:uid="{E1A7B547-14D5-42CA-AB48-AF30FD9677F3}"/>
    <cellStyle name="AggOrangeRBorder 4 13" xfId="4530" xr:uid="{D0C3C17D-5A6F-442C-9D42-BBBE9E16B4AD}"/>
    <cellStyle name="AggOrangeRBorder 4 14" xfId="4734" xr:uid="{41CFCB38-249E-4B24-A7F0-81E69B994E59}"/>
    <cellStyle name="AggOrangeRBorder 4 15" xfId="4791" xr:uid="{2F5F9F32-707A-4512-A7D8-C0C2DEE01E15}"/>
    <cellStyle name="AggOrangeRBorder 4 2" xfId="609" xr:uid="{6D1DE3B5-C4A0-4823-99CF-3B8E9324EBE4}"/>
    <cellStyle name="AggOrangeRBorder 4 2 10" xfId="2403" xr:uid="{2B1004D4-E24E-4BFF-9FEA-630BCDE9BAB3}"/>
    <cellStyle name="AggOrangeRBorder 4 2 11" xfId="4981" xr:uid="{7E3F1AAF-2599-483A-BFA9-4E8D9FCCDF4D}"/>
    <cellStyle name="AggOrangeRBorder 4 2 12" xfId="5327" xr:uid="{19486F37-5B87-4C0D-82FC-55C9EA58F819}"/>
    <cellStyle name="AggOrangeRBorder 4 2 2" xfId="824" xr:uid="{EF216758-8A26-4C8E-AA9C-11E5FDC7EE57}"/>
    <cellStyle name="AggOrangeRBorder 4 2 2 10" xfId="5190" xr:uid="{A493E9A8-FACD-43AF-B7C7-FFE467340DE7}"/>
    <cellStyle name="AggOrangeRBorder 4 2 2 11" xfId="4715" xr:uid="{567677B8-0AC7-470D-92C9-4272B067DED3}"/>
    <cellStyle name="AggOrangeRBorder 4 2 2 2" xfId="1298" xr:uid="{A2317E52-2F9D-4F43-97E2-1797598A7EAF}"/>
    <cellStyle name="AggOrangeRBorder 4 2 2 3" xfId="1556" xr:uid="{957D0897-6304-49BC-B114-75DE80644C86}"/>
    <cellStyle name="AggOrangeRBorder 4 2 2 4" xfId="2528" xr:uid="{3F826958-ADA0-4276-9B08-EC5DE23C67B2}"/>
    <cellStyle name="AggOrangeRBorder 4 2 2 5" xfId="2982" xr:uid="{1486B15E-FFB8-4AA8-9BCA-F24F09884E4D}"/>
    <cellStyle name="AggOrangeRBorder 4 2 2 6" xfId="3400" xr:uid="{A30B3F9F-DD47-44D8-9CED-FBC0A51848F5}"/>
    <cellStyle name="AggOrangeRBorder 4 2 2 7" xfId="3814" xr:uid="{8323C697-F56E-4A71-82DA-3BD3425D604D}"/>
    <cellStyle name="AggOrangeRBorder 4 2 2 8" xfId="4237" xr:uid="{22A1FBAE-3A5C-4804-AAB7-2019C785570C}"/>
    <cellStyle name="AggOrangeRBorder 4 2 2 9" xfId="3475" xr:uid="{8BDC3AB5-5727-4448-88C3-8FAC0B886293}"/>
    <cellStyle name="AggOrangeRBorder 4 2 3" xfId="1092" xr:uid="{5EF71910-E07C-474B-89FA-362FBAF0AC5E}"/>
    <cellStyle name="AggOrangeRBorder 4 2 4" xfId="1720" xr:uid="{EDE73353-5F9B-4D06-8A3C-B3E62FC0AB9A}"/>
    <cellStyle name="AggOrangeRBorder 4 2 5" xfId="2315" xr:uid="{FA487F13-C673-403B-A75B-E150ABD80029}"/>
    <cellStyle name="AggOrangeRBorder 4 2 6" xfId="2769" xr:uid="{1867AB47-99DC-4844-930D-7D197BE19399}"/>
    <cellStyle name="AggOrangeRBorder 4 2 7" xfId="3186" xr:uid="{63B16BB1-D69B-408A-BCD2-8E9AFA4332B8}"/>
    <cellStyle name="AggOrangeRBorder 4 2 8" xfId="3599" xr:uid="{FA6187E6-6D25-486A-9282-4141C3DBA101}"/>
    <cellStyle name="AggOrangeRBorder 4 2 9" xfId="4024" xr:uid="{5DA0A4D6-1A25-48EA-A72E-74539D3E04D2}"/>
    <cellStyle name="AggOrangeRBorder 4 3" xfId="642" xr:uid="{979957BC-1731-4B60-B2BD-8479884C19B4}"/>
    <cellStyle name="AggOrangeRBorder 4 3 10" xfId="1978" xr:uid="{13BA629C-9A8F-4EF5-B93F-B913F0FFB386}"/>
    <cellStyle name="AggOrangeRBorder 4 3 11" xfId="5014" xr:uid="{FE1C7828-6F83-447F-82FE-76DD13C8C76F}"/>
    <cellStyle name="AggOrangeRBorder 4 3 12" xfId="4620" xr:uid="{151CE9D0-856F-4275-9E22-6D023D12F39B}"/>
    <cellStyle name="AggOrangeRBorder 4 3 2" xfId="857" xr:uid="{25BC6962-E630-4A00-BBDE-664B29EAEE56}"/>
    <cellStyle name="AggOrangeRBorder 4 3 2 10" xfId="5223" xr:uid="{54E07780-BB9B-41DA-AD50-FF96429C42D4}"/>
    <cellStyle name="AggOrangeRBorder 4 3 2 11" xfId="4813" xr:uid="{E2E4689A-EE30-4631-A810-A793C4E3DDF1}"/>
    <cellStyle name="AggOrangeRBorder 4 3 2 2" xfId="1331" xr:uid="{4179E7FA-33EF-4AD8-926E-5159876FE55C}"/>
    <cellStyle name="AggOrangeRBorder 4 3 2 3" xfId="1780" xr:uid="{81430185-BBAF-4114-890E-566473F2FE9B}"/>
    <cellStyle name="AggOrangeRBorder 4 3 2 4" xfId="2561" xr:uid="{8F55B9E4-0AE2-4AA8-A8C0-5760C643026B}"/>
    <cellStyle name="AggOrangeRBorder 4 3 2 5" xfId="3015" xr:uid="{A251A539-2B8C-4CDE-9C74-2B1A1772F327}"/>
    <cellStyle name="AggOrangeRBorder 4 3 2 6" xfId="3433" xr:uid="{D2AC18B1-B757-46D2-8B34-55E7D716B405}"/>
    <cellStyle name="AggOrangeRBorder 4 3 2 7" xfId="3847" xr:uid="{33C410AC-94E6-4514-9123-2E61516CD912}"/>
    <cellStyle name="AggOrangeRBorder 4 3 2 8" xfId="4270" xr:uid="{7F792160-351A-44FA-869D-D46C59DC4CDB}"/>
    <cellStyle name="AggOrangeRBorder 4 3 2 9" xfId="1956" xr:uid="{BD2E6053-1DED-43F1-906D-B22C7FCA0E04}"/>
    <cellStyle name="AggOrangeRBorder 4 3 3" xfId="1125" xr:uid="{ADC6DC5C-E347-46C1-8108-94B28ADC53E2}"/>
    <cellStyle name="AggOrangeRBorder 4 3 4" xfId="1726" xr:uid="{DF88758E-E7D7-466A-8746-4C384F1A6788}"/>
    <cellStyle name="AggOrangeRBorder 4 3 5" xfId="2348" xr:uid="{DA0B0196-D0BA-401B-B27B-87C133AFECE8}"/>
    <cellStyle name="AggOrangeRBorder 4 3 6" xfId="2802" xr:uid="{CA170F8F-FE0D-4292-9D0F-2A19EB77FE6A}"/>
    <cellStyle name="AggOrangeRBorder 4 3 7" xfId="3219" xr:uid="{871CE1BC-631D-46D4-B335-2FE9AD0403A6}"/>
    <cellStyle name="AggOrangeRBorder 4 3 8" xfId="3632" xr:uid="{F798DAB1-A3C9-412D-B25B-CCF5556B92B9}"/>
    <cellStyle name="AggOrangeRBorder 4 3 9" xfId="4057" xr:uid="{507BDEA9-8C56-4814-AF94-01681393D0FB}"/>
    <cellStyle name="AggOrangeRBorder 4 4" xfId="663" xr:uid="{809B3B98-1CF3-4DC7-AD39-B70D30A7BBAC}"/>
    <cellStyle name="AggOrangeRBorder 4 4 10" xfId="3884" xr:uid="{8DF5D2DE-9CF6-4795-8D4F-5EB2AAA2A0AE}"/>
    <cellStyle name="AggOrangeRBorder 4 4 11" xfId="5035" xr:uid="{7D8A615E-473A-4412-B4EF-F2C60AF0F458}"/>
    <cellStyle name="AggOrangeRBorder 4 4 12" xfId="4638" xr:uid="{9DEE0B4E-B227-4301-A874-FBA0B381418A}"/>
    <cellStyle name="AggOrangeRBorder 4 4 2" xfId="878" xr:uid="{90D615DA-B824-4F28-8E60-4E4BAE5D7F1E}"/>
    <cellStyle name="AggOrangeRBorder 4 4 2 10" xfId="5244" xr:uid="{F903E612-461A-48CD-A6E1-D56FEFD53565}"/>
    <cellStyle name="AggOrangeRBorder 4 4 2 11" xfId="5472" xr:uid="{9BF253A3-6CAC-4731-BAB0-AF77D1962590}"/>
    <cellStyle name="AggOrangeRBorder 4 4 2 2" xfId="1352" xr:uid="{6615327B-7702-4071-B8C9-A63A2767A4B7}"/>
    <cellStyle name="AggOrangeRBorder 4 4 2 3" xfId="1801" xr:uid="{85479EEE-8B5A-4EFA-B4BA-E0404B21662A}"/>
    <cellStyle name="AggOrangeRBorder 4 4 2 4" xfId="2582" xr:uid="{8B142D4D-9696-4E98-BF1E-4B62D79BDD65}"/>
    <cellStyle name="AggOrangeRBorder 4 4 2 5" xfId="3036" xr:uid="{EFBD274B-3A45-4D31-BA50-7ED31F494BA1}"/>
    <cellStyle name="AggOrangeRBorder 4 4 2 6" xfId="3454" xr:uid="{28C2A9EE-E3EC-47CC-9158-5F5D598CFC23}"/>
    <cellStyle name="AggOrangeRBorder 4 4 2 7" xfId="3868" xr:uid="{CD326FDF-A758-4C99-AF86-E26F78787B09}"/>
    <cellStyle name="AggOrangeRBorder 4 4 2 8" xfId="4291" xr:uid="{AF1953E7-F4C0-4878-B76D-44772C0A2FF7}"/>
    <cellStyle name="AggOrangeRBorder 4 4 2 9" xfId="4559" xr:uid="{8990D999-FE72-45F7-8BBF-58C8D028DAA7}"/>
    <cellStyle name="AggOrangeRBorder 4 4 3" xfId="1146" xr:uid="{BF742FB2-D468-4C29-A924-8E6D7757AEDE}"/>
    <cellStyle name="AggOrangeRBorder 4 4 4" xfId="1737" xr:uid="{B14770A8-0048-4B44-90E0-F92665C49F37}"/>
    <cellStyle name="AggOrangeRBorder 4 4 5" xfId="2369" xr:uid="{FD4154B8-0748-43EC-9AEC-6DCB72E68EA2}"/>
    <cellStyle name="AggOrangeRBorder 4 4 6" xfId="2823" xr:uid="{CF9EF9AB-316C-4D61-B8FA-A5A5CDD4B3B9}"/>
    <cellStyle name="AggOrangeRBorder 4 4 7" xfId="3240" xr:uid="{5E756FC4-F1D9-4F7E-9E6A-7CABA1A6589E}"/>
    <cellStyle name="AggOrangeRBorder 4 4 8" xfId="3653" xr:uid="{8502FDDF-4D8D-4EC3-A781-F3C799555791}"/>
    <cellStyle name="AggOrangeRBorder 4 4 9" xfId="4078" xr:uid="{C68F6011-074F-415A-A484-0F917BF5C7A7}"/>
    <cellStyle name="AggOrangeRBorder 4 5" xfId="695" xr:uid="{A9E9C9AB-E421-422C-A318-3BB6C3E2D3E7}"/>
    <cellStyle name="AggOrangeRBorder 4 5 2" xfId="3685" xr:uid="{C73D9948-4CC7-485D-AF6F-8CCD934E2269}"/>
    <cellStyle name="AggOrangeRBorder 4 6" xfId="947" xr:uid="{7A9F5FC9-E7B9-4AFB-84D6-D31D48131408}"/>
    <cellStyle name="AggOrangeRBorder 4 7" xfId="1536" xr:uid="{FBE32567-8DBD-49BC-90AD-F8BDFE3F3B98}"/>
    <cellStyle name="AggOrangeRBorder 4 8" xfId="2034" xr:uid="{D5BFA464-00CB-40B3-9DDA-B6C199564F42}"/>
    <cellStyle name="AggOrangeRBorder 4 9" xfId="2138" xr:uid="{7E8FD286-9DAF-4ED5-B606-A035EAFF92AD}"/>
    <cellStyle name="AggOrangeRBorder 5" xfId="72" xr:uid="{E0400562-60F0-462A-9153-06E1DFB13C71}"/>
    <cellStyle name="AggOrangeRBorder 5 2" xfId="1858" xr:uid="{0F51100F-F725-4868-944F-3CECEFF3FB75}"/>
    <cellStyle name="AggOrangeRBorder_CRFReport-template" xfId="31" xr:uid="{7246229D-01EB-43F1-BFF9-67B629EA7A03}"/>
    <cellStyle name="Akzent1" xfId="120" xr:uid="{0B6436DA-ABCA-452F-9338-B7814F038FB3}"/>
    <cellStyle name="Akzent2" xfId="121" xr:uid="{A08D2637-ED01-4954-8FBF-1979A9D12057}"/>
    <cellStyle name="Akzent3" xfId="122" xr:uid="{13547CCD-F782-48F7-B0C7-699B4669C41A}"/>
    <cellStyle name="Akzent4" xfId="123" xr:uid="{4F86FB4E-1301-4DC7-8F99-52106329833F}"/>
    <cellStyle name="Akzent5" xfId="124" xr:uid="{24797455-DDAB-482B-83B9-B8C552DDD983}"/>
    <cellStyle name="Akzent6" xfId="125" xr:uid="{D75E5EC8-DCB2-4232-A3C1-24C03A58B27B}"/>
    <cellStyle name="Ausgabe" xfId="45" hidden="1" xr:uid="{D12EBC69-D98C-408F-A7A0-296736AEE175}"/>
    <cellStyle name="Ausgabe" xfId="1386" hidden="1" xr:uid="{EE2ACA60-C54C-4DE5-A960-976B85832586}"/>
    <cellStyle name="Ausgabe" xfId="982" hidden="1" xr:uid="{1471E15B-AC21-41A1-BCB1-6E3F52DC6C0E}"/>
    <cellStyle name="Ausgabe" xfId="892" hidden="1" xr:uid="{506C80CC-5E15-4C17-8C22-5823B624E1FC}"/>
    <cellStyle name="Ausgabe" xfId="1415" hidden="1" xr:uid="{FE4EAA2B-65C9-44ED-9814-7CDE5A9244F7}"/>
    <cellStyle name="Ausgabe" xfId="1856" hidden="1" xr:uid="{DDD42266-07D8-4269-BACC-2599568024B9}"/>
    <cellStyle name="Ausgabe" xfId="2053" hidden="1" xr:uid="{54AD8A52-71FF-47B1-AE47-A776FB5D1A7A}"/>
    <cellStyle name="Ausgabe" xfId="1902" hidden="1" xr:uid="{F8F97DD0-A935-400D-A663-0A4FB82BE281}"/>
    <cellStyle name="Ausgabe" xfId="1825" hidden="1" xr:uid="{BE5042FC-3878-4C29-A79A-8AA71786457F}"/>
    <cellStyle name="Ausgabe" xfId="2161" hidden="1" xr:uid="{25A1C541-BDD3-49D3-999B-489E1399C84E}"/>
    <cellStyle name="Ausgabe" xfId="3882" hidden="1" xr:uid="{C0679816-0DCD-401F-A097-D321F0F91622}"/>
    <cellStyle name="Ausgabe" xfId="4519" hidden="1" xr:uid="{65063720-82E3-4CC2-ACF8-EED3A67B1780}"/>
    <cellStyle name="Ausgabe" xfId="1947" hidden="1" xr:uid="{4A8E5C89-29AE-4FDF-AED3-32BCDBAAA707}"/>
    <cellStyle name="Ausgabe" xfId="2180" hidden="1" xr:uid="{5BF27C09-AA4A-4789-9D5D-AB1D6D8BAB5F}"/>
    <cellStyle name="Ausgabe" xfId="2159" hidden="1" xr:uid="{E8927963-B7E4-43B2-BBAB-0180B6493DEE}"/>
    <cellStyle name="Ausgabe" xfId="4592" hidden="1" xr:uid="{4F5EB24D-CCB4-463B-9400-9CE8661AB44F}"/>
    <cellStyle name="Ausgabe" xfId="4838" hidden="1" xr:uid="{9014F1DA-5615-48F2-96C0-04FC28A51ACA}"/>
    <cellStyle name="Ausgabe" xfId="5451" hidden="1" xr:uid="{90C324AF-D4D7-424E-8D7A-C90C20186E6F}"/>
    <cellStyle name="Ausgabe 2" xfId="391" xr:uid="{DD8F03EF-71E3-4A75-9E7B-C490152F5AF6}"/>
    <cellStyle name="Ausgabe 2 10" xfId="3912" xr:uid="{6EA64F64-E5BE-45C9-BB9B-CD145890E326}"/>
    <cellStyle name="Ausgabe 2 11" xfId="4820" xr:uid="{247C5BDF-A23B-4905-B810-75A841D3BE45}"/>
    <cellStyle name="Ausgabe 2 12" xfId="4650" xr:uid="{9C0AC219-EEED-48CB-BD42-F9627CB420E0}"/>
    <cellStyle name="Ausgabe 2 2" xfId="647" xr:uid="{E5EB5D54-6502-4711-AA70-54A709766EC8}"/>
    <cellStyle name="Ausgabe 2 2 10" xfId="4383" xr:uid="{D47E9625-0014-4CD5-A6A4-577AEDE3BBB9}"/>
    <cellStyle name="Ausgabe 2 2 11" xfId="5019" xr:uid="{5DDC80EF-0F58-49EC-A890-24777A9DAA36}"/>
    <cellStyle name="Ausgabe 2 2 12" xfId="4771" xr:uid="{51AF5BBA-9E92-4E66-9E80-A75187E5E2DE}"/>
    <cellStyle name="Ausgabe 2 2 2" xfId="862" xr:uid="{AE9939C0-08FD-45FC-BF16-AEC0E90FDDEC}"/>
    <cellStyle name="Ausgabe 2 2 2 10" xfId="5228" xr:uid="{4392D53D-B0EB-4F35-BABE-AFFA9BF9CC6F}"/>
    <cellStyle name="Ausgabe 2 2 2 11" xfId="4578" xr:uid="{CF085847-71AC-4790-9B49-1A5C19FD8401}"/>
    <cellStyle name="Ausgabe 2 2 2 2" xfId="1336" xr:uid="{29997C74-988F-41AC-BAFF-5904DE074E96}"/>
    <cellStyle name="Ausgabe 2 2 2 3" xfId="1785" xr:uid="{9E024BA3-F386-48AF-A4F8-0B46D1C9408A}"/>
    <cellStyle name="Ausgabe 2 2 2 4" xfId="2566" xr:uid="{C1EF1446-FA24-4073-AE30-212832BB67F2}"/>
    <cellStyle name="Ausgabe 2 2 2 5" xfId="3020" xr:uid="{E6448AFD-0293-44CC-9545-356AD479F12D}"/>
    <cellStyle name="Ausgabe 2 2 2 6" xfId="3438" xr:uid="{528881C0-8383-413E-BEDA-151F850F80EF}"/>
    <cellStyle name="Ausgabe 2 2 2 7" xfId="3852" xr:uid="{947C2A02-BA63-46D2-9C76-4A34E89D6E22}"/>
    <cellStyle name="Ausgabe 2 2 2 8" xfId="4275" xr:uid="{943B5C39-95A4-4A80-8E39-4698E814AA91}"/>
    <cellStyle name="Ausgabe 2 2 2 9" xfId="4499" xr:uid="{CC4F23AE-9E56-4122-BEF1-D1988C9854FD}"/>
    <cellStyle name="Ausgabe 2 2 3" xfId="1130" xr:uid="{BBBD9DEE-CB1C-4212-B6A1-AFE8D21438E3}"/>
    <cellStyle name="Ausgabe 2 2 4" xfId="1602" xr:uid="{3A54F84A-A738-4D6D-8DD0-E29E1DE34995}"/>
    <cellStyle name="Ausgabe 2 2 5" xfId="2353" xr:uid="{BED73A56-F130-4B76-A91C-3F660298A752}"/>
    <cellStyle name="Ausgabe 2 2 6" xfId="2807" xr:uid="{47F4A749-16A2-49C8-8D2D-EBA358A3C467}"/>
    <cellStyle name="Ausgabe 2 2 7" xfId="3224" xr:uid="{3AA90394-A28F-4E5B-9D9F-297876B8FCC2}"/>
    <cellStyle name="Ausgabe 2 2 8" xfId="3637" xr:uid="{828D8EF3-5965-435B-8751-7E431B14843B}"/>
    <cellStyle name="Ausgabe 2 2 9" xfId="4062" xr:uid="{1CEF4E90-55F1-4CEB-B8C1-EDB0A3CFD6D7}"/>
    <cellStyle name="Ausgabe 2 3" xfId="532" xr:uid="{C9C478EB-BEF8-49BE-ADAC-009395D2FEAD}"/>
    <cellStyle name="Ausgabe 2 3 10" xfId="4477" xr:uid="{7F9E3B99-1F68-450A-BE59-92F76F479220}"/>
    <cellStyle name="Ausgabe 2 3 11" xfId="4904" xr:uid="{BDD032CF-DD79-40AF-8A12-833CF64832DA}"/>
    <cellStyle name="Ausgabe 2 3 12" xfId="5297" xr:uid="{F46C25B1-75CE-448F-9768-2B0B36A7DFD9}"/>
    <cellStyle name="Ausgabe 2 3 2" xfId="747" xr:uid="{B2B66AD7-0476-4AF7-87D1-860AEBD36918}"/>
    <cellStyle name="Ausgabe 2 3 2 10" xfId="5113" xr:uid="{34AB886F-4FA4-48A7-9122-D7BFBC1DE06D}"/>
    <cellStyle name="Ausgabe 2 3 2 11" xfId="4847" xr:uid="{84ADFF4C-C235-4315-B56D-3384925D8C1D}"/>
    <cellStyle name="Ausgabe 2 3 2 2" xfId="1221" xr:uid="{6651222E-D46D-4D59-851D-CBFACF5137D3}"/>
    <cellStyle name="Ausgabe 2 3 2 3" xfId="1568" xr:uid="{49775AD2-65A0-4A8F-AB50-5A9BE2D8DB31}"/>
    <cellStyle name="Ausgabe 2 3 2 4" xfId="2451" xr:uid="{98070EC1-BC04-4735-982D-EDE2A2DC0DD6}"/>
    <cellStyle name="Ausgabe 2 3 2 5" xfId="2905" xr:uid="{BA0B008D-EFFA-4FF9-8CE1-944286CA4056}"/>
    <cellStyle name="Ausgabe 2 3 2 6" xfId="3323" xr:uid="{37CBAB9A-8330-424F-AB1A-F5BFB3DD834A}"/>
    <cellStyle name="Ausgabe 2 3 2 7" xfId="3737" xr:uid="{9510BD4D-E339-43A6-8F16-C33C1B8B40E1}"/>
    <cellStyle name="Ausgabe 2 3 2 8" xfId="4160" xr:uid="{B3B0C59D-A040-429F-B68E-3706B3B83CE1}"/>
    <cellStyle name="Ausgabe 2 3 2 9" xfId="1979" xr:uid="{A583CE69-E762-4BF2-A140-B5698BB519CD}"/>
    <cellStyle name="Ausgabe 2 3 3" xfId="1015" xr:uid="{3871F90F-F38C-4090-AA90-906209F593AA}"/>
    <cellStyle name="Ausgabe 2 3 4" xfId="1609" xr:uid="{442DD798-DE30-4238-A42B-E0B3AA0B1A15}"/>
    <cellStyle name="Ausgabe 2 3 5" xfId="2238" xr:uid="{23B9CCE9-5816-43C4-98AA-8BD0D6AF794E}"/>
    <cellStyle name="Ausgabe 2 3 6" xfId="2692" xr:uid="{4143E783-07CE-43BF-942A-942D4BA346E6}"/>
    <cellStyle name="Ausgabe 2 3 7" xfId="3109" xr:uid="{30227031-75CD-41F2-98A6-C579729B156D}"/>
    <cellStyle name="Ausgabe 2 3 8" xfId="3522" xr:uid="{986C32FB-890B-4F6B-89BD-49E08B2F5CB3}"/>
    <cellStyle name="Ausgabe 2 3 9" xfId="3947" xr:uid="{3477E78B-A65E-4346-AE68-7D03C7A54719}"/>
    <cellStyle name="Ausgabe 2 4" xfId="705" xr:uid="{CFDAE0CC-BF24-4652-A4FF-D85581D6B117}"/>
    <cellStyle name="Ausgabe 2 4 10" xfId="5071" xr:uid="{9BEC2265-B305-49EB-B296-7EDEFA640302}"/>
    <cellStyle name="Ausgabe 2 4 11" xfId="4824" xr:uid="{BFC03812-882C-4344-9E52-E2BDEA7A634F}"/>
    <cellStyle name="Ausgabe 2 4 2" xfId="1179" xr:uid="{FBC9FA43-3FA6-49E8-A2BD-950FD84CB227}"/>
    <cellStyle name="Ausgabe 2 4 3" xfId="1450" xr:uid="{F574F49F-8219-47DC-99C2-0639387CD8C6}"/>
    <cellStyle name="Ausgabe 2 4 4" xfId="2409" xr:uid="{39A1540F-78AA-4D51-BF30-D4F07A38293D}"/>
    <cellStyle name="Ausgabe 2 4 5" xfId="2863" xr:uid="{01E0B7CA-D148-4427-A73E-62C4C5D12E38}"/>
    <cellStyle name="Ausgabe 2 4 6" xfId="3281" xr:uid="{8B1A61B6-3DEA-41A1-A234-BF5CAB4A1DC4}"/>
    <cellStyle name="Ausgabe 2 4 7" xfId="3695" xr:uid="{355F68BE-F78F-4089-8939-C40A94346388}"/>
    <cellStyle name="Ausgabe 2 4 8" xfId="4118" xr:uid="{8192E3BC-DB70-401E-BBF9-9857DB28CBF8}"/>
    <cellStyle name="Ausgabe 2 4 9" xfId="4326" xr:uid="{A741424E-F8EF-4751-8CE6-6265F5CCADA3}"/>
    <cellStyle name="Ausgabe 2 5" xfId="977" xr:uid="{133F5395-6782-4CA8-B568-2313F7D3DBD8}"/>
    <cellStyle name="Ausgabe 2 6" xfId="2126" xr:uid="{8D034701-F03B-4353-8B95-B2B0D9B51BCE}"/>
    <cellStyle name="Ausgabe 2 7" xfId="2398" xr:uid="{2474F7CA-2DCC-48F3-96D8-1B77BC705605}"/>
    <cellStyle name="Ausgabe 2 8" xfId="3049" xr:uid="{23503976-1707-42E5-AAF5-92CD4046F063}"/>
    <cellStyle name="Ausgabe 2 9" xfId="2862" xr:uid="{4500E5F7-044E-4E06-8AA8-2579B28DC8E5}"/>
    <cellStyle name="Ausgabe 3" xfId="282" xr:uid="{13D55367-2784-494E-BDE6-101C40E485E6}"/>
    <cellStyle name="Ausgabe 3 10" xfId="2157" xr:uid="{8648C7AF-F2B7-4F48-9857-8B2AB6FCD78F}"/>
    <cellStyle name="Ausgabe 3 11" xfId="4744" xr:uid="{C74DD071-B631-4C88-865F-C48DE45B87C1}"/>
    <cellStyle name="Ausgabe 3 12" xfId="5262" xr:uid="{881E1F84-191B-44DF-9EE5-3898B41F9F1B}"/>
    <cellStyle name="Ausgabe 3 2" xfId="619" xr:uid="{17DBB19A-A745-4446-9045-6224AD599911}"/>
    <cellStyle name="Ausgabe 3 2 10" xfId="4500" xr:uid="{D2C09984-4840-4B84-8F18-C881057C716B}"/>
    <cellStyle name="Ausgabe 3 2 11" xfId="4991" xr:uid="{01A2E3FF-5E52-498D-94AC-E0F24BF46881}"/>
    <cellStyle name="Ausgabe 3 2 12" xfId="4588" xr:uid="{FDCC3DA9-AE99-4D1B-B5B0-2960ED24D3DC}"/>
    <cellStyle name="Ausgabe 3 2 2" xfId="834" xr:uid="{9E64FEE7-35FE-4C8C-8605-C006673F3B75}"/>
    <cellStyle name="Ausgabe 3 2 2 10" xfId="5200" xr:uid="{376CCC88-E937-41BD-8A5F-8FE908B97B4A}"/>
    <cellStyle name="Ausgabe 3 2 2 11" xfId="5335" xr:uid="{9FFA2464-3E7B-460E-973D-18E5C0168E1A}"/>
    <cellStyle name="Ausgabe 3 2 2 2" xfId="1308" xr:uid="{BCE54FB9-D31F-43A4-A7F4-F1EB2D6086D4}"/>
    <cellStyle name="Ausgabe 3 2 2 3" xfId="1551" xr:uid="{CE50FCBB-B2D8-4EA9-9E62-6C32065EE706}"/>
    <cellStyle name="Ausgabe 3 2 2 4" xfId="2538" xr:uid="{23022BAE-EFA3-4B16-9C82-583130D5E403}"/>
    <cellStyle name="Ausgabe 3 2 2 5" xfId="2992" xr:uid="{FA6B603F-6238-4EE8-B1A8-A1D2B30F1EFD}"/>
    <cellStyle name="Ausgabe 3 2 2 6" xfId="3410" xr:uid="{1968D33A-AAF0-4935-809F-0D2C4717576C}"/>
    <cellStyle name="Ausgabe 3 2 2 7" xfId="3824" xr:uid="{E9798BB5-2429-43BF-BA72-4EF01C4D2BB9}"/>
    <cellStyle name="Ausgabe 3 2 2 8" xfId="4247" xr:uid="{B9A5D3A4-9EC2-4506-9679-37427C7A7D33}"/>
    <cellStyle name="Ausgabe 3 2 2 9" xfId="4353" xr:uid="{8B87206F-A2FA-4631-9DAC-EC1879105DC4}"/>
    <cellStyle name="Ausgabe 3 2 3" xfId="1102" xr:uid="{2510FD39-AF9D-4AED-AFB0-6893AC8CFA22}"/>
    <cellStyle name="Ausgabe 3 2 4" xfId="1687" xr:uid="{ED686D21-CDE4-45C7-B807-24D2F2691CF3}"/>
    <cellStyle name="Ausgabe 3 2 5" xfId="2325" xr:uid="{FB1D5714-4B34-4060-9D5C-BDDED3CAF7EC}"/>
    <cellStyle name="Ausgabe 3 2 6" xfId="2779" xr:uid="{1AD64D94-A8B1-4B98-BB8E-BF11E385792D}"/>
    <cellStyle name="Ausgabe 3 2 7" xfId="3196" xr:uid="{E37FB188-3A41-4344-839E-F1BD5E36A01E}"/>
    <cellStyle name="Ausgabe 3 2 8" xfId="3609" xr:uid="{72687146-E445-4BDE-8464-4E4B4FA3D025}"/>
    <cellStyle name="Ausgabe 3 2 9" xfId="4034" xr:uid="{A38DD0A3-3149-4102-8A17-CB70A24215B8}"/>
    <cellStyle name="Ausgabe 3 3" xfId="538" xr:uid="{0FF6753F-C23D-47F6-9905-B313FA0F33AA}"/>
    <cellStyle name="Ausgabe 3 3 10" xfId="3480" xr:uid="{99370B12-453C-4333-978D-D5D6DA2E09B4}"/>
    <cellStyle name="Ausgabe 3 3 11" xfId="4910" xr:uid="{05F57F6E-0E8F-409E-AD8C-738410D15D1C}"/>
    <cellStyle name="Ausgabe 3 3 12" xfId="5436" xr:uid="{1B30A9E7-16A1-47D7-9C06-3033D487C4A4}"/>
    <cellStyle name="Ausgabe 3 3 2" xfId="753" xr:uid="{4218C6B3-B5F9-4F38-991F-D28585FFFC4A}"/>
    <cellStyle name="Ausgabe 3 3 2 10" xfId="5119" xr:uid="{BA1AF362-7BEA-4A3F-9C99-51D40BB13564}"/>
    <cellStyle name="Ausgabe 3 3 2 11" xfId="4798" xr:uid="{E646E9E5-1F1D-4402-87AD-B1A4128BF933}"/>
    <cellStyle name="Ausgabe 3 3 2 2" xfId="1227" xr:uid="{3B7EE23F-4BB7-4EC7-9C77-B69429BF9525}"/>
    <cellStyle name="Ausgabe 3 3 2 3" xfId="1565" xr:uid="{BB42E12C-4804-4214-88EC-5C729319237D}"/>
    <cellStyle name="Ausgabe 3 3 2 4" xfId="2457" xr:uid="{9BB77F71-B12C-44CE-8DC6-C3D44135EE14}"/>
    <cellStyle name="Ausgabe 3 3 2 5" xfId="2911" xr:uid="{9563C1A1-6BE7-49EB-BD17-F00D7D1794D6}"/>
    <cellStyle name="Ausgabe 3 3 2 6" xfId="3329" xr:uid="{BDC728B3-1502-42A1-85B9-BE485932325E}"/>
    <cellStyle name="Ausgabe 3 3 2 7" xfId="3743" xr:uid="{A5C43A3D-7683-426E-98F8-0C4D38F438BF}"/>
    <cellStyle name="Ausgabe 3 3 2 8" xfId="4166" xr:uid="{42964A3F-700D-4D49-AF4F-BB021D9362A7}"/>
    <cellStyle name="Ausgabe 3 3 2 9" xfId="4420" xr:uid="{41504359-923C-418A-9E11-955C533B121A}"/>
    <cellStyle name="Ausgabe 3 3 3" xfId="1021" xr:uid="{588323ED-CE9B-46C9-BC0E-D56ACB28754D}"/>
    <cellStyle name="Ausgabe 3 3 4" xfId="1529" xr:uid="{7D790019-C1EF-43F8-9779-AC6D6EA64A95}"/>
    <cellStyle name="Ausgabe 3 3 5" xfId="2244" xr:uid="{092B300C-0202-4AE7-8CA0-F94FFC620B99}"/>
    <cellStyle name="Ausgabe 3 3 6" xfId="2698" xr:uid="{10EECE3D-75C9-43AB-9DB6-86103119DDC1}"/>
    <cellStyle name="Ausgabe 3 3 7" xfId="3115" xr:uid="{9C04477C-D5D4-4E2F-81FB-3E2CC6ACCF12}"/>
    <cellStyle name="Ausgabe 3 3 8" xfId="3528" xr:uid="{187AD724-1945-4620-B969-BC4ADEA46080}"/>
    <cellStyle name="Ausgabe 3 3 9" xfId="3953" xr:uid="{42ADEC17-3A99-49C5-BC8C-1E8664CADE0C}"/>
    <cellStyle name="Ausgabe 3 4" xfId="702" xr:uid="{AB9EF1A2-E152-4D94-A902-E9A5BD70B045}"/>
    <cellStyle name="Ausgabe 3 4 10" xfId="5069" xr:uid="{DA672347-B23C-46BB-8106-8827C75759D1}"/>
    <cellStyle name="Ausgabe 3 4 11" xfId="5319" xr:uid="{69597054-5BC5-4E34-99DB-9853CB51E1DA}"/>
    <cellStyle name="Ausgabe 3 4 2" xfId="1177" xr:uid="{1DC266F3-410A-44FA-ACF3-395E8074CC76}"/>
    <cellStyle name="Ausgabe 3 4 3" xfId="1366" xr:uid="{0F7FDD95-8394-4D27-A119-297F3067A016}"/>
    <cellStyle name="Ausgabe 3 4 4" xfId="2406" xr:uid="{B2FEDEF8-BBE8-44A1-8E25-1A1EEBF8C76D}"/>
    <cellStyle name="Ausgabe 3 4 5" xfId="2860" xr:uid="{1BB53472-FE36-480A-9490-1947E0F6A753}"/>
    <cellStyle name="Ausgabe 3 4 6" xfId="3278" xr:uid="{002382E8-0CB8-410F-BD75-9B82423715B9}"/>
    <cellStyle name="Ausgabe 3 4 7" xfId="3692" xr:uid="{3D3D1C7B-3429-432A-8AAE-5370126BF95A}"/>
    <cellStyle name="Ausgabe 3 4 8" xfId="4115" xr:uid="{13D2F8AE-3F8C-4487-984F-4E9BA68091D7}"/>
    <cellStyle name="Ausgabe 3 4 9" xfId="3899" xr:uid="{89CF1287-A4CA-4D46-9C8B-F4BE4B5DFB0E}"/>
    <cellStyle name="Ausgabe 3 5" xfId="957" xr:uid="{43695D05-0ECB-4FF6-95FA-F30D403D53EA}"/>
    <cellStyle name="Ausgabe 3 6" xfId="2045" xr:uid="{65F0C325-1C66-41DB-93C2-9AC75C71600B}"/>
    <cellStyle name="Ausgabe 3 7" xfId="2110" xr:uid="{7AEDB47B-AFD3-4441-AC9C-D43C435D6485}"/>
    <cellStyle name="Ausgabe 3 8" xfId="1985" xr:uid="{6FBD4E48-C2F0-4538-A23C-BF99B383C6D4}"/>
    <cellStyle name="Ausgabe 3 9" xfId="2601" xr:uid="{6D7DBF7F-3B46-47B6-A515-2B40403D248C}"/>
    <cellStyle name="Ausgabe 4" xfId="543" xr:uid="{E62A1933-D046-4FB4-AFC9-5D7954E4636B}"/>
    <cellStyle name="Ausgabe 4 10" xfId="4374" xr:uid="{BBB7B03E-D733-40C2-A180-AD9ACD2B9653}"/>
    <cellStyle name="Ausgabe 4 11" xfId="4915" xr:uid="{69228906-380D-4707-B99B-6FFED0DF3845}"/>
    <cellStyle name="Ausgabe 4 12" xfId="5306" xr:uid="{393F638C-3CA8-4FBC-88CF-5E5FBC175C93}"/>
    <cellStyle name="Ausgabe 4 2" xfId="758" xr:uid="{0CB58EB2-2250-4817-AB36-177B219E3AFD}"/>
    <cellStyle name="Ausgabe 4 2 10" xfId="5124" xr:uid="{7ACF4D8D-D858-4BB1-9AFA-F3DAFF8AB1B4}"/>
    <cellStyle name="Ausgabe 4 2 11" xfId="4720" xr:uid="{2693D758-B640-46C3-819E-EFE05D09256B}"/>
    <cellStyle name="Ausgabe 4 2 2" xfId="1232" xr:uid="{F38B7453-28B5-446E-AE98-28DE58721883}"/>
    <cellStyle name="Ausgabe 4 2 3" xfId="1471" xr:uid="{414140AC-26B7-491D-BD15-FABD305DEAE1}"/>
    <cellStyle name="Ausgabe 4 2 4" xfId="2462" xr:uid="{8243A192-9D7C-45F4-BD54-D9CD76593A5F}"/>
    <cellStyle name="Ausgabe 4 2 5" xfId="2916" xr:uid="{273238B4-3C67-4A09-8E61-3A2D33476FBA}"/>
    <cellStyle name="Ausgabe 4 2 6" xfId="3334" xr:uid="{5C378C46-6173-43E4-B904-E01AA952AFF4}"/>
    <cellStyle name="Ausgabe 4 2 7" xfId="3748" xr:uid="{4672C869-081B-4A8B-84BE-16EFBD3F82AF}"/>
    <cellStyle name="Ausgabe 4 2 8" xfId="4171" xr:uid="{8F1D1C4B-5559-42E2-94A7-465D394BE2EE}"/>
    <cellStyle name="Ausgabe 4 2 9" xfId="3925" xr:uid="{86FB838A-EF73-4725-AEE6-2F1EB5679A75}"/>
    <cellStyle name="Ausgabe 4 3" xfId="1026" xr:uid="{F7424BFD-7F0C-429C-A2B1-B5802F2E3337}"/>
    <cellStyle name="Ausgabe 4 4" xfId="1655" xr:uid="{7D5FAF7A-F043-446C-8248-6B5D14403C25}"/>
    <cellStyle name="Ausgabe 4 5" xfId="2249" xr:uid="{115CC190-A7C6-4604-A07D-156F98DCA9A7}"/>
    <cellStyle name="Ausgabe 4 6" xfId="2703" xr:uid="{48DC879F-1C8C-4AAF-BEFE-398D33FAC447}"/>
    <cellStyle name="Ausgabe 4 7" xfId="3120" xr:uid="{E68F2344-1047-488B-A0D2-004435249E8C}"/>
    <cellStyle name="Ausgabe 4 8" xfId="3533" xr:uid="{88145C6B-669A-48FA-AC20-0CF80C872EA1}"/>
    <cellStyle name="Ausgabe 4 9" xfId="3958" xr:uid="{8906B775-4FA2-4C87-A8AB-59D3984FE013}"/>
    <cellStyle name="Ausgabe 5" xfId="662" xr:uid="{D12FAF26-20F4-4038-8544-F5116A0CF33C}"/>
    <cellStyle name="Ausgabe 5 10" xfId="4509" xr:uid="{88E90041-8106-476F-B641-4AB6A56F4198}"/>
    <cellStyle name="Ausgabe 5 11" xfId="5034" xr:uid="{13FC8017-BEAC-40C0-B26A-AAD9C82A79A9}"/>
    <cellStyle name="Ausgabe 5 12" xfId="5323" xr:uid="{3C94CDE8-4252-4800-AE08-10B3E15A0D54}"/>
    <cellStyle name="Ausgabe 5 2" xfId="877" xr:uid="{07A57343-F369-48A6-B15A-A7988BEFFF07}"/>
    <cellStyle name="Ausgabe 5 2 10" xfId="5243" xr:uid="{E936D94C-4A97-408E-90A3-CE2E99369949}"/>
    <cellStyle name="Ausgabe 5 2 11" xfId="5471" xr:uid="{1F44E9D1-FE74-487F-83D4-08747ECEC063}"/>
    <cellStyle name="Ausgabe 5 2 2" xfId="1351" xr:uid="{96641EB0-FA0D-4371-B82A-507110893D99}"/>
    <cellStyle name="Ausgabe 5 2 3" xfId="1800" xr:uid="{A708605B-6813-4C9D-B8C8-8A9061933EEE}"/>
    <cellStyle name="Ausgabe 5 2 4" xfId="2581" xr:uid="{189B6480-88F2-425D-B4D5-DCC8FC5EBCAD}"/>
    <cellStyle name="Ausgabe 5 2 5" xfId="3035" xr:uid="{FC1E22A9-D20D-4432-84D8-C8D23035E1B0}"/>
    <cellStyle name="Ausgabe 5 2 6" xfId="3453" xr:uid="{BE8B5C8D-FBE4-49F1-A8B3-99E607DEE2A7}"/>
    <cellStyle name="Ausgabe 5 2 7" xfId="3867" xr:uid="{15D1CBC7-726C-4CD5-8308-B5E8CBA1319A}"/>
    <cellStyle name="Ausgabe 5 2 8" xfId="4290" xr:uid="{59C00DEC-B7F9-4D8E-9A22-0432E6119F07}"/>
    <cellStyle name="Ausgabe 5 2 9" xfId="4558" xr:uid="{5A68D9E4-7D6D-44D2-A506-877EF7BFF48E}"/>
    <cellStyle name="Ausgabe 5 3" xfId="1145" xr:uid="{15FFED2D-2C45-4C20-9AEB-AB0E3DB13F0B}"/>
    <cellStyle name="Ausgabe 5 4" xfId="1574" xr:uid="{7239B96F-FAAF-47A3-A9AC-936B20884404}"/>
    <cellStyle name="Ausgabe 5 5" xfId="2368" xr:uid="{5DECF01B-4C28-468F-BAB0-4F8CF4B038FF}"/>
    <cellStyle name="Ausgabe 5 6" xfId="2822" xr:uid="{6179A5A7-9C72-465D-90DF-251DB98619AF}"/>
    <cellStyle name="Ausgabe 5 7" xfId="3239" xr:uid="{9E55D78E-0D59-4F6A-ABE6-8D4BA176AF63}"/>
    <cellStyle name="Ausgabe 5 8" xfId="3652" xr:uid="{03E8EC55-EA6A-4435-BC11-625121BF94BD}"/>
    <cellStyle name="Ausgabe 5 9" xfId="4077" xr:uid="{27183E51-29E1-48A0-9512-77CD7095CE1E}"/>
    <cellStyle name="Ausgabe 6" xfId="678" xr:uid="{0881752B-D25E-4D20-9591-AD9BC776CDAB}"/>
    <cellStyle name="Ausgabe 6 10" xfId="5049" xr:uid="{41BF6100-6A20-4ECE-BC99-6C21E5E7FCB2}"/>
    <cellStyle name="Ausgabe 6 11" xfId="4807" xr:uid="{4D2F8B24-65C2-4C87-B633-F61578459CAB}"/>
    <cellStyle name="Ausgabe 6 2" xfId="1160" xr:uid="{1947C82B-924E-4939-AF30-F50387D1B7CE}"/>
    <cellStyle name="Ausgabe 6 3" xfId="1738" xr:uid="{6C86E101-090A-40D9-8E68-A37B2FD61718}"/>
    <cellStyle name="Ausgabe 6 4" xfId="2383" xr:uid="{734C0A6C-E49E-4600-8278-8C8AE5D76822}"/>
    <cellStyle name="Ausgabe 6 5" xfId="2838" xr:uid="{75F50651-E609-408C-8566-8DD4E15700BB}"/>
    <cellStyle name="Ausgabe 6 6" xfId="3254" xr:uid="{7CFF50B2-3C39-4C82-95A5-726BC7855EA3}"/>
    <cellStyle name="Ausgabe 6 7" xfId="3668" xr:uid="{F5B643A9-6EE5-4C3A-9B0D-7D34BD20BDB4}"/>
    <cellStyle name="Ausgabe 6 8" xfId="4093" xr:uid="{D7BD9B1F-6045-4BF2-BEA9-1DF1D66E3E1F}"/>
    <cellStyle name="Ausgabe 6 9" xfId="1924" xr:uid="{4AD0EBDA-FA20-48AE-90E4-CD22A5238ED3}"/>
    <cellStyle name="Bad 2" xfId="126" xr:uid="{E795ACEF-84E8-4B12-8182-40F007156AD7}"/>
    <cellStyle name="Bad 3" xfId="223" xr:uid="{8F49BADF-D1CC-4865-B61B-9E2F452073DC}"/>
    <cellStyle name="Bad 4" xfId="363" xr:uid="{8EA983CD-CCA2-4DFA-AF61-A9E1D4E2E737}"/>
    <cellStyle name="Berechnung" xfId="46" hidden="1" xr:uid="{61F364C9-48AE-426A-A8B9-42EF1AC38363}"/>
    <cellStyle name="Berechnung" xfId="1387" hidden="1" xr:uid="{444B4FF5-BBAF-4307-80EB-77AA9DA586EC}"/>
    <cellStyle name="Berechnung" xfId="933" hidden="1" xr:uid="{CF79168A-8902-4F65-8DB0-10D89E2D909A}"/>
    <cellStyle name="Berechnung" xfId="893" hidden="1" xr:uid="{EBF317E1-F533-4E61-88B7-6897DF89ADA0}"/>
    <cellStyle name="Berechnung" xfId="1586" hidden="1" xr:uid="{1B9FE06E-D242-465D-B740-E610A225C1F7}"/>
    <cellStyle name="Berechnung" xfId="1857" hidden="1" xr:uid="{35B71458-D2E6-4364-8829-F5DEB6FB2174}"/>
    <cellStyle name="Berechnung" xfId="2200" hidden="1" xr:uid="{35796D8E-2ABB-4465-A415-8E30AA158BCD}"/>
    <cellStyle name="Berechnung" xfId="2619" hidden="1" xr:uid="{ADFB0918-79E5-4EA1-9447-4F71A1A36BDC}"/>
    <cellStyle name="Berechnung" xfId="1939" hidden="1" xr:uid="{2B32632B-FB95-462C-99AA-E8EF4477A2F0}"/>
    <cellStyle name="Berechnung" xfId="1983" hidden="1" xr:uid="{7BBCA382-68CB-45BE-B5B8-2F66CBE29CDF}"/>
    <cellStyle name="Berechnung" xfId="3271" hidden="1" xr:uid="{2281E0A6-4610-4DA1-80B3-8F92537093B2}"/>
    <cellStyle name="Berechnung" xfId="4410" hidden="1" xr:uid="{171E5538-A5C9-43F2-A83E-901AAD411012}"/>
    <cellStyle name="Berechnung" xfId="1937" hidden="1" xr:uid="{27FDFB9E-D219-4D8B-B4D6-442073F68C3C}"/>
    <cellStyle name="Berechnung" xfId="2166" hidden="1" xr:uid="{7ED4948C-8733-4BA3-AE07-8DBFCA2E0A3C}"/>
    <cellStyle name="Berechnung" xfId="2645" hidden="1" xr:uid="{3288F773-9C70-4F1C-8164-021FD9677AFA}"/>
    <cellStyle name="Berechnung" xfId="4593" hidden="1" xr:uid="{76D36182-E963-4B3B-A07B-804B7739AF17}"/>
    <cellStyle name="Berechnung" xfId="4702" hidden="1" xr:uid="{0CCE83D4-E4B7-48DD-8C07-E78F1A0760A6}"/>
    <cellStyle name="Berechnung" xfId="5346" hidden="1" xr:uid="{78186F7D-16F5-40EC-A3D3-ECD0BE20F036}"/>
    <cellStyle name="Berechnung 2" xfId="392" xr:uid="{97EB10F2-13BA-4AA7-8DFB-092C1A9A365D}"/>
    <cellStyle name="Berechnung 2 10" xfId="2170" xr:uid="{3F93098F-530B-4266-B326-0628A7E8EC77}"/>
    <cellStyle name="Berechnung 2 11" xfId="1838" xr:uid="{FA49117D-E687-41EF-998C-EB147E31CB3C}"/>
    <cellStyle name="Berechnung 2 12" xfId="4821" xr:uid="{64CAE3CE-9BF2-4565-A112-4F1AE0478155}"/>
    <cellStyle name="Berechnung 2 13" xfId="4766" xr:uid="{1AEF87A7-CAB6-4547-93CD-7D9E4ACBB43A}"/>
    <cellStyle name="Berechnung 2 2" xfId="648" xr:uid="{3E64EDC9-3380-4ACA-A783-0C55A4A09C0F}"/>
    <cellStyle name="Berechnung 2 2 10" xfId="4110" xr:uid="{E573D5E9-D7CA-4D04-9D4B-36E4DCBE6691}"/>
    <cellStyle name="Berechnung 2 2 11" xfId="5020" xr:uid="{67755E69-A026-4384-AC6F-90D55E560B4F}"/>
    <cellStyle name="Berechnung 2 2 12" xfId="4803" xr:uid="{6C61E12C-D0C6-4E7E-B4D8-FB9A81DFC01F}"/>
    <cellStyle name="Berechnung 2 2 2" xfId="863" xr:uid="{50620EDC-2C69-4CDA-ABC3-D385E01FAA69}"/>
    <cellStyle name="Berechnung 2 2 2 10" xfId="5229" xr:uid="{9DBE2DE1-1245-4DE3-9BF9-8993EFCD42CF}"/>
    <cellStyle name="Berechnung 2 2 2 11" xfId="4718" xr:uid="{73D3B680-F274-4C7F-9E7D-76EDBE8447B8}"/>
    <cellStyle name="Berechnung 2 2 2 2" xfId="1337" xr:uid="{2BD0A075-DBA3-491D-B351-6675DF73C4B5}"/>
    <cellStyle name="Berechnung 2 2 2 3" xfId="1786" xr:uid="{2F2FD79B-1BBF-41BC-A390-D0205FF9DB3C}"/>
    <cellStyle name="Berechnung 2 2 2 4" xfId="2567" xr:uid="{72504160-1FB0-4E95-B9EF-45400720CE48}"/>
    <cellStyle name="Berechnung 2 2 2 5" xfId="3021" xr:uid="{B9A53972-985A-4C56-B007-368D75C81C9D}"/>
    <cellStyle name="Berechnung 2 2 2 6" xfId="3439" xr:uid="{D61AC4D0-AE0D-4CE9-BEC3-C10CF5975B5F}"/>
    <cellStyle name="Berechnung 2 2 2 7" xfId="3853" xr:uid="{F671E5F1-1A5C-46B0-98CD-FFF85B692F68}"/>
    <cellStyle name="Berechnung 2 2 2 8" xfId="4276" xr:uid="{6D9E9B23-5598-45F3-AD2A-489CE7EEE818}"/>
    <cellStyle name="Berechnung 2 2 2 9" xfId="4409" xr:uid="{21E99CCC-3AC2-4F69-A11C-B4E088C5DD8A}"/>
    <cellStyle name="Berechnung 2 2 3" xfId="1131" xr:uid="{5E4ABF1D-2BC1-413A-AD16-833D9A58F8FB}"/>
    <cellStyle name="Berechnung 2 2 4" xfId="1577" xr:uid="{18E33D8C-4554-4777-9AAD-551BF7C3E36B}"/>
    <cellStyle name="Berechnung 2 2 5" xfId="2354" xr:uid="{7A611B8B-4DC3-4DB4-AFD5-13E60BB846CF}"/>
    <cellStyle name="Berechnung 2 2 6" xfId="2808" xr:uid="{098782CD-C0EC-4660-997D-94418671CEBE}"/>
    <cellStyle name="Berechnung 2 2 7" xfId="3225" xr:uid="{4C8BAC9C-5D19-4DA9-809F-4AF0318DA241}"/>
    <cellStyle name="Berechnung 2 2 8" xfId="3638" xr:uid="{CF9F8179-DFFE-46C8-8E07-E0957A17E699}"/>
    <cellStyle name="Berechnung 2 2 9" xfId="4063" xr:uid="{94408F1D-9BD4-471A-926E-8D15BBE3F353}"/>
    <cellStyle name="Berechnung 2 3" xfId="513" xr:uid="{C0D6F65E-7FCD-44E4-9012-6DEFC3996611}"/>
    <cellStyle name="Berechnung 2 3 10" xfId="4439" xr:uid="{E5DA9BD8-17D5-41ED-B36D-CE925080BF7C}"/>
    <cellStyle name="Berechnung 2 3 11" xfId="4885" xr:uid="{330EA114-AEB5-45ED-938D-B509B7639F87}"/>
    <cellStyle name="Berechnung 2 3 12" xfId="5308" xr:uid="{17B19FD6-D6AB-45C0-BF2E-C37520BA8775}"/>
    <cellStyle name="Berechnung 2 3 2" xfId="728" xr:uid="{A9EEB3AD-7486-41BA-A022-F2DBAD0431E2}"/>
    <cellStyle name="Berechnung 2 3 2 10" xfId="5094" xr:uid="{5B7F5B97-DE00-4AC4-BF40-38F9DD90A5D7}"/>
    <cellStyle name="Berechnung 2 3 2 11" xfId="5414" xr:uid="{3D19797C-2B49-48AD-9CBD-33DB63E880BD}"/>
    <cellStyle name="Berechnung 2 3 2 2" xfId="1202" xr:uid="{02957A43-5883-4AE2-997E-6686A3F59A18}"/>
    <cellStyle name="Berechnung 2 3 2 3" xfId="1543" xr:uid="{AAB45A16-3FF3-4E44-B33A-87C38D7A7F6B}"/>
    <cellStyle name="Berechnung 2 3 2 4" xfId="2432" xr:uid="{C0692EAE-0EC9-4681-AAB8-F7FD858139C4}"/>
    <cellStyle name="Berechnung 2 3 2 5" xfId="2886" xr:uid="{3CB4B6ED-B299-4BB9-9911-78226972E503}"/>
    <cellStyle name="Berechnung 2 3 2 6" xfId="3304" xr:uid="{A123A378-A546-4470-88ED-081B3D784521}"/>
    <cellStyle name="Berechnung 2 3 2 7" xfId="3718" xr:uid="{D89C0626-40AE-4BCD-8656-5F5E9E63F1E0}"/>
    <cellStyle name="Berechnung 2 3 2 8" xfId="4141" xr:uid="{540B9409-5343-4929-AD5C-E4B2EDF0E914}"/>
    <cellStyle name="Berechnung 2 3 2 9" xfId="4399" xr:uid="{B07D9B91-92C8-4698-9E44-3C02FE9AF098}"/>
    <cellStyle name="Berechnung 2 3 3" xfId="996" xr:uid="{E821A119-69CA-4B27-A944-0F18736BADCD}"/>
    <cellStyle name="Berechnung 2 3 4" xfId="1610" xr:uid="{36139460-E443-4DE5-A109-D7C82F11DE1B}"/>
    <cellStyle name="Berechnung 2 3 5" xfId="2219" xr:uid="{813ECE9D-4C54-4E70-AF92-D105242F06C3}"/>
    <cellStyle name="Berechnung 2 3 6" xfId="2673" xr:uid="{351FDA52-7E22-4318-B842-ED34799B4E8E}"/>
    <cellStyle name="Berechnung 2 3 7" xfId="3090" xr:uid="{874E22C7-CC22-49AB-A28D-3291173517BA}"/>
    <cellStyle name="Berechnung 2 3 8" xfId="3503" xr:uid="{E7AC8CB9-6001-43EC-A3D5-EC8B0A8C19DA}"/>
    <cellStyle name="Berechnung 2 3 9" xfId="3928" xr:uid="{FF5FDABE-26E9-44B9-82C8-9E0ACDD6599C}"/>
    <cellStyle name="Berechnung 2 4" xfId="569" xr:uid="{16ACFD70-3424-4579-9DD0-CE07C5B27CF6}"/>
    <cellStyle name="Berechnung 2 4 10" xfId="4526" xr:uid="{57198AE9-8054-4B79-9917-1053239C40E9}"/>
    <cellStyle name="Berechnung 2 4 11" xfId="4941" xr:uid="{FC8FCE9D-9A36-486C-A6FB-9989C163DDC0}"/>
    <cellStyle name="Berechnung 2 4 12" xfId="4758" xr:uid="{DAE3E74D-903D-4D83-A829-9923525FA9A2}"/>
    <cellStyle name="Berechnung 2 4 2" xfId="784" xr:uid="{73A672B7-CA9D-4EC8-B780-245AE464444A}"/>
    <cellStyle name="Berechnung 2 4 2 10" xfId="5150" xr:uid="{23DB647A-C351-49D8-B0C4-F9E416A75DE8}"/>
    <cellStyle name="Berechnung 2 4 2 11" xfId="4630" xr:uid="{C035F1AA-3E24-401B-BE2B-7562B4FDB72C}"/>
    <cellStyle name="Berechnung 2 4 2 2" xfId="1258" xr:uid="{F9630687-4FC0-4BED-A424-E6C4B8848749}"/>
    <cellStyle name="Berechnung 2 4 2 3" xfId="1510" xr:uid="{996C5EC5-1598-4E48-A01A-9A0C775273B5}"/>
    <cellStyle name="Berechnung 2 4 2 4" xfId="2488" xr:uid="{347CFEE9-48A1-45BC-BF94-E5103B2D2B2A}"/>
    <cellStyle name="Berechnung 2 4 2 5" xfId="2942" xr:uid="{369871CE-3B2D-4E87-8753-634043F8BA99}"/>
    <cellStyle name="Berechnung 2 4 2 6" xfId="3360" xr:uid="{0C87A18D-E74A-4B48-9E2B-0544BC4EE23F}"/>
    <cellStyle name="Berechnung 2 4 2 7" xfId="3774" xr:uid="{C1A8D4E3-BD79-4836-8096-770AADFDEBB6}"/>
    <cellStyle name="Berechnung 2 4 2 8" xfId="4197" xr:uid="{0551B491-90E0-4701-9B25-3C10971B1FA4}"/>
    <cellStyle name="Berechnung 2 4 2 9" xfId="3057" xr:uid="{8513BFBA-24E5-42E3-8E38-EE9EB0C2AFF6}"/>
    <cellStyle name="Berechnung 2 4 3" xfId="1052" xr:uid="{65DBEF45-526E-4721-9EAE-8D29AA19B60A}"/>
    <cellStyle name="Berechnung 2 4 4" xfId="1623" xr:uid="{C523D438-4C6E-4921-A12F-8009EBA5F2E7}"/>
    <cellStyle name="Berechnung 2 4 5" xfId="2275" xr:uid="{C0EC6FA8-F345-4D42-B46C-4D3809A23CC7}"/>
    <cellStyle name="Berechnung 2 4 6" xfId="2729" xr:uid="{BDB61A53-2D5E-4D27-B1C5-867E1284047B}"/>
    <cellStyle name="Berechnung 2 4 7" xfId="3146" xr:uid="{06362F0D-EB93-4CCB-A742-2A6646C022DC}"/>
    <cellStyle name="Berechnung 2 4 8" xfId="3559" xr:uid="{76DD7DE1-DA0B-4ED4-A655-C5B15B96838F}"/>
    <cellStyle name="Berechnung 2 4 9" xfId="3984" xr:uid="{DE9407F4-923A-4739-A026-4F1AC5BE9254}"/>
    <cellStyle name="Berechnung 2 5" xfId="706" xr:uid="{50A91F01-78A2-4962-9510-0CD73E73B1CA}"/>
    <cellStyle name="Berechnung 2 5 10" xfId="5072" xr:uid="{E26E2A98-73D2-49D9-993A-7B92D52EF3C0}"/>
    <cellStyle name="Berechnung 2 5 11" xfId="4676" xr:uid="{BCC6DE5D-89A8-4A5F-8B62-DFB64186BB1B}"/>
    <cellStyle name="Berechnung 2 5 2" xfId="1180" xr:uid="{73D726A5-3BA7-418B-91C7-E5CA9B88F858}"/>
    <cellStyle name="Berechnung 2 5 3" xfId="1368" xr:uid="{B316B70C-B2D7-4742-BFE9-92480501AD57}"/>
    <cellStyle name="Berechnung 2 5 4" xfId="2410" xr:uid="{3480C187-B4BF-470B-A668-855F38F64026}"/>
    <cellStyle name="Berechnung 2 5 5" xfId="2864" xr:uid="{FACF98BF-EC0A-4F3B-B803-85E19A835238}"/>
    <cellStyle name="Berechnung 2 5 6" xfId="3282" xr:uid="{ADCEA656-20B9-4E07-95DF-FAEF0B2DD752}"/>
    <cellStyle name="Berechnung 2 5 7" xfId="3696" xr:uid="{65487CE1-A13D-4739-A7C1-206B193C2899}"/>
    <cellStyle name="Berechnung 2 5 8" xfId="4119" xr:uid="{1C098C9B-7C39-4227-9E7D-49CDD4211D79}"/>
    <cellStyle name="Berechnung 2 5 9" xfId="1982" xr:uid="{2D3E6DE2-34AF-4605-8127-71B4E16EE051}"/>
    <cellStyle name="Berechnung 2 6" xfId="978" xr:uid="{5A666C2A-DAED-4D1A-B389-D4EC602156F8}"/>
    <cellStyle name="Berechnung 2 7" xfId="2127" xr:uid="{E14E20C4-7E5C-433D-B6AB-77699B6F9848}"/>
    <cellStyle name="Berechnung 2 8" xfId="2113" xr:uid="{316D86BA-EA53-4D0A-9E2B-50F9D4217B09}"/>
    <cellStyle name="Berechnung 2 9" xfId="2399" xr:uid="{B12D2E8E-1BAC-43AD-AEFD-732589B24BDB}"/>
    <cellStyle name="Berechnung 3" xfId="272" xr:uid="{2DCEF2AD-BFA2-483A-B01C-3D916A1E5870}"/>
    <cellStyle name="Berechnung 3 10" xfId="3061" xr:uid="{2E578AED-84BB-4B2C-A0F5-6109344A28E1}"/>
    <cellStyle name="Berechnung 3 11" xfId="3489" xr:uid="{FB029383-3EB7-4AD1-876E-DD06ACFF9D7A}"/>
    <cellStyle name="Berechnung 3 12" xfId="4736" xr:uid="{0BA13274-2132-4986-B319-4BE3A598C2A9}"/>
    <cellStyle name="Berechnung 3 13" xfId="4826" xr:uid="{E7E62E3B-9516-4CB6-86ED-7F1FAD100534}"/>
    <cellStyle name="Berechnung 3 2" xfId="611" xr:uid="{55E93862-58E0-4505-A481-6298BC58A9FF}"/>
    <cellStyle name="Berechnung 3 2 10" xfId="3922" xr:uid="{FDD7D7EE-A846-43EE-9C46-2A63047C22C4}"/>
    <cellStyle name="Berechnung 3 2 11" xfId="4983" xr:uid="{B035E4FA-1268-4EC0-BCB9-1F0A415EAF0A}"/>
    <cellStyle name="Berechnung 3 2 12" xfId="4709" xr:uid="{851FBF57-863E-4803-987B-777A702B1617}"/>
    <cellStyle name="Berechnung 3 2 2" xfId="826" xr:uid="{9E5C2D6F-401B-464D-8901-2CEDFD95405E}"/>
    <cellStyle name="Berechnung 3 2 2 10" xfId="5192" xr:uid="{826FEC6E-2874-40B9-AD14-E9CF9ED6DC44}"/>
    <cellStyle name="Berechnung 3 2 2 11" xfId="4812" xr:uid="{211857AA-0BCD-46D4-9151-2505364E45B2}"/>
    <cellStyle name="Berechnung 3 2 2 2" xfId="1300" xr:uid="{94447EBB-7AFD-4211-BA6B-6DB1686A621D}"/>
    <cellStyle name="Berechnung 3 2 2 3" xfId="1555" xr:uid="{17D1DF98-F3C6-4E4A-AB3E-E4DE8815102D}"/>
    <cellStyle name="Berechnung 3 2 2 4" xfId="2530" xr:uid="{2DFA7742-1DA1-45DA-B784-D5E5EF62A66A}"/>
    <cellStyle name="Berechnung 3 2 2 5" xfId="2984" xr:uid="{BA57447C-D7AE-41DE-A631-74A0FBB891D9}"/>
    <cellStyle name="Berechnung 3 2 2 6" xfId="3402" xr:uid="{1BCCD495-8557-4E2E-A40A-EA7CA1DFF4A4}"/>
    <cellStyle name="Berechnung 3 2 2 7" xfId="3816" xr:uid="{7BD0F8D8-D604-4CF7-996B-4D8ABA0746FD}"/>
    <cellStyle name="Berechnung 3 2 2 8" xfId="4239" xr:uid="{0F7E5ECB-C412-4FFA-853E-F5716B7F89EF}"/>
    <cellStyle name="Berechnung 3 2 2 9" xfId="2144" xr:uid="{B7CF9FB2-D3C7-4F4E-8CFD-8F13F64423D3}"/>
    <cellStyle name="Berechnung 3 2 3" xfId="1094" xr:uid="{4621763C-8669-4E44-9AA6-C40678BA2205}"/>
    <cellStyle name="Berechnung 3 2 4" xfId="1578" xr:uid="{6E6C6742-9590-4009-893A-2A7DE44FF636}"/>
    <cellStyle name="Berechnung 3 2 5" xfId="2317" xr:uid="{3D468FEC-AF09-4794-90AC-D2ED28ADE040}"/>
    <cellStyle name="Berechnung 3 2 6" xfId="2771" xr:uid="{DC921D06-4191-4898-BFA5-4D5230EE7B8C}"/>
    <cellStyle name="Berechnung 3 2 7" xfId="3188" xr:uid="{143AF6B8-42E7-428E-BA28-A81C27E185C2}"/>
    <cellStyle name="Berechnung 3 2 8" xfId="3601" xr:uid="{B6EDF1B7-9984-4887-AC26-534E0FD780B2}"/>
    <cellStyle name="Berechnung 3 2 9" xfId="4026" xr:uid="{230CE4B4-7E86-4304-8938-D49FC0BFDEDA}"/>
    <cellStyle name="Berechnung 3 3" xfId="547" xr:uid="{B776F746-ACC5-4854-BE6F-557A6FF621D5}"/>
    <cellStyle name="Berechnung 3 3 10" xfId="1966" xr:uid="{C61DF175-958E-48B6-8809-5BD1D9F48F4B}"/>
    <cellStyle name="Berechnung 3 3 11" xfId="4919" xr:uid="{AB1E8858-5950-474F-BDDB-21AA593ED971}"/>
    <cellStyle name="Berechnung 3 3 12" xfId="5344" xr:uid="{B1C4D0B8-DFED-4802-BBB3-8A97BB33B945}"/>
    <cellStyle name="Berechnung 3 3 2" xfId="762" xr:uid="{EB9C7A1D-27C8-49DE-ACA9-2B9169EADB3C}"/>
    <cellStyle name="Berechnung 3 3 2 10" xfId="5128" xr:uid="{CC944789-5E89-486D-8AFE-29C9C54EAC8C}"/>
    <cellStyle name="Berechnung 3 3 2 11" xfId="4799" xr:uid="{0A6EBE8F-0C96-4288-9DFB-63E723F93441}"/>
    <cellStyle name="Berechnung 3 3 2 2" xfId="1236" xr:uid="{37048000-1C30-4635-B99B-BAFD29AB1BC9}"/>
    <cellStyle name="Berechnung 3 3 2 3" xfId="1715" xr:uid="{4DD4BA5D-F829-4867-AB89-9604811079EB}"/>
    <cellStyle name="Berechnung 3 3 2 4" xfId="2466" xr:uid="{6597D15C-3983-461A-AB13-52D79ACEF18E}"/>
    <cellStyle name="Berechnung 3 3 2 5" xfId="2920" xr:uid="{AFD266FA-BC44-43AC-8C10-6DAA689F4D50}"/>
    <cellStyle name="Berechnung 3 3 2 6" xfId="3338" xr:uid="{B3DA0093-17A2-40D2-8C33-646F8D0CEB74}"/>
    <cellStyle name="Berechnung 3 3 2 7" xfId="3752" xr:uid="{D451227B-4F17-4FF0-9304-44CE7B15BD28}"/>
    <cellStyle name="Berechnung 3 3 2 8" xfId="4175" xr:uid="{C59A4184-06DE-4F5F-A79A-E3BCC4FECF8F}"/>
    <cellStyle name="Berechnung 3 3 2 9" xfId="4445" xr:uid="{B479519E-1D09-4AFF-8671-C06F26294863}"/>
    <cellStyle name="Berechnung 3 3 3" xfId="1030" xr:uid="{E4F51C73-09EB-45C0-B21D-32183475DCD2}"/>
    <cellStyle name="Berechnung 3 3 4" xfId="1459" xr:uid="{34C49356-3A1C-4D18-A3EA-F2565E186B0F}"/>
    <cellStyle name="Berechnung 3 3 5" xfId="2253" xr:uid="{C1AE32E3-97DA-4045-813D-1781A3DB2613}"/>
    <cellStyle name="Berechnung 3 3 6" xfId="2707" xr:uid="{1AD56375-1EF8-49E1-8170-1D4F2210BD15}"/>
    <cellStyle name="Berechnung 3 3 7" xfId="3124" xr:uid="{000AA982-E442-44C0-877E-E33C5AD7EB64}"/>
    <cellStyle name="Berechnung 3 3 8" xfId="3537" xr:uid="{460F48A6-7D3D-462E-BAEB-244D2BE9922D}"/>
    <cellStyle name="Berechnung 3 3 9" xfId="3962" xr:uid="{BEC7D070-124E-455B-802C-8781B933E717}"/>
    <cellStyle name="Berechnung 3 4" xfId="559" xr:uid="{C1D579DD-4BDD-4624-A99F-B70BA3BFD76A}"/>
    <cellStyle name="Berechnung 3 4 10" xfId="3072" xr:uid="{403A2104-4A7C-4A39-AE41-309F4B0432A1}"/>
    <cellStyle name="Berechnung 3 4 11" xfId="4931" xr:uid="{E8C4266C-7DB0-4B65-B702-A249A549891B}"/>
    <cellStyle name="Berechnung 3 4 12" xfId="5295" xr:uid="{6C17EB45-1E6D-4EB1-AD88-1B01191EC925}"/>
    <cellStyle name="Berechnung 3 4 2" xfId="774" xr:uid="{BE8FA274-9556-468A-ABB6-CAAE53D4C79A}"/>
    <cellStyle name="Berechnung 3 4 2 10" xfId="5140" xr:uid="{DE2166A2-8B7E-4E0B-A42D-FE7B88797F00}"/>
    <cellStyle name="Berechnung 3 4 2 11" xfId="4775" xr:uid="{9F3DDA6E-9460-4C7C-B79E-1A560DEB57EC}"/>
    <cellStyle name="Berechnung 3 4 2 2" xfId="1248" xr:uid="{FA1F8FF4-5367-4983-89E7-253C28EA72D9}"/>
    <cellStyle name="Berechnung 3 4 2 3" xfId="1483" xr:uid="{12F8FCEE-4196-4D38-A72A-CBD9D4879901}"/>
    <cellStyle name="Berechnung 3 4 2 4" xfId="2478" xr:uid="{08391B76-9D9A-4AB5-8922-318316795F78}"/>
    <cellStyle name="Berechnung 3 4 2 5" xfId="2932" xr:uid="{111A6BFD-57A3-4C22-BD0C-038B22590422}"/>
    <cellStyle name="Berechnung 3 4 2 6" xfId="3350" xr:uid="{D7504FCA-4BDB-4A50-9ACD-6C464B10E6F5}"/>
    <cellStyle name="Berechnung 3 4 2 7" xfId="3764" xr:uid="{FBD86A9B-B6A2-4C5A-9702-4904824BB1FA}"/>
    <cellStyle name="Berechnung 3 4 2 8" xfId="4187" xr:uid="{46DA3CA1-C06B-4978-9218-026DA37162E0}"/>
    <cellStyle name="Berechnung 3 4 2 9" xfId="4488" xr:uid="{1CAF7D6F-8173-4D3D-95FF-6561A9A2720F}"/>
    <cellStyle name="Berechnung 3 4 3" xfId="1042" xr:uid="{5EE0B672-A8BF-4216-8D37-C0A0A9D1A063}"/>
    <cellStyle name="Berechnung 3 4 4" xfId="1639" xr:uid="{57BEEC52-F235-4EF0-BC96-90205EB6FE69}"/>
    <cellStyle name="Berechnung 3 4 5" xfId="2265" xr:uid="{49A54A3F-CB05-48BD-94EF-932CD5F353E3}"/>
    <cellStyle name="Berechnung 3 4 6" xfId="2719" xr:uid="{E701274E-41CD-42B5-9776-92DE33BA3695}"/>
    <cellStyle name="Berechnung 3 4 7" xfId="3136" xr:uid="{AE010777-2001-4ECB-95F0-B19F9F02A49F}"/>
    <cellStyle name="Berechnung 3 4 8" xfId="3549" xr:uid="{A5A15D26-B447-4AD3-A30F-33B8016D024A}"/>
    <cellStyle name="Berechnung 3 4 9" xfId="3974" xr:uid="{D76A53C5-EF10-4D55-8834-A109A8BCBDFE}"/>
    <cellStyle name="Berechnung 3 5" xfId="697" xr:uid="{1588AF6A-6466-48F7-8DA4-FBF4323FA419}"/>
    <cellStyle name="Berechnung 3 5 10" xfId="5066" xr:uid="{4A590084-8890-49A1-913C-3C82B0C162E1}"/>
    <cellStyle name="Berechnung 3 5 11" xfId="5427" xr:uid="{F1724E60-04CD-47CA-9D97-1D1FA7E4F72D}"/>
    <cellStyle name="Berechnung 3 5 2" xfId="1175" xr:uid="{44CF3A92-4C86-4C77-9700-CA025382BBA2}"/>
    <cellStyle name="Berechnung 3 5 3" xfId="1714" xr:uid="{13A887E2-E287-4EB1-AAC5-33E9D2FF3917}"/>
    <cellStyle name="Berechnung 3 5 4" xfId="2401" xr:uid="{9EF9FE41-4A90-427F-9262-CA517F0175A7}"/>
    <cellStyle name="Berechnung 3 5 5" xfId="2855" xr:uid="{16DB9C46-536D-4273-9F2A-63627650A951}"/>
    <cellStyle name="Berechnung 3 5 6" xfId="3273" xr:uid="{44C15CEE-2D8B-4430-9B71-912446F1177F}"/>
    <cellStyle name="Berechnung 3 5 7" xfId="3687" xr:uid="{B2EEBDE3-8F8D-4E0C-A2D9-1CBE2E060423}"/>
    <cellStyle name="Berechnung 3 5 8" xfId="4111" xr:uid="{77EF0406-2D8C-4B89-A429-2034AF1B728E}"/>
    <cellStyle name="Berechnung 3 5 9" xfId="4311" xr:uid="{E486EBEB-A354-40A1-8CEA-38CFE2D32646}"/>
    <cellStyle name="Berechnung 3 6" xfId="949" xr:uid="{911D3748-7084-4B30-8A9E-CB213769BFF4}"/>
    <cellStyle name="Berechnung 3 7" xfId="2036" xr:uid="{4B69690A-ADC2-447F-8D7C-EA305E836A0D}"/>
    <cellStyle name="Berechnung 3 8" xfId="2058" xr:uid="{51F92CE8-4BE4-4493-8031-3D97D1BAC0D2}"/>
    <cellStyle name="Berechnung 3 9" xfId="1918" xr:uid="{46E2BCA5-DC5D-48EE-B31E-2E68DD8B50A3}"/>
    <cellStyle name="Berechnung 4" xfId="544" xr:uid="{C289F3BF-3211-4292-A4C5-5AA2C5BA2EE4}"/>
    <cellStyle name="Berechnung 4 10" xfId="4479" xr:uid="{DA20D8EC-B279-4B84-93B0-95B585C83EAD}"/>
    <cellStyle name="Berechnung 4 11" xfId="4916" xr:uid="{CF2B13D8-510B-4570-B731-CA2365FC3F74}"/>
    <cellStyle name="Berechnung 4 12" xfId="5382" xr:uid="{E975FD8F-9EEB-46F0-863A-9131C3661F9E}"/>
    <cellStyle name="Berechnung 4 2" xfId="759" xr:uid="{8F02ADF9-3393-4B7F-BB0E-0534E40F6DC6}"/>
    <cellStyle name="Berechnung 4 2 10" xfId="5125" xr:uid="{F0429782-5403-48EF-8919-668758DB8998}"/>
    <cellStyle name="Berechnung 4 2 11" xfId="4698" xr:uid="{BE711A13-CADD-410C-BF63-F36B0A2D0AF5}"/>
    <cellStyle name="Berechnung 4 2 2" xfId="1233" xr:uid="{47336F23-F050-4EA1-9CA8-F310082791A4}"/>
    <cellStyle name="Berechnung 4 2 3" xfId="1678" xr:uid="{E937D7A5-049F-46F8-983C-BF41340097F6}"/>
    <cellStyle name="Berechnung 4 2 4" xfId="2463" xr:uid="{49970136-0F8B-4C92-B50B-D4A24E44AD4F}"/>
    <cellStyle name="Berechnung 4 2 5" xfId="2917" xr:uid="{D0E1D702-5AC4-4392-8980-8F881926FD1E}"/>
    <cellStyle name="Berechnung 4 2 6" xfId="3335" xr:uid="{A12F3CE6-67FB-43E0-987D-C762F0099A16}"/>
    <cellStyle name="Berechnung 4 2 7" xfId="3749" xr:uid="{063F384D-468B-4686-8C02-D81FE886FD0C}"/>
    <cellStyle name="Berechnung 4 2 8" xfId="4172" xr:uid="{00B19DD2-9308-4FB0-B1AB-38CDC5BA2338}"/>
    <cellStyle name="Berechnung 4 2 9" xfId="2107" xr:uid="{6EAEEA73-1F36-419C-B80F-8FDEB19616DB}"/>
    <cellStyle name="Berechnung 4 3" xfId="1027" xr:uid="{3A62575E-1B21-495C-A027-C4A577A1FD1F}"/>
    <cellStyle name="Berechnung 4 4" xfId="1569" xr:uid="{242705ED-DB09-4123-A15C-C52C338CB765}"/>
    <cellStyle name="Berechnung 4 5" xfId="2250" xr:uid="{94DC76F0-FB32-46AA-BA0C-116DD02E41A8}"/>
    <cellStyle name="Berechnung 4 6" xfId="2704" xr:uid="{8491BD8A-377F-478D-BF7A-7DFCA78C006C}"/>
    <cellStyle name="Berechnung 4 7" xfId="3121" xr:uid="{B07AD662-0D5B-46AD-864F-9E71B4EC575F}"/>
    <cellStyle name="Berechnung 4 8" xfId="3534" xr:uid="{77E4242E-5DAA-4DBE-9090-2F9CD08686A3}"/>
    <cellStyle name="Berechnung 4 9" xfId="3959" xr:uid="{874B3F02-04E2-4703-9296-719A81ACD414}"/>
    <cellStyle name="Berechnung 5" xfId="661" xr:uid="{633DCED2-BDBA-448A-8971-051DED064BB6}"/>
    <cellStyle name="Berechnung 5 10" xfId="2186" xr:uid="{CB249C73-489E-42CE-B9FF-ECC0E4556CE6}"/>
    <cellStyle name="Berechnung 5 11" xfId="5033" xr:uid="{82C94620-AC31-41D4-80DB-614B2AC7ED2E}"/>
    <cellStyle name="Berechnung 5 12" xfId="5428" xr:uid="{9207E701-4246-472F-83EF-3691D58CA745}"/>
    <cellStyle name="Berechnung 5 2" xfId="876" xr:uid="{8A97A420-F6D4-48B5-BD61-CBB26FC9567E}"/>
    <cellStyle name="Berechnung 5 2 10" xfId="5242" xr:uid="{7C67900C-59AA-4E67-9DFF-37CC0A4213DE}"/>
    <cellStyle name="Berechnung 5 2 11" xfId="5470" xr:uid="{8553B092-AC3D-4591-B2A6-F2A685C47059}"/>
    <cellStyle name="Berechnung 5 2 2" xfId="1350" xr:uid="{8102F17C-BADE-46F6-B564-67E2ED73229D}"/>
    <cellStyle name="Berechnung 5 2 3" xfId="1799" xr:uid="{8A75CD67-07E5-4E4A-9718-8EC44DB7A80F}"/>
    <cellStyle name="Berechnung 5 2 4" xfId="2580" xr:uid="{BA636E7E-F8BB-478C-9B71-34058A800D08}"/>
    <cellStyle name="Berechnung 5 2 5" xfId="3034" xr:uid="{06A3BCA9-0A70-4F06-9DB6-C771A11A66E5}"/>
    <cellStyle name="Berechnung 5 2 6" xfId="3452" xr:uid="{57240DF0-F438-4108-A723-AC1759A251AB}"/>
    <cellStyle name="Berechnung 5 2 7" xfId="3866" xr:uid="{59F88B38-C5F2-4061-8B5A-DB38CED7A7F4}"/>
    <cellStyle name="Berechnung 5 2 8" xfId="4289" xr:uid="{0565A2FB-D403-4EC2-B22E-5C585722808C}"/>
    <cellStyle name="Berechnung 5 2 9" xfId="4557" xr:uid="{E22FDD0A-0023-4AFF-A9FD-F0875B2CC883}"/>
    <cellStyle name="Berechnung 5 3" xfId="1144" xr:uid="{C984A2BB-7E49-40F0-AE3F-88C808C0F6AE}"/>
    <cellStyle name="Berechnung 5 4" xfId="1603" xr:uid="{CDB4666B-C4CE-4342-A1AE-82EFAA984AD1}"/>
    <cellStyle name="Berechnung 5 5" xfId="2367" xr:uid="{D9E7F50A-A88E-4C77-B427-17C27A4397CE}"/>
    <cellStyle name="Berechnung 5 6" xfId="2821" xr:uid="{078F21DE-A7F1-4424-AD35-870FF3EEA241}"/>
    <cellStyle name="Berechnung 5 7" xfId="3238" xr:uid="{F08B71E6-27A4-406D-86BE-5165BB4548EF}"/>
    <cellStyle name="Berechnung 5 8" xfId="3651" xr:uid="{3C4C7327-E5E4-44AC-8721-1CF888805F60}"/>
    <cellStyle name="Berechnung 5 9" xfId="4076" xr:uid="{B24C785D-65E6-490B-8AFF-4A27F27D1177}"/>
    <cellStyle name="Berechnung 6" xfId="673" xr:uid="{553BD92C-09CF-4A86-8032-4C07658E7F9B}"/>
    <cellStyle name="Berechnung 6 10" xfId="4113" xr:uid="{BA26621C-EC1B-4B4C-8DDA-8BA548236849}"/>
    <cellStyle name="Berechnung 6 11" xfId="5044" xr:uid="{C69BA333-A4CC-4AD8-BC85-530C2D9A3117}"/>
    <cellStyle name="Berechnung 6 12" xfId="5324" xr:uid="{A83A00E1-9044-4902-9EC9-65AB0863AD77}"/>
    <cellStyle name="Berechnung 6 2" xfId="887" xr:uid="{C5768A61-DD4E-45F5-AC7D-2491783DA12F}"/>
    <cellStyle name="Berechnung 6 2 10" xfId="5253" xr:uid="{9032CD18-D0EF-4DEA-9614-564C8A5C98B4}"/>
    <cellStyle name="Berechnung 6 2 11" xfId="5481" xr:uid="{0FA56E76-BA36-4191-A8AC-D4DA1EE63868}"/>
    <cellStyle name="Berechnung 6 2 2" xfId="1361" xr:uid="{24242F7D-09E2-4AE2-BCC9-F2386FFD6A20}"/>
    <cellStyle name="Berechnung 6 2 3" xfId="1810" xr:uid="{8CB4F4D4-1DD4-433C-BB3D-D98024DCC420}"/>
    <cellStyle name="Berechnung 6 2 4" xfId="2591" xr:uid="{92FFA41D-2BAC-4787-B63C-DBE24590FA00}"/>
    <cellStyle name="Berechnung 6 2 5" xfId="3045" xr:uid="{B63A62C6-E493-4814-AE8D-59C9BFB7C559}"/>
    <cellStyle name="Berechnung 6 2 6" xfId="3463" xr:uid="{8A078444-BD4B-4EEE-AFBA-085CFD3122E7}"/>
    <cellStyle name="Berechnung 6 2 7" xfId="3877" xr:uid="{2BE7276F-9884-42D7-8EAE-FCF3510F1E04}"/>
    <cellStyle name="Berechnung 6 2 8" xfId="4300" xr:uid="{F1DB6646-9CA4-4C85-A5AD-191240256AA2}"/>
    <cellStyle name="Berechnung 6 2 9" xfId="4568" xr:uid="{3ABB5463-FE64-4C57-A464-9CFBF52FAFCA}"/>
    <cellStyle name="Berechnung 6 3" xfId="1155" xr:uid="{E5EB41FC-42C1-4B40-BB86-D66235FA2547}"/>
    <cellStyle name="Berechnung 6 4" xfId="1575" xr:uid="{2CC35F24-C180-4C14-AC74-0A088DB9D136}"/>
    <cellStyle name="Berechnung 6 5" xfId="2378" xr:uid="{040C0907-2623-4D18-81C8-40CE6DF41523}"/>
    <cellStyle name="Berechnung 6 6" xfId="2833" xr:uid="{4E6E1233-E8A4-49C0-8CD3-8344A6136AB1}"/>
    <cellStyle name="Berechnung 6 7" xfId="3249" xr:uid="{C8BB4876-CE4B-400B-8885-43ECC1034408}"/>
    <cellStyle name="Berechnung 6 8" xfId="3663" xr:uid="{EA8F8972-7225-470E-BDF5-F55153A91959}"/>
    <cellStyle name="Berechnung 6 9" xfId="4088" xr:uid="{099DBFC6-F1AD-41B0-9615-74612936131C}"/>
    <cellStyle name="Berechnung 7" xfId="679" xr:uid="{A6F7BE7D-6A7B-42C3-BDCD-E9BE3A53765B}"/>
    <cellStyle name="Berechnung 7 10" xfId="5050" xr:uid="{3C47FE7F-DC17-416F-B832-19B390B3B4A0}"/>
    <cellStyle name="Berechnung 7 11" xfId="4852" xr:uid="{1075A7FA-9121-4B30-B603-98C1A042E1C6}"/>
    <cellStyle name="Berechnung 7 2" xfId="1161" xr:uid="{01B2D9E5-4317-46BA-8EC8-245FD8C40189}"/>
    <cellStyle name="Berechnung 7 3" xfId="1645" xr:uid="{66B9EEFF-33AD-48DA-8DA7-CBF3CBF8E334}"/>
    <cellStyle name="Berechnung 7 4" xfId="2384" xr:uid="{549B1803-4712-440F-AC46-83764C8B2337}"/>
    <cellStyle name="Berechnung 7 5" xfId="2839" xr:uid="{0818EDE3-F7EA-4E15-AC34-1EDA47922E33}"/>
    <cellStyle name="Berechnung 7 6" xfId="3255" xr:uid="{841E73BC-59B3-4D63-B266-0327924EA935}"/>
    <cellStyle name="Berechnung 7 7" xfId="3669" xr:uid="{2FECCE67-49C8-4F38-A3D1-483006CEC347}"/>
    <cellStyle name="Berechnung 7 8" xfId="4094" xr:uid="{26AB3DAA-CC8C-4DAA-9EAF-5FAF09341619}"/>
    <cellStyle name="Berechnung 7 9" xfId="3909" xr:uid="{D318AF9F-0196-48AD-ADF8-FCEDB680CC55}"/>
    <cellStyle name="Bold GHG Numbers (0.00)" xfId="127" xr:uid="{AF4F3139-A41C-4DE8-9349-59F43EBA2C67}"/>
    <cellStyle name="Calculation 2" xfId="128" xr:uid="{A7F54E66-FF3F-458A-AEFD-DC100D58B610}"/>
    <cellStyle name="Calculation 2 10" xfId="1984" xr:uid="{302C56F4-A7D3-443E-9525-F7706ED88011}"/>
    <cellStyle name="Calculation 2 11" xfId="3272" xr:uid="{D9EBC67C-40C8-4595-BB42-7C1B549717DB}"/>
    <cellStyle name="Calculation 2 12" xfId="4644" xr:uid="{66530601-935D-486B-BE86-973B296EC55C}"/>
    <cellStyle name="Calculation 2 13" xfId="5405" xr:uid="{255D9A94-C21D-412F-9A8A-50DA1DB4BA78}"/>
    <cellStyle name="Calculation 2 2" xfId="546" xr:uid="{D8204885-9C46-4CE8-9D61-633B8064BA01}"/>
    <cellStyle name="Calculation 2 2 10" xfId="2625" xr:uid="{7AB38CF0-3AB0-4F00-B3E7-6A7D15AE2E1F}"/>
    <cellStyle name="Calculation 2 2 11" xfId="4918" xr:uid="{3757B2C7-902C-4BD1-B4B9-E88F4DF7AD82}"/>
    <cellStyle name="Calculation 2 2 12" xfId="5450" xr:uid="{FCB72B88-CB57-4C36-97E6-AFE05F7D5BD9}"/>
    <cellStyle name="Calculation 2 2 2" xfId="761" xr:uid="{2BF0D9C5-3B92-4FD6-B897-C6D1C95E3090}"/>
    <cellStyle name="Calculation 2 2 2 10" xfId="5127" xr:uid="{8B5D03D4-4226-4526-B009-772A757849BC}"/>
    <cellStyle name="Calculation 2 2 2 11" xfId="4817" xr:uid="{9D3A5FBB-E742-486C-9AEF-DBEBF711D1EB}"/>
    <cellStyle name="Calculation 2 2 2 2" xfId="1235" xr:uid="{29E79964-8D8C-49A0-A201-73DC2B95ED84}"/>
    <cellStyle name="Calculation 2 2 2 3" xfId="1665" xr:uid="{4CFB13A1-9EE5-4D5B-B0FE-409ADC7DDDBF}"/>
    <cellStyle name="Calculation 2 2 2 4" xfId="2465" xr:uid="{1A5227BA-25BF-4EAA-9889-3F104136A8D7}"/>
    <cellStyle name="Calculation 2 2 2 5" xfId="2919" xr:uid="{67BF7B43-D117-41C5-97D8-CE604355865A}"/>
    <cellStyle name="Calculation 2 2 2 6" xfId="3337" xr:uid="{BDDA7D07-6B30-42CB-A11F-992F334686D3}"/>
    <cellStyle name="Calculation 2 2 2 7" xfId="3751" xr:uid="{1C881760-9C94-441B-A975-367C0C15EDEF}"/>
    <cellStyle name="Calculation 2 2 2 8" xfId="4174" xr:uid="{BA5B0CF2-C68B-4F4F-90CC-F8ADAC94855C}"/>
    <cellStyle name="Calculation 2 2 2 9" xfId="4452" xr:uid="{3D50D5BC-2100-4722-B39E-3E11443F2EF0}"/>
    <cellStyle name="Calculation 2 2 3" xfId="1029" xr:uid="{A0BDC880-8E48-4F10-85D5-E30975099AB7}"/>
    <cellStyle name="Calculation 2 2 4" xfId="1460" xr:uid="{4A190D3D-8432-4C67-85BE-AA660D010A43}"/>
    <cellStyle name="Calculation 2 2 5" xfId="2252" xr:uid="{6BB24C20-5D9C-4705-B148-8379034119F3}"/>
    <cellStyle name="Calculation 2 2 6" xfId="2706" xr:uid="{6F9A52F3-25CD-4565-9B45-A6EC4DE2AA4C}"/>
    <cellStyle name="Calculation 2 2 7" xfId="3123" xr:uid="{21A32DF4-FDFB-453C-AA3D-C3DF5CFC631D}"/>
    <cellStyle name="Calculation 2 2 8" xfId="3536" xr:uid="{90489E86-C013-4B76-964E-9A127DF02569}"/>
    <cellStyle name="Calculation 2 2 9" xfId="3961" xr:uid="{4955F46E-7476-4B63-8C22-56607E717B70}"/>
    <cellStyle name="Calculation 2 3" xfId="630" xr:uid="{6A93680B-2502-4EDA-8A0A-2767782BE42D}"/>
    <cellStyle name="Calculation 2 3 10" xfId="2011" xr:uid="{759755A1-F7E3-4BCA-83E7-8919383734AA}"/>
    <cellStyle name="Calculation 2 3 11" xfId="5002" xr:uid="{EFFE8FA2-0D25-4A1D-9759-BB46893C0FD8}"/>
    <cellStyle name="Calculation 2 3 12" xfId="5325" xr:uid="{F3F8ED1A-D79B-4C62-B97B-EC0F3DCCA409}"/>
    <cellStyle name="Calculation 2 3 2" xfId="845" xr:uid="{A4C59DBA-40D3-4F10-8AE8-BCC48A25D5E0}"/>
    <cellStyle name="Calculation 2 3 2 10" xfId="5211" xr:uid="{09559F03-4611-4265-89CB-8C0E1225ABF7}"/>
    <cellStyle name="Calculation 2 3 2 11" xfId="4778" xr:uid="{35344C31-6B6F-41DB-9A80-ADDBA7CF31B3}"/>
    <cellStyle name="Calculation 2 3 2 2" xfId="1319" xr:uid="{E780ABBE-8CB5-4AF9-9E3D-EDCC3AF3AECA}"/>
    <cellStyle name="Calculation 2 3 2 3" xfId="1768" xr:uid="{2D9C44CB-3EB0-40E1-837F-540B2E1D65B1}"/>
    <cellStyle name="Calculation 2 3 2 4" xfId="2549" xr:uid="{5953E2EA-786C-4242-BAC4-A126BECDAD69}"/>
    <cellStyle name="Calculation 2 3 2 5" xfId="3003" xr:uid="{66DEA2D8-06A4-4DBF-819F-9CF80528594E}"/>
    <cellStyle name="Calculation 2 3 2 6" xfId="3421" xr:uid="{A8670B13-8D10-4F8F-B62B-A2D3A7C68136}"/>
    <cellStyle name="Calculation 2 3 2 7" xfId="3835" xr:uid="{5757C1FB-1444-408D-95EB-15FD3476CB8A}"/>
    <cellStyle name="Calculation 2 3 2 8" xfId="4258" xr:uid="{0AAF3860-3588-4CC2-93CE-1F989808C2C6}"/>
    <cellStyle name="Calculation 2 3 2 9" xfId="3481" xr:uid="{6C3CEF50-10ED-47B8-A4E9-5D6A96018541}"/>
    <cellStyle name="Calculation 2 3 3" xfId="1113" xr:uid="{AC5FDFC7-2764-4D53-AE54-666A47AD0E27}"/>
    <cellStyle name="Calculation 2 3 4" xfId="1625" xr:uid="{D00E7D68-37C5-4E3E-8AB3-9BA35F39F2C8}"/>
    <cellStyle name="Calculation 2 3 5" xfId="2336" xr:uid="{128EEF49-927B-47F4-96E0-20B0DE3A8AC9}"/>
    <cellStyle name="Calculation 2 3 6" xfId="2790" xr:uid="{7257689D-5FC5-497F-99B5-C923E9E472D6}"/>
    <cellStyle name="Calculation 2 3 7" xfId="3207" xr:uid="{709B8015-A560-4F9A-AE75-C1E234485CAD}"/>
    <cellStyle name="Calculation 2 3 8" xfId="3620" xr:uid="{0018444D-B883-4200-B418-FB5A9FBC2594}"/>
    <cellStyle name="Calculation 2 3 9" xfId="4045" xr:uid="{6B7CF67E-1A4F-4C8A-ADE7-25ABD1103C71}"/>
    <cellStyle name="Calculation 2 4" xfId="536" xr:uid="{0A4F0BA1-EC83-495C-A89A-0166BC34894F}"/>
    <cellStyle name="Calculation 2 4 10" xfId="4315" xr:uid="{42E47179-CB28-40F7-BBEA-A00B19094C37}"/>
    <cellStyle name="Calculation 2 4 11" xfId="4908" xr:uid="{43594FF2-4104-42E7-8D3E-ED889EB020BA}"/>
    <cellStyle name="Calculation 2 4 12" xfId="5401" xr:uid="{CDEA3634-7069-4BBA-977B-1777A53A7D3B}"/>
    <cellStyle name="Calculation 2 4 2" xfId="751" xr:uid="{96636321-6367-4944-AFDD-41591D55BC36}"/>
    <cellStyle name="Calculation 2 4 2 10" xfId="5117" xr:uid="{6473C1D7-69E1-4561-9D98-5A68197FDB6B}"/>
    <cellStyle name="Calculation 2 4 2 11" xfId="4755" xr:uid="{14E25935-E6FC-4935-B444-EBBC11187EB6}"/>
    <cellStyle name="Calculation 2 4 2 2" xfId="1225" xr:uid="{D4999D57-D933-4A9D-97FA-51086329746E}"/>
    <cellStyle name="Calculation 2 4 2 3" xfId="1566" xr:uid="{C31B5FCD-7901-4C16-B5B2-2D6DEC5FC9A6}"/>
    <cellStyle name="Calculation 2 4 2 4" xfId="2455" xr:uid="{DA47C44F-F433-4F90-B059-753940020A0C}"/>
    <cellStyle name="Calculation 2 4 2 5" xfId="2909" xr:uid="{8E269680-03A6-4C7F-8DAB-14BF81A49C4A}"/>
    <cellStyle name="Calculation 2 4 2 6" xfId="3327" xr:uid="{A1002A2E-BDA3-406B-83FD-30E77FE2E68E}"/>
    <cellStyle name="Calculation 2 4 2 7" xfId="3741" xr:uid="{65CA550B-0995-49D1-B915-DD2A23BC3CFB}"/>
    <cellStyle name="Calculation 2 4 2 8" xfId="4164" xr:uid="{40C1E32A-DC98-45DC-BCD8-383691C47EA7}"/>
    <cellStyle name="Calculation 2 4 2 9" xfId="4335" xr:uid="{DDFF511E-02CD-4756-9E09-92E1E5096A6F}"/>
    <cellStyle name="Calculation 2 4 3" xfId="1019" xr:uid="{C63B8546-D96F-48DB-B118-5FC8EA1A1EE6}"/>
    <cellStyle name="Calculation 2 4 4" xfId="1734" xr:uid="{BB3DA9DA-596E-4DD8-BCDA-AD99C304F788}"/>
    <cellStyle name="Calculation 2 4 5" xfId="2242" xr:uid="{E3A338D6-DE53-400A-ACDD-B0E89CAD6D46}"/>
    <cellStyle name="Calculation 2 4 6" xfId="2696" xr:uid="{E9CC4B78-C84B-48DD-B9E0-29ADBD72CDA9}"/>
    <cellStyle name="Calculation 2 4 7" xfId="3113" xr:uid="{E313B2C7-8CF6-47E8-894D-99191C45412E}"/>
    <cellStyle name="Calculation 2 4 8" xfId="3526" xr:uid="{98AEA644-0AD3-4666-AB8B-7B4361862E0D}"/>
    <cellStyle name="Calculation 2 4 9" xfId="3951" xr:uid="{881C7F6D-B297-4E27-99B4-72902EDD2EB6}"/>
    <cellStyle name="Calculation 2 5" xfId="680" xr:uid="{1FD51641-A477-4197-BB50-9B562D5FA0E2}"/>
    <cellStyle name="Calculation 2 5 10" xfId="5051" xr:uid="{6B337CF0-5DD0-445B-A34C-36C792F6C0D8}"/>
    <cellStyle name="Calculation 2 5 11" xfId="4685" xr:uid="{D9D62CFA-8B82-4EB1-886D-0CF1F9462189}"/>
    <cellStyle name="Calculation 2 5 2" xfId="1162" xr:uid="{FD637FA3-0E4D-44F0-AEEC-48D124371F7C}"/>
    <cellStyle name="Calculation 2 5 3" xfId="1691" xr:uid="{3D990B40-6A6B-47E0-8D7C-933DC148B76C}"/>
    <cellStyle name="Calculation 2 5 4" xfId="2385" xr:uid="{7D579E8C-7829-4115-998C-A6F5336902E1}"/>
    <cellStyle name="Calculation 2 5 5" xfId="2840" xr:uid="{37520F54-450A-4C52-B714-F17EE3D3C33E}"/>
    <cellStyle name="Calculation 2 5 6" xfId="3256" xr:uid="{B4F342AE-8177-4E7A-93D9-5A6EE94A748C}"/>
    <cellStyle name="Calculation 2 5 7" xfId="3670" xr:uid="{3495CACA-3806-43A7-B2C8-9ED1D9FAC533}"/>
    <cellStyle name="Calculation 2 5 8" xfId="4095" xr:uid="{F53C0A61-8017-43A8-ABE3-2D7473CAE689}"/>
    <cellStyle name="Calculation 2 5 9" xfId="2116" xr:uid="{EBD25714-851A-4940-B3B2-064488E2EB00}"/>
    <cellStyle name="Calculation 2 6" xfId="922" xr:uid="{F2B0C46A-F7DF-4A97-981A-C8F3BBF68E68}"/>
    <cellStyle name="Calculation 2 7" xfId="1931" xr:uid="{80950894-9E73-40D3-90C4-CCBB9CA442D5}"/>
    <cellStyle name="Calculation 2 8" xfId="1914" xr:uid="{AEE72554-9991-4062-B93D-9E4EDCCA6255}"/>
    <cellStyle name="Calculation 2 9" xfId="3060" xr:uid="{071D80F8-1B5C-4466-BFA5-CF5F46339F22}"/>
    <cellStyle name="Calculation 3" xfId="224" xr:uid="{7CC603C8-0934-40F1-A409-7749A27836A5}"/>
    <cellStyle name="Calculation 3 10" xfId="2615" xr:uid="{32BB13B8-65DD-4673-ACCE-7D1131A6DBB7}"/>
    <cellStyle name="Calculation 3 11" xfId="4476" xr:uid="{F21D9645-E780-40C5-B667-98E556860739}"/>
    <cellStyle name="Calculation 3 12" xfId="4694" xr:uid="{D89C6E8E-80F6-4E4B-980D-573591AD1102}"/>
    <cellStyle name="Calculation 3 13" xfId="4681" xr:uid="{945CB610-E502-4E93-9D71-171049A6C5DA}"/>
    <cellStyle name="Calculation 3 2" xfId="585" xr:uid="{B7E20417-1D05-4ECE-BF93-F4865C8BC1F8}"/>
    <cellStyle name="Calculation 3 2 10" xfId="2067" xr:uid="{613C44EE-DA32-44F6-9A9E-27112B7D3CBA}"/>
    <cellStyle name="Calculation 3 2 11" xfId="4957" xr:uid="{27690BC7-53FB-4CE6-BB69-ED97E69DB641}"/>
    <cellStyle name="Calculation 3 2 12" xfId="5446" xr:uid="{D46A92D5-8E68-4435-83A5-9F35098F38A8}"/>
    <cellStyle name="Calculation 3 2 2" xfId="800" xr:uid="{D4C2923A-9037-46AF-803A-965C4CF2491E}"/>
    <cellStyle name="Calculation 3 2 2 10" xfId="5166" xr:uid="{40C70542-C957-4361-BD24-C327F53300A5}"/>
    <cellStyle name="Calculation 3 2 2 11" xfId="4627" xr:uid="{8419A32E-213E-4451-8BA8-8B77467B7909}"/>
    <cellStyle name="Calculation 3 2 2 2" xfId="1274" xr:uid="{5B9DD25A-3309-4DA2-BF7D-22409913EFF9}"/>
    <cellStyle name="Calculation 3 2 2 3" xfId="1739" xr:uid="{90C28846-E497-4745-9933-04A6B77B0157}"/>
    <cellStyle name="Calculation 3 2 2 4" xfId="2504" xr:uid="{D6190920-91AD-4542-816D-2494FE5B5034}"/>
    <cellStyle name="Calculation 3 2 2 5" xfId="2958" xr:uid="{1CCA74C3-4133-40B1-A7C9-7F1875C1C29F}"/>
    <cellStyle name="Calculation 3 2 2 6" xfId="3376" xr:uid="{83429C53-2E89-4341-81B5-108D5F7158D1}"/>
    <cellStyle name="Calculation 3 2 2 7" xfId="3790" xr:uid="{9293F8EB-F496-4006-830E-8FCFB5C35C30}"/>
    <cellStyle name="Calculation 3 2 2 8" xfId="4213" xr:uid="{8AFFBA30-BAFE-48BD-A20C-4783A026CAB9}"/>
    <cellStyle name="Calculation 3 2 2 9" xfId="4461" xr:uid="{CF8B727C-864B-4904-B2BC-AAD73D47A9FC}"/>
    <cellStyle name="Calculation 3 2 3" xfId="1068" xr:uid="{FB5190E5-8FA9-4B2A-84A1-03E3AA6B217A}"/>
    <cellStyle name="Calculation 3 2 4" xfId="1637" xr:uid="{52B87108-D8F8-4D94-B9C1-67F66429FBE4}"/>
    <cellStyle name="Calculation 3 2 5" xfId="2291" xr:uid="{D0730B19-1BA3-4CCC-927B-0674657206A1}"/>
    <cellStyle name="Calculation 3 2 6" xfId="2745" xr:uid="{20244872-20ED-40E2-BA95-27A82B3D7BFC}"/>
    <cellStyle name="Calculation 3 2 7" xfId="3162" xr:uid="{A7D0590A-A7A9-42C4-8AF0-7D092FA34A84}"/>
    <cellStyle name="Calculation 3 2 8" xfId="3575" xr:uid="{55E63927-11C1-4347-8A7D-9D1C7F2172B5}"/>
    <cellStyle name="Calculation 3 2 9" xfId="4000" xr:uid="{7826BAC1-666B-4F89-8BB9-1BD2FD2D14FC}"/>
    <cellStyle name="Calculation 3 3" xfId="571" xr:uid="{47B293E2-9A58-4145-AC73-93D7370EB312}"/>
    <cellStyle name="Calculation 3 3 10" xfId="4529" xr:uid="{5DEB534F-F76E-4769-981E-EB061753A9F4}"/>
    <cellStyle name="Calculation 3 3 11" xfId="4943" xr:uid="{1965B7D7-FA3E-4464-A61F-A74D27829AE6}"/>
    <cellStyle name="Calculation 3 3 12" xfId="4850" xr:uid="{A53C8B34-24D3-4347-97F4-1575F4DE0CC4}"/>
    <cellStyle name="Calculation 3 3 2" xfId="786" xr:uid="{86883983-473B-42F1-AFD1-2213E829769A}"/>
    <cellStyle name="Calculation 3 3 2 10" xfId="5152" xr:uid="{88B18A99-F1A2-48AC-8A38-03AE9D61E887}"/>
    <cellStyle name="Calculation 3 3 2 11" xfId="4825" xr:uid="{31ED27EF-999E-47C3-9B64-2ABA62DE460A}"/>
    <cellStyle name="Calculation 3 3 2 2" xfId="1260" xr:uid="{5428DB73-94C0-4C28-94F1-A0D85A5FC42C}"/>
    <cellStyle name="Calculation 3 3 2 3" xfId="1509" xr:uid="{5E5F387A-E4E1-48B4-8892-CAF5D1BB6D86}"/>
    <cellStyle name="Calculation 3 3 2 4" xfId="2490" xr:uid="{F6554454-A167-4251-A4DD-7DED2A46E4EC}"/>
    <cellStyle name="Calculation 3 3 2 5" xfId="2944" xr:uid="{A163B962-E9E6-4393-9A4E-6B7715D031A2}"/>
    <cellStyle name="Calculation 3 3 2 6" xfId="3362" xr:uid="{8E749EC0-FC73-4D78-9E65-31555BC05514}"/>
    <cellStyle name="Calculation 3 3 2 7" xfId="3776" xr:uid="{33F4F630-C5BE-479B-A5C5-1F76BF06EAAF}"/>
    <cellStyle name="Calculation 3 3 2 8" xfId="4199" xr:uid="{67DA5B2F-F066-4456-B86D-150EA5902A6F}"/>
    <cellStyle name="Calculation 3 3 2 9" xfId="4316" xr:uid="{37ECC535-F487-4766-98DD-DACA3826CEC6}"/>
    <cellStyle name="Calculation 3 3 3" xfId="1054" xr:uid="{1DF0777A-C8E9-4AEC-B9C5-72A4089CDC43}"/>
    <cellStyle name="Calculation 3 3 4" xfId="1640" xr:uid="{67512E99-8D27-4CE3-862E-61FEC6619FC4}"/>
    <cellStyle name="Calculation 3 3 5" xfId="2277" xr:uid="{386F1771-BAFB-49D5-A827-125498133187}"/>
    <cellStyle name="Calculation 3 3 6" xfId="2731" xr:uid="{163A5F89-8A81-412F-B466-892453FDA8FC}"/>
    <cellStyle name="Calculation 3 3 7" xfId="3148" xr:uid="{D2C116A6-1455-4D5C-9760-393CB4CD1101}"/>
    <cellStyle name="Calculation 3 3 8" xfId="3561" xr:uid="{B47A3120-EEA0-4463-A5BE-1AF8A28DCB7F}"/>
    <cellStyle name="Calculation 3 3 9" xfId="3986" xr:uid="{20B7086E-24CC-4FD0-8926-EC195C3D3369}"/>
    <cellStyle name="Calculation 3 4" xfId="655" xr:uid="{AD57E26F-FB49-4D52-A22E-FAC08101EFE6}"/>
    <cellStyle name="Calculation 3 4 10" xfId="2061" xr:uid="{E054B60A-E2DB-4861-A462-5F600BEED36C}"/>
    <cellStyle name="Calculation 3 4 11" xfId="5027" xr:uid="{7103B5AA-80CB-4FCC-8B57-C95289DDC2A6}"/>
    <cellStyle name="Calculation 3 4 12" xfId="4587" xr:uid="{E1B3CEC1-8F93-4FFF-BBFD-75D377FB8B3D}"/>
    <cellStyle name="Calculation 3 4 2" xfId="870" xr:uid="{45BB7E29-35A5-4298-9FD9-F4237D878813}"/>
    <cellStyle name="Calculation 3 4 2 10" xfId="5236" xr:uid="{480F8071-DA1E-4038-ACCF-34452C57B881}"/>
    <cellStyle name="Calculation 3 4 2 11" xfId="5464" xr:uid="{E0BCC054-CD46-4662-BF4F-B5DE7AB4A365}"/>
    <cellStyle name="Calculation 3 4 2 2" xfId="1344" xr:uid="{102D85C3-EC86-4B0B-92D5-2B323B7E00FF}"/>
    <cellStyle name="Calculation 3 4 2 3" xfId="1793" xr:uid="{E83F17C9-7E33-422E-A025-053E42915165}"/>
    <cellStyle name="Calculation 3 4 2 4" xfId="2574" xr:uid="{468616C2-A6E1-4B88-87BE-A40991BDF80C}"/>
    <cellStyle name="Calculation 3 4 2 5" xfId="3028" xr:uid="{6FE24A08-26AC-4E36-A7AA-9D9614FF0997}"/>
    <cellStyle name="Calculation 3 4 2 6" xfId="3446" xr:uid="{D9B32295-731B-45CD-8190-4C94EC97D9BA}"/>
    <cellStyle name="Calculation 3 4 2 7" xfId="3860" xr:uid="{AC89F4AC-91D0-42DD-8BB5-2CB87E2D9E42}"/>
    <cellStyle name="Calculation 3 4 2 8" xfId="4283" xr:uid="{88B98BD3-5DAC-4774-8B67-2E46422AB587}"/>
    <cellStyle name="Calculation 3 4 2 9" xfId="4551" xr:uid="{C636B505-24A5-424F-B031-DC22EB2CAD8C}"/>
    <cellStyle name="Calculation 3 4 3" xfId="1138" xr:uid="{459AE279-B791-42B0-ACB2-12CDD281D39B}"/>
    <cellStyle name="Calculation 3 4 4" xfId="1658" xr:uid="{9B06B757-5DF9-4B87-8947-F3B00CFF3180}"/>
    <cellStyle name="Calculation 3 4 5" xfId="2361" xr:uid="{4B513C3D-D227-40E0-A504-A6625686BB0A}"/>
    <cellStyle name="Calculation 3 4 6" xfId="2815" xr:uid="{B0830B21-EAEF-4023-9464-5B389C1ED2F9}"/>
    <cellStyle name="Calculation 3 4 7" xfId="3232" xr:uid="{CA0B7D87-2FA1-425F-A5FC-8AC087BCC4D3}"/>
    <cellStyle name="Calculation 3 4 8" xfId="3645" xr:uid="{F3FEB871-EA68-402E-A5BB-B8D3EEAA5CFF}"/>
    <cellStyle name="Calculation 3 4 9" xfId="4070" xr:uid="{F7DB5C14-8F95-480E-BEC7-40079EA1A9E5}"/>
    <cellStyle name="Calculation 3 5" xfId="688" xr:uid="{DE655A7D-BEF3-4FF4-82BF-553AA895B9C7}"/>
    <cellStyle name="Calculation 3 5 10" xfId="5059" xr:uid="{7B8A25C3-0CBC-43B2-B25E-42FBD180D241}"/>
    <cellStyle name="Calculation 3 5 11" xfId="4639" xr:uid="{4726B3DB-E6DE-4879-B0CA-5B04DA1A88EE}"/>
    <cellStyle name="Calculation 3 5 2" xfId="1170" xr:uid="{683970E6-F1D4-4096-8523-D5C2F1F3DC90}"/>
    <cellStyle name="Calculation 3 5 3" xfId="1573" xr:uid="{DF9F3820-F3B2-4CAF-992E-AB7E9084FD49}"/>
    <cellStyle name="Calculation 3 5 4" xfId="2393" xr:uid="{29743F1D-386B-41CC-81D9-CADE82A7C580}"/>
    <cellStyle name="Calculation 3 5 5" xfId="2848" xr:uid="{8D84EE2C-D51F-44B5-A530-92AC5FD43455}"/>
    <cellStyle name="Calculation 3 5 6" xfId="3264" xr:uid="{07E14B6D-4164-491B-A37E-46FD9B6203A1}"/>
    <cellStyle name="Calculation 3 5 7" xfId="3678" xr:uid="{4906A70F-48BA-4F8F-95FF-6B450929C03B}"/>
    <cellStyle name="Calculation 3 5 8" xfId="4103" xr:uid="{A98079F3-7D53-4CD7-940F-828224B916BA}"/>
    <cellStyle name="Calculation 3 5 9" xfId="2617" xr:uid="{6AF8136D-6A90-4B2E-A8B9-BC4C446915F0}"/>
    <cellStyle name="Calculation 3 6" xfId="931" xr:uid="{28CBB560-554C-4D6C-BD24-87E65811A2AE}"/>
    <cellStyle name="Calculation 3 7" xfId="1998" xr:uid="{D86C5561-7CDE-4C3F-9537-36C492E30B84}"/>
    <cellStyle name="Calculation 3 8" xfId="1897" xr:uid="{2663CC91-93D3-4C4B-8EA0-162AFCD0368A}"/>
    <cellStyle name="Calculation 3 9" xfId="1972" xr:uid="{4F77DA7F-CE3F-4338-9D40-D267A2F52489}"/>
    <cellStyle name="Check Cell 2" xfId="129" xr:uid="{79483D8E-513F-4DB1-BF29-853343C2494F}"/>
    <cellStyle name="Check Cell 3" xfId="225" xr:uid="{E477068E-4560-4A0E-B991-E07214E949B4}"/>
    <cellStyle name="Check Cell 4" xfId="369" xr:uid="{9DF9B213-8952-4C18-9AB4-8BCCD06306D6}"/>
    <cellStyle name="Comma 2" xfId="130" xr:uid="{1545E949-3CFB-4382-AEEE-D1031EB03D5C}"/>
    <cellStyle name="Comma 2 2" xfId="131" xr:uid="{8D4742FE-5F36-42EE-9E62-3F23ABA43F36}"/>
    <cellStyle name="Comma 2 2 2" xfId="414" xr:uid="{32FFFB01-8755-4F19-9385-E2B560C7DBE5}"/>
    <cellStyle name="Comma 2 2 2 2" xfId="2146" xr:uid="{D33FC317-4AAA-4D35-820A-48CBE9C1781A}"/>
    <cellStyle name="Comma 2 2 3" xfId="1934" xr:uid="{7EFA4A07-A361-4DBD-8108-68659BC0A86A}"/>
    <cellStyle name="Comma 2 3" xfId="923" xr:uid="{D60CE049-CFB1-4C7A-9DAC-457E1E114BC3}"/>
    <cellStyle name="Comma 2 4" xfId="1463" xr:uid="{949A2C60-3883-4AC2-9115-C45CDF789425}"/>
    <cellStyle name="Comma 2 5" xfId="1933" xr:uid="{BE9607D7-B812-4F33-89E9-3052F993F6ED}"/>
    <cellStyle name="Comma 2 6" xfId="4646" xr:uid="{57D2821D-E977-48F5-9950-F51AC4C56C67}"/>
    <cellStyle name="Comma 3" xfId="132" xr:uid="{DDB661F3-7A5A-4975-8D54-BCFB2A9D6FB6}"/>
    <cellStyle name="Comma 3 2" xfId="924" xr:uid="{D55083D6-E8BD-4C8D-B56D-F0E0969DBD81}"/>
    <cellStyle name="Comma 3 3" xfId="1464" xr:uid="{7F62A00C-0E51-467E-9861-585A9D696817}"/>
    <cellStyle name="Comma 3 4" xfId="1935" xr:uid="{B691383F-4AB9-427A-BD6A-DF097FFA2E09}"/>
    <cellStyle name="Comma 3 5" xfId="4648" xr:uid="{0B72D2FA-9267-45C7-84A5-18074B08534E}"/>
    <cellStyle name="Constants" xfId="4" xr:uid="{3CCE1965-6943-4F5D-9A24-F83BD0A893DB}"/>
    <cellStyle name="ContentsHyperlink" xfId="241" xr:uid="{4A22FF18-773C-47B9-A385-4EE9ACA9C243}"/>
    <cellStyle name="CustomCellsOrange" xfId="133" xr:uid="{1A991E50-DEC8-4118-8ADF-64EBCEC1BEAB}"/>
    <cellStyle name="CustomCellsOrange 2" xfId="415" xr:uid="{9AFDADCB-00DC-43D8-9232-ACF43DD5F108}"/>
    <cellStyle name="CustomCellsOrange 2 2" xfId="438" xr:uid="{0D54616B-9E66-41CC-9B39-BCEDA10FCF89}"/>
    <cellStyle name="CustomCellsOrange 2 2 10" xfId="2191" xr:uid="{E53BA149-9821-4C2C-A064-A66069E84880}"/>
    <cellStyle name="CustomCellsOrange 2 2 11" xfId="2652" xr:uid="{D63FB3DB-7519-4DEF-AA79-9F0B36BE4170}"/>
    <cellStyle name="CustomCellsOrange 2 2 12" xfId="3885" xr:uid="{AE95C2F8-57C4-4C2D-AE38-B51092D13EEE}"/>
    <cellStyle name="CustomCellsOrange 2 2 13" xfId="1832" xr:uid="{B9CDC58C-008C-43F4-80CE-E6051693980E}"/>
    <cellStyle name="CustomCellsOrange 2 2 14" xfId="4843" xr:uid="{25FAA42A-B587-43AE-9804-B42A8A7E11ED}"/>
    <cellStyle name="CustomCellsOrange 2 2 15" xfId="5380" xr:uid="{5A67AFF1-44DD-4AD1-A410-5D43EACAF387}"/>
    <cellStyle name="CustomCellsOrange 2 2 2" xfId="508" xr:uid="{8A5B0D91-8EC9-457C-94D8-8CF38409F24C}"/>
    <cellStyle name="CustomCellsOrange 2 2 2 2" xfId="674" xr:uid="{E3A04BFD-BA19-44DA-96EF-AC85439AFDB4}"/>
    <cellStyle name="CustomCellsOrange 2 2 2 2 10" xfId="4480" xr:uid="{CD558E10-EC3B-4DE5-9695-3E84784F998C}"/>
    <cellStyle name="CustomCellsOrange 2 2 2 2 11" xfId="5045" xr:uid="{17301D83-44F5-471F-849B-1A3D0D5161F3}"/>
    <cellStyle name="CustomCellsOrange 2 2 2 2 12" xfId="4637" xr:uid="{055D921F-87A8-4D7F-8A4F-E2D3504223ED}"/>
    <cellStyle name="CustomCellsOrange 2 2 2 2 2" xfId="888" xr:uid="{45CA78C0-BC68-4867-B648-8689B09D4825}"/>
    <cellStyle name="CustomCellsOrange 2 2 2 2 2 10" xfId="5254" xr:uid="{06976960-F849-44DD-867D-99BC1E066FF5}"/>
    <cellStyle name="CustomCellsOrange 2 2 2 2 2 11" xfId="5482" xr:uid="{F357C633-BBF1-40C4-899C-FDA52E30CEA7}"/>
    <cellStyle name="CustomCellsOrange 2 2 2 2 2 2" xfId="1362" xr:uid="{12A85A89-469A-4382-82E1-5D0F5E52683B}"/>
    <cellStyle name="CustomCellsOrange 2 2 2 2 2 3" xfId="1811" xr:uid="{9A858654-C28C-4289-8BB6-82006280EE02}"/>
    <cellStyle name="CustomCellsOrange 2 2 2 2 2 4" xfId="2592" xr:uid="{D45D683F-6AC3-42B5-8D3D-A47975FD548D}"/>
    <cellStyle name="CustomCellsOrange 2 2 2 2 2 5" xfId="3046" xr:uid="{9122346B-3617-42C3-8055-96293369A942}"/>
    <cellStyle name="CustomCellsOrange 2 2 2 2 2 6" xfId="3464" xr:uid="{C2290FBF-71A1-4371-9DE3-FB478F2A35D3}"/>
    <cellStyle name="CustomCellsOrange 2 2 2 2 2 7" xfId="3878" xr:uid="{82A9ED70-0AB1-4140-8EDB-122976CED771}"/>
    <cellStyle name="CustomCellsOrange 2 2 2 2 2 8" xfId="4301" xr:uid="{C32AB0F9-8908-4539-A31E-06F81F258265}"/>
    <cellStyle name="CustomCellsOrange 2 2 2 2 2 9" xfId="4569" xr:uid="{48F6D7A4-9A5B-45B7-9A84-7448C6706F25}"/>
    <cellStyle name="CustomCellsOrange 2 2 2 2 3" xfId="1156" xr:uid="{C44A1B28-4C4A-4653-AE9B-47CBE1A7FBD3}"/>
    <cellStyle name="CustomCellsOrange 2 2 2 2 4" xfId="1451" xr:uid="{EFB6391A-B16E-4FAB-96B5-E4AA9FE92EFA}"/>
    <cellStyle name="CustomCellsOrange 2 2 2 2 5" xfId="2379" xr:uid="{A43B923C-FE19-4865-8A12-0774605C8776}"/>
    <cellStyle name="CustomCellsOrange 2 2 2 2 6" xfId="2834" xr:uid="{CC855312-3DB8-45C8-BFDF-77BE09F66A4D}"/>
    <cellStyle name="CustomCellsOrange 2 2 2 2 7" xfId="3250" xr:uid="{1E188129-6417-49BA-905C-F52CE48AFEE4}"/>
    <cellStyle name="CustomCellsOrange 2 2 2 2 8" xfId="3664" xr:uid="{BCE05306-CCB7-4DD7-A9C5-91A2BD46A781}"/>
    <cellStyle name="CustomCellsOrange 2 2 2 2 9" xfId="4089" xr:uid="{294E4B69-B6E2-4EF0-9104-FA21573293A5}"/>
    <cellStyle name="CustomCellsOrange 2 2 3" xfId="657" xr:uid="{D2E2A9EA-EC87-404E-BA8F-C804C90F6EA5}"/>
    <cellStyle name="CustomCellsOrange 2 2 3 10" xfId="3478" xr:uid="{2BD556D4-8CCD-4E6B-AB2F-9494E816AEC0}"/>
    <cellStyle name="CustomCellsOrange 2 2 3 11" xfId="5029" xr:uid="{F23E8797-D814-49C5-814E-9B00BD33F347}"/>
    <cellStyle name="CustomCellsOrange 2 2 3 12" xfId="5407" xr:uid="{BB265159-D5D4-4B75-8E12-965128EC5DDA}"/>
    <cellStyle name="CustomCellsOrange 2 2 3 2" xfId="872" xr:uid="{F05925EB-DE48-40BB-A7C1-1CFCC0D631D3}"/>
    <cellStyle name="CustomCellsOrange 2 2 3 2 10" xfId="5238" xr:uid="{CED2E21F-6543-4E46-97B1-965F6FD1A950}"/>
    <cellStyle name="CustomCellsOrange 2 2 3 2 11" xfId="5466" xr:uid="{542D6D12-C2F8-4D15-A32B-4FAA4545ECBF}"/>
    <cellStyle name="CustomCellsOrange 2 2 3 2 2" xfId="1346" xr:uid="{4DFBB30B-974E-4D74-87B9-904E41DDA08D}"/>
    <cellStyle name="CustomCellsOrange 2 2 3 2 3" xfId="1795" xr:uid="{CFF5F931-D2FC-4A2D-A5E9-86C07F5ED9DE}"/>
    <cellStyle name="CustomCellsOrange 2 2 3 2 4" xfId="2576" xr:uid="{DA26D02C-21E0-49E2-8D71-5044461D84F0}"/>
    <cellStyle name="CustomCellsOrange 2 2 3 2 5" xfId="3030" xr:uid="{8F5F6545-E439-473D-B2C2-57E8E5D2D857}"/>
    <cellStyle name="CustomCellsOrange 2 2 3 2 6" xfId="3448" xr:uid="{F2A8B0CB-9AD1-463F-91D0-C06C8377E0BB}"/>
    <cellStyle name="CustomCellsOrange 2 2 3 2 7" xfId="3862" xr:uid="{6B3C7F32-D658-47C2-A2FB-D5FDD03D526E}"/>
    <cellStyle name="CustomCellsOrange 2 2 3 2 8" xfId="4285" xr:uid="{67643D81-C352-4E5F-8736-B60D17FCA624}"/>
    <cellStyle name="CustomCellsOrange 2 2 3 2 9" xfId="4553" xr:uid="{8C03BAF0-2D36-4E5C-9AE1-CDF32757B1F7}"/>
    <cellStyle name="CustomCellsOrange 2 2 3 3" xfId="1140" xr:uid="{80085533-0DCA-4411-B05D-EDB63702C67C}"/>
    <cellStyle name="CustomCellsOrange 2 2 3 4" xfId="1631" xr:uid="{492C5FA0-02EA-45B4-A173-E3EAF320DB5F}"/>
    <cellStyle name="CustomCellsOrange 2 2 3 5" xfId="2363" xr:uid="{C5FDF17E-C1F2-49BA-B958-07372A2A1D4E}"/>
    <cellStyle name="CustomCellsOrange 2 2 3 6" xfId="2817" xr:uid="{DDD48F92-0D6A-4F62-A932-1F46C50077BF}"/>
    <cellStyle name="CustomCellsOrange 2 2 3 7" xfId="3234" xr:uid="{880D50D5-0340-47AB-BA29-1A5510E86FD8}"/>
    <cellStyle name="CustomCellsOrange 2 2 3 8" xfId="3647" xr:uid="{D5AD0767-D6F9-4E9A-A69B-3071789DD0DD}"/>
    <cellStyle name="CustomCellsOrange 2 2 3 9" xfId="4072" xr:uid="{89B9C397-EF09-42FF-A362-78C638E0368A}"/>
    <cellStyle name="CustomCellsOrange 2 2 4" xfId="575" xr:uid="{34248D70-35E3-40BD-893D-E0F5236443BA}"/>
    <cellStyle name="CustomCellsOrange 2 2 4 10" xfId="4361" xr:uid="{B03A2FE2-119D-41D3-BAC7-D8DF4A65F1A0}"/>
    <cellStyle name="CustomCellsOrange 2 2 4 11" xfId="4947" xr:uid="{0BC9091F-0518-40AF-AB71-E346D6593B3F}"/>
    <cellStyle name="CustomCellsOrange 2 2 4 12" xfId="4840" xr:uid="{5725CF06-3C0A-4969-89C2-6297DE809367}"/>
    <cellStyle name="CustomCellsOrange 2 2 4 2" xfId="790" xr:uid="{14B1C7DB-95F8-4D4F-A7C3-0F66A89608B2}"/>
    <cellStyle name="CustomCellsOrange 2 2 4 2 10" xfId="5156" xr:uid="{D32910C5-111F-4EF3-8979-D3DF3C484854}"/>
    <cellStyle name="CustomCellsOrange 2 2 4 2 11" xfId="4713" xr:uid="{CA5363A4-5C52-4F66-BED0-6FBC139A17C6}"/>
    <cellStyle name="CustomCellsOrange 2 2 4 2 2" xfId="1264" xr:uid="{14A01E9C-E057-46AA-AD72-7EB34C6F3AD6}"/>
    <cellStyle name="CustomCellsOrange 2 2 4 2 3" xfId="1507" xr:uid="{C2B80DD7-3924-4E63-B091-C2C7076A10BB}"/>
    <cellStyle name="CustomCellsOrange 2 2 4 2 4" xfId="2494" xr:uid="{CB675FE3-4BBF-4F62-BD25-DEE337623700}"/>
    <cellStyle name="CustomCellsOrange 2 2 4 2 5" xfId="2948" xr:uid="{42AE2964-0E0E-420F-8C68-ADB4BCABCE72}"/>
    <cellStyle name="CustomCellsOrange 2 2 4 2 6" xfId="3366" xr:uid="{FEBBA5DD-BFC3-407E-9C10-236387C351C6}"/>
    <cellStyle name="CustomCellsOrange 2 2 4 2 7" xfId="3780" xr:uid="{9E61F575-1168-4510-B831-63E8B50F5702}"/>
    <cellStyle name="CustomCellsOrange 2 2 4 2 8" xfId="4203" xr:uid="{154E9558-4166-445A-8993-6A658EA2C875}"/>
    <cellStyle name="CustomCellsOrange 2 2 4 2 9" xfId="3892" xr:uid="{F9710629-D1BA-494C-9C46-CFC89D8ACBA8}"/>
    <cellStyle name="CustomCellsOrange 2 2 4 3" xfId="1058" xr:uid="{356EAA67-41E0-4492-A889-E884B1D3DED3}"/>
    <cellStyle name="CustomCellsOrange 2 2 4 4" xfId="1583" xr:uid="{5A2FABDA-4DE9-4ECD-898D-5EF8B36D6B32}"/>
    <cellStyle name="CustomCellsOrange 2 2 4 5" xfId="2281" xr:uid="{EC52B9B6-0FB4-4344-8FEE-9FD7E641AF39}"/>
    <cellStyle name="CustomCellsOrange 2 2 4 6" xfId="2735" xr:uid="{2256A983-CD67-4F34-927D-D40D6E443C9D}"/>
    <cellStyle name="CustomCellsOrange 2 2 4 7" xfId="3152" xr:uid="{2265AC7D-6945-4397-B193-D8AB6635540D}"/>
    <cellStyle name="CustomCellsOrange 2 2 4 8" xfId="3565" xr:uid="{583CF715-724A-424B-8BAD-2B53FBF6F3D8}"/>
    <cellStyle name="CustomCellsOrange 2 2 4 9" xfId="3990" xr:uid="{452A81FC-3D99-4B0C-94D3-CE6E3DA3F178}"/>
    <cellStyle name="CustomCellsOrange 2 2 5" xfId="676" xr:uid="{AD6EF736-E706-47C9-B6AE-09F74EC2560C}"/>
    <cellStyle name="CustomCellsOrange 2 2 5 10" xfId="4337" xr:uid="{EE1EB664-24CE-4E0E-9540-14A6D2FD0A63}"/>
    <cellStyle name="CustomCellsOrange 2 2 5 11" xfId="5047" xr:uid="{648C8A5A-B9D7-483A-8C66-915C2ED9304A}"/>
    <cellStyle name="CustomCellsOrange 2 2 5 12" xfId="5388" xr:uid="{ADAD65EF-38A8-48F1-9732-0C8D0675F9A7}"/>
    <cellStyle name="CustomCellsOrange 2 2 5 2" xfId="890" xr:uid="{3B185886-D5DF-4B1C-AAA8-F7B77EF7A0D8}"/>
    <cellStyle name="CustomCellsOrange 2 2 5 2 10" xfId="5256" xr:uid="{42621F97-3366-4354-9F6C-F5D6A5356143}"/>
    <cellStyle name="CustomCellsOrange 2 2 5 2 11" xfId="5484" xr:uid="{43E0950F-502F-4A6E-B61D-A5A24ECB4849}"/>
    <cellStyle name="CustomCellsOrange 2 2 5 2 2" xfId="1364" xr:uid="{2382D999-46AE-43C3-9D07-89AD346B63AA}"/>
    <cellStyle name="CustomCellsOrange 2 2 5 2 3" xfId="1813" xr:uid="{6254AB3B-38F0-4107-9F15-86133CC72E0C}"/>
    <cellStyle name="CustomCellsOrange 2 2 5 2 4" xfId="2594" xr:uid="{A74E45B0-2083-4D8E-A89E-6A82B1E55838}"/>
    <cellStyle name="CustomCellsOrange 2 2 5 2 5" xfId="3048" xr:uid="{5A46BC37-7D09-43C8-B949-F51E63535AF5}"/>
    <cellStyle name="CustomCellsOrange 2 2 5 2 6" xfId="3466" xr:uid="{D53B87B9-6CC0-4EE7-9FBE-2C1490BAB23F}"/>
    <cellStyle name="CustomCellsOrange 2 2 5 2 7" xfId="3880" xr:uid="{FA7B61A7-E3C4-4C83-9739-915390B527EF}"/>
    <cellStyle name="CustomCellsOrange 2 2 5 2 8" xfId="4303" xr:uid="{859C1F2E-0F74-4CC4-A0DC-83595ECDCF98}"/>
    <cellStyle name="CustomCellsOrange 2 2 5 2 9" xfId="4571" xr:uid="{6C8534ED-E7DE-450A-ABAB-51D59F905868}"/>
    <cellStyle name="CustomCellsOrange 2 2 5 3" xfId="1158" xr:uid="{F68486E1-7118-4078-BD92-2F90E3E49BEE}"/>
    <cellStyle name="CustomCellsOrange 2 2 5 4" xfId="1375" xr:uid="{09558129-E268-4CA0-8F28-F5344BA96C94}"/>
    <cellStyle name="CustomCellsOrange 2 2 5 5" xfId="2381" xr:uid="{6D595D45-6AD9-4315-AFE8-3538B626A90E}"/>
    <cellStyle name="CustomCellsOrange 2 2 5 6" xfId="2836" xr:uid="{FE3BE75B-8B1A-4B89-BE40-599599A3D998}"/>
    <cellStyle name="CustomCellsOrange 2 2 5 7" xfId="3252" xr:uid="{8E4B4D89-6A79-429C-9C7D-90C66A7C71AF}"/>
    <cellStyle name="CustomCellsOrange 2 2 5 8" xfId="3666" xr:uid="{8D20E086-CDDC-4F18-9765-BC47C98744A1}"/>
    <cellStyle name="CustomCellsOrange 2 2 5 9" xfId="4091" xr:uid="{EF4CB6D9-6AB6-4D3B-8F03-BB54CB3810F6}"/>
    <cellStyle name="CustomCellsOrange 2 2 6" xfId="983" xr:uid="{08949393-0845-40DC-8E7B-88218493B908}"/>
    <cellStyle name="CustomCellsOrange 2 2 7" xfId="1676" xr:uid="{38B6C08C-224A-4818-B070-41E56117A571}"/>
    <cellStyle name="CustomCellsOrange 2 2 8" xfId="2164" xr:uid="{319EE289-0F15-4CF4-AE2E-A7D4AAC6339C}"/>
    <cellStyle name="CustomCellsOrange 2 2 9" xfId="2626" xr:uid="{DFE1BE8B-2B81-4289-ADA5-F97A3C7ECDD9}"/>
    <cellStyle name="CustomCellsOrange 3" xfId="273" xr:uid="{B46DB08A-F0D9-4532-8D2E-F1E8BAF62251}"/>
    <cellStyle name="CustomCellsOrange 3 10" xfId="1830" xr:uid="{01F9E051-BEF6-41B2-9080-8C3BACEAD241}"/>
    <cellStyle name="CustomCellsOrange 3 11" xfId="2209" xr:uid="{F36E5E10-F4E4-4BC0-939B-6CCEA4165141}"/>
    <cellStyle name="CustomCellsOrange 3 12" xfId="2063" xr:uid="{56C1EA1F-69C9-467C-9BD3-A8BC604889A6}"/>
    <cellStyle name="CustomCellsOrange 3 13" xfId="4532" xr:uid="{1F85387C-822D-4435-B20F-294A7E3BC87F}"/>
    <cellStyle name="CustomCellsOrange 3 14" xfId="4737" xr:uid="{97508E24-99B0-4D07-9461-1275306FAE4C}"/>
    <cellStyle name="CustomCellsOrange 3 15" xfId="5261" xr:uid="{CD578465-B952-46EE-A268-6E0CDF8072FB}"/>
    <cellStyle name="CustomCellsOrange 3 2" xfId="612" xr:uid="{9284A752-E1E3-4975-8A0B-512B08788A80}"/>
    <cellStyle name="CustomCellsOrange 3 2 10" xfId="3471" xr:uid="{D8751EFB-2FF9-4199-AC57-4D30658110AE}"/>
    <cellStyle name="CustomCellsOrange 3 2 11" xfId="4984" xr:uid="{242428E0-E149-40C1-87C1-23224EC71F25}"/>
    <cellStyle name="CustomCellsOrange 3 2 12" xfId="5364" xr:uid="{58E254A1-B6FB-47A4-ACFC-F40A0FED4CE2}"/>
    <cellStyle name="CustomCellsOrange 3 2 2" xfId="827" xr:uid="{6640F02C-9456-4DCC-BCC1-CD589AF180FB}"/>
    <cellStyle name="CustomCellsOrange 3 2 2 10" xfId="5193" xr:uid="{F3BA9C21-78F1-4B28-9A84-383EA43106D8}"/>
    <cellStyle name="CustomCellsOrange 3 2 2 11" xfId="4649" xr:uid="{91F33DE9-DC84-4E90-9203-CEAE92BFF918}"/>
    <cellStyle name="CustomCellsOrange 3 2 2 2" xfId="1301" xr:uid="{62BFC60C-FD5B-4390-BC29-D542D9717156}"/>
    <cellStyle name="CustomCellsOrange 3 2 2 3" xfId="1502" xr:uid="{678DBD40-343D-473A-8EB1-A8AD09F1A1BF}"/>
    <cellStyle name="CustomCellsOrange 3 2 2 4" xfId="2531" xr:uid="{9CB6A58D-96A4-43A3-AF91-5B1C3D756E9F}"/>
    <cellStyle name="CustomCellsOrange 3 2 2 5" xfId="2985" xr:uid="{1E962367-9C1C-4F89-BE35-2BB4A4D866FA}"/>
    <cellStyle name="CustomCellsOrange 3 2 2 6" xfId="3403" xr:uid="{76198F43-6402-487D-9478-C3B58DD90C85}"/>
    <cellStyle name="CustomCellsOrange 3 2 2 7" xfId="3817" xr:uid="{A1C925AF-AA64-4940-BBF2-1EE7A8DFC554}"/>
    <cellStyle name="CustomCellsOrange 3 2 2 8" xfId="4240" xr:uid="{3F25C26B-A89E-42B9-BD85-A56ABE549AC2}"/>
    <cellStyle name="CustomCellsOrange 3 2 2 9" xfId="2634" xr:uid="{3FF90799-78E1-41F1-8B79-AF93FE72599B}"/>
    <cellStyle name="CustomCellsOrange 3 2 3" xfId="1095" xr:uid="{7959D67D-C5DC-4879-9F7D-BA810F108F85}"/>
    <cellStyle name="CustomCellsOrange 3 2 4" xfId="1755" xr:uid="{BCD820F2-9EA3-4CB8-A4EE-033C326CA99A}"/>
    <cellStyle name="CustomCellsOrange 3 2 5" xfId="2318" xr:uid="{3AE8E8C0-5328-49F8-B77B-E5636A48D87D}"/>
    <cellStyle name="CustomCellsOrange 3 2 6" xfId="2772" xr:uid="{3C41281C-4450-4DD3-9AAC-2CBDDF028238}"/>
    <cellStyle name="CustomCellsOrange 3 2 7" xfId="3189" xr:uid="{1B946B6A-BAEB-46BB-ACE9-5FA94F204C79}"/>
    <cellStyle name="CustomCellsOrange 3 2 8" xfId="3602" xr:uid="{30094B0C-7BCC-4651-94DA-A697B9F2A9C3}"/>
    <cellStyle name="CustomCellsOrange 3 2 9" xfId="4027" xr:uid="{B8AE802E-4CCD-4386-87BF-030A28238FEB}"/>
    <cellStyle name="CustomCellsOrange 3 3" xfId="545" xr:uid="{66DB7E48-0FA5-46FC-BBD9-D2BAD618C92C}"/>
    <cellStyle name="CustomCellsOrange 3 3 10" xfId="3901" xr:uid="{57A7EA82-C183-4BAD-88D3-0DC87503A3B0}"/>
    <cellStyle name="CustomCellsOrange 3 3 11" xfId="4917" xr:uid="{6BF3BEC2-951C-4FFC-9987-FAFF98DF3627}"/>
    <cellStyle name="CustomCellsOrange 3 3 12" xfId="5281" xr:uid="{3DE25DAF-DB94-4A04-A586-79AA31B2ED20}"/>
    <cellStyle name="CustomCellsOrange 3 3 2" xfId="760" xr:uid="{79B3952F-E060-4F1A-AC1F-EE7BF5C56043}"/>
    <cellStyle name="CustomCellsOrange 3 3 2 10" xfId="5126" xr:uid="{AD8B4148-B90E-4F6E-82BD-9606B4F98507}"/>
    <cellStyle name="CustomCellsOrange 3 3 2 11" xfId="4858" xr:uid="{05DD8EC1-98FA-4168-AD9F-DC6A212AF1B0}"/>
    <cellStyle name="CustomCellsOrange 3 3 2 2" xfId="1234" xr:uid="{539C94DA-6CE2-4B29-A288-8A07C2FF6F32}"/>
    <cellStyle name="CustomCellsOrange 3 3 2 3" xfId="1756" xr:uid="{6622E19C-2597-4A70-B44B-1F56F4B37582}"/>
    <cellStyle name="CustomCellsOrange 3 3 2 4" xfId="2464" xr:uid="{B5256F3F-1FB0-4A92-85B6-27E6EBD620E9}"/>
    <cellStyle name="CustomCellsOrange 3 3 2 5" xfId="2918" xr:uid="{139F2092-FDCB-4C16-A7D8-C22AA97A96FF}"/>
    <cellStyle name="CustomCellsOrange 3 3 2 6" xfId="3336" xr:uid="{2A7EC697-7128-49AB-A5CC-DA0A0A970664}"/>
    <cellStyle name="CustomCellsOrange 3 3 2 7" xfId="3750" xr:uid="{14B2D789-2933-4FED-82F4-88CE398D2880}"/>
    <cellStyle name="CustomCellsOrange 3 3 2 8" xfId="4173" xr:uid="{BF55FC2D-DBD6-4A0C-AD35-6EADB415BCEE}"/>
    <cellStyle name="CustomCellsOrange 3 3 2 9" xfId="4455" xr:uid="{DB868F37-FA83-4AFE-BD86-325BBB62340C}"/>
    <cellStyle name="CustomCellsOrange 3 3 3" xfId="1028" xr:uid="{92C6D0A0-A2DC-43D3-A90B-6BB65139BE89}"/>
    <cellStyle name="CustomCellsOrange 3 3 4" xfId="1461" xr:uid="{71325798-D382-4C3D-9706-28939F4E1CBD}"/>
    <cellStyle name="CustomCellsOrange 3 3 5" xfId="2251" xr:uid="{05B5541B-9185-412C-B103-406B3E893121}"/>
    <cellStyle name="CustomCellsOrange 3 3 6" xfId="2705" xr:uid="{97F90908-98FF-41F9-8668-681AAAB79EC9}"/>
    <cellStyle name="CustomCellsOrange 3 3 7" xfId="3122" xr:uid="{87AE79EE-C00C-41D3-AC9B-F72DA0522067}"/>
    <cellStyle name="CustomCellsOrange 3 3 8" xfId="3535" xr:uid="{41D38451-16E4-461E-9D90-DB650484DE71}"/>
    <cellStyle name="CustomCellsOrange 3 3 9" xfId="3960" xr:uid="{50004D79-1437-497E-9E2B-4EFB31A08020}"/>
    <cellStyle name="CustomCellsOrange 3 4" xfId="558" xr:uid="{DFB20C87-2AE0-4352-8447-D5E437290F71}"/>
    <cellStyle name="CustomCellsOrange 3 4 10" xfId="4318" xr:uid="{530B5A4B-1C75-4D38-9E42-EEF527C536AC}"/>
    <cellStyle name="CustomCellsOrange 3 4 11" xfId="4930" xr:uid="{E6338718-0D62-44D9-B7B4-FDB265C6E4E7}"/>
    <cellStyle name="CustomCellsOrange 3 4 12" xfId="5397" xr:uid="{14689061-A970-4123-B859-7965B40BA182}"/>
    <cellStyle name="CustomCellsOrange 3 4 2" xfId="773" xr:uid="{8C47A215-F1FB-45A7-92CF-FAD03AE41B26}"/>
    <cellStyle name="CustomCellsOrange 3 4 2 10" xfId="5139" xr:uid="{16501924-633A-467D-A9B0-6AA0CF208206}"/>
    <cellStyle name="CustomCellsOrange 3 4 2 11" xfId="4700" xr:uid="{547BB0EA-ED2A-4076-9C0D-D3BCBE02EC9A}"/>
    <cellStyle name="CustomCellsOrange 3 4 2 2" xfId="1247" xr:uid="{550C9A66-D853-4046-832F-7468D44BDBD7}"/>
    <cellStyle name="CustomCellsOrange 3 4 2 3" xfId="1430" xr:uid="{660D0E89-F3C8-4D63-8823-001B86300B3E}"/>
    <cellStyle name="CustomCellsOrange 3 4 2 4" xfId="2477" xr:uid="{59CBBC41-7A7A-4124-B8A3-DDBD4B4D52E0}"/>
    <cellStyle name="CustomCellsOrange 3 4 2 5" xfId="2931" xr:uid="{72EAA72C-3A66-4A1C-A29C-7536059F0F38}"/>
    <cellStyle name="CustomCellsOrange 3 4 2 6" xfId="3349" xr:uid="{E9C2C82E-3133-4014-B4AC-A0C2D09D79DE}"/>
    <cellStyle name="CustomCellsOrange 3 4 2 7" xfId="3763" xr:uid="{79651FC5-24AF-498F-BDC5-7087D963FCEE}"/>
    <cellStyle name="CustomCellsOrange 3 4 2 8" xfId="4186" xr:uid="{54EF4C0A-3E93-46BE-9457-2562CAF87F83}"/>
    <cellStyle name="CustomCellsOrange 3 4 2 9" xfId="1995" xr:uid="{91C54C99-5CF2-4B6C-8CDB-1B3F1B633663}"/>
    <cellStyle name="CustomCellsOrange 3 4 3" xfId="1041" xr:uid="{E6BCC2BF-2A9F-43F9-B671-0E599EC4C5EE}"/>
    <cellStyle name="CustomCellsOrange 3 4 4" xfId="1731" xr:uid="{9DFD7FB4-F6C0-4BA1-ADC5-7D2F196FC65E}"/>
    <cellStyle name="CustomCellsOrange 3 4 5" xfId="2264" xr:uid="{CD4A928E-1A38-47E9-AE73-6904BC7475BD}"/>
    <cellStyle name="CustomCellsOrange 3 4 6" xfId="2718" xr:uid="{35817A2E-08A2-4C01-B462-231C19CDBAF7}"/>
    <cellStyle name="CustomCellsOrange 3 4 7" xfId="3135" xr:uid="{2283D2C0-4C68-4ED1-B598-5B1455207023}"/>
    <cellStyle name="CustomCellsOrange 3 4 8" xfId="3548" xr:uid="{2C567000-38E7-41C9-966C-E6D437A9138E}"/>
    <cellStyle name="CustomCellsOrange 3 4 9" xfId="3973" xr:uid="{3919B0EC-106C-465F-BEC0-B9A4BB5F4D0C}"/>
    <cellStyle name="CustomCellsOrange 3 5" xfId="698" xr:uid="{0BAD9F6D-2003-4D19-82FF-6AA7AA69633A}"/>
    <cellStyle name="CustomCellsOrange 3 5 2" xfId="3688" xr:uid="{BC6EBA66-5DFE-4723-8C86-DD2DF36EF282}"/>
    <cellStyle name="CustomCellsOrange 3 6" xfId="950" xr:uid="{7690B3D0-A6A2-4728-97CD-26AE61EEBC33}"/>
    <cellStyle name="CustomCellsOrange 3 7" xfId="1531" xr:uid="{6C0D69CD-3E8A-42BB-AF0B-57DBB61F4DFE}"/>
    <cellStyle name="CustomCellsOrange 3 8" xfId="2037" xr:uid="{D1852A40-BCA8-4536-AC24-166A20C4FA61}"/>
    <cellStyle name="CustomCellsOrange 3 9" xfId="1834" xr:uid="{C0276426-A297-4BEE-946A-31A7C69FB6FA}"/>
    <cellStyle name="CustomizationCells" xfId="18" xr:uid="{BB1BF6A0-41DF-4ECB-B37E-C587182EDBE9}"/>
    <cellStyle name="CustomizationCells 2" xfId="416" xr:uid="{7B2B2E70-3683-4C50-AC50-40F5A32EEFC2}"/>
    <cellStyle name="CustomizationCells 2 2" xfId="439" xr:uid="{5DD9343C-0046-4073-995C-93F641632190}"/>
    <cellStyle name="CustomizationCells 2 2 10" xfId="2001" xr:uid="{23EF1C7F-80C6-4FCB-B934-64D685F2781C}"/>
    <cellStyle name="CustomizationCells 2 2 11" xfId="1851" xr:uid="{3389935C-58F3-4A4F-8051-C13ECD7A9774}"/>
    <cellStyle name="CustomizationCells 2 2 12" xfId="3886" xr:uid="{4AE04B6F-030D-44DA-9EB6-8DE6DA0DC3A5}"/>
    <cellStyle name="CustomizationCells 2 2 13" xfId="2004" xr:uid="{0F13963B-0C92-47E6-91EA-8595AA06E298}"/>
    <cellStyle name="CustomizationCells 2 2 14" xfId="4844" xr:uid="{4327A0E3-8109-4999-9900-64E74817545C}"/>
    <cellStyle name="CustomizationCells 2 2 15" xfId="5395" xr:uid="{EF4CF171-0D3B-405A-AE0F-4266F6DF8CC8}"/>
    <cellStyle name="CustomizationCells 2 2 2" xfId="509" xr:uid="{9B3AD15B-07C6-4128-A0BA-72C4796F7B78}"/>
    <cellStyle name="CustomizationCells 2 2 2 2" xfId="675" xr:uid="{26DE474B-833E-4BAA-896E-4FAB67DD4634}"/>
    <cellStyle name="CustomizationCells 2 2 2 2 10" xfId="2074" xr:uid="{BD436778-35E3-4369-92CA-B36AF44B0C1B}"/>
    <cellStyle name="CustomizationCells 2 2 2 2 11" xfId="5046" xr:uid="{5643839C-21CE-470A-84E9-5BDE71B4377E}"/>
    <cellStyle name="CustomizationCells 2 2 2 2 12" xfId="5377" xr:uid="{E1F34AD6-B8CD-4528-8942-BDAB1EDCA344}"/>
    <cellStyle name="CustomizationCells 2 2 2 2 2" xfId="889" xr:uid="{3983CAD1-B8BC-4387-A7C1-9F8D670E6DAA}"/>
    <cellStyle name="CustomizationCells 2 2 2 2 2 10" xfId="5255" xr:uid="{254430AA-13CF-4A41-982C-DF371753EBA2}"/>
    <cellStyle name="CustomizationCells 2 2 2 2 2 11" xfId="5483" xr:uid="{EFEDBC9A-FDA9-4291-B5BF-74016F634959}"/>
    <cellStyle name="CustomizationCells 2 2 2 2 2 2" xfId="1363" xr:uid="{49F68B3D-A270-4B79-9C76-D39EC8503213}"/>
    <cellStyle name="CustomizationCells 2 2 2 2 2 3" xfId="1812" xr:uid="{09066744-BFBE-427C-B791-3BDB896CE92B}"/>
    <cellStyle name="CustomizationCells 2 2 2 2 2 4" xfId="2593" xr:uid="{69DFB3E7-341B-4B95-AAD4-403960AF738C}"/>
    <cellStyle name="CustomizationCells 2 2 2 2 2 5" xfId="3047" xr:uid="{58E9A8E2-3510-4C89-A41E-CD588AB0CDBF}"/>
    <cellStyle name="CustomizationCells 2 2 2 2 2 6" xfId="3465" xr:uid="{7117879F-07EF-47BA-848F-3A2A5A25627D}"/>
    <cellStyle name="CustomizationCells 2 2 2 2 2 7" xfId="3879" xr:uid="{290199C5-6A5E-4926-9D96-9082B1F86FE5}"/>
    <cellStyle name="CustomizationCells 2 2 2 2 2 8" xfId="4302" xr:uid="{CD8F4A33-C325-48EB-A422-AB29642DEA72}"/>
    <cellStyle name="CustomizationCells 2 2 2 2 2 9" xfId="4570" xr:uid="{84E03B8A-71ED-48AD-9539-8515DC07DC92}"/>
    <cellStyle name="CustomizationCells 2 2 2 2 3" xfId="1157" xr:uid="{F275D878-7520-43CC-A687-16178C62691B}"/>
    <cellStyle name="CustomizationCells 2 2 2 2 4" xfId="1373" xr:uid="{961B170B-A677-4873-ACC2-DBBA2CB9E02D}"/>
    <cellStyle name="CustomizationCells 2 2 2 2 5" xfId="2380" xr:uid="{FE68B13A-8524-45E5-BCC7-135EA37F86AA}"/>
    <cellStyle name="CustomizationCells 2 2 2 2 6" xfId="2835" xr:uid="{322B59B6-8873-4BCE-ADA3-0887C8032382}"/>
    <cellStyle name="CustomizationCells 2 2 2 2 7" xfId="3251" xr:uid="{363571A5-619A-494E-8387-82BA45ACB9EE}"/>
    <cellStyle name="CustomizationCells 2 2 2 2 8" xfId="3665" xr:uid="{01EBC969-A3AB-4E71-AB8C-02DDEE20BF01}"/>
    <cellStyle name="CustomizationCells 2 2 2 2 9" xfId="4090" xr:uid="{B44F0008-F4F9-454C-A3C4-42BDD144F95B}"/>
    <cellStyle name="CustomizationCells 2 2 3" xfId="658" xr:uid="{C5A2AD11-AACC-4C4E-9F18-42F7DBA9699F}"/>
    <cellStyle name="CustomizationCells 2 2 3 10" xfId="3062" xr:uid="{78C2C92F-F29B-47DF-BA83-74B0EF349E78}"/>
    <cellStyle name="CustomizationCells 2 2 3 11" xfId="5030" xr:uid="{C6BB1F07-29AC-4EBD-9F21-FC44131C701B}"/>
    <cellStyle name="CustomizationCells 2 2 3 12" xfId="5304" xr:uid="{D1C2BADB-F255-4E81-82B2-3B89C4655462}"/>
    <cellStyle name="CustomizationCells 2 2 3 2" xfId="873" xr:uid="{BE49B008-6FF1-4F3B-8137-FAD9623928EF}"/>
    <cellStyle name="CustomizationCells 2 2 3 2 10" xfId="5239" xr:uid="{D26C97D7-F8DE-4C68-9DE5-819DBEA68C8F}"/>
    <cellStyle name="CustomizationCells 2 2 3 2 11" xfId="5467" xr:uid="{860EF907-85F7-4F5A-917E-F1A4F1DB071F}"/>
    <cellStyle name="CustomizationCells 2 2 3 2 2" xfId="1347" xr:uid="{245D3C0E-56FC-4765-BF25-97863CB039E2}"/>
    <cellStyle name="CustomizationCells 2 2 3 2 3" xfId="1796" xr:uid="{C6659A90-86EB-4A7E-9E01-06C46842325B}"/>
    <cellStyle name="CustomizationCells 2 2 3 2 4" xfId="2577" xr:uid="{4047CEC8-9130-4908-8B05-17FEB710D844}"/>
    <cellStyle name="CustomizationCells 2 2 3 2 5" xfId="3031" xr:uid="{72CD7154-DFED-42BB-BACF-C29E504E42A1}"/>
    <cellStyle name="CustomizationCells 2 2 3 2 6" xfId="3449" xr:uid="{CCBD7CCC-2408-4F10-BF00-7E703BF36094}"/>
    <cellStyle name="CustomizationCells 2 2 3 2 7" xfId="3863" xr:uid="{878D4AAD-3B31-47EC-B685-CB08D773C69C}"/>
    <cellStyle name="CustomizationCells 2 2 3 2 8" xfId="4286" xr:uid="{7606CFAF-71FB-49F5-AD44-6ADFBA47B746}"/>
    <cellStyle name="CustomizationCells 2 2 3 2 9" xfId="4554" xr:uid="{77877715-59B9-4E9B-8680-AAA7D02F1B98}"/>
    <cellStyle name="CustomizationCells 2 2 3 3" xfId="1141" xr:uid="{A664F385-E248-4634-940A-4A35E203A5DD}"/>
    <cellStyle name="CustomizationCells 2 2 3 4" xfId="1518" xr:uid="{650CABC6-59FC-40B2-B6EC-165A832F5EF8}"/>
    <cellStyle name="CustomizationCells 2 2 3 5" xfId="2364" xr:uid="{48A975C2-CC8A-4594-BD68-E18192B19D3C}"/>
    <cellStyle name="CustomizationCells 2 2 3 6" xfId="2818" xr:uid="{0C8C28C6-A679-47A1-B53E-E87E3AEC90BD}"/>
    <cellStyle name="CustomizationCells 2 2 3 7" xfId="3235" xr:uid="{A1387B67-DB44-401E-A366-3C6949F680FC}"/>
    <cellStyle name="CustomizationCells 2 2 3 8" xfId="3648" xr:uid="{3B8A92C9-A385-44FB-9D33-F07D156C2C18}"/>
    <cellStyle name="CustomizationCells 2 2 3 9" xfId="4073" xr:uid="{E9CB64AB-0C19-468E-BC4A-6BC8DC31FD22}"/>
    <cellStyle name="CustomizationCells 2 2 4" xfId="521" xr:uid="{5BCC20F8-D790-4E0C-B598-95763B251E10}"/>
    <cellStyle name="CustomizationCells 2 2 4 10" xfId="4369" xr:uid="{4ECD6A6C-93C1-44C6-A357-62583818EC05}"/>
    <cellStyle name="CustomizationCells 2 2 4 11" xfId="4893" xr:uid="{1790E96E-6DCA-4CCE-9C74-164037524AD4}"/>
    <cellStyle name="CustomizationCells 2 2 4 12" xfId="5333" xr:uid="{E9DC0DCB-9086-4D0C-B64B-C414F8B8790E}"/>
    <cellStyle name="CustomizationCells 2 2 4 2" xfId="736" xr:uid="{84CAECDF-A8D8-464A-ADC5-141A25E7412D}"/>
    <cellStyle name="CustomizationCells 2 2 4 2 10" xfId="5102" xr:uid="{EB65E6E5-4A44-4165-A0DA-EE337FA678FE}"/>
    <cellStyle name="CustomizationCells 2 2 4 2 11" xfId="4853" xr:uid="{00F98457-C097-47DB-97A4-77398CE38A89}"/>
    <cellStyle name="CustomizationCells 2 2 4 2 2" xfId="1210" xr:uid="{9B2F23BE-4C1C-4158-A699-71C4178959B3}"/>
    <cellStyle name="CustomizationCells 2 2 4 2 3" xfId="1489" xr:uid="{F6ADE442-F943-46F3-B30A-EE576FF1EF6F}"/>
    <cellStyle name="CustomizationCells 2 2 4 2 4" xfId="2440" xr:uid="{A19FC512-53EB-455B-9290-66AF838CEDB7}"/>
    <cellStyle name="CustomizationCells 2 2 4 2 5" xfId="2894" xr:uid="{BFC41DE1-B45C-4891-AA2E-11F8F6FF45F9}"/>
    <cellStyle name="CustomizationCells 2 2 4 2 6" xfId="3312" xr:uid="{D460675C-8F4C-4B94-8D4B-8BC8B91F7A81}"/>
    <cellStyle name="CustomizationCells 2 2 4 2 7" xfId="3726" xr:uid="{AD0B3260-1899-42B2-937B-9FC045EB1D01}"/>
    <cellStyle name="CustomizationCells 2 2 4 2 8" xfId="4149" xr:uid="{9FF60004-1753-4691-BFF2-12862402E2E2}"/>
    <cellStyle name="CustomizationCells 2 2 4 2 9" xfId="4336" xr:uid="{FB51C290-2C82-443C-8C0B-47FE5DB840E0}"/>
    <cellStyle name="CustomizationCells 2 2 4 3" xfId="1004" xr:uid="{B3453A63-953D-4B68-9940-7A71C7F6C5DC}"/>
    <cellStyle name="CustomizationCells 2 2 4 4" xfId="1597" xr:uid="{3E0FA8F5-3A73-4C97-B5C7-7E65E8D1A3A8}"/>
    <cellStyle name="CustomizationCells 2 2 4 5" xfId="2227" xr:uid="{86738FEC-A6CA-40BE-96EA-74C86C3C6C2F}"/>
    <cellStyle name="CustomizationCells 2 2 4 6" xfId="2681" xr:uid="{B2C4BEBD-1D6D-4882-BDF8-0FE3FC2E8D45}"/>
    <cellStyle name="CustomizationCells 2 2 4 7" xfId="3098" xr:uid="{773B66BE-3AB2-434E-870C-84EA8C7F6D82}"/>
    <cellStyle name="CustomizationCells 2 2 4 8" xfId="3511" xr:uid="{FFAF1E0D-E2F1-48BE-B8BB-DE5ED0E2404D}"/>
    <cellStyle name="CustomizationCells 2 2 4 9" xfId="3936" xr:uid="{AE2C5285-133A-43A9-AD12-9C476B73C791}"/>
    <cellStyle name="CustomizationCells 2 2 5" xfId="677" xr:uid="{0D7D558B-8FDB-43D6-8315-E827514C825B}"/>
    <cellStyle name="CustomizationCells 2 2 5 10" xfId="4538" xr:uid="{60FF9765-6E92-493C-9807-AF78DAB2037D}"/>
    <cellStyle name="CustomizationCells 2 2 5 11" xfId="5048" xr:uid="{E2E270FD-0339-4952-A194-3A7DE4AB196C}"/>
    <cellStyle name="CustomizationCells 2 2 5 12" xfId="5287" xr:uid="{1BC0A022-1F0F-426F-BDD1-478712D5DC10}"/>
    <cellStyle name="CustomizationCells 2 2 5 2" xfId="891" xr:uid="{9B795696-3D11-4B8E-8065-A2138B20FF91}"/>
    <cellStyle name="CustomizationCells 2 2 5 2 2" xfId="4304" xr:uid="{DAA3F31F-86B8-41F2-983A-C8030B08FF8B}"/>
    <cellStyle name="CustomizationCells 2 2 5 3" xfId="1159" xr:uid="{5DB35EED-8545-4D45-B6D7-0541341BDA97}"/>
    <cellStyle name="CustomizationCells 2 2 5 4" xfId="1413" xr:uid="{8B1A3BBC-3D42-484D-BF49-D3EBA0FB62DC}"/>
    <cellStyle name="CustomizationCells 2 2 5 5" xfId="2382" xr:uid="{88014872-4272-4F9B-A132-F421B78168F3}"/>
    <cellStyle name="CustomizationCells 2 2 5 6" xfId="2837" xr:uid="{46E1F95F-F18B-4A7F-91DA-13532EB9778C}"/>
    <cellStyle name="CustomizationCells 2 2 5 7" xfId="3253" xr:uid="{7A638F02-398B-472A-B46C-B0AE0D9155E2}"/>
    <cellStyle name="CustomizationCells 2 2 5 8" xfId="3667" xr:uid="{55AB429E-91F6-49B7-8D10-87534FF93D92}"/>
    <cellStyle name="CustomizationCells 2 2 5 9" xfId="4092" xr:uid="{6094C5AF-690F-4EC5-92D0-D1064CABD692}"/>
    <cellStyle name="CustomizationCells 2 2 6" xfId="984" xr:uid="{A6C6411F-75F7-4DEA-93DB-D59300354727}"/>
    <cellStyle name="CustomizationCells 2 2 7" xfId="1707" xr:uid="{898217E4-020E-468C-A3BD-6C195A184291}"/>
    <cellStyle name="CustomizationCells 2 2 8" xfId="2165" xr:uid="{7925184B-702C-46A7-929C-E03D3E0EFF3C}"/>
    <cellStyle name="CustomizationCells 2 2 9" xfId="2627" xr:uid="{37A246A9-BA0A-47E9-A6A5-60798E41BDC1}"/>
    <cellStyle name="CustomizationCells 3" xfId="274" xr:uid="{F19D93EC-0137-4DD6-B11B-E039CE3951BA}"/>
    <cellStyle name="CustomizationCells 3 10" xfId="2071" xr:uid="{B5922830-A32F-4149-BC69-B05C7BA6ADAD}"/>
    <cellStyle name="CustomizationCells 3 11" xfId="2616" xr:uid="{E613F0AE-AB1A-42C6-AD01-97D818FA3C76}"/>
    <cellStyle name="CustomizationCells 3 12" xfId="2646" xr:uid="{134C6688-99A2-4A77-ABFD-10B45CAE1045}"/>
    <cellStyle name="CustomizationCells 3 13" xfId="4423" xr:uid="{E8771AAD-1DA9-4009-A48B-99ED70EA611D}"/>
    <cellStyle name="CustomizationCells 3 14" xfId="4738" xr:uid="{53A05BB3-B71C-4CEE-A0C9-666AA9E54554}"/>
    <cellStyle name="CustomizationCells 3 15" xfId="5268" xr:uid="{A66F3BBB-9A44-4C9D-AE08-78A1C19E3181}"/>
    <cellStyle name="CustomizationCells 3 2" xfId="613" xr:uid="{1701FFC5-1036-4DA6-A9F8-59686DB57C09}"/>
    <cellStyle name="CustomizationCells 3 2 10" xfId="3660" xr:uid="{81773836-67B0-44F9-AA9C-3AA4D841EF39}"/>
    <cellStyle name="CustomizationCells 3 2 11" xfId="4985" xr:uid="{EACDC128-478C-49FD-AEE5-0D2F7DEEBD0F}"/>
    <cellStyle name="CustomizationCells 3 2 12" xfId="5412" xr:uid="{A325098B-E2DB-49CC-A52B-D6510C6F633B}"/>
    <cellStyle name="CustomizationCells 3 2 2" xfId="828" xr:uid="{F6A3F8F3-2A15-49B1-95CB-49B92EB85635}"/>
    <cellStyle name="CustomizationCells 3 2 2 10" xfId="5194" xr:uid="{8D9AE164-DE6C-4767-A0F0-10059172E64A}"/>
    <cellStyle name="CustomizationCells 3 2 2 11" xfId="4716" xr:uid="{736274B2-2346-42A5-A3A0-2B1AB4BF8411}"/>
    <cellStyle name="CustomizationCells 3 2 2 2" xfId="1302" xr:uid="{23F0990B-249E-4C6D-B08A-BC7FC26A4274}"/>
    <cellStyle name="CustomizationCells 3 2 2 3" xfId="1554" xr:uid="{5D5955AF-3E36-4C35-8F54-BB7F1D623E75}"/>
    <cellStyle name="CustomizationCells 3 2 2 4" xfId="2532" xr:uid="{9E50F786-BE68-48FC-93E3-C40010A91BDE}"/>
    <cellStyle name="CustomizationCells 3 2 2 5" xfId="2986" xr:uid="{359FCBBC-855E-47C4-AEE5-5C39B45F4D94}"/>
    <cellStyle name="CustomizationCells 3 2 2 6" xfId="3404" xr:uid="{B3496F30-62D4-4F2D-8191-99CDC8CFFE52}"/>
    <cellStyle name="CustomizationCells 3 2 2 7" xfId="3818" xr:uid="{DC4137CC-6030-4565-9635-BFEDBAD16608}"/>
    <cellStyle name="CustomizationCells 3 2 2 8" xfId="4241" xr:uid="{0A577356-F8B6-4324-AD23-41FE92829987}"/>
    <cellStyle name="CustomizationCells 3 2 2 9" xfId="2208" xr:uid="{3B843488-BCC2-4411-81E9-9F50D3D2B483}"/>
    <cellStyle name="CustomizationCells 3 2 3" xfId="1096" xr:uid="{B0559107-19E5-4873-A41D-8546F7979D63}"/>
    <cellStyle name="CustomizationCells 3 2 4" xfId="1664" xr:uid="{E306DA8F-EC71-40C9-AA7F-37849510F2EC}"/>
    <cellStyle name="CustomizationCells 3 2 5" xfId="2319" xr:uid="{3A3E1297-DCE3-43DB-A3DE-23F65EC00816}"/>
    <cellStyle name="CustomizationCells 3 2 6" xfId="2773" xr:uid="{06AA48D1-03D9-45A7-9D1D-D0592F8965BE}"/>
    <cellStyle name="CustomizationCells 3 2 7" xfId="3190" xr:uid="{CD26F928-BAA4-4943-B335-54C0E5F3145D}"/>
    <cellStyle name="CustomizationCells 3 2 8" xfId="3603" xr:uid="{87E8D805-8C99-48FB-BC9F-28FD6B9B1394}"/>
    <cellStyle name="CustomizationCells 3 2 9" xfId="4028" xr:uid="{1B01062C-D42A-4D91-B5CB-375A3B71664A}"/>
    <cellStyle name="CustomizationCells 3 3" xfId="640" xr:uid="{1E3C21A3-C638-4BF6-82DC-8F7F54F187BF}"/>
    <cellStyle name="CustomizationCells 3 3 10" xfId="2105" xr:uid="{19711EE9-E967-4346-A95E-8EECF59F7661}"/>
    <cellStyle name="CustomizationCells 3 3 11" xfId="5012" xr:uid="{616D751F-C896-4FD3-9ABB-3675160D2CE4}"/>
    <cellStyle name="CustomizationCells 3 3 12" xfId="5431" xr:uid="{6FF72E20-23B1-4678-A19D-0136419FD416}"/>
    <cellStyle name="CustomizationCells 3 3 2" xfId="855" xr:uid="{65789945-C564-47EC-B5AB-1CF095AC9F12}"/>
    <cellStyle name="CustomizationCells 3 3 2 10" xfId="5221" xr:uid="{91AFB671-5024-40B9-8944-338398EC022A}"/>
    <cellStyle name="CustomizationCells 3 3 2 11" xfId="4794" xr:uid="{055AD5CE-020E-4E53-92E1-5E4924A5A56F}"/>
    <cellStyle name="CustomizationCells 3 3 2 2" xfId="1329" xr:uid="{FA0F35BC-3E47-4B9E-90CA-832926DE968E}"/>
    <cellStyle name="CustomizationCells 3 3 2 3" xfId="1778" xr:uid="{A231156E-7727-41E6-8EBA-040ACA831E9C}"/>
    <cellStyle name="CustomizationCells 3 3 2 4" xfId="2559" xr:uid="{CF9BAAA2-4914-426F-9A4F-228EC2CF5702}"/>
    <cellStyle name="CustomizationCells 3 3 2 5" xfId="3013" xr:uid="{5CF32A05-DBF3-459C-956D-1C73D08CBAB6}"/>
    <cellStyle name="CustomizationCells 3 3 2 6" xfId="3431" xr:uid="{C8A4F29E-7DD2-4812-B24A-0855B4B71F7D}"/>
    <cellStyle name="CustomizationCells 3 3 2 7" xfId="3845" xr:uid="{E420089E-FA4C-4B50-AE97-0E4686721F69}"/>
    <cellStyle name="CustomizationCells 3 3 2 8" xfId="4268" xr:uid="{8AAB8FE1-B226-4C45-91EE-123742DB67F0}"/>
    <cellStyle name="CustomizationCells 3 3 2 9" xfId="2094" xr:uid="{16E4A4A5-C67D-4E52-ACEB-1BB26EE6B07C}"/>
    <cellStyle name="CustomizationCells 3 3 3" xfId="1123" xr:uid="{57DDA8D3-3057-461A-8D47-5AF576475652}"/>
    <cellStyle name="CustomizationCells 3 3 4" xfId="1689" xr:uid="{FED1209F-6250-4B0B-9105-4BB2586FB06D}"/>
    <cellStyle name="CustomizationCells 3 3 5" xfId="2346" xr:uid="{0D031E67-C225-402F-BAD3-FC46547AC99C}"/>
    <cellStyle name="CustomizationCells 3 3 6" xfId="2800" xr:uid="{D42A6DB2-D3F1-4BE4-8F75-539CE6362A18}"/>
    <cellStyle name="CustomizationCells 3 3 7" xfId="3217" xr:uid="{3F5A48CF-FAB5-49C5-B7AA-66AE880CFF4D}"/>
    <cellStyle name="CustomizationCells 3 3 8" xfId="3630" xr:uid="{B4AFF2C1-DD89-4D0B-AEFE-3DBF8D353BD3}"/>
    <cellStyle name="CustomizationCells 3 3 9" xfId="4055" xr:uid="{8278BECF-6261-4472-AF04-2E1726F9B977}"/>
    <cellStyle name="CustomizationCells 3 4" xfId="560" xr:uid="{91D562E2-5125-428C-926B-E30244BC208A}"/>
    <cellStyle name="CustomizationCells 3 4 10" xfId="1862" xr:uid="{788B78D7-C760-4868-B026-A0CFC3FF2442}"/>
    <cellStyle name="CustomizationCells 3 4 11" xfId="4932" xr:uid="{BBBC3EA3-EF06-4A3E-A27F-127B1EDE6F83}"/>
    <cellStyle name="CustomizationCells 3 4 12" xfId="5437" xr:uid="{6358C5B7-5D0D-46EF-BBB3-052C8572F796}"/>
    <cellStyle name="CustomizationCells 3 4 2" xfId="775" xr:uid="{5B462857-72CE-4A6C-8722-0720E4C213AD}"/>
    <cellStyle name="CustomizationCells 3 4 2 10" xfId="5141" xr:uid="{35B03EAB-A7EE-406A-8A6F-3AC30D349509}"/>
    <cellStyle name="CustomizationCells 3 4 2 11" xfId="4801" xr:uid="{4DB1B7D5-68A2-4BE8-82E8-F9B46B07DFE8}"/>
    <cellStyle name="CustomizationCells 3 4 2 2" xfId="1249" xr:uid="{860CF881-19E1-41F5-B254-84BF4A260FA9}"/>
    <cellStyle name="CustomizationCells 3 4 2 3" xfId="1429" xr:uid="{DB82E4D9-9340-4BE2-BF9D-FA454EC13C57}"/>
    <cellStyle name="CustomizationCells 3 4 2 4" xfId="2479" xr:uid="{609C60E3-9479-4376-9D92-F57794302502}"/>
    <cellStyle name="CustomizationCells 3 4 2 5" xfId="2933" xr:uid="{2C9225DD-D1A6-467E-AE0F-F979523BE1A0}"/>
    <cellStyle name="CustomizationCells 3 4 2 6" xfId="3351" xr:uid="{530198C6-DF6C-4425-9E9A-16ECDB50E2D6}"/>
    <cellStyle name="CustomizationCells 3 4 2 7" xfId="3765" xr:uid="{49F64BBB-319A-411A-88C1-AA54F41748FF}"/>
    <cellStyle name="CustomizationCells 3 4 2 8" xfId="4188" xr:uid="{3C2CE0E0-3F76-43E9-A69A-B63C620E0C05}"/>
    <cellStyle name="CustomizationCells 3 4 2 9" xfId="4454" xr:uid="{7F3C2829-B3F6-4FFA-BF6C-124BDC027F15}"/>
    <cellStyle name="CustomizationCells 3 4 3" xfId="1043" xr:uid="{1AC51C54-A3FF-4F58-A3D5-BCC632F19EE5}"/>
    <cellStyle name="CustomizationCells 3 4 4" xfId="1526" xr:uid="{9F771F35-8C7D-423B-9C79-570847791553}"/>
    <cellStyle name="CustomizationCells 3 4 5" xfId="2266" xr:uid="{70D1D169-C74A-4B33-A61A-DF65A28FB100}"/>
    <cellStyle name="CustomizationCells 3 4 6" xfId="2720" xr:uid="{7F759B7A-804A-473B-9BB8-37966083CA8E}"/>
    <cellStyle name="CustomizationCells 3 4 7" xfId="3137" xr:uid="{830CBC98-838D-42B5-8FF7-89DAF0EADB98}"/>
    <cellStyle name="CustomizationCells 3 4 8" xfId="3550" xr:uid="{BFF2554F-BA36-4035-8645-3EB9B661FB9A}"/>
    <cellStyle name="CustomizationCells 3 4 9" xfId="3975" xr:uid="{9226B00E-FEBF-4992-8AF8-C8FD2CE137AF}"/>
    <cellStyle name="CustomizationCells 3 5" xfId="699" xr:uid="{F344A04A-2392-4DF5-BEBC-8CED27A7AFF7}"/>
    <cellStyle name="CustomizationCells 3 5 2" xfId="3689" xr:uid="{313D90DD-594F-4C38-94BD-13D7BF72BC27}"/>
    <cellStyle name="CustomizationCells 3 6" xfId="951" xr:uid="{6A24F8C3-4845-4B2F-822D-8A21D6C743CC}"/>
    <cellStyle name="CustomizationCells 3 7" xfId="1468" xr:uid="{3B6FD13A-DBC8-40F4-8E76-624BBA373067}"/>
    <cellStyle name="CustomizationCells 3 8" xfId="2038" xr:uid="{6577F4E3-0650-4F95-93D0-C860EBE0910A}"/>
    <cellStyle name="CustomizationCells 3 9" xfId="1837" xr:uid="{51315F57-29DF-4196-B86F-29125B04832F}"/>
    <cellStyle name="CustomizationCells 4" xfId="71" xr:uid="{8E077B7C-BC71-4975-AAE2-BB7BF91CCE8D}"/>
    <cellStyle name="CustomizationCells 4 2" xfId="3078" xr:uid="{A89CD415-88E2-41AD-BD61-9989DCB27972}"/>
    <cellStyle name="CustomizationGreenCells" xfId="134" xr:uid="{2C3A333A-1BE1-41E9-A6F1-DF652E2DC317}"/>
    <cellStyle name="CustomizationGreenCells 2" xfId="417" xr:uid="{E5B0F81B-6472-4C6E-9FDE-7DF95CBC69A8}"/>
    <cellStyle name="CustomizationGreenCells 2 2" xfId="2111" xr:uid="{EF5CE2F2-1F85-4512-B462-94AE42896993}"/>
    <cellStyle name="CustomizationGreenCells 3" xfId="275" xr:uid="{355192BD-3DC2-41F0-9CC6-412CF953249E}"/>
    <cellStyle name="CustomizationGreenCells 3 10" xfId="2178" xr:uid="{5BC7F964-058F-47C7-8B32-1FDA7FEB1033}"/>
    <cellStyle name="CustomizationGreenCells 3 11" xfId="1831" xr:uid="{5B26C901-5CEC-4DC2-8323-8090FB22F5B9}"/>
    <cellStyle name="CustomizationGreenCells 3 12" xfId="2620" xr:uid="{F550B71B-7DED-49D4-AF51-5650C81DF137}"/>
    <cellStyle name="CustomizationGreenCells 3 13" xfId="4537" xr:uid="{ABB8DC43-1206-4FF7-A7F6-F1E92F47E832}"/>
    <cellStyle name="CustomizationGreenCells 3 14" xfId="4739" xr:uid="{DCC1AE81-D304-4FC8-8CF3-6B23856E5A0E}"/>
    <cellStyle name="CustomizationGreenCells 3 15" xfId="5257" xr:uid="{2F11AFCD-492B-4B32-AA84-EBFAE771F818}"/>
    <cellStyle name="CustomizationGreenCells 3 2" xfId="614" xr:uid="{6108A7E4-1F19-4773-8010-A179C2BFF0E8}"/>
    <cellStyle name="CustomizationGreenCells 3 2 10" xfId="4503" xr:uid="{D6C32F38-F55D-464A-AE4A-96F5A9DAC0F7}"/>
    <cellStyle name="CustomizationGreenCells 3 2 11" xfId="4986" xr:uid="{C664F6ED-9A83-4A0E-9D44-BB35DFB0641D}"/>
    <cellStyle name="CustomizationGreenCells 3 2 12" xfId="5309" xr:uid="{60BD2B69-816C-40C4-8C92-DED6D12E8FE5}"/>
    <cellStyle name="CustomizationGreenCells 3 2 2" xfId="829" xr:uid="{F92F991F-A9BF-49D5-8BB2-8495BC694C99}"/>
    <cellStyle name="CustomizationGreenCells 3 2 2 10" xfId="5195" xr:uid="{3FE6E3EB-27E4-49D9-8296-C4FC17AA9925}"/>
    <cellStyle name="CustomizationGreenCells 3 2 2 11" xfId="5394" xr:uid="{C88096E7-7A5B-4368-9CEC-F3B4AA09260D}"/>
    <cellStyle name="CustomizationGreenCells 3 2 2 2" xfId="1303" xr:uid="{50ABCD36-2CA1-4B4D-90A4-B1F4FBA5A6E1}"/>
    <cellStyle name="CustomizationGreenCells 3 2 2 3" xfId="1501" xr:uid="{A27ADCA1-A056-4284-A42D-8495D620E95C}"/>
    <cellStyle name="CustomizationGreenCells 3 2 2 4" xfId="2533" xr:uid="{59D36796-A1E7-4AD3-8D91-2D22FD780ED2}"/>
    <cellStyle name="CustomizationGreenCells 3 2 2 5" xfId="2987" xr:uid="{B8024B21-3D82-43AB-9D1B-79B5A8120227}"/>
    <cellStyle name="CustomizationGreenCells 3 2 2 6" xfId="3405" xr:uid="{469B1742-6363-4DA0-A1C1-234B9763A209}"/>
    <cellStyle name="CustomizationGreenCells 3 2 2 7" xfId="3819" xr:uid="{351AEA6E-810F-45D0-88DE-EB6F0D526125}"/>
    <cellStyle name="CustomizationGreenCells 3 2 2 8" xfId="4242" xr:uid="{6DCDF496-FCA5-498C-B3AD-1A3BF19646C6}"/>
    <cellStyle name="CustomizationGreenCells 3 2 2 9" xfId="2077" xr:uid="{FF3E6AB5-4623-407B-B1AC-F9A2841324F3}"/>
    <cellStyle name="CustomizationGreenCells 3 2 3" xfId="1097" xr:uid="{EE60D360-FD07-4B06-A23B-080B6B059B38}"/>
    <cellStyle name="CustomizationGreenCells 3 2 4" xfId="1748" xr:uid="{360DF4A0-96ED-4E02-B737-9A0C3926FD60}"/>
    <cellStyle name="CustomizationGreenCells 3 2 5" xfId="2320" xr:uid="{43945024-2DA9-48AA-8343-A0E842D35DA7}"/>
    <cellStyle name="CustomizationGreenCells 3 2 6" xfId="2774" xr:uid="{2CDEACB1-3754-4EAA-A5A3-C056C84A9A0F}"/>
    <cellStyle name="CustomizationGreenCells 3 2 7" xfId="3191" xr:uid="{FC6625AC-8AAC-4C8B-953B-4E010A01FCCE}"/>
    <cellStyle name="CustomizationGreenCells 3 2 8" xfId="3604" xr:uid="{94291FFB-57C9-41A7-B149-CCFB19279EBE}"/>
    <cellStyle name="CustomizationGreenCells 3 2 9" xfId="4029" xr:uid="{87A6974A-57DD-45B3-AAF0-45BDF2995ADD}"/>
    <cellStyle name="CustomizationGreenCells 3 3" xfId="584" xr:uid="{07B54605-2A2B-4779-9C21-F0226D24A546}"/>
    <cellStyle name="CustomizationGreenCells 3 3 10" xfId="3479" xr:uid="{3F7BAD78-6A68-4C19-88B1-F4C3BAA6E144}"/>
    <cellStyle name="CustomizationGreenCells 3 3 11" xfId="4956" xr:uid="{5DBD0AA2-4E2C-4CC5-B5B0-5A611355DA33}"/>
    <cellStyle name="CustomizationGreenCells 3 3 12" xfId="4828" xr:uid="{765F4039-0C50-4E37-B8B0-48AC65B66867}"/>
    <cellStyle name="CustomizationGreenCells 3 3 2" xfId="799" xr:uid="{F9F8D991-1A26-49EB-A40F-E4DDA1C21A04}"/>
    <cellStyle name="CustomizationGreenCells 3 3 2 10" xfId="5165" xr:uid="{CD2EAA9B-D006-479E-B00B-6A4586523463}"/>
    <cellStyle name="CustomizationGreenCells 3 3 2 11" xfId="4818" xr:uid="{0A38388D-8936-429A-B31B-4C21C18154C0}"/>
    <cellStyle name="CustomizationGreenCells 3 3 2 2" xfId="1273" xr:uid="{58675F23-401D-4B50-A672-56925A1CF2D2}"/>
    <cellStyle name="CustomizationGreenCells 3 3 2 3" xfId="1649" xr:uid="{C56329AC-43A2-4D05-B135-E0ECA0482936}"/>
    <cellStyle name="CustomizationGreenCells 3 3 2 4" xfId="2503" xr:uid="{AF332275-4B7B-4CD0-895E-9F64674613AA}"/>
    <cellStyle name="CustomizationGreenCells 3 3 2 5" xfId="2957" xr:uid="{2F6418DB-DBEB-4A89-9D6C-6DA3479DAF9B}"/>
    <cellStyle name="CustomizationGreenCells 3 3 2 6" xfId="3375" xr:uid="{9CF4AD2D-3F72-415B-B750-B8DDA8B787C3}"/>
    <cellStyle name="CustomizationGreenCells 3 3 2 7" xfId="3789" xr:uid="{F455BFB3-0CF9-4EB8-A594-EB4582D5B6A1}"/>
    <cellStyle name="CustomizationGreenCells 3 3 2 8" xfId="4212" xr:uid="{A2CAF878-B0D2-4A9D-9C0A-61BD289423BA}"/>
    <cellStyle name="CustomizationGreenCells 3 3 2 9" xfId="4496" xr:uid="{1DBC1895-66BE-4D50-BC4D-FC96B5B6A853}"/>
    <cellStyle name="CustomizationGreenCells 3 3 3" xfId="1067" xr:uid="{A9CC69EA-44BE-49A9-896A-9C4B67AC8050}"/>
    <cellStyle name="CustomizationGreenCells 3 3 4" xfId="1729" xr:uid="{18DFFAF3-4595-43BA-9017-76779177FB76}"/>
    <cellStyle name="CustomizationGreenCells 3 3 5" xfId="2290" xr:uid="{6E077333-79E9-4AE3-86E0-FF05CFC0BC1E}"/>
    <cellStyle name="CustomizationGreenCells 3 3 6" xfId="2744" xr:uid="{F066BA07-5410-4E54-AE8B-6394A3247C48}"/>
    <cellStyle name="CustomizationGreenCells 3 3 7" xfId="3161" xr:uid="{D0678523-CC29-4AE5-9D0C-489DE37936A1}"/>
    <cellStyle name="CustomizationGreenCells 3 3 8" xfId="3574" xr:uid="{34276586-1D50-4395-B27B-AB07C24F2CE7}"/>
    <cellStyle name="CustomizationGreenCells 3 3 9" xfId="3999" xr:uid="{08664510-999A-4874-AB05-9D67C64A51DA}"/>
    <cellStyle name="CustomizationGreenCells 3 4" xfId="517" xr:uid="{9ECE9F69-FCDB-4ACB-86BA-33AE01D84D86}"/>
    <cellStyle name="CustomizationGreenCells 3 4 10" xfId="1847" xr:uid="{4238ADFB-9591-4F15-97FA-C191DE521D3C}"/>
    <cellStyle name="CustomizationGreenCells 3 4 11" xfId="4889" xr:uid="{B3548EFB-5953-4BF8-86F6-5FFC2A717BBC}"/>
    <cellStyle name="CustomizationGreenCells 3 4 12" xfId="5361" xr:uid="{8BB57A6F-2DD6-44ED-9FFA-FE45A5E0283B}"/>
    <cellStyle name="CustomizationGreenCells 3 4 2" xfId="732" xr:uid="{17AE64D8-27E4-41D1-9185-7D166140EE7B}"/>
    <cellStyle name="CustomizationGreenCells 3 4 2 10" xfId="5098" xr:uid="{D5E60FE2-A7BC-4FAB-89FC-C4600123D6CB}"/>
    <cellStyle name="CustomizationGreenCells 3 4 2 11" xfId="4675" xr:uid="{4110ECCE-0CEA-41E6-B587-02628DF5DC76}"/>
    <cellStyle name="CustomizationGreenCells 3 4 2 2" xfId="1206" xr:uid="{E6CB48D7-FD28-4136-9CA9-8EF9A1374A06}"/>
    <cellStyle name="CustomizationGreenCells 3 4 2 3" xfId="1491" xr:uid="{B495961A-BB26-47B6-9BB7-0D717697FA24}"/>
    <cellStyle name="CustomizationGreenCells 3 4 2 4" xfId="2436" xr:uid="{FE42DEE5-7AFF-43C3-86BB-2C4B595D6E47}"/>
    <cellStyle name="CustomizationGreenCells 3 4 2 5" xfId="2890" xr:uid="{56052BC1-FFE8-4EED-AEF4-9E9DB14ACBB4}"/>
    <cellStyle name="CustomizationGreenCells 3 4 2 6" xfId="3308" xr:uid="{74209409-D1DC-4118-B5B1-555D8C134812}"/>
    <cellStyle name="CustomizationGreenCells 3 4 2 7" xfId="3722" xr:uid="{375F8884-2450-41B3-A053-AE834358C7FF}"/>
    <cellStyle name="CustomizationGreenCells 3 4 2 8" xfId="4145" xr:uid="{46445803-2414-4D6A-A113-E65BD80C24C9}"/>
    <cellStyle name="CustomizationGreenCells 3 4 2 9" xfId="4328" xr:uid="{E222175B-970A-4559-85AF-12C8349D8792}"/>
    <cellStyle name="CustomizationGreenCells 3 4 3" xfId="1000" xr:uid="{42011DC1-A137-4F33-A1CD-BE2ECDFAE77D}"/>
    <cellStyle name="CustomizationGreenCells 3 4 4" xfId="1680" xr:uid="{13FC4BE2-657B-4DDA-9B89-7D288AE06AA5}"/>
    <cellStyle name="CustomizationGreenCells 3 4 5" xfId="2223" xr:uid="{F7323CAC-25F5-4D99-9846-BD24D1FE4BD4}"/>
    <cellStyle name="CustomizationGreenCells 3 4 6" xfId="2677" xr:uid="{05DC7BAF-E75B-4A46-88FC-9BD4C2B4F0D9}"/>
    <cellStyle name="CustomizationGreenCells 3 4 7" xfId="3094" xr:uid="{BE59DC1A-FDC9-4C05-8F76-38D7BD6B9360}"/>
    <cellStyle name="CustomizationGreenCells 3 4 8" xfId="3507" xr:uid="{ABC2F4A8-EDFB-445C-9E51-40D124FBB2DB}"/>
    <cellStyle name="CustomizationGreenCells 3 4 9" xfId="3932" xr:uid="{EE2D949E-B185-4421-8CA5-68EFB204EEF1}"/>
    <cellStyle name="CustomizationGreenCells 3 5" xfId="700" xr:uid="{DFA90F83-95EE-4ADF-AB28-864D9D0B1484}"/>
    <cellStyle name="CustomizationGreenCells 3 5 2" xfId="3690" xr:uid="{8F5AD52B-888F-41C2-916B-5431BDCB00CA}"/>
    <cellStyle name="CustomizationGreenCells 3 6" xfId="952" xr:uid="{A29D212F-3EA4-46D4-808D-029B882AF930}"/>
    <cellStyle name="CustomizationGreenCells 3 7" xfId="1584" xr:uid="{FD189033-6091-408E-A692-D83840C6E07D}"/>
    <cellStyle name="CustomizationGreenCells 3 8" xfId="2039" xr:uid="{F3808548-E40E-4B8D-BE74-5A85DC8E8BAC}"/>
    <cellStyle name="CustomizationGreenCells 3 9" xfId="2136" xr:uid="{B5ECDD89-20AF-4F5A-B6A6-88C50168222E}"/>
    <cellStyle name="DocBox_EmptyRow" xfId="15" xr:uid="{0E983B7B-0025-438A-8AEE-CA3DB5662AD6}"/>
    <cellStyle name="Eingabe" xfId="2" xr:uid="{E0D7D84D-5758-486B-88BE-637DB6BC7FF6}"/>
    <cellStyle name="Eingabe 2" xfId="372" xr:uid="{EAB53CEA-AD2A-4F2F-98D5-A4108CF8A30F}"/>
    <cellStyle name="Eingabe 3" xfId="418" xr:uid="{D1BD14EE-E327-46CF-B4A0-24A5A44517A9}"/>
    <cellStyle name="Eingabe 3 10" xfId="2134" xr:uid="{4796024B-1EC8-4F7B-B155-822A27C7FDD2}"/>
    <cellStyle name="Eingabe 3 11" xfId="4341" xr:uid="{58BC0060-B883-414C-A432-81B25BAFF435}"/>
    <cellStyle name="Eingabe 3 12" xfId="4833" xr:uid="{CF5C0483-E2A0-409B-864B-ED1A86C054CB}"/>
    <cellStyle name="Eingabe 3 13" xfId="5345" xr:uid="{DBFB021A-3A92-4310-86B3-4FA260501E4C}"/>
    <cellStyle name="Eingabe 3 2" xfId="654" xr:uid="{EF887CAE-2615-4D00-B92C-65EF39A4CB7E}"/>
    <cellStyle name="Eingabe 3 2 10" xfId="4524" xr:uid="{DF81C920-F209-41D3-B384-CF838A57FC1B}"/>
    <cellStyle name="Eingabe 3 2 11" xfId="5026" xr:uid="{8F37DB31-EF57-4BC3-90B7-3543DC3A5BBC}"/>
    <cellStyle name="Eingabe 3 2 12" xfId="4679" xr:uid="{051F9998-4485-4897-8EA5-7634310FBEE0}"/>
    <cellStyle name="Eingabe 3 2 2" xfId="869" xr:uid="{50BBFF85-97C3-4C2C-ABED-123DF58B5A75}"/>
    <cellStyle name="Eingabe 3 2 2 10" xfId="5235" xr:uid="{740EB110-7865-4004-A6DC-BB44471D264F}"/>
    <cellStyle name="Eingabe 3 2 2 11" xfId="5463" xr:uid="{FB168D61-8E6E-4A04-B026-BBD58E844909}"/>
    <cellStyle name="Eingabe 3 2 2 2" xfId="1343" xr:uid="{ED64EE8E-ABE2-4947-AEFE-F99A8F32921F}"/>
    <cellStyle name="Eingabe 3 2 2 3" xfId="1792" xr:uid="{700C5427-4664-4538-B2D2-B97736EDCDF7}"/>
    <cellStyle name="Eingabe 3 2 2 4" xfId="2573" xr:uid="{1EC89DB6-C1E5-437C-8E83-0DB3CFB6E10D}"/>
    <cellStyle name="Eingabe 3 2 2 5" xfId="3027" xr:uid="{A931D1BE-988E-43C0-B9AD-DA1640604F54}"/>
    <cellStyle name="Eingabe 3 2 2 6" xfId="3445" xr:uid="{7C56D0C3-080E-4892-8B40-668903110DD6}"/>
    <cellStyle name="Eingabe 3 2 2 7" xfId="3859" xr:uid="{21C5814B-64A4-40C2-B603-7CA3DA698172}"/>
    <cellStyle name="Eingabe 3 2 2 8" xfId="4282" xr:uid="{09D6D850-607F-4827-BA36-A47F4E93A7DA}"/>
    <cellStyle name="Eingabe 3 2 2 9" xfId="4550" xr:uid="{2C4D9D63-86AF-4E09-9993-A821FA6A8EC5}"/>
    <cellStyle name="Eingabe 3 2 3" xfId="1137" xr:uid="{78069D8D-B6EA-4706-A9D6-BF8C404D9185}"/>
    <cellStyle name="Eingabe 3 2 4" xfId="1749" xr:uid="{F101BCC8-C4E5-4305-A402-7AB6001C7105}"/>
    <cellStyle name="Eingabe 3 2 5" xfId="2360" xr:uid="{A05A675F-18C5-4D28-A98C-0386488D77BA}"/>
    <cellStyle name="Eingabe 3 2 6" xfId="2814" xr:uid="{1997278E-2ADA-497F-9CC3-899D17A2D5D8}"/>
    <cellStyle name="Eingabe 3 2 7" xfId="3231" xr:uid="{BCE207C0-65A2-45D7-9770-01F0DF8AE9C9}"/>
    <cellStyle name="Eingabe 3 2 8" xfId="3644" xr:uid="{760E6B5D-6D5D-487C-A863-402B73783D4E}"/>
    <cellStyle name="Eingabe 3 2 9" xfId="4069" xr:uid="{E3293379-0605-417D-83BD-3378ED3769F9}"/>
    <cellStyle name="Eingabe 3 3" xfId="643" xr:uid="{9A973A5C-A347-40AA-9B66-633AF7268A86}"/>
    <cellStyle name="Eingabe 3 3 10" xfId="4510" xr:uid="{DF090507-9C67-4616-BE27-2AFB5D782B15}"/>
    <cellStyle name="Eingabe 3 3 11" xfId="5015" xr:uid="{FAB95474-DF80-4F81-86CD-EFAB27CF14D6}"/>
    <cellStyle name="Eingabe 3 3 12" xfId="5379" xr:uid="{A41A41B2-13BE-44BD-BDDC-50BB5FBE95B9}"/>
    <cellStyle name="Eingabe 3 3 2" xfId="858" xr:uid="{13F193EB-297C-435F-B9EA-5B2BF8AFFD5F}"/>
    <cellStyle name="Eingabe 3 3 2 10" xfId="5224" xr:uid="{B28F1322-493A-45F1-B362-2AFD04CF82AA}"/>
    <cellStyle name="Eingabe 3 3 2 11" xfId="4881" xr:uid="{294148E5-ADED-49D8-AC18-5EBEB3786A42}"/>
    <cellStyle name="Eingabe 3 3 2 2" xfId="1332" xr:uid="{4EC6C2BE-FB86-44E6-A481-3664D5ED81A6}"/>
    <cellStyle name="Eingabe 3 3 2 3" xfId="1781" xr:uid="{725EE099-915C-445E-B426-36409EFC6D00}"/>
    <cellStyle name="Eingabe 3 3 2 4" xfId="2562" xr:uid="{98389CA2-7ABC-4DE8-A0CA-D060E58B439B}"/>
    <cellStyle name="Eingabe 3 3 2 5" xfId="3016" xr:uid="{694BC10F-6A71-406E-BAC2-A45277C359A5}"/>
    <cellStyle name="Eingabe 3 3 2 6" xfId="3434" xr:uid="{00EF73BA-CAFA-43AE-9131-919C0042B5DE}"/>
    <cellStyle name="Eingabe 3 3 2 7" xfId="3848" xr:uid="{FFE325A4-CDF4-4B8F-A3B0-973387C764D4}"/>
    <cellStyle name="Eingabe 3 3 2 8" xfId="4271" xr:uid="{A5F5D407-DFA2-4C04-B87F-8B3E09E7895A}"/>
    <cellStyle name="Eingabe 3 3 2 9" xfId="4515" xr:uid="{B6E5825C-01C7-4DA7-83CD-895CC09269FC}"/>
    <cellStyle name="Eingabe 3 3 3" xfId="1126" xr:uid="{D0005183-22FD-43DD-BC65-B84A26B8541C}"/>
    <cellStyle name="Eingabe 3 3 4" xfId="1634" xr:uid="{6F1D6B51-A9BD-4126-897D-1C6A8A19EC4D}"/>
    <cellStyle name="Eingabe 3 3 5" xfId="2349" xr:uid="{8A5A6E77-FB91-4C9B-939C-B01AFC2FA17E}"/>
    <cellStyle name="Eingabe 3 3 6" xfId="2803" xr:uid="{D4DFF7EA-318A-471B-A97C-984E55BE47C6}"/>
    <cellStyle name="Eingabe 3 3 7" xfId="3220" xr:uid="{84BAD347-C050-41D2-97DB-A2BE3454FC8D}"/>
    <cellStyle name="Eingabe 3 3 8" xfId="3633" xr:uid="{13184199-1805-49B1-9E8A-597BFFE3B456}"/>
    <cellStyle name="Eingabe 3 3 9" xfId="4058" xr:uid="{976798CD-AB06-4AAC-8927-B4F7EECDC4A4}"/>
    <cellStyle name="Eingabe 3 4" xfId="534" xr:uid="{CCD1D185-4C91-44FE-977A-A626E2FD960E}"/>
    <cellStyle name="Eingabe 3 4 10" xfId="1944" xr:uid="{681640A5-1F67-4442-B5A0-1399299822F3}"/>
    <cellStyle name="Eingabe 3 4 11" xfId="4906" xr:uid="{BA06F38B-EC66-431A-8A19-235E077F2F95}"/>
    <cellStyle name="Eingabe 3 4 12" xfId="5406" xr:uid="{58A357CF-ABCE-4986-9017-C56DC03FC5C2}"/>
    <cellStyle name="Eingabe 3 4 2" xfId="749" xr:uid="{6702D5F8-BB58-4569-BC45-B859B2EA4A88}"/>
    <cellStyle name="Eingabe 3 4 2 10" xfId="5115" xr:uid="{28B34ACA-719D-4D52-9EF3-A77F16C6E574}"/>
    <cellStyle name="Eingabe 3 4 2 11" xfId="4815" xr:uid="{AF9A3AAE-C403-442E-9FA4-2B38F0AB4F48}"/>
    <cellStyle name="Eingabe 3 4 2 2" xfId="1223" xr:uid="{F0DB0A5D-0628-4ABB-9105-A2106857E96E}"/>
    <cellStyle name="Eingabe 3 4 2 3" xfId="1567" xr:uid="{791E7FA5-7CE3-404A-B4AF-17A6A829C303}"/>
    <cellStyle name="Eingabe 3 4 2 4" xfId="2453" xr:uid="{7E3123B6-4F84-40A9-8C71-291B749D60D4}"/>
    <cellStyle name="Eingabe 3 4 2 5" xfId="2907" xr:uid="{4100525F-A7B1-45C0-902E-FE5CDADB67FD}"/>
    <cellStyle name="Eingabe 3 4 2 6" xfId="3325" xr:uid="{C3EBACB5-EA4B-492B-AA6F-24E8C9B9D150}"/>
    <cellStyle name="Eingabe 3 4 2 7" xfId="3739" xr:uid="{65BD71D0-074B-4E56-972C-8DCEBF1549A4}"/>
    <cellStyle name="Eingabe 3 4 2 8" xfId="4162" xr:uid="{6C6D53AC-47EE-4831-9467-A43CF0980A8E}"/>
    <cellStyle name="Eingabe 3 4 2 9" xfId="2192" xr:uid="{CB9643BB-78BA-4DA3-98DA-A6030E0DD624}"/>
    <cellStyle name="Eingabe 3 4 3" xfId="1017" xr:uid="{642BA5C6-DD0D-47E3-9FF3-79546D00E7C0}"/>
    <cellStyle name="Eingabe 3 4 4" xfId="1700" xr:uid="{23C59E97-ABD4-4735-B769-DDF568018D46}"/>
    <cellStyle name="Eingabe 3 4 5" xfId="2240" xr:uid="{5A172A1C-EDCE-43FA-A031-7A4E91506880}"/>
    <cellStyle name="Eingabe 3 4 6" xfId="2694" xr:uid="{C238B407-F4E9-44F1-B091-460F55E020CE}"/>
    <cellStyle name="Eingabe 3 4 7" xfId="3111" xr:uid="{024DD8C0-77B9-4F37-821C-DE3C2CE5D77D}"/>
    <cellStyle name="Eingabe 3 4 8" xfId="3524" xr:uid="{793F0CF3-A563-481F-8A97-A1337D6F6EDB}"/>
    <cellStyle name="Eingabe 3 4 9" xfId="3949" xr:uid="{DF99DFC4-32CB-419B-AF30-80AB45C6889E}"/>
    <cellStyle name="Eingabe 3 5" xfId="717" xr:uid="{2ADF658C-B8C9-4170-9705-BC1C66FE51A0}"/>
    <cellStyle name="Eingabe 3 5 10" xfId="5083" xr:uid="{2EE06BA2-DEF3-4599-80CA-6D7557B7DB80}"/>
    <cellStyle name="Eingabe 3 5 11" xfId="5390" xr:uid="{3005488C-61C8-4066-997C-87EBE1A05452}"/>
    <cellStyle name="Eingabe 3 5 2" xfId="1191" xr:uid="{E45E5F34-170E-44C1-903D-226CB6BB4114}"/>
    <cellStyle name="Eingabe 3 5 3" xfId="1496" xr:uid="{5BCA9401-CB40-4EF5-8EFE-0CCF80DACE48}"/>
    <cellStyle name="Eingabe 3 5 4" xfId="2421" xr:uid="{52C42CEC-32E8-40D4-854D-78C552A03C8C}"/>
    <cellStyle name="Eingabe 3 5 5" xfId="2875" xr:uid="{FCE082A3-8C72-4C43-832A-FE2118EA4C1C}"/>
    <cellStyle name="Eingabe 3 5 6" xfId="3293" xr:uid="{8B0157C9-F5CC-4BE9-A3E2-AEA042437CA3}"/>
    <cellStyle name="Eingabe 3 5 7" xfId="3707" xr:uid="{E6B43E4D-E0CC-449B-9358-DC7988108E1F}"/>
    <cellStyle name="Eingabe 3 5 8" xfId="4130" xr:uid="{122D7E40-28B4-4B49-B810-600CFAC43813}"/>
    <cellStyle name="Eingabe 3 5 9" xfId="4367" xr:uid="{6657EEEB-CBDF-4713-99B4-0FD64BBC7835}"/>
    <cellStyle name="Eingabe 3 6" xfId="980" xr:uid="{99F79151-64A4-4DEC-AA5B-D6396FCE2BDE}"/>
    <cellStyle name="Eingabe 3 7" xfId="2150" xr:uid="{664E7014-4A1F-48AF-B2D1-9A2E193AA286}"/>
    <cellStyle name="Eingabe 3 8" xfId="2145" xr:uid="{8750FCF6-4624-449C-A631-ED0D772E5EF0}"/>
    <cellStyle name="Eingabe 3 9" xfId="2609" xr:uid="{033A63C6-E8C4-4A90-AB76-C1CA84F371B7}"/>
    <cellStyle name="Eingabe 4" xfId="277" xr:uid="{7EC864BB-A788-4521-A163-D170778AF113}"/>
    <cellStyle name="Eingabe 4 10" xfId="2189" xr:uid="{52AFF63F-D788-4E81-AB49-1185E2EAFF75}"/>
    <cellStyle name="Eingabe 4 11" xfId="3919" xr:uid="{A1E36E59-32EF-4D4B-AE93-F28DA41BE998}"/>
    <cellStyle name="Eingabe 4 12" xfId="4740" xr:uid="{EDA9B0A1-27FF-42D9-8C7E-0A1F0C006794}"/>
    <cellStyle name="Eingabe 4 13" xfId="4692" xr:uid="{2F464058-59E3-46AB-8274-C808AB720D0E}"/>
    <cellStyle name="Eingabe 4 2" xfId="615" xr:uid="{3555DFF9-4A26-4A02-8D0E-ADE7CE7C7F2B}"/>
    <cellStyle name="Eingabe 4 2 10" xfId="2078" xr:uid="{1824A1A9-D29C-42A1-80C4-0D46F492BACA}"/>
    <cellStyle name="Eingabe 4 2 11" xfId="4987" xr:uid="{59AEFD0F-B81A-4AF9-80ED-D3B29F835960}"/>
    <cellStyle name="Eingabe 4 2 12" xfId="5402" xr:uid="{C0A2E712-8032-4D38-A7FF-48E4CB2271F7}"/>
    <cellStyle name="Eingabe 4 2 2" xfId="830" xr:uid="{A7CAA3B0-0F19-4E99-A6AE-9C5B39E05B72}"/>
    <cellStyle name="Eingabe 4 2 2 10" xfId="5196" xr:uid="{0DCE35D6-EA0A-4C0B-A672-20AA1EC24521}"/>
    <cellStyle name="Eingabe 4 2 2 11" xfId="5293" xr:uid="{F81CFEE1-B0E3-4A88-899D-0FFB272DA712}"/>
    <cellStyle name="Eingabe 4 2 2 2" xfId="1304" xr:uid="{B3676F41-9DEE-450E-8524-677C6F05ADA5}"/>
    <cellStyle name="Eingabe 4 2 2 3" xfId="1553" xr:uid="{8F783D9C-4E71-4B11-8189-6220C0F64256}"/>
    <cellStyle name="Eingabe 4 2 2 4" xfId="2534" xr:uid="{55ABE2BF-57A2-45E0-A900-B7A4B6352A49}"/>
    <cellStyle name="Eingabe 4 2 2 5" xfId="2988" xr:uid="{512EDA64-B406-467C-A2E9-EFAF631C0529}"/>
    <cellStyle name="Eingabe 4 2 2 6" xfId="3406" xr:uid="{C30A5811-2A81-41C5-B07B-9A28B0E11248}"/>
    <cellStyle name="Eingabe 4 2 2 7" xfId="3820" xr:uid="{6CA16BDE-80CF-4CD9-9E3B-40267DEE7AE3}"/>
    <cellStyle name="Eingabe 4 2 2 8" xfId="4243" xr:uid="{502D82F7-ACFE-4ABA-9F72-A95D08ED8248}"/>
    <cellStyle name="Eingabe 4 2 2 9" xfId="4492" xr:uid="{D4EE7443-CD07-42D8-909E-5B9CB7C6B346}"/>
    <cellStyle name="Eingabe 4 2 3" xfId="1098" xr:uid="{9A12CED4-42CE-4762-8D7F-FDF6D262E99A}"/>
    <cellStyle name="Eingabe 4 2 4" xfId="1657" xr:uid="{446FA318-48AF-47C4-9C1D-FEF279811E82}"/>
    <cellStyle name="Eingabe 4 2 5" xfId="2321" xr:uid="{F7795585-F0CB-49B6-8359-1E8C5C7FD861}"/>
    <cellStyle name="Eingabe 4 2 6" xfId="2775" xr:uid="{AAF45C87-59EE-4361-B402-B3D8D602D9B2}"/>
    <cellStyle name="Eingabe 4 2 7" xfId="3192" xr:uid="{899B8D44-2106-4D59-89E0-B6D6C0016428}"/>
    <cellStyle name="Eingabe 4 2 8" xfId="3605" xr:uid="{B2C6A0ED-99F3-4000-81A2-5410B78A3E35}"/>
    <cellStyle name="Eingabe 4 2 9" xfId="4030" xr:uid="{71625505-487B-49A3-B9F6-4AE06C08BA19}"/>
    <cellStyle name="Eingabe 4 3" xfId="542" xr:uid="{EC8B4FA0-BB84-4A2A-B523-A4DAB0D25CB4}"/>
    <cellStyle name="Eingabe 4 3 10" xfId="2621" xr:uid="{BC011E63-2460-4BDA-B06F-E8734A31F089}"/>
    <cellStyle name="Eingabe 4 3 11" xfId="4914" xr:uid="{C4ECD6E1-88A9-4E32-ADF2-8FEB611AA636}"/>
    <cellStyle name="Eingabe 4 3 12" xfId="5409" xr:uid="{150FE615-6ECA-4BC5-99B3-CC22A8ADC622}"/>
    <cellStyle name="Eingabe 4 3 2" xfId="757" xr:uid="{25923740-6311-4636-910B-EB3D90F0B298}"/>
    <cellStyle name="Eingabe 4 3 2 10" xfId="5123" xr:uid="{C10F3D5F-F088-45C7-B269-B9572C37532E}"/>
    <cellStyle name="Eingabe 4 3 2 11" xfId="4774" xr:uid="{B22320B2-39F1-4C5A-967A-824FACD075CF}"/>
    <cellStyle name="Eingabe 4 3 2 2" xfId="1231" xr:uid="{05F3E203-5E2E-4E01-A7D2-55DBDF4CEE79}"/>
    <cellStyle name="Eingabe 4 3 2 3" xfId="1563" xr:uid="{D8B2C1A5-AEEC-4991-97C0-A4B88C5E475C}"/>
    <cellStyle name="Eingabe 4 3 2 4" xfId="2461" xr:uid="{1B59B701-9826-4B67-9765-E187361A5410}"/>
    <cellStyle name="Eingabe 4 3 2 5" xfId="2915" xr:uid="{D3286808-E20B-4821-B95F-00C8CBCCFF46}"/>
    <cellStyle name="Eingabe 4 3 2 6" xfId="3333" xr:uid="{39532733-5180-4466-A971-1F770BE7FF1F}"/>
    <cellStyle name="Eingabe 4 3 2 7" xfId="3747" xr:uid="{7F218A7C-9CBA-4AA8-A441-4A227D716FD4}"/>
    <cellStyle name="Eingabe 4 3 2 8" xfId="4170" xr:uid="{A286E090-FF62-408E-84E9-F5ECA3DE29D7}"/>
    <cellStyle name="Eingabe 4 3 2 9" xfId="1892" xr:uid="{8A22F5BC-88CC-47CB-BAAE-1467C0D22212}"/>
    <cellStyle name="Eingabe 4 3 3" xfId="1025" xr:uid="{1425F744-48EF-48BC-9787-DB623C9E7D06}"/>
    <cellStyle name="Eingabe 4 3 4" xfId="1746" xr:uid="{3C1F2D20-E33A-47F7-A258-91E9A4963DE9}"/>
    <cellStyle name="Eingabe 4 3 5" xfId="2248" xr:uid="{E152AC73-8CD5-48D9-8576-3EDC1878ACFC}"/>
    <cellStyle name="Eingabe 4 3 6" xfId="2702" xr:uid="{E0280207-7689-4E2A-9220-47E04694099A}"/>
    <cellStyle name="Eingabe 4 3 7" xfId="3119" xr:uid="{7580D6CC-8BFA-47F1-A863-14D6A9AFEFD2}"/>
    <cellStyle name="Eingabe 4 3 8" xfId="3532" xr:uid="{AD16B6E2-EDCE-4D70-ABAA-17495E344113}"/>
    <cellStyle name="Eingabe 4 3 9" xfId="3957" xr:uid="{8846C3EF-C521-48B1-88FB-FA9758CD072E}"/>
    <cellStyle name="Eingabe 4 4" xfId="518" xr:uid="{35070198-6ED0-40B5-A81B-595AE4FD849C}"/>
    <cellStyle name="Eingabe 4 4 10" xfId="2600" xr:uid="{F2E314FF-DC93-4F83-B4D4-37ABDF70ECA5}"/>
    <cellStyle name="Eingabe 4 4 11" xfId="4890" xr:uid="{89DF12BF-5322-45EB-90A9-D7F833ABBB34}"/>
    <cellStyle name="Eingabe 4 4 12" xfId="5396" xr:uid="{A07D2F36-D14D-4F0D-A469-AAAE1DEFA2E0}"/>
    <cellStyle name="Eingabe 4 4 2" xfId="733" xr:uid="{A8748FCD-B7DA-4241-B902-4E52A304BF5B}"/>
    <cellStyle name="Eingabe 4 4 2 10" xfId="5099" xr:uid="{72CC4B29-6518-4D17-BE4B-8EAEFBCBC476}"/>
    <cellStyle name="Eingabe 4 4 2 11" xfId="4594" xr:uid="{6EBFBF04-C547-4187-A041-1E89F4723DDF}"/>
    <cellStyle name="Eingabe 4 4 2 2" xfId="1207" xr:uid="{7A9C4534-4677-43C1-B40A-57DE3A2718EA}"/>
    <cellStyle name="Eingabe 4 4 2 3" xfId="1440" xr:uid="{EC59E080-E5E5-4A9B-8822-471CCC7F5A41}"/>
    <cellStyle name="Eingabe 4 4 2 4" xfId="2437" xr:uid="{E71DB822-C9DD-401D-BBC5-411C499EA413}"/>
    <cellStyle name="Eingabe 4 4 2 5" xfId="2891" xr:uid="{56BB19A4-3AE8-4693-92CD-13F21F3CCD5A}"/>
    <cellStyle name="Eingabe 4 4 2 6" xfId="3309" xr:uid="{BF4587AF-970B-44AB-A181-3956A6E64257}"/>
    <cellStyle name="Eingabe 4 4 2 7" xfId="3723" xr:uid="{EA7BF9AF-4190-47E8-9A4E-B94BADEDB5A1}"/>
    <cellStyle name="Eingabe 4 4 2 8" xfId="4146" xr:uid="{FD6B9B35-CB2D-44F5-98A0-8C792A51A043}"/>
    <cellStyle name="Eingabe 4 4 2 9" xfId="4394" xr:uid="{B8904171-A456-4A6A-B292-E87A199E9E4C}"/>
    <cellStyle name="Eingabe 4 4 3" xfId="1001" xr:uid="{D0F46336-42F8-4AF6-940B-285891C80C9B}"/>
    <cellStyle name="Eingabe 4 4 4" xfId="1710" xr:uid="{9F9DEFF6-5E6F-4BA6-8B7B-0239F3A53BAD}"/>
    <cellStyle name="Eingabe 4 4 5" xfId="2224" xr:uid="{38744BEE-86CC-4379-833B-B96699C865A8}"/>
    <cellStyle name="Eingabe 4 4 6" xfId="2678" xr:uid="{3716FBEB-00BA-43C1-92CB-C7D970EC718A}"/>
    <cellStyle name="Eingabe 4 4 7" xfId="3095" xr:uid="{1B78B24D-5F1F-485A-BA1C-13E4F5DDFD32}"/>
    <cellStyle name="Eingabe 4 4 8" xfId="3508" xr:uid="{4BA6D721-2169-45C0-93A2-4863732C99A4}"/>
    <cellStyle name="Eingabe 4 4 9" xfId="3933" xr:uid="{BE9B2521-A3EC-4A7F-82CA-FCF277783A5B}"/>
    <cellStyle name="Eingabe 4 5" xfId="701" xr:uid="{1FB3C6B0-AFA7-4EED-8D74-73264D0E70AD}"/>
    <cellStyle name="Eingabe 4 5 10" xfId="5068" xr:uid="{EAF16303-7AB6-4E9C-9DFA-58FDD4E2C137}"/>
    <cellStyle name="Eingabe 4 5 11" xfId="5423" xr:uid="{7E74A1CE-7844-4D9D-A3A6-BAEE8BA7D132}"/>
    <cellStyle name="Eingabe 4 5 2" xfId="1176" xr:uid="{D44CC2AE-0DB4-4E48-9892-1E5C565662EA}"/>
    <cellStyle name="Eingabe 4 5 3" xfId="1374" xr:uid="{E16B3E19-DA5C-48BE-9920-08BCCDE262A9}"/>
    <cellStyle name="Eingabe 4 5 4" xfId="2405" xr:uid="{E007178C-AFDA-4383-B28A-5E830AC84EC3}"/>
    <cellStyle name="Eingabe 4 5 5" xfId="2859" xr:uid="{1AD67D64-907F-44DF-9BE7-95533ED5ADC9}"/>
    <cellStyle name="Eingabe 4 5 6" xfId="3277" xr:uid="{D5D333F0-B181-4112-9CCD-90064340D636}"/>
    <cellStyle name="Eingabe 4 5 7" xfId="3691" xr:uid="{AFC4C09F-9C73-4DC2-B823-2280F4006904}"/>
    <cellStyle name="Eingabe 4 5 8" xfId="4114" xr:uid="{92F348F7-19B2-4734-93DC-5124F2D16961}"/>
    <cellStyle name="Eingabe 4 5 9" xfId="4321" xr:uid="{B387FCEF-F032-4753-8805-D7AB255A0B26}"/>
    <cellStyle name="Eingabe 4 6" xfId="953" xr:uid="{348FC9C9-2483-44F1-882D-22F640684867}"/>
    <cellStyle name="Eingabe 4 7" xfId="2041" xr:uid="{A7543C4A-1AA8-4D8F-A26E-5AA154D7A7F6}"/>
    <cellStyle name="Eingabe 4 8" xfId="2012" xr:uid="{7D9CAB65-1E54-4887-A61A-112F0A4AEDD4}"/>
    <cellStyle name="Eingabe 4 9" xfId="2638" xr:uid="{0CD9B3FD-7361-4FDC-8217-CFA1820B68B9}"/>
    <cellStyle name="Eingabe 5" xfId="552" xr:uid="{5810992B-E58A-4D10-90D0-103BAAFFAD27}"/>
    <cellStyle name="Eingabe 5 10" xfId="4453" xr:uid="{982C79FD-9924-47A9-9105-A41CA0FFF2BC}"/>
    <cellStyle name="Eingabe 5 11" xfId="4924" xr:uid="{DF7F573F-6F7B-4CF4-8BC2-BD8A68099DFC}"/>
    <cellStyle name="Eingabe 5 12" xfId="5359" xr:uid="{B072F90E-2654-41D8-AB87-CFFCB709FBA2}"/>
    <cellStyle name="Eingabe 5 2" xfId="767" xr:uid="{3FEC3DCA-626E-4E19-A099-212B989FF8B0}"/>
    <cellStyle name="Eingabe 5 2 10" xfId="5133" xr:uid="{2690AC1F-BBAF-4130-8A0C-21437A4E4D43}"/>
    <cellStyle name="Eingabe 5 2 11" xfId="4699" xr:uid="{068FED7E-E912-489F-BFCE-27920F515D4E}"/>
    <cellStyle name="Eingabe 5 2 2" xfId="1241" xr:uid="{BAC1BF07-CC86-4AC2-900D-16E718A230D8}"/>
    <cellStyle name="Eingabe 5 2 3" xfId="1572" xr:uid="{1999158B-5A03-41F7-B2DA-A2C9A1B005CC}"/>
    <cellStyle name="Eingabe 5 2 4" xfId="2471" xr:uid="{D70F15FA-8A9C-453E-8E00-2607C6E2127F}"/>
    <cellStyle name="Eingabe 5 2 5" xfId="2925" xr:uid="{EB5DE084-2D43-497E-8EBD-845CE2C90145}"/>
    <cellStyle name="Eingabe 5 2 6" xfId="3343" xr:uid="{D1DFB7FB-55FA-40C7-8DAB-0D0D80DB5437}"/>
    <cellStyle name="Eingabe 5 2 7" xfId="3757" xr:uid="{6255CF74-69EE-4BE4-A875-D0A5758E48D6}"/>
    <cellStyle name="Eingabe 5 2 8" xfId="4180" xr:uid="{B0BC7BC2-4B04-4A2F-AE2A-2655987693C8}"/>
    <cellStyle name="Eingabe 5 2 9" xfId="4417" xr:uid="{7C735F52-AC28-4AC9-8941-6602DE1AD27A}"/>
    <cellStyle name="Eingabe 5 3" xfId="1035" xr:uid="{561E0E3F-A31E-4FB7-8090-4A2B4C6CB377}"/>
    <cellStyle name="Eingabe 5 4" xfId="1411" xr:uid="{E34AE605-C262-4A80-98F5-3B6BD5027B1F}"/>
    <cellStyle name="Eingabe 5 5" xfId="2258" xr:uid="{474622F4-D26B-44CB-AA64-411391FA9437}"/>
    <cellStyle name="Eingabe 5 6" xfId="2712" xr:uid="{C171ECB1-6DBB-4D69-956E-5BFCA5ED665F}"/>
    <cellStyle name="Eingabe 5 7" xfId="3129" xr:uid="{B2B85780-DBB6-4C01-8A41-2FFFAB9BD5F3}"/>
    <cellStyle name="Eingabe 5 8" xfId="3542" xr:uid="{2AF1979A-D4C9-45AC-857C-6F4852B2902F}"/>
    <cellStyle name="Eingabe 5 9" xfId="3967" xr:uid="{98DBC8BB-61D2-4705-A1A4-3D6DDE07CEC5}"/>
    <cellStyle name="Eingabe 6" xfId="629" xr:uid="{B190DC21-AB64-42ED-A864-4F0CE325EE4C}"/>
    <cellStyle name="Eingabe 6 10" xfId="2149" xr:uid="{A0251486-16C5-4157-9D35-243AA7378089}"/>
    <cellStyle name="Eingabe 6 11" xfId="5001" xr:uid="{0EB91DA6-EE70-406C-AA10-BEFF903C7689}"/>
    <cellStyle name="Eingabe 6 12" xfId="5430" xr:uid="{18628E11-BA1D-4892-BCEC-DCEDC40C33E1}"/>
    <cellStyle name="Eingabe 6 2" xfId="844" xr:uid="{5116CD5D-D055-4AE6-B8CF-9FDBF1074D0F}"/>
    <cellStyle name="Eingabe 6 2 10" xfId="5210" xr:uid="{6BA6C691-6472-41EB-BECD-2082A6162A78}"/>
    <cellStyle name="Eingabe 6 2 11" xfId="4579" xr:uid="{C282477E-2311-4092-A377-37F45879DB1C}"/>
    <cellStyle name="Eingabe 6 2 2" xfId="1318" xr:uid="{C122B110-D60B-41BC-A03B-E2C26C5F9AB1}"/>
    <cellStyle name="Eingabe 6 2 3" xfId="1767" xr:uid="{FA12ABEB-9A27-48F7-8E96-30E9E772CB8C}"/>
    <cellStyle name="Eingabe 6 2 4" xfId="2548" xr:uid="{C7B2C2C5-6145-45BA-846E-5944CA0B42D2}"/>
    <cellStyle name="Eingabe 6 2 5" xfId="3002" xr:uid="{78616C69-64F5-4C13-A966-3844A9C83A47}"/>
    <cellStyle name="Eingabe 6 2 6" xfId="3420" xr:uid="{97146F86-B542-40FF-BBC3-7295103214E1}"/>
    <cellStyle name="Eingabe 6 2 7" xfId="3834" xr:uid="{112D4045-1674-486E-9DA6-BC38CAA2CBAB}"/>
    <cellStyle name="Eingabe 6 2 8" xfId="4257" xr:uid="{5D167B77-5C3E-4835-874F-0B009C2FB87E}"/>
    <cellStyle name="Eingabe 6 2 9" xfId="4358" xr:uid="{F5084CB1-F941-4B49-8DEF-1D71F631B064}"/>
    <cellStyle name="Eingabe 6 3" xfId="1112" xr:uid="{3C70A5CB-43FD-4C2F-9279-13F6CAAF2F9B}"/>
    <cellStyle name="Eingabe 6 4" xfId="1718" xr:uid="{9AAD5FEC-7A93-4EF0-906D-CB50E652CF13}"/>
    <cellStyle name="Eingabe 6 5" xfId="2335" xr:uid="{41C27F98-1E0F-4C34-BCFF-C379285B781E}"/>
    <cellStyle name="Eingabe 6 6" xfId="2789" xr:uid="{D567401D-0C64-47E1-9B03-30E14C184FEF}"/>
    <cellStyle name="Eingabe 6 7" xfId="3206" xr:uid="{82158845-598E-43DB-AB10-A4DF86B126E1}"/>
    <cellStyle name="Eingabe 6 8" xfId="3619" xr:uid="{CAF45892-46E0-4EF5-86FF-C5874EE92C66}"/>
    <cellStyle name="Eingabe 6 9" xfId="4044" xr:uid="{D6B10DAF-588E-4727-B3EB-B346D48AFE99}"/>
    <cellStyle name="Eingabe 7" xfId="672" xr:uid="{F6F4C502-10F8-4C67-B55F-8808F25BCBA8}"/>
    <cellStyle name="Eingabe 7 10" xfId="4310" xr:uid="{D14754C9-EF55-4BE6-8074-F0EBAED33637}"/>
    <cellStyle name="Eingabe 7 11" xfId="5043" xr:uid="{7CA55F1D-6A6A-421A-AE94-5763C32891AA}"/>
    <cellStyle name="Eingabe 7 12" xfId="5429" xr:uid="{09E3E145-F129-4DC3-B015-24D7C0EA9ADA}"/>
    <cellStyle name="Eingabe 7 2" xfId="886" xr:uid="{860E101F-154A-44BE-9116-B4A77788ACA4}"/>
    <cellStyle name="Eingabe 7 2 10" xfId="5252" xr:uid="{A87FC930-D4E0-4599-88F5-31B2AF545483}"/>
    <cellStyle name="Eingabe 7 2 11" xfId="5480" xr:uid="{58451371-96BB-413D-8CBD-06EAC2CDB677}"/>
    <cellStyle name="Eingabe 7 2 2" xfId="1360" xr:uid="{959EA604-63ED-47F4-A5D9-3352BB37B708}"/>
    <cellStyle name="Eingabe 7 2 3" xfId="1809" xr:uid="{3AE327B1-57CA-404B-85ED-A0D8F58A02D2}"/>
    <cellStyle name="Eingabe 7 2 4" xfId="2590" xr:uid="{BB0F763E-2C9C-4E46-835D-2876F7790F98}"/>
    <cellStyle name="Eingabe 7 2 5" xfId="3044" xr:uid="{CE730A42-02EC-4F3D-807B-A31F96827A94}"/>
    <cellStyle name="Eingabe 7 2 6" xfId="3462" xr:uid="{165BFDD8-6607-4AAC-835D-D081D0B83A9C}"/>
    <cellStyle name="Eingabe 7 2 7" xfId="3876" xr:uid="{8BF2C17B-A9D6-42DB-B13D-210D1223688D}"/>
    <cellStyle name="Eingabe 7 2 8" xfId="4299" xr:uid="{1237D4A2-9DF7-4819-A28F-AD7D3814A829}"/>
    <cellStyle name="Eingabe 7 2 9" xfId="4567" xr:uid="{D42DC195-58A9-407D-94BE-08056DA27113}"/>
    <cellStyle name="Eingabe 7 3" xfId="1154" xr:uid="{E3FCCA24-036B-4D9E-92FE-A9FCEA498912}"/>
    <cellStyle name="Eingabe 7 4" xfId="1629" xr:uid="{63A948C9-833B-417C-8601-2E275A766F73}"/>
    <cellStyle name="Eingabe 7 5" xfId="2377" xr:uid="{2846A259-795D-42E5-AF69-F4F6CC54614A}"/>
    <cellStyle name="Eingabe 7 6" xfId="2832" xr:uid="{859CE8DE-6D91-4FE1-90EE-BD7FBB0B4852}"/>
    <cellStyle name="Eingabe 7 7" xfId="3248" xr:uid="{86153DA9-9E6B-453F-8A9A-6E4D6C825C31}"/>
    <cellStyle name="Eingabe 7 8" xfId="3662" xr:uid="{D55DDB10-9994-4DBA-BF2F-B613C09A4FDE}"/>
    <cellStyle name="Eingabe 7 9" xfId="4087" xr:uid="{A8050E05-69C4-4C04-A4E5-53C8DDDA6128}"/>
    <cellStyle name="Eingabe 8" xfId="681" xr:uid="{CDEB5699-7D30-44E2-B92C-726181CB3B45}"/>
    <cellStyle name="Eingabe 8 10" xfId="5052" xr:uid="{F58A20DD-CED3-48D6-A9E9-E186BD6D9D42}"/>
    <cellStyle name="Eingabe 8 11" xfId="4871" xr:uid="{1F5670EE-919E-436D-BDBA-B3951F944C92}"/>
    <cellStyle name="Eingabe 8 2" xfId="1163" xr:uid="{9946D51A-EC2B-4D6F-B5F4-8034E3DB0233}"/>
    <cellStyle name="Eingabe 8 3" xfId="1598" xr:uid="{0217C734-094C-4F15-AB27-C0EE54A0B6CC}"/>
    <cellStyle name="Eingabe 8 4" xfId="2386" xr:uid="{7F1296C0-19A2-46B6-980D-A02B4050C21D}"/>
    <cellStyle name="Eingabe 8 5" xfId="2841" xr:uid="{DA179AB4-4AC3-410E-BC17-41E2DF561F57}"/>
    <cellStyle name="Eingabe 8 6" xfId="3257" xr:uid="{8E71CC5B-FB5B-4528-80D7-38286FC69619}"/>
    <cellStyle name="Eingabe 8 7" xfId="3671" xr:uid="{67B636BD-1BDD-4019-8322-1396A6EFAA78}"/>
    <cellStyle name="Eingabe 8 8" xfId="4096" xr:uid="{000B6605-DA4C-4478-AF38-312B5C21F26E}"/>
    <cellStyle name="Eingabe 8 9" xfId="3472" xr:uid="{5ABEB88D-AD17-4B68-A446-AEB986A8889E}"/>
    <cellStyle name="Empty_B_border" xfId="21" xr:uid="{B4BD9299-5FF0-4E98-8DD8-8F919F985E72}"/>
    <cellStyle name="Ergebnis" xfId="1735" hidden="1" xr:uid="{F2E023B9-559F-4F18-8968-739CCC5DF223}"/>
    <cellStyle name="Ergebnis" xfId="896" hidden="1" xr:uid="{0C824B67-9479-40A1-9D9B-526EE10970C2}"/>
    <cellStyle name="Ergebnis" xfId="993" hidden="1" xr:uid="{CA3D25A2-70B2-417C-BECF-E2D9777E2E4E}"/>
    <cellStyle name="Ergebnis" xfId="1390" hidden="1" xr:uid="{66114861-91CE-4FB0-9B55-78A47FAF2365}"/>
    <cellStyle name="Ergebnis" xfId="49" hidden="1" xr:uid="{9735342D-F300-496D-8A6C-A709DDEB5EC0}"/>
    <cellStyle name="Ergebnis" xfId="1861" hidden="1" xr:uid="{3A7B3548-7380-4D5D-B0C3-31F907E85494}"/>
    <cellStyle name="Ergebnis" xfId="2206" hidden="1" xr:uid="{C60AADA9-832B-4AB1-9526-1B8E5FF39A06}"/>
    <cellStyle name="Ergebnis" xfId="2667" hidden="1" xr:uid="{49565B12-2630-4FA0-94AB-C74104E7DA15}"/>
    <cellStyle name="Ergebnis" xfId="2101" hidden="1" xr:uid="{57A9FA9C-C2FB-46DE-B57C-2EA4CBAD3BD1}"/>
    <cellStyle name="Ergebnis" xfId="1927" hidden="1" xr:uid="{90BC3207-5775-4283-BAF3-47AD331339DE}"/>
    <cellStyle name="Ergebnis" xfId="2060" hidden="1" xr:uid="{8546D203-6181-40C5-9FB5-476F0C6A0D11}"/>
    <cellStyle name="Ergebnis" xfId="4344" hidden="1" xr:uid="{547F8A3F-4F28-4BCF-952B-13EF0D0693E7}"/>
    <cellStyle name="Ergebnis" xfId="4458" hidden="1" xr:uid="{C3C2923F-8A6E-45AA-AB22-777B4C2862E3}"/>
    <cellStyle name="Ergebnis" xfId="2858" hidden="1" xr:uid="{53805E4B-CF8F-467D-8FE7-060F7D16B775}"/>
    <cellStyle name="Ergebnis" xfId="4421" hidden="1" xr:uid="{31C08E26-071A-47F7-A0C7-868327A006AF}"/>
    <cellStyle name="Ergebnis" xfId="4598" hidden="1" xr:uid="{744B0034-0143-4947-B7BC-7D73819DF55A}"/>
    <cellStyle name="Ergebnis" xfId="4880" hidden="1" xr:uid="{014F28E6-0362-4857-8722-F162C4675CDF}"/>
    <cellStyle name="Ergebnis" xfId="5284" hidden="1" xr:uid="{E14B0C3A-52FF-4A47-B229-EEC3BFCF1E30}"/>
    <cellStyle name="Ergebnis 2" xfId="393" xr:uid="{EF08D523-314A-41BC-9BE0-B9B765445A9E}"/>
    <cellStyle name="Ergebnis 2 10" xfId="1921" xr:uid="{6A4927FF-3EAF-4139-BD22-9DEF014494E4}"/>
    <cellStyle name="Ergebnis 2 11" xfId="4531" xr:uid="{543A570E-A0FB-437C-88E9-071D12E64A78}"/>
    <cellStyle name="Ergebnis 2 12" xfId="4822" xr:uid="{F5996094-727D-49D0-90A2-BCCCAB3AF272}"/>
    <cellStyle name="Ergebnis 2 13" xfId="4696" xr:uid="{F5CC7B52-C053-4D15-A36E-B1D07191ABF6}"/>
    <cellStyle name="Ergebnis 2 2" xfId="649" xr:uid="{8B17F657-FD4F-4690-8A1A-78800C0DC4B0}"/>
    <cellStyle name="Ergebnis 2 2 10" xfId="2612" xr:uid="{71BC5170-9EEA-496D-9B2E-04323D5170BF}"/>
    <cellStyle name="Ergebnis 2 2 11" xfId="5021" xr:uid="{FCA2A3FB-25D9-4E22-9395-5D06C4396ED2}"/>
    <cellStyle name="Ergebnis 2 2 12" xfId="4841" xr:uid="{35201E43-3A82-43BC-804E-14FB30DA0A19}"/>
    <cellStyle name="Ergebnis 2 2 2" xfId="864" xr:uid="{79563E67-E2F7-40EA-87E7-097BC83B91FA}"/>
    <cellStyle name="Ergebnis 2 2 2 10" xfId="5230" xr:uid="{0E74E8EC-A2FC-4581-88C5-0B5EF7A076D3}"/>
    <cellStyle name="Ergebnis 2 2 2 11" xfId="4832" xr:uid="{3E1DA2BB-D304-4226-BC73-DAA87721EAED}"/>
    <cellStyle name="Ergebnis 2 2 2 2" xfId="1338" xr:uid="{B33433D1-9262-4894-AA8F-C1A23D1E14C1}"/>
    <cellStyle name="Ergebnis 2 2 2 3" xfId="1787" xr:uid="{87969E85-55AF-4163-A61B-7595E2F0F683}"/>
    <cellStyle name="Ergebnis 2 2 2 4" xfId="2568" xr:uid="{A8D5054B-1116-4C55-8E79-DCEF494C6047}"/>
    <cellStyle name="Ergebnis 2 2 2 5" xfId="3022" xr:uid="{1858716F-6E4D-409D-A064-939812A4374E}"/>
    <cellStyle name="Ergebnis 2 2 2 6" xfId="3440" xr:uid="{6026116E-D164-4634-BB1C-3D7A47FB285C}"/>
    <cellStyle name="Ergebnis 2 2 2 7" xfId="3854" xr:uid="{A2BBFB78-F781-46E0-B189-74BEB79174AC}"/>
    <cellStyle name="Ergebnis 2 2 2 8" xfId="4277" xr:uid="{34B6CC36-8A02-48D1-AD45-55BCF27F8463}"/>
    <cellStyle name="Ergebnis 2 2 2 9" xfId="4364" xr:uid="{A31AF6E1-F0E8-4105-8C44-215E685E42E9}"/>
    <cellStyle name="Ergebnis 2 2 3" xfId="1132" xr:uid="{24FC4589-9D3E-4067-A0E4-D11A117B509E}"/>
    <cellStyle name="Ergebnis 2 2 4" xfId="1452" xr:uid="{16A685EE-D875-46C3-829E-F271608683CA}"/>
    <cellStyle name="Ergebnis 2 2 5" xfId="2355" xr:uid="{01229D60-1130-4575-9100-C4B327BA5049}"/>
    <cellStyle name="Ergebnis 2 2 6" xfId="2809" xr:uid="{DE9872E3-4541-4073-AF15-5C79BE0C43DA}"/>
    <cellStyle name="Ergebnis 2 2 7" xfId="3226" xr:uid="{5153812A-5759-4AEA-81CF-1CF212115E98}"/>
    <cellStyle name="Ergebnis 2 2 8" xfId="3639" xr:uid="{F5E74EFE-C95A-4E32-8714-11CFDA151725}"/>
    <cellStyle name="Ergebnis 2 2 9" xfId="4064" xr:uid="{C853D1B6-C7CD-42AF-B956-4BEFB461A71F}"/>
    <cellStyle name="Ergebnis 2 3" xfId="581" xr:uid="{5749121F-FEC3-4B19-ACCE-B925C567A5FA}"/>
    <cellStyle name="Ergebnis 2 3 10" xfId="1952" xr:uid="{E156CF7E-CB65-4414-AF01-3B932B4FD77C}"/>
    <cellStyle name="Ergebnis 2 3 11" xfId="4953" xr:uid="{5D4BDE2F-3C10-4B5E-B20D-CF53279543B0}"/>
    <cellStyle name="Ergebnis 2 3 12" xfId="5339" xr:uid="{4A04BFEF-0310-4032-8CFF-B2948033ED66}"/>
    <cellStyle name="Ergebnis 2 3 2" xfId="796" xr:uid="{C63B4B53-B436-4894-AA0E-E9C37DC9D9BB}"/>
    <cellStyle name="Ergebnis 2 3 2 10" xfId="5162" xr:uid="{C7FD5950-F756-45A9-BA5A-78E1728E326B}"/>
    <cellStyle name="Ergebnis 2 3 2 11" xfId="5311" xr:uid="{62337D29-DECC-48E8-B36A-5D84B927393D}"/>
    <cellStyle name="Ergebnis 2 3 2 2" xfId="1270" xr:uid="{B18F32F5-0210-42C2-A9D8-34AFA6C3D9B1}"/>
    <cellStyle name="Ergebnis 2 3 2 3" xfId="1699" xr:uid="{D690D1CA-86AE-41B2-BA0D-73757DDC4307}"/>
    <cellStyle name="Ergebnis 2 3 2 4" xfId="2500" xr:uid="{B4E8DE33-9E9E-44D5-9811-B221F8852BEA}"/>
    <cellStyle name="Ergebnis 2 3 2 5" xfId="2954" xr:uid="{15263D0F-7673-4431-BFF2-8105916E060B}"/>
    <cellStyle name="Ergebnis 2 3 2 6" xfId="3372" xr:uid="{9A3CD196-3C1A-482F-87AB-A642F6B525D5}"/>
    <cellStyle name="Ergebnis 2 3 2 7" xfId="3786" xr:uid="{27DD65F2-F829-4172-85E1-9BE5B73598FA}"/>
    <cellStyle name="Ergebnis 2 3 2 8" xfId="4209" xr:uid="{9280C349-2767-4BFE-A006-6794E2C74B59}"/>
    <cellStyle name="Ergebnis 2 3 2 9" xfId="4386" xr:uid="{A602F203-3A32-4343-9C1D-25B9EF6FD650}"/>
    <cellStyle name="Ergebnis 2 3 3" xfId="1064" xr:uid="{6C48A54D-B71D-4D31-8F2A-7A0EB60F3416}"/>
    <cellStyle name="Ergebnis 2 3 4" xfId="1620" xr:uid="{FE465EC8-91B9-4CB9-B86B-F65160FEB0E8}"/>
    <cellStyle name="Ergebnis 2 3 5" xfId="2287" xr:uid="{45783598-AAD0-43B6-8CDB-10F10BB4FB21}"/>
    <cellStyle name="Ergebnis 2 3 6" xfId="2741" xr:uid="{A4373E8D-E48A-475F-902D-1E7A1833C958}"/>
    <cellStyle name="Ergebnis 2 3 7" xfId="3158" xr:uid="{8AE6FFAB-E2DD-468F-93B0-E5BC532E5994}"/>
    <cellStyle name="Ergebnis 2 3 8" xfId="3571" xr:uid="{C5D211CC-DDD5-419B-8AB0-416AEC77CBD8}"/>
    <cellStyle name="Ergebnis 2 3 9" xfId="3996" xr:uid="{10EA7105-F096-4DD0-BD21-5CB73BCC8EE6}"/>
    <cellStyle name="Ergebnis 2 4" xfId="572" xr:uid="{93E8AEC1-F932-4AA0-A10B-C2A74804F90A}"/>
    <cellStyle name="Ergebnis 2 4 10" xfId="1835" xr:uid="{F5D58199-5942-4E35-8D38-B497D6F18833}"/>
    <cellStyle name="Ergebnis 2 4 11" xfId="4944" xr:uid="{0414B142-129E-4766-B408-A174B61CB3A2}"/>
    <cellStyle name="Ergebnis 2 4 12" xfId="4849" xr:uid="{D18CB7B3-28A9-4E94-8116-5D71A1B8F568}"/>
    <cellStyle name="Ergebnis 2 4 2" xfId="787" xr:uid="{70A5A05D-E7FB-44A0-8C2C-68B0D785D3F2}"/>
    <cellStyle name="Ergebnis 2 4 2 10" xfId="5153" xr:uid="{DE990A43-2ABD-4532-BAD2-952723590B49}"/>
    <cellStyle name="Ergebnis 2 4 2 11" xfId="4645" xr:uid="{F28B075A-9065-4F35-B5DC-069C587B1821}"/>
    <cellStyle name="Ergebnis 2 4 2 2" xfId="1261" xr:uid="{8803F670-975E-499C-A5D9-EF78A432DE3A}"/>
    <cellStyle name="Ergebnis 2 4 2 3" xfId="1561" xr:uid="{44F8124E-849A-4AB5-8CF5-D9C303858BF7}"/>
    <cellStyle name="Ergebnis 2 4 2 4" xfId="2491" xr:uid="{6F783F4F-9CBD-420F-B2D9-17472F992974}"/>
    <cellStyle name="Ergebnis 2 4 2 5" xfId="2945" xr:uid="{FBC41206-9CD7-4BD0-AD51-0EE0EF488219}"/>
    <cellStyle name="Ergebnis 2 4 2 6" xfId="3363" xr:uid="{EA3A8A46-A25B-426B-9DAF-CAA206AA1297}"/>
    <cellStyle name="Ergebnis 2 4 2 7" xfId="3777" xr:uid="{73508BFA-2D39-4E13-A11C-307B1312CA18}"/>
    <cellStyle name="Ergebnis 2 4 2 8" xfId="4200" xr:uid="{3B712E13-7783-4F0D-9E85-CBF5F596F9D7}"/>
    <cellStyle name="Ergebnis 2 4 2 9" xfId="3485" xr:uid="{080BA879-9439-487E-B781-AE94A98C9E0A}"/>
    <cellStyle name="Ergebnis 2 4 3" xfId="1055" xr:uid="{5EDDFACC-545A-41EA-A23F-1A47D5CB25F6}"/>
    <cellStyle name="Ergebnis 2 4 4" xfId="1527" xr:uid="{BB994755-DB78-437A-A0BD-DA7D82964C20}"/>
    <cellStyle name="Ergebnis 2 4 5" xfId="2278" xr:uid="{D389DD59-40AC-470F-A369-2C07C2380B97}"/>
    <cellStyle name="Ergebnis 2 4 6" xfId="2732" xr:uid="{924FAB8F-F2EF-432D-8CA7-DA266CF32A94}"/>
    <cellStyle name="Ergebnis 2 4 7" xfId="3149" xr:uid="{EA9E6196-5F52-49E6-B889-C281D0F0C083}"/>
    <cellStyle name="Ergebnis 2 4 8" xfId="3562" xr:uid="{1F73F6CC-D443-4FAD-A202-F270823449F7}"/>
    <cellStyle name="Ergebnis 2 4 9" xfId="3987" xr:uid="{69D62924-A2AE-4ED7-A71F-D0F50A4CB70E}"/>
    <cellStyle name="Ergebnis 2 5" xfId="707" xr:uid="{CBD16545-AA45-4CCB-904E-1D1FA2B20B14}"/>
    <cellStyle name="Ergebnis 2 5 10" xfId="5073" xr:uid="{BBCEB5D6-859A-4AB0-B882-1EBF79453C71}"/>
    <cellStyle name="Ergebnis 2 5 11" xfId="4705" xr:uid="{D77299BA-0F27-489F-9920-43BD81C3178C}"/>
    <cellStyle name="Ergebnis 2 5 2" xfId="1181" xr:uid="{8F656179-48E3-40E8-9979-BF7B3B8F90A7}"/>
    <cellStyle name="Ergebnis 2 5 3" xfId="1538" xr:uid="{B644703F-A570-4613-8D2E-C08D65A1A27A}"/>
    <cellStyle name="Ergebnis 2 5 4" xfId="2411" xr:uid="{3CED7737-4B41-4BF3-8C0B-F28770E5F64F}"/>
    <cellStyle name="Ergebnis 2 5 5" xfId="2865" xr:uid="{40EB3F64-A28A-4F93-AADB-5292D7F57E58}"/>
    <cellStyle name="Ergebnis 2 5 6" xfId="3283" xr:uid="{B8FCCDD8-8962-4994-84E4-C9C1C0DC2C6D}"/>
    <cellStyle name="Ergebnis 2 5 7" xfId="3697" xr:uid="{1799A866-D620-4A7A-83AC-8488B60F1567}"/>
    <cellStyle name="Ergebnis 2 5 8" xfId="4120" xr:uid="{AE6C0C71-0400-45F6-A065-F3935541E68B}"/>
    <cellStyle name="Ergebnis 2 5 9" xfId="4327" xr:uid="{AA1B0AC2-6D01-4CAE-8E94-C75DC46A1A18}"/>
    <cellStyle name="Ergebnis 2 6" xfId="979" xr:uid="{46C58A7B-AC49-4C17-AFF4-BA9DC4322726}"/>
    <cellStyle name="Ergebnis 2 7" xfId="2128" xr:uid="{B3E77E94-8910-41E5-AA1E-4D7C053D6774}"/>
    <cellStyle name="Ergebnis 2 8" xfId="1816" xr:uid="{65D803D8-70CD-4B44-A7D4-04757BF86990}"/>
    <cellStyle name="Ergebnis 2 9" xfId="2857" xr:uid="{AB67496C-1ED1-4A09-A78B-41FCF09C50AD}"/>
    <cellStyle name="Ergebnis 3" xfId="286" xr:uid="{4201BECD-02A0-41E0-BE2B-46A0BA935D77}"/>
    <cellStyle name="Ergebnis 3 10" xfId="2651" xr:uid="{4E7A26A3-C0C4-4DCB-B6BB-AC3742C31800}"/>
    <cellStyle name="Ergebnis 3 11" xfId="4463" xr:uid="{161526C4-EC6E-45AD-AAFD-5BF238EDB109}"/>
    <cellStyle name="Ergebnis 3 12" xfId="4748" xr:uid="{AE3DEADD-E35A-4CAF-AD22-327EE0DA93CC}"/>
    <cellStyle name="Ergebnis 3 13" xfId="5264" xr:uid="{8BF4A967-4E6B-41BA-A2ED-88589527EDC5}"/>
    <cellStyle name="Ergebnis 3 2" xfId="623" xr:uid="{54E29AF0-F95F-4EC4-BF01-F7834B375F91}"/>
    <cellStyle name="Ergebnis 3 2 10" xfId="4388" xr:uid="{64BF49E2-0F52-47AA-89B0-EC564F63DAB0}"/>
    <cellStyle name="Ergebnis 3 2 11" xfId="4995" xr:uid="{7A44B264-3D5A-4305-A901-F3594B0A5D32}"/>
    <cellStyle name="Ergebnis 3 2 12" xfId="4673" xr:uid="{52F223D8-7B39-4858-B192-235F20D5EDC8}"/>
    <cellStyle name="Ergebnis 3 2 2" xfId="838" xr:uid="{9F6CD28A-96CE-404C-BFC1-C1D432A5A0D7}"/>
    <cellStyle name="Ergebnis 3 2 2 10" xfId="5204" xr:uid="{6E53AAEB-94F1-4346-A51C-1924809D5872}"/>
    <cellStyle name="Ergebnis 3 2 2 11" xfId="5290" xr:uid="{8B528B12-58B9-4D4E-867A-5BCEA9920634}"/>
    <cellStyle name="Ergebnis 3 2 2 2" xfId="1312" xr:uid="{3736F302-F4D4-461A-B506-3C205DE6D1AF}"/>
    <cellStyle name="Ergebnis 3 2 2 3" xfId="1761" xr:uid="{09797AAA-9ED9-4C98-8C5B-6B8E158C190F}"/>
    <cellStyle name="Ergebnis 3 2 2 4" xfId="2542" xr:uid="{E7D97389-E760-4025-AD6B-059A9B91C49F}"/>
    <cellStyle name="Ergebnis 3 2 2 5" xfId="2996" xr:uid="{91DBC7F6-A3D9-4190-8597-F797CB08A003}"/>
    <cellStyle name="Ergebnis 3 2 2 6" xfId="3414" xr:uid="{120FFF17-DB2E-446C-B62A-9EC1BD93E4E9}"/>
    <cellStyle name="Ergebnis 3 2 2 7" xfId="3828" xr:uid="{6F0C8261-770E-460C-B48B-D4F75D0D6764}"/>
    <cellStyle name="Ergebnis 3 2 2 8" xfId="4251" xr:uid="{EBCF657D-A9B8-4893-AEA3-788D534DB0D5}"/>
    <cellStyle name="Ergebnis 3 2 2 9" xfId="4493" xr:uid="{C499D708-DCE8-48C1-8E2C-4521B30A633D}"/>
    <cellStyle name="Ergebnis 3 2 3" xfId="1106" xr:uid="{B31ADEBA-49BD-4752-A901-8FC84344CB0C}"/>
    <cellStyle name="Ergebnis 3 2 4" xfId="1453" xr:uid="{11A76C73-6607-4F38-A6F6-10219CFFBA41}"/>
    <cellStyle name="Ergebnis 3 2 5" xfId="2329" xr:uid="{36B6F7AA-C2D5-4C73-8FCA-8B422A174847}"/>
    <cellStyle name="Ergebnis 3 2 6" xfId="2783" xr:uid="{846DCF5D-3D5F-4E1E-AA10-BCFA0551D1E0}"/>
    <cellStyle name="Ergebnis 3 2 7" xfId="3200" xr:uid="{02F281C6-95EB-408E-A630-E165EE4EF113}"/>
    <cellStyle name="Ergebnis 3 2 8" xfId="3613" xr:uid="{B3E0C383-2243-4B4B-BB61-DDCBF32DAF17}"/>
    <cellStyle name="Ergebnis 3 2 9" xfId="4038" xr:uid="{35948DC6-F12F-4FD5-AE81-2E75000B2882}"/>
    <cellStyle name="Ergebnis 3 3" xfId="537" xr:uid="{D8593204-F920-477E-8E6C-79F58140C107}"/>
    <cellStyle name="Ergebnis 3 3 10" xfId="2022" xr:uid="{DF6E0A52-29A5-4D2B-87DA-63782C6B19C2}"/>
    <cellStyle name="Ergebnis 3 3 11" xfId="4909" xr:uid="{C549F0BC-F72F-4E4E-B377-B89CDB7267F0}"/>
    <cellStyle name="Ergebnis 3 3 12" xfId="5299" xr:uid="{E01CADB8-DF7A-40BE-9259-5A0A44ACC910}"/>
    <cellStyle name="Ergebnis 3 3 2" xfId="752" xr:uid="{64254F16-9BCA-46B6-92D3-E785771CC9E0}"/>
    <cellStyle name="Ergebnis 3 3 2 10" xfId="5118" xr:uid="{091BEAF9-7177-4FCC-ABDD-01F76D06A0EF}"/>
    <cellStyle name="Ergebnis 3 3 2 11" xfId="4719" xr:uid="{9123F5B6-FA11-4F4F-AF66-D247EBB30880}"/>
    <cellStyle name="Ergebnis 3 3 2 2" xfId="1226" xr:uid="{D63717F5-12C5-411A-A714-933EEB78BFA8}"/>
    <cellStyle name="Ergebnis 3 3 2 3" xfId="1513" xr:uid="{8F28F072-54C5-4A5D-A4F6-C021E094DEAF}"/>
    <cellStyle name="Ergebnis 3 3 2 4" xfId="2456" xr:uid="{CC37349F-53CB-4276-B557-F1345AEA5105}"/>
    <cellStyle name="Ergebnis 3 3 2 5" xfId="2910" xr:uid="{0F958C0D-C206-4B66-94E9-1328C394D82B}"/>
    <cellStyle name="Ergebnis 3 3 2 6" xfId="3328" xr:uid="{FBFC7F34-659C-4C61-9815-78F8FC52A24E}"/>
    <cellStyle name="Ergebnis 3 3 2 7" xfId="3742" xr:uid="{4EBBBCF4-2B65-476B-AB10-E0671ECEF322}"/>
    <cellStyle name="Ergebnis 3 3 2 8" xfId="4165" xr:uid="{CD56FAE4-3217-4334-A24B-2D0C2BE4F352}"/>
    <cellStyle name="Ergebnis 3 3 2 9" xfId="2657" xr:uid="{8E542007-8ED7-4950-9DF6-709FA2745ECC}"/>
    <cellStyle name="Ergebnis 3 3 3" xfId="1020" xr:uid="{B60F38E1-D5C4-4EAE-9DDF-B9DD17B212D6}"/>
    <cellStyle name="Ergebnis 3 3 4" xfId="1642" xr:uid="{D5417034-C7B4-463D-B63E-5BB481B8EFD1}"/>
    <cellStyle name="Ergebnis 3 3 5" xfId="2243" xr:uid="{5EF599C5-23F8-4D2D-AB0D-7ED50652B56E}"/>
    <cellStyle name="Ergebnis 3 3 6" xfId="2697" xr:uid="{0C56839C-B6B7-43C8-9F36-33FA9EEEBE59}"/>
    <cellStyle name="Ergebnis 3 3 7" xfId="3114" xr:uid="{F76FC2E6-7214-4AB9-930B-3290AD4309A7}"/>
    <cellStyle name="Ergebnis 3 3 8" xfId="3527" xr:uid="{3AAD15B7-6F6C-43F4-8A46-34E8B7EF8790}"/>
    <cellStyle name="Ergebnis 3 3 9" xfId="3952" xr:uid="{80883C49-EF6F-4621-895A-9B4F1D71060D}"/>
    <cellStyle name="Ergebnis 3 4" xfId="564" xr:uid="{E2C5296F-9785-41CA-B17D-1F39D0DB02A8}"/>
    <cellStyle name="Ergebnis 3 4 10" xfId="4085" xr:uid="{EE4BCDE8-08E5-4C44-90BA-1188A9EF84AC}"/>
    <cellStyle name="Ergebnis 3 4 11" xfId="4936" xr:uid="{764C0CAC-927D-4B55-8296-E7A0819DDE02}"/>
    <cellStyle name="Ergebnis 3 4 12" xfId="5393" xr:uid="{31D0625F-88D1-45FA-8AEA-709BA2A8CE10}"/>
    <cellStyle name="Ergebnis 3 4 2" xfId="779" xr:uid="{3FD1FFBF-E1AE-4F2B-9D30-8039DB9B5F39}"/>
    <cellStyle name="Ergebnis 3 4 2 10" xfId="5145" xr:uid="{AE77C797-E0A6-4F26-9160-5A7CC9AF48D2}"/>
    <cellStyle name="Ergebnis 3 4 2 11" xfId="4642" xr:uid="{C4C8E765-A8B6-473F-B815-B744A95BE64C}"/>
    <cellStyle name="Ergebnis 3 4 2 2" xfId="1253" xr:uid="{151A3357-F547-47FB-8503-A6022AB923A3}"/>
    <cellStyle name="Ergebnis 3 4 2 3" xfId="1427" xr:uid="{79DD957A-9D7E-47F6-9864-722E73E2C745}"/>
    <cellStyle name="Ergebnis 3 4 2 4" xfId="2483" xr:uid="{5C273743-0B31-4BA8-A964-519BAE9385C5}"/>
    <cellStyle name="Ergebnis 3 4 2 5" xfId="2937" xr:uid="{480594B3-FCCA-4E41-82AC-E988449794F5}"/>
    <cellStyle name="Ergebnis 3 4 2 6" xfId="3355" xr:uid="{14C4878A-4F67-48E8-8379-F659EF9E2D7B}"/>
    <cellStyle name="Ergebnis 3 4 2 7" xfId="3769" xr:uid="{F3F07A20-42FC-43D3-A600-0064C0F80FF2}"/>
    <cellStyle name="Ergebnis 3 4 2 8" xfId="4192" xr:uid="{B9A4A0C4-84F1-431C-B5FB-2AC19372ED81}"/>
    <cellStyle name="Ergebnis 3 4 2 9" xfId="3898" xr:uid="{2ED480B6-0289-4517-980C-0CC4E371661F}"/>
    <cellStyle name="Ergebnis 3 4 3" xfId="1047" xr:uid="{E3E97DB4-C0C9-47D8-B8AB-1A4D08A11A51}"/>
    <cellStyle name="Ergebnis 3 4 4" xfId="1582" xr:uid="{6F0E2FED-52B3-4010-BE52-7AFCEB8F726D}"/>
    <cellStyle name="Ergebnis 3 4 5" xfId="2270" xr:uid="{63A90D71-8633-407C-B892-394C0EFD7B3C}"/>
    <cellStyle name="Ergebnis 3 4 6" xfId="2724" xr:uid="{04D0EA93-99E5-4E2E-B621-B95AFC27B9CE}"/>
    <cellStyle name="Ergebnis 3 4 7" xfId="3141" xr:uid="{C40BB869-BF6B-49B0-863A-48C89C237EF6}"/>
    <cellStyle name="Ergebnis 3 4 8" xfId="3554" xr:uid="{18FCD770-A2BF-41C5-905F-01445EEE01A3}"/>
    <cellStyle name="Ergebnis 3 4 9" xfId="3979" xr:uid="{9B06A3E8-D01B-485A-AF4F-9CD024F452D9}"/>
    <cellStyle name="Ergebnis 3 5" xfId="703" xr:uid="{E9F684B1-1AF1-42D2-AD5E-5BEA3BD4E0AC}"/>
    <cellStyle name="Ergebnis 3 5 10" xfId="5070" xr:uid="{811B55B6-D544-4A3C-8405-E52529E06B6A}"/>
    <cellStyle name="Ergebnis 3 5 11" xfId="4808" xr:uid="{4A0FE79B-EB27-42B4-B845-2614BCFEB5F9}"/>
    <cellStyle name="Ergebnis 3 5 2" xfId="1178" xr:uid="{8DC4AB8B-5056-40A4-92BF-9EE09F04D0B8}"/>
    <cellStyle name="Ergebnis 3 5 3" xfId="1539" xr:uid="{A9EEA9FB-A935-4E89-8CE1-BF9F5A1A5850}"/>
    <cellStyle name="Ergebnis 3 5 4" xfId="2407" xr:uid="{59588EA3-04A4-4C17-B914-0F920B12690B}"/>
    <cellStyle name="Ergebnis 3 5 5" xfId="2861" xr:uid="{88F15D0D-4845-4326-A5BA-D9124E480704}"/>
    <cellStyle name="Ergebnis 3 5 6" xfId="3279" xr:uid="{A97C2536-0B4D-467D-ACEB-B0B28FB257C3}"/>
    <cellStyle name="Ergebnis 3 5 7" xfId="3693" xr:uid="{C6FC00DF-9E06-4040-A083-9D47C381E582}"/>
    <cellStyle name="Ergebnis 3 5 8" xfId="4116" xr:uid="{7BEEF16A-4F32-4C52-AAB7-12587DC44CF7}"/>
    <cellStyle name="Ergebnis 3 5 9" xfId="1904" xr:uid="{A3460F62-636F-400E-914A-04CCE53E8CE6}"/>
    <cellStyle name="Ergebnis 3 6" xfId="961" xr:uid="{75EBB351-6DD1-4F6B-8386-8E0F964B9DFC}"/>
    <cellStyle name="Ergebnis 3 7" xfId="2049" xr:uid="{56CBBC8E-7F84-4035-AB8B-DDADDC7729F0}"/>
    <cellStyle name="Ergebnis 3 8" xfId="2057" xr:uid="{06896A86-5906-4BA8-B6C2-688023187249}"/>
    <cellStyle name="Ergebnis 3 9" xfId="2640" xr:uid="{85B5FBBF-0863-43C9-A747-D7104F9CE2AE}"/>
    <cellStyle name="Ergebnis 4" xfId="553" xr:uid="{45F2BA37-7815-4AD1-8292-AEA357DB24C4}"/>
    <cellStyle name="Ergebnis 4 10" xfId="4541" xr:uid="{C43F70EF-77BE-4FFA-9D52-1223A7067274}"/>
    <cellStyle name="Ergebnis 4 11" xfId="4925" xr:uid="{AAC0FD90-BC77-463C-90C0-B5D248ABA02E}"/>
    <cellStyle name="Ergebnis 4 12" xfId="5455" xr:uid="{1FD9A83D-9BFF-4CD0-8EBF-7B3BDD6CD9C8}"/>
    <cellStyle name="Ergebnis 4 2" xfId="768" xr:uid="{2DC466D7-2721-4027-87E5-C9845C845E3A}"/>
    <cellStyle name="Ergebnis 4 2 10" xfId="5134" xr:uid="{64A94412-7D54-46F8-8CE4-C563A18A23EF}"/>
    <cellStyle name="Ergebnis 4 2 11" xfId="4859" xr:uid="{79202CC8-B197-4952-BD48-C1675630826F}"/>
    <cellStyle name="Ergebnis 4 2 2" xfId="1242" xr:uid="{72C9361E-2834-4592-88F4-A976C5B64ED8}"/>
    <cellStyle name="Ergebnis 4 2 3" xfId="1433" xr:uid="{E691D428-BFF2-4747-A950-D91606D4D468}"/>
    <cellStyle name="Ergebnis 4 2 4" xfId="2472" xr:uid="{B2D162CF-4312-47E8-87E2-B78EBC172CE7}"/>
    <cellStyle name="Ergebnis 4 2 5" xfId="2926" xr:uid="{2C58CE90-12FB-4EE6-A6AB-3C62CFA2B7E7}"/>
    <cellStyle name="Ergebnis 4 2 6" xfId="3344" xr:uid="{6E777F5A-03DC-43A0-83C4-8542A73D3155}"/>
    <cellStyle name="Ergebnis 4 2 7" xfId="3758" xr:uid="{5AB9B481-5FE5-4D39-ABC3-CCC1F915BFAF}"/>
    <cellStyle name="Ergebnis 4 2 8" xfId="4181" xr:uid="{D2A31004-41E5-45CE-9C7B-E2C37C5DDB59}"/>
    <cellStyle name="Ergebnis 4 2 9" xfId="4507" xr:uid="{C980A489-B862-431E-8AFA-1EE891863EFC}"/>
    <cellStyle name="Ergebnis 4 3" xfId="1036" xr:uid="{639E79CB-3ACA-41A6-969D-F0FE174DDDD1}"/>
    <cellStyle name="Ergebnis 4 4" xfId="1674" xr:uid="{321300C9-FC4F-4B69-9640-6F5F060FEF2F}"/>
    <cellStyle name="Ergebnis 4 5" xfId="2259" xr:uid="{BED99D3B-8F84-472C-9C21-1D425A71691B}"/>
    <cellStyle name="Ergebnis 4 6" xfId="2713" xr:uid="{5E0AF25F-91DC-4B1D-BF29-6057E83AAD5B}"/>
    <cellStyle name="Ergebnis 4 7" xfId="3130" xr:uid="{8E07FD78-481B-4877-B08F-AFE6C0572535}"/>
    <cellStyle name="Ergebnis 4 8" xfId="3543" xr:uid="{9A3BA89E-72B4-4914-83BA-65C22C7C0FF0}"/>
    <cellStyle name="Ergebnis 4 9" xfId="3968" xr:uid="{2DBA14D2-2FBF-4774-ADA5-EDB5C7651253}"/>
    <cellStyle name="Ergebnis 5" xfId="627" xr:uid="{415E1329-B024-4A6B-829F-74950D0644E8}"/>
    <cellStyle name="Ergebnis 5 10" xfId="4109" xr:uid="{10D05D0F-EEF3-48D8-87DA-4CFFCABE1A93}"/>
    <cellStyle name="Ergebnis 5 11" xfId="4999" xr:uid="{0E27550B-15B7-44A7-9083-07820B91E39B}"/>
    <cellStyle name="Ergebnis 5 12" xfId="5404" xr:uid="{1BCCECA1-4B11-42E8-95DF-79730E71E4D5}"/>
    <cellStyle name="Ergebnis 5 2" xfId="842" xr:uid="{959AD402-7521-4AFF-91F0-B994BB2DDD3B}"/>
    <cellStyle name="Ergebnis 5 2 10" xfId="5208" xr:uid="{C421A0F2-56F8-467E-8576-282000AD1303}"/>
    <cellStyle name="Ergebnis 5 2 11" xfId="4756" xr:uid="{92EEE9C3-DBA1-431D-A7E1-C082D55CF182}"/>
    <cellStyle name="Ergebnis 5 2 2" xfId="1316" xr:uid="{823638C4-1266-4E77-B53C-96362AE9DD95}"/>
    <cellStyle name="Ergebnis 5 2 3" xfId="1765" xr:uid="{049B296A-13CA-481F-A143-588269F92691}"/>
    <cellStyle name="Ergebnis 5 2 4" xfId="2546" xr:uid="{4849B429-0E8D-4D46-B198-F7CB8733B3E2}"/>
    <cellStyle name="Ergebnis 5 2 5" xfId="3000" xr:uid="{D530A429-6CB7-4143-950A-C1D3018A255C}"/>
    <cellStyle name="Ergebnis 5 2 6" xfId="3418" xr:uid="{62E218C8-027D-4E98-AA2F-6F81BDBB9FB8}"/>
    <cellStyle name="Ergebnis 5 2 7" xfId="3832" xr:uid="{74DBEA73-585D-41DD-B087-A8EDA46441D9}"/>
    <cellStyle name="Ergebnis 5 2 8" xfId="4255" xr:uid="{2C8934C1-072E-405D-BD68-2C9539452DEC}"/>
    <cellStyle name="Ergebnis 5 2 9" xfId="2611" xr:uid="{2EF0EE81-510F-4BD1-9A8C-F6A37DEED091}"/>
    <cellStyle name="Ergebnis 5 3" xfId="1110" xr:uid="{00E35B10-095C-43EC-9EB1-DD559B1489C8}"/>
    <cellStyle name="Ergebnis 5 4" xfId="1708" xr:uid="{8BAA7851-D687-469D-B4CA-627A65AA5121}"/>
    <cellStyle name="Ergebnis 5 5" xfId="2333" xr:uid="{C4030993-A108-4EC2-A4EA-18AE549751CA}"/>
    <cellStyle name="Ergebnis 5 6" xfId="2787" xr:uid="{124BFD4B-711E-484D-9DB9-D9C7AB2841D9}"/>
    <cellStyle name="Ergebnis 5 7" xfId="3204" xr:uid="{A9A8B2EC-D939-4CAE-A378-3B8E86A68B62}"/>
    <cellStyle name="Ergebnis 5 8" xfId="3617" xr:uid="{894838A0-5A9E-45CA-8EC5-47A9CCC4AE39}"/>
    <cellStyle name="Ergebnis 5 9" xfId="4042" xr:uid="{CB4EEFF3-A2DD-4281-B1B4-BA89AC2325F9}"/>
    <cellStyle name="Ergebnis 6" xfId="634" xr:uid="{D921398B-05F5-40FF-98C7-DC65241FAA9F}"/>
    <cellStyle name="Ergebnis 6 10" xfId="2020" xr:uid="{D5932755-FAAC-4138-8366-7BCB199DAA41}"/>
    <cellStyle name="Ergebnis 6 11" xfId="5006" xr:uid="{A3ADC93B-D2ED-408D-8AB2-A31CE1BC6973}"/>
    <cellStyle name="Ergebnis 6 12" xfId="5318" xr:uid="{A3A78068-3277-4436-990C-80A71A18FD17}"/>
    <cellStyle name="Ergebnis 6 2" xfId="849" xr:uid="{30B951B7-76CE-49F2-A476-CD93CE0B6103}"/>
    <cellStyle name="Ergebnis 6 2 10" xfId="5215" xr:uid="{D76747BD-AFC1-4D98-A4FD-12C625703011}"/>
    <cellStyle name="Ergebnis 6 2 11" xfId="4867" xr:uid="{1748021D-B145-4BBB-A440-1B166140F4C2}"/>
    <cellStyle name="Ergebnis 6 2 2" xfId="1323" xr:uid="{897D3228-3F49-4401-AF8C-4E0A7072FCB4}"/>
    <cellStyle name="Ergebnis 6 2 3" xfId="1772" xr:uid="{C5E7C9CF-D932-4CB7-83C0-6E765E88BEBF}"/>
    <cellStyle name="Ergebnis 6 2 4" xfId="2553" xr:uid="{EA2C0325-0C63-4CF5-BD93-B24A91D54479}"/>
    <cellStyle name="Ergebnis 6 2 5" xfId="3007" xr:uid="{A76FCE0A-C03A-48A5-9D19-612B51BF7E30}"/>
    <cellStyle name="Ergebnis 6 2 6" xfId="3425" xr:uid="{2D0EA5BF-8268-49BB-B5A4-9B3B1929B5E6}"/>
    <cellStyle name="Ergebnis 6 2 7" xfId="3839" xr:uid="{4EC9F3B5-CFCC-4FA4-86D7-72FFA1756D6E}"/>
    <cellStyle name="Ergebnis 6 2 8" xfId="4262" xr:uid="{550EF25A-65F8-423B-A3E8-8B3B2AB85447}"/>
    <cellStyle name="Ergebnis 6 2 9" xfId="4333" xr:uid="{EF2DF933-3F4C-4958-92D0-0FA32EDC538C}"/>
    <cellStyle name="Ergebnis 6 3" xfId="1117" xr:uid="{FC7C49FC-5CF0-4CA9-8041-05BB1E2E6F5F}"/>
    <cellStyle name="Ergebnis 6 4" xfId="1684" xr:uid="{A72AC744-85A6-466A-8660-E4CA352FCE0C}"/>
    <cellStyle name="Ergebnis 6 5" xfId="2340" xr:uid="{933C06A7-1544-452E-A48E-6D66BBDC1BEB}"/>
    <cellStyle name="Ergebnis 6 6" xfId="2794" xr:uid="{FD8F8D90-A722-4278-B022-102C0253CA42}"/>
    <cellStyle name="Ergebnis 6 7" xfId="3211" xr:uid="{B7D5CD5C-4FFB-40A1-96B1-FEEAD6CEC57A}"/>
    <cellStyle name="Ergebnis 6 8" xfId="3624" xr:uid="{197E4DF8-E1B1-4CB4-92A0-99D856E4DA64}"/>
    <cellStyle name="Ergebnis 6 9" xfId="4049" xr:uid="{E0845D5F-F315-4986-B2F9-43584F0C256B}"/>
    <cellStyle name="Ergebnis 7" xfId="682" xr:uid="{B750EA32-5882-4883-8CDD-AD19EF7AF3B5}"/>
    <cellStyle name="Ergebnis 7 10" xfId="5053" xr:uid="{A8CD4558-0FA1-4D64-BA60-6033A9AB87A1}"/>
    <cellStyle name="Ergebnis 7 11" xfId="5457" xr:uid="{A7EC15F4-6009-45CB-8F16-C5686B6635D1}"/>
    <cellStyle name="Ergebnis 7 2" xfId="1164" xr:uid="{F0C0A8C7-AB28-4D89-9C84-528E78EE10EF}"/>
    <cellStyle name="Ergebnis 7 3" xfId="1722" xr:uid="{FCF744C4-6E19-4502-8E1D-90EE990CA456}"/>
    <cellStyle name="Ergebnis 7 4" xfId="2387" xr:uid="{7C203931-0897-496D-BC13-99C335B40A26}"/>
    <cellStyle name="Ergebnis 7 5" xfId="2842" xr:uid="{3170AA25-CA3E-4560-81EC-7EF21CC810A7}"/>
    <cellStyle name="Ergebnis 7 6" xfId="3258" xr:uid="{2F42DE3F-5661-435D-B7F7-3C22D09CDE73}"/>
    <cellStyle name="Ergebnis 7 7" xfId="3672" xr:uid="{4AC36324-AD57-4012-BDCE-DC95F160C70D}"/>
    <cellStyle name="Ergebnis 7 8" xfId="4097" xr:uid="{684A2FE2-3D10-4519-BBA4-DB6B0E699818}"/>
    <cellStyle name="Ergebnis 7 9" xfId="4543" xr:uid="{108493A1-6884-4B15-AC8D-4521263730E2}"/>
    <cellStyle name="Erklärender Text" xfId="1599" hidden="1" xr:uid="{94F9A3CE-2B13-4572-9DE7-1FA14EEDBB40}"/>
    <cellStyle name="Erklärender Text" xfId="895" hidden="1" xr:uid="{F2423B8B-994A-40F5-83C2-760C70CA1D03}"/>
    <cellStyle name="Erklärender Text" xfId="966" hidden="1" xr:uid="{43471BE0-3CFF-428F-B6F3-B7F252766864}"/>
    <cellStyle name="Erklärender Text" xfId="1389" hidden="1" xr:uid="{D99E5D00-1126-474C-9F6D-FD7B248867DB}"/>
    <cellStyle name="Erklärender Text" xfId="48" hidden="1" xr:uid="{E845483F-6FD1-4F2B-816B-45FDB57A505A}"/>
    <cellStyle name="Erklärender Text" xfId="1860" hidden="1" xr:uid="{D7756F74-BE9A-4C59-B644-22B61F605EC8}"/>
    <cellStyle name="Erklärender Text" xfId="2205" hidden="1" xr:uid="{1DA950F8-6434-4D3D-8C20-5CE973F0F88A}"/>
    <cellStyle name="Erklärender Text" xfId="1987" hidden="1" xr:uid="{2AAA5788-DB2F-4138-BF29-E448D10B5AA9}"/>
    <cellStyle name="Erklärender Text" xfId="2190" hidden="1" xr:uid="{BBA26E84-DE6B-4E92-8B31-5C125FF85DBE}"/>
    <cellStyle name="Erklärender Text" xfId="2597" hidden="1" xr:uid="{4F7D79D3-D344-4B6E-93F6-6EAD74B0610E}"/>
    <cellStyle name="Erklärender Text" xfId="2087" hidden="1" xr:uid="{65270123-750A-4C79-8055-DB0D342BEC29}"/>
    <cellStyle name="Erklärender Text" xfId="4446" hidden="1" xr:uid="{04F4D66D-7532-42F5-8EB6-5FAA6D2867F9}"/>
    <cellStyle name="Erklärender Text" xfId="2079" hidden="1" xr:uid="{B4A98006-7CE5-4EDF-BFB3-9651EA1BDAAB}"/>
    <cellStyle name="Erklärender Text" xfId="1932" hidden="1" xr:uid="{576CB431-4DBC-440B-A4C2-EC3F1A21F564}"/>
    <cellStyle name="Erklärender Text" xfId="3895" hidden="1" xr:uid="{66E69E47-E398-4D2C-A827-4319599CF73F}"/>
    <cellStyle name="Erklärender Text" xfId="4597" hidden="1" xr:uid="{66FF9E1C-F4E5-4115-9CB3-402B8D06CB6B}"/>
    <cellStyle name="Erklärender Text" xfId="4779" hidden="1" xr:uid="{8B431B77-85E7-4E80-B405-AD2FC7368D7D}"/>
    <cellStyle name="Erklärender Text" xfId="5385" hidden="1" xr:uid="{F5C66D81-65A0-4A14-81B4-950DAE6DF4E8}"/>
    <cellStyle name="Erklärender Text 2" xfId="394" xr:uid="{A316E00B-2DD6-4B6B-ACC6-2A13099DF183}"/>
    <cellStyle name="Erklärender Text 3" xfId="276" xr:uid="{FB0E2BD3-32B7-40C4-A0F6-5F66D7D80AB9}"/>
    <cellStyle name="Explanatory Text 2" xfId="135" xr:uid="{1C0C5D5F-A9CB-4CCA-AD64-737998BE09EC}"/>
    <cellStyle name="Explanatory Text 3" xfId="226" xr:uid="{1F63E021-F9D5-46DB-A015-2D9EDBE4E23E}"/>
    <cellStyle name="Good 2" xfId="136" xr:uid="{EF6EE00A-458F-4B07-91A7-C73970951E5C}"/>
    <cellStyle name="Good 3" xfId="227" xr:uid="{D679EF5E-A44A-4FD7-B461-290D9A456135}"/>
    <cellStyle name="Good 4" xfId="356" xr:uid="{37423D11-F5E4-4D58-9533-C08BD5112C00}"/>
    <cellStyle name="Gut" xfId="137" xr:uid="{B37D1694-9774-421E-9569-9FB42C74944E}"/>
    <cellStyle name="Heading 1 2" xfId="138" xr:uid="{62C720FE-FC3A-4D90-923D-95E6F220E7DF}"/>
    <cellStyle name="Heading 1 3" xfId="228" xr:uid="{43EBB232-D73B-48E3-A681-B57C06BFE947}"/>
    <cellStyle name="Heading 1 4" xfId="364" xr:uid="{700867FA-BAD8-487B-AD80-1477BD2B2436}"/>
    <cellStyle name="Heading 2 2" xfId="139" xr:uid="{A9B4CE85-4E53-46C2-8265-3BD981269EFD}"/>
    <cellStyle name="Heading 2 3" xfId="229" xr:uid="{A3F1A194-D552-44DA-A756-4626C2BCCBC1}"/>
    <cellStyle name="Heading 2 4" xfId="365" xr:uid="{9285E168-34F4-4122-9EF5-6E21CEC527D2}"/>
    <cellStyle name="Heading 3 2" xfId="140" xr:uid="{9F4981D9-60FD-4563-869D-9680790FC0BA}"/>
    <cellStyle name="Heading 3 3" xfId="230" xr:uid="{1C835878-C527-4D67-AEAA-0C079349966B}"/>
    <cellStyle name="Heading 3 4" xfId="366" xr:uid="{319ABC47-AA54-4F84-96C1-601E52B43C8E}"/>
    <cellStyle name="Heading 4 2" xfId="141" xr:uid="{38808DD9-2D97-432C-A257-62A8050BD48C}"/>
    <cellStyle name="Heading 4 3" xfId="231" xr:uid="{6AB55271-DEB0-48C5-9E26-39B04E373627}"/>
    <cellStyle name="Heading 4 4" xfId="367" xr:uid="{AE1628DD-921A-4552-AE38-03655B224B22}"/>
    <cellStyle name="Headline" xfId="3" xr:uid="{088FA78D-5F00-440C-8345-7B22478FF750}"/>
    <cellStyle name="Input 2" xfId="142" xr:uid="{9828FA01-AA38-4A11-825C-13B7B9BBBFD1}"/>
    <cellStyle name="Input 2 10" xfId="2015" xr:uid="{E8FEA9D3-FDC5-4EA9-9E04-D4903C26810D}"/>
    <cellStyle name="Input 2 11" xfId="3473" xr:uid="{03E0970A-B8B1-4B0D-A560-DF6B21C33685}"/>
    <cellStyle name="Input 2 12" xfId="4656" xr:uid="{811DFCA6-A71C-4645-BA79-02F0C286CFE4}"/>
    <cellStyle name="Input 2 13" xfId="4845" xr:uid="{E9A19C30-BCC8-4D48-80CF-C1B8A37C05D4}"/>
    <cellStyle name="Input 2 2" xfId="556" xr:uid="{1805109A-2446-4F49-B1B2-D50CF908B0BF}"/>
    <cellStyle name="Input 2 2 10" xfId="3900" xr:uid="{63CE9B12-3732-4D6C-A401-5423305DECA1}"/>
    <cellStyle name="Input 2 2 11" xfId="4928" xr:uid="{D64B10D7-B269-45AE-99C6-5C2D0418EE62}"/>
    <cellStyle name="Input 2 2 12" xfId="5296" xr:uid="{5A7893B3-F1F3-4666-8195-18305334A3A3}"/>
    <cellStyle name="Input 2 2 2" xfId="771" xr:uid="{925A25E1-F962-4879-9C45-9666CB7AD6D6}"/>
    <cellStyle name="Input 2 2 2 10" xfId="5137" xr:uid="{4E05B03E-3019-4770-8ACB-9AEDBF1B873F}"/>
    <cellStyle name="Input 2 2 2 11" xfId="4655" xr:uid="{028C7D33-7AE4-47F1-AB58-AA07A99E5AD2}"/>
    <cellStyle name="Input 2 2 2 2" xfId="1245" xr:uid="{88F705BC-8BF0-4098-8453-EC684CCF443D}"/>
    <cellStyle name="Input 2 2 2 3" xfId="1369" xr:uid="{F7560845-2665-4962-A9B4-EFF94B3B6809}"/>
    <cellStyle name="Input 2 2 2 4" xfId="2475" xr:uid="{20A62E3F-8A95-4721-A282-4F36606D8D62}"/>
    <cellStyle name="Input 2 2 2 5" xfId="2929" xr:uid="{DD463E97-59A2-4B31-85AD-2E01D50EB86D}"/>
    <cellStyle name="Input 2 2 2 6" xfId="3347" xr:uid="{74F62CD7-5FCA-4317-B5BA-500C1AEDCC88}"/>
    <cellStyle name="Input 2 2 2 7" xfId="3761" xr:uid="{720CF0F9-6FAC-4321-8CB0-9EE28424261A}"/>
    <cellStyle name="Input 2 2 2 8" xfId="4184" xr:uid="{919EBF9D-D907-4F89-8CE7-2D4639AF13FB}"/>
    <cellStyle name="Input 2 2 2 9" xfId="4432" xr:uid="{66589DD6-0D9C-4F9D-89D3-8C8CA6528628}"/>
    <cellStyle name="Input 2 2 3" xfId="1039" xr:uid="{463DE6EF-2632-4085-8370-34AC4E58D2EA}"/>
    <cellStyle name="Input 2 2 4" xfId="1742" xr:uid="{D0D063BB-7755-4B3D-AF08-29FE36242F02}"/>
    <cellStyle name="Input 2 2 5" xfId="2262" xr:uid="{58FB08F2-CAC3-446B-9D47-D02B8A025370}"/>
    <cellStyle name="Input 2 2 6" xfId="2716" xr:uid="{0B077ABE-DB04-4BE5-9972-F6A1AE18DC6A}"/>
    <cellStyle name="Input 2 2 7" xfId="3133" xr:uid="{FB8FCF4D-4A83-4BEE-8F57-9C7742A11A19}"/>
    <cellStyle name="Input 2 2 8" xfId="3546" xr:uid="{8A0CC2CA-726D-4EF1-95CF-514D418F82FC}"/>
    <cellStyle name="Input 2 2 9" xfId="3971" xr:uid="{7A3F854F-A653-4771-A97C-21C7A52A308D}"/>
    <cellStyle name="Input 2 3" xfId="660" xr:uid="{4919F7F4-B067-4434-8D53-7690C8733545}"/>
    <cellStyle name="Input 2 3 10" xfId="1993" xr:uid="{1D18C9E8-2775-4E00-BDE1-F6DA70D345D3}"/>
    <cellStyle name="Input 2 3 11" xfId="5032" xr:uid="{0D2E2FD1-3D2A-4446-99E0-CFF0B9CCA548}"/>
    <cellStyle name="Input 2 3 12" xfId="5315" xr:uid="{5A7CFE59-B138-43F1-8B35-0E4644376D14}"/>
    <cellStyle name="Input 2 3 2" xfId="875" xr:uid="{38A83B1E-A3AC-4445-8CDA-412CAC39609D}"/>
    <cellStyle name="Input 2 3 2 10" xfId="5241" xr:uid="{CF744A0A-9BC0-4360-A3FC-E614C0E85DEC}"/>
    <cellStyle name="Input 2 3 2 11" xfId="5469" xr:uid="{F7487CC3-7A93-4F6C-8302-D7095FA60F8A}"/>
    <cellStyle name="Input 2 3 2 2" xfId="1349" xr:uid="{9E5568C5-04E2-4A4F-986B-2C79B1838B44}"/>
    <cellStyle name="Input 2 3 2 3" xfId="1798" xr:uid="{42329E48-71EF-46DE-95E3-0B371EE8E9CE}"/>
    <cellStyle name="Input 2 3 2 4" xfId="2579" xr:uid="{559E793A-E1D9-4DDA-8773-2DED4EE324E9}"/>
    <cellStyle name="Input 2 3 2 5" xfId="3033" xr:uid="{37F06FAA-A454-44AF-92E6-63E86D4CE4E0}"/>
    <cellStyle name="Input 2 3 2 6" xfId="3451" xr:uid="{E43EF4E1-C471-4821-8844-8682AEC4E6F5}"/>
    <cellStyle name="Input 2 3 2 7" xfId="3865" xr:uid="{602A380C-19E9-4168-B3AF-D6066FD83408}"/>
    <cellStyle name="Input 2 3 2 8" xfId="4288" xr:uid="{32D3CB77-4353-4D70-AE44-FE4C698BE0F1}"/>
    <cellStyle name="Input 2 3 2 9" xfId="4556" xr:uid="{372C61AD-5619-4672-AD55-D1036FE6CEA4}"/>
    <cellStyle name="Input 2 3 3" xfId="1143" xr:uid="{E33E4122-CEEA-4C5A-AC09-D7508C586F46}"/>
    <cellStyle name="Input 2 3 4" xfId="1695" xr:uid="{8D4FBFB9-8FA3-4EF7-BD46-90D9355BE2B0}"/>
    <cellStyle name="Input 2 3 5" xfId="2366" xr:uid="{CE7FA0D5-558E-4A94-B609-7DA7918F448E}"/>
    <cellStyle name="Input 2 3 6" xfId="2820" xr:uid="{6D128732-E513-4365-9706-8B58B3C87CC7}"/>
    <cellStyle name="Input 2 3 7" xfId="3237" xr:uid="{2A415955-BE28-4B37-94BD-6372A6E03246}"/>
    <cellStyle name="Input 2 3 8" xfId="3650" xr:uid="{527AC90F-A1AB-43BB-A76B-D51D0DBAB0AB}"/>
    <cellStyle name="Input 2 3 9" xfId="4075" xr:uid="{20457577-F3F0-40CD-A106-DC5EDDDB1C96}"/>
    <cellStyle name="Input 2 4" xfId="671" xr:uid="{8E974FB2-B86E-4828-96F2-46A64E13EC43}"/>
    <cellStyle name="Input 2 4 10" xfId="3923" xr:uid="{80B6DDC7-3BC9-4E05-AA3C-97D6298480DB}"/>
    <cellStyle name="Input 2 4 11" xfId="5042" xr:uid="{843FE944-5E24-4078-99AB-81D862F30DDA}"/>
    <cellStyle name="Input 2 4 12" xfId="5280" xr:uid="{04FCBFC1-80E2-4AB2-8829-E6DD0D0522AE}"/>
    <cellStyle name="Input 2 4 2" xfId="885" xr:uid="{37063EF5-7879-4B42-89B4-C3C2189D854F}"/>
    <cellStyle name="Input 2 4 2 10" xfId="5251" xr:uid="{796210B9-A7C6-4048-854E-DBFA2C4319B6}"/>
    <cellStyle name="Input 2 4 2 11" xfId="5479" xr:uid="{19758B46-E680-4334-9DAC-30F6602C9FD8}"/>
    <cellStyle name="Input 2 4 2 2" xfId="1359" xr:uid="{CCB5FB55-9218-4674-8663-CAE9774818B3}"/>
    <cellStyle name="Input 2 4 2 3" xfId="1808" xr:uid="{2CD9A0D1-23F2-4A97-A6D7-505E3F873583}"/>
    <cellStyle name="Input 2 4 2 4" xfId="2589" xr:uid="{DEE6D57C-09C1-414E-9060-D0A7F2712A6F}"/>
    <cellStyle name="Input 2 4 2 5" xfId="3043" xr:uid="{E2C72220-E9C3-4208-9D6E-5414EF3A3B9A}"/>
    <cellStyle name="Input 2 4 2 6" xfId="3461" xr:uid="{90F18234-6ACA-48C4-8E00-A19FBB0310EA}"/>
    <cellStyle name="Input 2 4 2 7" xfId="3875" xr:uid="{D54FF804-DFAF-44D2-A8EC-C4CD037C7E59}"/>
    <cellStyle name="Input 2 4 2 8" xfId="4298" xr:uid="{0957EDEB-8566-45BB-86EB-31D45FC35A74}"/>
    <cellStyle name="Input 2 4 2 9" xfId="4566" xr:uid="{01B44DA2-583D-4228-BD68-FC914A358B44}"/>
    <cellStyle name="Input 2 4 3" xfId="1153" xr:uid="{8E8905DD-6FE0-4F99-8D21-50329F9A2330}"/>
    <cellStyle name="Input 2 4 4" xfId="1721" xr:uid="{9C045FDD-6E7C-499D-8830-5C695CEAEE66}"/>
    <cellStyle name="Input 2 4 5" xfId="2376" xr:uid="{AA8040A5-F949-444E-9391-039C0AF316E1}"/>
    <cellStyle name="Input 2 4 6" xfId="2831" xr:uid="{F2144932-6825-45A3-9B29-631F60B6FE34}"/>
    <cellStyle name="Input 2 4 7" xfId="3247" xr:uid="{03537113-DC17-4C59-8ED5-930DE3274BD7}"/>
    <cellStyle name="Input 2 4 8" xfId="3661" xr:uid="{94FC7783-3E9B-407C-B728-3592F064F773}"/>
    <cellStyle name="Input 2 4 9" xfId="4086" xr:uid="{B4A12F5E-79EE-4F86-85F2-ED5A98209E72}"/>
    <cellStyle name="Input 2 5" xfId="683" xr:uid="{7C694493-D8B2-45FD-ABE0-A65D4BA4AB73}"/>
    <cellStyle name="Input 2 5 10" xfId="5054" xr:uid="{A17D37E3-2716-446B-A13F-8EED139DE20A}"/>
    <cellStyle name="Input 2 5 11" xfId="5353" xr:uid="{C61D22B9-756C-447A-9629-D3707E0C815A}"/>
    <cellStyle name="Input 2 5 2" xfId="1165" xr:uid="{B3F05BE1-28CD-4363-881F-CA5AA20BE16B}"/>
    <cellStyle name="Input 2 5 3" xfId="1630" xr:uid="{5AA14901-D54A-4794-9B7B-5F11CDE45B9F}"/>
    <cellStyle name="Input 2 5 4" xfId="2388" xr:uid="{4B8E6790-B8B9-49C1-9462-7328190C6370}"/>
    <cellStyle name="Input 2 5 5" xfId="2843" xr:uid="{A265092F-C2C6-4B6A-9E5D-7EEAFC46E012}"/>
    <cellStyle name="Input 2 5 6" xfId="3259" xr:uid="{AB71C5EE-EA14-4654-B894-31B9FCA5E802}"/>
    <cellStyle name="Input 2 5 7" xfId="3673" xr:uid="{C757D166-448B-4A98-A0E4-80365052F963}"/>
    <cellStyle name="Input 2 5 8" xfId="4098" xr:uid="{2A161BEB-E717-49EE-8D9C-7A4AA3B1F5D8}"/>
    <cellStyle name="Input 2 5 9" xfId="4490" xr:uid="{9E5ACE21-81FA-466D-8F1A-F1B615E6E961}"/>
    <cellStyle name="Input 2 6" xfId="925" xr:uid="{69ADF105-792B-4C2B-A8CA-D2EF6FBD9168}"/>
    <cellStyle name="Input 2 7" xfId="1941" xr:uid="{5AE10F35-635E-4D22-9267-0D4D95F4F897}"/>
    <cellStyle name="Input 2 8" xfId="1913" xr:uid="{22E35366-D108-4ECE-8620-BB81BBE0D18A}"/>
    <cellStyle name="Input 2 9" xfId="3054" xr:uid="{039E167D-CB33-4C10-B4EC-8D1FFF7656E9}"/>
    <cellStyle name="Input 3" xfId="232" xr:uid="{DB9D521E-8708-49D2-8FD2-03A070228785}"/>
    <cellStyle name="Input 3 10" xfId="3053" xr:uid="{D0DC7DA4-6DEA-42B5-989A-70F870D57E5E}"/>
    <cellStyle name="Input 3 11" xfId="3498" xr:uid="{59593811-7D90-4C3D-9E51-1F5ECE7DB4AD}"/>
    <cellStyle name="Input 3 12" xfId="4701" xr:uid="{183707B4-231A-4C60-BF2D-C0A47856F8B7}"/>
    <cellStyle name="Input 3 13" xfId="4635" xr:uid="{8F350C3D-8391-4716-A870-05F8EC420EDB}"/>
    <cellStyle name="Input 3 2" xfId="588" xr:uid="{E4860540-9DDE-42F7-A222-A8EBB5DE77C9}"/>
    <cellStyle name="Input 3 2 10" xfId="1842" xr:uid="{813514D5-0679-47CA-A193-093F32EF5360}"/>
    <cellStyle name="Input 3 2 11" xfId="4960" xr:uid="{9A40983C-4D02-4E64-8837-F90DCE9D2484}"/>
    <cellStyle name="Input 3 2 12" xfId="4708" xr:uid="{EF69BE69-7D77-497E-83AD-487842A6801A}"/>
    <cellStyle name="Input 3 2 2" xfId="803" xr:uid="{D1FD6DFA-83F7-49E8-9511-F4A1AB66DF30}"/>
    <cellStyle name="Input 3 2 2 10" xfId="5169" xr:uid="{12E2922F-B4BF-4668-950E-96155CB2678B}"/>
    <cellStyle name="Input 3 2 2 11" xfId="4855" xr:uid="{8373A5A5-34C2-4982-B591-A5919A6A195C}"/>
    <cellStyle name="Input 3 2 2 2" xfId="1277" xr:uid="{3AD18AE7-2103-4EB2-9586-90420B3E4285}"/>
    <cellStyle name="Input 3 2 2 3" xfId="1681" xr:uid="{A6149A6C-99D6-44C0-B131-B4B40125E394}"/>
    <cellStyle name="Input 3 2 2 4" xfId="2507" xr:uid="{3F6F7954-1C1C-441E-BBE2-9A82E4F334C4}"/>
    <cellStyle name="Input 3 2 2 5" xfId="2961" xr:uid="{2063FC7F-121D-45D2-92C5-E37434C08C2C}"/>
    <cellStyle name="Input 3 2 2 6" xfId="3379" xr:uid="{0D98668E-8446-4C3D-8314-74EC010B8CAB}"/>
    <cellStyle name="Input 3 2 2 7" xfId="3793" xr:uid="{DABDF851-6F60-466F-935B-8443CFD7A0F9}"/>
    <cellStyle name="Input 3 2 2 8" xfId="4216" xr:uid="{FDE7A9C5-0E00-40F5-AA69-8C65E9D353E8}"/>
    <cellStyle name="Input 3 2 2 9" xfId="2649" xr:uid="{91042623-B6AD-4446-9430-3117491EA894}"/>
    <cellStyle name="Input 3 2 3" xfId="1071" xr:uid="{0796E8C9-91BD-4603-A6A3-9FAA3FC94BB1}"/>
    <cellStyle name="Input 3 2 4" xfId="1673" xr:uid="{7A44C7CD-8D6E-4216-B728-EE6C24791320}"/>
    <cellStyle name="Input 3 2 5" xfId="2294" xr:uid="{0BB7C0C2-0D32-4EE9-9E3F-5AAF6264F147}"/>
    <cellStyle name="Input 3 2 6" xfId="2748" xr:uid="{60ABBC53-B065-4341-A3F6-3DCB06D1E816}"/>
    <cellStyle name="Input 3 2 7" xfId="3165" xr:uid="{0F028FC9-97FA-4707-8713-7CFFB91EA11F}"/>
    <cellStyle name="Input 3 2 8" xfId="3578" xr:uid="{2C56BA06-B251-47DF-86B9-D9E15B079187}"/>
    <cellStyle name="Input 3 2 9" xfId="4003" xr:uid="{B03E9DC5-D58F-4175-BFBE-FCAA154CCEB2}"/>
    <cellStyle name="Input 3 3" xfId="587" xr:uid="{0BE961A3-F770-450F-AD6A-992FF118D9B9}"/>
    <cellStyle name="Input 3 3 10" xfId="1973" xr:uid="{C0C9C90E-B8E2-4E66-8D66-DE70E24534F5}"/>
    <cellStyle name="Input 3 3 11" xfId="4959" xr:uid="{1F804465-37BE-4062-8742-C6AD80804D81}"/>
    <cellStyle name="Input 3 3 12" xfId="4665" xr:uid="{E75518A8-1C07-41C7-9892-21D9A97D55B5}"/>
    <cellStyle name="Input 3 3 2" xfId="802" xr:uid="{04B7D6A5-C979-423B-9D25-770B4AF2DE88}"/>
    <cellStyle name="Input 3 3 2 10" xfId="5168" xr:uid="{2C5D3E02-4CD5-47E8-B9F3-857DD2BDEA56}"/>
    <cellStyle name="Input 3 3 2 11" xfId="4862" xr:uid="{3298805E-1EAB-4E1A-8851-EA0E169F2BFC}"/>
    <cellStyle name="Input 3 3 2 2" xfId="1276" xr:uid="{5193D4CA-5FF6-4330-A90E-54C17DC9CB58}"/>
    <cellStyle name="Input 3 3 2 3" xfId="1540" xr:uid="{CE5032E1-0603-41A6-A423-8059BBAE9278}"/>
    <cellStyle name="Input 3 3 2 4" xfId="2506" xr:uid="{0E251FD8-F38E-459D-BB92-D4F40A5F932F}"/>
    <cellStyle name="Input 3 3 2 5" xfId="2960" xr:uid="{D91490C7-1792-401B-9662-2F65A8F439E5}"/>
    <cellStyle name="Input 3 3 2 6" xfId="3378" xr:uid="{72783FA1-9891-4EAB-89D2-46578A65237F}"/>
    <cellStyle name="Input 3 3 2 7" xfId="3792" xr:uid="{52A43B0C-9D44-4EFB-B105-903069A36998}"/>
    <cellStyle name="Input 3 3 2 8" xfId="4215" xr:uid="{01D4987E-8BE5-4385-8467-0B43015CC8E0}"/>
    <cellStyle name="Input 3 3 2 9" xfId="4489" xr:uid="{9A2E73D4-B589-4BCA-BD88-585437AEAA79}"/>
    <cellStyle name="Input 3 3 3" xfId="1070" xr:uid="{41CEE0C6-01F3-40F6-93B0-5CE2B8CE6D0E}"/>
    <cellStyle name="Input 3 3 4" xfId="1580" xr:uid="{D2EFCA9F-5FF7-4DDF-9166-21592CEB54E9}"/>
    <cellStyle name="Input 3 3 5" xfId="2293" xr:uid="{3AED44F8-E479-4A9F-B707-0F6030C62A1C}"/>
    <cellStyle name="Input 3 3 6" xfId="2747" xr:uid="{E5AE0C79-AA9B-4AB7-991D-BDE42784B2C3}"/>
    <cellStyle name="Input 3 3 7" xfId="3164" xr:uid="{4243F99A-4A1B-4AC2-AEC8-23EF8A0C0FDE}"/>
    <cellStyle name="Input 3 3 8" xfId="3577" xr:uid="{FCB3539D-0335-45BE-AE38-50F168B422CC}"/>
    <cellStyle name="Input 3 3 9" xfId="4002" xr:uid="{D56DC66B-5559-460F-8EDA-D1E8B88CA0DF}"/>
    <cellStyle name="Input 3 4" xfId="531" xr:uid="{3B4C0FF8-83BB-4419-8601-16E764647C6D}"/>
    <cellStyle name="Input 3 4 10" xfId="4319" xr:uid="{51CEF916-0776-47C8-9984-84F0944B94F9}"/>
    <cellStyle name="Input 3 4 11" xfId="4903" xr:uid="{092D56DF-9E9B-4C47-B000-287D9F5E2475}"/>
    <cellStyle name="Input 3 4 12" xfId="5399" xr:uid="{33C93F57-52CE-4587-8D71-85080A0C4890}"/>
    <cellStyle name="Input 3 4 2" xfId="746" xr:uid="{3B0D784A-ED2C-492C-B59E-DD88B8AA6C91}"/>
    <cellStyle name="Input 3 4 2 10" xfId="5112" xr:uid="{1FED174A-8380-47A5-A046-9D047281066D}"/>
    <cellStyle name="Input 3 4 2 11" xfId="4839" xr:uid="{DC0000B2-2D6F-4ED9-935E-E262FF60D198}"/>
    <cellStyle name="Input 3 4 2 2" xfId="1220" xr:uid="{39398FBE-CEE7-4771-A897-EEAA07A9600B}"/>
    <cellStyle name="Input 3 4 2 3" xfId="1516" xr:uid="{E2306C1B-C263-4641-8561-E95F2B2F5C4D}"/>
    <cellStyle name="Input 3 4 2 4" xfId="2450" xr:uid="{FF5430D4-6045-4B82-8BAC-E1C4FF0A2A5B}"/>
    <cellStyle name="Input 3 4 2 5" xfId="2904" xr:uid="{0ACF3FF1-D503-4DB6-945E-28887233D2A2}"/>
    <cellStyle name="Input 3 4 2 6" xfId="3322" xr:uid="{7123CE7E-19DE-4F28-B52D-AB7080522E5E}"/>
    <cellStyle name="Input 3 4 2 7" xfId="3736" xr:uid="{EDCBD5C9-AD73-415F-B689-99D66E93237F}"/>
    <cellStyle name="Input 3 4 2 8" xfId="4159" xr:uid="{5EFB12DB-BD10-4280-ADC4-5ACC9C7A25F9}"/>
    <cellStyle name="Input 3 4 2 9" xfId="4329" xr:uid="{34D2B377-2478-4D2A-B740-C7CC83103FA2}"/>
    <cellStyle name="Input 3 4 3" xfId="1014" xr:uid="{F56B4FC3-F4D7-46D2-88F6-A388015DA23A}"/>
    <cellStyle name="Input 3 4 4" xfId="1701" xr:uid="{9CFC1AFC-182E-431D-B8BF-E59958A13CE5}"/>
    <cellStyle name="Input 3 4 5" xfId="2237" xr:uid="{FD8451D9-7D57-449F-9DE4-037B20667A94}"/>
    <cellStyle name="Input 3 4 6" xfId="2691" xr:uid="{E4149369-D0A5-4854-AE41-948980BB90A0}"/>
    <cellStyle name="Input 3 4 7" xfId="3108" xr:uid="{6BB40F8E-A701-44C2-A2A5-874A727B7F4D}"/>
    <cellStyle name="Input 3 4 8" xfId="3521" xr:uid="{B9163A6A-968E-41AB-A092-0FB09268B7F4}"/>
    <cellStyle name="Input 3 4 9" xfId="3946" xr:uid="{E07B818F-AA0C-4FD5-9F65-EF4BF5657F5D}"/>
    <cellStyle name="Input 3 5" xfId="689" xr:uid="{E5D25F2D-C348-4B51-9B91-EFD3B775CCB7}"/>
    <cellStyle name="Input 3 5 10" xfId="5060" xr:uid="{EE7D50B2-80E0-461A-A635-62ECDEA2DF69}"/>
    <cellStyle name="Input 3 5 11" xfId="5375" xr:uid="{986BA315-B5EE-4B53-87C3-FA939E3FDFD1}"/>
    <cellStyle name="Input 3 5 2" xfId="1171" xr:uid="{1EA2C184-09A2-4921-A4E6-EE7B499AB945}"/>
    <cellStyle name="Input 3 5 3" xfId="1754" xr:uid="{3216E670-B39A-41D7-B13C-1B18EBE1BAF1}"/>
    <cellStyle name="Input 3 5 4" xfId="2394" xr:uid="{B1343099-3385-451F-A89C-41D5C78FE663}"/>
    <cellStyle name="Input 3 5 5" xfId="2849" xr:uid="{C4E04FF5-9B7E-4831-ACAB-9D61C6EB4648}"/>
    <cellStyle name="Input 3 5 6" xfId="3265" xr:uid="{A23172F0-48E5-4CFE-81E2-5111E510B0DD}"/>
    <cellStyle name="Input 3 5 7" xfId="3679" xr:uid="{C4E973EA-B993-4B5D-950C-4101925E98CC}"/>
    <cellStyle name="Input 3 5 8" xfId="4104" xr:uid="{08D56550-00CD-45DF-A7FD-0389BA60B008}"/>
    <cellStyle name="Input 3 5 9" xfId="4375" xr:uid="{30A79D67-AF95-4561-A167-CB47AE7634E7}"/>
    <cellStyle name="Input 3 6" xfId="932" xr:uid="{D1D7D482-81EB-4424-AEB2-561F104AA2D4}"/>
    <cellStyle name="Input 3 7" xfId="2003" xr:uid="{37331204-38EC-4C73-A83A-26D8A1D45A38}"/>
    <cellStyle name="Input 3 8" xfId="2069" xr:uid="{88FF936B-08C8-4EA4-9C51-5FD0F37A1661}"/>
    <cellStyle name="Input 3 9" xfId="2210" xr:uid="{C000AFA9-CD02-4DCE-8234-772A82576A8B}"/>
    <cellStyle name="Input 4" xfId="343" xr:uid="{F1974FB9-F6E4-4196-90DA-98D79D25093C}"/>
    <cellStyle name="InputCells" xfId="11" xr:uid="{7178EF6D-87E0-48BF-8BBB-763795055469}"/>
    <cellStyle name="InputCells 2" xfId="143" xr:uid="{13413629-C6C4-49D6-96C3-8E202D91CBD8}"/>
    <cellStyle name="InputCells 3" xfId="194" xr:uid="{ADB60E43-8BA5-497E-BC87-59765815C84C}"/>
    <cellStyle name="InputCells 4" xfId="346" xr:uid="{DBFA5568-AE25-4C62-914C-6768DBB8A84D}"/>
    <cellStyle name="InputCells_Bborder_1" xfId="144" xr:uid="{81C0FB55-87CC-4178-8082-4F54C76042B0}"/>
    <cellStyle name="InputCells12" xfId="20" xr:uid="{9A45EE3B-E8BF-4336-B2E4-7B0494E52BE3}"/>
    <cellStyle name="InputCells12 2" xfId="145" xr:uid="{1504E456-1CB1-4234-85E6-6926146A4EB3}"/>
    <cellStyle name="InputCells12 2 2" xfId="420" xr:uid="{FE690286-C3F4-46F4-8B1B-67B352F942A0}"/>
    <cellStyle name="InputCells12 2 2 2" xfId="594" xr:uid="{D677EDA6-DB60-4DD3-9700-B72FA00DB0BB}"/>
    <cellStyle name="InputCells12 2 2 2 10" xfId="1850" xr:uid="{968426E3-B8C1-4649-BECC-4570031FC203}"/>
    <cellStyle name="InputCells12 2 2 2 11" xfId="4966" xr:uid="{E7F31AD8-CECD-44EA-868D-E714B666F25C}"/>
    <cellStyle name="InputCells12 2 2 2 12" xfId="5435" xr:uid="{05F10358-540D-4AA9-A9E9-B734B84CFB7B}"/>
    <cellStyle name="InputCells12 2 2 2 2" xfId="809" xr:uid="{C9CEDC2F-6D80-4453-9462-6B7209AAAC2A}"/>
    <cellStyle name="InputCells12 2 2 2 2 10" xfId="5175" xr:uid="{B684839F-3195-4101-863F-E2A4C8B57C5A}"/>
    <cellStyle name="InputCells12 2 2 2 2 11" xfId="4657" xr:uid="{8FA2AD85-D31A-4697-A461-B71581B69AAE}"/>
    <cellStyle name="InputCells12 2 2 2 2 2" xfId="1283" xr:uid="{89561740-0834-4F11-8BDA-9CCD438343B8}"/>
    <cellStyle name="InputCells12 2 2 2 2 3" xfId="1422" xr:uid="{D1F2C808-D760-4F18-BB24-6CABA44BE5CC}"/>
    <cellStyle name="InputCells12 2 2 2 2 4" xfId="2513" xr:uid="{48E9DB5D-DA9C-4FE9-A421-10ADBA87E3BD}"/>
    <cellStyle name="InputCells12 2 2 2 2 5" xfId="2967" xr:uid="{01F3CDBC-E92E-4105-B720-5FC0471206B6}"/>
    <cellStyle name="InputCells12 2 2 2 2 6" xfId="3385" xr:uid="{E912E1D6-F5F7-4FDF-87BE-5B5C8AF1648C}"/>
    <cellStyle name="InputCells12 2 2 2 2 7" xfId="3799" xr:uid="{16976592-1FE2-43EF-AFF0-3DBCE343FC27}"/>
    <cellStyle name="InputCells12 2 2 2 2 8" xfId="4222" xr:uid="{E8BC4542-1E04-46B4-9CF2-321E63D43905}"/>
    <cellStyle name="InputCells12 2 2 2 2 9" xfId="4502" xr:uid="{592AE1F0-CF44-4340-9D06-03BB215B565D}"/>
    <cellStyle name="InputCells12 2 2 2 3" xfId="1077" xr:uid="{EB18A701-2DBE-4B08-9D6A-02739A71F7AE}"/>
    <cellStyle name="InputCells12 2 2 2 4" xfId="1638" xr:uid="{A6AAAC7D-E723-4854-A160-51DD392CEEDB}"/>
    <cellStyle name="InputCells12 2 2 2 5" xfId="2300" xr:uid="{946527F5-E7FF-4199-9E93-DF9BA831121B}"/>
    <cellStyle name="InputCells12 2 2 2 6" xfId="2754" xr:uid="{50FE7953-5040-4864-8B16-D1D1CC99296E}"/>
    <cellStyle name="InputCells12 2 2 2 7" xfId="3171" xr:uid="{2CCA8346-9718-417F-9D8E-BDF05172F5CD}"/>
    <cellStyle name="InputCells12 2 2 2 8" xfId="3584" xr:uid="{CB6CE7CD-D78C-4DDB-8964-ABCD96934004}"/>
    <cellStyle name="InputCells12 2 2 2 9" xfId="4009" xr:uid="{35588094-B192-4193-B593-9720F12E3E7F}"/>
    <cellStyle name="InputCells12 2 2 3" xfId="719" xr:uid="{23C51A7D-7966-41E6-B11F-B2A27478AB56}"/>
    <cellStyle name="InputCells12 2 2 3 10" xfId="5085" xr:uid="{452C4365-D82C-4A81-94F6-267228B04D4B}"/>
    <cellStyle name="InputCells12 2 2 3 11" xfId="4686" xr:uid="{E2237B33-4970-4233-B6C7-6CB036935F0B}"/>
    <cellStyle name="InputCells12 2 2 3 2" xfId="1193" xr:uid="{231529B4-BE83-4793-9B49-CF89FEB815AB}"/>
    <cellStyle name="InputCells12 2 2 3 3" xfId="1546" xr:uid="{A63339AA-BF40-44DD-A35F-A3E60E448A40}"/>
    <cellStyle name="InputCells12 2 2 3 4" xfId="2423" xr:uid="{CC6B2266-9CFB-4E9D-9A7F-8BEE1054E7AB}"/>
    <cellStyle name="InputCells12 2 2 3 5" xfId="2877" xr:uid="{F8D2CE2B-FADE-4C1A-8C0A-7DD2A231F89C}"/>
    <cellStyle name="InputCells12 2 2 3 6" xfId="3295" xr:uid="{9D5489C7-3055-4DB5-83F7-4DF7858E4DBD}"/>
    <cellStyle name="InputCells12 2 2 3 7" xfId="3709" xr:uid="{6744B678-C5FC-4CAF-8434-AC03C6C176F7}"/>
    <cellStyle name="InputCells12 2 2 3 8" xfId="4132" xr:uid="{91278358-4BB3-4DF0-9A77-BF4E93F56288}"/>
    <cellStyle name="InputCells12 2 2 3 9" xfId="3907" xr:uid="{659FEE65-25F1-4681-A4AA-AD52678EB642}"/>
    <cellStyle name="InputCells12 2 3" xfId="279" xr:uid="{FE2ADDC0-E774-4C9A-B1DD-2668BADC81DC}"/>
    <cellStyle name="InputCells12 2 3 10" xfId="1817" xr:uid="{6D1FB9BD-F72D-4A5E-8306-65474B224B59}"/>
    <cellStyle name="InputCells12 2 3 11" xfId="3055" xr:uid="{A17F0FAC-7314-451A-AC34-70E36534C154}"/>
    <cellStyle name="InputCells12 2 3 12" xfId="4435" xr:uid="{6F6394CC-7C9E-44A6-B69D-39B195F3B4C2}"/>
    <cellStyle name="InputCells12 2 3 13" xfId="4742" xr:uid="{2715D73A-5DFE-4CAD-9C9E-8FCF52201C37}"/>
    <cellStyle name="InputCells12 2 3 14" xfId="5267" xr:uid="{C2030E2B-A7BF-4461-9D9F-D8C1236D2BA6}"/>
    <cellStyle name="InputCells12 2 3 2" xfId="617" xr:uid="{8EAE4368-E289-4F27-91CC-E3325E251677}"/>
    <cellStyle name="InputCells12 2 3 2 10" xfId="2628" xr:uid="{C964DFE8-912F-4CD6-AD7C-3C1E58C4EE72}"/>
    <cellStyle name="InputCells12 2 3 2 11" xfId="4989" xr:uid="{42BDBBB4-D340-4AB4-8BE6-2B38BBACAB7A}"/>
    <cellStyle name="InputCells12 2 3 2 12" xfId="5433" xr:uid="{A2623186-BBE0-4952-8CA9-FA5FA24E4696}"/>
    <cellStyle name="InputCells12 2 3 2 2" xfId="832" xr:uid="{6CF6E12C-7A54-423D-A8F8-B51C94AE84AC}"/>
    <cellStyle name="InputCells12 2 3 2 2 10" xfId="5198" xr:uid="{D0C5DE2B-F7C2-437D-9437-68EBD2DEB878}"/>
    <cellStyle name="InputCells12 2 3 2 2 11" xfId="5337" xr:uid="{954865BF-CBE2-4637-9027-01CF07226074}"/>
    <cellStyle name="InputCells12 2 3 2 2 2" xfId="1306" xr:uid="{7192BE28-726B-4459-86A8-DC67E7E74D5D}"/>
    <cellStyle name="InputCells12 2 3 2 2 3" xfId="1552" xr:uid="{E5953B54-E6D6-448F-B24E-2E15D827A033}"/>
    <cellStyle name="InputCells12 2 3 2 2 4" xfId="2536" xr:uid="{7489F54A-40C2-49E3-BC9D-59497F964C76}"/>
    <cellStyle name="InputCells12 2 3 2 2 5" xfId="2990" xr:uid="{E09581E2-7E9B-481E-A416-9FAC02779B20}"/>
    <cellStyle name="InputCells12 2 3 2 2 6" xfId="3408" xr:uid="{F7FC8B32-9EF9-434B-8D4B-8D7D796409D7}"/>
    <cellStyle name="InputCells12 2 3 2 2 7" xfId="3822" xr:uid="{223CD205-4740-4105-A47A-1A4A059B41A7}"/>
    <cellStyle name="InputCells12 2 3 2 2 8" xfId="4245" xr:uid="{C0000360-41FC-417F-9A6A-909FED936BA2}"/>
    <cellStyle name="InputCells12 2 3 2 2 9" xfId="4406" xr:uid="{DF828146-B9FA-4CCA-A449-3399DD8A7BBF}"/>
    <cellStyle name="InputCells12 2 3 2 3" xfId="1100" xr:uid="{3A37C695-4325-4A00-B933-09D1E0F94E45}"/>
    <cellStyle name="InputCells12 2 3 2 4" xfId="1636" xr:uid="{5A47EA5D-6570-4D69-A23D-50618DAF44D0}"/>
    <cellStyle name="InputCells12 2 3 2 5" xfId="2323" xr:uid="{7D9BE3C2-7D32-47AC-A81F-6A8604BB0519}"/>
    <cellStyle name="InputCells12 2 3 2 6" xfId="2777" xr:uid="{9049EA7D-F6A0-46D0-B3E2-93ECE541661F}"/>
    <cellStyle name="InputCells12 2 3 2 7" xfId="3194" xr:uid="{F87E8AE2-AF34-48A6-8390-2610A42FED53}"/>
    <cellStyle name="InputCells12 2 3 2 8" xfId="3607" xr:uid="{C15EA2F7-9D7C-4B11-95F5-035B2F4F59FE}"/>
    <cellStyle name="InputCells12 2 3 2 9" xfId="4032" xr:uid="{49D54A04-F07C-49B8-95BD-834E239D6655}"/>
    <cellStyle name="InputCells12 2 3 3" xfId="540" xr:uid="{7491A65D-FA3C-487B-BF40-655964F0EFCB}"/>
    <cellStyle name="InputCells12 2 3 3 10" xfId="2632" xr:uid="{343E928D-5AAF-491E-89D1-931A9D78D41C}"/>
    <cellStyle name="InputCells12 2 3 3 11" xfId="4912" xr:uid="{C9F08709-0620-4960-B4B1-67FD639DBCF1}"/>
    <cellStyle name="InputCells12 2 3 3 12" xfId="4829" xr:uid="{3CC3B8E0-8131-49D3-8C00-D3CD8C129DC4}"/>
    <cellStyle name="InputCells12 2 3 3 2" xfId="755" xr:uid="{DE740F5F-00D6-4D75-865F-8CA2F36D3893}"/>
    <cellStyle name="InputCells12 2 3 3 2 10" xfId="5121" xr:uid="{799A19E3-39B8-48FE-B6A6-4081CA98ED79}"/>
    <cellStyle name="InputCells12 2 3 3 2 11" xfId="4816" xr:uid="{7FF2F6EA-7450-43E4-8E18-4709513AFAAF}"/>
    <cellStyle name="InputCells12 2 3 3 2 2" xfId="1229" xr:uid="{82669DB1-DA5C-4A93-9476-FF71A37D31F3}"/>
    <cellStyle name="InputCells12 2 3 3 2 3" xfId="1564" xr:uid="{6849FAF2-1D09-4A47-9EF8-BC349974CB1A}"/>
    <cellStyle name="InputCells12 2 3 3 2 4" xfId="2459" xr:uid="{A8BFE08F-B13F-4EE4-B20C-C52D998B5D02}"/>
    <cellStyle name="InputCells12 2 3 3 2 5" xfId="2913" xr:uid="{2F6F0AEC-7863-4EB3-938D-CE799188AE0A}"/>
    <cellStyle name="InputCells12 2 3 3 2 6" xfId="3331" xr:uid="{ED148DC5-D257-4F09-9DFF-755DBB14836A}"/>
    <cellStyle name="InputCells12 2 3 3 2 7" xfId="3745" xr:uid="{F97F6CA8-CACE-40CD-8621-EF7822AA4243}"/>
    <cellStyle name="InputCells12 2 3 3 2 8" xfId="4168" xr:uid="{601F79E2-D025-4A53-863B-B3D9291E99B6}"/>
    <cellStyle name="InputCells12 2 3 3 2 9" xfId="4415" xr:uid="{468289D7-15DB-43AD-A6AA-2BF8BA8F861A}"/>
    <cellStyle name="InputCells12 2 3 3 3" xfId="1023" xr:uid="{2AF97464-0C48-45FE-B74C-BCD97F8721F3}"/>
    <cellStyle name="InputCells12 2 3 3 4" xfId="1698" xr:uid="{0C3E6E8C-202B-46B5-AFAB-54F65282182B}"/>
    <cellStyle name="InputCells12 2 3 3 5" xfId="2246" xr:uid="{BE08F495-E215-4427-949A-6C5375405166}"/>
    <cellStyle name="InputCells12 2 3 3 6" xfId="2700" xr:uid="{FE07BD4B-9D03-4CFD-AF73-816AA8808BAC}"/>
    <cellStyle name="InputCells12 2 3 3 7" xfId="3117" xr:uid="{06858201-B95D-4848-A65D-8AA6E090EC91}"/>
    <cellStyle name="InputCells12 2 3 3 8" xfId="3530" xr:uid="{D2DF76D9-99E1-4012-A1B7-D63C8A279CA0}"/>
    <cellStyle name="InputCells12 2 3 3 9" xfId="3955" xr:uid="{C8F5B887-A48D-4F39-9C5A-6FE2F0E3B5D7}"/>
    <cellStyle name="InputCells12 2 3 4" xfId="656" xr:uid="{E5A2F4E9-50A4-4E53-84A0-E274BF2AA459}"/>
    <cellStyle name="InputCells12 2 3 4 10" xfId="4534" xr:uid="{DF5DCBB6-A5F0-4DDE-A81C-09D01B279014}"/>
    <cellStyle name="InputCells12 2 3 4 11" xfId="5028" xr:uid="{44B0E4F5-4599-4C03-8027-A69E134EC026}"/>
    <cellStyle name="InputCells12 2 3 4 12" xfId="4764" xr:uid="{2880315B-37F3-4DF2-A276-54DB4120EF17}"/>
    <cellStyle name="InputCells12 2 3 4 2" xfId="871" xr:uid="{D54D62E8-22D1-4160-8DC8-48ADB632D772}"/>
    <cellStyle name="InputCells12 2 3 4 2 10" xfId="5237" xr:uid="{D94D63AC-488C-4150-BB63-0E31A2AD17A6}"/>
    <cellStyle name="InputCells12 2 3 4 2 11" xfId="5465" xr:uid="{ABD8BCF5-64D0-49FF-9C05-ADD923C602FD}"/>
    <cellStyle name="InputCells12 2 3 4 2 2" xfId="1345" xr:uid="{A4505340-F653-4F52-B6DC-E2E755623DAF}"/>
    <cellStyle name="InputCells12 2 3 4 2 3" xfId="1794" xr:uid="{B649DA07-1776-457F-A327-FD23CF352466}"/>
    <cellStyle name="InputCells12 2 3 4 2 4" xfId="2575" xr:uid="{0D045260-F440-4514-A9ED-9D7D7CF3BFA2}"/>
    <cellStyle name="InputCells12 2 3 4 2 5" xfId="3029" xr:uid="{79961651-C8D5-4B36-8A4A-1FB0A68A0792}"/>
    <cellStyle name="InputCells12 2 3 4 2 6" xfId="3447" xr:uid="{98473412-7524-4D64-9A7F-45D659B1849C}"/>
    <cellStyle name="InputCells12 2 3 4 2 7" xfId="3861" xr:uid="{DE9B27C2-C0C3-4833-974B-3637033015BE}"/>
    <cellStyle name="InputCells12 2 3 4 2 8" xfId="4284" xr:uid="{B7477E60-CEC2-4ADC-B57A-EDA185F0D58E}"/>
    <cellStyle name="InputCells12 2 3 4 2 9" xfId="4552" xr:uid="{37719DA8-FA0E-4D5A-AB8E-A51FAEECC172}"/>
    <cellStyle name="InputCells12 2 3 4 3" xfId="1139" xr:uid="{D6F6984C-86BD-4911-AED5-45574CE15060}"/>
    <cellStyle name="InputCells12 2 3 4 4" xfId="1723" xr:uid="{F8AC1047-B3AD-4E2F-9422-A3092B057364}"/>
    <cellStyle name="InputCells12 2 3 4 5" xfId="2362" xr:uid="{B4272A1A-0645-41A3-9613-7FF3BDFD8CF4}"/>
    <cellStyle name="InputCells12 2 3 4 6" xfId="2816" xr:uid="{19C05E94-8CE2-47F8-A9FD-4176401A583A}"/>
    <cellStyle name="InputCells12 2 3 4 7" xfId="3233" xr:uid="{DC5BD6B9-6189-4085-BE4B-2E4470036CD2}"/>
    <cellStyle name="InputCells12 2 3 4 8" xfId="3646" xr:uid="{8792E1B0-87F0-49AD-BA8A-CB6A77EB1EA7}"/>
    <cellStyle name="InputCells12 2 3 4 9" xfId="4071" xr:uid="{3CD118AB-7014-457F-81F8-0C20720DD295}"/>
    <cellStyle name="InputCells12 2 3 5" xfId="955" xr:uid="{1D0185CC-C02C-468B-9EB5-FB0604CF6D53}"/>
    <cellStyle name="InputCells12 2 3 6" xfId="1466" xr:uid="{A1F3AEE5-C514-4C73-8625-1F7942114316}"/>
    <cellStyle name="InputCells12 2 3 7" xfId="2043" xr:uid="{CD8535AF-3675-43AE-BFF8-B628767A6478}"/>
    <cellStyle name="InputCells12 2 3 8" xfId="1821" xr:uid="{47935731-2D6C-4CA5-80BC-9B7BB728DC3B}"/>
    <cellStyle name="InputCells12 2 3 9" xfId="2148" xr:uid="{C175EF10-43B4-49B6-8BDD-761AE4F98396}"/>
    <cellStyle name="InputCells12 3" xfId="419" xr:uid="{3D9B1F67-42BA-466F-9FC4-E8E7C1440165}"/>
    <cellStyle name="InputCells12 3 2" xfId="524" xr:uid="{2F6F1984-1CBF-4224-9EB9-DC20F450CC07}"/>
    <cellStyle name="InputCells12 3 2 10" xfId="2088" xr:uid="{ED87C0AC-4E10-454D-8B33-3978056F2B55}"/>
    <cellStyle name="InputCells12 3 2 11" xfId="4896" xr:uid="{75ED79EE-AACE-4FB4-A408-A961139F67C1}"/>
    <cellStyle name="InputCells12 3 2 12" xfId="4846" xr:uid="{45909434-C99D-4530-B0D4-0CA1A0B0D59B}"/>
    <cellStyle name="InputCells12 3 2 2" xfId="739" xr:uid="{2E598F35-BC91-43C8-BE96-574437B2D108}"/>
    <cellStyle name="InputCells12 3 2 2 10" xfId="5105" xr:uid="{4D0D5761-4A66-48D5-B60D-1AAE38176012}"/>
    <cellStyle name="InputCells12 3 2 2 11" xfId="4662" xr:uid="{79068802-D219-4D7A-860D-B3183A236505}"/>
    <cellStyle name="InputCells12 3 2 2 2" xfId="1213" xr:uid="{694B56DF-FF88-435C-82C0-6FF70867BD4B}"/>
    <cellStyle name="InputCells12 3 2 2 3" xfId="1437" xr:uid="{C3EED381-6FF4-4F1A-B706-CA71654BEDBC}"/>
    <cellStyle name="InputCells12 3 2 2 4" xfId="2443" xr:uid="{7043F7CF-985E-451C-BB73-E34A6803E931}"/>
    <cellStyle name="InputCells12 3 2 2 5" xfId="2897" xr:uid="{CF1D5B9E-F8A4-44DA-8F43-FDA1B6F0627B}"/>
    <cellStyle name="InputCells12 3 2 2 6" xfId="3315" xr:uid="{D0B2904C-780D-4B02-A9A1-0228441B630C}"/>
    <cellStyle name="InputCells12 3 2 2 7" xfId="3729" xr:uid="{A3840A2D-FD66-4199-A1A4-49A34796C9D8}"/>
    <cellStyle name="InputCells12 3 2 2 8" xfId="4152" xr:uid="{35271EF4-D265-44FA-9319-5AE5FA9C3891}"/>
    <cellStyle name="InputCells12 3 2 2 9" xfId="4522" xr:uid="{B78B9AC0-D744-4083-BBD0-75449050D50E}"/>
    <cellStyle name="InputCells12 3 2 3" xfId="1007" xr:uid="{EDEA2055-0DCC-4EF1-AC27-A08244E02252}"/>
    <cellStyle name="InputCells12 3 2 4" xfId="1570" xr:uid="{C2E4E49B-C02B-4D62-96A3-FA0730B9F8E0}"/>
    <cellStyle name="InputCells12 3 2 5" xfId="2230" xr:uid="{B3311190-8E99-4BF4-8EDC-855323043482}"/>
    <cellStyle name="InputCells12 3 2 6" xfId="2684" xr:uid="{552AAF65-104B-403D-AD7A-B95FCE0E228C}"/>
    <cellStyle name="InputCells12 3 2 7" xfId="3101" xr:uid="{3DDBFBAD-DAB5-4D19-B4FA-58EBB45834F7}"/>
    <cellStyle name="InputCells12 3 2 8" xfId="3514" xr:uid="{392F296B-1968-4800-AD8F-991E0345EFAE}"/>
    <cellStyle name="InputCells12 3 2 9" xfId="3939" xr:uid="{7B9597EC-C629-4C7B-AE14-B3C11FDD962B}"/>
    <cellStyle name="InputCells12 3 3" xfId="718" xr:uid="{97BD65BD-95B6-40D7-953E-E56D4000FABB}"/>
    <cellStyle name="InputCells12 3 3 10" xfId="5084" xr:uid="{3A409109-F228-403C-979A-F8348FE19F17}"/>
    <cellStyle name="InputCells12 3 3 11" xfId="5289" xr:uid="{4DCAE83D-8AB4-4E38-A1B5-04D376B6676B}"/>
    <cellStyle name="InputCells12 3 3 2" xfId="1192" xr:uid="{DA873FC9-5388-4F06-879A-6B3E98773264}"/>
    <cellStyle name="InputCells12 3 3 3" xfId="1445" xr:uid="{D3FC9A97-CC5E-46D5-8F5F-27D123B42DD8}"/>
    <cellStyle name="InputCells12 3 3 4" xfId="2422" xr:uid="{B46DA0B3-7D8D-4154-9DA9-F210A8CCAF38}"/>
    <cellStyle name="InputCells12 3 3 5" xfId="2876" xr:uid="{86672342-37CC-48D7-ABEF-40B4EE360465}"/>
    <cellStyle name="InputCells12 3 3 6" xfId="3294" xr:uid="{6CEFA0E3-BE4D-41F2-B779-8E893C598E74}"/>
    <cellStyle name="InputCells12 3 3 7" xfId="3708" xr:uid="{22C0DDB3-B2CA-4604-BEE1-3201A9D107F8}"/>
    <cellStyle name="InputCells12 3 3 8" xfId="4131" xr:uid="{6C28F4FB-2409-4DB5-A6BC-DE876233CEAC}"/>
    <cellStyle name="InputCells12 3 3 9" xfId="4535" xr:uid="{DF051F3B-2F3D-41FD-9BCB-A3A83BFC7298}"/>
    <cellStyle name="InputCells12 4" xfId="278" xr:uid="{30E85860-5B50-43DB-82E4-473421F718F4}"/>
    <cellStyle name="InputCells12 4 10" xfId="2404" xr:uid="{6C6562A6-D98B-4190-9024-782F5410B571}"/>
    <cellStyle name="InputCells12 4 11" xfId="3063" xr:uid="{5B8D3F6F-B848-4636-A1A5-E21E77F73219}"/>
    <cellStyle name="InputCells12 4 12" xfId="1920" xr:uid="{917DDABD-9560-4925-9E24-CCF76A0A296A}"/>
    <cellStyle name="InputCells12 4 13" xfId="4741" xr:uid="{FF05FC19-5880-4E42-8183-5B5B2D76EF32}"/>
    <cellStyle name="InputCells12 4 14" xfId="5266" xr:uid="{C76F161E-AD89-4118-9ED4-29202E485388}"/>
    <cellStyle name="InputCells12 4 2" xfId="616" xr:uid="{5392C8F6-62DB-475B-BE99-00899B02E347}"/>
    <cellStyle name="InputCells12 4 2 10" xfId="2103" xr:uid="{4481DFC8-C089-4FE2-9022-2DB0C29ED386}"/>
    <cellStyle name="InputCells12 4 2 11" xfId="4988" xr:uid="{707147A7-BD4E-47C2-9816-77703DE0F273}"/>
    <cellStyle name="InputCells12 4 2 12" xfId="5300" xr:uid="{E1E97686-9C8A-43D9-B274-B90DFA80BA1E}"/>
    <cellStyle name="InputCells12 4 2 2" xfId="831" xr:uid="{908802FF-695D-487B-A75A-4E8E2D948708}"/>
    <cellStyle name="InputCells12 4 2 2 10" xfId="5197" xr:uid="{364CB874-97D4-4B2B-8F8C-7E0DD15D0AF4}"/>
    <cellStyle name="InputCells12 4 2 2 11" xfId="5444" xr:uid="{7B8DC705-B338-4C58-A772-914F35666E92}"/>
    <cellStyle name="InputCells12 4 2 2 2" xfId="1305" xr:uid="{6294B62C-FEE1-452E-9FA4-990EA4A842CC}"/>
    <cellStyle name="InputCells12 4 2 2 3" xfId="1500" xr:uid="{D53929EB-1FA0-461F-B60B-64F764ED340A}"/>
    <cellStyle name="InputCells12 4 2 2 4" xfId="2535" xr:uid="{9083C187-135F-454C-AB66-6DFB73BEDB4C}"/>
    <cellStyle name="InputCells12 4 2 2 5" xfId="2989" xr:uid="{11EA976A-94FB-4A8C-8F2D-7290F254D22C}"/>
    <cellStyle name="InputCells12 4 2 2 6" xfId="3407" xr:uid="{F8DAC580-0509-43CC-A53B-E7046D46008B}"/>
    <cellStyle name="InputCells12 4 2 2 7" xfId="3821" xr:uid="{40EF6B50-30E8-4C8A-8410-0456BDBAE9A4}"/>
    <cellStyle name="InputCells12 4 2 2 8" xfId="4244" xr:uid="{25AE3394-FBED-44AD-8EE3-531C362AE56E}"/>
    <cellStyle name="InputCells12 4 2 2 9" xfId="4324" xr:uid="{1687DFCD-E91A-4E2D-B08C-B1DD6A012A6B}"/>
    <cellStyle name="InputCells12 4 2 3" xfId="1099" xr:uid="{4E9564BF-5837-4D05-81C7-91E1158AD3D7}"/>
    <cellStyle name="InputCells12 4 2 4" xfId="1728" xr:uid="{7F88AF45-B137-4203-97D9-0533B1A2B686}"/>
    <cellStyle name="InputCells12 4 2 5" xfId="2322" xr:uid="{35D185FC-5C66-4B52-9264-AE4B10C8DD37}"/>
    <cellStyle name="InputCells12 4 2 6" xfId="2776" xr:uid="{D57648B9-DE53-416E-BB35-5528990EDA9A}"/>
    <cellStyle name="InputCells12 4 2 7" xfId="3193" xr:uid="{5979C052-B339-4109-883E-ED90968DCAA2}"/>
    <cellStyle name="InputCells12 4 2 8" xfId="3606" xr:uid="{655078F9-7F0B-4771-96E0-A37E6236E0A5}"/>
    <cellStyle name="InputCells12 4 2 9" xfId="4031" xr:uid="{027FC8A4-CEC0-41F0-B9AB-0804BF3F5019}"/>
    <cellStyle name="InputCells12 4 3" xfId="541" xr:uid="{780EBBCB-37A1-436C-87BF-C89EDB91F0DE}"/>
    <cellStyle name="InputCells12 4 3 10" xfId="2163" xr:uid="{C7D98631-DB01-4642-8C5B-C815EBA4B8E9}"/>
    <cellStyle name="InputCells12 4 3 11" xfId="4913" xr:uid="{BDAEC20F-7DDB-4AB6-9FD3-131024E96A2E}"/>
    <cellStyle name="InputCells12 4 3 12" xfId="5371" xr:uid="{1A1C917A-DE7C-4361-B596-1B580C928BDA}"/>
    <cellStyle name="InputCells12 4 3 2" xfId="756" xr:uid="{2A108688-A165-45ED-B60D-5D5B8D36BCFE}"/>
    <cellStyle name="InputCells12 4 3 2 10" xfId="5122" xr:uid="{068BC299-76EE-414B-841D-D80B9A7A28B7}"/>
    <cellStyle name="InputCells12 4 3 2 11" xfId="4653" xr:uid="{9AD0CAA9-BF31-47A2-8366-42248B6F39DA}"/>
    <cellStyle name="InputCells12 4 3 2 2" xfId="1230" xr:uid="{4781AEF2-3EF6-4AA6-AD1E-6E0F26576C60}"/>
    <cellStyle name="InputCells12 4 3 2 3" xfId="1511" xr:uid="{2A690E0D-D1F4-4CAF-9D2A-0A0BF07EDC63}"/>
    <cellStyle name="InputCells12 4 3 2 4" xfId="2460" xr:uid="{F6BDAAD6-181B-445C-AB95-02CF14498635}"/>
    <cellStyle name="InputCells12 4 3 2 5" xfId="2914" xr:uid="{60A96112-4046-4A22-86B1-192944D792BE}"/>
    <cellStyle name="InputCells12 4 3 2 6" xfId="3332" xr:uid="{2645835E-B302-45EA-B759-0AFD40F81414}"/>
    <cellStyle name="InputCells12 4 3 2 7" xfId="3746" xr:uid="{96903E7E-4508-4C3B-995D-BC3A1FBFCC5B}"/>
    <cellStyle name="InputCells12 4 3 2 8" xfId="4169" xr:uid="{5FEFB7CB-142E-472D-934B-7BE6C44DA780}"/>
    <cellStyle name="InputCells12 4 3 2 9" xfId="3050" xr:uid="{86CD85BF-9787-4344-A158-8A9A5EE81B52}"/>
    <cellStyle name="InputCells12 4 3 3" xfId="1024" xr:uid="{23E17E98-9BA7-4C6F-B0A3-A612FAC9CDDE}"/>
    <cellStyle name="InputCells12 4 3 4" xfId="1606" xr:uid="{DDC7ADC7-E3FD-4CDD-9DBB-E454FBA9656B}"/>
    <cellStyle name="InputCells12 4 3 5" xfId="2247" xr:uid="{45487AEF-D7F6-4226-9900-72001BAA9046}"/>
    <cellStyle name="InputCells12 4 3 6" xfId="2701" xr:uid="{0567D0F6-A6AB-4BB9-9D60-51E31C3D48EE}"/>
    <cellStyle name="InputCells12 4 3 7" xfId="3118" xr:uid="{38C4D329-3D6E-456A-BA6E-6CAFCF216B3A}"/>
    <cellStyle name="InputCells12 4 3 8" xfId="3531" xr:uid="{FEDECF5E-98B4-4101-B205-CC99121D0AC6}"/>
    <cellStyle name="InputCells12 4 3 9" xfId="3956" xr:uid="{825BF1D7-36F3-4742-865A-93B967209F8B}"/>
    <cellStyle name="InputCells12 4 4" xfId="515" xr:uid="{DCCE8F4D-7D87-4BC7-8391-B41BD6E22C9A}"/>
    <cellStyle name="InputCells12 4 4 10" xfId="2598" xr:uid="{62B367BF-0FD5-4C76-AF37-B16A78195103}"/>
    <cellStyle name="InputCells12 4 4 11" xfId="4887" xr:uid="{9C597C98-7B00-4173-9FBD-0F1CCC27740C}"/>
    <cellStyle name="InputCells12 4 4 12" xfId="5312" xr:uid="{266697FA-9129-4756-99C8-E6D0ACD4D756}"/>
    <cellStyle name="InputCells12 4 4 2" xfId="730" xr:uid="{3081BBD2-02FA-480D-8E7E-E247CC2F2CE1}"/>
    <cellStyle name="InputCells12 4 4 2 10" xfId="5096" xr:uid="{48BD3973-55BB-4682-8B3B-BB446629ADE2}"/>
    <cellStyle name="InputCells12 4 4 2 11" xfId="4626" xr:uid="{C09D6EC3-146B-4C03-B48D-B2BBE76AC452}"/>
    <cellStyle name="InputCells12 4 4 2 2" xfId="1204" xr:uid="{C7E27C61-4ADC-4439-BF0A-3719D1E67DE1}"/>
    <cellStyle name="InputCells12 4 4 2 3" xfId="1441" xr:uid="{143ACD98-5B71-41DC-B603-A3AEC0A5CC77}"/>
    <cellStyle name="InputCells12 4 4 2 4" xfId="2434" xr:uid="{7525535D-82EC-4F99-8753-04EB428A5C18}"/>
    <cellStyle name="InputCells12 4 4 2 5" xfId="2888" xr:uid="{914A8663-DC9B-4651-AD92-1DE3DF385031}"/>
    <cellStyle name="InputCells12 4 4 2 6" xfId="3306" xr:uid="{E03FC811-396E-463F-997F-3F98883D13AF}"/>
    <cellStyle name="InputCells12 4 4 2 7" xfId="3720" xr:uid="{99533F51-EA94-4E40-9358-97B1A4CF41C8}"/>
    <cellStyle name="InputCells12 4 4 2 8" xfId="4143" xr:uid="{86E5861D-5FC7-4696-A258-41F7E906BCA0}"/>
    <cellStyle name="InputCells12 4 4 2 9" xfId="4525" xr:uid="{CDDBF639-1F9A-4309-B425-597750978898}"/>
    <cellStyle name="InputCells12 4 4 3" xfId="998" xr:uid="{E3A72D73-BE88-42A9-8CF7-642B0CB40613}"/>
    <cellStyle name="InputCells12 4 4 4" xfId="1641" xr:uid="{42C7AEFE-F7C9-4ED1-AA14-673705A4141F}"/>
    <cellStyle name="InputCells12 4 4 5" xfId="2221" xr:uid="{EB8F4D24-6DE0-4EBA-BFC4-EA0B1BFA12A1}"/>
    <cellStyle name="InputCells12 4 4 6" xfId="2675" xr:uid="{081D5C03-976F-45F6-99EE-6B683342885F}"/>
    <cellStyle name="InputCells12 4 4 7" xfId="3092" xr:uid="{1A56E632-7B4D-444E-852D-E03641AF93B6}"/>
    <cellStyle name="InputCells12 4 4 8" xfId="3505" xr:uid="{90EC541B-8AE1-4DAE-AE97-831856DCC6DC}"/>
    <cellStyle name="InputCells12 4 4 9" xfId="3930" xr:uid="{B5ADB48B-ED17-40E6-B0C2-2324014D8AC6}"/>
    <cellStyle name="InputCells12 4 5" xfId="954" xr:uid="{A0620748-B936-4ED7-BD7A-A2912E7DE538}"/>
    <cellStyle name="InputCells12 4 6" xfId="1467" xr:uid="{A01EB62F-6B3B-4031-BD63-26E2F3CC3A1A}"/>
    <cellStyle name="InputCells12 4 7" xfId="2042" xr:uid="{1A76F4EC-5A0B-4D8E-8E13-01B1D5AD153B}"/>
    <cellStyle name="InputCells12 4 8" xfId="1836" xr:uid="{6B4ACB3E-2F71-4D86-B7BC-D63A6E0FA780}"/>
    <cellStyle name="InputCells12 4 9" xfId="2017" xr:uid="{3296393B-7932-47A4-9899-28E886DF2271}"/>
    <cellStyle name="InputCells12 5" xfId="73" xr:uid="{8C3FC201-9EAB-4B31-ABDE-C0C76DF6F3A8}"/>
    <cellStyle name="InputCells12 5 2" xfId="918" xr:uid="{04249042-DF96-4AFD-AA6C-7C875F8FA97F}"/>
    <cellStyle name="InputCells12 5 3" xfId="1888" xr:uid="{5353621F-CC7C-4F0E-AF03-15D6E8CCCA02}"/>
    <cellStyle name="InputCells12 5 4" xfId="3076" xr:uid="{DDBF84A0-8FB0-44C9-BCF7-A420890E52A8}"/>
    <cellStyle name="InputCells12 5 5" xfId="4621" xr:uid="{92B597AB-53F3-4A47-9A38-8679934D65EB}"/>
    <cellStyle name="InputCells12_BBorder" xfId="26" xr:uid="{A548877D-CD0E-4EE1-AF8A-A48040FD15B0}"/>
    <cellStyle name="IntCells" xfId="146" xr:uid="{60A6EB5D-B81F-43AA-901F-0BD9FC364854}"/>
    <cellStyle name="KP_thin_border_dark_grey" xfId="36" xr:uid="{9A5D44AD-0AB4-4B47-919C-0306CE6B33EA}"/>
    <cellStyle name="Linked Cell 2" xfId="147" xr:uid="{7EE34B36-FC81-4D3C-AD66-5D6BCE5844C3}"/>
    <cellStyle name="Linked Cell 3" xfId="233" xr:uid="{CAC52111-5401-4ABF-A777-E2FBFCF25BD5}"/>
    <cellStyle name="Linked Cell 4" xfId="368" xr:uid="{B057DC18-DF59-4369-9A03-55AA4B8E5987}"/>
    <cellStyle name="Neutral 2" xfId="148" xr:uid="{5590DDE8-FE6C-4E52-B634-3385057E35ED}"/>
    <cellStyle name="Neutral 3" xfId="234" xr:uid="{76C3C4A1-ED08-4D0D-B83B-67799571E6AF}"/>
    <cellStyle name="Normaali 2" xfId="149" xr:uid="{EBC00AB2-6051-48C8-9A98-CA17581EE2BE}"/>
    <cellStyle name="Normaali 2 2" xfId="150" xr:uid="{E820EDC1-CFDC-4F9C-9BBC-A95DBCD7204B}"/>
    <cellStyle name="Normal" xfId="0" builtinId="0"/>
    <cellStyle name="Normal 10" xfId="371" xr:uid="{830A227B-37CB-4483-9101-5740DF03F2C8}"/>
    <cellStyle name="Normal 10 2" xfId="440" xr:uid="{8EA894EF-5AA3-4827-83A6-6BFD37D13D77}"/>
    <cellStyle name="Normal 11" xfId="399" xr:uid="{5ED62D92-C3EF-4341-B6AD-6D616C972F91}"/>
    <cellStyle name="Normal 11 2" xfId="441" xr:uid="{972F9425-232F-4796-9BCC-C33E4DAB7F2C}"/>
    <cellStyle name="Normal 12" xfId="510" xr:uid="{AAA54ADB-CA73-4FF1-BF32-B243FBA5D2AB}"/>
    <cellStyle name="Normal 12 2" xfId="670" xr:uid="{F8037825-F997-457D-A7C2-7840F3455A84}"/>
    <cellStyle name="Normal 2" xfId="5" xr:uid="{91032084-917E-4CBC-A5C2-440FE949CDC0}"/>
    <cellStyle name="Normal 2 2" xfId="151" xr:uid="{83ECB069-8B74-4C1A-AAF5-96E825D6952A}"/>
    <cellStyle name="Normal 2 2 2" xfId="152" xr:uid="{5EBA34FB-0F27-410C-900B-C3BDF682C323}"/>
    <cellStyle name="Normal 2 3" xfId="153" xr:uid="{A7E81D7C-B4DD-45BC-84B1-E58556C8D26B}"/>
    <cellStyle name="Normal 2 3 2" xfId="421" xr:uid="{A98B3531-03BC-4817-B5E0-22A948C5B23D}"/>
    <cellStyle name="Normal 2 3 2 2" xfId="2152" xr:uid="{606DDDAE-334E-46F7-896B-26662825D044}"/>
    <cellStyle name="Normal 2 3 3" xfId="1949" xr:uid="{27730984-999D-4511-9070-B0B67BB84FB8}"/>
    <cellStyle name="Normal 2 4" xfId="40" xr:uid="{CAC392B0-A231-44B0-A2FC-1F2A41F185D3}"/>
    <cellStyle name="Normal 3" xfId="1" xr:uid="{00000000-0005-0000-0000-000001000000}"/>
    <cellStyle name="Normal 3 2" xfId="154" xr:uid="{AD8EEC0E-57E3-42D1-BF2A-4BE9DDA55823}"/>
    <cellStyle name="Normal 3 2 2" xfId="41" xr:uid="{3861B005-A154-447E-90D0-2F22582F0768}"/>
    <cellStyle name="Normal 3 3" xfId="195" xr:uid="{DA5E2677-7BF1-4EC8-B4C9-CEC16C381A25}"/>
    <cellStyle name="Normal 3 4" xfId="357" xr:uid="{51E879DC-CABE-4CBB-B36C-A880625FF8B1}"/>
    <cellStyle name="Normal 3 5" xfId="37" xr:uid="{9AB6D151-1871-4D82-A3CF-54BE2DDEE62A}"/>
    <cellStyle name="Normal 4" xfId="155" xr:uid="{BB782A3A-132A-4DB6-BF5B-C3E87957D7F7}"/>
    <cellStyle name="Normal 4 2" xfId="156" xr:uid="{82727431-625B-4D3E-A899-0EAB8D80A418}"/>
    <cellStyle name="Normal 4 2 2" xfId="157" xr:uid="{7271FE33-47E9-4666-86D8-4FD1851D7FF7}"/>
    <cellStyle name="Normal 4 2 3" xfId="422" xr:uid="{F66C92D7-4D6F-4FC3-95F1-1FCF5D5DEB83}"/>
    <cellStyle name="Normal 4 3" xfId="196" xr:uid="{79911653-78A5-4DB1-AD6C-20C1430511AB}"/>
    <cellStyle name="Normal 4 3 2" xfId="423" xr:uid="{13EB3205-32CE-4864-A9D9-9BDC8B6F4BDA}"/>
    <cellStyle name="Normal 5" xfId="158" xr:uid="{8F237282-353E-4084-8431-EA2B02D17964}"/>
    <cellStyle name="Normal 5 2" xfId="289" xr:uid="{93B8A054-D2B6-4ABF-8A72-6A2CFFE77A0C}"/>
    <cellStyle name="Normal 5 2 2" xfId="296" xr:uid="{9919FE0D-7CDA-45CA-A79E-07408CD609C4}"/>
    <cellStyle name="Normal 5 2 2 2" xfId="302" xr:uid="{D93076A8-6485-445B-A42C-7E53349EEFEB}"/>
    <cellStyle name="Normal 5 2 2 2 2" xfId="317" xr:uid="{359AFC38-3583-447B-9490-15D9FE3A64A6}"/>
    <cellStyle name="Normal 5 2 2 2 2 2" xfId="446" xr:uid="{76930CAB-847A-4336-8662-36A7AFF8536B}"/>
    <cellStyle name="Normal 5 2 2 2 3" xfId="445" xr:uid="{B1495AEC-5F2D-4582-8C2A-AECC774C7A6E}"/>
    <cellStyle name="Normal 5 2 2 3" xfId="316" xr:uid="{5AAA4E7B-D0C1-4F5A-BF13-3DE7EB763F2E}"/>
    <cellStyle name="Normal 5 2 2 3 2" xfId="447" xr:uid="{4DC33795-7126-4E2F-94D0-E1FCEC6BCBC9}"/>
    <cellStyle name="Normal 5 2 2 4" xfId="444" xr:uid="{5BB3B97C-7F59-4588-8FE6-B6F9CEA779D4}"/>
    <cellStyle name="Normal 5 2 3" xfId="301" xr:uid="{8EE9746C-4B47-47CC-8D54-41F359011B4D}"/>
    <cellStyle name="Normal 5 2 3 2" xfId="318" xr:uid="{050007AF-A4FE-442D-BA6E-E93829EFD11C}"/>
    <cellStyle name="Normal 5 2 3 2 2" xfId="449" xr:uid="{AE1C602E-7852-4A70-972D-F2E7B5EF2BBE}"/>
    <cellStyle name="Normal 5 2 3 3" xfId="448" xr:uid="{F12E0D49-42FF-4F01-99CE-769A516847D7}"/>
    <cellStyle name="Normal 5 2 4" xfId="315" xr:uid="{3ABFBF82-A53D-4160-BB4D-108B3FC2CCAA}"/>
    <cellStyle name="Normal 5 2 4 2" xfId="450" xr:uid="{6EFA785F-F0ED-4775-897D-8C6066089775}"/>
    <cellStyle name="Normal 5 2 5" xfId="424" xr:uid="{D1DEDE17-3EF5-45A8-8705-39F4C6409860}"/>
    <cellStyle name="Normal 5 2 5 2" xfId="451" xr:uid="{F275E865-CEE1-4DD0-8884-7ACEC4A5FC49}"/>
    <cellStyle name="Normal 5 2 6" xfId="443" xr:uid="{B42F8FFC-5242-4E60-A429-F7291507EC1B}"/>
    <cellStyle name="Normal 5 3" xfId="293" xr:uid="{A602D451-A0D8-4D33-8A46-54527D5D9A28}"/>
    <cellStyle name="Normal 5 3 2" xfId="303" xr:uid="{2A0C2A5E-262D-4F6E-9101-F72D789132FC}"/>
    <cellStyle name="Normal 5 3 2 2" xfId="320" xr:uid="{D5D4E6E5-DE2E-47FD-A26B-AE86E8C1E2E7}"/>
    <cellStyle name="Normal 5 3 2 2 2" xfId="454" xr:uid="{016F9E56-1D29-4FAA-A7F1-7C002B10B205}"/>
    <cellStyle name="Normal 5 3 2 3" xfId="453" xr:uid="{DED3EB29-E5AA-4434-89FB-C900169BD428}"/>
    <cellStyle name="Normal 5 3 3" xfId="319" xr:uid="{0ADF63DB-6980-4662-948B-B74C8FAF61C9}"/>
    <cellStyle name="Normal 5 3 3 2" xfId="455" xr:uid="{91DFB202-D06E-4123-8530-AEF672543B8F}"/>
    <cellStyle name="Normal 5 3 4" xfId="452" xr:uid="{AC0DA96C-79CE-4554-85C3-363E5F129053}"/>
    <cellStyle name="Normal 5 4" xfId="300" xr:uid="{58087C44-ED8E-4D99-8529-94AAAE92F2A2}"/>
    <cellStyle name="Normal 5 4 2" xfId="321" xr:uid="{A2249AFB-6980-4ED0-B83E-2934E8EB26DB}"/>
    <cellStyle name="Normal 5 4 2 2" xfId="457" xr:uid="{B1CC5BCE-DF4F-4F3D-B901-664193F672E1}"/>
    <cellStyle name="Normal 5 4 3" xfId="456" xr:uid="{46C0E625-3DB1-48DE-87AE-57118F0A261C}"/>
    <cellStyle name="Normal 5 5" xfId="314" xr:uid="{39457B5E-1858-4816-8E99-8890FBBAA1A8}"/>
    <cellStyle name="Normal 5 5 2" xfId="458" xr:uid="{DDB08CE7-9DA8-4944-87B1-1F437C430466}"/>
    <cellStyle name="Normal 5 6" xfId="358" xr:uid="{438968F2-EB56-4321-9D16-9E7FC6E6B38B}"/>
    <cellStyle name="Normal 5 7" xfId="442" xr:uid="{986F4432-37BB-43B0-9458-09ADFAECFDD8}"/>
    <cellStyle name="Normal 5 8" xfId="280" xr:uid="{9E00E9F7-A841-4058-9B76-B65426616FA8}"/>
    <cellStyle name="Normal 6" xfId="159" xr:uid="{E61F29B1-D3E4-4FF7-8771-F48F7EE3341B}"/>
    <cellStyle name="Normal 6 10" xfId="425" xr:uid="{D12C1F6E-9132-42FD-BDB9-0E0BB3DE255C}"/>
    <cellStyle name="Normal 6 10 2" xfId="460" xr:uid="{A0DF9630-2B0E-4DF0-8531-21553A1676AE}"/>
    <cellStyle name="Normal 6 11" xfId="459" xr:uid="{A3A86156-42C3-4153-8737-B2BAB7217541}"/>
    <cellStyle name="Normal 6 2" xfId="290" xr:uid="{308FA2C4-8526-48AD-AA17-11CEE7F49A80}"/>
    <cellStyle name="Normal 6 2 2" xfId="297" xr:uid="{E66EBEE0-A848-46C7-9780-155EC4394347}"/>
    <cellStyle name="Normal 6 2 2 2" xfId="306" xr:uid="{8EC0D0B7-EB7D-4BD5-AB5A-19C5007A53D9}"/>
    <cellStyle name="Normal 6 2 2 2 2" xfId="325" xr:uid="{C531E324-B883-4F87-8B09-9694922A5905}"/>
    <cellStyle name="Normal 6 2 2 2 2 2" xfId="464" xr:uid="{3A691EAA-C975-4C37-A882-B33335B04EBD}"/>
    <cellStyle name="Normal 6 2 2 2 3" xfId="463" xr:uid="{C92C781E-1DC7-476D-8093-FE9BDA1D7294}"/>
    <cellStyle name="Normal 6 2 2 3" xfId="324" xr:uid="{651A1212-6A50-41F2-8041-45BCDD7F3BA7}"/>
    <cellStyle name="Normal 6 2 2 3 2" xfId="465" xr:uid="{3ACF6614-4F53-4419-96F8-9ED00F6843CA}"/>
    <cellStyle name="Normal 6 2 2 4" xfId="462" xr:uid="{1BCD7A1B-BA73-4209-B8E3-E983F5C22A71}"/>
    <cellStyle name="Normal 6 2 3" xfId="305" xr:uid="{4FDB9BEA-ABF3-465C-89E7-D6DDDEC45F90}"/>
    <cellStyle name="Normal 6 2 3 2" xfId="326" xr:uid="{98914965-D641-41A1-82EA-041F3BE053E6}"/>
    <cellStyle name="Normal 6 2 3 2 2" xfId="467" xr:uid="{9FD1C3A8-04D9-45CE-BC08-2738E606B8FE}"/>
    <cellStyle name="Normal 6 2 3 3" xfId="466" xr:uid="{CC111367-9A24-458B-AB90-EBB4E456CF68}"/>
    <cellStyle name="Normal 6 2 4" xfId="323" xr:uid="{67781670-E671-4B47-9347-4BBD880C23C4}"/>
    <cellStyle name="Normal 6 2 4 2" xfId="468" xr:uid="{8646FDD6-3118-4C47-BA18-B765C72181CA}"/>
    <cellStyle name="Normal 6 2 5" xfId="426" xr:uid="{30C1CF9F-4B94-46BD-9618-767EA2051239}"/>
    <cellStyle name="Normal 6 2 5 2" xfId="469" xr:uid="{2833F69A-7C03-48D0-A20F-D73C0AD69B4D}"/>
    <cellStyle name="Normal 6 2 6" xfId="461" xr:uid="{3A0D064A-9D02-4483-8883-7E86C58CA4B0}"/>
    <cellStyle name="Normal 6 3" xfId="292" xr:uid="{EBEC68F0-0844-4935-B828-7A77589CE24A}"/>
    <cellStyle name="Normal 6 3 2" xfId="299" xr:uid="{59E78793-D313-41E5-B72B-FE832674D26C}"/>
    <cellStyle name="Normal 6 3 2 2" xfId="308" xr:uid="{771D9D44-7415-4087-93FD-B1D2548FA0BC}"/>
    <cellStyle name="Normal 6 3 2 2 2" xfId="329" xr:uid="{4A905138-D62A-4B21-8203-7F4BE8EE20A6}"/>
    <cellStyle name="Normal 6 3 2 2 2 2" xfId="473" xr:uid="{31042D9C-B245-44A6-BF11-9C16DFF4B160}"/>
    <cellStyle name="Normal 6 3 2 2 3" xfId="472" xr:uid="{04931410-A1B6-4093-B9C5-1442AF13F4DE}"/>
    <cellStyle name="Normal 6 3 2 3" xfId="328" xr:uid="{C22A4A5A-5CF6-46D5-A0A8-14819D4BD554}"/>
    <cellStyle name="Normal 6 3 2 3 2" xfId="474" xr:uid="{19DF7FE4-2312-49F9-AE16-7BAB338E8FF8}"/>
    <cellStyle name="Normal 6 3 2 4" xfId="471" xr:uid="{BA02C17C-A070-4D9B-837A-E815751F00C0}"/>
    <cellStyle name="Normal 6 3 3" xfId="307" xr:uid="{2FDC6F3D-5479-4E55-A4AF-3A3C7E75DE3A}"/>
    <cellStyle name="Normal 6 3 3 2" xfId="330" xr:uid="{9AD4785C-AE0F-4062-A2FA-66B5F7D49B46}"/>
    <cellStyle name="Normal 6 3 3 2 2" xfId="476" xr:uid="{DB7FA24F-9815-44F6-9A3C-828F467DC29A}"/>
    <cellStyle name="Normal 6 3 3 3" xfId="475" xr:uid="{68EC3157-07A8-44C1-8EA9-8F9B6110203F}"/>
    <cellStyle name="Normal 6 3 4" xfId="327" xr:uid="{272AB0AA-63CF-47C6-A874-19E1DFCC11E3}"/>
    <cellStyle name="Normal 6 3 4 2" xfId="477" xr:uid="{EC016FA7-5189-49C3-B740-CE0051ADBDF1}"/>
    <cellStyle name="Normal 6 3 5" xfId="470" xr:uid="{E30C6FD9-1556-4C18-B3F1-CADFBE5309C3}"/>
    <cellStyle name="Normal 6 4" xfId="294" xr:uid="{BFD2E210-B4B1-490D-9965-A959DD8529D6}"/>
    <cellStyle name="Normal 6 4 2" xfId="309" xr:uid="{61C1E179-5844-4533-BDFB-87BECFEEF4E9}"/>
    <cellStyle name="Normal 6 4 2 2" xfId="332" xr:uid="{42EB4C27-8689-4A6F-B97F-60330BA39D1D}"/>
    <cellStyle name="Normal 6 4 2 2 2" xfId="480" xr:uid="{5774BB8A-1EC9-4E43-8608-A9E7416587D5}"/>
    <cellStyle name="Normal 6 4 2 3" xfId="479" xr:uid="{AB223AA7-1F87-4E29-B37C-2C0AEB336CB3}"/>
    <cellStyle name="Normal 6 4 3" xfId="331" xr:uid="{D9E9449F-8D4C-4B5D-BABC-65A4473557C4}"/>
    <cellStyle name="Normal 6 4 3 2" xfId="481" xr:uid="{2B02EDAC-C9CC-4DA6-8C0B-7322E919D254}"/>
    <cellStyle name="Normal 6 4 4" xfId="478" xr:uid="{9B0719DF-37AC-454D-8193-F65AAB9858AA}"/>
    <cellStyle name="Normal 6 5" xfId="304" xr:uid="{274C4AD4-7365-4C7C-B5D6-C7935E163C6D}"/>
    <cellStyle name="Normal 6 5 2" xfId="333" xr:uid="{A318CB62-0DC2-4441-81A1-585270717554}"/>
    <cellStyle name="Normal 6 5 2 2" xfId="483" xr:uid="{8E5F365B-5B7C-4524-B409-1CB4B545F988}"/>
    <cellStyle name="Normal 6 5 3" xfId="482" xr:uid="{D82442DA-8643-44AB-A31A-5678F4D9780F}"/>
    <cellStyle name="Normal 6 6" xfId="322" xr:uid="{45721E1C-DD49-46A4-8597-6106D4B10DAD}"/>
    <cellStyle name="Normal 6 6 2" xfId="484" xr:uid="{75298F91-C3B9-4F95-9E0E-EC4C50D0C666}"/>
    <cellStyle name="Normal 6 7" xfId="359" xr:uid="{FD6BD21E-7430-496A-A7E2-87407F330806}"/>
    <cellStyle name="Normal 6 7 2" xfId="485" xr:uid="{69F4D824-8F82-438B-931B-196E1BEF5D87}"/>
    <cellStyle name="Normal 6 8" xfId="395" xr:uid="{60F05EB2-6453-46F2-827A-BA4643AC9477}"/>
    <cellStyle name="Normal 6 8 2" xfId="486" xr:uid="{3216BD90-E3E6-4764-8108-498DD06E7747}"/>
    <cellStyle name="Normal 6 9" xfId="398" xr:uid="{6C7F9437-3FE7-47DA-9C5E-9FF2B21F4276}"/>
    <cellStyle name="Normal 6 9 2" xfId="487" xr:uid="{BDF39223-EE15-454A-8B3A-0BE26C388571}"/>
    <cellStyle name="Normal 7" xfId="35" xr:uid="{1FB27423-ABE3-479A-86C0-39983D5EB1E3}"/>
    <cellStyle name="Normal 7 2" xfId="291" xr:uid="{FF538993-F6FD-48D9-86B9-9C8CBBA2CCA2}"/>
    <cellStyle name="Normal 7 2 2" xfId="298" xr:uid="{425A6701-8679-4E4E-8906-7B2381E15285}"/>
    <cellStyle name="Normal 7 2 2 2" xfId="312" xr:uid="{00510D07-3F9A-4244-BB8C-344038323E36}"/>
    <cellStyle name="Normal 7 2 2 2 2" xfId="337" xr:uid="{BF3316FE-AF1F-43E2-940D-521674212493}"/>
    <cellStyle name="Normal 7 2 2 2 2 2" xfId="492" xr:uid="{8ECD9C63-85DE-41A2-8975-C76F97D1ECB6}"/>
    <cellStyle name="Normal 7 2 2 2 3" xfId="491" xr:uid="{A818C8AB-F0A3-4EDE-A59B-9B0190E71478}"/>
    <cellStyle name="Normal 7 2 2 3" xfId="336" xr:uid="{DF63BE66-CD45-4CDA-B8C3-18F813CEB798}"/>
    <cellStyle name="Normal 7 2 2 3 2" xfId="493" xr:uid="{4D403E1F-1E45-41D3-91CA-635FD5CA95FA}"/>
    <cellStyle name="Normal 7 2 2 4" xfId="490" xr:uid="{A7C980E1-113B-4058-BF69-2810AD15590F}"/>
    <cellStyle name="Normal 7 2 3" xfId="311" xr:uid="{D995DF0D-761A-4401-B671-F168A7F43FA5}"/>
    <cellStyle name="Normal 7 2 3 2" xfId="338" xr:uid="{8C45E9A8-B91A-4C0F-863D-CE95EB93EC62}"/>
    <cellStyle name="Normal 7 2 3 2 2" xfId="495" xr:uid="{F07B24D2-FF5A-40CC-898E-BB483E6352DD}"/>
    <cellStyle name="Normal 7 2 3 3" xfId="494" xr:uid="{80446933-BF64-4E88-A4FA-879C7B51A1EF}"/>
    <cellStyle name="Normal 7 2 4" xfId="335" xr:uid="{AA47B84B-5103-4483-8A66-05473C16D23E}"/>
    <cellStyle name="Normal 7 2 4 2" xfId="496" xr:uid="{88DDB9E5-7503-42E5-8D81-9D5AF70E8534}"/>
    <cellStyle name="Normal 7 2 5" xfId="427" xr:uid="{1CF2CA7B-D5CD-48B3-93DE-7B5C4F4BE793}"/>
    <cellStyle name="Normal 7 2 5 2" xfId="497" xr:uid="{47A3E3E9-A570-4C25-AF02-8E2BCF3AD7C7}"/>
    <cellStyle name="Normal 7 2 6" xfId="489" xr:uid="{D9E2A0AB-4AEC-4B0F-A5BD-CB072DA4DA34}"/>
    <cellStyle name="Normal 7 3" xfId="295" xr:uid="{C5A0E816-2950-4EC4-825B-E33D9808AD29}"/>
    <cellStyle name="Normal 7 3 2" xfId="313" xr:uid="{72C7ED50-B098-44D8-84CC-6372E27A1C1D}"/>
    <cellStyle name="Normal 7 3 2 2" xfId="340" xr:uid="{AB8ABB99-65F5-452B-8FB2-7CD294CA63C3}"/>
    <cellStyle name="Normal 7 3 2 2 2" xfId="500" xr:uid="{9F1D5C13-2C46-4C5A-BE93-940A9822E9B0}"/>
    <cellStyle name="Normal 7 3 2 3" xfId="499" xr:uid="{26D56F72-FCE0-46D2-AE19-D6A5E866AF6C}"/>
    <cellStyle name="Normal 7 3 3" xfId="339" xr:uid="{02124AFF-BD5D-4091-AE5C-741017953BFB}"/>
    <cellStyle name="Normal 7 3 3 2" xfId="501" xr:uid="{7F59BC1F-00C9-4685-BCCE-23AFAFA655A4}"/>
    <cellStyle name="Normal 7 3 4" xfId="498" xr:uid="{2FB00E75-9971-4C2A-B3F3-78FE90EB0D45}"/>
    <cellStyle name="Normal 7 4" xfId="310" xr:uid="{722B6A4B-3692-420A-B4C0-6881CDA4BD32}"/>
    <cellStyle name="Normal 7 4 2" xfId="341" xr:uid="{64567387-5B5C-4115-8647-AAA46EDA287B}"/>
    <cellStyle name="Normal 7 4 2 2" xfId="503" xr:uid="{FF9987E7-F7C8-411D-9FDA-C3CA33119C2A}"/>
    <cellStyle name="Normal 7 4 3" xfId="502" xr:uid="{4F9302ED-F5CE-4030-99A5-F520AF0AE6E9}"/>
    <cellStyle name="Normal 7 5" xfId="334" xr:uid="{856480C4-F222-4F21-B24B-4F38AA9E8E94}"/>
    <cellStyle name="Normal 7 5 2" xfId="504" xr:uid="{C67562C5-EE5F-4DC9-A861-6092845A7D97}"/>
    <cellStyle name="Normal 7 6" xfId="347" xr:uid="{0F2BB43D-A8EF-4BE6-8183-424DCA931577}"/>
    <cellStyle name="Normal 7 7" xfId="488" xr:uid="{64E21DC8-5CD8-4716-B6AA-A0CFE94A366A}"/>
    <cellStyle name="Normal 7 8" xfId="288" xr:uid="{ACED72C8-0778-4EB7-ACB3-23FEB856FA41}"/>
    <cellStyle name="Normal 8" xfId="235" xr:uid="{0EDC839C-2D56-45FB-8175-7B0CAA5FD459}"/>
    <cellStyle name="Normal 8 2" xfId="429" xr:uid="{3927BB9F-0B00-460A-B727-1D557657E0D3}"/>
    <cellStyle name="Normal 8 3" xfId="428" xr:uid="{1A2C11F6-D2DF-4142-BBF0-1CE0C406DDF5}"/>
    <cellStyle name="Normal 9" xfId="342" xr:uid="{DCAA7AA7-DED5-43E5-93BD-729BF5C6342D}"/>
    <cellStyle name="Normal 9 2" xfId="505" xr:uid="{D9EBC724-65D7-4F4D-B8F5-ED1CCCE356D3}"/>
    <cellStyle name="Normal GHG Numbers (0.00)" xfId="160" xr:uid="{F951F8D5-251D-4848-98BF-9233A0DA7C3C}"/>
    <cellStyle name="Normal GHG Numbers (0.00) 2" xfId="161" xr:uid="{4832CD5B-AAF2-4B1B-9EAE-3DD274AB962E}"/>
    <cellStyle name="Normal GHG Numbers (0.00) 3" xfId="38" xr:uid="{0DA708F6-3F69-4DAB-9AFC-E8EAC849D768}"/>
    <cellStyle name="Normal GHG Numbers (0.00) 3 2" xfId="430" xr:uid="{D2E78790-3A2B-4D55-A052-DC2E3E04EFF2}"/>
    <cellStyle name="Normal GHG Numbers (0.00) 3 2 2" xfId="579" xr:uid="{EE54812B-4DBC-49AE-806C-26BF145C52BB}"/>
    <cellStyle name="Normal GHG Numbers (0.00) 3 2 2 10" xfId="1827" xr:uid="{C6D4588C-2558-4675-9C7C-4B67B69EC915}"/>
    <cellStyle name="Normal GHG Numbers (0.00) 3 2 2 11" xfId="4951" xr:uid="{59BB9B29-D5FE-4F00-A558-59663EDD19CA}"/>
    <cellStyle name="Normal GHG Numbers (0.00) 3 2 2 12" xfId="5352" xr:uid="{F698BA46-0113-499D-B9B1-3F846B39B014}"/>
    <cellStyle name="Normal GHG Numbers (0.00) 3 2 2 2" xfId="794" xr:uid="{5D703A99-7032-4FBF-9DE2-CABA8D771818}"/>
    <cellStyle name="Normal GHG Numbers (0.00) 3 2 2 2 10" xfId="5160" xr:uid="{472A8DB9-9138-4694-B464-F24E7B8CA4EA}"/>
    <cellStyle name="Normal GHG Numbers (0.00) 3 2 2 2 11" xfId="5356" xr:uid="{6C703545-6DF8-4838-86AF-FC259EF625E0}"/>
    <cellStyle name="Normal GHG Numbers (0.00) 3 2 2 2 2" xfId="1268" xr:uid="{5D84533C-3F8B-469C-B76B-36278666384B}"/>
    <cellStyle name="Normal GHG Numbers (0.00) 3 2 2 2 3" xfId="1505" xr:uid="{FBBB8F22-6B53-47B1-9F1F-1B8EF2F324BB}"/>
    <cellStyle name="Normal GHG Numbers (0.00) 3 2 2 2 4" xfId="2498" xr:uid="{EA6B6BFA-A672-44C6-9501-4CB77F7664C4}"/>
    <cellStyle name="Normal GHG Numbers (0.00) 3 2 2 2 5" xfId="2952" xr:uid="{C5B4EB4B-1CB7-40E1-B4AA-CBEA846FA2FA}"/>
    <cellStyle name="Normal GHG Numbers (0.00) 3 2 2 2 6" xfId="3370" xr:uid="{A92D8D48-D9E2-434E-866C-050CAB8936AF}"/>
    <cellStyle name="Normal GHG Numbers (0.00) 3 2 2 2 7" xfId="3784" xr:uid="{A7EBCDE3-F5D3-4A8F-8A07-710FCE57E5B8}"/>
    <cellStyle name="Normal GHG Numbers (0.00) 3 2 2 2 8" xfId="4207" xr:uid="{AB2C107A-31FF-4CAE-AA2A-1E429A5590EA}"/>
    <cellStyle name="Normal GHG Numbers (0.00) 3 2 2 2 9" xfId="4366" xr:uid="{6021F0EA-4D4E-4DA5-8974-072291D0BB66}"/>
    <cellStyle name="Normal GHG Numbers (0.00) 3 2 2 3" xfId="1062" xr:uid="{9B4452E4-B9B7-467B-BA29-E862A01CA420}"/>
    <cellStyle name="Normal GHG Numbers (0.00) 3 2 2 4" xfId="1672" xr:uid="{54F3341F-C7C0-4BEE-B146-4744B422A383}"/>
    <cellStyle name="Normal GHG Numbers (0.00) 3 2 2 5" xfId="2285" xr:uid="{AD2D157E-4362-4C31-9010-723B4E77A06B}"/>
    <cellStyle name="Normal GHG Numbers (0.00) 3 2 2 6" xfId="2739" xr:uid="{6F3DBB60-45DE-4DCF-857E-DA34AA2516C6}"/>
    <cellStyle name="Normal GHG Numbers (0.00) 3 2 2 7" xfId="3156" xr:uid="{0A6E075C-71C2-43EC-BC4F-4CBD5EDB81B2}"/>
    <cellStyle name="Normal GHG Numbers (0.00) 3 2 2 8" xfId="3569" xr:uid="{A4822DD6-5C72-490A-9608-090F6B467EA0}"/>
    <cellStyle name="Normal GHG Numbers (0.00) 3 2 2 9" xfId="3994" xr:uid="{42ED4422-3BC2-47F4-8A8A-6E62225B5CD1}"/>
    <cellStyle name="Normal GHG Numbers (0.00) 3 2 3" xfId="720" xr:uid="{1D018750-0716-4234-9A70-91F8D2AA8A7F}"/>
    <cellStyle name="Normal GHG Numbers (0.00) 3 2 3 10" xfId="5086" xr:uid="{56996823-0D72-4236-A002-21A11C4BDEDD}"/>
    <cellStyle name="Normal GHG Numbers (0.00) 3 2 3 11" xfId="5458" xr:uid="{C1962E52-8DFB-4A30-97D3-68B4195CCEB6}"/>
    <cellStyle name="Normal GHG Numbers (0.00) 3 2 3 2" xfId="1194" xr:uid="{68BEA964-561D-4917-9EC8-12E034111260}"/>
    <cellStyle name="Normal GHG Numbers (0.00) 3 2 3 3" xfId="1495" xr:uid="{70B0AAD9-3B53-4E67-B7EC-134D054AAA80}"/>
    <cellStyle name="Normal GHG Numbers (0.00) 3 2 3 4" xfId="2424" xr:uid="{8F021E9D-C06C-4E43-A0BC-4D0D028CEEA4}"/>
    <cellStyle name="Normal GHG Numbers (0.00) 3 2 3 5" xfId="2878" xr:uid="{7E2F8AB7-4146-4944-A944-DEE2C11A64D9}"/>
    <cellStyle name="Normal GHG Numbers (0.00) 3 2 3 6" xfId="3296" xr:uid="{720BA926-30BD-4265-8CAB-1D64F2B7C424}"/>
    <cellStyle name="Normal GHG Numbers (0.00) 3 2 3 7" xfId="3710" xr:uid="{2E0DD79B-A557-412D-91FC-BF22ED9A0741}"/>
    <cellStyle name="Normal GHG Numbers (0.00) 3 2 3 8" xfId="4133" xr:uid="{06D513C3-1882-44FE-A980-2CBD8CEDDE72}"/>
    <cellStyle name="Normal GHG Numbers (0.00) 3 2 3 9" xfId="4544" xr:uid="{66383EFA-BDAE-4078-9B20-25758C061DB9}"/>
    <cellStyle name="Normal GHG Numbers (0.00) 3 3" xfId="360" xr:uid="{A51E728C-B266-4F36-938D-D1BE00599B84}"/>
    <cellStyle name="Normal GHG Numbers (0.00) 3 3 10" xfId="2647" xr:uid="{568780FE-E98B-4692-ADCE-487780808F54}"/>
    <cellStyle name="Normal GHG Numbers (0.00) 3 3 11" xfId="3276" xr:uid="{B06B5969-BC8F-4842-B570-3D4D4A75EB64}"/>
    <cellStyle name="Normal GHG Numbers (0.00) 3 3 12" xfId="2021" xr:uid="{50DA2DBD-BB64-4A3B-9540-1A6E89863B52}"/>
    <cellStyle name="Normal GHG Numbers (0.00) 3 3 13" xfId="4795" xr:uid="{68E5E0F3-5E3C-4A75-8DED-DDA5B0AC6855}"/>
    <cellStyle name="Normal GHG Numbers (0.00) 3 3 14" xfId="5392" xr:uid="{E5E576BC-4F73-4BB3-9027-9C866BDEF6FA}"/>
    <cellStyle name="Normal GHG Numbers (0.00) 3 3 2" xfId="638" xr:uid="{F0AE25BA-8247-4E2A-A6C1-456D2BFEF496}"/>
    <cellStyle name="Normal GHG Numbers (0.00) 3 3 2 10" xfId="4362" xr:uid="{6704CB65-C400-41F2-A515-BD3AF1139ED7}"/>
    <cellStyle name="Normal GHG Numbers (0.00) 3 3 2 11" xfId="5010" xr:uid="{6B38A867-989B-42DF-A759-4349B7877F80}"/>
    <cellStyle name="Normal GHG Numbers (0.00) 3 3 2 12" xfId="5452" xr:uid="{99158D02-7A1A-4C28-9A59-E813BF390B8D}"/>
    <cellStyle name="Normal GHG Numbers (0.00) 3 3 2 2" xfId="853" xr:uid="{8D3E30CE-E73E-4C4B-842E-3D74592C323D}"/>
    <cellStyle name="Normal GHG Numbers (0.00) 3 3 2 2 10" xfId="5219" xr:uid="{05C41941-65D2-4A05-83CB-3D6E63E08FC8}"/>
    <cellStyle name="Normal GHG Numbers (0.00) 3 3 2 2 11" xfId="4869" xr:uid="{275AA82E-F398-47F3-99B0-E980E9190108}"/>
    <cellStyle name="Normal GHG Numbers (0.00) 3 3 2 2 2" xfId="1327" xr:uid="{B0230C06-35B4-442D-9411-9CF1D2F6D19E}"/>
    <cellStyle name="Normal GHG Numbers (0.00) 3 3 2 2 3" xfId="1776" xr:uid="{394AC745-4B30-43AE-ADD0-5250D715D5CA}"/>
    <cellStyle name="Normal GHG Numbers (0.00) 3 3 2 2 4" xfId="2557" xr:uid="{3877B111-45E8-49C5-B63E-1712A35F10F0}"/>
    <cellStyle name="Normal GHG Numbers (0.00) 3 3 2 2 5" xfId="3011" xr:uid="{EC26112C-8895-4200-AC84-D64C06D8C750}"/>
    <cellStyle name="Normal GHG Numbers (0.00) 3 3 2 2 6" xfId="3429" xr:uid="{9BA93A5C-3022-4CF1-9410-F26CD2F04F4D}"/>
    <cellStyle name="Normal GHG Numbers (0.00) 3 3 2 2 7" xfId="3843" xr:uid="{3FC321BF-4A1D-4758-A3BD-23930677B37D}"/>
    <cellStyle name="Normal GHG Numbers (0.00) 3 3 2 2 8" xfId="4266" xr:uid="{AB6AFC14-4935-4C9C-B97C-87846B740F62}"/>
    <cellStyle name="Normal GHG Numbers (0.00) 3 3 2 2 9" xfId="2188" xr:uid="{CDBDE1BA-49C6-424D-A0EB-34321D186500}"/>
    <cellStyle name="Normal GHG Numbers (0.00) 3 3 2 3" xfId="1121" xr:uid="{F0B9A17D-0CE3-4A4D-8CDD-D2401C874542}"/>
    <cellStyle name="Normal GHG Numbers (0.00) 3 3 2 4" xfId="1693" xr:uid="{E52D37B6-79C2-435C-AA69-963F8AAE07AD}"/>
    <cellStyle name="Normal GHG Numbers (0.00) 3 3 2 5" xfId="2344" xr:uid="{71717F1B-6151-4532-9FE4-B3A91934B40C}"/>
    <cellStyle name="Normal GHG Numbers (0.00) 3 3 2 6" xfId="2798" xr:uid="{6D8CFB38-7CB8-4F47-A689-5F371915F9EE}"/>
    <cellStyle name="Normal GHG Numbers (0.00) 3 3 2 7" xfId="3215" xr:uid="{72205CC8-305A-4450-81C9-913BB599A99E}"/>
    <cellStyle name="Normal GHG Numbers (0.00) 3 3 2 8" xfId="3628" xr:uid="{24FE6161-5227-4F38-82A4-743618D41AFF}"/>
    <cellStyle name="Normal GHG Numbers (0.00) 3 3 2 9" xfId="4053" xr:uid="{C1DAABF9-E3D0-42C7-A043-011906B2E6D2}"/>
    <cellStyle name="Normal GHG Numbers (0.00) 3 3 3" xfId="535" xr:uid="{B01DA47D-AA4B-4827-AC9D-D1F26582A381}"/>
    <cellStyle name="Normal GHG Numbers (0.00) 3 3 3 10" xfId="4497" xr:uid="{D9DB9C8B-73FD-471D-A828-6826F83C20D5}"/>
    <cellStyle name="Normal GHG Numbers (0.00) 3 3 3 11" xfId="4907" xr:uid="{7485D105-6EF0-4837-AD0F-812D3B28E8FD}"/>
    <cellStyle name="Normal GHG Numbers (0.00) 3 3 3 12" xfId="5303" xr:uid="{BFDE7CA7-C647-4535-AAA3-DC358A61C695}"/>
    <cellStyle name="Normal GHG Numbers (0.00) 3 3 3 2" xfId="750" xr:uid="{AD8597DD-2A20-46F8-AB36-0E11B462EC43}"/>
    <cellStyle name="Normal GHG Numbers (0.00) 3 3 3 2 10" xfId="5116" xr:uid="{4A17E92E-F76D-4DD2-82E7-6C6CE991F0A7}"/>
    <cellStyle name="Normal GHG Numbers (0.00) 3 3 3 2 11" xfId="4697" xr:uid="{0FF24648-9211-4204-B9CD-F3BE94EA3E11}"/>
    <cellStyle name="Normal GHG Numbers (0.00) 3 3 3 2 2" xfId="1224" xr:uid="{788898D4-50AE-4ED7-B3B6-6B29CAF0E5BA}"/>
    <cellStyle name="Normal GHG Numbers (0.00) 3 3 3 2 3" xfId="1514" xr:uid="{DBFDFECF-A234-4A73-B5A5-92773C42F056}"/>
    <cellStyle name="Normal GHG Numbers (0.00) 3 3 3 2 4" xfId="2454" xr:uid="{FADBD0E9-016A-42EB-9A73-C6F236DED95F}"/>
    <cellStyle name="Normal GHG Numbers (0.00) 3 3 3 2 5" xfId="2908" xr:uid="{F5B1F54A-EA0C-4537-8518-8B45136B11A7}"/>
    <cellStyle name="Normal GHG Numbers (0.00) 3 3 3 2 6" xfId="3326" xr:uid="{4E1D9650-E07D-443C-85A9-1E043ABEAAFB}"/>
    <cellStyle name="Normal GHG Numbers (0.00) 3 3 3 2 7" xfId="3740" xr:uid="{261BD6EB-500C-489B-83E7-FF6F8D0049FC}"/>
    <cellStyle name="Normal GHG Numbers (0.00) 3 3 3 2 8" xfId="4163" xr:uid="{7FAEE0E5-AAC6-4411-8224-007DD223D356}"/>
    <cellStyle name="Normal GHG Numbers (0.00) 3 3 3 2 9" xfId="4338" xr:uid="{5827D4E0-A268-4C85-9375-237D037D2684}"/>
    <cellStyle name="Normal GHG Numbers (0.00) 3 3 3 3" xfId="1018" xr:uid="{6AD1C006-0F25-4111-B1E4-99210F7FBC32}"/>
    <cellStyle name="Normal GHG Numbers (0.00) 3 3 3 4" xfId="1608" xr:uid="{6FBE3F09-D969-4BFF-AAB0-B1B533C20219}"/>
    <cellStyle name="Normal GHG Numbers (0.00) 3 3 3 5" xfId="2241" xr:uid="{F32CDE6F-3983-4273-B38D-EFCA10C0B714}"/>
    <cellStyle name="Normal GHG Numbers (0.00) 3 3 3 6" xfId="2695" xr:uid="{BE945158-DDD5-4EFF-BED4-02E12AFE9E0F}"/>
    <cellStyle name="Normal GHG Numbers (0.00) 3 3 3 7" xfId="3112" xr:uid="{9B3DDF98-ADA2-4E98-B832-03EEC7DC0DFE}"/>
    <cellStyle name="Normal GHG Numbers (0.00) 3 3 3 8" xfId="3525" xr:uid="{EE5D1F98-B34F-4EFB-899F-B2A43A9411B6}"/>
    <cellStyle name="Normal GHG Numbers (0.00) 3 3 3 9" xfId="3950" xr:uid="{12A84687-DD9C-467D-877C-6F88D6ABA3BA}"/>
    <cellStyle name="Normal GHG Numbers (0.00) 3 3 4" xfId="668" xr:uid="{055559F1-261F-4C0F-B8C0-1D664D54D6DB}"/>
    <cellStyle name="Normal GHG Numbers (0.00) 3 3 4 10" xfId="2602" xr:uid="{2070E0A8-F903-41B0-B3F7-FDD3A5AFD518}"/>
    <cellStyle name="Normal GHG Numbers (0.00) 3 3 4 11" xfId="5040" xr:uid="{6D0C3AED-0B12-4459-A375-B4DAB5CA3CC7}"/>
    <cellStyle name="Normal GHG Numbers (0.00) 3 3 4 12" xfId="5387" xr:uid="{64CF59AD-68FF-4BA7-9C62-3604B8322002}"/>
    <cellStyle name="Normal GHG Numbers (0.00) 3 3 4 2" xfId="883" xr:uid="{89B57BBB-8089-47BB-875F-659F313685F9}"/>
    <cellStyle name="Normal GHG Numbers (0.00) 3 3 4 2 10" xfId="5249" xr:uid="{42C096CC-7A67-47E1-AC0B-A9A11A4BFB74}"/>
    <cellStyle name="Normal GHG Numbers (0.00) 3 3 4 2 11" xfId="5477" xr:uid="{D0E6FAE7-DF7E-4295-BA38-5077E5E6C991}"/>
    <cellStyle name="Normal GHG Numbers (0.00) 3 3 4 2 2" xfId="1357" xr:uid="{CD853A30-08BF-476A-A06B-7CC507ED0304}"/>
    <cellStyle name="Normal GHG Numbers (0.00) 3 3 4 2 3" xfId="1806" xr:uid="{27AEA2B2-234C-4B73-9725-5A7190BA6595}"/>
    <cellStyle name="Normal GHG Numbers (0.00) 3 3 4 2 4" xfId="2587" xr:uid="{39F98091-CC72-46F2-956B-5D4E8B7E0CBE}"/>
    <cellStyle name="Normal GHG Numbers (0.00) 3 3 4 2 5" xfId="3041" xr:uid="{1516AF54-2761-44A8-957F-2D65610FD70B}"/>
    <cellStyle name="Normal GHG Numbers (0.00) 3 3 4 2 6" xfId="3459" xr:uid="{5DF35106-2B8E-4997-A620-1AB9720920C2}"/>
    <cellStyle name="Normal GHG Numbers (0.00) 3 3 4 2 7" xfId="3873" xr:uid="{B8B6508D-3254-4C6C-A54E-2D979A6161BF}"/>
    <cellStyle name="Normal GHG Numbers (0.00) 3 3 4 2 8" xfId="4296" xr:uid="{6638A7EF-AB72-4A78-AC51-63259F815449}"/>
    <cellStyle name="Normal GHG Numbers (0.00) 3 3 4 2 9" xfId="4564" xr:uid="{CFCD515B-800A-4440-914C-19C056F3E61B}"/>
    <cellStyle name="Normal GHG Numbers (0.00) 3 3 4 3" xfId="1151" xr:uid="{29441AFF-70DD-4411-B8F5-8B848FD48D34}"/>
    <cellStyle name="Normal GHG Numbers (0.00) 3 3 4 4" xfId="1632" xr:uid="{523057F4-98A6-406C-BF38-69AEC5F61F71}"/>
    <cellStyle name="Normal GHG Numbers (0.00) 3 3 4 5" xfId="2374" xr:uid="{A667BF2E-4A70-4735-8122-DE40C10E6D3C}"/>
    <cellStyle name="Normal GHG Numbers (0.00) 3 3 4 6" xfId="2828" xr:uid="{4492A5A0-3417-480E-AC8D-4FB43334B98F}"/>
    <cellStyle name="Normal GHG Numbers (0.00) 3 3 4 7" xfId="3245" xr:uid="{752B7DFA-1CC4-42FE-8A39-1CF0A7163EA9}"/>
    <cellStyle name="Normal GHG Numbers (0.00) 3 3 4 8" xfId="3658" xr:uid="{7D96AFCC-D28B-4724-80B4-9D17AFFDEFAC}"/>
    <cellStyle name="Normal GHG Numbers (0.00) 3 3 4 9" xfId="4083" xr:uid="{E329DD16-27B5-445E-98FE-F874FE207E31}"/>
    <cellStyle name="Normal GHG Numbers (0.00) 3 3 5" xfId="975" xr:uid="{E1D2854C-D28C-4246-B5AE-65EB7923ED1E}"/>
    <cellStyle name="Normal GHG Numbers (0.00) 3 3 6" xfId="1550" xr:uid="{212A9F19-F1C5-45E2-B323-9940EB0B52E3}"/>
    <cellStyle name="Normal GHG Numbers (0.00) 3 3 7" xfId="2099" xr:uid="{2EA01C70-9FD9-44F1-838B-1FFF4DDC3666}"/>
    <cellStyle name="Normal GHG Numbers (0.00) 3 3 8" xfId="2117" xr:uid="{7730324C-D814-44AA-9B85-3A987097F83D}"/>
    <cellStyle name="Normal GHG Numbers (0.00) 3 3 9" xfId="1898" xr:uid="{D2FD171D-5DE8-4F80-83D1-46B8FD680D8C}"/>
    <cellStyle name="Normal GHG Numbers (0.00) 3 4" xfId="162" xr:uid="{91D64C57-5648-4472-8C1F-7E6361F79229}"/>
    <cellStyle name="Normal GHG Numbers (0.00) 3 4 2" xfId="926" xr:uid="{27423DC1-FEFA-4EC5-ABC9-A98BC80DBABA}"/>
    <cellStyle name="Normal GHG Numbers (0.00) 3 4 3" xfId="1954" xr:uid="{6EB9BB4B-B8F7-49B7-8AF7-D5530EC941D3}"/>
    <cellStyle name="Normal GHG Numbers (0.00) 3 4 4" xfId="2400" xr:uid="{758D7CCD-DE07-4703-A23B-5CFCFC199F43}"/>
    <cellStyle name="Normal GHG Numbers (0.00) 3 4 5" xfId="4664" xr:uid="{E3257590-92BF-47B4-9575-1A8078DC218E}"/>
    <cellStyle name="Normal GHG Textfiels Bold" xfId="6" xr:uid="{2DD89B51-F83B-4458-B013-93E0FCEF1FFD}"/>
    <cellStyle name="Normal GHG Textfiels Bold 2" xfId="163" xr:uid="{25AB7107-0E4D-4B9B-9D2E-16F8318EF002}"/>
    <cellStyle name="Normal GHG Textfiels Bold 3" xfId="164" xr:uid="{AA483985-C91E-4B20-BFE4-8708BB917FAE}"/>
    <cellStyle name="Normal GHG Textfiels Bold 3 2" xfId="431" xr:uid="{CCE444D3-14B9-44CD-9B51-40D7B1965B60}"/>
    <cellStyle name="Normal GHG Textfiels Bold 3 2 2" xfId="523" xr:uid="{C457EAD8-7BEE-46F3-973D-5CA588F48D16}"/>
    <cellStyle name="Normal GHG Textfiels Bold 3 2 2 10" xfId="3881" xr:uid="{091FBDDB-5B75-4F7A-913B-5AD824567BE7}"/>
    <cellStyle name="Normal GHG Textfiels Bold 3 2 2 11" xfId="4895" xr:uid="{1BCADB3B-9C40-49F1-A0F3-2A69492282C4}"/>
    <cellStyle name="Normal GHG Textfiels Bold 3 2 2 12" xfId="5298" xr:uid="{83B47CF5-7319-4BCC-8211-062705FA7DD7}"/>
    <cellStyle name="Normal GHG Textfiels Bold 3 2 2 2" xfId="738" xr:uid="{37308279-2DB3-48FA-9C2B-B0A1F708CFB6}"/>
    <cellStyle name="Normal GHG Textfiels Bold 3 2 2 2 10" xfId="5104" xr:uid="{C565EDFF-4AFD-4B06-867F-D3BBE11E7B25}"/>
    <cellStyle name="Normal GHG Textfiels Bold 3 2 2 2 11" xfId="4723" xr:uid="{B18498C4-7CDB-468E-8A43-18ADEF1BE92D}"/>
    <cellStyle name="Normal GHG Textfiels Bold 3 2 2 2 2" xfId="1212" xr:uid="{09637219-51E4-4F49-83E9-9AC94A78D8F5}"/>
    <cellStyle name="Normal GHG Textfiels Bold 3 2 2 2 3" xfId="1488" xr:uid="{18E393D6-2662-4D65-927D-2DC3A1CF65DF}"/>
    <cellStyle name="Normal GHG Textfiels Bold 3 2 2 2 4" xfId="2442" xr:uid="{077F4E90-8708-4CF5-8986-B4EB683BEA70}"/>
    <cellStyle name="Normal GHG Textfiels Bold 3 2 2 2 5" xfId="2896" xr:uid="{B351D806-32A6-4BD1-9C41-4D949F813946}"/>
    <cellStyle name="Normal GHG Textfiels Bold 3 2 2 2 6" xfId="3314" xr:uid="{931ECE8B-1E2A-4AAC-B7F3-0AC1F657E514}"/>
    <cellStyle name="Normal GHG Textfiels Bold 3 2 2 2 7" xfId="3728" xr:uid="{F54B5382-F0EC-4C33-A206-65DAF1D7482D}"/>
    <cellStyle name="Normal GHG Textfiels Bold 3 2 2 2 8" xfId="4151" xr:uid="{548B0FC2-131F-4265-BC1D-746D0158BD64}"/>
    <cellStyle name="Normal GHG Textfiels Bold 3 2 2 2 9" xfId="4400" xr:uid="{42AFBF62-713F-4874-91B9-3CBE646E6CB0}"/>
    <cellStyle name="Normal GHG Textfiels Bold 3 2 2 3" xfId="1006" xr:uid="{7157666A-5E53-494E-9906-D10D902FA5A8}"/>
    <cellStyle name="Normal GHG Textfiels Bold 3 2 2 4" xfId="1656" xr:uid="{90BC7461-D289-4DE7-AFFB-A0F25AC6338D}"/>
    <cellStyle name="Normal GHG Textfiels Bold 3 2 2 5" xfId="2229" xr:uid="{DF6B01BA-BF83-4FD3-A127-92F91416ADE9}"/>
    <cellStyle name="Normal GHG Textfiels Bold 3 2 2 6" xfId="2683" xr:uid="{3652094F-85C1-4BE3-B0E9-70092EF07B17}"/>
    <cellStyle name="Normal GHG Textfiels Bold 3 2 2 7" xfId="3100" xr:uid="{E0D92C9D-4A93-4A4B-BA87-5663F94D2968}"/>
    <cellStyle name="Normal GHG Textfiels Bold 3 2 2 8" xfId="3513" xr:uid="{AE1A7EE9-4BA1-48CC-B1E5-2219B9087498}"/>
    <cellStyle name="Normal GHG Textfiels Bold 3 2 2 9" xfId="3938" xr:uid="{7FD59938-3C0F-4734-98A8-E349B66641F4}"/>
    <cellStyle name="Normal GHG Textfiels Bold 3 2 3" xfId="721" xr:uid="{0A4C4BA1-056E-4D88-8A5A-0805ED0C8C4E}"/>
    <cellStyle name="Normal GHG Textfiels Bold 3 2 3 10" xfId="5087" xr:uid="{9B0C63DF-4E11-402C-B2EA-9F01B1B44FA9}"/>
    <cellStyle name="Normal GHG Textfiels Bold 3 2 3 11" xfId="5354" xr:uid="{2E8471F5-93CA-4426-8880-F6C3CDBE8293}"/>
    <cellStyle name="Normal GHG Textfiels Bold 3 2 3 2" xfId="1195" xr:uid="{E8FB07B4-ED53-4FAF-945D-3A8C36CBC600}"/>
    <cellStyle name="Normal GHG Textfiels Bold 3 2 3 3" xfId="1444" xr:uid="{3ED4C10F-3AA7-48D0-AD6E-2B8133C3AAA1}"/>
    <cellStyle name="Normal GHG Textfiels Bold 3 2 3 4" xfId="2425" xr:uid="{B804BA6D-791C-4960-9DB1-373861AB4826}"/>
    <cellStyle name="Normal GHG Textfiels Bold 3 2 3 5" xfId="2879" xr:uid="{5CA55B6D-C8B8-4106-97E4-1ABEE12092B8}"/>
    <cellStyle name="Normal GHG Textfiels Bold 3 2 3 6" xfId="3297" xr:uid="{C7B249EF-9970-4042-9094-F29C67AD1932}"/>
    <cellStyle name="Normal GHG Textfiels Bold 3 2 3 7" xfId="3711" xr:uid="{8C6CC410-0DD3-43F1-88D2-3FFDADF07757}"/>
    <cellStyle name="Normal GHG Textfiels Bold 3 2 3 8" xfId="4134" xr:uid="{2FDEC1F3-0700-4A6C-BA36-DEE18E243362}"/>
    <cellStyle name="Normal GHG Textfiels Bold 3 2 3 9" xfId="2156" xr:uid="{A5598FA6-A64F-432F-A4E1-1C688564003D}"/>
    <cellStyle name="Normal GHG Textfiels Bold 3 3" xfId="361" xr:uid="{91C66861-FF90-4713-A7F5-1D1D2FB566C4}"/>
    <cellStyle name="Normal GHG Textfiels Bold 3 3 10" xfId="2055" xr:uid="{E3FEA750-309F-4FAB-AF75-F0E8562956E3}"/>
    <cellStyle name="Normal GHG Textfiels Bold 3 3 11" xfId="2112" xr:uid="{3D3CBCD1-F07C-4324-8EBB-E6254200D1D2}"/>
    <cellStyle name="Normal GHG Textfiels Bold 3 3 12" xfId="2151" xr:uid="{7BEC0D02-B77B-427C-A5BC-1EF6B1F4511B}"/>
    <cellStyle name="Normal GHG Textfiels Bold 3 3 13" xfId="4796" xr:uid="{0680C98B-7830-4F76-9BCE-48EA2DD1B334}"/>
    <cellStyle name="Normal GHG Textfiels Bold 3 3 14" xfId="5291" xr:uid="{49FEF420-0A08-4408-B6D6-7F7014A3691A}"/>
    <cellStyle name="Normal GHG Textfiels Bold 3 3 2" xfId="639" xr:uid="{C307F9BD-590E-4E43-91B4-B33B9854A555}"/>
    <cellStyle name="Normal GHG Textfiels Bold 3 3 2 10" xfId="2668" xr:uid="{5C5EAA14-D12C-4FA7-AF8D-49AA5148C696}"/>
    <cellStyle name="Normal GHG Textfiels Bold 3 3 2 11" xfId="5011" xr:uid="{A6BE634F-FEE8-455C-919C-824D7D3706BD}"/>
    <cellStyle name="Normal GHG Textfiels Bold 3 3 2 12" xfId="5347" xr:uid="{5095AC2E-A313-4964-944D-CA6CF45CF275}"/>
    <cellStyle name="Normal GHG Textfiels Bold 3 3 2 2" xfId="854" xr:uid="{A1C2C46A-A612-4EEB-9118-4FEB4C143496}"/>
    <cellStyle name="Normal GHG Textfiels Bold 3 3 2 2 10" xfId="5220" xr:uid="{246F1D7D-427F-405F-9355-26DCB1B21F6B}"/>
    <cellStyle name="Normal GHG Textfiels Bold 3 3 2 2 11" xfId="4660" xr:uid="{B1A4BA59-C177-407B-B7FD-8E1EACCB4E00}"/>
    <cellStyle name="Normal GHG Textfiels Bold 3 3 2 2 2" xfId="1328" xr:uid="{FA0C29CF-1510-4F13-9583-8510F235F883}"/>
    <cellStyle name="Normal GHG Textfiels Bold 3 3 2 2 3" xfId="1777" xr:uid="{2E3B55E3-B438-4C1C-80BE-C1BA3D043A4B}"/>
    <cellStyle name="Normal GHG Textfiels Bold 3 3 2 2 4" xfId="2558" xr:uid="{8A79528C-4D8A-4699-B906-36CED5870BE4}"/>
    <cellStyle name="Normal GHG Textfiels Bold 3 3 2 2 5" xfId="3012" xr:uid="{57D4F43E-CFA4-455A-8B77-449867C7338D}"/>
    <cellStyle name="Normal GHG Textfiels Bold 3 3 2 2 6" xfId="3430" xr:uid="{FF250F5E-F31D-45EC-AFA3-E3E925F7DB7C}"/>
    <cellStyle name="Normal GHG Textfiels Bold 3 3 2 2 7" xfId="3844" xr:uid="{B89F57E8-61D8-443C-A4BE-0E0AD7599F0D}"/>
    <cellStyle name="Normal GHG Textfiels Bold 3 3 2 2 8" xfId="4267" xr:uid="{93FAFDFA-1BC4-488E-AC51-A07D858F11A0}"/>
    <cellStyle name="Normal GHG Textfiels Bold 3 3 2 2 9" xfId="4512" xr:uid="{0683315B-8EEB-45D0-B5E3-D10FCAACE015}"/>
    <cellStyle name="Normal GHG Textfiels Bold 3 3 2 3" xfId="1122" xr:uid="{8E7B8A2E-BF4F-4DCA-89FB-E50839AAA408}"/>
    <cellStyle name="Normal GHG Textfiels Bold 3 3 2 4" xfId="1601" xr:uid="{0E6F5A41-3E65-4EC8-9E4C-499CDF7C27A9}"/>
    <cellStyle name="Normal GHG Textfiels Bold 3 3 2 5" xfId="2345" xr:uid="{EAC38632-57C9-469E-BADC-29AC30B0B3DD}"/>
    <cellStyle name="Normal GHG Textfiels Bold 3 3 2 6" xfId="2799" xr:uid="{B83AABD9-DE38-47CC-A6AC-433562DC4294}"/>
    <cellStyle name="Normal GHG Textfiels Bold 3 3 2 7" xfId="3216" xr:uid="{7D334C00-9B51-4064-893C-908AB4AEF9CD}"/>
    <cellStyle name="Normal GHG Textfiels Bold 3 3 2 8" xfId="3629" xr:uid="{A4649409-0D53-49FC-807F-35AB7A9521AC}"/>
    <cellStyle name="Normal GHG Textfiels Bold 3 3 2 9" xfId="4054" xr:uid="{7D4A1E74-2D0C-454D-8EEB-C13BB4D8B2BF}"/>
    <cellStyle name="Normal GHG Textfiels Bold 3 3 3" xfId="582" xr:uid="{559FC0EA-FAEF-482D-AB80-D6AD29235857}"/>
    <cellStyle name="Normal GHG Textfiels Bold 3 3 3 10" xfId="2019" xr:uid="{C0D38850-972E-4C02-975B-D334DF15FE1C}"/>
    <cellStyle name="Normal GHG Textfiels Bold 3 3 3 11" xfId="4954" xr:uid="{1B16C58B-D49E-43F8-8884-4B01E14347BB}"/>
    <cellStyle name="Normal GHG Textfiels Bold 3 3 3 12" xfId="5434" xr:uid="{BA7B15A9-1AA2-40AD-B24D-4CE8A8F6439E}"/>
    <cellStyle name="Normal GHG Textfiels Bold 3 3 3 2" xfId="797" xr:uid="{6BCD951F-2CC8-467B-9F63-BB8F51472C28}"/>
    <cellStyle name="Normal GHG Textfiels Bold 3 3 3 2 10" xfId="5163" xr:uid="{0DB6F4D0-8FBF-4E29-B8F1-C092C5B61727}"/>
    <cellStyle name="Normal GHG Textfiels Bold 3 3 3 2 11" xfId="5443" xr:uid="{073848C8-86E6-4A5E-9DC5-7F0B56E3B457}"/>
    <cellStyle name="Normal GHG Textfiels Bold 3 3 3 2 2" xfId="1271" xr:uid="{782BD29A-55B5-4065-ABA4-CF6C6D215E7A}"/>
    <cellStyle name="Normal GHG Textfiels Bold 3 3 3 2 3" xfId="1607" xr:uid="{16D13541-ACB6-45E4-B49D-3B8F4F2E76BF}"/>
    <cellStyle name="Normal GHG Textfiels Bold 3 3 3 2 4" xfId="2501" xr:uid="{E940386D-8615-4126-8D01-A8C3FD947171}"/>
    <cellStyle name="Normal GHG Textfiels Bold 3 3 3 2 5" xfId="2955" xr:uid="{8AE63CCD-1B16-4BF8-A4BA-E43FED6F03E7}"/>
    <cellStyle name="Normal GHG Textfiels Bold 3 3 3 2 6" xfId="3373" xr:uid="{00708651-7C7E-4B2E-8D55-C18C1026A2B9}"/>
    <cellStyle name="Normal GHG Textfiels Bold 3 3 3 2 7" xfId="3787" xr:uid="{18739DC8-6D0A-4933-AD6B-57E99AF8D9FF}"/>
    <cellStyle name="Normal GHG Textfiels Bold 3 3 3 2 8" xfId="4210" xr:uid="{CD9F7F2D-6F75-4D7F-ABD3-A90FEBA9B403}"/>
    <cellStyle name="Normal GHG Textfiels Bold 3 3 3 2 9" xfId="4365" xr:uid="{2D899A63-204A-42A8-A038-55807A0AA672}"/>
    <cellStyle name="Normal GHG Textfiels Bold 3 3 3 3" xfId="1065" xr:uid="{2C5D020D-322A-4B4A-9790-105CBD96CB7F}"/>
    <cellStyle name="Normal GHG Textfiels Bold 3 3 3 4" xfId="1704" xr:uid="{DFE9466B-E858-4C38-9013-3DC7167C17B1}"/>
    <cellStyle name="Normal GHG Textfiels Bold 3 3 3 5" xfId="2288" xr:uid="{FD1895CB-8971-44CA-B5F9-70B211C69FA8}"/>
    <cellStyle name="Normal GHG Textfiels Bold 3 3 3 6" xfId="2742" xr:uid="{B4D60008-8F67-49D8-8EBF-963640DD9597}"/>
    <cellStyle name="Normal GHG Textfiels Bold 3 3 3 7" xfId="3159" xr:uid="{D6974CD9-CC59-44A4-9C81-03456818AF82}"/>
    <cellStyle name="Normal GHG Textfiels Bold 3 3 3 8" xfId="3572" xr:uid="{F9D87801-F35E-47A7-9EE3-013AE569E8A6}"/>
    <cellStyle name="Normal GHG Textfiels Bold 3 3 3 9" xfId="3997" xr:uid="{E98F4281-CC55-449C-BC70-75B98BAF3E82}"/>
    <cellStyle name="Normal GHG Textfiels Bold 3 3 4" xfId="557" xr:uid="{BD53A55F-6ECD-4693-9D6E-18E7F558E0CD}"/>
    <cellStyle name="Normal GHG Textfiels Bold 3 3 4 10" xfId="4346" xr:uid="{F2A4D66D-F110-47C5-AB89-DA47BE532B8E}"/>
    <cellStyle name="Normal GHG Textfiels Bold 3 3 4 11" xfId="4929" xr:uid="{64929AA6-3016-4617-A3F3-86E6516CD991}"/>
    <cellStyle name="Normal GHG Textfiels Bold 3 3 4 12" xfId="5368" xr:uid="{26E017DD-3BBA-4021-A5CF-3C3B2580734C}"/>
    <cellStyle name="Normal GHG Textfiels Bold 3 3 4 2" xfId="772" xr:uid="{5C9900FA-D329-40DD-9F1B-83CEA8F9CAE6}"/>
    <cellStyle name="Normal GHG Textfiels Bold 3 3 4 2 10" xfId="5138" xr:uid="{B2CF53F6-DF48-48CD-B5C1-EED343436C2B}"/>
    <cellStyle name="Normal GHG Textfiels Bold 3 3 4 2 11" xfId="4759" xr:uid="{33938404-F504-404A-810B-32A588B9B849}"/>
    <cellStyle name="Normal GHG Textfiels Bold 3 3 4 2 2" xfId="1246" xr:uid="{BD533F69-1BD2-40E9-9C2F-7963BB28E793}"/>
    <cellStyle name="Normal GHG Textfiels Bold 3 3 4 2 3" xfId="1484" xr:uid="{F6D72E4E-6B78-462C-8E92-884DC15EA14E}"/>
    <cellStyle name="Normal GHG Textfiels Bold 3 3 4 2 4" xfId="2476" xr:uid="{1A87EBAD-CC16-4DBF-ADC1-1CE5C7565DCD}"/>
    <cellStyle name="Normal GHG Textfiels Bold 3 3 4 2 5" xfId="2930" xr:uid="{727CE952-62F1-4680-ACFD-F6D6404AA06A}"/>
    <cellStyle name="Normal GHG Textfiels Bold 3 3 4 2 6" xfId="3348" xr:uid="{DBFCBC8D-B69D-406A-9FCB-36E55BBD6CDB}"/>
    <cellStyle name="Normal GHG Textfiels Bold 3 3 4 2 7" xfId="3762" xr:uid="{8D9F8FB9-C691-4B1F-A47A-388BEABAFD7F}"/>
    <cellStyle name="Normal GHG Textfiels Bold 3 3 4 2 8" xfId="4185" xr:uid="{98508633-F211-4C6A-8C17-41A588D590B0}"/>
    <cellStyle name="Normal GHG Textfiels Bold 3 3 4 2 9" xfId="2013" xr:uid="{59FC7803-62FC-410E-9982-DFBC063BCD47}"/>
    <cellStyle name="Normal GHG Textfiels Bold 3 3 4 3" xfId="1040" xr:uid="{3AC89F5E-5129-47ED-A881-519EDA8A387F}"/>
    <cellStyle name="Normal GHG Textfiels Bold 3 3 4 4" xfId="1651" xr:uid="{A652D4B4-5676-4495-816F-6101B1758F52}"/>
    <cellStyle name="Normal GHG Textfiels Bold 3 3 4 5" xfId="2263" xr:uid="{853D15CB-1016-404B-8FD3-5BD3F73D9143}"/>
    <cellStyle name="Normal GHG Textfiels Bold 3 3 4 6" xfId="2717" xr:uid="{4E8019ED-C204-4031-894B-232B85109E80}"/>
    <cellStyle name="Normal GHG Textfiels Bold 3 3 4 7" xfId="3134" xr:uid="{72C00DB9-3C70-4E84-B1D7-514B57B5E605}"/>
    <cellStyle name="Normal GHG Textfiels Bold 3 3 4 8" xfId="3547" xr:uid="{321B68C7-55FC-4FB6-BB21-D5F94E26860A}"/>
    <cellStyle name="Normal GHG Textfiels Bold 3 3 4 9" xfId="3972" xr:uid="{0B535410-A6D9-43C6-8B94-D6FFBF92DB50}"/>
    <cellStyle name="Normal GHG Textfiels Bold 3 3 5" xfId="976" xr:uid="{4423D474-DCD4-4E3B-9E89-E42108F7AAFC}"/>
    <cellStyle name="Normal GHG Textfiels Bold 3 3 6" xfId="1498" xr:uid="{C24AA3F4-B88A-422E-B601-1B6806E161C3}"/>
    <cellStyle name="Normal GHG Textfiels Bold 3 3 7" xfId="2100" xr:uid="{3E7E71F2-48E8-4952-9067-56F933360540}"/>
    <cellStyle name="Normal GHG Textfiels Bold 3 3 8" xfId="2018" xr:uid="{B7D5F7BC-CB36-4827-B833-4BA266A952B1}"/>
    <cellStyle name="Normal GHG Textfiels Bold 3 3 9" xfId="1887" xr:uid="{92DF5653-BE37-4861-8E1D-7B9A4EA4C9B2}"/>
    <cellStyle name="Normal GHG whole table" xfId="14" xr:uid="{82141728-672B-4828-B548-4FCDF5C4AB8B}"/>
    <cellStyle name="Normal GHG whole table 2" xfId="432" xr:uid="{8E79ABDF-C63C-4919-A33D-ADE298937789}"/>
    <cellStyle name="Normal GHG whole table 2 2" xfId="578" xr:uid="{75277C09-9F22-4119-A22B-15A12883B7B3}"/>
    <cellStyle name="Normal GHG whole table 2 2 10" xfId="4542" xr:uid="{2E2B055F-C2C3-4D6E-8F4E-709072BD0F51}"/>
    <cellStyle name="Normal GHG whole table 2 2 11" xfId="4950" xr:uid="{BFC760D6-305C-4C0C-B601-97B2616D3A97}"/>
    <cellStyle name="Normal GHG whole table 2 2 12" xfId="5456" xr:uid="{A7546DD9-E5E8-4554-85EE-68FFB83BF94E}"/>
    <cellStyle name="Normal GHG whole table 2 2 2" xfId="793" xr:uid="{52692CF0-C88E-4FFD-9359-306D78E31704}"/>
    <cellStyle name="Normal GHG whole table 2 2 2 10" xfId="5159" xr:uid="{61C70586-3D7F-45ED-8892-52EAFD8180E1}"/>
    <cellStyle name="Normal GHG whole table 2 2 2 11" xfId="5460" xr:uid="{D5EEBCC1-CF74-4ECF-92E8-34D6A66D8A8D}"/>
    <cellStyle name="Normal GHG whole table 2 2 2 2" xfId="1267" xr:uid="{4EFB4BC3-136B-4CEF-B7BD-DFB0B92C60F4}"/>
    <cellStyle name="Normal GHG whole table 2 2 2 3" xfId="1558" xr:uid="{ABCB5B82-E7D0-4E7B-8159-CE0A1F3EF82F}"/>
    <cellStyle name="Normal GHG whole table 2 2 2 4" xfId="2497" xr:uid="{3C7AE022-90CB-4372-A971-356F00026266}"/>
    <cellStyle name="Normal GHG whole table 2 2 2 5" xfId="2951" xr:uid="{0DA08B07-0919-40DA-A8F7-1378C6A96532}"/>
    <cellStyle name="Normal GHG whole table 2 2 2 6" xfId="3369" xr:uid="{18595E3F-3F8E-4B78-829D-8945DC36EF10}"/>
    <cellStyle name="Normal GHG whole table 2 2 2 7" xfId="3783" xr:uid="{52E3F340-81A5-482E-851F-2FB23628A319}"/>
    <cellStyle name="Normal GHG whole table 2 2 2 8" xfId="4206" xr:uid="{F314DD0F-6F18-43CF-B92A-71F9772B88E2}"/>
    <cellStyle name="Normal GHG whole table 2 2 2 9" xfId="4546" xr:uid="{81E83A3C-C65E-41D8-832A-668EEA119297}"/>
    <cellStyle name="Normal GHG whole table 2 2 3" xfId="1061" xr:uid="{810A587E-FBD2-45A9-BB04-A279132498F5}"/>
    <cellStyle name="Normal GHG whole table 2 2 4" xfId="1414" xr:uid="{F276557A-E7D4-4563-8572-F4C1ED78F40E}"/>
    <cellStyle name="Normal GHG whole table 2 2 5" xfId="2284" xr:uid="{30864B1E-DE67-4B72-9D64-56D4BC23994A}"/>
    <cellStyle name="Normal GHG whole table 2 2 6" xfId="2738" xr:uid="{99F65B4B-271B-4AF5-B691-C8DDE37EA659}"/>
    <cellStyle name="Normal GHG whole table 2 2 7" xfId="3155" xr:uid="{F72BA6E5-B2FF-4B2A-9931-FE3085F5DF7A}"/>
    <cellStyle name="Normal GHG whole table 2 2 8" xfId="3568" xr:uid="{4BA37AC7-7CD9-4723-883B-833BDA8612DD}"/>
    <cellStyle name="Normal GHG whole table 2 2 9" xfId="3993" xr:uid="{662D7C83-A018-4370-81CF-04AF285008E4}"/>
    <cellStyle name="Normal GHG whole table 2 3" xfId="722" xr:uid="{F29FADB3-53AE-4158-BCCE-03B538907EFE}"/>
    <cellStyle name="Normal GHG whole table 2 3 10" xfId="5088" xr:uid="{9FD90877-0CAA-4DBF-B116-A102ADD2DA8A}"/>
    <cellStyle name="Normal GHG whole table 2 3 11" xfId="5461" xr:uid="{F6E67FD6-3DF3-40F7-BF61-24047846AE0E}"/>
    <cellStyle name="Normal GHG whole table 2 3 2" xfId="1196" xr:uid="{43FCB3B1-D00E-49EE-9F24-FFE118150B83}"/>
    <cellStyle name="Normal GHG whole table 2 3 3" xfId="1545" xr:uid="{831C8539-520B-47E5-9F5F-9EED758D5A3C}"/>
    <cellStyle name="Normal GHG whole table 2 3 4" xfId="2426" xr:uid="{C96102FE-CE0C-494B-8579-BECA28E55673}"/>
    <cellStyle name="Normal GHG whole table 2 3 5" xfId="2880" xr:uid="{80E61BEF-7068-4E88-9607-D1AA2655FF2F}"/>
    <cellStyle name="Normal GHG whole table 2 3 6" xfId="3298" xr:uid="{5DCCA77B-6FB6-41C4-B9A4-EBC300278D85}"/>
    <cellStyle name="Normal GHG whole table 2 3 7" xfId="3712" xr:uid="{BC1DCDCD-C4EB-4553-97C6-6FB95DD2D735}"/>
    <cellStyle name="Normal GHG whole table 2 3 8" xfId="4135" xr:uid="{482F4123-2614-4AE8-B7C6-7D7C11587C76}"/>
    <cellStyle name="Normal GHG whole table 2 3 9" xfId="4547" xr:uid="{C00CA015-AC7F-48B3-8DA7-DA84B465CEF6}"/>
    <cellStyle name="Normal GHG whole table 3" xfId="281" xr:uid="{17B6962C-4613-4088-9DDC-6FBD9D96B0E1}"/>
    <cellStyle name="Normal GHG whole table 3 10" xfId="1911" xr:uid="{C8A0BD2A-3611-4409-9C14-674DBB80CF8C}"/>
    <cellStyle name="Normal GHG whole table 3 11" xfId="2853" xr:uid="{C672AC6F-149F-4B9A-BAD7-B5DAAB68C385}"/>
    <cellStyle name="Normal GHG whole table 3 12" xfId="1848" xr:uid="{103A9F95-4D95-40EA-A6E3-CEC071FFCD5C}"/>
    <cellStyle name="Normal GHG whole table 3 13" xfId="4743" xr:uid="{D664F1C0-746C-42CC-8A64-2BD3FBE88F31}"/>
    <cellStyle name="Normal GHG whole table 3 14" xfId="4575" xr:uid="{12CFAC6F-B4FF-40D6-A77F-79EFD5869F44}"/>
    <cellStyle name="Normal GHG whole table 3 2" xfId="618" xr:uid="{B4F45048-F186-450C-AE85-A7E2338A51D0}"/>
    <cellStyle name="Normal GHG whole table 3 2 10" xfId="1912" xr:uid="{0BBC5558-D73F-4164-9042-66068A8012FF}"/>
    <cellStyle name="Normal GHG whole table 3 2 11" xfId="4990" xr:uid="{FD0E4EB4-FF4D-430B-978B-09BAAAD6A6FA}"/>
    <cellStyle name="Normal GHG whole table 3 2 12" xfId="5328" xr:uid="{B01D82C5-4FD9-4232-A9CC-3B4190A5E831}"/>
    <cellStyle name="Normal GHG whole table 3 2 2" xfId="833" xr:uid="{CC12BFE4-CB35-4375-BEBA-3CE27F3F54DD}"/>
    <cellStyle name="Normal GHG whole table 3 2 2 10" xfId="5199" xr:uid="{4025E598-E3FE-4CBA-B387-00E132CBE820}"/>
    <cellStyle name="Normal GHG whole table 3 2 2 11" xfId="5442" xr:uid="{EF08756A-4B6F-442E-8BE6-28D04C955429}"/>
    <cellStyle name="Normal GHG whole table 3 2 2 2" xfId="1307" xr:uid="{8E5F7174-47A1-48B6-93EE-41285EEA7448}"/>
    <cellStyle name="Normal GHG whole table 3 2 2 3" xfId="1499" xr:uid="{10002B5C-4D68-46B2-B1E7-E58767934CD9}"/>
    <cellStyle name="Normal GHG whole table 3 2 2 4" xfId="2537" xr:uid="{906C84DE-EBEE-43B4-8778-8B335BF0F77C}"/>
    <cellStyle name="Normal GHG whole table 3 2 2 5" xfId="2991" xr:uid="{CECEBFAA-EC0F-4FF7-9A43-E7E30C93065F}"/>
    <cellStyle name="Normal GHG whole table 3 2 2 6" xfId="3409" xr:uid="{E039F7E7-802C-48A6-80DA-918305F669FE}"/>
    <cellStyle name="Normal GHG whole table 3 2 2 7" xfId="3823" xr:uid="{2D286793-4F0F-40C7-A53D-ACD0EB1A414C}"/>
    <cellStyle name="Normal GHG whole table 3 2 2 8" xfId="4246" xr:uid="{6FE2D8F6-F0AE-4861-8F9D-6A3BE8828502}"/>
    <cellStyle name="Normal GHG whole table 3 2 2 9" xfId="3280" xr:uid="{1B5BF652-DDD1-4CA0-895F-790E5A7C8299}"/>
    <cellStyle name="Normal GHG whole table 3 2 3" xfId="1101" xr:uid="{52FD5D51-E975-4252-A637-A0F7C5A8374F}"/>
    <cellStyle name="Normal GHG whole table 3 2 4" xfId="1523" xr:uid="{4736B8E7-53E1-493F-8A5A-E701902433BA}"/>
    <cellStyle name="Normal GHG whole table 3 2 5" xfId="2324" xr:uid="{F099DDCE-9ABE-4D67-B52C-FF9D15DF1B5A}"/>
    <cellStyle name="Normal GHG whole table 3 2 6" xfId="2778" xr:uid="{7D6C31E4-7C05-4B58-B48B-B26313757717}"/>
    <cellStyle name="Normal GHG whole table 3 2 7" xfId="3195" xr:uid="{7CB5445C-4FC0-4C8B-9DBC-32E09BD0FFD9}"/>
    <cellStyle name="Normal GHG whole table 3 2 8" xfId="3608" xr:uid="{707D0B16-99F9-4047-8665-08B1EC0F604F}"/>
    <cellStyle name="Normal GHG whole table 3 2 9" xfId="4033" xr:uid="{8BAE49C8-AD48-463D-B5A9-359108F44331}"/>
    <cellStyle name="Normal GHG whole table 3 3" xfId="539" xr:uid="{189B52D5-17B0-460B-B1A3-754CA578CF55}"/>
    <cellStyle name="Normal GHG whole table 3 3 10" xfId="4395" xr:uid="{245E58DB-1A5D-41E1-B39D-AB149CFA38F0}"/>
    <cellStyle name="Normal GHG whole table 3 3 11" xfId="4911" xr:uid="{37772636-3895-4FF4-9C73-F1420D34FF17}"/>
    <cellStyle name="Normal GHG whole table 3 3 12" xfId="5331" xr:uid="{67D75232-6BFF-4FA5-8CE0-7519A3B870C2}"/>
    <cellStyle name="Normal GHG whole table 3 3 2" xfId="754" xr:uid="{2B082716-3006-42B1-B959-EEA06B418BC6}"/>
    <cellStyle name="Normal GHG whole table 3 3 2 10" xfId="5120" xr:uid="{9CAEE08A-F3AF-4334-AB07-F8E2B5EEC9B7}"/>
    <cellStyle name="Normal GHG whole table 3 3 2 11" xfId="4760" xr:uid="{C2380C40-1E46-412C-B479-C6570E4DD98C}"/>
    <cellStyle name="Normal GHG whole table 3 3 2 2" xfId="1228" xr:uid="{1D2DA5E6-EEE4-4C2E-980F-817A7EB60424}"/>
    <cellStyle name="Normal GHG whole table 3 3 2 3" xfId="1512" xr:uid="{090B281C-EDD9-4FC0-9C93-BD5C2DA6067D}"/>
    <cellStyle name="Normal GHG whole table 3 3 2 4" xfId="2458" xr:uid="{074A0A9C-82CF-4CE2-95A6-ACD292A3586E}"/>
    <cellStyle name="Normal GHG whole table 3 3 2 5" xfId="2912" xr:uid="{96D4E820-BEEF-44C6-9921-C0067C56A5BF}"/>
    <cellStyle name="Normal GHG whole table 3 3 2 6" xfId="3330" xr:uid="{0D61FF91-FE0B-415A-951B-766663EE393B}"/>
    <cellStyle name="Normal GHG whole table 3 3 2 7" xfId="3744" xr:uid="{BB74B281-BBD4-47FD-937E-66C8CA7B0D39}"/>
    <cellStyle name="Normal GHG whole table 3 3 2 8" xfId="4167" xr:uid="{E8BC4D7E-4347-4AB5-AA67-61A511CA456D}"/>
    <cellStyle name="Normal GHG whole table 3 3 2 9" xfId="3068" xr:uid="{B718BCF7-9BC4-488C-975E-C1815A80A0D0}"/>
    <cellStyle name="Normal GHG whole table 3 3 3" xfId="1022" xr:uid="{8CCAD51D-A7B5-4E66-BA04-374BFFCFCAF0}"/>
    <cellStyle name="Normal GHG whole table 3 3 4" xfId="1679" xr:uid="{9AE499C6-2053-4D5D-9CAC-D43649DF2EEB}"/>
    <cellStyle name="Normal GHG whole table 3 3 5" xfId="2245" xr:uid="{C037344E-02F5-4472-A956-85E777CB8DA4}"/>
    <cellStyle name="Normal GHG whole table 3 3 6" xfId="2699" xr:uid="{FDC48996-05E0-4450-9DDD-957839C6CCCA}"/>
    <cellStyle name="Normal GHG whole table 3 3 7" xfId="3116" xr:uid="{E1FD4AA1-96D4-4CDE-951A-ABB0C2558F79}"/>
    <cellStyle name="Normal GHG whole table 3 3 8" xfId="3529" xr:uid="{1EE2D8DE-F46D-408B-83F6-3FB87DE6B0C8}"/>
    <cellStyle name="Normal GHG whole table 3 3 9" xfId="3954" xr:uid="{E5A3148D-1A71-4C8E-A150-F3F914D62F14}"/>
    <cellStyle name="Normal GHG whole table 3 4" xfId="626" xr:uid="{07226F49-C80F-448A-9ABB-240B76E4F429}"/>
    <cellStyle name="Normal GHG whole table 3 4 10" xfId="2072" xr:uid="{5E2735AC-6FD5-4E18-9F22-9B3F96BC8675}"/>
    <cellStyle name="Normal GHG whole table 3 4 11" xfId="4998" xr:uid="{A3FD1289-050C-4FC4-B498-B20AF33E16CB}"/>
    <cellStyle name="Normal GHG whole table 3 4 12" xfId="5317" xr:uid="{F7903B90-DCA0-4F33-9FB8-3FE2109E1865}"/>
    <cellStyle name="Normal GHG whole table 3 4 2" xfId="841" xr:uid="{B869D408-CC5F-4F12-9F06-A3A013F7F99A}"/>
    <cellStyle name="Normal GHG whole table 3 4 2 10" xfId="5207" xr:uid="{25A5AFB1-E983-4ABF-A067-B393B786EAA9}"/>
    <cellStyle name="Normal GHG whole table 3 4 2 11" xfId="4863" xr:uid="{DC4FBDEE-74C5-4853-8ECC-CFFA49DDBC20}"/>
    <cellStyle name="Normal GHG whole table 3 4 2 2" xfId="1315" xr:uid="{183F6832-C70F-4581-A11E-73B056E21FF5}"/>
    <cellStyle name="Normal GHG whole table 3 4 2 3" xfId="1764" xr:uid="{1C0FF120-CCAC-4F30-9310-1D0A7786F345}"/>
    <cellStyle name="Normal GHG whole table 3 4 2 4" xfId="2545" xr:uid="{2A3B10B6-0940-42EB-A424-D7723179934B}"/>
    <cellStyle name="Normal GHG whole table 3 4 2 5" xfId="2999" xr:uid="{92568267-E6B7-4954-8098-E858B7134E64}"/>
    <cellStyle name="Normal GHG whole table 3 4 2 6" xfId="3417" xr:uid="{FE2538CE-80E1-40B0-BFC1-23D85BA832AB}"/>
    <cellStyle name="Normal GHG whole table 3 4 2 7" xfId="3831" xr:uid="{F40A188A-FDE9-4882-87A8-64C4A76581E5}"/>
    <cellStyle name="Normal GHG whole table 3 4 2 8" xfId="4254" xr:uid="{C7FDB880-6256-43CD-A33D-5B83DF777159}"/>
    <cellStyle name="Normal GHG whole table 3 4 2 9" xfId="3906" xr:uid="{099FA943-B61F-4F14-AA75-418EBE0A9DFE}"/>
    <cellStyle name="Normal GHG whole table 3 4 3" xfId="1109" xr:uid="{2B4328EE-03AA-46F5-B444-90986CAD5BB4}"/>
    <cellStyle name="Normal GHG whole table 3 4 4" xfId="1410" xr:uid="{8435E13A-F676-48FA-ADF4-33E7848AB0DB}"/>
    <cellStyle name="Normal GHG whole table 3 4 5" xfId="2332" xr:uid="{1AD98B6D-3858-4069-9153-F4CF8D6C3C9A}"/>
    <cellStyle name="Normal GHG whole table 3 4 6" xfId="2786" xr:uid="{2677A9FE-7D94-4BB9-A7F4-9F0E9BC16B19}"/>
    <cellStyle name="Normal GHG whole table 3 4 7" xfId="3203" xr:uid="{1A6DF232-5282-459E-AB1F-487E77537D0D}"/>
    <cellStyle name="Normal GHG whole table 3 4 8" xfId="3616" xr:uid="{7AE93891-C601-44EA-B735-5D157D22E178}"/>
    <cellStyle name="Normal GHG whole table 3 4 9" xfId="4041" xr:uid="{B100CDF5-C843-4E13-84D4-CA7FA4C699BE}"/>
    <cellStyle name="Normal GHG whole table 3 5" xfId="956" xr:uid="{A8E5C2A9-8689-4450-AE60-1B82E84F1747}"/>
    <cellStyle name="Normal GHG whole table 3 6" xfId="1548" xr:uid="{28EDBE02-1E15-4255-BE04-217B69B91E14}"/>
    <cellStyle name="Normal GHG whole table 3 7" xfId="2044" xr:uid="{11E12F49-4078-4A99-81F3-1B7C1A76E68C}"/>
    <cellStyle name="Normal GHG whole table 3 8" xfId="1976" xr:uid="{3B99E74B-5153-4E07-90B3-2B07DBB48954}"/>
    <cellStyle name="Normal GHG whole table 3 9" xfId="1919" xr:uid="{8288E14F-F16C-4386-9FC2-ECE6A021C188}"/>
    <cellStyle name="Normal GHG whole table 4" xfId="68" xr:uid="{BE712C6F-3DA0-4E15-8A6E-D3FFF50D58B9}"/>
    <cellStyle name="Normal GHG whole table 4 2" xfId="915" xr:uid="{E2618F50-3908-49CF-A3BE-DBD5E7A7BBDF}"/>
    <cellStyle name="Normal GHG whole table 4 3" xfId="1884" xr:uid="{8614D0E9-A1F7-4CB7-BEA5-45831A4ACC8C}"/>
    <cellStyle name="Normal GHG whole table 4 4" xfId="3074" xr:uid="{1F39FA21-0FF3-400A-8C63-D32510C7F20C}"/>
    <cellStyle name="Normal GHG whole table 4 5" xfId="4617" xr:uid="{5383FB4B-7C15-49C7-8370-12CC61C7FAD7}"/>
    <cellStyle name="Normal GHG-Shade" xfId="12" xr:uid="{9C347DC4-E227-43ED-A8FC-C40C7F49A76A}"/>
    <cellStyle name="Normal GHG-Shade 2" xfId="165" xr:uid="{1BB8E97C-8A71-4A47-BCE5-4E3487476C59}"/>
    <cellStyle name="Normal GHG-Shade 2 2" xfId="166" xr:uid="{802657D4-6DE8-4CEF-BA46-8F3FD43BA75F}"/>
    <cellStyle name="Normal GHG-Shade 2 3" xfId="167" xr:uid="{F83FBB6B-E295-4A10-946E-78E60918AA54}"/>
    <cellStyle name="Normal GHG-Shade 2 4" xfId="197" xr:uid="{309EAA9C-7386-4D06-B6B9-9AEB2C1DEE2B}"/>
    <cellStyle name="Normal GHG-Shade 2 5" xfId="362" xr:uid="{F77A3EEA-D632-47D7-96FC-7FCCDE5C8D53}"/>
    <cellStyle name="Normal GHG-Shade 3" xfId="168" xr:uid="{A06D4B20-72E6-4FD7-8140-721E83CF0C5F}"/>
    <cellStyle name="Normal GHG-Shade 3 2" xfId="169" xr:uid="{9C431CBE-F921-489D-8806-38F986D38394}"/>
    <cellStyle name="Normal GHG-Shade 4" xfId="170" xr:uid="{880685C4-7511-4F95-A96B-01030177BD3B}"/>
    <cellStyle name="Normal GHG-Shade 4 2" xfId="433" xr:uid="{17A41F1D-52A8-4677-A05A-30D819EA2CDE}"/>
    <cellStyle name="Normal GHG-Shade 4 2 2" xfId="2160" xr:uid="{AB9C0312-D970-44A2-B356-E4BC8935BBFE}"/>
    <cellStyle name="Normal GHG-Shade 4 3" xfId="1959" xr:uid="{9E107241-55D8-4BE8-8AD6-67B5DC8E776A}"/>
    <cellStyle name="Normál_Munka1" xfId="27" xr:uid="{CA219102-694E-4E9D-AA9F-5FC0E0ED51B6}"/>
    <cellStyle name="Note 2" xfId="171" xr:uid="{4F677811-544C-43A9-BA85-0E77EFA3BBC9}"/>
    <cellStyle name="Note 2 10" xfId="2002" xr:uid="{CF693949-1C18-4804-B54C-14EE7EE1650F}"/>
    <cellStyle name="Note 2 11" xfId="1894" xr:uid="{92011342-5FCA-41C9-A98E-B8BD8C50791E}"/>
    <cellStyle name="Note 2 12" xfId="2130" xr:uid="{1C78CCF7-11EE-4ABC-87AE-288AE86E40A2}"/>
    <cellStyle name="Note 2 13" xfId="4478" xr:uid="{44BAF889-395E-47A8-9ED4-AD45DD1D3973}"/>
    <cellStyle name="Note 2 14" xfId="4669" xr:uid="{543E4F85-2048-409B-9A27-DFBD66D1B5BF}"/>
    <cellStyle name="Note 2 15" xfId="5278" xr:uid="{43CD96F8-417D-4939-80A6-D3A7B442D577}"/>
    <cellStyle name="Note 2 2" xfId="561" xr:uid="{2912601A-AF7D-4115-AFF9-837C14631A90}"/>
    <cellStyle name="Note 2 2 10" xfId="4309" xr:uid="{0C05E6E1-8367-450E-8032-58BC6C70B2B2}"/>
    <cellStyle name="Note 2 2 11" xfId="4933" xr:uid="{BFA9FAEF-EA2F-47C7-A30A-49C172E0E1C1}"/>
    <cellStyle name="Note 2 2 12" xfId="5332" xr:uid="{3BF0EA20-D185-4C7B-9931-C7114687D416}"/>
    <cellStyle name="Note 2 2 2" xfId="776" xr:uid="{6C75410A-874D-438A-AAF6-E28397F04B1A}"/>
    <cellStyle name="Note 2 2 2 10" xfId="5142" xr:uid="{8A1B4098-6029-4227-A725-888B64BF89F9}"/>
    <cellStyle name="Note 2 2 2 11" xfId="4861" xr:uid="{0DAC2185-A350-4E48-95A3-C7A470BB67CF}"/>
    <cellStyle name="Note 2 2 2 2" xfId="1250" xr:uid="{4238F8B7-2658-413C-82EB-3A83663A5641}"/>
    <cellStyle name="Note 2 2 2 3" xfId="1482" xr:uid="{A5C08BA5-64FB-4955-9D3D-AF5669DF72A0}"/>
    <cellStyle name="Note 2 2 2 4" xfId="2480" xr:uid="{0231E098-A259-4F1F-A5C7-650F5B2FE6E8}"/>
    <cellStyle name="Note 2 2 2 5" xfId="2934" xr:uid="{6F0CC6C1-99BA-4485-B457-9B4ED7C08DE6}"/>
    <cellStyle name="Note 2 2 2 6" xfId="3352" xr:uid="{7A5CA7EB-E24D-4FD5-9768-0988F3D36B0D}"/>
    <cellStyle name="Note 2 2 2 7" xfId="3766" xr:uid="{0C35A8C9-C570-42E6-8311-A250FA82D479}"/>
    <cellStyle name="Note 2 2 2 8" xfId="4189" xr:uid="{9ACC2575-4B8E-47CF-B3DE-839FF3552EF1}"/>
    <cellStyle name="Note 2 2 2 9" xfId="4330" xr:uid="{D2C95FED-00F7-4387-BC8F-BE9D3D72318D}"/>
    <cellStyle name="Note 2 2 3" xfId="1044" xr:uid="{B8592CF2-22F3-482A-9405-B9CF6BE0C0E1}"/>
    <cellStyle name="Note 2 2 4" xfId="1743" xr:uid="{CA207089-0EDD-4149-862C-A96EE227CCB5}"/>
    <cellStyle name="Note 2 2 5" xfId="2267" xr:uid="{76279481-A616-431C-B949-6C325544F14B}"/>
    <cellStyle name="Note 2 2 6" xfId="2721" xr:uid="{CF67ABA5-6DE4-42A2-9612-5422FB1CF67A}"/>
    <cellStyle name="Note 2 2 7" xfId="3138" xr:uid="{F8C4639B-08DC-49DC-BB3F-1D8B427B0118}"/>
    <cellStyle name="Note 2 2 8" xfId="3551" xr:uid="{297E7041-6922-4849-9767-0622B80D969D}"/>
    <cellStyle name="Note 2 2 9" xfId="3976" xr:uid="{90710A9D-E848-41C3-991A-DB71818CA52A}"/>
    <cellStyle name="Note 2 3" xfId="625" xr:uid="{DCE8405E-1FDC-4E2E-85A2-815F14BD7739}"/>
    <cellStyle name="Note 2 3 10" xfId="4322" xr:uid="{8B586205-1E23-4E9B-8929-A766D156ADB2}"/>
    <cellStyle name="Note 2 3 11" xfId="4997" xr:uid="{7B01DB13-EB7D-49BB-B9C4-517554A316BE}"/>
    <cellStyle name="Note 2 3 12" xfId="5421" xr:uid="{CB44BC25-5075-4428-9F42-376BDFFC63B5}"/>
    <cellStyle name="Note 2 3 2" xfId="840" xr:uid="{E16E2BC6-D7DB-4EF5-86DC-6D494AAD153A}"/>
    <cellStyle name="Note 2 3 2 10" xfId="5206" xr:uid="{8F012CFC-1575-4541-B3FE-ACE0D486AD33}"/>
    <cellStyle name="Note 2 3 2 11" xfId="4866" xr:uid="{AECA0099-CC9D-48AF-8BFF-EE73CC7786E8}"/>
    <cellStyle name="Note 2 3 2 2" xfId="1314" xr:uid="{C73DB949-BDAB-4A53-B055-9FBE3669FE19}"/>
    <cellStyle name="Note 2 3 2 3" xfId="1763" xr:uid="{E1146C12-5E70-45C8-B1B5-0B48CDACE6B8}"/>
    <cellStyle name="Note 2 3 2 4" xfId="2544" xr:uid="{460EBED7-C9F7-46E8-982A-9A914A08D743}"/>
    <cellStyle name="Note 2 3 2 5" xfId="2998" xr:uid="{5D0F5F6D-81C1-49DA-9E1F-77BA8D898073}"/>
    <cellStyle name="Note 2 3 2 6" xfId="3416" xr:uid="{1A3C0CD0-8A5C-4A82-832B-49F17854A76C}"/>
    <cellStyle name="Note 2 3 2 7" xfId="3830" xr:uid="{F50D55B6-1747-411A-A36C-4705D2D60864}"/>
    <cellStyle name="Note 2 3 2 8" xfId="4253" xr:uid="{75E8A663-9806-4224-92E3-9946D771E952}"/>
    <cellStyle name="Note 2 3 2 9" xfId="4456" xr:uid="{C54D526D-676B-4267-80C9-F03310C0B0B8}"/>
    <cellStyle name="Note 2 3 3" xfId="1108" xr:uid="{38F0CF0E-096C-494F-A14F-A6E84A86BF75}"/>
    <cellStyle name="Note 2 3 4" xfId="1377" xr:uid="{EE7CE170-1379-4A38-B14A-DE6E982CBF91}"/>
    <cellStyle name="Note 2 3 5" xfId="2331" xr:uid="{EA023F22-54B5-4A71-97F2-F4B0DAAE9030}"/>
    <cellStyle name="Note 2 3 6" xfId="2785" xr:uid="{328D89B1-8828-448D-8B6E-8D3535F3F8BA}"/>
    <cellStyle name="Note 2 3 7" xfId="3202" xr:uid="{E33C4668-BBDA-4027-A342-B3DD695C4B96}"/>
    <cellStyle name="Note 2 3 8" xfId="3615" xr:uid="{7DB0B1A7-4D95-423E-AE80-1114224AB898}"/>
    <cellStyle name="Note 2 3 9" xfId="4040" xr:uid="{66186F6A-ACC2-4251-8821-DA72C84D1C11}"/>
    <cellStyle name="Note 2 4" xfId="520" xr:uid="{0B6301F4-E0C7-45D8-AF6D-50927A99ADFF}"/>
    <cellStyle name="Note 2 4 10" xfId="4472" xr:uid="{DFCDC93C-F65A-4332-9018-3F5A0B1CA2E3}"/>
    <cellStyle name="Note 2 4 11" xfId="4892" xr:uid="{F097C45B-2A4A-4DA8-A3FA-5557DC195493}"/>
    <cellStyle name="Note 2 4 12" xfId="5439" xr:uid="{16013B43-9D62-4DC4-9EB0-51823F58E34A}"/>
    <cellStyle name="Note 2 4 2" xfId="735" xr:uid="{4D96101E-7A85-41AF-BB04-8733C5F35D42}"/>
    <cellStyle name="Note 2 4 2 10" xfId="5101" xr:uid="{62E94A3C-5058-40C1-A2BA-ADCFD3D6972C}"/>
    <cellStyle name="Note 2 4 2 11" xfId="4661" xr:uid="{2E4B9C62-9600-4684-84E0-3B5F9EA2FFE1}"/>
    <cellStyle name="Note 2 4 2 2" xfId="1209" xr:uid="{B7508D0C-5CEF-4D2F-BD8F-7473A90E5574}"/>
    <cellStyle name="Note 2 4 2 3" xfId="1439" xr:uid="{ED3ACF2E-E4EC-4555-AD63-7009BE9FB08D}"/>
    <cellStyle name="Note 2 4 2 4" xfId="2439" xr:uid="{5D80B81A-833E-4E9A-B153-526EA8DDFCC3}"/>
    <cellStyle name="Note 2 4 2 5" xfId="2893" xr:uid="{2285891E-3D53-4FAA-837D-ADECA24D16D8}"/>
    <cellStyle name="Note 2 4 2 6" xfId="3311" xr:uid="{A362E987-FBD3-48AC-9E46-67FF1847C421}"/>
    <cellStyle name="Note 2 4 2 7" xfId="3725" xr:uid="{B44314C0-C15A-409D-80AA-B9ACB968412E}"/>
    <cellStyle name="Note 2 4 2 8" xfId="4148" xr:uid="{13556C05-83EB-4EDE-A417-C6A8CA836AFF}"/>
    <cellStyle name="Note 2 4 2 9" xfId="4448" xr:uid="{0F27C6B1-F6EC-4C53-88CC-3DB4C099B712}"/>
    <cellStyle name="Note 2 4 3" xfId="1003" xr:uid="{422FD09E-0F15-46AB-A9C3-B680A94200EA}"/>
    <cellStyle name="Note 2 4 4" xfId="1690" xr:uid="{4B713430-DDE0-44CC-8A6B-776E0A81CBAA}"/>
    <cellStyle name="Note 2 4 5" xfId="2226" xr:uid="{408D63E9-06CC-44C5-9BD7-20C84F634AEE}"/>
    <cellStyle name="Note 2 4 6" xfId="2680" xr:uid="{41AFF315-480F-4AE2-B493-0845F1D180CA}"/>
    <cellStyle name="Note 2 4 7" xfId="3097" xr:uid="{429C96EC-EB3A-4BD0-9F59-6588A3B9B6DB}"/>
    <cellStyle name="Note 2 4 8" xfId="3510" xr:uid="{31589CB8-FE33-4FBF-874E-3B2AEF2B4AED}"/>
    <cellStyle name="Note 2 4 9" xfId="3935" xr:uid="{C1B92E3B-01B1-4E25-83EA-30FB7FB2F934}"/>
    <cellStyle name="Note 2 5" xfId="684" xr:uid="{FF1F27D5-8570-4D2B-B55D-1AFE138DBB90}"/>
    <cellStyle name="Note 2 5 10" xfId="5055" xr:uid="{2631FB94-4013-465D-B182-0BDA23587623}"/>
    <cellStyle name="Note 2 5 11" xfId="5453" xr:uid="{25CFCF80-0F03-4FE4-8966-C8F0DE4F1DCA}"/>
    <cellStyle name="Note 2 5 2" xfId="1166" xr:uid="{32FAF65D-2BC3-4E0B-8B8E-158666D6E00B}"/>
    <cellStyle name="Note 2 5 3" xfId="1517" xr:uid="{4AEE26DD-7BB7-4A39-A084-2530AA0FA1AD}"/>
    <cellStyle name="Note 2 5 4" xfId="2389" xr:uid="{5852DDE6-F9A1-41A5-9F3D-199547028931}"/>
    <cellStyle name="Note 2 5 5" xfId="2844" xr:uid="{1066F39E-A00E-4DDD-A721-01A5C5DD5D28}"/>
    <cellStyle name="Note 2 5 6" xfId="3260" xr:uid="{0E73C76A-3CE1-452E-9A1D-3C9CE57B9B1F}"/>
    <cellStyle name="Note 2 5 7" xfId="3674" xr:uid="{E775D548-964B-4033-B10B-AB6EE4A7847F}"/>
    <cellStyle name="Note 2 5 8" xfId="4099" xr:uid="{FC61A738-DE26-4C66-BB2F-6252B22AF8B7}"/>
    <cellStyle name="Note 2 5 9" xfId="1910" xr:uid="{5824F5B9-4D55-4876-B069-DDF290B28ABD}"/>
    <cellStyle name="Note 2 6" xfId="927" xr:uid="{21A8219B-6727-4E2E-A577-C023DADCC5C1}"/>
    <cellStyle name="Note 2 7" xfId="1594" xr:uid="{C54A4358-0B54-4CF4-A4D8-F04A758AD3EB}"/>
    <cellStyle name="Note 2 8" xfId="1960" xr:uid="{2DFEB21D-8B6E-4ED7-9206-A696F7C103BE}"/>
    <cellStyle name="Note 2 9" xfId="1814" xr:uid="{1C5BCFC1-E94D-459E-B7D6-C3224C1C2EC6}"/>
    <cellStyle name="Note 3" xfId="236" xr:uid="{18B663CF-669F-4600-9B01-CD7D57EDF23B}"/>
    <cellStyle name="Note 3 10" xfId="2172" xr:uid="{041AF7E7-D98C-4BD2-BC44-589E4810215E}"/>
    <cellStyle name="Note 3 11" xfId="1899" xr:uid="{FFC1B967-3A53-49AD-AEB5-A7A760632259}"/>
    <cellStyle name="Note 3 12" xfId="2212" xr:uid="{EE9A80C8-DAC0-45E2-A703-5A754CA2DE51}"/>
    <cellStyle name="Note 3 13" xfId="2119" xr:uid="{83231103-5DD8-4A68-A8F5-1F4F4BB1F93B}"/>
    <cellStyle name="Note 3 14" xfId="4703" xr:uid="{91B83EC3-461A-4953-B691-717931832DBC}"/>
    <cellStyle name="Note 3 15" xfId="5258" xr:uid="{71F64091-82A2-404C-91F0-B39640AE4CDE}"/>
    <cellStyle name="Note 3 2" xfId="589" xr:uid="{A86B2AD8-B724-4B33-A639-DA65B84AE840}"/>
    <cellStyle name="Note 3 2 10" xfId="2102" xr:uid="{E365C992-D84B-47CE-8C1A-94A6AD7C2A39}"/>
    <cellStyle name="Note 3 2 11" xfId="4961" xr:uid="{B2D8FD7D-3B0F-4809-98A5-2A124CA27C20}"/>
    <cellStyle name="Note 3 2 12" xfId="5366" xr:uid="{A3C25533-F310-453F-9C12-1A3BB8395EA5}"/>
    <cellStyle name="Note 3 2 2" xfId="804" xr:uid="{0C9E377C-AEDB-48C2-9B5B-966D39D5FB50}"/>
    <cellStyle name="Note 3 2 2 10" xfId="5170" xr:uid="{ACE32EBA-EFC0-4476-B774-FC58AD307F50}"/>
    <cellStyle name="Note 3 2 2 11" xfId="4589" xr:uid="{5C2ED2E3-AD18-42DE-8225-01A531B6CC17}"/>
    <cellStyle name="Note 3 2 2 2" xfId="1278" xr:uid="{7F4E22FE-36E9-4934-B5CD-238BFB01E803}"/>
    <cellStyle name="Note 3 2 2 3" xfId="1697" xr:uid="{03F4112F-AD3D-4C49-B0E5-B7648308FCAC}"/>
    <cellStyle name="Note 3 2 2 4" xfId="2508" xr:uid="{60521B9F-8147-4F76-9D4E-0C433A667AD9}"/>
    <cellStyle name="Note 3 2 2 5" xfId="2962" xr:uid="{216BA3BA-E3D0-41D9-AB2B-DDF2CF22D6AD}"/>
    <cellStyle name="Note 3 2 2 6" xfId="3380" xr:uid="{EABD7E9F-BEA9-44AB-8BA6-C2404C9FE5C8}"/>
    <cellStyle name="Note 3 2 2 7" xfId="3794" xr:uid="{FE01D3E2-F0EA-4F53-80AF-442A1C57FBB0}"/>
    <cellStyle name="Note 3 2 2 8" xfId="4217" xr:uid="{0032E2B8-A254-4553-9F5A-A4ADB6F5D36E}"/>
    <cellStyle name="Note 3 2 2 9" xfId="1994" xr:uid="{30183B1D-7642-48FC-99E0-994F05AEC26B}"/>
    <cellStyle name="Note 3 2 3" xfId="1072" xr:uid="{C54F5F2B-3C04-4A92-BEB1-84906E18CB65}"/>
    <cellStyle name="Note 3 2 4" xfId="1712" xr:uid="{FB38CCF1-1C34-4E5B-8764-2F555D33BEC3}"/>
    <cellStyle name="Note 3 2 5" xfId="2295" xr:uid="{D6C7321A-3B51-4B08-B05C-6340C851277D}"/>
    <cellStyle name="Note 3 2 6" xfId="2749" xr:uid="{55A1631D-7C03-4EF5-8220-D93BEA29FD21}"/>
    <cellStyle name="Note 3 2 7" xfId="3166" xr:uid="{C93804B8-073B-4C36-85C8-EE68C0F7E070}"/>
    <cellStyle name="Note 3 2 8" xfId="3579" xr:uid="{172214E7-ACC6-42AA-B5C3-D2443FE54496}"/>
    <cellStyle name="Note 3 2 9" xfId="4004" xr:uid="{9FB0C0DF-8DB8-46D9-B625-CB44D0C39686}"/>
    <cellStyle name="Note 3 3" xfId="555" xr:uid="{4DD4BF44-E696-4DD8-ACC2-C47D84B9AE0D}"/>
    <cellStyle name="Note 3 3 10" xfId="2097" xr:uid="{2746B62E-4F7E-41CD-9374-B34FA9002A82}"/>
    <cellStyle name="Note 3 3 11" xfId="4927" xr:uid="{64AB9410-1B10-412C-AAAC-5AEF8EE52401}"/>
    <cellStyle name="Note 3 3 12" xfId="5398" xr:uid="{901F0447-488A-41B9-8574-085F4BF1CD83}"/>
    <cellStyle name="Note 3 3 2" xfId="770" xr:uid="{C5014E7E-CF5B-47C3-AF9D-084A0BD6FC20}"/>
    <cellStyle name="Note 3 3 2 10" xfId="5136" xr:uid="{8D080BA3-E67D-4CDB-BFF0-15BA53E8C6C7}"/>
    <cellStyle name="Note 3 3 2 11" xfId="4856" xr:uid="{86F9C7E9-B601-44CF-9FFC-7BA064423C8B}"/>
    <cellStyle name="Note 3 3 2 2" xfId="1244" xr:uid="{E67300C5-ECEA-4D0D-AD45-726AABA5B1E8}"/>
    <cellStyle name="Note 3 3 2 3" xfId="1431" xr:uid="{BCF77101-A046-4AD1-B210-6A4788B5E35D}"/>
    <cellStyle name="Note 3 3 2 4" xfId="2474" xr:uid="{4248E341-1DE6-430E-BFC9-1B8CB31F6B33}"/>
    <cellStyle name="Note 3 3 2 5" xfId="2928" xr:uid="{603F015C-A1FD-4E1A-B374-23E389E99CCE}"/>
    <cellStyle name="Note 3 3 2 6" xfId="3346" xr:uid="{0C095319-7D12-4695-8770-CEF4FE3042F7}"/>
    <cellStyle name="Note 3 3 2 7" xfId="3760" xr:uid="{C1E58785-BE82-4960-B2E5-17886CD4F5BC}"/>
    <cellStyle name="Note 3 3 2 8" xfId="4183" xr:uid="{68BBE743-4CE9-4DDE-86DA-C6EEA8A165EA}"/>
    <cellStyle name="Note 3 3 2 9" xfId="2637" xr:uid="{D4D35DFE-33D3-4479-94D2-4B97D69BB35E}"/>
    <cellStyle name="Note 3 3 3" xfId="1038" xr:uid="{65E53414-A0E2-429B-ACA8-5456B8A6A771}"/>
    <cellStyle name="Note 3 3 4" xfId="1661" xr:uid="{97012357-B01A-47FF-8FFD-C4C6D595CC02}"/>
    <cellStyle name="Note 3 3 5" xfId="2261" xr:uid="{700B60CC-5F48-4D2D-B918-5EEEF608CD99}"/>
    <cellStyle name="Note 3 3 6" xfId="2715" xr:uid="{CFEA36A3-9DCE-4A86-8842-211DF742809F}"/>
    <cellStyle name="Note 3 3 7" xfId="3132" xr:uid="{6281278A-1783-4C32-A3FB-CE5C63B32C20}"/>
    <cellStyle name="Note 3 3 8" xfId="3545" xr:uid="{86167A6B-9D3C-4E33-BD22-ED0D8BAC7ADE}"/>
    <cellStyle name="Note 3 3 9" xfId="3970" xr:uid="{5863E9AE-E1AA-4BCB-BFE1-DD68B753DB6D}"/>
    <cellStyle name="Note 3 4" xfId="573" xr:uid="{57AC2032-8089-4440-A019-5350E1B400CC}"/>
    <cellStyle name="Note 3 4 10" xfId="4387" xr:uid="{CCC0AD8F-E70D-4698-BC12-E9BFEA06E251}"/>
    <cellStyle name="Note 3 4 11" xfId="4945" xr:uid="{9F524D6A-9D93-47E3-89F8-D3B15456500E}"/>
    <cellStyle name="Note 3 4 12" xfId="4769" xr:uid="{4EAB1860-CFA3-40BE-BB70-3DB970C2234D}"/>
    <cellStyle name="Note 3 4 2" xfId="788" xr:uid="{3CA561A8-5BCC-4FFD-A9A9-01307CF5F78E}"/>
    <cellStyle name="Note 3 4 2 10" xfId="5154" xr:uid="{F5E7CC7C-B15B-4540-B771-E42DB45D8BE5}"/>
    <cellStyle name="Note 3 4 2 11" xfId="4809" xr:uid="{EE8D4C38-CA74-4B26-987F-B94BC53BA13F}"/>
    <cellStyle name="Note 3 4 2 2" xfId="1262" xr:uid="{289449E9-EFBB-43C1-B1B5-791676D9D721}"/>
    <cellStyle name="Note 3 4 2 3" xfId="1508" xr:uid="{9C188BCE-7382-4491-946F-88D3D0640879}"/>
    <cellStyle name="Note 3 4 2 4" xfId="2492" xr:uid="{E23A3430-2610-4937-A200-F874B0690DE2}"/>
    <cellStyle name="Note 3 4 2 5" xfId="2946" xr:uid="{FE944DBD-CB6C-4768-81ED-C012EB61BAED}"/>
    <cellStyle name="Note 3 4 2 6" xfId="3364" xr:uid="{B320229D-EECE-4C7B-85C7-2E55A6411AB3}"/>
    <cellStyle name="Note 3 4 2 7" xfId="3778" xr:uid="{20CED113-DEA8-4682-BBBB-BC9CAE6428CB}"/>
    <cellStyle name="Note 3 4 2 8" xfId="4201" xr:uid="{A2B77F6E-D46A-4067-94E7-62DD29642B82}"/>
    <cellStyle name="Note 3 4 2 9" xfId="4482" xr:uid="{F8EF3A2A-54CC-4065-A9D4-4FCB3976907C}"/>
    <cellStyle name="Note 3 4 3" xfId="1056" xr:uid="{3BFA2672-8CE0-4B7C-9B5E-84323E9AC02D}"/>
    <cellStyle name="Note 3 4 4" xfId="1692" xr:uid="{32632B5D-1B86-4D6A-8228-F3341BD681EE}"/>
    <cellStyle name="Note 3 4 5" xfId="2279" xr:uid="{04F9C9CD-A696-4EDB-86AA-CC5A66369EBE}"/>
    <cellStyle name="Note 3 4 6" xfId="2733" xr:uid="{75FE7DE0-354D-4507-A138-E567766700E8}"/>
    <cellStyle name="Note 3 4 7" xfId="3150" xr:uid="{495E0D4B-02AC-487A-A3FC-1D69855DA8B9}"/>
    <cellStyle name="Note 3 4 8" xfId="3563" xr:uid="{F0634EC0-F204-4F98-BD89-503CBF3546AD}"/>
    <cellStyle name="Note 3 4 9" xfId="3988" xr:uid="{408B7259-ECE0-44A6-97C8-8CE4730F6DEC}"/>
    <cellStyle name="Note 3 5" xfId="690" xr:uid="{DED39CB2-BCBD-4F06-BA36-7EBD0D7A0925}"/>
    <cellStyle name="Note 3 5 10" xfId="5061" xr:uid="{02241FD6-8EAC-4221-A831-F632D103DB9F}"/>
    <cellStyle name="Note 3 5 11" xfId="5389" xr:uid="{83923A68-FDEB-43BE-A93F-E89E6163848B}"/>
    <cellStyle name="Note 3 5 2" xfId="1172" xr:uid="{BFD0006B-A98D-4936-A39E-5B20CBA7B87C}"/>
    <cellStyle name="Note 3 5 3" xfId="1663" xr:uid="{3D5176E2-8BDB-42E4-BE83-5E1EB72A4262}"/>
    <cellStyle name="Note 3 5 4" xfId="2395" xr:uid="{23A08378-9820-462D-95B2-379CAC03FCC5}"/>
    <cellStyle name="Note 3 5 5" xfId="2850" xr:uid="{E235CDE4-E0C9-46E0-A9FF-C8417314BFAC}"/>
    <cellStyle name="Note 3 5 6" xfId="3266" xr:uid="{E60ADD14-810D-461E-9395-DE6BB3BD550F}"/>
    <cellStyle name="Note 3 5 7" xfId="3680" xr:uid="{D4D92608-B542-43DB-B7C1-B2F2935808CE}"/>
    <cellStyle name="Note 3 5 8" xfId="4105" xr:uid="{DA66F157-79E5-4CEA-A175-79152800CFBB}"/>
    <cellStyle name="Note 3 5 9" xfId="2109" xr:uid="{D68B01B3-BC9C-4402-9570-853BE9E090B1}"/>
    <cellStyle name="Note 3 6" xfId="934" xr:uid="{CD15529B-900C-41C6-A0AD-D45E7B2AF6F6}"/>
    <cellStyle name="Note 3 7" xfId="1593" xr:uid="{0212EE72-5E12-4B35-BD61-AD9E076388EF}"/>
    <cellStyle name="Note 3 8" xfId="2006" xr:uid="{57522573-8084-487E-8B19-5110D5328C87}"/>
    <cellStyle name="Note 3 9" xfId="1997" xr:uid="{3FF361BB-0E3C-4576-AAA7-E03279BAB8B4}"/>
    <cellStyle name="Notiz" xfId="172" xr:uid="{B7600077-6B6C-4B3F-9055-F739CF88A6FD}"/>
    <cellStyle name="Notiz 10" xfId="2613" xr:uid="{AFFCCDDD-FCA9-4795-B2E3-038B98C2F4A9}"/>
    <cellStyle name="Notiz 11" xfId="1843" xr:uid="{049C0BEA-84D3-4FCD-897D-9F83225311F8}"/>
    <cellStyle name="Notiz 12" xfId="2091" xr:uid="{5BD9F188-DD87-4ED3-91BC-A5227FC5D80E}"/>
    <cellStyle name="Notiz 13" xfId="3270" xr:uid="{71B9E13A-2D85-4BF8-9B3E-5B2AD7FBFEAF}"/>
    <cellStyle name="Notiz 14" xfId="4670" xr:uid="{70AE73FB-6282-419F-AB87-06D233A23FAC}"/>
    <cellStyle name="Notiz 15" xfId="5279" xr:uid="{6397F151-DE61-4D23-88A9-19563B69E842}"/>
    <cellStyle name="Notiz 2" xfId="562" xr:uid="{D5D9CAB9-0D4D-4276-9E43-8C9AD5A481FA}"/>
    <cellStyle name="Notiz 2 10" xfId="4412" xr:uid="{2CF6E244-DD58-40D4-80BC-FED0A4670BFC}"/>
    <cellStyle name="Notiz 2 11" xfId="4934" xr:uid="{833F8F4A-73EB-415E-A2CA-72BCF37BACCD}"/>
    <cellStyle name="Notiz 2 12" xfId="4584" xr:uid="{45878B81-DEFF-4F0D-9604-25BF2406AD00}"/>
    <cellStyle name="Notiz 2 2" xfId="777" xr:uid="{43484427-C5D6-4BB7-9FF9-52E2171B5E9C}"/>
    <cellStyle name="Notiz 2 2 10" xfId="5143" xr:uid="{62D08717-1F92-4483-BD74-B857310A7AF3}"/>
    <cellStyle name="Notiz 2 2 11" xfId="4573" xr:uid="{8BED31AA-4071-4322-A4FB-9E07C49D2865}"/>
    <cellStyle name="Notiz 2 2 2" xfId="1251" xr:uid="{D79F057E-F6CD-4754-B716-AEBDCA751A8C}"/>
    <cellStyle name="Notiz 2 2 3" xfId="1428" xr:uid="{9E3E9762-AE67-4196-8A33-DF2E792C5CAC}"/>
    <cellStyle name="Notiz 2 2 4" xfId="2481" xr:uid="{5B2CA662-9EA6-4AEC-B34F-FD59B89AA403}"/>
    <cellStyle name="Notiz 2 2 5" xfId="2935" xr:uid="{03C09384-2263-4C34-A2C7-306A9DC65DE3}"/>
    <cellStyle name="Notiz 2 2 6" xfId="3353" xr:uid="{01A6F4F6-FBC6-4412-B1FC-50C8A08D1D8F}"/>
    <cellStyle name="Notiz 2 2 7" xfId="3767" xr:uid="{D68DD60C-C593-4E18-83E8-7158CF6FBC4A}"/>
    <cellStyle name="Notiz 2 2 8" xfId="4190" xr:uid="{B2F7D40A-89A4-45AA-B666-3E40943CF830}"/>
    <cellStyle name="Notiz 2 2 9" xfId="4464" xr:uid="{C326BC00-D47F-430E-8E9B-164953096AE3}"/>
    <cellStyle name="Notiz 2 3" xfId="1045" xr:uid="{39530E23-E473-484F-AD53-05987A48BD1B}"/>
    <cellStyle name="Notiz 2 4" xfId="1652" xr:uid="{A0ADFA05-63DF-4315-82F3-26FF90543F9B}"/>
    <cellStyle name="Notiz 2 5" xfId="2268" xr:uid="{C0710E83-3BB4-4E1B-955D-91D67A226138}"/>
    <cellStyle name="Notiz 2 6" xfId="2722" xr:uid="{FA521DCD-B2A0-42C4-86B1-DCA80F477FBB}"/>
    <cellStyle name="Notiz 2 7" xfId="3139" xr:uid="{39756EE0-74AE-4669-8F66-3E35745AE5DD}"/>
    <cellStyle name="Notiz 2 8" xfId="3552" xr:uid="{DDCC885D-4FC9-401D-ABAF-DEBA49F1FEBC}"/>
    <cellStyle name="Notiz 2 9" xfId="3977" xr:uid="{B7CC6C44-68DC-42D5-B8EB-9F17270A08B7}"/>
    <cellStyle name="Notiz 3" xfId="624" xr:uid="{A59F5559-C1F4-407E-9BE8-7E990170AE0D}"/>
    <cellStyle name="Notiz 3 10" xfId="4491" xr:uid="{4C81CF73-6CF7-4D38-96D0-4480F917A055}"/>
    <cellStyle name="Notiz 3 11" xfId="4996" xr:uid="{5643836E-2CAA-49BB-95EA-6DC1FD46F4F3}"/>
    <cellStyle name="Notiz 3 12" xfId="4782" xr:uid="{379E21BE-4378-4525-B324-C84391D882EB}"/>
    <cellStyle name="Notiz 3 2" xfId="839" xr:uid="{AF81A8A4-8ED3-4571-BB97-D25922E304D2}"/>
    <cellStyle name="Notiz 3 2 10" xfId="5205" xr:uid="{48410137-F2BD-4282-B52C-B47F539CABB0}"/>
    <cellStyle name="Notiz 3 2 11" xfId="4687" xr:uid="{CD665149-B69B-40A8-B1BC-5C3FF2165A68}"/>
    <cellStyle name="Notiz 3 2 2" xfId="1313" xr:uid="{87B891AF-A0C9-4C4D-B850-0F605BA23707}"/>
    <cellStyle name="Notiz 3 2 3" xfId="1762" xr:uid="{8332A57F-57FB-40D2-AF7B-496059E2BDE2}"/>
    <cellStyle name="Notiz 3 2 4" xfId="2543" xr:uid="{A17CBEF9-9B1F-47C6-93AF-44AD7D1386F1}"/>
    <cellStyle name="Notiz 3 2 5" xfId="2997" xr:uid="{580DC23F-89F7-4058-ABD3-EF28FE34F3F4}"/>
    <cellStyle name="Notiz 3 2 6" xfId="3415" xr:uid="{AEE58253-81BB-4C00-AD95-EBA3E3D71A9D}"/>
    <cellStyle name="Notiz 3 2 7" xfId="3829" xr:uid="{07650D9B-E987-4851-A6D9-2BCA4EC42283}"/>
    <cellStyle name="Notiz 3 2 8" xfId="4252" xr:uid="{74C7352D-C7F1-4569-9FBC-F62E34BD54C3}"/>
    <cellStyle name="Notiz 3 2 9" xfId="1965" xr:uid="{264FC7B6-B019-4C00-A119-8180B6BECC06}"/>
    <cellStyle name="Notiz 3 3" xfId="1107" xr:uid="{903AF3AD-89B6-434F-BFE8-3CE55CBCB0D6}"/>
    <cellStyle name="Notiz 3 4" xfId="1370" xr:uid="{6F3500BD-1044-45D3-9993-8F37407C6B5C}"/>
    <cellStyle name="Notiz 3 5" xfId="2330" xr:uid="{5DBF94D0-2A9D-446B-AFC0-02A22E0A2146}"/>
    <cellStyle name="Notiz 3 6" xfId="2784" xr:uid="{286E9E03-B30E-4251-9D5C-071C4BC5B881}"/>
    <cellStyle name="Notiz 3 7" xfId="3201" xr:uid="{984D8277-D137-40FD-B52A-6D602AC168E4}"/>
    <cellStyle name="Notiz 3 8" xfId="3614" xr:uid="{591EC027-2D4F-4D51-A535-BA3FCDE2183A}"/>
    <cellStyle name="Notiz 3 9" xfId="4039" xr:uid="{A1F3172F-87C7-4534-B978-E900A98F757C}"/>
    <cellStyle name="Notiz 4" xfId="593" xr:uid="{E942EFC5-DF07-4E0C-8F07-195890B5CC78}"/>
    <cellStyle name="Notiz 4 10" xfId="4517" xr:uid="{3A9AAA82-14FF-4F47-80D3-A5A6B4DC0A82}"/>
    <cellStyle name="Notiz 4 11" xfId="4965" xr:uid="{D974F26F-6D36-4818-87FA-157DAFF24A9C}"/>
    <cellStyle name="Notiz 4 12" xfId="5313" xr:uid="{A14EC8A9-0D03-4C82-8C0B-62A7BC643FC3}"/>
    <cellStyle name="Notiz 4 2" xfId="808" xr:uid="{79018637-3A4F-4E8E-A064-9525EBA8A2AF}"/>
    <cellStyle name="Notiz 4 2 10" xfId="5174" xr:uid="{FDB06E25-DDA8-4DCD-83D5-A63467953999}"/>
    <cellStyle name="Notiz 4 2 11" xfId="4761" xr:uid="{CCA9AEF3-2C9A-4F5A-95AE-CB97BA255506}"/>
    <cellStyle name="Notiz 4 2 2" xfId="1282" xr:uid="{87BE61D7-8705-4470-B1CE-33400A9FA117}"/>
    <cellStyle name="Notiz 4 2 3" xfId="1423" xr:uid="{1BBE9F9A-22F9-4398-98EA-22A21B2BE9CE}"/>
    <cellStyle name="Notiz 4 2 4" xfId="2512" xr:uid="{0D898537-8612-478C-B3A6-55D7C4FA21F0}"/>
    <cellStyle name="Notiz 4 2 5" xfId="2966" xr:uid="{0829D2D6-08DF-499E-965F-2357E4CC8326}"/>
    <cellStyle name="Notiz 4 2 6" xfId="3384" xr:uid="{CB3B3BFB-ABA6-469E-99BA-3E90B3C867B0}"/>
    <cellStyle name="Notiz 4 2 7" xfId="3798" xr:uid="{D062A14D-E575-43BE-B971-38DD479B4177}"/>
    <cellStyle name="Notiz 4 2 8" xfId="4221" xr:uid="{9A45557F-4CD7-4AE3-81E6-1E40A6DA8697}"/>
    <cellStyle name="Notiz 4 2 9" xfId="1815" xr:uid="{EC724A18-21C2-4F89-A08F-F716C0A7BA15}"/>
    <cellStyle name="Notiz 4 3" xfId="1076" xr:uid="{EBB92E02-80B6-40EB-AD20-3FF92FA9D05C}"/>
    <cellStyle name="Notiz 4 4" xfId="1730" xr:uid="{10BDF7F3-F4AE-45E7-9570-40406806187E}"/>
    <cellStyle name="Notiz 4 5" xfId="2299" xr:uid="{3D8F1089-54AA-4604-A6C6-FD4E4346AC8D}"/>
    <cellStyle name="Notiz 4 6" xfId="2753" xr:uid="{9E1B12D7-357C-4F5F-AB53-83A9F4591976}"/>
    <cellStyle name="Notiz 4 7" xfId="3170" xr:uid="{C4F08F0A-1156-4D16-BE42-8C70A331BA37}"/>
    <cellStyle name="Notiz 4 8" xfId="3583" xr:uid="{D42BF87A-B446-4C6F-B8DB-B2AA906DFF6F}"/>
    <cellStyle name="Notiz 4 9" xfId="4008" xr:uid="{233E3CBC-138F-4753-A75D-2319A7837CF0}"/>
    <cellStyle name="Notiz 5" xfId="685" xr:uid="{B3A5177A-D8C9-45F6-9546-313626CBB132}"/>
    <cellStyle name="Notiz 5 10" xfId="5056" xr:uid="{FA1463D5-3343-4A75-AC74-AFA07A0AA7E4}"/>
    <cellStyle name="Notiz 5 11" xfId="5348" xr:uid="{3D82F523-F237-4A3E-BABA-7AE950751EFC}"/>
    <cellStyle name="Notiz 5 2" xfId="1167" xr:uid="{A3FB22DE-5F5B-42E5-9476-4ADB0C2AFC36}"/>
    <cellStyle name="Notiz 5 3" xfId="1682" xr:uid="{B2F0E43F-853B-4E41-A6A3-7A9E8D557983}"/>
    <cellStyle name="Notiz 5 4" xfId="2390" xr:uid="{D31E34EF-D84C-4DD7-979A-31253F07CD84}"/>
    <cellStyle name="Notiz 5 5" xfId="2845" xr:uid="{CC8B86D8-A284-44AE-B51A-72DDF20E135A}"/>
    <cellStyle name="Notiz 5 6" xfId="3261" xr:uid="{F9582914-A102-4840-875F-4BDB0837A662}"/>
    <cellStyle name="Notiz 5 7" xfId="3675" xr:uid="{53B88F7C-068E-458A-B047-3DC28B38C045}"/>
    <cellStyle name="Notiz 5 8" xfId="4100" xr:uid="{B3F83E72-7A8A-4F72-B34A-73DC10AB6998}"/>
    <cellStyle name="Notiz 5 9" xfId="4443" xr:uid="{C6846BEE-2580-454A-952E-D7699DF2CE68}"/>
    <cellStyle name="Notiz 6" xfId="928" xr:uid="{B37EE614-921A-410C-A661-CA200826F188}"/>
    <cellStyle name="Notiz 7" xfId="1595" xr:uid="{00B112B4-D5E0-4663-B4A0-415DD8B4D1ED}"/>
    <cellStyle name="Notiz 8" xfId="1961" xr:uid="{35978D11-0FBE-4C36-AC53-FF4718C72EF7}"/>
    <cellStyle name="Notiz 9" xfId="1946" xr:uid="{EB6A72E1-9EC6-4448-AF4B-A602FD23EACD}"/>
    <cellStyle name="Output 2" xfId="173" xr:uid="{54E5C78E-FA75-4A1A-A773-E6D794C17B4C}"/>
    <cellStyle name="Output 2 10" xfId="3482" xr:uid="{DBB50862-A004-4BC7-9377-EE84582ECBF7}"/>
    <cellStyle name="Output 2 11" xfId="4671" xr:uid="{AAB1CDCB-2382-40B2-AF58-1F50B1991953}"/>
    <cellStyle name="Output 2 12" xfId="4632" xr:uid="{196DEACF-9F06-41FD-9CD8-C2ABF59EF662}"/>
    <cellStyle name="Output 2 2" xfId="563" xr:uid="{08525963-92DB-4CDB-940B-4F323842C13E}"/>
    <cellStyle name="Output 2 2 10" xfId="2622" xr:uid="{97D1A97A-7673-444D-8D41-BD6B391E7115}"/>
    <cellStyle name="Output 2 2 11" xfId="4935" xr:uid="{F7FB5C1B-A3E2-4D9E-BE36-1B52D930C594}"/>
    <cellStyle name="Output 2 2 12" xfId="5370" xr:uid="{3E0222F6-6F57-4B9F-92D4-6CA15BA84311}"/>
    <cellStyle name="Output 2 2 2" xfId="778" xr:uid="{3EA29027-84D7-4A9C-9CD6-6816CE5EF1EF}"/>
    <cellStyle name="Output 2 2 2 10" xfId="5144" xr:uid="{ACEDF941-26FB-4B23-8577-B0DF4D288922}"/>
    <cellStyle name="Output 2 2 2 11" xfId="4860" xr:uid="{C83611DE-1A55-49B7-B7DB-435F0ABBFFE1}"/>
    <cellStyle name="Output 2 2 2 2" xfId="1252" xr:uid="{1D18125A-CCF5-42E4-8299-411F8A0B6FA8}"/>
    <cellStyle name="Output 2 2 2 3" xfId="1481" xr:uid="{D2A67954-6624-4BE7-AD0C-DDDCA7482C8E}"/>
    <cellStyle name="Output 2 2 2 4" xfId="2482" xr:uid="{9A62B0E2-7EBC-46A5-B84D-E715E1D90D86}"/>
    <cellStyle name="Output 2 2 2 5" xfId="2936" xr:uid="{42D6A9B9-A5D1-4F27-9D2C-A7CB96FE66C8}"/>
    <cellStyle name="Output 2 2 2 6" xfId="3354" xr:uid="{1CFB6C6B-6F3E-4D5A-8678-DB46BE87E687}"/>
    <cellStyle name="Output 2 2 2 7" xfId="3768" xr:uid="{9B8691D5-1D22-4375-B278-00CA44B24E7E}"/>
    <cellStyle name="Output 2 2 2 8" xfId="4191" xr:uid="{837B62C1-5E43-43F5-8169-9230BC781366}"/>
    <cellStyle name="Output 2 2 2 9" xfId="4393" xr:uid="{44CC985F-C8E5-435F-8A92-E626C415875A}"/>
    <cellStyle name="Output 2 2 3" xfId="1046" xr:uid="{7C9F6CE8-5B5A-4BAA-8D36-66304C3137A7}"/>
    <cellStyle name="Output 2 2 4" xfId="1385" xr:uid="{097DCFE7-BDA3-487C-A867-6D890CAE3609}"/>
    <cellStyle name="Output 2 2 5" xfId="2269" xr:uid="{B0FB7C9F-8523-4BBA-A9B9-9D87D72B34B8}"/>
    <cellStyle name="Output 2 2 6" xfId="2723" xr:uid="{69485258-CC73-46FD-BB97-29A3D60E843E}"/>
    <cellStyle name="Output 2 2 7" xfId="3140" xr:uid="{A9FD881F-0B9B-4052-A728-AFCE982AB124}"/>
    <cellStyle name="Output 2 2 8" xfId="3553" xr:uid="{8586CBAB-93A1-4AD3-B4D4-9EBA11DC28C8}"/>
    <cellStyle name="Output 2 2 9" xfId="3978" xr:uid="{6A23DFDE-7584-4D13-9940-0519303A969E}"/>
    <cellStyle name="Output 2 3" xfId="659" xr:uid="{27A32375-7753-42FD-AE1D-CB75B303F014}"/>
    <cellStyle name="Output 2 3 10" xfId="2603" xr:uid="{1F0C50EE-082A-4B01-BC2F-8BADD3C81A1F}"/>
    <cellStyle name="Output 2 3 11" xfId="5031" xr:uid="{A2AC6C18-18CB-4279-9553-286D79E97B0E}"/>
    <cellStyle name="Output 2 3 12" xfId="5419" xr:uid="{37AA7693-699D-4B43-957C-7636D870E750}"/>
    <cellStyle name="Output 2 3 2" xfId="874" xr:uid="{E2A57AB1-580D-42D5-9A2F-83423A3F7D16}"/>
    <cellStyle name="Output 2 3 2 10" xfId="5240" xr:uid="{536815AF-94E4-42D6-B468-64DE3B85E366}"/>
    <cellStyle name="Output 2 3 2 11" xfId="5468" xr:uid="{3A04E024-1328-4A3F-918E-FCCA6D4AD35A}"/>
    <cellStyle name="Output 2 3 2 2" xfId="1348" xr:uid="{0EB6305E-9475-4864-A36C-1BDF2A4931F7}"/>
    <cellStyle name="Output 2 3 2 3" xfId="1797" xr:uid="{4B012913-E5A0-4144-B419-05FB86EF270E}"/>
    <cellStyle name="Output 2 3 2 4" xfId="2578" xr:uid="{EEAEAE52-6A78-4F26-A9E0-A89EC1E88C74}"/>
    <cellStyle name="Output 2 3 2 5" xfId="3032" xr:uid="{FBDD9FB1-41D6-411B-9CD5-9985460C6137}"/>
    <cellStyle name="Output 2 3 2 6" xfId="3450" xr:uid="{7B06F7C7-72AC-49F0-9452-FF5675032493}"/>
    <cellStyle name="Output 2 3 2 7" xfId="3864" xr:uid="{8CC9BD5C-5CE4-46CA-BA52-BB181A7D5992}"/>
    <cellStyle name="Output 2 3 2 8" xfId="4287" xr:uid="{973E1D91-02F5-4A1E-9BE2-3E79FE5EA0D6}"/>
    <cellStyle name="Output 2 3 2 9" xfId="4555" xr:uid="{6E2BD6B0-4411-45D3-91A0-27B9867FBB51}"/>
    <cellStyle name="Output 2 3 3" xfId="1142" xr:uid="{B952B48F-825E-4A1C-BB14-BF9AFFA9C9DB}"/>
    <cellStyle name="Output 2 3 4" xfId="1683" xr:uid="{C0E13313-AD8F-4E95-AC56-E5743872D1B0}"/>
    <cellStyle name="Output 2 3 5" xfId="2365" xr:uid="{B17E18B2-3CC0-49DD-9EBD-EC09982F6978}"/>
    <cellStyle name="Output 2 3 6" xfId="2819" xr:uid="{0C3AC503-84D4-4357-B687-6F08A56D791E}"/>
    <cellStyle name="Output 2 3 7" xfId="3236" xr:uid="{1033BE89-FF81-4A2E-8FD6-582B2CBC331F}"/>
    <cellStyle name="Output 2 3 8" xfId="3649" xr:uid="{B3C56C87-D634-4DFB-9C2F-7F427B92B7AA}"/>
    <cellStyle name="Output 2 3 9" xfId="4074" xr:uid="{484896DB-0CC0-4729-9352-5363B28507EB}"/>
    <cellStyle name="Output 2 4" xfId="686" xr:uid="{8C5A7EFF-9BC0-436C-A5A3-5C24A99E73B3}"/>
    <cellStyle name="Output 2 4 10" xfId="5057" xr:uid="{44B3B59E-BC8E-49BD-8D2F-FF6718B35BB1}"/>
    <cellStyle name="Output 2 4 11" xfId="5426" xr:uid="{A6C4D5DD-0323-4BC7-BEFE-C2C64358FCAC}"/>
    <cellStyle name="Output 2 4 2" xfId="1168" xr:uid="{DFA585E9-62F1-4A9D-A1FD-6DBCB285A43A}"/>
    <cellStyle name="Output 2 4 3" xfId="1696" xr:uid="{09F2364E-775A-4549-B9C5-AD7D63B9C70B}"/>
    <cellStyle name="Output 2 4 4" xfId="2391" xr:uid="{AA32C79A-08ED-4578-95FC-664A5DADE7F3}"/>
    <cellStyle name="Output 2 4 5" xfId="2846" xr:uid="{EB13243C-E747-4365-A1B5-2C67DDC4F575}"/>
    <cellStyle name="Output 2 4 6" xfId="3262" xr:uid="{9481B99E-59C2-4BB5-8CE3-9B0DAAC2FF1C}"/>
    <cellStyle name="Output 2 4 7" xfId="3676" xr:uid="{B8665B70-6367-44A4-9453-14E416A036A8}"/>
    <cellStyle name="Output 2 4 8" xfId="4101" xr:uid="{2CE3F3F6-1766-44A9-95C6-8FF31E5F404B}"/>
    <cellStyle name="Output 2 4 9" xfId="4483" xr:uid="{C8A3B547-A1CA-46E8-A11C-F634E9099481}"/>
    <cellStyle name="Output 2 5" xfId="929" xr:uid="{43D0CF7D-28DA-4E3E-A257-017893CAF9DC}"/>
    <cellStyle name="Output 2 6" xfId="1962" xr:uid="{0096A16A-930F-4896-9A53-A9754E696A73}"/>
    <cellStyle name="Output 2 7" xfId="1977" xr:uid="{09BBD1A6-D957-4988-B8C9-57F980266B62}"/>
    <cellStyle name="Output 2 8" xfId="2010" xr:uid="{FC568D6D-0863-4497-A393-A70CCA9283B3}"/>
    <cellStyle name="Output 2 9" xfId="3269" xr:uid="{2EE55703-B52B-44E5-A039-1E309EDB8B59}"/>
    <cellStyle name="Output 3" xfId="237" xr:uid="{6030A89D-1943-4334-B908-3C8A125CF3D0}"/>
    <cellStyle name="Output 3 10" xfId="4539" xr:uid="{5FCDB524-5C53-49CB-AF2D-91FF07251937}"/>
    <cellStyle name="Output 3 11" xfId="4704" xr:uid="{A529D020-F484-406A-B97B-4B9EFC941088}"/>
    <cellStyle name="Output 3 12" xfId="5276" xr:uid="{106E2A3D-E665-4C21-9951-38BAF813FC70}"/>
    <cellStyle name="Output 3 2" xfId="590" xr:uid="{423FA8AA-F2F3-4AB9-BC6E-E56B2CA070E7}"/>
    <cellStyle name="Output 3 2 10" xfId="3071" xr:uid="{3D75634C-D644-432C-8B89-0B685B6081AE}"/>
    <cellStyle name="Output 3 2 11" xfId="4962" xr:uid="{00D0ECB8-831B-4AF7-90EA-CBDD81AEDE54}"/>
    <cellStyle name="Output 3 2 12" xfId="5408" xr:uid="{A8983993-A90A-4CAD-BAC6-CCEDD3D713E2}"/>
    <cellStyle name="Output 3 2 2" xfId="805" xr:uid="{C42722FE-26E5-4F1B-A9C4-3DDC165BDF0B}"/>
    <cellStyle name="Output 3 2 2 10" xfId="5171" xr:uid="{17FE12BD-F760-44BA-8446-2E25AB82C6F9}"/>
    <cellStyle name="Output 3 2 2 11" xfId="4786" xr:uid="{BE3C0B43-ADB0-4694-BF1C-B240C963E1B7}"/>
    <cellStyle name="Output 3 2 2 2" xfId="1279" xr:uid="{A490CB1E-C4C0-41A5-BF81-6A90A89F6E86}"/>
    <cellStyle name="Output 3 2 2 3" xfId="1605" xr:uid="{67DC460F-76FF-4092-A0FC-E7DCFF67382E}"/>
    <cellStyle name="Output 3 2 2 4" xfId="2509" xr:uid="{44B50A0A-5741-4B2D-808E-8D52B15D4BD8}"/>
    <cellStyle name="Output 3 2 2 5" xfId="2963" xr:uid="{B49A194E-CC78-4ECE-9564-640C31E16750}"/>
    <cellStyle name="Output 3 2 2 6" xfId="3381" xr:uid="{A6AC6730-DC3B-46F0-B1E5-B6472973FC9C}"/>
    <cellStyle name="Output 3 2 2 7" xfId="3795" xr:uid="{9A1E771F-73D6-428E-A3F7-47D65FD049BF}"/>
    <cellStyle name="Output 3 2 2 8" xfId="4218" xr:uid="{4317D36D-70EC-44BF-9843-0B0B527460F4}"/>
    <cellStyle name="Output 3 2 2 9" xfId="1971" xr:uid="{84729E66-32B8-4616-8376-CCCC8C456FFC}"/>
    <cellStyle name="Output 3 2 3" xfId="1073" xr:uid="{B719A36A-E547-4517-A9C9-92B5333206E9}"/>
    <cellStyle name="Output 3 2 4" xfId="1621" xr:uid="{B1F9CEF9-6F34-4F00-9EEA-C79C2BA1E30F}"/>
    <cellStyle name="Output 3 2 5" xfId="2296" xr:uid="{DB71DF81-9696-48A9-9C94-BACDA926C4A6}"/>
    <cellStyle name="Output 3 2 6" xfId="2750" xr:uid="{1E39C0CF-8F9E-4BD8-A012-483441020D20}"/>
    <cellStyle name="Output 3 2 7" xfId="3167" xr:uid="{5AE134E9-FBA3-490A-8168-019C6E0D4F2B}"/>
    <cellStyle name="Output 3 2 8" xfId="3580" xr:uid="{61B8471E-2FBC-44D6-A6CD-6962A5138158}"/>
    <cellStyle name="Output 3 2 9" xfId="4005" xr:uid="{1438B09B-4968-4359-84BE-8A35B3242705}"/>
    <cellStyle name="Output 3 3" xfId="641" xr:uid="{4A9E61E5-174B-495A-9B84-54DB221B5E53}"/>
    <cellStyle name="Output 3 3 10" xfId="2131" xr:uid="{6B1F8BB0-7592-4603-8491-6E7D850BBE14}"/>
    <cellStyle name="Output 3 3 11" xfId="5013" xr:uid="{A5C554FF-4D34-4BF0-B745-919A78EDACC8}"/>
    <cellStyle name="Output 3 3 12" xfId="5326" xr:uid="{605776AF-A73B-4D11-B621-D1BFF6AB3A05}"/>
    <cellStyle name="Output 3 3 2" xfId="856" xr:uid="{3465A469-8AAB-416F-8CB8-65B597F6DADD}"/>
    <cellStyle name="Output 3 3 2 10" xfId="5222" xr:uid="{7E0E9032-F6D1-4975-A1B2-20CDD0C23FA2}"/>
    <cellStyle name="Output 3 3 2 11" xfId="4831" xr:uid="{0DE47447-CB8B-4CF5-9683-EE205767CB03}"/>
    <cellStyle name="Output 3 3 2 2" xfId="1330" xr:uid="{888AC1CF-3F96-4839-9E2D-4A3CA7FC0CF1}"/>
    <cellStyle name="Output 3 3 2 3" xfId="1779" xr:uid="{74B42DA5-80CC-4BB3-BD78-884EC4049451}"/>
    <cellStyle name="Output 3 3 2 4" xfId="2560" xr:uid="{7ED282BA-F22A-43EB-BA56-E0EED9A8E3C0}"/>
    <cellStyle name="Output 3 3 2 5" xfId="3014" xr:uid="{B0BB8A22-1823-49E7-8D17-BA0B692CFDFA}"/>
    <cellStyle name="Output 3 3 2 6" xfId="3432" xr:uid="{D0F5FF64-3751-4E28-8DA5-7107113B554E}"/>
    <cellStyle name="Output 3 3 2 7" xfId="3846" xr:uid="{775DA6E0-2549-455E-A6F1-ED2E93CBB7E7}"/>
    <cellStyle name="Output 3 3 2 8" xfId="4269" xr:uid="{38731570-53F7-4D3A-AE29-33111BE498A3}"/>
    <cellStyle name="Output 3 3 2 9" xfId="4402" xr:uid="{C8CBA2A0-E95F-411A-BDA5-32AF99767139}"/>
    <cellStyle name="Output 3 3 3" xfId="1124" xr:uid="{806F3166-880B-404C-9311-F46914E1A6D4}"/>
    <cellStyle name="Output 3 3 4" xfId="1596" xr:uid="{3570092E-EE76-4FAD-8040-B1C11BBFAB5A}"/>
    <cellStyle name="Output 3 3 5" xfId="2347" xr:uid="{20A7DE75-D434-42E2-A353-E58459EFE0A4}"/>
    <cellStyle name="Output 3 3 6" xfId="2801" xr:uid="{E0D39262-E2E5-49E4-A3CB-451F27639D6F}"/>
    <cellStyle name="Output 3 3 7" xfId="3218" xr:uid="{6E25C234-5E1E-4EEE-BBBF-01AAC4C2BB53}"/>
    <cellStyle name="Output 3 3 8" xfId="3631" xr:uid="{F61C8776-4F3A-401D-BEDA-7DD3C8EE4B84}"/>
    <cellStyle name="Output 3 3 9" xfId="4056" xr:uid="{A0AD717F-F79E-4835-8900-EE2654A8E5C4}"/>
    <cellStyle name="Output 3 4" xfId="691" xr:uid="{9563BF86-73C8-44B9-B504-B29B1E7CA669}"/>
    <cellStyle name="Output 3 4 10" xfId="5062" xr:uid="{C772FE20-77B0-4EDB-81C6-82A0B47B8362}"/>
    <cellStyle name="Output 3 4 11" xfId="5288" xr:uid="{12BBEB68-7FB4-40E1-9CF3-6CA7EDCA417A}"/>
    <cellStyle name="Output 3 4 2" xfId="1173" xr:uid="{426BB4B5-E641-48CB-BB0A-F6D3ED746AAC}"/>
    <cellStyle name="Output 3 4 3" xfId="1757" xr:uid="{D596CE98-846E-44F8-B0DB-893D8A034E64}"/>
    <cellStyle name="Output 3 4 4" xfId="2396" xr:uid="{5BDE3104-FC1C-45B0-AAEC-29D1FF52892D}"/>
    <cellStyle name="Output 3 4 5" xfId="2851" xr:uid="{C44EC82F-60F1-481D-A9D2-5D4F125ED92A}"/>
    <cellStyle name="Output 3 4 6" xfId="3267" xr:uid="{3FFA9F95-DC36-402B-853D-CFE6CD7B1692}"/>
    <cellStyle name="Output 3 4 7" xfId="3681" xr:uid="{11805E65-0115-4BD4-8AFE-FBCCFF626136}"/>
    <cellStyle name="Output 3 4 8" xfId="4106" xr:uid="{3F1F62B4-C253-4204-A8A8-F277CD24E533}"/>
    <cellStyle name="Output 3 4 9" xfId="4384" xr:uid="{54EE47AC-92D9-4E82-9DC4-6C420D3C6397}"/>
    <cellStyle name="Output 3 5" xfId="935" xr:uid="{2F4F0F2D-9865-4198-9F35-6E1C61E0A860}"/>
    <cellStyle name="Output 3 6" xfId="2007" xr:uid="{66176EA7-02B0-4E27-B2F8-9B04B9200380}"/>
    <cellStyle name="Output 3 7" xfId="2215" xr:uid="{BBB9C950-DFDE-4651-BBBD-00F6AC4E887F}"/>
    <cellStyle name="Output 3 8" xfId="2115" xr:uid="{BB12777C-ED5D-442C-96D9-012EB951048A}"/>
    <cellStyle name="Output 3 9" xfId="2084" xr:uid="{D64228D2-7CE8-4B28-A17D-1C18E8B72A9F}"/>
    <cellStyle name="Pattern" xfId="174" xr:uid="{43AD4B32-8041-43FE-80A7-7E4D7C18747D}"/>
    <cellStyle name="Pattern 2" xfId="434" xr:uid="{28A81C50-ED86-4269-872B-8A60548A4DFA}"/>
    <cellStyle name="Pattern 2 2" xfId="577" xr:uid="{44629451-40B4-4BC4-A58B-1232DF6452CB}"/>
    <cellStyle name="Pattern 2 2 10" xfId="3067" xr:uid="{5F093550-D0ED-4409-8E38-B5C6E0707698}"/>
    <cellStyle name="Pattern 2 2 11" xfId="4949" xr:uid="{15EDD8A3-61D2-4A46-ACE6-DE3ED41A33C2}"/>
    <cellStyle name="Pattern 2 2 12" xfId="5365" xr:uid="{879E6561-5348-4447-88EF-57B2EF826431}"/>
    <cellStyle name="Pattern 2 2 2" xfId="792" xr:uid="{1917EC5F-F2C0-4538-A8B5-FA66D1AD2078}"/>
    <cellStyle name="Pattern 2 2 2 10" xfId="5158" xr:uid="{353BBFAF-9986-434F-81FD-7282772D35AC}"/>
    <cellStyle name="Pattern 2 2 2 11" xfId="5369" xr:uid="{5CF92B4E-1CB4-42AD-BB72-6B96F7D4F5AC}"/>
    <cellStyle name="Pattern 2 2 2 2" xfId="1266" xr:uid="{8FAAE054-AB6F-426F-BB49-B7EF1D9B27EE}"/>
    <cellStyle name="Pattern 2 2 2 3" xfId="1506" xr:uid="{C86FE937-D75B-427F-9463-D1060F7B01AE}"/>
    <cellStyle name="Pattern 2 2 2 4" xfId="2496" xr:uid="{10F133E7-398B-4C01-837B-9F52B1A92843}"/>
    <cellStyle name="Pattern 2 2 2 5" xfId="2950" xr:uid="{9633E6E8-7285-4D81-BDFA-B8050B45E9D2}"/>
    <cellStyle name="Pattern 2 2 2 6" xfId="3368" xr:uid="{312519DB-B324-45E4-9E37-192AAC5F8C13}"/>
    <cellStyle name="Pattern 2 2 2 7" xfId="3782" xr:uid="{81BBD71A-BA01-4018-8A99-D1CF5019090F}"/>
    <cellStyle name="Pattern 2 2 2 8" xfId="4205" xr:uid="{2A3952C0-2F06-4BB5-B027-E833F791C6EA}"/>
    <cellStyle name="Pattern 2 2 2 9" xfId="3913" xr:uid="{D234407D-1C21-4035-8DB7-73E184A29635}"/>
    <cellStyle name="Pattern 2 2 3" xfId="1060" xr:uid="{7CEF78BC-6BE5-4ADD-8119-D008B1678014}"/>
    <cellStyle name="Pattern 2 2 4" xfId="1372" xr:uid="{B0141B5C-150F-4901-AF82-605C161216F9}"/>
    <cellStyle name="Pattern 2 2 5" xfId="2283" xr:uid="{9AFEB170-8C9C-42F8-8916-8FA581E4700F}"/>
    <cellStyle name="Pattern 2 2 6" xfId="2737" xr:uid="{B54952F2-CEDF-4A3B-ADDD-43829C409348}"/>
    <cellStyle name="Pattern 2 2 7" xfId="3154" xr:uid="{DE4F4B04-477B-48B8-B524-2462DC770CC4}"/>
    <cellStyle name="Pattern 2 2 8" xfId="3567" xr:uid="{FE5249AC-81E9-47FD-A314-9CDFCBA0793A}"/>
    <cellStyle name="Pattern 2 2 9" xfId="3992" xr:uid="{640DDBD4-C10F-48B2-BAF4-44FC5AB6965A}"/>
    <cellStyle name="Pattern 2 3" xfId="723" xr:uid="{516B13C1-0007-4BE0-9978-789860D87416}"/>
    <cellStyle name="Pattern 2 3 10" xfId="5089" xr:uid="{C73F6C05-8655-405D-8D79-559669B0F4B8}"/>
    <cellStyle name="Pattern 2 3 11" xfId="5357" xr:uid="{C7A34AB5-3164-4197-A425-C4375CDEB1C8}"/>
    <cellStyle name="Pattern 2 3 2" xfId="1197" xr:uid="{3982BEE2-44F8-49E5-A76C-6CA08F54DA20}"/>
    <cellStyle name="Pattern 2 3 3" xfId="1494" xr:uid="{B11243C5-FF74-445F-83C1-648170AFC5B5}"/>
    <cellStyle name="Pattern 2 3 4" xfId="2427" xr:uid="{3BF8BA34-12C8-42B0-AA40-CCDA66AADFEF}"/>
    <cellStyle name="Pattern 2 3 5" xfId="2881" xr:uid="{621E1AEA-E6E5-4662-8EAC-3B8BA194E7F7}"/>
    <cellStyle name="Pattern 2 3 6" xfId="3299" xr:uid="{2A055E27-98BB-434D-8722-9C8C12589176}"/>
    <cellStyle name="Pattern 2 3 7" xfId="3713" xr:uid="{67A603C7-705E-4091-BA54-E81C4416AB9D}"/>
    <cellStyle name="Pattern 2 3 8" xfId="4136" xr:uid="{CF5961F6-131D-4C66-92E4-104B8E2A190B}"/>
    <cellStyle name="Pattern 2 3 9" xfId="4422" xr:uid="{B11111D5-F714-4E7A-B574-15B9BF05EA80}"/>
    <cellStyle name="Pattern 3" xfId="283" xr:uid="{95F310EC-6A0B-4EB0-AFA2-652727A84B79}"/>
    <cellStyle name="Pattern 3 10" xfId="2171" xr:uid="{A02B34DB-0899-4BE8-8C05-0C7055BEBC58}"/>
    <cellStyle name="Pattern 3 11" xfId="1940" xr:uid="{28719251-146B-45D7-99FA-FDAB8E2AE9E2}"/>
    <cellStyle name="Pattern 3 12" xfId="3917" xr:uid="{C71ACD4A-788F-485D-8550-62F214A12F33}"/>
    <cellStyle name="Pattern 3 13" xfId="4745" xr:uid="{DE577948-E8A7-422F-9FFE-A7575E61045F}"/>
    <cellStyle name="Pattern 3 14" xfId="5265" xr:uid="{653262C5-BFB5-4CAE-8964-F20468E2725B}"/>
    <cellStyle name="Pattern 3 2" xfId="620" xr:uid="{4B970A8F-1440-4B39-8030-1B00BCE2384E}"/>
    <cellStyle name="Pattern 3 2 10" xfId="4306" xr:uid="{4948E361-C1F3-4247-B596-0E333982D4BC}"/>
    <cellStyle name="Pattern 3 2 11" xfId="4992" xr:uid="{BEBECD60-E621-475C-835B-AD779DCAAC3D}"/>
    <cellStyle name="Pattern 3 2 12" xfId="4805" xr:uid="{A9E356FA-A06A-4083-9BFC-E1E951A6038C}"/>
    <cellStyle name="Pattern 3 2 2" xfId="835" xr:uid="{7D56EC9A-8220-44E4-A6D9-BFC453021884}"/>
    <cellStyle name="Pattern 3 2 2 10" xfId="5201" xr:uid="{D705C4E6-8F17-4E41-8685-37B2FE9CD53B}"/>
    <cellStyle name="Pattern 3 2 2 11" xfId="4722" xr:uid="{73A7E399-C494-4F25-8962-42683BA8BC5D}"/>
    <cellStyle name="Pattern 3 2 2 2" xfId="1309" xr:uid="{DAB5B3AB-540D-4B42-A893-CBCDBEB85C82}"/>
    <cellStyle name="Pattern 3 2 2 3" xfId="1383" xr:uid="{B571DE90-D120-4EF7-B136-A57EB44413EC}"/>
    <cellStyle name="Pattern 3 2 2 4" xfId="2539" xr:uid="{110C5C2C-58D4-4C22-A5C8-40EBFF32D63A}"/>
    <cellStyle name="Pattern 3 2 2 5" xfId="2993" xr:uid="{B3B36089-8822-4560-994C-DF69713D1D3F}"/>
    <cellStyle name="Pattern 3 2 2 6" xfId="3411" xr:uid="{81E2343F-C3D7-4A4A-8974-CEA3024D5529}"/>
    <cellStyle name="Pattern 3 2 2 7" xfId="3825" xr:uid="{EAE76611-A478-475D-91A1-20DD10E6026C}"/>
    <cellStyle name="Pattern 3 2 2 8" xfId="4248" xr:uid="{1A09F4A4-54C2-4E6A-977A-1A98B5558938}"/>
    <cellStyle name="Pattern 3 2 2 9" xfId="1942" xr:uid="{67414FEC-0836-477F-BFED-72BF79068881}"/>
    <cellStyle name="Pattern 3 2 3" xfId="1103" xr:uid="{5048DFC5-F5F4-4405-9C32-266304474144}"/>
    <cellStyle name="Pattern 3 2 4" xfId="1744" xr:uid="{EDB8C6CC-FEC6-40F4-A646-E01D047D51F3}"/>
    <cellStyle name="Pattern 3 2 5" xfId="2326" xr:uid="{8E31DF33-339D-4743-90F0-9BD6555B3B14}"/>
    <cellStyle name="Pattern 3 2 6" xfId="2780" xr:uid="{624A1A16-CCD6-40F5-9D7B-0F8A85D8EE4D}"/>
    <cellStyle name="Pattern 3 2 7" xfId="3197" xr:uid="{1510EE5A-EB43-4728-9E8F-073D10237641}"/>
    <cellStyle name="Pattern 3 2 8" xfId="3610" xr:uid="{87061F87-57D0-44AB-A437-54D7928C196A}"/>
    <cellStyle name="Pattern 3 2 9" xfId="4035" xr:uid="{41D98C1B-5F2F-42DD-83E7-372F3987E7F4}"/>
    <cellStyle name="Pattern 3 3" xfId="519" xr:uid="{76FF1343-BB3F-41F4-AB10-9B2BE976112C}"/>
    <cellStyle name="Pattern 3 3 10" xfId="3468" xr:uid="{14AEAD3E-3947-4458-8498-F6CE6870B096}"/>
    <cellStyle name="Pattern 3 3 11" xfId="4891" xr:uid="{6A20BE86-C9D9-4FCD-A7C4-DEB4E6F13D4E}"/>
    <cellStyle name="Pattern 3 3 12" xfId="5294" xr:uid="{99C97818-860F-4997-8CDF-F17E1941397B}"/>
    <cellStyle name="Pattern 3 3 2" xfId="734" xr:uid="{B3D461E9-C8EF-4DBB-AC48-55AB09C671A8}"/>
    <cellStyle name="Pattern 3 3 2 10" xfId="5100" xr:uid="{A2731DDE-DC13-48B0-A68D-9C113525422A}"/>
    <cellStyle name="Pattern 3 3 2 11" xfId="4819" xr:uid="{F666DB87-16F9-4018-9192-0F0F2836A729}"/>
    <cellStyle name="Pattern 3 3 2 2" xfId="1208" xr:uid="{95A0779C-D773-42F4-92F4-9FAFDC0BF3CE}"/>
    <cellStyle name="Pattern 3 3 2 3" xfId="1490" xr:uid="{566A04AF-50A2-4B12-A924-0323E155042D}"/>
    <cellStyle name="Pattern 3 3 2 4" xfId="2438" xr:uid="{274E6D34-1E5B-45A9-9FF6-383F7FB00892}"/>
    <cellStyle name="Pattern 3 3 2 5" xfId="2892" xr:uid="{284B360C-FFE0-40AF-9D0B-244C58D51E82}"/>
    <cellStyle name="Pattern 3 3 2 6" xfId="3310" xr:uid="{3A7BD13F-4A89-4148-8A1A-DF71094BB6C1}"/>
    <cellStyle name="Pattern 3 3 2 7" xfId="3724" xr:uid="{70BE70D7-8F70-442C-AB1A-719C6E0A581D}"/>
    <cellStyle name="Pattern 3 3 2 8" xfId="4147" xr:uid="{94847CEE-7DFD-4D86-9D77-2E1AA6D2F661}"/>
    <cellStyle name="Pattern 3 3 2 9" xfId="4494" xr:uid="{0CD9AB74-47AF-40C9-B6A3-B4F115FC3580}"/>
    <cellStyle name="Pattern 3 3 3" xfId="1002" xr:uid="{BE847B21-6492-4BD8-9670-B5EAC015839B}"/>
    <cellStyle name="Pattern 3 3 4" xfId="1619" xr:uid="{F5B11F07-B612-420E-9A84-00FF13C4A4E7}"/>
    <cellStyle name="Pattern 3 3 5" xfId="2225" xr:uid="{92753567-FD5C-4A9B-A805-5F079DCD7FC0}"/>
    <cellStyle name="Pattern 3 3 6" xfId="2679" xr:uid="{DAD19B1E-E3F0-48F2-BCCB-B43E79BAA386}"/>
    <cellStyle name="Pattern 3 3 7" xfId="3096" xr:uid="{DCA1587A-F06F-4FBB-8C71-DC04FABDF35F}"/>
    <cellStyle name="Pattern 3 3 8" xfId="3509" xr:uid="{4AA73C29-D7FF-457E-8B0B-2E5EE915B8C2}"/>
    <cellStyle name="Pattern 3 3 9" xfId="3934" xr:uid="{2E1FE7D9-0057-46E3-AC1C-10153A01BDD5}"/>
    <cellStyle name="Pattern 3 4" xfId="633" xr:uid="{D4D8FBC0-B757-4787-A75D-CF8D80B18774}"/>
    <cellStyle name="Pattern 3 4 10" xfId="2614" xr:uid="{4AA5860B-8FC1-408E-940E-24E0B257B9EE}"/>
    <cellStyle name="Pattern 3 4 11" xfId="5005" xr:uid="{7916F850-1FD1-49CD-8A40-E55F605DBA9E}"/>
    <cellStyle name="Pattern 3 4 12" xfId="5422" xr:uid="{17B71B6E-3957-4EC7-BE07-5555177C2FE2}"/>
    <cellStyle name="Pattern 3 4 2" xfId="848" xr:uid="{4A280688-D9FE-4798-8FF8-F3CC04CFC5A2}"/>
    <cellStyle name="Pattern 3 4 2 10" xfId="5214" xr:uid="{0924C7C0-4625-4C8A-84E1-AEE9201DB155}"/>
    <cellStyle name="Pattern 3 4 2 11" xfId="4835" xr:uid="{F3FC6712-8E92-4597-BCD3-D9B8016F0C09}"/>
    <cellStyle name="Pattern 3 4 2 2" xfId="1322" xr:uid="{37FC5582-076D-45C1-A998-14C7835AC0CF}"/>
    <cellStyle name="Pattern 3 4 2 3" xfId="1771" xr:uid="{A2892F87-BF44-4CA0-BDE2-84459D24A4FB}"/>
    <cellStyle name="Pattern 3 4 2 4" xfId="2552" xr:uid="{5BE95B0D-C40A-4F71-A3A5-DF534B2E248A}"/>
    <cellStyle name="Pattern 3 4 2 5" xfId="3006" xr:uid="{2A5CAF5A-D971-43F9-8106-8CCC7438294C}"/>
    <cellStyle name="Pattern 3 4 2 6" xfId="3424" xr:uid="{5BFB57F5-646C-4369-9025-2532A24F8571}"/>
    <cellStyle name="Pattern 3 4 2 7" xfId="3838" xr:uid="{AC8DAB83-8BD1-4401-BCD9-288F4784C2FF}"/>
    <cellStyle name="Pattern 3 4 2 8" xfId="4261" xr:uid="{D65FE77B-8F56-4B84-8100-BDE60684C701}"/>
    <cellStyle name="Pattern 3 4 2 9" xfId="4498" xr:uid="{313DF81A-6C0A-4A49-BDEB-B22F11F4BF23}"/>
    <cellStyle name="Pattern 3 4 3" xfId="1116" xr:uid="{DEA36F18-F908-4B6D-BBF9-61263C26B28B}"/>
    <cellStyle name="Pattern 3 4 4" xfId="1520" xr:uid="{F2710DF2-74E6-4E2E-BA08-B1DFB53BF273}"/>
    <cellStyle name="Pattern 3 4 5" xfId="2339" xr:uid="{2863780C-B046-41AC-AD5F-498CA603227B}"/>
    <cellStyle name="Pattern 3 4 6" xfId="2793" xr:uid="{1DFB766B-716F-4420-9F54-BE3BF7506DB7}"/>
    <cellStyle name="Pattern 3 4 7" xfId="3210" xr:uid="{08217D46-0953-4E1F-B0DA-80FB3CE1CAAE}"/>
    <cellStyle name="Pattern 3 4 8" xfId="3623" xr:uid="{D16FDC25-644C-49D5-9720-E7A5E48AB499}"/>
    <cellStyle name="Pattern 3 4 9" xfId="4048" xr:uid="{FAC174C9-FC78-4509-880B-D5A1B78ED6BC}"/>
    <cellStyle name="Pattern 3 5" xfId="958" xr:uid="{5D613BE5-53BE-4354-B5F1-9465314F12CF}"/>
    <cellStyle name="Pattern 3 6" xfId="1384" xr:uid="{9D206C02-CF61-4E4A-8F8D-B1B90B358BAA}"/>
    <cellStyle name="Pattern 3 7" xfId="2046" xr:uid="{A21DD6D2-FE3F-4943-9E48-C17DDE15C967}"/>
    <cellStyle name="Pattern 3 8" xfId="1823" xr:uid="{2ED74F8F-A6D0-47D3-8A18-538C3ADBB8B2}"/>
    <cellStyle name="Pattern 3 9" xfId="2070" xr:uid="{7F4E64B9-B901-4AF4-954B-C4A73489A518}"/>
    <cellStyle name="Percent 2" xfId="175" xr:uid="{5743DA0F-FD0A-4792-A1D8-702270D51E3A}"/>
    <cellStyle name="Percent 2 2" xfId="435" xr:uid="{9898A8BF-9052-4EE4-8718-F167827272E7}"/>
    <cellStyle name="Percent 2 2 2" xfId="2162" xr:uid="{F124F173-AFA6-489D-AF53-F4BB190383FB}"/>
    <cellStyle name="Percent 2 3" xfId="1963" xr:uid="{5386C7E1-8640-4F00-9485-A45F2E9122B8}"/>
    <cellStyle name="RowLevel_1 2" xfId="78" xr:uid="{32D02178-2ABF-40CB-8BFF-70A017243365}"/>
    <cellStyle name="Schlecht" xfId="176" xr:uid="{C538C48A-AC38-4EDB-BC2F-3D853080F0EE}"/>
    <cellStyle name="Shade" xfId="23" xr:uid="{E849B8D0-F8A7-44FE-ACC3-0642C34264C7}"/>
    <cellStyle name="Shade 2" xfId="177" xr:uid="{D0628454-8EAA-4B99-915A-B1E53E243572}"/>
    <cellStyle name="Shade 2 2" xfId="437" xr:uid="{70935452-8F65-48B8-AC4B-3A6DCB6B4AC6}"/>
    <cellStyle name="Shade 2 2 2" xfId="522" xr:uid="{0B819C83-97BE-49A0-AD1E-1A6C19D3D3CE}"/>
    <cellStyle name="Shade 2 2 2 10" xfId="3888" xr:uid="{7BA77317-9B82-4483-9EC8-547745010F86}"/>
    <cellStyle name="Shade 2 2 2 11" xfId="4894" xr:uid="{11B4141D-3B24-4B8A-AD96-094B71F6AD55}"/>
    <cellStyle name="Shade 2 2 2 12" xfId="5400" xr:uid="{8B3DFC54-5BA7-489C-9A6B-644FEFE05EF5}"/>
    <cellStyle name="Shade 2 2 2 2" xfId="737" xr:uid="{32C5B6C7-8F5C-4A75-82BD-F2AC474600CF}"/>
    <cellStyle name="Shade 2 2 2 2 10" xfId="5103" xr:uid="{0ADA4976-4622-41AF-BED5-8965E3A19EF0}"/>
    <cellStyle name="Shade 2 2 2 2 11" xfId="4590" xr:uid="{9BDCBB70-6871-441D-AB8B-8F5E32547730}"/>
    <cellStyle name="Shade 2 2 2 2 2" xfId="1211" xr:uid="{823AD568-E753-4F70-AB34-0D283B4979B4}"/>
    <cellStyle name="Shade 2 2 2 2 3" xfId="1438" xr:uid="{735706EC-6C0D-4F7C-9FC7-5402C0799FAF}"/>
    <cellStyle name="Shade 2 2 2 2 4" xfId="2441" xr:uid="{0E3F2B6E-B62D-45A1-A44A-DA7D288669E7}"/>
    <cellStyle name="Shade 2 2 2 2 5" xfId="2895" xr:uid="{83EEE85E-1B03-4DCE-967C-F4118128B73D}"/>
    <cellStyle name="Shade 2 2 2 2 6" xfId="3313" xr:uid="{ACC0AE6D-2B77-478F-9575-E06F915D44CF}"/>
    <cellStyle name="Shade 2 2 2 2 7" xfId="3727" xr:uid="{7FD3285C-55D7-4486-8783-C723985F55C2}"/>
    <cellStyle name="Shade 2 2 2 2 8" xfId="4150" xr:uid="{6972C9AD-B32F-445B-AECC-C3890D4F97C4}"/>
    <cellStyle name="Shade 2 2 2 2 9" xfId="4372" xr:uid="{2CBF93E3-97A5-4575-905A-BDDDF4FFA196}"/>
    <cellStyle name="Shade 2 2 2 3" xfId="1005" xr:uid="{3F94DDC7-9DBE-4922-ABC3-000480373E63}"/>
    <cellStyle name="Shade 2 2 2 4" xfId="1747" xr:uid="{F52CBB5B-9513-4964-B6D3-10CA62DEDD63}"/>
    <cellStyle name="Shade 2 2 2 5" xfId="2228" xr:uid="{12E9BAB8-49E1-4276-9F7C-FCBC721360AF}"/>
    <cellStyle name="Shade 2 2 2 6" xfId="2682" xr:uid="{1720D3B2-6B05-4C9A-9AF0-67DF05529D78}"/>
    <cellStyle name="Shade 2 2 2 7" xfId="3099" xr:uid="{FB299B99-CA38-4C69-81C7-F9371E909ACE}"/>
    <cellStyle name="Shade 2 2 2 8" xfId="3512" xr:uid="{E5746DF3-6656-4CE2-A02A-410CF707C424}"/>
    <cellStyle name="Shade 2 2 2 9" xfId="3937" xr:uid="{6DFC262B-D892-4FC6-B1C9-535A35F83924}"/>
    <cellStyle name="Shade 2 2 3" xfId="725" xr:uid="{E5236990-8CE1-465B-92BB-6236E274B5D3}"/>
    <cellStyle name="Shade 2 2 3 10" xfId="5091" xr:uid="{CD9ECA14-725B-44A6-A52E-9BB4757859DB}"/>
    <cellStyle name="Shade 2 2 3 11" xfId="5321" xr:uid="{C242A2F8-7290-4B5C-A4E4-48134F31FB14}"/>
    <cellStyle name="Shade 2 2 3 2" xfId="1199" xr:uid="{39404AB0-5B6B-4E18-AB7E-26ACAC84A92B}"/>
    <cellStyle name="Shade 2 2 3 3" xfId="1544" xr:uid="{F2036736-214C-479F-82EB-4400E1486042}"/>
    <cellStyle name="Shade 2 2 3 4" xfId="2429" xr:uid="{0E911AEA-2285-4BA2-8A6F-49121B10EB9C}"/>
    <cellStyle name="Shade 2 2 3 5" xfId="2883" xr:uid="{A35D67D4-B0D3-4331-AA5E-224462D2582B}"/>
    <cellStyle name="Shade 2 2 3 6" xfId="3301" xr:uid="{D7F7D9D4-52D8-4190-8D54-C80F2B75BCE0}"/>
    <cellStyle name="Shade 2 2 3 7" xfId="3715" xr:uid="{FE66D511-3B1C-4091-B949-5CE5DD5F5C28}"/>
    <cellStyle name="Shade 2 2 3 8" xfId="4138" xr:uid="{3462EEB5-E22F-4AEE-BF7B-BA0AE2A4F401}"/>
    <cellStyle name="Shade 2 2 3 9" xfId="4354" xr:uid="{FE85E587-84A2-4A98-A48A-3D3BF74D7ED7}"/>
    <cellStyle name="Shade 2 3" xfId="285" xr:uid="{E4062FAF-8378-44C3-B78C-03F0AFE5A677}"/>
    <cellStyle name="Shade 2 3 10" xfId="2641" xr:uid="{27FCC533-4D41-4D51-9021-B9F5EAC4F8EA}"/>
    <cellStyle name="Shade 2 3 11" xfId="2080" xr:uid="{0BE59169-1463-4D7D-83E7-03AC99657363}"/>
    <cellStyle name="Shade 2 3 12" xfId="4408" xr:uid="{8A3D5385-CA65-470C-982F-9139E6890009}"/>
    <cellStyle name="Shade 2 3 13" xfId="4747" xr:uid="{D711FDD3-E2A8-433E-B8B8-70D4EAB99F47}"/>
    <cellStyle name="Shade 2 3 14" xfId="5263" xr:uid="{BD1CD9B2-75C7-4ED9-AD7B-AB6F9C53E0C3}"/>
    <cellStyle name="Shade 2 3 2" xfId="622" xr:uid="{EF1E13FE-E389-47EA-9494-E6C9757FFF12}"/>
    <cellStyle name="Shade 2 3 2 10" xfId="4414" xr:uid="{69316B63-6BFC-47C0-B41E-277FD45991E4}"/>
    <cellStyle name="Shade 2 3 2 11" xfId="4994" xr:uid="{4FFA3BBF-3EEF-4E28-B1E6-EAF03D0C321F}"/>
    <cellStyle name="Shade 2 3 2 12" xfId="4842" xr:uid="{59FEB2D9-907F-439C-8516-7C5A74AF73C5}"/>
    <cellStyle name="Shade 2 3 2 2" xfId="837" xr:uid="{28646B67-6634-4A8B-A55C-A7760EA577E6}"/>
    <cellStyle name="Shade 2 3 2 2 10" xfId="5203" xr:uid="{CB6D2281-7029-4510-939E-AA3A363EC38E}"/>
    <cellStyle name="Shade 2 3 2 2 11" xfId="5391" xr:uid="{3B939B7B-34DA-4023-8C19-E5FF2E23CEB2}"/>
    <cellStyle name="Shade 2 3 2 2 2" xfId="1311" xr:uid="{6A6C3661-8D77-454E-A425-09DE937FC7CE}"/>
    <cellStyle name="Shade 2 3 2 2 3" xfId="1760" xr:uid="{AF7D528D-2843-458F-83A9-D7027448F74D}"/>
    <cellStyle name="Shade 2 3 2 2 4" xfId="2541" xr:uid="{7448E56C-47BF-4202-A81E-D2EBB9AC9B5C}"/>
    <cellStyle name="Shade 2 3 2 2 5" xfId="2995" xr:uid="{B6F7184A-9F87-491F-9BF4-97A0C18EE554}"/>
    <cellStyle name="Shade 2 3 2 2 6" xfId="3413" xr:uid="{DE0BEB01-A8B8-4C34-A464-CE7423A46B1F}"/>
    <cellStyle name="Shade 2 3 2 2 7" xfId="3827" xr:uid="{26A9F56F-835B-4500-8580-1ED162609229}"/>
    <cellStyle name="Shade 2 3 2 2 8" xfId="4250" xr:uid="{1D097634-1CD0-4D57-9226-16176F20081C}"/>
    <cellStyle name="Shade 2 3 2 2 9" xfId="3891" xr:uid="{0C7DAF82-D8DE-4A02-B6F6-F9D91FC5D378}"/>
    <cellStyle name="Shade 2 3 2 3" xfId="1105" xr:uid="{05507614-A412-4B9C-8D74-80EF66FE76B0}"/>
    <cellStyle name="Shade 2 3 2 4" xfId="1579" xr:uid="{4C65000B-ED8F-488E-AD7D-F135B3D1DD4C}"/>
    <cellStyle name="Shade 2 3 2 5" xfId="2328" xr:uid="{8C2601A8-55FE-4B5F-AEAC-4758A61237BA}"/>
    <cellStyle name="Shade 2 3 2 6" xfId="2782" xr:uid="{B062E00D-D030-4434-BCA9-3DD6613617D5}"/>
    <cellStyle name="Shade 2 3 2 7" xfId="3199" xr:uid="{9047C7C8-7164-4F6A-9298-A8999E9D0897}"/>
    <cellStyle name="Shade 2 3 2 8" xfId="3612" xr:uid="{9D783E3E-5737-4045-8242-A1CAA35731D4}"/>
    <cellStyle name="Shade 2 3 2 9" xfId="4037" xr:uid="{735A32E4-F5B1-4FE6-BE75-BB0A22349684}"/>
    <cellStyle name="Shade 2 3 3" xfId="651" xr:uid="{982CB720-0FA0-41A8-B92A-1551991AFA19}"/>
    <cellStyle name="Shade 2 3 3 10" xfId="4313" xr:uid="{E6281066-E9C6-4D1D-881C-F25668EA95E8}"/>
    <cellStyle name="Shade 2 3 3 11" xfId="5023" xr:uid="{A16BF090-B298-430B-8E13-47442DCAB371}"/>
    <cellStyle name="Shade 2 3 3 12" xfId="4580" xr:uid="{63EAFE7B-FC3F-4805-9F5A-B8273CC7D47F}"/>
    <cellStyle name="Shade 2 3 3 2" xfId="866" xr:uid="{F3644CB4-BCA6-4575-B09D-DEF74D7C7D9C}"/>
    <cellStyle name="Shade 2 3 3 2 10" xfId="5232" xr:uid="{6740A2B7-95C2-45F8-AC97-EFC96DF7BFBC}"/>
    <cellStyle name="Shade 2 3 3 2 11" xfId="4882" xr:uid="{77ACE3EF-2B10-4B22-B1E5-B12BCF8D3BC8}"/>
    <cellStyle name="Shade 2 3 3 2 2" xfId="1340" xr:uid="{1958CF68-551C-4600-8F83-B08071B275C6}"/>
    <cellStyle name="Shade 2 3 3 2 3" xfId="1789" xr:uid="{657FE14C-CA52-4217-8971-CB19630D9734}"/>
    <cellStyle name="Shade 2 3 3 2 4" xfId="2570" xr:uid="{52BA70C3-1524-430B-BE11-B894981AC29E}"/>
    <cellStyle name="Shade 2 3 3 2 5" xfId="3024" xr:uid="{D4940F53-7FE9-45B7-BD28-BDE389ED9257}"/>
    <cellStyle name="Shade 2 3 3 2 6" xfId="3442" xr:uid="{AC03FC08-E367-4C38-81F5-CBD3B501C660}"/>
    <cellStyle name="Shade 2 3 3 2 7" xfId="3856" xr:uid="{D14AEDCD-4C53-45C7-B9E9-59B229131DEB}"/>
    <cellStyle name="Shade 2 3 3 2 8" xfId="4279" xr:uid="{9886E392-ADC3-462E-A2CE-8138E349E795}"/>
    <cellStyle name="Shade 2 3 3 2 9" xfId="3894" xr:uid="{7A9A3C2A-ACDC-4B1C-86A7-3A3E9649884B}"/>
    <cellStyle name="Shade 2 3 3 3" xfId="1134" xr:uid="{3C606E92-9A0D-4161-92C2-3B9DA0F90AC8}"/>
    <cellStyle name="Shade 2 3 3 4" xfId="1412" xr:uid="{5E5FA7AF-4B2E-469B-86D0-09DD5D5BBB7F}"/>
    <cellStyle name="Shade 2 3 3 5" xfId="2357" xr:uid="{BC85B012-0FE3-4EBE-ABF9-FD4B6312C51B}"/>
    <cellStyle name="Shade 2 3 3 6" xfId="2811" xr:uid="{06245A56-731D-48DF-9C70-C6705109A40B}"/>
    <cellStyle name="Shade 2 3 3 7" xfId="3228" xr:uid="{E77DA0F4-67F3-449A-BAFF-9EDA398BA035}"/>
    <cellStyle name="Shade 2 3 3 8" xfId="3641" xr:uid="{47E58DBE-1925-4F88-A08E-EA3694384C2B}"/>
    <cellStyle name="Shade 2 3 3 9" xfId="4066" xr:uid="{4B27BC57-2E91-4390-B5FC-5992E8CDD47D}"/>
    <cellStyle name="Shade 2 3 4" xfId="565" xr:uid="{5A8B2FB8-2F84-46F7-BD32-24F7C26E37F8}"/>
    <cellStyle name="Shade 2 3 4 10" xfId="4442" xr:uid="{8A9F60FF-8BB6-4E66-8412-83FD69521B48}"/>
    <cellStyle name="Shade 2 3 4 11" xfId="4937" xr:uid="{DA5043BB-84E3-49E0-9DA3-C691C9DEDFB4}"/>
    <cellStyle name="Shade 2 3 4 12" xfId="5292" xr:uid="{CF52EEEE-752D-4123-BD8C-A103614A46F1}"/>
    <cellStyle name="Shade 2 3 4 2" xfId="780" xr:uid="{870FAF4E-36B6-4876-BE56-6A7EAC43A0E2}"/>
    <cellStyle name="Shade 2 3 4 2 10" xfId="5146" xr:uid="{CDD89443-8B32-46D4-B042-D7EEDC2E8C4D}"/>
    <cellStyle name="Shade 2 3 4 2 11" xfId="4628" xr:uid="{3D36F1F1-00AC-4F6B-92EF-D78FFEAFC408}"/>
    <cellStyle name="Shade 2 3 4 2 2" xfId="1254" xr:uid="{6C1CDF9E-4352-45E2-8AA2-EF138E2C2D75}"/>
    <cellStyle name="Shade 2 3 4 2 3" xfId="1480" xr:uid="{CF3EE04B-6E20-48A2-B5D3-B8B604738BD4}"/>
    <cellStyle name="Shade 2 3 4 2 4" xfId="2484" xr:uid="{813A59C6-7453-407A-A51B-CE80DE5ACF55}"/>
    <cellStyle name="Shade 2 3 4 2 5" xfId="2938" xr:uid="{C67A959A-A56C-496A-93BD-326ACA46B302}"/>
    <cellStyle name="Shade 2 3 4 2 6" xfId="3356" xr:uid="{C9A64F66-940E-48EF-8124-30744E0EB036}"/>
    <cellStyle name="Shade 2 3 4 2 7" xfId="3770" xr:uid="{FDF0532B-AF4A-41AC-AE12-208D7FF8F024}"/>
    <cellStyle name="Shade 2 3 4 2 8" xfId="4193" xr:uid="{EA8685AF-A0EA-4F89-B1F1-AE52B56CD0B1}"/>
    <cellStyle name="Shade 2 3 4 2 9" xfId="2211" xr:uid="{F8712D26-B64B-4638-AD8E-03CC792BB78F}"/>
    <cellStyle name="Shade 2 3 4 3" xfId="1048" xr:uid="{F4CE9589-D9D7-48FC-9F36-8C8A2E1AC04F}"/>
    <cellStyle name="Shade 2 3 4 4" xfId="1675" xr:uid="{42AF38EB-045A-44A4-829C-D5C3ADDA29C7}"/>
    <cellStyle name="Shade 2 3 4 5" xfId="2271" xr:uid="{A64CD8C5-E029-427B-8F08-A0849A1391F1}"/>
    <cellStyle name="Shade 2 3 4 6" xfId="2725" xr:uid="{B393BDAE-7C84-44BF-B084-99148FA33B35}"/>
    <cellStyle name="Shade 2 3 4 7" xfId="3142" xr:uid="{7A43DCC8-24B1-447B-8A4A-2E606A763D68}"/>
    <cellStyle name="Shade 2 3 4 8" xfId="3555" xr:uid="{1CF90E51-9048-48C0-AFAE-4AE93C992BA6}"/>
    <cellStyle name="Shade 2 3 4 9" xfId="3980" xr:uid="{FFEF4605-69FB-4FAF-B55D-020CFB341B62}"/>
    <cellStyle name="Shade 2 3 5" xfId="960" xr:uid="{5D5C02C2-1E4E-4CAE-9F41-DE8FA474D230}"/>
    <cellStyle name="Shade 2 3 6" xfId="1382" xr:uid="{5B00B547-BEBE-4FB1-B8C3-26C45BCA7292}"/>
    <cellStyle name="Shade 2 3 7" xfId="2048" xr:uid="{8A9502DE-9897-469A-A0E9-0983E5F011CF}"/>
    <cellStyle name="Shade 2 3 8" xfId="1975" xr:uid="{0D9F592B-EBD0-480D-ACCF-A83E33103D3F}"/>
    <cellStyle name="Shade 2 3 9" xfId="2176" xr:uid="{5EC2C653-A393-4771-BC2F-FC9C96D034BA}"/>
    <cellStyle name="Shade 3" xfId="436" xr:uid="{87BE24B7-0321-4A02-AB38-CA18B087514C}"/>
    <cellStyle name="Shade 3 2" xfId="576" xr:uid="{DDB14559-3E82-49BF-891C-72DBB00BC8B7}"/>
    <cellStyle name="Shade 3 2 10" xfId="1968" xr:uid="{3873BB77-4050-40B5-AFAC-43DFC80B1FE1}"/>
    <cellStyle name="Shade 3 2 11" xfId="4948" xr:uid="{377B89C1-64F3-4C4E-A6AF-3C25A02692A8}"/>
    <cellStyle name="Shade 3 2 12" xfId="4750" xr:uid="{C5D2EC32-E05C-4F47-A567-BF70AACE560B}"/>
    <cellStyle name="Shade 3 2 2" xfId="791" xr:uid="{55347467-3273-4DBC-83C9-6C60A62C7A11}"/>
    <cellStyle name="Shade 3 2 2 10" xfId="5157" xr:uid="{6C225909-F009-4E5C-B45C-DE1E1F4EA021}"/>
    <cellStyle name="Shade 3 2 2 11" xfId="4572" xr:uid="{34A68E99-8562-4635-98D7-50A5300E4487}"/>
    <cellStyle name="Shade 3 2 2 2" xfId="1265" xr:uid="{9AFF9EDB-6737-48EC-92AA-0B461191F339}"/>
    <cellStyle name="Shade 3 2 2 3" xfId="1559" xr:uid="{844C4E62-5B04-45F0-88C1-E2C50043CB2F}"/>
    <cellStyle name="Shade 3 2 2 4" xfId="2495" xr:uid="{2EB7BBAF-346B-4AAD-9895-FFB1E01B202E}"/>
    <cellStyle name="Shade 3 2 2 5" xfId="2949" xr:uid="{214F233F-CBAA-4BE5-8DE6-7C9D2C3B0687}"/>
    <cellStyle name="Shade 3 2 2 6" xfId="3367" xr:uid="{9AE6A1DC-50A9-4F0F-A6BD-5CC34DB8B971}"/>
    <cellStyle name="Shade 3 2 2 7" xfId="3781" xr:uid="{9CAEA3DC-EC55-47BE-89C7-20CB2F2E1156}"/>
    <cellStyle name="Shade 3 2 2 8" xfId="4204" xr:uid="{2EFCDE43-5226-4D8A-B9F5-9BD494E3B66B}"/>
    <cellStyle name="Shade 3 2 2 9" xfId="4371" xr:uid="{FED08A28-464A-4E03-9070-BAAD05503FF2}"/>
    <cellStyle name="Shade 3 2 3" xfId="1059" xr:uid="{C1B64970-6266-4011-B6AB-F95BE057A5B0}"/>
    <cellStyle name="Shade 3 2 4" xfId="1455" xr:uid="{9B147769-AE27-4652-8E4B-ED218AB81C69}"/>
    <cellStyle name="Shade 3 2 5" xfId="2282" xr:uid="{AB8C98D1-7090-4685-A396-AEE1A68892FF}"/>
    <cellStyle name="Shade 3 2 6" xfId="2736" xr:uid="{4D14A5B2-83C5-49C2-A918-AC4285D3B72B}"/>
    <cellStyle name="Shade 3 2 7" xfId="3153" xr:uid="{5361C68D-040A-4EF7-9B33-B5E1779C4F53}"/>
    <cellStyle name="Shade 3 2 8" xfId="3566" xr:uid="{86079B46-F2F9-4933-B20A-34A5BC04E21E}"/>
    <cellStyle name="Shade 3 2 9" xfId="3991" xr:uid="{BBD4B75F-0091-498C-954D-8BA214895872}"/>
    <cellStyle name="Shade 3 3" xfId="724" xr:uid="{483FA3A6-9F4C-4201-9FF7-CAAA5C5BF2AF}"/>
    <cellStyle name="Shade 3 3 10" xfId="5090" xr:uid="{FF06159B-793A-4F35-8604-F7F5D7DC2B06}"/>
    <cellStyle name="Shade 3 3 11" xfId="5425" xr:uid="{4C50FA88-1EC9-421B-A37D-C92269C6C73C}"/>
    <cellStyle name="Shade 3 3 2" xfId="1198" xr:uid="{254138AC-5EB2-4B1A-A4B2-66E018A05AC2}"/>
    <cellStyle name="Shade 3 3 3" xfId="1443" xr:uid="{F4EA68AF-55E7-47B5-95E2-110DCEF2758B}"/>
    <cellStyle name="Shade 3 3 4" xfId="2428" xr:uid="{6F3F4FD0-69DA-49F7-9B9B-7049BFFA0341}"/>
    <cellStyle name="Shade 3 3 5" xfId="2882" xr:uid="{3E90A50E-BFD4-4BA9-A653-705832ECD216}"/>
    <cellStyle name="Shade 3 3 6" xfId="3300" xr:uid="{F7C51558-C765-4B4F-8186-BF14CBEAD87D}"/>
    <cellStyle name="Shade 3 3 7" xfId="3714" xr:uid="{BA8DFD9B-AAFB-4EA8-93CE-A9A14FAF1F72}"/>
    <cellStyle name="Shade 3 3 8" xfId="4137" xr:uid="{D71689D8-A4C9-4728-9F29-709E37081AE3}"/>
    <cellStyle name="Shade 3 3 9" xfId="3073" xr:uid="{C87576B7-6943-441B-8E3B-C1BA9220E470}"/>
    <cellStyle name="Shade 4" xfId="284" xr:uid="{EB953D36-BF66-46E0-9596-5EF1795598C9}"/>
    <cellStyle name="Shade 4 10" xfId="2124" xr:uid="{1DDE55B7-766C-4929-A06C-5E37518C5B0B}"/>
    <cellStyle name="Shade 4 11" xfId="1845" xr:uid="{6F803183-B130-466D-A3D2-EC5B47335418}"/>
    <cellStyle name="Shade 4 12" xfId="4438" xr:uid="{7E8D9DED-5BBA-4562-88B6-84F46A87D8DC}"/>
    <cellStyle name="Shade 4 13" xfId="4746" xr:uid="{A687240F-C2F9-49CD-B14A-CBE01426B102}"/>
    <cellStyle name="Shade 4 14" xfId="4634" xr:uid="{6B0ED152-B722-4460-9F2C-E8E4C5B0E284}"/>
    <cellStyle name="Shade 4 2" xfId="43" xr:uid="{9BA786C0-DCF8-4424-A8B5-A1224CE3CE50}"/>
    <cellStyle name="Shade 4 2 2" xfId="621" xr:uid="{41EE2806-4D0E-4391-925A-DFD5DC735976}"/>
    <cellStyle name="Shade 4 2 2 10" xfId="4993" xr:uid="{E8178791-6BFA-402D-A9E0-04A9B15CF308}"/>
    <cellStyle name="Shade 4 2 2 11" xfId="4757" xr:uid="{75E78E7A-ABF8-4276-98BC-781A53A66392}"/>
    <cellStyle name="Shade 4 2 2 2" xfId="1104" xr:uid="{9828058A-9925-475C-A18E-4B3245466EBD}"/>
    <cellStyle name="Shade 4 2 2 3" xfId="1653" xr:uid="{D92F6C7F-6807-4032-8662-180CC9CDE512}"/>
    <cellStyle name="Shade 4 2 2 4" xfId="2327" xr:uid="{7E8FE550-3ACD-4834-A831-75C7C452D19E}"/>
    <cellStyle name="Shade 4 2 2 5" xfId="2781" xr:uid="{FA3E466D-7FBA-460B-B574-6A747391F230}"/>
    <cellStyle name="Shade 4 2 2 6" xfId="3198" xr:uid="{F5B3A74D-DE23-49B5-A0AB-3850C892E174}"/>
    <cellStyle name="Shade 4 2 2 7" xfId="3611" xr:uid="{097730E3-CD7F-445D-B13C-53E47BD22409}"/>
    <cellStyle name="Shade 4 2 2 8" xfId="4036" xr:uid="{AEB47982-D039-4E58-9CF5-A6CCCD67BB30}"/>
    <cellStyle name="Shade 4 2 2 9" xfId="3904" xr:uid="{14C5EB45-41C5-4365-AD23-B684CC642E5A}"/>
    <cellStyle name="Shade 4 2 3" xfId="836" xr:uid="{65945B8D-A9C1-4D21-B472-DE84DF17E87D}"/>
    <cellStyle name="Shade 4 2 3 10" xfId="5202" xr:uid="{ABB20CF3-C2AD-494B-9161-CD71A307824A}"/>
    <cellStyle name="Shade 4 2 3 11" xfId="5372" xr:uid="{148A7D25-6AD9-4DA5-9ADA-83267A9DAF8A}"/>
    <cellStyle name="Shade 4 2 3 2" xfId="1310" xr:uid="{69023C51-454B-44C5-BEE8-7962C8489024}"/>
    <cellStyle name="Shade 4 2 3 3" xfId="1759" xr:uid="{8A129390-7252-4008-9D10-A20074FCE125}"/>
    <cellStyle name="Shade 4 2 3 4" xfId="2540" xr:uid="{8CC39F8F-97A7-4997-BA53-966F498647A3}"/>
    <cellStyle name="Shade 4 2 3 5" xfId="2994" xr:uid="{5F97BD8D-A33B-4411-B761-6C1E1431D414}"/>
    <cellStyle name="Shade 4 2 3 6" xfId="3412" xr:uid="{12AFB061-8FF6-4526-853A-94A831735DE0}"/>
    <cellStyle name="Shade 4 2 3 7" xfId="3826" xr:uid="{4913991B-697F-4225-8663-0683E7DB82A1}"/>
    <cellStyle name="Shade 4 2 3 8" xfId="4249" xr:uid="{8AEAC0E2-7CBB-4F74-8C76-023B0065AE58}"/>
    <cellStyle name="Shade 4 2 3 9" xfId="4486" xr:uid="{7AD5436B-5E93-4EE3-91A1-8482A0B80E51}"/>
    <cellStyle name="Shade 4 3" xfId="650" xr:uid="{35E3DA42-9FA6-4C5F-9EC9-125225FA13A3}"/>
    <cellStyle name="Shade 4 3 10" xfId="4368" xr:uid="{A003E23E-FF02-4D83-9FDD-6E56250E6814}"/>
    <cellStyle name="Shade 4 3 11" xfId="5022" xr:uid="{B3881995-A6B9-44CC-BCC9-B5920F8C698C}"/>
    <cellStyle name="Shade 4 3 12" xfId="4672" xr:uid="{EBDD54A8-EA78-4E37-80F0-1343B5014176}"/>
    <cellStyle name="Shade 4 3 2" xfId="865" xr:uid="{0CCCCB93-CAF1-4478-8FD7-485BB4FB1CB6}"/>
    <cellStyle name="Shade 4 3 2 10" xfId="5231" xr:uid="{B6CB4B1A-A137-4EB5-BF1D-E84D615D7DCD}"/>
    <cellStyle name="Shade 4 3 2 11" xfId="4631" xr:uid="{F1060EF3-4A74-4D80-8ED0-BAFFEC275CF8}"/>
    <cellStyle name="Shade 4 3 2 2" xfId="1339" xr:uid="{DC736DF1-8C8E-4C44-9BCF-B9F9B52BA830}"/>
    <cellStyle name="Shade 4 3 2 3" xfId="1788" xr:uid="{995E9389-935C-426B-A07A-07C93A2B55EA}"/>
    <cellStyle name="Shade 4 3 2 4" xfId="2569" xr:uid="{77CEE303-5B5D-47A4-B6C3-3B70942CAC73}"/>
    <cellStyle name="Shade 4 3 2 5" xfId="3023" xr:uid="{768C0EA8-5866-46C9-9923-E4561B4B6F13}"/>
    <cellStyle name="Shade 4 3 2 6" xfId="3441" xr:uid="{97334318-F7E5-4527-8501-15A55F0F1F3B}"/>
    <cellStyle name="Shade 4 3 2 7" xfId="3855" xr:uid="{DE76CA0E-C77D-4194-AE48-C2D66BBD6604}"/>
    <cellStyle name="Shade 4 3 2 8" xfId="4278" xr:uid="{B2309D5D-9D85-4FDD-B872-B0B9AB97996D}"/>
    <cellStyle name="Shade 4 3 2 9" xfId="3893" xr:uid="{6D316D13-7375-4C3C-8295-181D80F528C6}"/>
    <cellStyle name="Shade 4 3 3" xfId="1133" xr:uid="{BE455EAF-34CB-43E7-AD45-AC2C8DD619EB}"/>
    <cellStyle name="Shade 4 3 4" xfId="1371" xr:uid="{E04B1BE2-227E-45E6-9CEA-A7C43EA8FCBD}"/>
    <cellStyle name="Shade 4 3 5" xfId="2356" xr:uid="{7D5387A3-A0C2-4046-9244-609CB9511749}"/>
    <cellStyle name="Shade 4 3 6" xfId="2810" xr:uid="{85162D01-6ADF-413E-B953-340C4A228223}"/>
    <cellStyle name="Shade 4 3 7" xfId="3227" xr:uid="{4A7620B5-4A33-4FEB-8E1E-D229A8285A88}"/>
    <cellStyle name="Shade 4 3 8" xfId="3640" xr:uid="{AC5DFDDB-D64A-4661-9FF4-6F530E56B269}"/>
    <cellStyle name="Shade 4 3 9" xfId="4065" xr:uid="{B32DE44E-9575-46A5-9865-74761573B6B0}"/>
    <cellStyle name="Shade 4 4" xfId="512" xr:uid="{EACB4E6F-8335-4AEF-B50B-19AD6984E16F}"/>
    <cellStyle name="Shade 4 4 10" xfId="2669" xr:uid="{A8A97ED7-3BBC-4B8F-9588-5C8F0D8B17B1}"/>
    <cellStyle name="Shade 4 4 11" xfId="4884" xr:uid="{5066A407-9115-40BB-8E21-19D54BEA8286}"/>
    <cellStyle name="Shade 4 4 12" xfId="5411" xr:uid="{363AD121-47CD-445D-8418-2522912DF2D5}"/>
    <cellStyle name="Shade 4 4 2" xfId="727" xr:uid="{6FA1D84B-6641-48AB-8FC3-20AA1A7FCBE9}"/>
    <cellStyle name="Shade 4 4 2 10" xfId="5093" xr:uid="{B0DA5BEA-DD65-4B0A-B27C-7D611F25A64E}"/>
    <cellStyle name="Shade 4 4 2 11" xfId="5374" xr:uid="{B65F196C-0F43-4B01-AF86-D8420915D1DF}"/>
    <cellStyle name="Shade 4 4 2 2" xfId="1201" xr:uid="{5978F244-2256-4389-9551-57BA091EAEFD}"/>
    <cellStyle name="Shade 4 4 2 3" xfId="1442" xr:uid="{7D608337-71C9-4EFF-AEFD-D7BD58F2CA10}"/>
    <cellStyle name="Shade 4 4 2 4" xfId="2431" xr:uid="{F9E2AD61-C61A-49E4-91C2-C97422D18381}"/>
    <cellStyle name="Shade 4 4 2 5" xfId="2885" xr:uid="{C293C003-19EF-48E5-B84D-63ECB3C644C6}"/>
    <cellStyle name="Shade 4 4 2 6" xfId="3303" xr:uid="{201679F3-467B-4435-9FFD-82AF43761776}"/>
    <cellStyle name="Shade 4 4 2 7" xfId="3717" xr:uid="{B5C98859-4790-4F33-9539-787D53735143}"/>
    <cellStyle name="Shade 4 4 2 8" xfId="4140" xr:uid="{299A67EB-6575-403C-BB47-B000F3C86C62}"/>
    <cellStyle name="Shade 4 4 2 9" xfId="4436" xr:uid="{F4DA9C7A-9EFD-47F4-8A74-BCB2BF77B212}"/>
    <cellStyle name="Shade 4 4 3" xfId="995" xr:uid="{48F89D87-DBF7-4B90-A81A-D0A551A02E95}"/>
    <cellStyle name="Shade 4 4 4" xfId="1702" xr:uid="{08D7F4D4-A0D3-47C5-B9C9-89ADFD6E45A6}"/>
    <cellStyle name="Shade 4 4 5" xfId="2218" xr:uid="{939BF5BE-D637-4143-A176-63370FCE2965}"/>
    <cellStyle name="Shade 4 4 6" xfId="2672" xr:uid="{91ACA297-E1E8-4524-A58A-F6E7439D86B8}"/>
    <cellStyle name="Shade 4 4 7" xfId="3089" xr:uid="{B69A9E17-AA92-441F-B62B-639F2A697657}"/>
    <cellStyle name="Shade 4 4 8" xfId="3502" xr:uid="{54D0EE81-5BD2-4F91-9C82-C614A0BB2D6C}"/>
    <cellStyle name="Shade 4 4 9" xfId="3927" xr:uid="{131ECCB7-AA8B-4D0C-AAEE-963043B3D0C3}"/>
    <cellStyle name="Shade 4 5" xfId="959" xr:uid="{67C6BB43-907F-4F4F-84E8-F76C1BCB441D}"/>
    <cellStyle name="Shade 4 6" xfId="1465" xr:uid="{8623A203-C212-4F8C-BDEB-AF0792FEC145}"/>
    <cellStyle name="Shade 4 7" xfId="2047" xr:uid="{FBFBA0E4-5F93-4F0A-AE88-CB4F0D03908E}"/>
    <cellStyle name="Shade 4 8" xfId="2089" xr:uid="{DCCEE34D-E9F8-4D3D-B691-29434EC3F9CD}"/>
    <cellStyle name="Shade 4 9" xfId="2179" xr:uid="{8D6926B0-878C-4D39-A19D-31FC13A5E88F}"/>
    <cellStyle name="Shade 5" xfId="75" xr:uid="{C52D3909-D38A-4AC5-9ABF-A5762043ACEF}"/>
    <cellStyle name="Shade 5 2" xfId="920" xr:uid="{AC4EF047-763D-4137-9A63-A0E766BC5E70}"/>
    <cellStyle name="Shade 5 3" xfId="1890" xr:uid="{1F7717B7-ACE9-4A8C-88EF-14EC32275D9A}"/>
    <cellStyle name="Shade 5 4" xfId="1953" xr:uid="{0DF64C48-4D9E-4577-BF80-42D0741AB453}"/>
    <cellStyle name="Shade 5 5" xfId="4623" xr:uid="{65F1F136-06A6-4CBC-A64D-87DF4685BB1A}"/>
    <cellStyle name="Shade_B_border2" xfId="178" xr:uid="{EF05CCC1-C37D-45E0-B76A-2514A5638CB6}"/>
    <cellStyle name="Standard 2" xfId="42" xr:uid="{AAA81EEA-7402-4FB3-9841-08327FA56724}"/>
    <cellStyle name="Standard 2 2" xfId="397" xr:uid="{57A2CDA7-66B5-4255-9743-25F3E8FDE23A}"/>
    <cellStyle name="Standard 2 2 2" xfId="507" xr:uid="{B5F12935-D178-4B19-89F0-95A18F0836E7}"/>
    <cellStyle name="Standard 2 3" xfId="506" xr:uid="{4F5A343C-0B7E-4BDF-B8D2-7BFC7AC5DD37}"/>
    <cellStyle name="Title 2" xfId="179" xr:uid="{5704595B-7444-4753-9E1F-52A605873FB0}"/>
    <cellStyle name="Title 3" xfId="238" xr:uid="{4B8C7DB6-DF57-47DC-8973-45CF622E7EC6}"/>
    <cellStyle name="Total 2" xfId="180" xr:uid="{B5199D64-A1DE-4414-A32B-1FB1A2B43ECD}"/>
    <cellStyle name="Total 2 10" xfId="2096" xr:uid="{6A6FA8EC-4E2B-4E28-8E2B-25604B0FBBFA}"/>
    <cellStyle name="Total 2 11" xfId="4437" xr:uid="{CF73A91F-5FC4-4315-8EFF-09E04268222C}"/>
    <cellStyle name="Total 2 12" xfId="4674" xr:uid="{C2957E52-6CDF-4AF7-B3EC-EB7E1B4BF422}"/>
    <cellStyle name="Total 2 13" xfId="5277" xr:uid="{0130D4DE-6B8D-463B-8579-6B074B3B1D0A}"/>
    <cellStyle name="Total 2 2" xfId="567" xr:uid="{11F850FE-A31C-4215-9B5C-041055D3C315}"/>
    <cellStyle name="Total 2 2 10" xfId="4396" xr:uid="{94ABEC62-DDA5-4E8D-A93D-340CE40BBC2C}"/>
    <cellStyle name="Total 2 2 11" xfId="4939" xr:uid="{AECE99E7-80DD-4027-A723-61F336C4264A}"/>
    <cellStyle name="Total 2 2 12" xfId="5343" xr:uid="{72916B74-8296-4F64-9E80-D32E498C4E77}"/>
    <cellStyle name="Total 2 2 2" xfId="782" xr:uid="{7CF3FD12-B4A7-48C8-9BA7-F70F94097C4F}"/>
    <cellStyle name="Total 2 2 2 10" xfId="5148" xr:uid="{166E8F04-93DD-40A1-84B3-43C2D4A152E9}"/>
    <cellStyle name="Total 2 2 2 11" xfId="4629" xr:uid="{D2346BF7-1321-43DC-8395-0CA4ECD119C1}"/>
    <cellStyle name="Total 2 2 2 2" xfId="1256" xr:uid="{9A1E9790-373B-4B62-B6C7-321F5464400C}"/>
    <cellStyle name="Total 2 2 2 3" xfId="1479" xr:uid="{750BE100-B453-4353-9432-522643BE59E2}"/>
    <cellStyle name="Total 2 2 2 4" xfId="2486" xr:uid="{650BAE87-B68B-4EFC-ABAC-DA315EE41607}"/>
    <cellStyle name="Total 2 2 2 5" xfId="2940" xr:uid="{AEA9ECBD-0797-45D8-9C0D-E2A40D05605F}"/>
    <cellStyle name="Total 2 2 2 6" xfId="3358" xr:uid="{A95BC83B-A50A-4784-AA3B-13D5873FAC7E}"/>
    <cellStyle name="Total 2 2 2 7" xfId="3772" xr:uid="{0359B364-C8B9-48AE-B4DD-6F5062B23A67}"/>
    <cellStyle name="Total 2 2 2 8" xfId="4195" xr:uid="{31DDAA3B-D915-4555-8180-F45F32947C4C}"/>
    <cellStyle name="Total 2 2 2 9" xfId="4345" xr:uid="{B7B8BED4-1F62-4D0E-8118-41430C4D3AB1}"/>
    <cellStyle name="Total 2 2 3" xfId="1050" xr:uid="{CC0FA44A-027C-45E8-868C-F9B16EB3CE38}"/>
    <cellStyle name="Total 2 2 4" xfId="1618" xr:uid="{C961372A-9D7A-4058-BD62-F0883F872B5C}"/>
    <cellStyle name="Total 2 2 5" xfId="2273" xr:uid="{997F7724-2C07-4CCC-B4BE-6736643CC712}"/>
    <cellStyle name="Total 2 2 6" xfId="2727" xr:uid="{60B7EB5B-B995-43BD-99EB-A7DF190AA4FB}"/>
    <cellStyle name="Total 2 2 7" xfId="3144" xr:uid="{3889BA7E-7C66-4F25-81A2-1B1A383595A2}"/>
    <cellStyle name="Total 2 2 8" xfId="3557" xr:uid="{43CE157E-D0CF-4707-8D54-7EFAF6E2B3A1}"/>
    <cellStyle name="Total 2 2 9" xfId="3982" xr:uid="{0A09363C-5A31-46CA-B41E-8DBE9849F7D2}"/>
    <cellStyle name="Total 2 3" xfId="628" xr:uid="{55627257-95DF-4655-8818-32227CDA6267}"/>
    <cellStyle name="Total 2 3 10" xfId="2065" xr:uid="{6192EBB2-7889-4858-9765-B9F9C794C87D}"/>
    <cellStyle name="Total 2 3 11" xfId="5000" xr:uid="{988865FD-8C6E-4EE1-A7D5-12CC0D778E04}"/>
    <cellStyle name="Total 2 3 12" xfId="5302" xr:uid="{4FB8730C-F819-4A02-AB07-C346C9C4B58C}"/>
    <cellStyle name="Total 2 3 2" xfId="843" xr:uid="{3AEE1952-3493-4EAA-A8A1-5A85E5226B74}"/>
    <cellStyle name="Total 2 3 2 10" xfId="5209" xr:uid="{4580587E-B7E2-48CC-8EB0-41582A938A53}"/>
    <cellStyle name="Total 2 3 2 11" xfId="4591" xr:uid="{B68C4BD6-D112-4276-A216-9531F34431E1}"/>
    <cellStyle name="Total 2 3 2 2" xfId="1317" xr:uid="{EE40DB1A-7A77-420D-B629-5DB19ABFE657}"/>
    <cellStyle name="Total 2 3 2 3" xfId="1766" xr:uid="{32A26998-C8EA-4E0C-9ED9-2C192C7F8564}"/>
    <cellStyle name="Total 2 3 2 4" xfId="2547" xr:uid="{ECE3775E-8056-46A4-A9F5-E07D369CAA8E}"/>
    <cellStyle name="Total 2 3 2 5" xfId="3001" xr:uid="{B17561B6-AC05-4E23-B7CE-6AA93474BE7A}"/>
    <cellStyle name="Total 2 3 2 6" xfId="3419" xr:uid="{90F78252-9C50-42DF-88C1-06565B5734FE}"/>
    <cellStyle name="Total 2 3 2 7" xfId="3833" xr:uid="{E1504BE8-F4FA-4632-A282-910921E6C402}"/>
    <cellStyle name="Total 2 3 2 8" xfId="4256" xr:uid="{66B6C981-D99D-442A-8640-439B408487FF}"/>
    <cellStyle name="Total 2 3 2 9" xfId="4373" xr:uid="{9DCAC4EF-FDFA-44E3-8A01-3FA5F355722C}"/>
    <cellStyle name="Total 2 3 3" xfId="1111" xr:uid="{93326FA8-275C-41B1-85F0-DE055EE7D437}"/>
    <cellStyle name="Total 2 3 4" xfId="1617" xr:uid="{B36758A2-917A-4EFA-A755-765207A21401}"/>
    <cellStyle name="Total 2 3 5" xfId="2334" xr:uid="{580C13AE-925A-4EF2-956A-6B9636A3D7F1}"/>
    <cellStyle name="Total 2 3 6" xfId="2788" xr:uid="{0C9F6368-E1E5-4B04-AD64-BC29108B9076}"/>
    <cellStyle name="Total 2 3 7" xfId="3205" xr:uid="{A30D5D1D-5FCA-4DF8-90DF-82747A3F5D0C}"/>
    <cellStyle name="Total 2 3 8" xfId="3618" xr:uid="{3AC6B0F0-2A44-4F45-9BB2-D9AC1C9CA631}"/>
    <cellStyle name="Total 2 3 9" xfId="4043" xr:uid="{A0EFCF4E-E8D4-4D87-A008-F3E9971E5254}"/>
    <cellStyle name="Total 2 4" xfId="516" xr:uid="{0B73846E-22CE-476B-B20B-D050F8EAE4E3}"/>
    <cellStyle name="Total 2 4 10" xfId="2133" xr:uid="{70458EC9-A2E9-4778-AEC2-0767A841D2F6}"/>
    <cellStyle name="Total 2 4 11" xfId="4888" xr:uid="{AEB257B7-158A-41E7-8100-A83DB95564CF}"/>
    <cellStyle name="Total 2 4 12" xfId="4651" xr:uid="{11A85157-E3E6-4DC3-A4F7-BE6FBEC69C32}"/>
    <cellStyle name="Total 2 4 2" xfId="731" xr:uid="{A45BEE70-BC05-4004-B43B-56651BC1E1F7}"/>
    <cellStyle name="Total 2 4 2 10" xfId="5097" xr:uid="{74096A09-169E-423F-B8FF-7D564796B6D5}"/>
    <cellStyle name="Total 2 4 2 11" xfId="4768" xr:uid="{BC64D0DE-A179-4CB8-AF5F-D907906AACDE}"/>
    <cellStyle name="Total 2 4 2 2" xfId="1205" xr:uid="{7A6F08FA-1C09-406B-8DB7-2E4EBC038769}"/>
    <cellStyle name="Total 2 4 2 3" xfId="1542" xr:uid="{DD64292E-6E0D-4210-8CA5-5238B8BB988D}"/>
    <cellStyle name="Total 2 4 2 4" xfId="2435" xr:uid="{F7A16612-AFB6-49FA-AA68-669B0094DF25}"/>
    <cellStyle name="Total 2 4 2 5" xfId="2889" xr:uid="{2E96C041-0F6C-4FFF-9589-17A0E6969F08}"/>
    <cellStyle name="Total 2 4 2 6" xfId="3307" xr:uid="{7DBBD150-18DD-4339-9DF9-10F18E25BADD}"/>
    <cellStyle name="Total 2 4 2 7" xfId="3721" xr:uid="{7663E536-4FA5-4444-8F33-0962FA186E6C}"/>
    <cellStyle name="Total 2 4 2 8" xfId="4144" xr:uid="{EAC64F6B-8AF1-4FF9-A5F8-6E994A23ED0B}"/>
    <cellStyle name="Total 2 4 2 9" xfId="1855" xr:uid="{9EC85634-F10D-4EC0-B51F-3317585DA406}"/>
    <cellStyle name="Total 2 4 3" xfId="999" xr:uid="{5094BE0F-C131-4224-9A2A-203F58291804}"/>
    <cellStyle name="Total 2 4 4" xfId="1528" xr:uid="{B1D24B1A-D937-425B-8087-48465D6E763B}"/>
    <cellStyle name="Total 2 4 5" xfId="2222" xr:uid="{58E143C4-0416-46CE-A7FC-17F5A119BDD7}"/>
    <cellStyle name="Total 2 4 6" xfId="2676" xr:uid="{FE30D1F1-D095-47EE-9C8C-6F2847CEFDF4}"/>
    <cellStyle name="Total 2 4 7" xfId="3093" xr:uid="{5A133229-179C-4888-B280-E953F9C4192D}"/>
    <cellStyle name="Total 2 4 8" xfId="3506" xr:uid="{56473ECA-0A89-43A2-95D2-9357C14DCA90}"/>
    <cellStyle name="Total 2 4 9" xfId="3931" xr:uid="{A0072BE1-F6A1-43C1-B24A-66C89323743D}"/>
    <cellStyle name="Total 2 5" xfId="687" xr:uid="{0B1DB48D-FB38-4812-B642-6A272B45395A}"/>
    <cellStyle name="Total 2 5 10" xfId="5058" xr:uid="{FA0F1B41-9BE2-4E06-B775-61269493F3F8}"/>
    <cellStyle name="Total 2 5 11" xfId="5322" xr:uid="{2C123032-DFFA-4038-A7DC-8F1452899D04}"/>
    <cellStyle name="Total 2 5 2" xfId="1169" xr:uid="{0104783A-720B-41CB-B5D5-B8D3BE293D6D}"/>
    <cellStyle name="Total 2 5 3" xfId="1604" xr:uid="{757C771F-3B8A-4BF3-8B44-3C12F448CD63}"/>
    <cellStyle name="Total 2 5 4" xfId="2392" xr:uid="{A136BB55-D97F-440A-841F-A00D9845336F}"/>
    <cellStyle name="Total 2 5 5" xfId="2847" xr:uid="{899AF3CB-80D0-4505-9963-FF28053F9EF9}"/>
    <cellStyle name="Total 2 5 6" xfId="3263" xr:uid="{B134C0ED-0B1C-4F7C-B2FD-22644E032357}"/>
    <cellStyle name="Total 2 5 7" xfId="3677" xr:uid="{BAFFDF00-BD42-4EF7-8F81-8015C5DC4864}"/>
    <cellStyle name="Total 2 5 8" xfId="4102" xr:uid="{3FA920B9-1E2E-4416-A987-7498CE5CA8D2}"/>
    <cellStyle name="Total 2 5 9" xfId="2005" xr:uid="{B955EDDC-E172-41C2-B55A-658833A054D1}"/>
    <cellStyle name="Total 2 6" xfId="930" xr:uid="{FEA7B1B0-8A3D-4CE7-9858-5C462516956F}"/>
    <cellStyle name="Total 2 7" xfId="1967" xr:uid="{CBA454E6-4756-4AA6-8B09-6A5CF82778A4}"/>
    <cellStyle name="Total 2 8" xfId="1955" xr:uid="{E3C7D45B-4FE1-4BCE-A16A-BBA25BEDEF64}"/>
    <cellStyle name="Total 2 9" xfId="1991" xr:uid="{9E93642D-A400-46A0-9667-F2C5DEC795A8}"/>
    <cellStyle name="Total 3" xfId="239" xr:uid="{6BC0AED2-07F3-4E40-9F94-744FF2FF4947}"/>
    <cellStyle name="Total 3 10" xfId="2216" xr:uid="{A298763A-E4FE-4E6B-91B5-835A12A6F05F}"/>
    <cellStyle name="Total 3 11" xfId="4473" xr:uid="{A15FDC6C-4540-4CA0-AAA4-A799A7C09BC6}"/>
    <cellStyle name="Total 3 12" xfId="4706" xr:uid="{CED4EEBD-3601-45EA-B70A-F722579DC036}"/>
    <cellStyle name="Total 3 13" xfId="5275" xr:uid="{0755AF27-971C-41FD-BC36-2DC05373DC78}"/>
    <cellStyle name="Total 3 2" xfId="591" xr:uid="{64A6C80E-0A2F-4261-A8AD-E8E579DF4556}"/>
    <cellStyle name="Total 3 2 10" xfId="2193" xr:uid="{D715F6EF-30CE-4E35-9735-3295BA5906FE}"/>
    <cellStyle name="Total 3 2 11" xfId="4963" xr:uid="{3F5A63EA-2A7B-479A-8B40-C1A3675B0A84}"/>
    <cellStyle name="Total 3 2 12" xfId="5305" xr:uid="{AA907470-B4AC-4ADF-900B-AF1F84FACF21}"/>
    <cellStyle name="Total 3 2 2" xfId="806" xr:uid="{C2536416-E382-410A-9BA5-D478EFE80796}"/>
    <cellStyle name="Total 3 2 2 10" xfId="5172" xr:uid="{FC41C30D-62B0-4E14-A380-0ED20443F788}"/>
    <cellStyle name="Total 3 2 2 11" xfId="4752" xr:uid="{76C76079-E406-4196-9D38-B78FDC19A6F7}"/>
    <cellStyle name="Total 3 2 2 2" xfId="1280" xr:uid="{A774F0C9-CA06-4B98-829F-B42115081F85}"/>
    <cellStyle name="Total 3 2 2 3" xfId="1571" xr:uid="{761A849E-05FB-4457-8577-07703DB0A09D}"/>
    <cellStyle name="Total 3 2 2 4" xfId="2510" xr:uid="{9FA354F6-69EB-480B-BAC9-565A5F62B7E4}"/>
    <cellStyle name="Total 3 2 2 5" xfId="2964" xr:uid="{3A23A9F0-4DA2-491F-AA56-34DAC2A83EC5}"/>
    <cellStyle name="Total 3 2 2 6" xfId="3382" xr:uid="{B230BE6C-397E-4A8F-85BD-8D4ED99BE61C}"/>
    <cellStyle name="Total 3 2 2 7" xfId="3796" xr:uid="{96CDC859-A551-4C71-9039-CB641774D373}"/>
    <cellStyle name="Total 3 2 2 8" xfId="4219" xr:uid="{FB25262D-D7DA-4EBE-BD93-A97FA9796285}"/>
    <cellStyle name="Total 3 2 2 9" xfId="4508" xr:uid="{1A8736C4-F1AF-4292-94D0-C08990A24993}"/>
    <cellStyle name="Total 3 2 3" xfId="1074" xr:uid="{6129BA8D-8F01-46E1-8512-5F57C5574C90}"/>
    <cellStyle name="Total 3 2 4" xfId="1703" xr:uid="{F887EE7B-F249-4D80-B080-492C991A5D4D}"/>
    <cellStyle name="Total 3 2 5" xfId="2297" xr:uid="{0C911A7E-3632-4410-8E47-FA4DD45E5E54}"/>
    <cellStyle name="Total 3 2 6" xfId="2751" xr:uid="{E0D19853-573D-4935-B3EA-DB1E78A60332}"/>
    <cellStyle name="Total 3 2 7" xfId="3168" xr:uid="{9562798C-D09E-44A6-977C-EEEC410CAA73}"/>
    <cellStyle name="Total 3 2 8" xfId="3581" xr:uid="{26673475-120B-490A-9237-71DCEB5C2FBC}"/>
    <cellStyle name="Total 3 2 9" xfId="4006" xr:uid="{79D146CD-C6AB-40BF-AAFA-27C932F8AE3C}"/>
    <cellStyle name="Total 3 3" xfId="554" xr:uid="{49907836-BD15-40CC-BC43-94553BD3BC8D}"/>
    <cellStyle name="Total 3 3 10" xfId="4430" xr:uid="{1CB03573-9965-4DF9-A4A9-4D5DEDABDC9B}"/>
    <cellStyle name="Total 3 3 11" xfId="4926" xr:uid="{BD1D2C3C-42F6-4759-B6E1-B015B3843443}"/>
    <cellStyle name="Total 3 3 12" xfId="5351" xr:uid="{FDAD6A36-94FF-42AC-843D-1BF3957280A1}"/>
    <cellStyle name="Total 3 3 2" xfId="769" xr:uid="{F8D360B9-369E-44C5-92D2-240D83ED0B97}"/>
    <cellStyle name="Total 3 3 2 10" xfId="5135" xr:uid="{A41CAD9A-13CE-4241-B386-DD54DF960271}"/>
    <cellStyle name="Total 3 3 2 11" xfId="4800" xr:uid="{C058FC88-CE74-451E-8A60-40DF00BF834B}"/>
    <cellStyle name="Total 3 3 2 2" xfId="1243" xr:uid="{7BAE8E3C-9528-43BF-B556-D9791B77A9A3}"/>
    <cellStyle name="Total 3 3 2 3" xfId="1432" xr:uid="{1B4E53DC-5CD5-4208-9C73-847F208D3902}"/>
    <cellStyle name="Total 3 3 2 4" xfId="2473" xr:uid="{58FCE206-5B89-4E0B-935B-3D9230AAB84A}"/>
    <cellStyle name="Total 3 3 2 5" xfId="2927" xr:uid="{3CFD6E12-D264-4692-890A-D0E01788CB99}"/>
    <cellStyle name="Total 3 3 2 6" xfId="3345" xr:uid="{E1FD63DE-0F7C-433D-8328-B7231A9F5F50}"/>
    <cellStyle name="Total 3 3 2 7" xfId="3759" xr:uid="{2BBA0BCF-8081-4062-8283-00BEFA3E70F6}"/>
    <cellStyle name="Total 3 3 2 8" xfId="4182" xr:uid="{FF4E63C2-44C2-4FF0-B9D2-E9CC9805F7D0}"/>
    <cellStyle name="Total 3 3 2 9" xfId="4355" xr:uid="{F33C58BF-8686-495B-9E4E-D9571FA7BB1F}"/>
    <cellStyle name="Total 3 3 3" xfId="1037" xr:uid="{2564B4B0-C410-44F6-B3E3-D3565CD9E38A}"/>
    <cellStyle name="Total 3 3 4" xfId="1752" xr:uid="{0FB403E2-A0A0-4E88-895A-81642D18668A}"/>
    <cellStyle name="Total 3 3 5" xfId="2260" xr:uid="{C5D88787-C206-461C-BC77-7F6D12F50D7C}"/>
    <cellStyle name="Total 3 3 6" xfId="2714" xr:uid="{57314B5C-5E37-47FC-80D7-5E881E6CC55A}"/>
    <cellStyle name="Total 3 3 7" xfId="3131" xr:uid="{60D875B1-AEBE-4052-9114-10BFA3144FD0}"/>
    <cellStyle name="Total 3 3 8" xfId="3544" xr:uid="{A8C3F837-EF7E-4783-B11B-DC31C93E658E}"/>
    <cellStyle name="Total 3 3 9" xfId="3969" xr:uid="{2716F0BB-CAF9-4CBA-9BA8-B45A3A431388}"/>
    <cellStyle name="Total 3 4" xfId="595" xr:uid="{0DF4BCBD-F652-4701-949A-FE21EF72BDFF}"/>
    <cellStyle name="Total 3 4 10" xfId="4308" xr:uid="{7D4D9C0F-194D-4628-B14A-7ECD622F083C}"/>
    <cellStyle name="Total 3 4 11" xfId="4967" xr:uid="{23A3E7B6-2F79-4A73-9431-D933174F823D}"/>
    <cellStyle name="Total 3 4 12" xfId="5330" xr:uid="{316290F5-DBDC-4E9D-BAA1-9E25783A9247}"/>
    <cellStyle name="Total 3 4 2" xfId="810" xr:uid="{75492EF6-AB39-4B97-92C6-8CA3B6D9D3BF}"/>
    <cellStyle name="Total 3 4 2 10" xfId="5176" xr:uid="{3CF27EBC-6E79-4252-8AAA-30DCCD6F3371}"/>
    <cellStyle name="Total 3 4 2 11" xfId="4777" xr:uid="{1651FFAF-FE0E-46B9-BB2E-DF964593EF57}"/>
    <cellStyle name="Total 3 4 2 2" xfId="1284" xr:uid="{ADF4FC2F-C2FE-4639-91D6-A23D1F8CA7F4}"/>
    <cellStyle name="Total 3 4 2 3" xfId="1367" xr:uid="{188E5983-B001-4DBB-B87F-6166693384D6}"/>
    <cellStyle name="Total 3 4 2 4" xfId="2514" xr:uid="{C37EDC92-7307-44A0-A48E-62E7BB5C4ECA}"/>
    <cellStyle name="Total 3 4 2 5" xfId="2968" xr:uid="{9243F2EF-9DB0-4934-8E64-D0E750F3D108}"/>
    <cellStyle name="Total 3 4 2 6" xfId="3386" xr:uid="{AB32C005-9EDA-4450-8121-7DA25B31A957}"/>
    <cellStyle name="Total 3 4 2 7" xfId="3800" xr:uid="{8D6F110E-0F5C-4D99-9435-47912890EC9B}"/>
    <cellStyle name="Total 3 4 2 8" xfId="4223" xr:uid="{58FC6D90-AA83-4E47-A2DC-8837D8788F0D}"/>
    <cellStyle name="Total 3 4 2 9" xfId="4520" xr:uid="{7F6F3670-3572-488E-905C-AE71E549A7C5}"/>
    <cellStyle name="Total 3 4 3" xfId="1078" xr:uid="{10C4B5E9-7A5B-4D0B-9C88-13F70F810C83}"/>
    <cellStyle name="Total 3 4 4" xfId="1525" xr:uid="{35242302-D984-4F1D-B665-5A2B2C345DB6}"/>
    <cellStyle name="Total 3 4 5" xfId="2301" xr:uid="{8BDD6242-9AE6-4DCC-B3F8-F84826A563DF}"/>
    <cellStyle name="Total 3 4 6" xfId="2755" xr:uid="{F7E0C230-43D4-46BE-B17E-2F71B795B6A4}"/>
    <cellStyle name="Total 3 4 7" xfId="3172" xr:uid="{2CD03270-DAB6-4596-B1A1-632D224AB476}"/>
    <cellStyle name="Total 3 4 8" xfId="3585" xr:uid="{61F231FF-2E76-449E-840F-F664775CF15F}"/>
    <cellStyle name="Total 3 4 9" xfId="4010" xr:uid="{8E27FDC0-BAC3-4BCF-9725-9B6B9F219F44}"/>
    <cellStyle name="Total 3 5" xfId="692" xr:uid="{5E0F5073-DE8A-4974-9553-A91654703284}"/>
    <cellStyle name="Total 3 5 10" xfId="5063" xr:uid="{D5777C5C-336F-4612-AAEC-5D6C5049BDD8}"/>
    <cellStyle name="Total 3 5 11" xfId="4712" xr:uid="{10CD6709-E261-464C-A309-4DF9F631FBE3}"/>
    <cellStyle name="Total 3 5 2" xfId="1174" xr:uid="{AB56498C-9622-4C24-A190-77E12AF74D61}"/>
    <cellStyle name="Total 3 5 3" xfId="1666" xr:uid="{75DCA2CD-9805-4D87-86BF-13A479049850}"/>
    <cellStyle name="Total 3 5 4" xfId="2397" xr:uid="{D7011497-FE76-44F5-B181-2AB5FCB221D0}"/>
    <cellStyle name="Total 3 5 5" xfId="2852" xr:uid="{E9F10FF6-BA2D-440D-AF82-B5260781CC3F}"/>
    <cellStyle name="Total 3 5 6" xfId="3268" xr:uid="{3EB7A109-29CF-4FF2-903A-A73A85AAE6E2}"/>
    <cellStyle name="Total 3 5 7" xfId="3682" xr:uid="{6F4F9744-451A-4F5A-A079-BB24F445461A}"/>
    <cellStyle name="Total 3 5 8" xfId="4107" xr:uid="{3EB23C45-A4F5-4501-B797-7D333BCF2752}"/>
    <cellStyle name="Total 3 5 9" xfId="2118" xr:uid="{00B92071-9D98-4A0B-8F8A-17D8212DAEE9}"/>
    <cellStyle name="Total 3 6" xfId="936" xr:uid="{8B7E52C9-90D4-429E-BD93-41A38D00FE93}"/>
    <cellStyle name="Total 3 7" xfId="2009" xr:uid="{12743B14-455F-49C8-A28C-DFD761D3C2CF}"/>
    <cellStyle name="Total 3 8" xfId="2137" xr:uid="{AD46380B-3799-4A32-A3D4-9384111AF6B9}"/>
    <cellStyle name="Total 3 9" xfId="2187" xr:uid="{2E8BCAC3-F729-4DC5-8F2A-A1CB2B55AFD5}"/>
    <cellStyle name="Verknüpfte Zelle" xfId="186" xr:uid="{21BE2FF3-DB14-4EF5-B866-C68A46DD96A9}"/>
    <cellStyle name="Warnender Text" xfId="894" hidden="1" xr:uid="{9601C7A0-C599-4C78-99C8-C2B69CF576F6}"/>
    <cellStyle name="Warnender Text" xfId="1388" hidden="1" xr:uid="{C7CC398E-5527-45DA-BE66-01FDAB01D7ED}"/>
    <cellStyle name="Warnender Text" xfId="47" hidden="1" xr:uid="{240431E1-FC66-4E27-A958-E094DD83CAD1}"/>
    <cellStyle name="Warnender Text" xfId="1646" hidden="1" xr:uid="{8C3574A6-AC4D-4AA3-B97F-B7EBC02D84E2}"/>
    <cellStyle name="Warnender Text" xfId="972" hidden="1" xr:uid="{FE70B20F-068F-4171-B2E3-1EF1A7134421}"/>
    <cellStyle name="Warnender Text" xfId="1859" hidden="1" xr:uid="{0E71A607-DB2C-4BCE-9F13-D7589A4453B2}"/>
    <cellStyle name="Warnender Text" xfId="2207" hidden="1" xr:uid="{2513F6C7-6FBA-4E14-8A14-F480FF7AE926}"/>
    <cellStyle name="Warnender Text" xfId="1917" hidden="1" xr:uid="{4260E65F-25D0-4481-804F-460C306B7CCC}"/>
    <cellStyle name="Warnender Text" xfId="2199" hidden="1" xr:uid="{B83E2229-FB19-445B-8A2E-64A23FDDE99F}"/>
    <cellStyle name="Warnender Text" xfId="1819" hidden="1" xr:uid="{63091434-DD3E-45F2-BECB-FE5D05F219E6}"/>
    <cellStyle name="Warnender Text" xfId="2104" hidden="1" xr:uid="{93B50949-77A1-487F-B49F-283C0920A7BC}"/>
    <cellStyle name="Warnender Text" xfId="2167" hidden="1" xr:uid="{119F2A11-763F-40A4-87AC-AAA755D83009}"/>
    <cellStyle name="Warnender Text" xfId="4305" hidden="1" xr:uid="{0BE72F9D-BD2A-47BE-A5C0-8F510B7C9493}"/>
    <cellStyle name="Warnender Text" xfId="2135" hidden="1" xr:uid="{8C1E89A7-A317-4FAE-8F6B-FFF06E2CD8D9}"/>
    <cellStyle name="Warnender Text" xfId="1930" hidden="1" xr:uid="{7D991C45-9CA6-409B-B20A-465826F3FCC1}"/>
    <cellStyle name="Warnender Text" xfId="4595" hidden="1" xr:uid="{9D2DB946-488D-465E-806F-2C641A32C74C}"/>
    <cellStyle name="Warnender Text" xfId="4788" hidden="1" xr:uid="{1D842AFB-4ED2-47BB-BB4F-258B40D4D92B}"/>
    <cellStyle name="Warnender Text" xfId="4636" hidden="1" xr:uid="{02830B1E-168D-41BF-9A26-D3B77FB9B5BC}"/>
    <cellStyle name="Warnender Text 2" xfId="396" xr:uid="{16DFCA5B-9430-4E60-8CB6-7848AD847F29}"/>
    <cellStyle name="Warnender Text 3" xfId="287" xr:uid="{CC7EF1E4-84EF-4ED9-ADE0-7B7945295D16}"/>
    <cellStyle name="Warning Text 2" xfId="187" xr:uid="{5F434CAE-2C72-4A94-BFB4-187BAF82E02A}"/>
    <cellStyle name="Warning Text 3" xfId="240" xr:uid="{976DFCAD-A8F2-408E-8C0C-FB9665B47CBA}"/>
    <cellStyle name="Überschrift" xfId="181" xr:uid="{81D40770-5D84-413D-980C-9220F8CBF1BD}"/>
    <cellStyle name="Überschrift 1" xfId="182" xr:uid="{14A5AD69-5B8E-42A1-A811-CF2588E0B106}"/>
    <cellStyle name="Überschrift 2" xfId="183" xr:uid="{065DDD80-B8FD-4197-A3EB-99E67AEA881D}"/>
    <cellStyle name="Überschrift 3" xfId="184" xr:uid="{8EA01CC8-7735-4D0E-BF2B-5FC757824633}"/>
    <cellStyle name="Überschrift 4" xfId="185" xr:uid="{625A0A76-C576-4545-8DE3-678E5F67B45C}"/>
    <cellStyle name="Zelle überprüfen" xfId="188" xr:uid="{509BB340-2F37-4CE9-AB4F-4A4514F98C24}"/>
    <cellStyle name="Гиперссылка" xfId="189" xr:uid="{CC56F0A5-5BBB-4F50-A612-5E50AE6B9129}"/>
    <cellStyle name="Гиперссылка 2" xfId="190" xr:uid="{2E31E9E0-2212-45EC-BC0B-437508754294}"/>
    <cellStyle name="Гиперссылка 3" xfId="198" xr:uid="{3639548F-D6FF-48AF-A879-EBE8EABE7E60}"/>
    <cellStyle name="Гиперссылка 4" xfId="370" xr:uid="{5D1E19FA-F5D6-4792-8609-7C0F2F327FB5}"/>
    <cellStyle name="Обычный_2++" xfId="32" xr:uid="{D9AB3B8C-CED2-432F-A28F-25FB044B77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Figures!$B$6</c:f>
              <c:strCache>
                <c:ptCount val="1"/>
                <c:pt idx="0">
                  <c:v>Production of mineral fertilizer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Figures!$A$7:$A$17</c:f>
              <c:strCache>
                <c:ptCount val="11"/>
                <c:pt idx="0">
                  <c:v>Greece</c:v>
                </c:pt>
                <c:pt idx="1">
                  <c:v>Netherlands</c:v>
                </c:pt>
                <c:pt idx="2">
                  <c:v>Italy</c:v>
                </c:pt>
                <c:pt idx="3">
                  <c:v>Germany</c:v>
                </c:pt>
                <c:pt idx="4">
                  <c:v>Poland</c:v>
                </c:pt>
                <c:pt idx="5">
                  <c:v>Spain</c:v>
                </c:pt>
                <c:pt idx="6">
                  <c:v>France</c:v>
                </c:pt>
                <c:pt idx="7">
                  <c:v>Hungary </c:v>
                </c:pt>
                <c:pt idx="8">
                  <c:v>Ireland</c:v>
                </c:pt>
                <c:pt idx="9">
                  <c:v>Denmark </c:v>
                </c:pt>
                <c:pt idx="10">
                  <c:v>Sweden</c:v>
                </c:pt>
              </c:strCache>
            </c:strRef>
          </c:cat>
          <c:val>
            <c:numRef>
              <c:f>Figures!$B$7:$B$17</c:f>
              <c:numCache>
                <c:formatCode>General</c:formatCode>
                <c:ptCount val="11"/>
                <c:pt idx="0">
                  <c:v>0.47251514284132151</c:v>
                </c:pt>
                <c:pt idx="1">
                  <c:v>0.62875327395960723</c:v>
                </c:pt>
                <c:pt idx="2">
                  <c:v>0.45474958806285676</c:v>
                </c:pt>
                <c:pt idx="3">
                  <c:v>0.69169578573673807</c:v>
                </c:pt>
                <c:pt idx="4">
                  <c:v>0.62159822761800054</c:v>
                </c:pt>
                <c:pt idx="5">
                  <c:v>0.62609366364631802</c:v>
                </c:pt>
                <c:pt idx="6">
                  <c:v>0.63737686031180718</c:v>
                </c:pt>
                <c:pt idx="7">
                  <c:v>0.51241986701112474</c:v>
                </c:pt>
                <c:pt idx="8">
                  <c:v>0.5022112425446158</c:v>
                </c:pt>
                <c:pt idx="9">
                  <c:v>0.46723393607411901</c:v>
                </c:pt>
                <c:pt idx="10">
                  <c:v>0.44049117045667241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F4-4B2C-8F1D-2D51C7266F6A}"/>
            </c:ext>
          </c:extLst>
        </c:ser>
        <c:ser>
          <c:idx val="1"/>
          <c:order val="1"/>
          <c:tx>
            <c:strRef>
              <c:f>Figures!$C$6</c:f>
              <c:strCache>
                <c:ptCount val="1"/>
                <c:pt idx="0">
                  <c:v>Production of capital goods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Figures!$A$7:$A$17</c:f>
              <c:strCache>
                <c:ptCount val="11"/>
                <c:pt idx="0">
                  <c:v>Greece</c:v>
                </c:pt>
                <c:pt idx="1">
                  <c:v>Netherlands</c:v>
                </c:pt>
                <c:pt idx="2">
                  <c:v>Italy</c:v>
                </c:pt>
                <c:pt idx="3">
                  <c:v>Germany</c:v>
                </c:pt>
                <c:pt idx="4">
                  <c:v>Poland</c:v>
                </c:pt>
                <c:pt idx="5">
                  <c:v>Spain</c:v>
                </c:pt>
                <c:pt idx="6">
                  <c:v>France</c:v>
                </c:pt>
                <c:pt idx="7">
                  <c:v>Hungary </c:v>
                </c:pt>
                <c:pt idx="8">
                  <c:v>Ireland</c:v>
                </c:pt>
                <c:pt idx="9">
                  <c:v>Denmark </c:v>
                </c:pt>
                <c:pt idx="10">
                  <c:v>Sweden</c:v>
                </c:pt>
              </c:strCache>
            </c:strRef>
          </c:cat>
          <c:val>
            <c:numRef>
              <c:f>Figures!$C$7:$C$17</c:f>
              <c:numCache>
                <c:formatCode>General</c:formatCode>
                <c:ptCount val="11"/>
                <c:pt idx="0">
                  <c:v>0.16944313463133548</c:v>
                </c:pt>
                <c:pt idx="1">
                  <c:v>0.16927802191599761</c:v>
                </c:pt>
                <c:pt idx="2">
                  <c:v>0.17024307925968352</c:v>
                </c:pt>
                <c:pt idx="3">
                  <c:v>0.17524774106526567</c:v>
                </c:pt>
                <c:pt idx="4">
                  <c:v>0.17858132524035356</c:v>
                </c:pt>
                <c:pt idx="5">
                  <c:v>0.18926470540341991</c:v>
                </c:pt>
                <c:pt idx="6">
                  <c:v>0.167155212548455</c:v>
                </c:pt>
                <c:pt idx="7">
                  <c:v>0.16925719070175976</c:v>
                </c:pt>
                <c:pt idx="8">
                  <c:v>0.1579757914447531</c:v>
                </c:pt>
                <c:pt idx="9">
                  <c:v>0.16000250640546121</c:v>
                </c:pt>
                <c:pt idx="10">
                  <c:v>0.16629496002017696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4F4-4B2C-8F1D-2D51C7266F6A}"/>
            </c:ext>
          </c:extLst>
        </c:ser>
        <c:ser>
          <c:idx val="2"/>
          <c:order val="2"/>
          <c:tx>
            <c:strRef>
              <c:f>Figures!$D$6</c:f>
              <c:strCache>
                <c:ptCount val="1"/>
                <c:pt idx="0">
                  <c:v>Emissions from soil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Figures!$A$7:$A$17</c:f>
              <c:strCache>
                <c:ptCount val="11"/>
                <c:pt idx="0">
                  <c:v>Greece</c:v>
                </c:pt>
                <c:pt idx="1">
                  <c:v>Netherlands</c:v>
                </c:pt>
                <c:pt idx="2">
                  <c:v>Italy</c:v>
                </c:pt>
                <c:pt idx="3">
                  <c:v>Germany</c:v>
                </c:pt>
                <c:pt idx="4">
                  <c:v>Poland</c:v>
                </c:pt>
                <c:pt idx="5">
                  <c:v>Spain</c:v>
                </c:pt>
                <c:pt idx="6">
                  <c:v>France</c:v>
                </c:pt>
                <c:pt idx="7">
                  <c:v>Hungary </c:v>
                </c:pt>
                <c:pt idx="8">
                  <c:v>Ireland</c:v>
                </c:pt>
                <c:pt idx="9">
                  <c:v>Denmark </c:v>
                </c:pt>
                <c:pt idx="10">
                  <c:v>Sweden</c:v>
                </c:pt>
              </c:strCache>
            </c:strRef>
          </c:cat>
          <c:val>
            <c:numRef>
              <c:f>Figures!$D$7:$D$17</c:f>
              <c:numCache>
                <c:formatCode>General</c:formatCode>
                <c:ptCount val="11"/>
                <c:pt idx="0">
                  <c:v>0.33311674366896732</c:v>
                </c:pt>
                <c:pt idx="1">
                  <c:v>0.90812541927278267</c:v>
                </c:pt>
                <c:pt idx="2">
                  <c:v>0.30297198910537942</c:v>
                </c:pt>
                <c:pt idx="3">
                  <c:v>0.78474991168770281</c:v>
                </c:pt>
                <c:pt idx="4">
                  <c:v>0.78077974559870877</c:v>
                </c:pt>
                <c:pt idx="5">
                  <c:v>0.41729961090056789</c:v>
                </c:pt>
                <c:pt idx="6">
                  <c:v>0.73893686405469583</c:v>
                </c:pt>
                <c:pt idx="7">
                  <c:v>0.31985717082615728</c:v>
                </c:pt>
                <c:pt idx="8">
                  <c:v>0.7120505760902025</c:v>
                </c:pt>
                <c:pt idx="9">
                  <c:v>0.95769223643617529</c:v>
                </c:pt>
                <c:pt idx="10">
                  <c:v>0.90657945429364029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4F4-4B2C-8F1D-2D51C7266F6A}"/>
            </c:ext>
          </c:extLst>
        </c:ser>
        <c:ser>
          <c:idx val="3"/>
          <c:order val="3"/>
          <c:tx>
            <c:strRef>
              <c:f>Figures!$E$6</c:f>
              <c:strCache>
                <c:ptCount val="1"/>
                <c:pt idx="0">
                  <c:v>Diesel use field machinary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Figures!$A$7:$A$17</c:f>
              <c:strCache>
                <c:ptCount val="11"/>
                <c:pt idx="0">
                  <c:v>Greece</c:v>
                </c:pt>
                <c:pt idx="1">
                  <c:v>Netherlands</c:v>
                </c:pt>
                <c:pt idx="2">
                  <c:v>Italy</c:v>
                </c:pt>
                <c:pt idx="3">
                  <c:v>Germany</c:v>
                </c:pt>
                <c:pt idx="4">
                  <c:v>Poland</c:v>
                </c:pt>
                <c:pt idx="5">
                  <c:v>Spain</c:v>
                </c:pt>
                <c:pt idx="6">
                  <c:v>France</c:v>
                </c:pt>
                <c:pt idx="7">
                  <c:v>Hungary </c:v>
                </c:pt>
                <c:pt idx="8">
                  <c:v>Ireland</c:v>
                </c:pt>
                <c:pt idx="9">
                  <c:v>Denmark </c:v>
                </c:pt>
                <c:pt idx="10">
                  <c:v>Sweden</c:v>
                </c:pt>
              </c:strCache>
            </c:strRef>
          </c:cat>
          <c:val>
            <c:numRef>
              <c:f>Figures!$E$7:$E$17</c:f>
              <c:numCache>
                <c:formatCode>General</c:formatCode>
                <c:ptCount val="11"/>
                <c:pt idx="0">
                  <c:v>0.25618232289368725</c:v>
                </c:pt>
                <c:pt idx="1">
                  <c:v>0.16834636238153985</c:v>
                </c:pt>
                <c:pt idx="2">
                  <c:v>0.19600925793559074</c:v>
                </c:pt>
                <c:pt idx="3">
                  <c:v>0.18168065075742773</c:v>
                </c:pt>
                <c:pt idx="4">
                  <c:v>0.2645126630605657</c:v>
                </c:pt>
                <c:pt idx="5">
                  <c:v>0.2870131973459692</c:v>
                </c:pt>
                <c:pt idx="6">
                  <c:v>0.17216528381767859</c:v>
                </c:pt>
                <c:pt idx="7">
                  <c:v>0.20121631238837454</c:v>
                </c:pt>
                <c:pt idx="8">
                  <c:v>0.16440475775546048</c:v>
                </c:pt>
                <c:pt idx="9">
                  <c:v>0.17201428431486498</c:v>
                </c:pt>
                <c:pt idx="10">
                  <c:v>0.22864812706343807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4F4-4B2C-8F1D-2D51C7266F6A}"/>
            </c:ext>
          </c:extLst>
        </c:ser>
        <c:ser>
          <c:idx val="4"/>
          <c:order val="4"/>
          <c:tx>
            <c:strRef>
              <c:f>Figures!$F$6</c:f>
              <c:strCache>
                <c:ptCount val="1"/>
                <c:pt idx="0">
                  <c:v>Energy use for feed processing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Figures!$A$7:$A$17</c:f>
              <c:strCache>
                <c:ptCount val="11"/>
                <c:pt idx="0">
                  <c:v>Greece</c:v>
                </c:pt>
                <c:pt idx="1">
                  <c:v>Netherlands</c:v>
                </c:pt>
                <c:pt idx="2">
                  <c:v>Italy</c:v>
                </c:pt>
                <c:pt idx="3">
                  <c:v>Germany</c:v>
                </c:pt>
                <c:pt idx="4">
                  <c:v>Poland</c:v>
                </c:pt>
                <c:pt idx="5">
                  <c:v>Spain</c:v>
                </c:pt>
                <c:pt idx="6">
                  <c:v>France</c:v>
                </c:pt>
                <c:pt idx="7">
                  <c:v>Hungary </c:v>
                </c:pt>
                <c:pt idx="8">
                  <c:v>Ireland</c:v>
                </c:pt>
                <c:pt idx="9">
                  <c:v>Denmark </c:v>
                </c:pt>
                <c:pt idx="10">
                  <c:v>Sweden</c:v>
                </c:pt>
              </c:strCache>
            </c:strRef>
          </c:cat>
          <c:val>
            <c:numRef>
              <c:f>Figures!$F$7:$F$17</c:f>
              <c:numCache>
                <c:formatCode>General</c:formatCode>
                <c:ptCount val="11"/>
                <c:pt idx="0">
                  <c:v>0.26086377106810527</c:v>
                </c:pt>
                <c:pt idx="1">
                  <c:v>0.25792266539834363</c:v>
                </c:pt>
                <c:pt idx="2">
                  <c:v>0.2404052071720604</c:v>
                </c:pt>
                <c:pt idx="3">
                  <c:v>0.26390751109453214</c:v>
                </c:pt>
                <c:pt idx="4">
                  <c:v>0.3179172269113188</c:v>
                </c:pt>
                <c:pt idx="5">
                  <c:v>0.24904614302455735</c:v>
                </c:pt>
                <c:pt idx="6">
                  <c:v>0.21375332144284054</c:v>
                </c:pt>
                <c:pt idx="7">
                  <c:v>0.24162020072544385</c:v>
                </c:pt>
                <c:pt idx="8">
                  <c:v>0.22842458981798852</c:v>
                </c:pt>
                <c:pt idx="9">
                  <c:v>0.2194166664125623</c:v>
                </c:pt>
                <c:pt idx="10">
                  <c:v>0.20368253965220073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4F4-4B2C-8F1D-2D51C7266F6A}"/>
            </c:ext>
          </c:extLst>
        </c:ser>
        <c:ser>
          <c:idx val="5"/>
          <c:order val="5"/>
          <c:tx>
            <c:strRef>
              <c:f>Figures!$G$6</c:f>
              <c:strCache>
                <c:ptCount val="1"/>
                <c:pt idx="0">
                  <c:v>Land use change emissions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Figures!$A$7:$A$17</c:f>
              <c:strCache>
                <c:ptCount val="11"/>
                <c:pt idx="0">
                  <c:v>Greece</c:v>
                </c:pt>
                <c:pt idx="1">
                  <c:v>Netherlands</c:v>
                </c:pt>
                <c:pt idx="2">
                  <c:v>Italy</c:v>
                </c:pt>
                <c:pt idx="3">
                  <c:v>Germany</c:v>
                </c:pt>
                <c:pt idx="4">
                  <c:v>Poland</c:v>
                </c:pt>
                <c:pt idx="5">
                  <c:v>Spain</c:v>
                </c:pt>
                <c:pt idx="6">
                  <c:v>France</c:v>
                </c:pt>
                <c:pt idx="7">
                  <c:v>Hungary </c:v>
                </c:pt>
                <c:pt idx="8">
                  <c:v>Ireland</c:v>
                </c:pt>
                <c:pt idx="9">
                  <c:v>Denmark </c:v>
                </c:pt>
                <c:pt idx="10">
                  <c:v>Sweden</c:v>
                </c:pt>
              </c:strCache>
            </c:strRef>
          </c:cat>
          <c:val>
            <c:numRef>
              <c:f>Figures!$G$7:$G$17</c:f>
              <c:numCache>
                <c:formatCode>General</c:formatCode>
                <c:ptCount val="11"/>
                <c:pt idx="0">
                  <c:v>0.33414898302855761</c:v>
                </c:pt>
                <c:pt idx="1">
                  <c:v>0.31906062994576423</c:v>
                </c:pt>
                <c:pt idx="2">
                  <c:v>0.30478851704144577</c:v>
                </c:pt>
                <c:pt idx="3">
                  <c:v>0.27126559489593188</c:v>
                </c:pt>
                <c:pt idx="4">
                  <c:v>0.2263666009920037</c:v>
                </c:pt>
                <c:pt idx="5">
                  <c:v>0.35911706190371412</c:v>
                </c:pt>
                <c:pt idx="6">
                  <c:v>0.17506261809639065</c:v>
                </c:pt>
                <c:pt idx="7">
                  <c:v>0.27301428553759027</c:v>
                </c:pt>
                <c:pt idx="8">
                  <c:v>0.28758244641631153</c:v>
                </c:pt>
                <c:pt idx="9">
                  <c:v>7.6417362567740094E-2</c:v>
                </c:pt>
                <c:pt idx="10">
                  <c:v>7.9221402670515362E-2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4F4-4B2C-8F1D-2D51C7266F6A}"/>
            </c:ext>
          </c:extLst>
        </c:ser>
        <c:ser>
          <c:idx val="6"/>
          <c:order val="6"/>
          <c:tx>
            <c:strRef>
              <c:f>Figures!$H$6</c:f>
              <c:strCache>
                <c:ptCount val="1"/>
                <c:pt idx="0">
                  <c:v>Feed transports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Figures!$A$7:$A$17</c:f>
              <c:strCache>
                <c:ptCount val="11"/>
                <c:pt idx="0">
                  <c:v>Greece</c:v>
                </c:pt>
                <c:pt idx="1">
                  <c:v>Netherlands</c:v>
                </c:pt>
                <c:pt idx="2">
                  <c:v>Italy</c:v>
                </c:pt>
                <c:pt idx="3">
                  <c:v>Germany</c:v>
                </c:pt>
                <c:pt idx="4">
                  <c:v>Poland</c:v>
                </c:pt>
                <c:pt idx="5">
                  <c:v>Spain</c:v>
                </c:pt>
                <c:pt idx="6">
                  <c:v>France</c:v>
                </c:pt>
                <c:pt idx="7">
                  <c:v>Hungary </c:v>
                </c:pt>
                <c:pt idx="8">
                  <c:v>Ireland</c:v>
                </c:pt>
                <c:pt idx="9">
                  <c:v>Denmark </c:v>
                </c:pt>
                <c:pt idx="10">
                  <c:v>Sweden</c:v>
                </c:pt>
              </c:strCache>
            </c:strRef>
          </c:cat>
          <c:val>
            <c:numRef>
              <c:f>Figures!$H$7:$H$17</c:f>
              <c:numCache>
                <c:formatCode>General</c:formatCode>
                <c:ptCount val="11"/>
                <c:pt idx="0">
                  <c:v>0.27365950269162764</c:v>
                </c:pt>
                <c:pt idx="1">
                  <c:v>0.31252892765137591</c:v>
                </c:pt>
                <c:pt idx="2">
                  <c:v>0.25183137003861839</c:v>
                </c:pt>
                <c:pt idx="3">
                  <c:v>0.28080752317592189</c:v>
                </c:pt>
                <c:pt idx="4">
                  <c:v>0.19867620048537227</c:v>
                </c:pt>
                <c:pt idx="5">
                  <c:v>0.30245702032882432</c:v>
                </c:pt>
                <c:pt idx="6">
                  <c:v>0.18375083329023173</c:v>
                </c:pt>
                <c:pt idx="7">
                  <c:v>0.22356717687527505</c:v>
                </c:pt>
                <c:pt idx="8">
                  <c:v>0.26674907296622075</c:v>
                </c:pt>
                <c:pt idx="9">
                  <c:v>8.0333613125588899E-2</c:v>
                </c:pt>
                <c:pt idx="10">
                  <c:v>7.7443604441115602E-2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4F4-4B2C-8F1D-2D51C7266F6A}"/>
            </c:ext>
          </c:extLst>
        </c:ser>
        <c:ser>
          <c:idx val="7"/>
          <c:order val="7"/>
          <c:tx>
            <c:strRef>
              <c:f>Figures!$I$6</c:f>
              <c:strCache>
                <c:ptCount val="1"/>
                <c:pt idx="0">
                  <c:v>Enteric fermentation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Figures!$A$7:$A$17</c:f>
              <c:strCache>
                <c:ptCount val="11"/>
                <c:pt idx="0">
                  <c:v>Greece</c:v>
                </c:pt>
                <c:pt idx="1">
                  <c:v>Netherlands</c:v>
                </c:pt>
                <c:pt idx="2">
                  <c:v>Italy</c:v>
                </c:pt>
                <c:pt idx="3">
                  <c:v>Germany</c:v>
                </c:pt>
                <c:pt idx="4">
                  <c:v>Poland</c:v>
                </c:pt>
                <c:pt idx="5">
                  <c:v>Spain</c:v>
                </c:pt>
                <c:pt idx="6">
                  <c:v>France</c:v>
                </c:pt>
                <c:pt idx="7">
                  <c:v>Hungary </c:v>
                </c:pt>
                <c:pt idx="8">
                  <c:v>Ireland</c:v>
                </c:pt>
                <c:pt idx="9">
                  <c:v>Denmark </c:v>
                </c:pt>
                <c:pt idx="10">
                  <c:v>Sweden</c:v>
                </c:pt>
              </c:strCache>
            </c:strRef>
          </c:cat>
          <c:val>
            <c:numRef>
              <c:f>Figures!$I$7:$I$17</c:f>
              <c:numCache>
                <c:formatCode>General</c:formatCode>
                <c:ptCount val="11"/>
                <c:pt idx="0">
                  <c:v>0.28281134244442352</c:v>
                </c:pt>
                <c:pt idx="1">
                  <c:v>0.27842870089187949</c:v>
                </c:pt>
                <c:pt idx="2">
                  <c:v>0.22438023335584806</c:v>
                </c:pt>
                <c:pt idx="3">
                  <c:v>0.28163007428588166</c:v>
                </c:pt>
                <c:pt idx="4">
                  <c:v>0.28281134244442352</c:v>
                </c:pt>
                <c:pt idx="5">
                  <c:v>0.29040890456516738</c:v>
                </c:pt>
                <c:pt idx="6">
                  <c:v>0.28463898087383244</c:v>
                </c:pt>
                <c:pt idx="7">
                  <c:v>0.28136403132548721</c:v>
                </c:pt>
                <c:pt idx="8">
                  <c:v>0.28139873432878004</c:v>
                </c:pt>
                <c:pt idx="9">
                  <c:v>0.2813156440137391</c:v>
                </c:pt>
                <c:pt idx="10">
                  <c:v>0.28143916063784985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4F4-4B2C-8F1D-2D51C7266F6A}"/>
            </c:ext>
          </c:extLst>
        </c:ser>
        <c:ser>
          <c:idx val="8"/>
          <c:order val="8"/>
          <c:tx>
            <c:strRef>
              <c:f>Figures!$J$6</c:f>
              <c:strCache>
                <c:ptCount val="1"/>
                <c:pt idx="0">
                  <c:v>Manure management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Figures!$A$7:$A$17</c:f>
              <c:strCache>
                <c:ptCount val="11"/>
                <c:pt idx="0">
                  <c:v>Greece</c:v>
                </c:pt>
                <c:pt idx="1">
                  <c:v>Netherlands</c:v>
                </c:pt>
                <c:pt idx="2">
                  <c:v>Italy</c:v>
                </c:pt>
                <c:pt idx="3">
                  <c:v>Germany</c:v>
                </c:pt>
                <c:pt idx="4">
                  <c:v>Poland</c:v>
                </c:pt>
                <c:pt idx="5">
                  <c:v>Spain</c:v>
                </c:pt>
                <c:pt idx="6">
                  <c:v>France</c:v>
                </c:pt>
                <c:pt idx="7">
                  <c:v>Hungary </c:v>
                </c:pt>
                <c:pt idx="8">
                  <c:v>Ireland</c:v>
                </c:pt>
                <c:pt idx="9">
                  <c:v>Denmark </c:v>
                </c:pt>
                <c:pt idx="10">
                  <c:v>Sweden</c:v>
                </c:pt>
              </c:strCache>
            </c:strRef>
          </c:cat>
          <c:val>
            <c:numRef>
              <c:f>Figures!$J$7:$J$17</c:f>
              <c:numCache>
                <c:formatCode>General</c:formatCode>
                <c:ptCount val="11"/>
                <c:pt idx="0">
                  <c:v>4.5193410089727104</c:v>
                </c:pt>
                <c:pt idx="1">
                  <c:v>2.8051528727137782</c:v>
                </c:pt>
                <c:pt idx="2">
                  <c:v>2.9613333966506077</c:v>
                </c:pt>
                <c:pt idx="3">
                  <c:v>1.7740007081842402</c:v>
                </c:pt>
                <c:pt idx="4">
                  <c:v>0.65329288377697114</c:v>
                </c:pt>
                <c:pt idx="5">
                  <c:v>2.1803049721730052</c:v>
                </c:pt>
                <c:pt idx="6">
                  <c:v>2.3100127168070186</c:v>
                </c:pt>
                <c:pt idx="7">
                  <c:v>1.3757456377476673</c:v>
                </c:pt>
                <c:pt idx="8">
                  <c:v>0.62232910607949132</c:v>
                </c:pt>
                <c:pt idx="9">
                  <c:v>0.66756856039249091</c:v>
                </c:pt>
                <c:pt idx="10">
                  <c:v>0.68869363025145947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4F4-4B2C-8F1D-2D51C7266F6A}"/>
            </c:ext>
          </c:extLst>
        </c:ser>
        <c:ser>
          <c:idx val="9"/>
          <c:order val="9"/>
          <c:tx>
            <c:strRef>
              <c:f>Figures!$K$6</c:f>
              <c:strCache>
                <c:ptCount val="1"/>
                <c:pt idx="0">
                  <c:v>Energy use in stables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Figures!$A$7:$A$17</c:f>
              <c:strCache>
                <c:ptCount val="11"/>
                <c:pt idx="0">
                  <c:v>Greece</c:v>
                </c:pt>
                <c:pt idx="1">
                  <c:v>Netherlands</c:v>
                </c:pt>
                <c:pt idx="2">
                  <c:v>Italy</c:v>
                </c:pt>
                <c:pt idx="3">
                  <c:v>Germany</c:v>
                </c:pt>
                <c:pt idx="4">
                  <c:v>Poland</c:v>
                </c:pt>
                <c:pt idx="5">
                  <c:v>Spain</c:v>
                </c:pt>
                <c:pt idx="6">
                  <c:v>France</c:v>
                </c:pt>
                <c:pt idx="7">
                  <c:v>Hungary </c:v>
                </c:pt>
                <c:pt idx="8">
                  <c:v>Ireland</c:v>
                </c:pt>
                <c:pt idx="9">
                  <c:v>Denmark </c:v>
                </c:pt>
                <c:pt idx="10">
                  <c:v>Sweden</c:v>
                </c:pt>
              </c:strCache>
            </c:strRef>
          </c:cat>
          <c:val>
            <c:numRef>
              <c:f>Figures!$K$7:$K$17</c:f>
              <c:numCache>
                <c:formatCode>General</c:formatCode>
                <c:ptCount val="11"/>
                <c:pt idx="0">
                  <c:v>0.47188229593986469</c:v>
                </c:pt>
                <c:pt idx="1">
                  <c:v>0.39632618393284497</c:v>
                </c:pt>
                <c:pt idx="2">
                  <c:v>0.27218937631253437</c:v>
                </c:pt>
                <c:pt idx="3">
                  <c:v>0.38055695984011079</c:v>
                </c:pt>
                <c:pt idx="4">
                  <c:v>0.64140136831103012</c:v>
                </c:pt>
                <c:pt idx="5">
                  <c:v>0.28940494116622351</c:v>
                </c:pt>
                <c:pt idx="6">
                  <c:v>0.1913599381653856</c:v>
                </c:pt>
                <c:pt idx="7">
                  <c:v>0.37143362208540542</c:v>
                </c:pt>
                <c:pt idx="8">
                  <c:v>0.33760761901326669</c:v>
                </c:pt>
                <c:pt idx="9">
                  <c:v>0.33407852518514042</c:v>
                </c:pt>
                <c:pt idx="10">
                  <c:v>0.10956746799521762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54F4-4B2C-8F1D-2D51C7266F6A}"/>
            </c:ext>
          </c:extLst>
        </c:ser>
        <c:ser>
          <c:idx val="10"/>
          <c:order val="10"/>
          <c:tx>
            <c:strRef>
              <c:f>Figures!$L$6</c:f>
              <c:strCache>
                <c:ptCount val="1"/>
                <c:pt idx="0">
                  <c:v>Energy use for slaughter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Figures!$A$7:$A$17</c:f>
              <c:strCache>
                <c:ptCount val="11"/>
                <c:pt idx="0">
                  <c:v>Greece</c:v>
                </c:pt>
                <c:pt idx="1">
                  <c:v>Netherlands</c:v>
                </c:pt>
                <c:pt idx="2">
                  <c:v>Italy</c:v>
                </c:pt>
                <c:pt idx="3">
                  <c:v>Germany</c:v>
                </c:pt>
                <c:pt idx="4">
                  <c:v>Poland</c:v>
                </c:pt>
                <c:pt idx="5">
                  <c:v>Spain</c:v>
                </c:pt>
                <c:pt idx="6">
                  <c:v>France</c:v>
                </c:pt>
                <c:pt idx="7">
                  <c:v>Hungary </c:v>
                </c:pt>
                <c:pt idx="8">
                  <c:v>Ireland</c:v>
                </c:pt>
                <c:pt idx="9">
                  <c:v>Denmark </c:v>
                </c:pt>
                <c:pt idx="10">
                  <c:v>Sweden</c:v>
                </c:pt>
              </c:strCache>
            </c:strRef>
          </c:cat>
          <c:val>
            <c:numRef>
              <c:f>Figures!$L$7:$L$17</c:f>
              <c:numCache>
                <c:formatCode>General</c:formatCode>
                <c:ptCount val="11"/>
                <c:pt idx="0">
                  <c:v>1.0878298572097358</c:v>
                </c:pt>
                <c:pt idx="1">
                  <c:v>0.88125366450997078</c:v>
                </c:pt>
                <c:pt idx="2">
                  <c:v>0.7455911744870678</c:v>
                </c:pt>
                <c:pt idx="3">
                  <c:v>0.83258729603447212</c:v>
                </c:pt>
                <c:pt idx="4">
                  <c:v>1.5656990656425853</c:v>
                </c:pt>
                <c:pt idx="5">
                  <c:v>0.56212540958652324</c:v>
                </c:pt>
                <c:pt idx="6">
                  <c:v>0.29265188801856101</c:v>
                </c:pt>
                <c:pt idx="7">
                  <c:v>0.80361469052658818</c:v>
                </c:pt>
                <c:pt idx="8">
                  <c:v>0.71434305960985423</c:v>
                </c:pt>
                <c:pt idx="9">
                  <c:v>0.69072183656022779</c:v>
                </c:pt>
                <c:pt idx="10">
                  <c:v>0.28752681656171797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4F4-4B2C-8F1D-2D51C7266F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97164863"/>
        <c:axId val="1097163423"/>
      </c:barChart>
      <c:catAx>
        <c:axId val="1097164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097163423"/>
        <c:crosses val="autoZero"/>
        <c:auto val="1"/>
        <c:lblAlgn val="ctr"/>
        <c:lblOffset val="100"/>
        <c:noMultiLvlLbl val="0"/>
      </c:catAx>
      <c:valAx>
        <c:axId val="1097163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v-SE"/>
                  <a:t>kg CO2e per kg of</a:t>
                </a:r>
                <a:r>
                  <a:rPr lang="sv-SE" baseline="0"/>
                  <a:t> bonefree pigmeat and offal</a:t>
                </a:r>
                <a:endParaRPr lang="sv-SE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097164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Figures!$A$33:$A$43</c:f>
              <c:strCache>
                <c:ptCount val="11"/>
                <c:pt idx="0">
                  <c:v>Denmark </c:v>
                </c:pt>
                <c:pt idx="1">
                  <c:v>France</c:v>
                </c:pt>
                <c:pt idx="2">
                  <c:v>Germany</c:v>
                </c:pt>
                <c:pt idx="3">
                  <c:v>Greece</c:v>
                </c:pt>
                <c:pt idx="4">
                  <c:v>Hungary </c:v>
                </c:pt>
                <c:pt idx="5">
                  <c:v>Ireland</c:v>
                </c:pt>
                <c:pt idx="6">
                  <c:v>Italy</c:v>
                </c:pt>
                <c:pt idx="7">
                  <c:v>Netherlands</c:v>
                </c:pt>
                <c:pt idx="8">
                  <c:v>Poland</c:v>
                </c:pt>
                <c:pt idx="9">
                  <c:v>Spain</c:v>
                </c:pt>
                <c:pt idx="10">
                  <c:v>Sweden</c:v>
                </c:pt>
              </c:strCache>
            </c:strRef>
          </c:cat>
          <c:val>
            <c:numRef>
              <c:f>Figures!$B$33:$B$43</c:f>
              <c:numCache>
                <c:formatCode>General</c:formatCode>
                <c:ptCount val="11"/>
                <c:pt idx="0">
                  <c:v>0.34945446776871281</c:v>
                </c:pt>
                <c:pt idx="1">
                  <c:v>0.47801158608010952</c:v>
                </c:pt>
                <c:pt idx="2">
                  <c:v>0.35489832798949456</c:v>
                </c:pt>
                <c:pt idx="3">
                  <c:v>0.38101451541952891</c:v>
                </c:pt>
                <c:pt idx="4">
                  <c:v>0.34634087786915252</c:v>
                </c:pt>
                <c:pt idx="5">
                  <c:v>0.33400348040348815</c:v>
                </c:pt>
                <c:pt idx="6">
                  <c:v>0.68514742122479899</c:v>
                </c:pt>
                <c:pt idx="7">
                  <c:v>0.47153216234734419</c:v>
                </c:pt>
                <c:pt idx="8">
                  <c:v>0.34621615899915614</c:v>
                </c:pt>
                <c:pt idx="9">
                  <c:v>1.2637785926789111</c:v>
                </c:pt>
                <c:pt idx="10">
                  <c:v>0.33340768901182843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05-48CD-9337-FEF6D66E4F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03850959"/>
        <c:axId val="1103849519"/>
      </c:barChart>
      <c:catAx>
        <c:axId val="1103850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103849519"/>
        <c:crosses val="autoZero"/>
        <c:auto val="1"/>
        <c:lblAlgn val="ctr"/>
        <c:lblOffset val="100"/>
        <c:noMultiLvlLbl val="0"/>
      </c:catAx>
      <c:valAx>
        <c:axId val="1103849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v-SE"/>
                  <a:t>Blue</a:t>
                </a:r>
                <a:r>
                  <a:rPr lang="sv-SE" baseline="0"/>
                  <a:t> water use, m3 per kg bonefree meat</a:t>
                </a:r>
                <a:endParaRPr lang="sv-SE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1038509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'Parameters, country spec'!$A$51</c:f>
              <c:strCache>
                <c:ptCount val="1"/>
                <c:pt idx="0">
                  <c:v>Barley, average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'Parameters, country spec'!$B$50:$L$50</c:f>
              <c:strCache>
                <c:ptCount val="11"/>
                <c:pt idx="0">
                  <c:v>Denmark </c:v>
                </c:pt>
                <c:pt idx="1">
                  <c:v>France</c:v>
                </c:pt>
                <c:pt idx="2">
                  <c:v>Germany</c:v>
                </c:pt>
                <c:pt idx="3">
                  <c:v>Greece</c:v>
                </c:pt>
                <c:pt idx="4">
                  <c:v>Hungary </c:v>
                </c:pt>
                <c:pt idx="5">
                  <c:v>Ireland</c:v>
                </c:pt>
                <c:pt idx="6">
                  <c:v>Italy</c:v>
                </c:pt>
                <c:pt idx="7">
                  <c:v>Netherlands</c:v>
                </c:pt>
                <c:pt idx="8">
                  <c:v>Poland</c:v>
                </c:pt>
                <c:pt idx="9">
                  <c:v>Spain</c:v>
                </c:pt>
                <c:pt idx="10">
                  <c:v>Sweden</c:v>
                </c:pt>
              </c:strCache>
            </c:strRef>
          </c:cat>
          <c:val>
            <c:numRef>
              <c:f>'Parameters, country spec'!$B$51:$L$51</c:f>
              <c:numCache>
                <c:formatCode>0.000</c:formatCode>
                <c:ptCount val="11"/>
                <c:pt idx="0">
                  <c:v>0.37052244823106312</c:v>
                </c:pt>
                <c:pt idx="1">
                  <c:v>0.12606262629304116</c:v>
                </c:pt>
                <c:pt idx="2">
                  <c:v>0.11963061531721042</c:v>
                </c:pt>
                <c:pt idx="3">
                  <c:v>0.10357924575306088</c:v>
                </c:pt>
                <c:pt idx="4">
                  <c:v>8.1459954464377052E-2</c:v>
                </c:pt>
                <c:pt idx="5">
                  <c:v>0.32423669971652103</c:v>
                </c:pt>
                <c:pt idx="6">
                  <c:v>7.6591109849777905E-2</c:v>
                </c:pt>
                <c:pt idx="7">
                  <c:v>9.3061411574646036E-2</c:v>
                </c:pt>
                <c:pt idx="8">
                  <c:v>0.15494846538679652</c:v>
                </c:pt>
                <c:pt idx="9">
                  <c:v>0.23419754355371158</c:v>
                </c:pt>
                <c:pt idx="10">
                  <c:v>0.26218798715146852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5D-492F-B301-66A38D93C747}"/>
            </c:ext>
          </c:extLst>
        </c:ser>
        <c:ser>
          <c:idx val="1"/>
          <c:order val="1"/>
          <c:tx>
            <c:strRef>
              <c:f>'Parameters, country spec'!$A$52</c:f>
              <c:strCache>
                <c:ptCount val="1"/>
                <c:pt idx="0">
                  <c:v>Maize (corn)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'Parameters, country spec'!$B$50:$L$50</c:f>
              <c:strCache>
                <c:ptCount val="11"/>
                <c:pt idx="0">
                  <c:v>Denmark </c:v>
                </c:pt>
                <c:pt idx="1">
                  <c:v>France</c:v>
                </c:pt>
                <c:pt idx="2">
                  <c:v>Germany</c:v>
                </c:pt>
                <c:pt idx="3">
                  <c:v>Greece</c:v>
                </c:pt>
                <c:pt idx="4">
                  <c:v>Hungary </c:v>
                </c:pt>
                <c:pt idx="5">
                  <c:v>Ireland</c:v>
                </c:pt>
                <c:pt idx="6">
                  <c:v>Italy</c:v>
                </c:pt>
                <c:pt idx="7">
                  <c:v>Netherlands</c:v>
                </c:pt>
                <c:pt idx="8">
                  <c:v>Poland</c:v>
                </c:pt>
                <c:pt idx="9">
                  <c:v>Spain</c:v>
                </c:pt>
                <c:pt idx="10">
                  <c:v>Sweden</c:v>
                </c:pt>
              </c:strCache>
            </c:strRef>
          </c:cat>
          <c:val>
            <c:numRef>
              <c:f>'Parameters, country spec'!$B$52:$L$52</c:f>
              <c:numCache>
                <c:formatCode>0.000</c:formatCode>
                <c:ptCount val="11"/>
                <c:pt idx="0">
                  <c:v>2.2297719827585057E-2</c:v>
                </c:pt>
                <c:pt idx="1">
                  <c:v>0.20734328509407693</c:v>
                </c:pt>
                <c:pt idx="2">
                  <c:v>0.17810841722932885</c:v>
                </c:pt>
                <c:pt idx="3">
                  <c:v>0.30979634359029207</c:v>
                </c:pt>
                <c:pt idx="4">
                  <c:v>0.4831725893376359</c:v>
                </c:pt>
                <c:pt idx="5">
                  <c:v>8.9365959455500049E-2</c:v>
                </c:pt>
                <c:pt idx="6">
                  <c:v>0.50081939449622082</c:v>
                </c:pt>
                <c:pt idx="7">
                  <c:v>0.27948184787194708</c:v>
                </c:pt>
                <c:pt idx="8">
                  <c:v>0.21226238383741222</c:v>
                </c:pt>
                <c:pt idx="9">
                  <c:v>0.30888558086087292</c:v>
                </c:pt>
                <c:pt idx="10">
                  <c:v>2.7145227912969191E-3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E5D-492F-B301-66A38D93C747}"/>
            </c:ext>
          </c:extLst>
        </c:ser>
        <c:ser>
          <c:idx val="2"/>
          <c:order val="2"/>
          <c:tx>
            <c:strRef>
              <c:f>'Parameters, country spec'!$A$53</c:f>
              <c:strCache>
                <c:ptCount val="1"/>
                <c:pt idx="0">
                  <c:v>Oats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'Parameters, country spec'!$B$50:$L$50</c:f>
              <c:strCache>
                <c:ptCount val="11"/>
                <c:pt idx="0">
                  <c:v>Denmark </c:v>
                </c:pt>
                <c:pt idx="1">
                  <c:v>France</c:v>
                </c:pt>
                <c:pt idx="2">
                  <c:v>Germany</c:v>
                </c:pt>
                <c:pt idx="3">
                  <c:v>Greece</c:v>
                </c:pt>
                <c:pt idx="4">
                  <c:v>Hungary </c:v>
                </c:pt>
                <c:pt idx="5">
                  <c:v>Ireland</c:v>
                </c:pt>
                <c:pt idx="6">
                  <c:v>Italy</c:v>
                </c:pt>
                <c:pt idx="7">
                  <c:v>Netherlands</c:v>
                </c:pt>
                <c:pt idx="8">
                  <c:v>Poland</c:v>
                </c:pt>
                <c:pt idx="9">
                  <c:v>Spain</c:v>
                </c:pt>
                <c:pt idx="10">
                  <c:v>Sweden</c:v>
                </c:pt>
              </c:strCache>
            </c:strRef>
          </c:cat>
          <c:val>
            <c:numRef>
              <c:f>'Parameters, country spec'!$B$53:$L$53</c:f>
              <c:numCache>
                <c:formatCode>0.000</c:formatCode>
                <c:ptCount val="11"/>
                <c:pt idx="0">
                  <c:v>6.2233169954917927E-3</c:v>
                </c:pt>
                <c:pt idx="1">
                  <c:v>1.4285047950273209E-2</c:v>
                </c:pt>
                <c:pt idx="2">
                  <c:v>2.3812926975688678E-5</c:v>
                </c:pt>
                <c:pt idx="3">
                  <c:v>2.8149554716678987E-2</c:v>
                </c:pt>
                <c:pt idx="4">
                  <c:v>4.3630516562164968E-2</c:v>
                </c:pt>
                <c:pt idx="5">
                  <c:v>1.8689001670128293E-2</c:v>
                </c:pt>
                <c:pt idx="6">
                  <c:v>1.5905946614639822E-2</c:v>
                </c:pt>
                <c:pt idx="7">
                  <c:v>3.056855524795577E-3</c:v>
                </c:pt>
                <c:pt idx="8">
                  <c:v>4.6406140021334379E-3</c:v>
                </c:pt>
                <c:pt idx="9">
                  <c:v>3.6515500482141319E-2</c:v>
                </c:pt>
                <c:pt idx="10">
                  <c:v>4.4514084693111092E-2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E5D-492F-B301-66A38D93C747}"/>
            </c:ext>
          </c:extLst>
        </c:ser>
        <c:ser>
          <c:idx val="3"/>
          <c:order val="3"/>
          <c:tx>
            <c:strRef>
              <c:f>'Parameters, country spec'!$A$54</c:f>
              <c:strCache>
                <c:ptCount val="1"/>
                <c:pt idx="0">
                  <c:v>Rye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'Parameters, country spec'!$B$50:$L$50</c:f>
              <c:strCache>
                <c:ptCount val="11"/>
                <c:pt idx="0">
                  <c:v>Denmark </c:v>
                </c:pt>
                <c:pt idx="1">
                  <c:v>France</c:v>
                </c:pt>
                <c:pt idx="2">
                  <c:v>Germany</c:v>
                </c:pt>
                <c:pt idx="3">
                  <c:v>Greece</c:v>
                </c:pt>
                <c:pt idx="4">
                  <c:v>Hungary </c:v>
                </c:pt>
                <c:pt idx="5">
                  <c:v>Ireland</c:v>
                </c:pt>
                <c:pt idx="6">
                  <c:v>Italy</c:v>
                </c:pt>
                <c:pt idx="7">
                  <c:v>Netherlands</c:v>
                </c:pt>
                <c:pt idx="8">
                  <c:v>Poland</c:v>
                </c:pt>
                <c:pt idx="9">
                  <c:v>Spain</c:v>
                </c:pt>
                <c:pt idx="10">
                  <c:v>Sweden</c:v>
                </c:pt>
              </c:strCache>
            </c:strRef>
          </c:cat>
          <c:val>
            <c:numRef>
              <c:f>'Parameters, country spec'!$B$54:$L$54</c:f>
              <c:numCache>
                <c:formatCode>0.000</c:formatCode>
                <c:ptCount val="11"/>
                <c:pt idx="0">
                  <c:v>4.51494616085791E-3</c:v>
                </c:pt>
                <c:pt idx="1">
                  <c:v>2.1937584574387714E-3</c:v>
                </c:pt>
                <c:pt idx="2">
                  <c:v>1.9541510758390463E-2</c:v>
                </c:pt>
                <c:pt idx="3">
                  <c:v>6.2087991549964992E-3</c:v>
                </c:pt>
                <c:pt idx="4">
                  <c:v>1.6957674600878863E-2</c:v>
                </c:pt>
                <c:pt idx="5">
                  <c:v>0</c:v>
                </c:pt>
                <c:pt idx="6">
                  <c:v>1.267327737906786E-3</c:v>
                </c:pt>
                <c:pt idx="7">
                  <c:v>1.1502904226828169E-2</c:v>
                </c:pt>
                <c:pt idx="8">
                  <c:v>6.0589398675378506E-2</c:v>
                </c:pt>
                <c:pt idx="9">
                  <c:v>9.6385221901474638E-3</c:v>
                </c:pt>
                <c:pt idx="10">
                  <c:v>2.791271755500447E-2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E5D-492F-B301-66A38D93C747}"/>
            </c:ext>
          </c:extLst>
        </c:ser>
        <c:ser>
          <c:idx val="4"/>
          <c:order val="4"/>
          <c:tx>
            <c:strRef>
              <c:f>'Parameters, country spec'!$A$55</c:f>
              <c:strCache>
                <c:ptCount val="1"/>
                <c:pt idx="0">
                  <c:v>Wheat, average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'Parameters, country spec'!$B$50:$L$50</c:f>
              <c:strCache>
                <c:ptCount val="11"/>
                <c:pt idx="0">
                  <c:v>Denmark </c:v>
                </c:pt>
                <c:pt idx="1">
                  <c:v>France</c:v>
                </c:pt>
                <c:pt idx="2">
                  <c:v>Germany</c:v>
                </c:pt>
                <c:pt idx="3">
                  <c:v>Greece</c:v>
                </c:pt>
                <c:pt idx="4">
                  <c:v>Hungary </c:v>
                </c:pt>
                <c:pt idx="5">
                  <c:v>Ireland</c:v>
                </c:pt>
                <c:pt idx="6">
                  <c:v>Italy</c:v>
                </c:pt>
                <c:pt idx="7">
                  <c:v>Netherlands</c:v>
                </c:pt>
                <c:pt idx="8">
                  <c:v>Poland</c:v>
                </c:pt>
                <c:pt idx="9">
                  <c:v>Spain</c:v>
                </c:pt>
                <c:pt idx="10">
                  <c:v>Sweden</c:v>
                </c:pt>
              </c:strCache>
            </c:strRef>
          </c:cat>
          <c:val>
            <c:numRef>
              <c:f>'Parameters, country spec'!$B$55:$L$55</c:f>
              <c:numCache>
                <c:formatCode>0.000</c:formatCode>
                <c:ptCount val="11"/>
                <c:pt idx="0">
                  <c:v>0.38248293914828163</c:v>
                </c:pt>
                <c:pt idx="1">
                  <c:v>0.3071136882649414</c:v>
                </c:pt>
                <c:pt idx="2">
                  <c:v>0.3995866037890955</c:v>
                </c:pt>
                <c:pt idx="3">
                  <c:v>4.4524958443786893E-3</c:v>
                </c:pt>
                <c:pt idx="4">
                  <c:v>7.628681688543347E-2</c:v>
                </c:pt>
                <c:pt idx="5">
                  <c:v>0.13925979577085976</c:v>
                </c:pt>
                <c:pt idx="6">
                  <c:v>7.2547926670853705E-2</c:v>
                </c:pt>
                <c:pt idx="7">
                  <c:v>0.3148913290076189</c:v>
                </c:pt>
                <c:pt idx="8">
                  <c:v>0.24361814433589279</c:v>
                </c:pt>
                <c:pt idx="9">
                  <c:v>0.1983893041241141</c:v>
                </c:pt>
                <c:pt idx="10">
                  <c:v>0.32729029603711124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E5D-492F-B301-66A38D93C747}"/>
            </c:ext>
          </c:extLst>
        </c:ser>
        <c:ser>
          <c:idx val="5"/>
          <c:order val="5"/>
          <c:tx>
            <c:strRef>
              <c:f>'Parameters, country spec'!$A$56</c:f>
              <c:strCache>
                <c:ptCount val="1"/>
                <c:pt idx="0">
                  <c:v>Peas, dry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'Parameters, country spec'!$B$50:$L$50</c:f>
              <c:strCache>
                <c:ptCount val="11"/>
                <c:pt idx="0">
                  <c:v>Denmark </c:v>
                </c:pt>
                <c:pt idx="1">
                  <c:v>France</c:v>
                </c:pt>
                <c:pt idx="2">
                  <c:v>Germany</c:v>
                </c:pt>
                <c:pt idx="3">
                  <c:v>Greece</c:v>
                </c:pt>
                <c:pt idx="4">
                  <c:v>Hungary </c:v>
                </c:pt>
                <c:pt idx="5">
                  <c:v>Ireland</c:v>
                </c:pt>
                <c:pt idx="6">
                  <c:v>Italy</c:v>
                </c:pt>
                <c:pt idx="7">
                  <c:v>Netherlands</c:v>
                </c:pt>
                <c:pt idx="8">
                  <c:v>Poland</c:v>
                </c:pt>
                <c:pt idx="9">
                  <c:v>Spain</c:v>
                </c:pt>
                <c:pt idx="10">
                  <c:v>Sweden</c:v>
                </c:pt>
              </c:strCache>
            </c:strRef>
          </c:cat>
          <c:val>
            <c:numRef>
              <c:f>'Parameters, country spec'!$B$56:$L$56</c:f>
              <c:numCache>
                <c:formatCode>0.000</c:formatCode>
                <c:ptCount val="11"/>
                <c:pt idx="0">
                  <c:v>6.8542948324505366E-4</c:v>
                </c:pt>
                <c:pt idx="1">
                  <c:v>0</c:v>
                </c:pt>
                <c:pt idx="2">
                  <c:v>1.0131711160295312E-3</c:v>
                </c:pt>
                <c:pt idx="3">
                  <c:v>5.845915682035752E-4</c:v>
                </c:pt>
                <c:pt idx="4">
                  <c:v>1.2341034732070693E-3</c:v>
                </c:pt>
                <c:pt idx="5">
                  <c:v>1.1454548896642795E-3</c:v>
                </c:pt>
                <c:pt idx="6">
                  <c:v>2.5433923789394469E-3</c:v>
                </c:pt>
                <c:pt idx="7">
                  <c:v>0</c:v>
                </c:pt>
                <c:pt idx="8">
                  <c:v>2.991599679734269E-3</c:v>
                </c:pt>
                <c:pt idx="9">
                  <c:v>5.3686520456970328E-3</c:v>
                </c:pt>
                <c:pt idx="10">
                  <c:v>4.8974646420038275E-3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E5D-492F-B301-66A38D93C747}"/>
            </c:ext>
          </c:extLst>
        </c:ser>
        <c:ser>
          <c:idx val="6"/>
          <c:order val="6"/>
          <c:tx>
            <c:strRef>
              <c:f>'Parameters, country spec'!$A$57</c:f>
              <c:strCache>
                <c:ptCount val="1"/>
                <c:pt idx="0">
                  <c:v>Broad beans and horse beans, dry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'Parameters, country spec'!$B$50:$L$50</c:f>
              <c:strCache>
                <c:ptCount val="11"/>
                <c:pt idx="0">
                  <c:v>Denmark </c:v>
                </c:pt>
                <c:pt idx="1">
                  <c:v>France</c:v>
                </c:pt>
                <c:pt idx="2">
                  <c:v>Germany</c:v>
                </c:pt>
                <c:pt idx="3">
                  <c:v>Greece</c:v>
                </c:pt>
                <c:pt idx="4">
                  <c:v>Hungary </c:v>
                </c:pt>
                <c:pt idx="5">
                  <c:v>Ireland</c:v>
                </c:pt>
                <c:pt idx="6">
                  <c:v>Italy</c:v>
                </c:pt>
                <c:pt idx="7">
                  <c:v>Netherlands</c:v>
                </c:pt>
                <c:pt idx="8">
                  <c:v>Poland</c:v>
                </c:pt>
                <c:pt idx="9">
                  <c:v>Spain</c:v>
                </c:pt>
                <c:pt idx="10">
                  <c:v>Sweden</c:v>
                </c:pt>
              </c:strCache>
            </c:strRef>
          </c:cat>
          <c:val>
            <c:numRef>
              <c:f>'Parameters, country spec'!$B$57:$L$57</c:f>
              <c:numCache>
                <c:formatCode>0.000</c:formatCode>
                <c:ptCount val="11"/>
                <c:pt idx="0">
                  <c:v>6.7331763024622358E-4</c:v>
                </c:pt>
                <c:pt idx="1">
                  <c:v>0</c:v>
                </c:pt>
                <c:pt idx="2">
                  <c:v>9.9526791640472964E-4</c:v>
                </c:pt>
                <c:pt idx="3">
                  <c:v>5.7426156851415682E-4</c:v>
                </c:pt>
                <c:pt idx="4">
                  <c:v>1.2122962960188174E-3</c:v>
                </c:pt>
                <c:pt idx="5">
                  <c:v>1.1252141741918337E-3</c:v>
                </c:pt>
                <c:pt idx="6">
                  <c:v>2.4984494632570358E-3</c:v>
                </c:pt>
                <c:pt idx="7">
                  <c:v>0</c:v>
                </c:pt>
                <c:pt idx="8">
                  <c:v>2.9387367369754832E-3</c:v>
                </c:pt>
                <c:pt idx="9">
                  <c:v>5.2737854896075754E-3</c:v>
                </c:pt>
                <c:pt idx="10">
                  <c:v>5.63859541846429E-2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E5D-492F-B301-66A38D93C747}"/>
            </c:ext>
          </c:extLst>
        </c:ser>
        <c:ser>
          <c:idx val="7"/>
          <c:order val="7"/>
          <c:tx>
            <c:strRef>
              <c:f>'Parameters, country spec'!$A$58</c:f>
              <c:strCache>
                <c:ptCount val="1"/>
                <c:pt idx="0">
                  <c:v>Rape seed cake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'Parameters, country spec'!$B$50:$L$50</c:f>
              <c:strCache>
                <c:ptCount val="11"/>
                <c:pt idx="0">
                  <c:v>Denmark </c:v>
                </c:pt>
                <c:pt idx="1">
                  <c:v>France</c:v>
                </c:pt>
                <c:pt idx="2">
                  <c:v>Germany</c:v>
                </c:pt>
                <c:pt idx="3">
                  <c:v>Greece</c:v>
                </c:pt>
                <c:pt idx="4">
                  <c:v>Hungary </c:v>
                </c:pt>
                <c:pt idx="5">
                  <c:v>Ireland</c:v>
                </c:pt>
                <c:pt idx="6">
                  <c:v>Italy</c:v>
                </c:pt>
                <c:pt idx="7">
                  <c:v>Netherlands</c:v>
                </c:pt>
                <c:pt idx="8">
                  <c:v>Poland</c:v>
                </c:pt>
                <c:pt idx="9">
                  <c:v>Spain</c:v>
                </c:pt>
                <c:pt idx="10">
                  <c:v>Sweden</c:v>
                </c:pt>
              </c:strCache>
            </c:strRef>
          </c:cat>
          <c:val>
            <c:numRef>
              <c:f>'Parameters, country spec'!$B$58:$L$58</c:f>
              <c:numCache>
                <c:formatCode>0.000</c:formatCode>
                <c:ptCount val="11"/>
                <c:pt idx="0">
                  <c:v>4.3031654703718732E-2</c:v>
                </c:pt>
                <c:pt idx="1">
                  <c:v>6.5712359620242994E-2</c:v>
                </c:pt>
                <c:pt idx="2">
                  <c:v>0.10245487727524298</c:v>
                </c:pt>
                <c:pt idx="3">
                  <c:v>6.3797058479612403E-4</c:v>
                </c:pt>
                <c:pt idx="4">
                  <c:v>5.3262848919712286E-4</c:v>
                </c:pt>
                <c:pt idx="5">
                  <c:v>6.1325136809699698E-2</c:v>
                </c:pt>
                <c:pt idx="6">
                  <c:v>4.284169346351941E-3</c:v>
                </c:pt>
                <c:pt idx="7">
                  <c:v>9.9628563901713527E-2</c:v>
                </c:pt>
                <c:pt idx="8">
                  <c:v>2.1562080015962347E-2</c:v>
                </c:pt>
                <c:pt idx="9">
                  <c:v>1.5548125301861329E-2</c:v>
                </c:pt>
                <c:pt idx="10">
                  <c:v>2.9607485666187296E-2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E5D-492F-B301-66A38D93C747}"/>
            </c:ext>
          </c:extLst>
        </c:ser>
        <c:ser>
          <c:idx val="8"/>
          <c:order val="8"/>
          <c:tx>
            <c:strRef>
              <c:f>'Parameters, country spec'!$A$59</c:f>
              <c:strCache>
                <c:ptCount val="1"/>
                <c:pt idx="0">
                  <c:v>Soy cake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'Parameters, country spec'!$B$50:$L$50</c:f>
              <c:strCache>
                <c:ptCount val="11"/>
                <c:pt idx="0">
                  <c:v>Denmark </c:v>
                </c:pt>
                <c:pt idx="1">
                  <c:v>France</c:v>
                </c:pt>
                <c:pt idx="2">
                  <c:v>Germany</c:v>
                </c:pt>
                <c:pt idx="3">
                  <c:v>Greece</c:v>
                </c:pt>
                <c:pt idx="4">
                  <c:v>Hungary </c:v>
                </c:pt>
                <c:pt idx="5">
                  <c:v>Ireland</c:v>
                </c:pt>
                <c:pt idx="6">
                  <c:v>Italy</c:v>
                </c:pt>
                <c:pt idx="7">
                  <c:v>Netherlands</c:v>
                </c:pt>
                <c:pt idx="8">
                  <c:v>Poland</c:v>
                </c:pt>
                <c:pt idx="9">
                  <c:v>Spain</c:v>
                </c:pt>
                <c:pt idx="10">
                  <c:v>Sweden</c:v>
                </c:pt>
              </c:strCache>
            </c:strRef>
          </c:cat>
          <c:val>
            <c:numRef>
              <c:f>'Parameters, country spec'!$B$59:$L$59</c:f>
              <c:numCache>
                <c:formatCode>0.000</c:formatCode>
                <c:ptCount val="11"/>
                <c:pt idx="0">
                  <c:v>0.10602252816548562</c:v>
                </c:pt>
                <c:pt idx="1">
                  <c:v>5.9204115032777505E-2</c:v>
                </c:pt>
                <c:pt idx="2">
                  <c:v>9.8444949495570894E-2</c:v>
                </c:pt>
                <c:pt idx="3">
                  <c:v>0.11241452525969123</c:v>
                </c:pt>
                <c:pt idx="4">
                  <c:v>0.10156185400666515</c:v>
                </c:pt>
                <c:pt idx="5">
                  <c:v>0.11669629260686681</c:v>
                </c:pt>
                <c:pt idx="6">
                  <c:v>0.10577119653817733</c:v>
                </c:pt>
                <c:pt idx="7">
                  <c:v>0.1286654213096709</c:v>
                </c:pt>
                <c:pt idx="8">
                  <c:v>7.5207791399536594E-2</c:v>
                </c:pt>
                <c:pt idx="9">
                  <c:v>0.13291079265233652</c:v>
                </c:pt>
                <c:pt idx="10">
                  <c:v>3.870789973314008E-2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E5D-492F-B301-66A38D93C747}"/>
            </c:ext>
          </c:extLst>
        </c:ser>
        <c:ser>
          <c:idx val="9"/>
          <c:order val="9"/>
          <c:tx>
            <c:strRef>
              <c:f>'Parameters, country spec'!$A$60</c:f>
              <c:strCache>
                <c:ptCount val="1"/>
                <c:pt idx="0">
                  <c:v>By-products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'Parameters, country spec'!$B$50:$L$50</c:f>
              <c:strCache>
                <c:ptCount val="11"/>
                <c:pt idx="0">
                  <c:v>Denmark </c:v>
                </c:pt>
                <c:pt idx="1">
                  <c:v>France</c:v>
                </c:pt>
                <c:pt idx="2">
                  <c:v>Germany</c:v>
                </c:pt>
                <c:pt idx="3">
                  <c:v>Greece</c:v>
                </c:pt>
                <c:pt idx="4">
                  <c:v>Hungary </c:v>
                </c:pt>
                <c:pt idx="5">
                  <c:v>Ireland</c:v>
                </c:pt>
                <c:pt idx="6">
                  <c:v>Italy</c:v>
                </c:pt>
                <c:pt idx="7">
                  <c:v>Netherlands</c:v>
                </c:pt>
                <c:pt idx="8">
                  <c:v>Poland</c:v>
                </c:pt>
                <c:pt idx="9">
                  <c:v>Spain</c:v>
                </c:pt>
                <c:pt idx="10">
                  <c:v>Sweden</c:v>
                </c:pt>
              </c:strCache>
            </c:strRef>
          </c:cat>
          <c:val>
            <c:numRef>
              <c:f>'Parameters, country spec'!$B$60:$L$60</c:f>
              <c:numCache>
                <c:formatCode>0.000</c:formatCode>
                <c:ptCount val="11"/>
                <c:pt idx="0">
                  <c:v>2.0689296849175431E-2</c:v>
                </c:pt>
                <c:pt idx="1">
                  <c:v>0.13544080782911672</c:v>
                </c:pt>
                <c:pt idx="2">
                  <c:v>5.9385537635242069E-2</c:v>
                </c:pt>
                <c:pt idx="3">
                  <c:v>0.20877995561194154</c:v>
                </c:pt>
                <c:pt idx="4">
                  <c:v>9.5062170376133001E-2</c:v>
                </c:pt>
                <c:pt idx="5">
                  <c:v>0.11525659877844663</c:v>
                </c:pt>
                <c:pt idx="6">
                  <c:v>0.11165861814394411</c:v>
                </c:pt>
                <c:pt idx="7">
                  <c:v>1.4018629630909798E-2</c:v>
                </c:pt>
                <c:pt idx="8">
                  <c:v>9.4806706828735279E-2</c:v>
                </c:pt>
                <c:pt idx="9">
                  <c:v>2.2106782917467743E-2</c:v>
                </c:pt>
                <c:pt idx="10">
                  <c:v>0.11190565161757876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E5D-492F-B301-66A38D93C747}"/>
            </c:ext>
          </c:extLst>
        </c:ser>
        <c:ser>
          <c:idx val="10"/>
          <c:order val="10"/>
          <c:tx>
            <c:strRef>
              <c:f>'Parameters, country spec'!$A$61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'Parameters, country spec'!$B$50:$L$50</c:f>
              <c:strCache>
                <c:ptCount val="11"/>
                <c:pt idx="0">
                  <c:v>Denmark </c:v>
                </c:pt>
                <c:pt idx="1">
                  <c:v>France</c:v>
                </c:pt>
                <c:pt idx="2">
                  <c:v>Germany</c:v>
                </c:pt>
                <c:pt idx="3">
                  <c:v>Greece</c:v>
                </c:pt>
                <c:pt idx="4">
                  <c:v>Hungary </c:v>
                </c:pt>
                <c:pt idx="5">
                  <c:v>Ireland</c:v>
                </c:pt>
                <c:pt idx="6">
                  <c:v>Italy</c:v>
                </c:pt>
                <c:pt idx="7">
                  <c:v>Netherlands</c:v>
                </c:pt>
                <c:pt idx="8">
                  <c:v>Poland</c:v>
                </c:pt>
                <c:pt idx="9">
                  <c:v>Spain</c:v>
                </c:pt>
                <c:pt idx="10">
                  <c:v>Sweden</c:v>
                </c:pt>
              </c:strCache>
            </c:strRef>
          </c:cat>
          <c:val>
            <c:numRef>
              <c:f>'Parameters, country spec'!$B$61:$L$61</c:f>
              <c:numCache>
                <c:formatCode>0.000</c:formatCode>
                <c:ptCount val="11"/>
                <c:pt idx="0">
                  <c:v>4.2856402804849376E-2</c:v>
                </c:pt>
                <c:pt idx="1">
                  <c:v>8.264431145809123E-2</c:v>
                </c:pt>
                <c:pt idx="2">
                  <c:v>2.0815236540508923E-2</c:v>
                </c:pt>
                <c:pt idx="3">
                  <c:v>0.2248222563474461</c:v>
                </c:pt>
                <c:pt idx="4">
                  <c:v>9.8889395508288569E-2</c:v>
                </c:pt>
                <c:pt idx="5">
                  <c:v>0.13289984612812167</c:v>
                </c:pt>
                <c:pt idx="6">
                  <c:v>0.10611246875993111</c:v>
                </c:pt>
                <c:pt idx="7">
                  <c:v>5.5693036951869904E-2</c:v>
                </c:pt>
                <c:pt idx="8">
                  <c:v>0.12643407910144272</c:v>
                </c:pt>
                <c:pt idx="9">
                  <c:v>3.1165410382042506E-2</c:v>
                </c:pt>
                <c:pt idx="10">
                  <c:v>9.3875935928454946E-2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E5D-492F-B301-66A38D93C7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01381295"/>
        <c:axId val="1066917903"/>
      </c:barChart>
      <c:catAx>
        <c:axId val="1001381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066917903"/>
        <c:crosses val="autoZero"/>
        <c:auto val="1"/>
        <c:lblAlgn val="ctr"/>
        <c:lblOffset val="100"/>
        <c:noMultiLvlLbl val="0"/>
      </c:catAx>
      <c:valAx>
        <c:axId val="1066917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001381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156602</xdr:rowOff>
    </xdr:from>
    <xdr:to>
      <xdr:col>13</xdr:col>
      <xdr:colOff>133350</xdr:colOff>
      <xdr:row>25</xdr:row>
      <xdr:rowOff>6895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1716538-0B0E-AE6A-904A-C4826EA67E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19</xdr:col>
      <xdr:colOff>285958</xdr:colOff>
      <xdr:row>5</xdr:row>
      <xdr:rowOff>8758</xdr:rowOff>
    </xdr:from>
    <xdr:to>
      <xdr:col>26</xdr:col>
      <xdr:colOff>474400</xdr:colOff>
      <xdr:row>17</xdr:row>
      <xdr:rowOff>171234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52BB5CA-E54D-60D4-A474-7B63C72B88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276510" y="1007241"/>
          <a:ext cx="4480166" cy="3192959"/>
        </a:xfrm>
        <a:prstGeom prst="rect">
          <a:avLst/>
        </a:prstGeom>
      </xdr:spPr>
    </xdr:pic>
    <xdr:clientData/>
  </xdr:twoCellAnchor>
  <xdr:twoCellAnchor>
    <xdr:from>
      <xdr:col>0</xdr:col>
      <xdr:colOff>48172</xdr:colOff>
      <xdr:row>31</xdr:row>
      <xdr:rowOff>29779</xdr:rowOff>
    </xdr:from>
    <xdr:to>
      <xdr:col>6</xdr:col>
      <xdr:colOff>599965</xdr:colOff>
      <xdr:row>48</xdr:row>
      <xdr:rowOff>131379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91EF4D-10A8-8E14-BB14-15FBB790F7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409575</xdr:colOff>
      <xdr:row>47</xdr:row>
      <xdr:rowOff>19050</xdr:rowOff>
    </xdr:from>
    <xdr:to>
      <xdr:col>19</xdr:col>
      <xdr:colOff>361950</xdr:colOff>
      <xdr:row>63</xdr:row>
      <xdr:rowOff>66676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37E41A-296A-C3EF-0D4A-AD2F6B221F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19051</xdr:colOff>
      <xdr:row>108</xdr:row>
      <xdr:rowOff>95250</xdr:rowOff>
    </xdr:from>
    <xdr:to>
      <xdr:col>20</xdr:col>
      <xdr:colOff>155582</xdr:colOff>
      <xdr:row>122</xdr:row>
      <xdr:rowOff>149158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E812A1D-7C68-4D3E-1E65-6B660BC6DC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516101" y="19688175"/>
          <a:ext cx="4813306" cy="257231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106</xdr:row>
      <xdr:rowOff>27085</xdr:rowOff>
    </xdr:from>
    <xdr:to>
      <xdr:col>9</xdr:col>
      <xdr:colOff>831388</xdr:colOff>
      <xdr:row>133</xdr:row>
      <xdr:rowOff>112057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75AC77A-6961-4079-9F03-EBF8100482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279265"/>
          <a:ext cx="9016406" cy="502273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31</xdr:row>
      <xdr:rowOff>70847</xdr:rowOff>
    </xdr:from>
    <xdr:to>
      <xdr:col>8</xdr:col>
      <xdr:colOff>9526</xdr:colOff>
      <xdr:row>46</xdr:row>
      <xdr:rowOff>19558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6052547"/>
          <a:ext cx="5810250" cy="2806211"/>
        </a:xfrm>
        <a:prstGeom prst="rect">
          <a:avLst/>
        </a:prstGeom>
      </xdr:spPr>
    </xdr:pic>
    <xdr:clientData/>
  </xdr:twoCellAnchor>
  <xdr:twoCellAnchor editAs="oneCell">
    <xdr:from>
      <xdr:col>0</xdr:col>
      <xdr:colOff>66674</xdr:colOff>
      <xdr:row>5</xdr:row>
      <xdr:rowOff>135276</xdr:rowOff>
    </xdr:from>
    <xdr:to>
      <xdr:col>7</xdr:col>
      <xdr:colOff>581024</xdr:colOff>
      <xdr:row>28</xdr:row>
      <xdr:rowOff>27540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4" y="1163976"/>
          <a:ext cx="5705475" cy="4273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/>
  </sheetPr>
  <dimension ref="A2:B29"/>
  <sheetViews>
    <sheetView zoomScale="80" zoomScaleNormal="80" workbookViewId="0">
      <selection activeCell="E31" sqref="E31"/>
    </sheetView>
  </sheetViews>
  <sheetFormatPr defaultColWidth="8.7109375" defaultRowHeight="15" x14ac:dyDescent="0.25"/>
  <cols>
    <col min="1" max="1" width="8.5703125" style="30"/>
    <col min="2" max="2" width="18.42578125" customWidth="1"/>
    <col min="3" max="3" width="31.42578125" customWidth="1"/>
    <col min="4" max="4" width="24.5703125" customWidth="1"/>
  </cols>
  <sheetData>
    <row r="2" spans="1:1" ht="21" x14ac:dyDescent="0.35">
      <c r="A2" s="63" t="s">
        <v>0</v>
      </c>
    </row>
    <row r="4" spans="1:1" x14ac:dyDescent="0.25">
      <c r="A4" s="30" t="s">
        <v>535</v>
      </c>
    </row>
    <row r="7" spans="1:1" x14ac:dyDescent="0.25">
      <c r="A7" s="30" t="s">
        <v>1</v>
      </c>
    </row>
    <row r="17" spans="1:2" x14ac:dyDescent="0.25">
      <c r="A17" s="30" t="s">
        <v>2</v>
      </c>
    </row>
    <row r="19" spans="1:2" x14ac:dyDescent="0.25">
      <c r="A19" s="82"/>
      <c r="B19" t="s">
        <v>3</v>
      </c>
    </row>
    <row r="20" spans="1:2" x14ac:dyDescent="0.25">
      <c r="A20" s="106"/>
      <c r="B20" t="s">
        <v>4</v>
      </c>
    </row>
    <row r="21" spans="1:2" x14ac:dyDescent="0.25">
      <c r="A21" s="107"/>
      <c r="B21" t="s">
        <v>5</v>
      </c>
    </row>
    <row r="22" spans="1:2" x14ac:dyDescent="0.25">
      <c r="A22" s="332"/>
      <c r="B22" t="s">
        <v>10</v>
      </c>
    </row>
    <row r="26" spans="1:2" x14ac:dyDescent="0.25">
      <c r="A26" s="108" t="s">
        <v>6</v>
      </c>
    </row>
    <row r="27" spans="1:2" x14ac:dyDescent="0.25">
      <c r="A27" s="30" t="s">
        <v>7</v>
      </c>
    </row>
    <row r="28" spans="1:2" x14ac:dyDescent="0.25">
      <c r="A28" s="30" t="s">
        <v>8</v>
      </c>
    </row>
    <row r="29" spans="1:2" x14ac:dyDescent="0.25">
      <c r="A29" s="30" t="s">
        <v>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A76AF-D044-4984-908D-510EF5A11805}">
  <sheetPr>
    <tabColor theme="1" tint="0.499984740745262"/>
  </sheetPr>
  <dimension ref="A2:R43"/>
  <sheetViews>
    <sheetView zoomScale="87" workbookViewId="0">
      <selection activeCell="O9" sqref="O9"/>
    </sheetView>
  </sheetViews>
  <sheetFormatPr defaultColWidth="8.7109375" defaultRowHeight="15" x14ac:dyDescent="0.25"/>
  <cols>
    <col min="1" max="1" width="13.7109375" customWidth="1"/>
  </cols>
  <sheetData>
    <row r="2" spans="1:18" ht="21" x14ac:dyDescent="0.35">
      <c r="A2" s="2" t="s">
        <v>10</v>
      </c>
    </row>
    <row r="4" spans="1:18" ht="18.75" x14ac:dyDescent="0.3">
      <c r="A4" s="1" t="s">
        <v>531</v>
      </c>
    </row>
    <row r="6" spans="1:18" ht="75" x14ac:dyDescent="0.25">
      <c r="B6" s="257" t="s">
        <v>11</v>
      </c>
      <c r="C6" s="257" t="s">
        <v>12</v>
      </c>
      <c r="D6" s="257" t="s">
        <v>13</v>
      </c>
      <c r="E6" s="257" t="s">
        <v>14</v>
      </c>
      <c r="F6" s="257" t="s">
        <v>15</v>
      </c>
      <c r="G6" s="257" t="s">
        <v>16</v>
      </c>
      <c r="H6" s="257" t="s">
        <v>17</v>
      </c>
      <c r="I6" s="258" t="s">
        <v>18</v>
      </c>
      <c r="J6" s="258" t="s">
        <v>19</v>
      </c>
      <c r="K6" s="257" t="s">
        <v>20</v>
      </c>
      <c r="L6" s="257" t="s">
        <v>21</v>
      </c>
      <c r="M6" s="257" t="s">
        <v>22</v>
      </c>
      <c r="P6" t="s">
        <v>23</v>
      </c>
      <c r="R6" t="s">
        <v>24</v>
      </c>
    </row>
    <row r="7" spans="1:18" ht="15" customHeight="1" x14ac:dyDescent="0.25">
      <c r="A7" s="124" t="s">
        <v>25</v>
      </c>
      <c r="B7">
        <f>'GHG detailed, results per kg'!H26</f>
        <v>0.47251514284132151</v>
      </c>
      <c r="C7">
        <f>'GHG detailed, results per kg'!I26</f>
        <v>0.16944313463133548</v>
      </c>
      <c r="D7">
        <f>'GHG detailed, results per kg'!J26+'GHG detailed, results per kg'!K26</f>
        <v>0.33311674366896732</v>
      </c>
      <c r="E7">
        <f>'GHG detailed, results per kg'!L26</f>
        <v>0.25618232289368725</v>
      </c>
      <c r="F7">
        <f>'GHG detailed, results per kg'!O26</f>
        <v>0.26086377106810527</v>
      </c>
      <c r="G7">
        <f>'GHG detailed, results per kg'!P26</f>
        <v>0.33414898302855761</v>
      </c>
      <c r="H7">
        <f>'GHG detailed, results per kg'!R26</f>
        <v>0.27365950269162764</v>
      </c>
      <c r="I7">
        <f>'GHG detailed, results per kg'!S26</f>
        <v>0.28281134244442352</v>
      </c>
      <c r="J7">
        <f>'GHG detailed, results per kg'!T26</f>
        <v>4.5193410089727104</v>
      </c>
      <c r="K7">
        <f>'GHG detailed, results per kg'!W26</f>
        <v>0.47188229593986469</v>
      </c>
      <c r="L7">
        <f>'GHG detailed, results per kg'!X26</f>
        <v>1.0878298572097358</v>
      </c>
      <c r="M7">
        <f t="shared" ref="M7:M17" si="0">SUM(B7:L7)</f>
        <v>8.4617941053903358</v>
      </c>
      <c r="P7" t="s">
        <v>25</v>
      </c>
      <c r="R7" t="s">
        <v>25</v>
      </c>
    </row>
    <row r="8" spans="1:18" ht="15" customHeight="1" x14ac:dyDescent="0.25">
      <c r="A8" s="124" t="s">
        <v>26</v>
      </c>
      <c r="B8">
        <f>'GHG detailed, results per kg'!H46</f>
        <v>0.62875327395960723</v>
      </c>
      <c r="C8">
        <f>'GHG detailed, results per kg'!I46</f>
        <v>0.16927802191599761</v>
      </c>
      <c r="D8">
        <f>'GHG detailed, results per kg'!J46+'GHG detailed, results per kg'!K46</f>
        <v>0.90812541927278267</v>
      </c>
      <c r="E8">
        <f>'GHG detailed, results per kg'!L46</f>
        <v>0.16834636238153985</v>
      </c>
      <c r="F8">
        <f>'GHG detailed, results per kg'!O46</f>
        <v>0.25792266539834363</v>
      </c>
      <c r="G8">
        <f>'GHG detailed, results per kg'!P46</f>
        <v>0.31906062994576423</v>
      </c>
      <c r="H8">
        <f>'GHG detailed, results per kg'!R46</f>
        <v>0.31252892765137591</v>
      </c>
      <c r="I8">
        <f>'GHG detailed, results per kg'!S46</f>
        <v>0.27842870089187949</v>
      </c>
      <c r="J8">
        <f>'GHG detailed, results per kg'!T46</f>
        <v>2.8051528727137782</v>
      </c>
      <c r="K8">
        <f>'GHG detailed, results per kg'!W46</f>
        <v>0.39632618393284497</v>
      </c>
      <c r="L8">
        <f>'GHG detailed, results per kg'!X46</f>
        <v>0.88125366450997078</v>
      </c>
      <c r="M8">
        <f t="shared" si="0"/>
        <v>7.1251767225738849</v>
      </c>
      <c r="P8" t="s">
        <v>26</v>
      </c>
      <c r="R8" t="s">
        <v>26</v>
      </c>
    </row>
    <row r="9" spans="1:18" ht="15" customHeight="1" x14ac:dyDescent="0.25">
      <c r="A9" s="124" t="s">
        <v>31</v>
      </c>
      <c r="B9">
        <f>'GHG detailed, results per kg'!H41</f>
        <v>0.45474958806285676</v>
      </c>
      <c r="C9">
        <f>'GHG detailed, results per kg'!I41</f>
        <v>0.17024307925968352</v>
      </c>
      <c r="D9">
        <f>'GHG detailed, results per kg'!J41+'GHG detailed, results per kg'!K41</f>
        <v>0.30297198910537942</v>
      </c>
      <c r="E9">
        <f>'GHG detailed, results per kg'!L41</f>
        <v>0.19600925793559074</v>
      </c>
      <c r="F9">
        <f>'GHG detailed, results per kg'!O41</f>
        <v>0.2404052071720604</v>
      </c>
      <c r="G9">
        <f>'GHG detailed, results per kg'!P41</f>
        <v>0.30478851704144577</v>
      </c>
      <c r="H9">
        <f>'GHG detailed, results per kg'!R41</f>
        <v>0.25183137003861839</v>
      </c>
      <c r="I9">
        <f>'GHG detailed, results per kg'!S41</f>
        <v>0.22438023335584806</v>
      </c>
      <c r="J9">
        <f>'GHG detailed, results per kg'!T41</f>
        <v>2.9613333966506077</v>
      </c>
      <c r="K9">
        <f>'GHG detailed, results per kg'!W41</f>
        <v>0.27218937631253437</v>
      </c>
      <c r="L9">
        <f>'GHG detailed, results per kg'!X41</f>
        <v>0.7455911744870678</v>
      </c>
      <c r="M9">
        <f t="shared" si="0"/>
        <v>6.1244931894216919</v>
      </c>
      <c r="P9" s="333" t="s">
        <v>31</v>
      </c>
      <c r="R9" t="s">
        <v>28</v>
      </c>
    </row>
    <row r="10" spans="1:18" ht="15" customHeight="1" x14ac:dyDescent="0.25">
      <c r="A10" s="124" t="s">
        <v>30</v>
      </c>
      <c r="B10">
        <f>'GHG detailed, results per kg'!H21</f>
        <v>0.69169578573673807</v>
      </c>
      <c r="C10">
        <f>'GHG detailed, results per kg'!I21</f>
        <v>0.17524774106526567</v>
      </c>
      <c r="D10">
        <f>'GHG detailed, results per kg'!J21+'GHG detailed, results per kg'!K21</f>
        <v>0.78474991168770281</v>
      </c>
      <c r="E10">
        <f>'GHG detailed, results per kg'!L21</f>
        <v>0.18168065075742773</v>
      </c>
      <c r="F10">
        <f>'GHG detailed, results per kg'!O21</f>
        <v>0.26390751109453214</v>
      </c>
      <c r="G10">
        <f>'GHG detailed, results per kg'!P21</f>
        <v>0.27126559489593188</v>
      </c>
      <c r="H10">
        <f>'GHG detailed, results per kg'!R21</f>
        <v>0.28080752317592189</v>
      </c>
      <c r="I10">
        <f>'GHG detailed, results per kg'!S21</f>
        <v>0.28163007428588166</v>
      </c>
      <c r="J10">
        <f>'GHG detailed, results per kg'!T21</f>
        <v>1.7740007081842402</v>
      </c>
      <c r="K10">
        <f>'GHG detailed, results per kg'!W21</f>
        <v>0.38055695984011079</v>
      </c>
      <c r="L10">
        <f>'GHG detailed, results per kg'!X21</f>
        <v>0.83258729603447212</v>
      </c>
      <c r="M10">
        <f t="shared" si="0"/>
        <v>5.9181297567582254</v>
      </c>
      <c r="P10" t="s">
        <v>30</v>
      </c>
      <c r="R10" t="s">
        <v>30</v>
      </c>
    </row>
    <row r="11" spans="1:18" ht="15" customHeight="1" x14ac:dyDescent="0.25">
      <c r="A11" s="124" t="s">
        <v>29</v>
      </c>
      <c r="B11">
        <f>'GHG detailed, results per kg'!H51</f>
        <v>0.62159822761800054</v>
      </c>
      <c r="C11">
        <f>'GHG detailed, results per kg'!I51</f>
        <v>0.17858132524035356</v>
      </c>
      <c r="D11">
        <f>'GHG detailed, results per kg'!J51+'GHG detailed, results per kg'!K51</f>
        <v>0.78077974559870877</v>
      </c>
      <c r="E11">
        <f>'GHG detailed, results per kg'!L51</f>
        <v>0.2645126630605657</v>
      </c>
      <c r="F11">
        <f>'GHG detailed, results per kg'!O51</f>
        <v>0.3179172269113188</v>
      </c>
      <c r="G11">
        <f>'GHG detailed, results per kg'!P51</f>
        <v>0.2263666009920037</v>
      </c>
      <c r="H11">
        <f>'GHG detailed, results per kg'!R51</f>
        <v>0.19867620048537227</v>
      </c>
      <c r="I11">
        <f>'GHG detailed, results per kg'!S51</f>
        <v>0.28281134244442352</v>
      </c>
      <c r="J11">
        <f>'GHG detailed, results per kg'!T51</f>
        <v>0.65329288377697114</v>
      </c>
      <c r="K11">
        <f>'GHG detailed, results per kg'!W51</f>
        <v>0.64140136831103012</v>
      </c>
      <c r="L11">
        <f>'GHG detailed, results per kg'!X51</f>
        <v>1.5656990656425853</v>
      </c>
      <c r="M11">
        <f t="shared" si="0"/>
        <v>5.7316366500813327</v>
      </c>
      <c r="P11" s="333" t="s">
        <v>29</v>
      </c>
      <c r="R11" t="s">
        <v>31</v>
      </c>
    </row>
    <row r="12" spans="1:18" ht="15" customHeight="1" x14ac:dyDescent="0.25">
      <c r="A12" s="124" t="s">
        <v>33</v>
      </c>
      <c r="B12">
        <f>'GHG detailed, results per kg'!H56</f>
        <v>0.62609366364631802</v>
      </c>
      <c r="C12">
        <f>'GHG detailed, results per kg'!I56</f>
        <v>0.18926470540341991</v>
      </c>
      <c r="D12">
        <f>'GHG detailed, results per kg'!J56+'GHG detailed, results per kg'!K56</f>
        <v>0.41729961090056789</v>
      </c>
      <c r="E12">
        <f>'GHG detailed, results per kg'!L56</f>
        <v>0.2870131973459692</v>
      </c>
      <c r="F12">
        <f>'GHG detailed, results per kg'!O56</f>
        <v>0.24904614302455735</v>
      </c>
      <c r="G12">
        <f>'GHG detailed, results per kg'!P56</f>
        <v>0.35911706190371412</v>
      </c>
      <c r="H12">
        <f>'GHG detailed, results per kg'!R56</f>
        <v>0.30245702032882432</v>
      </c>
      <c r="I12">
        <f>'GHG detailed, results per kg'!S56</f>
        <v>0.29040890456516738</v>
      </c>
      <c r="J12">
        <f>'GHG detailed, results per kg'!T56</f>
        <v>2.1803049721730052</v>
      </c>
      <c r="K12">
        <f>'GHG detailed, results per kg'!W56</f>
        <v>0.28940494116622351</v>
      </c>
      <c r="L12">
        <f>'GHG detailed, results per kg'!X56</f>
        <v>0.56212540958652324</v>
      </c>
      <c r="M12">
        <f t="shared" si="0"/>
        <v>5.7525356300442905</v>
      </c>
      <c r="P12" t="s">
        <v>33</v>
      </c>
      <c r="R12" t="s">
        <v>32</v>
      </c>
    </row>
    <row r="13" spans="1:18" ht="15" customHeight="1" x14ac:dyDescent="0.25">
      <c r="A13" s="124" t="s">
        <v>27</v>
      </c>
      <c r="B13">
        <f>'GHG detailed, results per kg'!H16</f>
        <v>0.63737686031180718</v>
      </c>
      <c r="C13">
        <f>'GHG detailed, results per kg'!I16</f>
        <v>0.167155212548455</v>
      </c>
      <c r="D13">
        <f>'GHG detailed, results per kg'!J16+'GHG detailed, results per kg'!K16</f>
        <v>0.73893686405469583</v>
      </c>
      <c r="E13">
        <f>'GHG detailed, results per kg'!L16</f>
        <v>0.17216528381767859</v>
      </c>
      <c r="F13">
        <f>'GHG detailed, results per kg'!O16</f>
        <v>0.21375332144284054</v>
      </c>
      <c r="G13">
        <f>'GHG detailed, results per kg'!P16</f>
        <v>0.17506261809639065</v>
      </c>
      <c r="H13">
        <f>'GHG detailed, results per kg'!R16</f>
        <v>0.18375083329023173</v>
      </c>
      <c r="I13">
        <f>'GHG detailed, results per kg'!S16</f>
        <v>0.28463898087383244</v>
      </c>
      <c r="J13">
        <f>'GHG detailed, results per kg'!T16</f>
        <v>2.3100127168070186</v>
      </c>
      <c r="K13">
        <f>'GHG detailed, results per kg'!W16</f>
        <v>0.1913599381653856</v>
      </c>
      <c r="L13">
        <f>'GHG detailed, results per kg'!X16</f>
        <v>0.29265188801856101</v>
      </c>
      <c r="M13">
        <f t="shared" si="0"/>
        <v>5.3668645174268974</v>
      </c>
      <c r="P13" t="s">
        <v>27</v>
      </c>
      <c r="R13" t="s">
        <v>27</v>
      </c>
    </row>
    <row r="14" spans="1:18" ht="15" customHeight="1" x14ac:dyDescent="0.25">
      <c r="A14" s="124" t="s">
        <v>34</v>
      </c>
      <c r="B14">
        <f>'GHG detailed, results per kg'!H31</f>
        <v>0.51241986701112474</v>
      </c>
      <c r="C14">
        <f>'GHG detailed, results per kg'!I31</f>
        <v>0.16925719070175976</v>
      </c>
      <c r="D14">
        <f>'GHG detailed, results per kg'!J31+'GHG detailed, results per kg'!K31</f>
        <v>0.31985717082615728</v>
      </c>
      <c r="E14">
        <f>'GHG detailed, results per kg'!L31</f>
        <v>0.20121631238837454</v>
      </c>
      <c r="F14">
        <f>'GHG detailed, results per kg'!O31</f>
        <v>0.24162020072544385</v>
      </c>
      <c r="G14">
        <f>'GHG detailed, results per kg'!P31</f>
        <v>0.27301428553759027</v>
      </c>
      <c r="H14">
        <f>'GHG detailed, results per kg'!R31</f>
        <v>0.22356717687527505</v>
      </c>
      <c r="I14">
        <f>'GHG detailed, results per kg'!S31</f>
        <v>0.28136403132548721</v>
      </c>
      <c r="J14">
        <f>'GHG detailed, results per kg'!T31</f>
        <v>1.3757456377476673</v>
      </c>
      <c r="K14">
        <f>'GHG detailed, results per kg'!W31</f>
        <v>0.37143362208540542</v>
      </c>
      <c r="L14">
        <f>'GHG detailed, results per kg'!X31</f>
        <v>0.80361469052658818</v>
      </c>
      <c r="M14">
        <f t="shared" si="0"/>
        <v>4.7731101857508733</v>
      </c>
      <c r="P14" s="333" t="s">
        <v>28</v>
      </c>
      <c r="R14" t="s">
        <v>33</v>
      </c>
    </row>
    <row r="15" spans="1:18" ht="15" customHeight="1" x14ac:dyDescent="0.25">
      <c r="A15" s="124" t="s">
        <v>32</v>
      </c>
      <c r="B15">
        <f>'GHG detailed, results per kg'!H36</f>
        <v>0.5022112425446158</v>
      </c>
      <c r="C15">
        <f>'GHG detailed, results per kg'!I36</f>
        <v>0.1579757914447531</v>
      </c>
      <c r="D15">
        <f>'GHG detailed, results per kg'!J36+'GHG detailed, results per kg'!K36</f>
        <v>0.7120505760902025</v>
      </c>
      <c r="E15">
        <f>'GHG detailed, results per kg'!L36</f>
        <v>0.16440475775546048</v>
      </c>
      <c r="F15">
        <f>'GHG detailed, results per kg'!O36</f>
        <v>0.22842458981798852</v>
      </c>
      <c r="G15">
        <f>'GHG detailed, results per kg'!P36</f>
        <v>0.28758244641631153</v>
      </c>
      <c r="H15">
        <f>'GHG detailed, results per kg'!R36</f>
        <v>0.26674907296622075</v>
      </c>
      <c r="I15">
        <f>'GHG detailed, results per kg'!S36</f>
        <v>0.28139873432878004</v>
      </c>
      <c r="J15">
        <f>'GHG detailed, results per kg'!T36</f>
        <v>0.62232910607949132</v>
      </c>
      <c r="K15">
        <f>'GHG detailed, results per kg'!W36</f>
        <v>0.33760761901326669</v>
      </c>
      <c r="L15">
        <f>'GHG detailed, results per kg'!X36</f>
        <v>0.71434305960985423</v>
      </c>
      <c r="M15">
        <f t="shared" si="0"/>
        <v>4.2750769960669457</v>
      </c>
      <c r="P15" t="s">
        <v>32</v>
      </c>
      <c r="R15" t="s">
        <v>29</v>
      </c>
    </row>
    <row r="16" spans="1:18" ht="15" customHeight="1" x14ac:dyDescent="0.25">
      <c r="A16" s="124" t="s">
        <v>35</v>
      </c>
      <c r="B16">
        <f>'GHG detailed, results per kg'!H11</f>
        <v>0.46723393607411901</v>
      </c>
      <c r="C16">
        <f>'GHG detailed, results per kg'!I11</f>
        <v>0.16000250640546121</v>
      </c>
      <c r="D16">
        <f>'GHG detailed, results per kg'!J11+'GHG detailed, results per kg'!K11</f>
        <v>0.95769223643617529</v>
      </c>
      <c r="E16">
        <f>'GHG detailed, results per kg'!L11</f>
        <v>0.17201428431486498</v>
      </c>
      <c r="F16">
        <f>'GHG detailed, results per kg'!O11</f>
        <v>0.2194166664125623</v>
      </c>
      <c r="G16">
        <f>'GHG detailed, results per kg'!P11</f>
        <v>7.6417362567740094E-2</v>
      </c>
      <c r="H16">
        <f>'GHG detailed, results per kg'!R11</f>
        <v>8.0333613125588899E-2</v>
      </c>
      <c r="I16">
        <f>'GHG detailed, results per kg'!S11</f>
        <v>0.2813156440137391</v>
      </c>
      <c r="J16">
        <f>'GHG detailed, results per kg'!T11</f>
        <v>0.66756856039249091</v>
      </c>
      <c r="K16">
        <f>'GHG detailed, results per kg'!W11</f>
        <v>0.33407852518514042</v>
      </c>
      <c r="L16">
        <f>'GHG detailed, results per kg'!X11</f>
        <v>0.69072183656022779</v>
      </c>
      <c r="M16">
        <f t="shared" si="0"/>
        <v>4.1067951714881099</v>
      </c>
      <c r="P16" s="16" t="s">
        <v>36</v>
      </c>
      <c r="R16" t="s">
        <v>36</v>
      </c>
    </row>
    <row r="17" spans="1:18" ht="15" customHeight="1" x14ac:dyDescent="0.25">
      <c r="A17" s="191" t="s">
        <v>37</v>
      </c>
      <c r="B17">
        <f>'GHG detailed, results per kg'!H61</f>
        <v>0.44049117045667241</v>
      </c>
      <c r="C17">
        <f>'GHG detailed, results per kg'!I61</f>
        <v>0.16629496002017696</v>
      </c>
      <c r="D17">
        <f>'GHG detailed, results per kg'!J61+'GHG detailed, results per kg'!K61</f>
        <v>0.90657945429364029</v>
      </c>
      <c r="E17">
        <f>'GHG detailed, results per kg'!L61</f>
        <v>0.22864812706343807</v>
      </c>
      <c r="F17">
        <f>'GHG detailed, results per kg'!O61</f>
        <v>0.20368253965220073</v>
      </c>
      <c r="G17">
        <f>'GHG detailed, results per kg'!P61</f>
        <v>7.9221402670515362E-2</v>
      </c>
      <c r="H17">
        <f>'GHG detailed, results per kg'!R61</f>
        <v>7.7443604441115602E-2</v>
      </c>
      <c r="I17">
        <f>'GHG detailed, results per kg'!S61</f>
        <v>0.28143916063784985</v>
      </c>
      <c r="J17">
        <f>'GHG detailed, results per kg'!T61</f>
        <v>0.68869363025145947</v>
      </c>
      <c r="K17">
        <f>'GHG detailed, results per kg'!W61</f>
        <v>0.10956746799521762</v>
      </c>
      <c r="L17">
        <f>'GHG detailed, results per kg'!X61</f>
        <v>0.28752681656171797</v>
      </c>
      <c r="M17">
        <f t="shared" si="0"/>
        <v>3.4695883340440039</v>
      </c>
      <c r="P17" t="s">
        <v>37</v>
      </c>
      <c r="R17" t="s">
        <v>37</v>
      </c>
    </row>
    <row r="18" spans="1:18" ht="15" customHeight="1" x14ac:dyDescent="0.25">
      <c r="A18" s="258"/>
    </row>
    <row r="19" spans="1:18" ht="15" customHeight="1" x14ac:dyDescent="0.25">
      <c r="A19" s="257"/>
    </row>
    <row r="20" spans="1:18" ht="15" customHeight="1" x14ac:dyDescent="0.25">
      <c r="A20" s="257"/>
      <c r="P20" t="s">
        <v>38</v>
      </c>
    </row>
    <row r="21" spans="1:18" x14ac:dyDescent="0.25">
      <c r="P21" t="s">
        <v>39</v>
      </c>
    </row>
    <row r="22" spans="1:18" x14ac:dyDescent="0.25">
      <c r="P22" t="s">
        <v>40</v>
      </c>
    </row>
    <row r="23" spans="1:18" x14ac:dyDescent="0.25">
      <c r="P23" t="s">
        <v>41</v>
      </c>
    </row>
    <row r="24" spans="1:18" x14ac:dyDescent="0.25">
      <c r="P24" t="s">
        <v>42</v>
      </c>
    </row>
    <row r="25" spans="1:18" x14ac:dyDescent="0.25">
      <c r="P25" t="s">
        <v>532</v>
      </c>
    </row>
    <row r="30" spans="1:18" ht="18.75" x14ac:dyDescent="0.3">
      <c r="A30" s="1" t="s">
        <v>43</v>
      </c>
    </row>
    <row r="33" spans="1:2" x14ac:dyDescent="0.25">
      <c r="A33" t="s">
        <v>35</v>
      </c>
      <c r="B33">
        <v>0.34945446776871281</v>
      </c>
    </row>
    <row r="34" spans="1:2" x14ac:dyDescent="0.25">
      <c r="A34" t="s">
        <v>27</v>
      </c>
      <c r="B34">
        <v>0.47801158608010952</v>
      </c>
    </row>
    <row r="35" spans="1:2" x14ac:dyDescent="0.25">
      <c r="A35" t="s">
        <v>30</v>
      </c>
      <c r="B35">
        <v>0.35489832798949456</v>
      </c>
    </row>
    <row r="36" spans="1:2" x14ac:dyDescent="0.25">
      <c r="A36" t="s">
        <v>25</v>
      </c>
      <c r="B36">
        <v>0.38101451541952891</v>
      </c>
    </row>
    <row r="37" spans="1:2" x14ac:dyDescent="0.25">
      <c r="A37" t="s">
        <v>34</v>
      </c>
      <c r="B37">
        <v>0.34634087786915252</v>
      </c>
    </row>
    <row r="38" spans="1:2" x14ac:dyDescent="0.25">
      <c r="A38" t="s">
        <v>32</v>
      </c>
      <c r="B38">
        <v>0.33400348040348815</v>
      </c>
    </row>
    <row r="39" spans="1:2" x14ac:dyDescent="0.25">
      <c r="A39" t="s">
        <v>31</v>
      </c>
      <c r="B39">
        <v>0.68514742122479899</v>
      </c>
    </row>
    <row r="40" spans="1:2" x14ac:dyDescent="0.25">
      <c r="A40" t="s">
        <v>26</v>
      </c>
      <c r="B40">
        <v>0.47153216234734419</v>
      </c>
    </row>
    <row r="41" spans="1:2" x14ac:dyDescent="0.25">
      <c r="A41" t="s">
        <v>29</v>
      </c>
      <c r="B41">
        <v>0.34621615899915614</v>
      </c>
    </row>
    <row r="42" spans="1:2" x14ac:dyDescent="0.25">
      <c r="A42" t="s">
        <v>33</v>
      </c>
      <c r="B42">
        <v>1.2637785926789111</v>
      </c>
    </row>
    <row r="43" spans="1:2" x14ac:dyDescent="0.25">
      <c r="A43" s="17" t="s">
        <v>37</v>
      </c>
      <c r="B43">
        <v>0.33340768901182843</v>
      </c>
    </row>
  </sheetData>
  <autoFilter ref="A6:M6" xr:uid="{54BA76AF-D044-4984-908D-510EF5A11805}">
    <sortState xmlns:xlrd2="http://schemas.microsoft.com/office/spreadsheetml/2017/richdata2" ref="A7:M17">
      <sortCondition descending="1" ref="M6"/>
    </sortState>
  </autoFilter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tabColor theme="9" tint="0.59999389629810485"/>
  </sheetPr>
  <dimension ref="A2:AA21"/>
  <sheetViews>
    <sheetView topLeftCell="A2" zoomScaleNormal="100" workbookViewId="0">
      <selection activeCell="V20" sqref="V20"/>
    </sheetView>
  </sheetViews>
  <sheetFormatPr defaultColWidth="8.7109375" defaultRowHeight="15" x14ac:dyDescent="0.25"/>
  <cols>
    <col min="1" max="1" width="8.5703125" style="30"/>
    <col min="2" max="2" width="22.5703125" customWidth="1"/>
    <col min="3" max="3" width="25.42578125" customWidth="1"/>
    <col min="4" max="4" width="16.42578125" customWidth="1"/>
    <col min="5" max="11" width="10.42578125" customWidth="1"/>
    <col min="12" max="13" width="14.5703125" customWidth="1"/>
    <col min="14" max="14" width="14.5703125" style="12" customWidth="1"/>
    <col min="15" max="20" width="14.5703125" customWidth="1"/>
    <col min="21" max="21" width="15.5703125" customWidth="1"/>
  </cols>
  <sheetData>
    <row r="2" spans="1:21" ht="21" x14ac:dyDescent="0.35">
      <c r="A2" s="63" t="s">
        <v>44</v>
      </c>
      <c r="M2" s="160" t="s">
        <v>45</v>
      </c>
      <c r="T2" t="s">
        <v>46</v>
      </c>
    </row>
    <row r="3" spans="1:21" x14ac:dyDescent="0.25">
      <c r="P3" s="7"/>
      <c r="R3" s="7"/>
      <c r="S3" s="8"/>
      <c r="T3" s="8"/>
      <c r="U3" s="8"/>
    </row>
    <row r="4" spans="1:21" x14ac:dyDescent="0.25">
      <c r="A4" s="83"/>
      <c r="B4" s="84"/>
      <c r="C4" s="84"/>
      <c r="D4" s="84"/>
      <c r="E4" s="84"/>
      <c r="F4" s="84"/>
      <c r="G4" s="84"/>
      <c r="H4" s="84"/>
      <c r="I4" s="84"/>
      <c r="J4" s="84"/>
      <c r="K4" s="84"/>
      <c r="L4" s="84"/>
      <c r="M4" s="84"/>
      <c r="N4" s="85"/>
      <c r="O4" s="84"/>
      <c r="P4" s="86"/>
      <c r="Q4" s="84"/>
      <c r="R4" s="86"/>
      <c r="S4" s="87"/>
      <c r="T4" s="87"/>
      <c r="U4" s="87"/>
    </row>
    <row r="5" spans="1:21" x14ac:dyDescent="0.25">
      <c r="A5" s="65" t="s">
        <v>47</v>
      </c>
      <c r="B5" s="46"/>
      <c r="C5" s="46"/>
      <c r="D5" s="52"/>
      <c r="E5" s="52"/>
      <c r="F5" s="171" t="s">
        <v>48</v>
      </c>
      <c r="G5" s="52"/>
      <c r="H5" s="52"/>
      <c r="I5" s="52"/>
      <c r="J5" s="52"/>
      <c r="K5" s="52"/>
      <c r="L5" s="40" t="s">
        <v>49</v>
      </c>
      <c r="M5" s="40" t="s">
        <v>50</v>
      </c>
      <c r="N5" s="40" t="s">
        <v>51</v>
      </c>
      <c r="O5" s="40" t="s">
        <v>52</v>
      </c>
      <c r="P5" s="41" t="s">
        <v>53</v>
      </c>
      <c r="Q5" s="41" t="s">
        <v>54</v>
      </c>
      <c r="R5" s="41" t="s">
        <v>55</v>
      </c>
      <c r="S5" s="41" t="s">
        <v>56</v>
      </c>
      <c r="T5" s="57" t="s">
        <v>57</v>
      </c>
      <c r="U5" s="57" t="s">
        <v>58</v>
      </c>
    </row>
    <row r="6" spans="1:21" s="9" customFormat="1" ht="60" x14ac:dyDescent="0.25">
      <c r="A6" s="67" t="s">
        <v>59</v>
      </c>
      <c r="B6" s="66" t="s">
        <v>60</v>
      </c>
      <c r="C6" s="66" t="s">
        <v>61</v>
      </c>
      <c r="D6" s="68" t="s">
        <v>62</v>
      </c>
      <c r="E6" s="69" t="s">
        <v>63</v>
      </c>
      <c r="F6" s="170" t="s">
        <v>64</v>
      </c>
      <c r="G6" s="169" t="s">
        <v>65</v>
      </c>
      <c r="H6" s="170" t="s">
        <v>66</v>
      </c>
      <c r="I6" s="170" t="s">
        <v>67</v>
      </c>
      <c r="J6" s="170" t="s">
        <v>68</v>
      </c>
      <c r="K6" s="169" t="s">
        <v>69</v>
      </c>
      <c r="L6" s="72" t="s">
        <v>70</v>
      </c>
      <c r="M6" s="72" t="s">
        <v>71</v>
      </c>
      <c r="N6" s="72" t="s">
        <v>72</v>
      </c>
      <c r="O6" s="73" t="s">
        <v>73</v>
      </c>
      <c r="P6" s="74" t="s">
        <v>74</v>
      </c>
      <c r="Q6" s="75" t="s">
        <v>75</v>
      </c>
      <c r="R6" s="75" t="s">
        <v>76</v>
      </c>
      <c r="S6" s="75" t="s">
        <v>77</v>
      </c>
      <c r="T6" s="51" t="s">
        <v>78</v>
      </c>
      <c r="U6" s="51" t="s">
        <v>79</v>
      </c>
    </row>
    <row r="7" spans="1:21" x14ac:dyDescent="0.25">
      <c r="A7" s="270" t="s">
        <v>80</v>
      </c>
      <c r="B7" s="12" t="s">
        <v>81</v>
      </c>
      <c r="C7" s="16" t="s">
        <v>82</v>
      </c>
      <c r="D7" t="s">
        <v>35</v>
      </c>
      <c r="E7" t="s">
        <v>83</v>
      </c>
      <c r="F7" s="11">
        <f>'GHG detailed, results per kg'!G11</f>
        <v>4.130046589615838</v>
      </c>
      <c r="G7" s="11">
        <f>'GHG detailed, results per kg'!G7</f>
        <v>1.9362934239092302</v>
      </c>
      <c r="H7" s="105">
        <f>'GHG detailed, results per kg'!G8</f>
        <v>2.6107373350509424E-3</v>
      </c>
      <c r="I7" s="47">
        <f>'GHG detailed, results per kg'!G9</f>
        <v>2.471565299114856E-2</v>
      </c>
      <c r="J7" s="47">
        <f>'GHG detailed, results per kg'!G10</f>
        <v>5.3063390562676878E-3</v>
      </c>
      <c r="L7" s="18">
        <f>'EFP per kg feed'!F17*FCR_bonefree_incl_parents_DK</f>
        <v>10.292151499531576</v>
      </c>
      <c r="M7" s="19">
        <f>'EFP per kg feed'!G17*FCR_bonefree_incl_parents_DK-Manure_repl_factor_DK*Excreted_N_after_losses_DK</f>
        <v>0.13997193424584617</v>
      </c>
      <c r="N7" s="19">
        <f>'EFP per kg feed'!H17*FCR_bonefree_incl_parents_DK</f>
        <v>1.7708872097753871E-2</v>
      </c>
      <c r="O7" s="18">
        <f>'EFP per kg feed'!I17*FCR_bonefree_incl_parents_DK+'Parameters, country spec'!B113</f>
        <v>0.24003052569397959</v>
      </c>
      <c r="P7" s="33">
        <f>'EFP per kg feed'!J17*FCR_bonefree_incl_parents_DK</f>
        <v>1.4400172139575569</v>
      </c>
      <c r="Q7" s="33">
        <f>'EFP per kg feed'!K17*FCR_bonefree_incl_parents_DK</f>
        <v>9.2742554649429338E-10</v>
      </c>
      <c r="R7" s="33">
        <f>'EFP per kg feed'!L17*FCR_bonefree_incl_parents_DK+NH3_per_kg_DK</f>
        <v>4.4219552137604354E-2</v>
      </c>
      <c r="S7" s="10">
        <f>'Parameters, country spec'!$B$116/Production!$B$35</f>
        <v>2.7003692168260259E-2</v>
      </c>
      <c r="T7" s="4">
        <v>3.7603024624306398</v>
      </c>
      <c r="U7" s="5">
        <v>38.723404255319153</v>
      </c>
    </row>
    <row r="8" spans="1:21" x14ac:dyDescent="0.25">
      <c r="A8" s="270" t="s">
        <v>80</v>
      </c>
      <c r="B8" s="12" t="s">
        <v>81</v>
      </c>
      <c r="C8" s="16" t="s">
        <v>82</v>
      </c>
      <c r="D8" t="s">
        <v>27</v>
      </c>
      <c r="E8" t="s">
        <v>84</v>
      </c>
      <c r="F8" s="11">
        <f>'GHG detailed, results per kg'!G16</f>
        <v>5.417208218419324</v>
      </c>
      <c r="G8" s="11">
        <f>'GHG detailed, results per kg'!G12</f>
        <v>1.7668012005457756</v>
      </c>
      <c r="H8" s="105">
        <f>'GHG detailed, results per kg'!G13</f>
        <v>2.3924705377580029E-3</v>
      </c>
      <c r="I8" s="47">
        <f>'GHG detailed, results per kg'!G14</f>
        <v>8.5274639803432223E-2</v>
      </c>
      <c r="J8" s="47">
        <f>'GHG detailed, results per kg'!G15</f>
        <v>4.6765425683358555E-3</v>
      </c>
      <c r="L8" s="18">
        <f>'EFP per kg feed'!F29*FCR_bonefree_incl_parents_FR</f>
        <v>9.3271779314331109</v>
      </c>
      <c r="M8" s="19">
        <f>'EFP per kg feed'!G29*FCR_bonefree_incl_parents_FR-Manure_repl_factor_FR*Excreted_N_after_losses_FR</f>
        <v>0.13573429594404762</v>
      </c>
      <c r="N8" s="19">
        <f>'EFP per kg feed'!H29*FCR_bonefree_incl_parents_FR</f>
        <v>2.1163373489982096E-2</v>
      </c>
      <c r="O8" s="18">
        <f>'EFP per kg feed'!I29*FCR_bonefree_incl_parents_FR+'Parameters, country spec'!C113</f>
        <v>0.37568772346423918</v>
      </c>
      <c r="P8" s="33">
        <f>'EFP per kg feed'!J29*FCR_bonefree_incl_parents_FR</f>
        <v>1.3872170638559658</v>
      </c>
      <c r="Q8" s="33">
        <f>'EFP per kg feed'!K29*FCR_bonefree_incl_parents_FR</f>
        <v>2.7407510609863085E-9</v>
      </c>
      <c r="R8" s="33">
        <f>'EFP per kg feed'!L29*FCR_bonefree_incl_parents_FR+NH3_per_kg_FR</f>
        <v>4.6048211538127416E-2</v>
      </c>
      <c r="S8" s="10">
        <f>'Parameters, country spec'!$C$116/Production!$C$35</f>
        <v>4.1914964007430972E-2</v>
      </c>
      <c r="T8" s="4">
        <v>3.8528813937224173</v>
      </c>
      <c r="U8" s="5">
        <v>76.777667875590723</v>
      </c>
    </row>
    <row r="9" spans="1:21" x14ac:dyDescent="0.25">
      <c r="A9" s="270" t="s">
        <v>80</v>
      </c>
      <c r="B9" s="12" t="s">
        <v>81</v>
      </c>
      <c r="C9" s="16" t="s">
        <v>82</v>
      </c>
      <c r="D9" t="s">
        <v>30</v>
      </c>
      <c r="E9" t="s">
        <v>85</v>
      </c>
      <c r="F9" s="11">
        <f>'GHG detailed, results per kg'!G21</f>
        <v>5.9785746098338288</v>
      </c>
      <c r="G9" s="11">
        <f>'GHG detailed, results per kg'!G17</f>
        <v>2.7531959626183728</v>
      </c>
      <c r="H9" s="105">
        <f>'GHG detailed, results per kg'!G18</f>
        <v>3.7839546538749195E-3</v>
      </c>
      <c r="I9" s="47">
        <f>'GHG detailed, results per kg'!G19</f>
        <v>6.4925930197767684E-2</v>
      </c>
      <c r="J9" s="47">
        <f>'GHG detailed, results per kg'!G20</f>
        <v>4.9802808908068E-3</v>
      </c>
      <c r="L9" s="18">
        <f>'EFP per kg feed'!F41*FCR_bonefree_incl_parents_DE</f>
        <v>9.8994309477279003</v>
      </c>
      <c r="M9" s="19">
        <f>'EFP per kg feed'!G41*FCR_bonefree_incl_parents_DE-Manure_repl_factor_DE*Excreted_N_after_losses_DE</f>
        <v>0.15793644455131814</v>
      </c>
      <c r="N9" s="19">
        <f>'EFP per kg feed'!H41*FCR_bonefree_incl_parents_DE</f>
        <v>2.1644676678924092E-2</v>
      </c>
      <c r="O9" s="18">
        <f>'EFP per kg feed'!I41*FCR_bonefree_incl_parents_DE+'Parameters, country spec'!D113</f>
        <v>0.22815637260250041</v>
      </c>
      <c r="P9" s="33">
        <f>'EFP per kg feed'!J41*FCR_bonefree_incl_parents_DE</f>
        <v>2.5181390903539986</v>
      </c>
      <c r="Q9" s="33">
        <f>'EFP per kg feed'!K41*FCR_bonefree_incl_parents_DE</f>
        <v>9.0048737385623705E-10</v>
      </c>
      <c r="R9" s="33">
        <f>'EFP per kg feed'!L41*FCR_bonefree_incl_parents_DE+NH3_per_kg_DE</f>
        <v>4.7846813850323133E-2</v>
      </c>
      <c r="S9" s="10">
        <f>'Parameters, country spec'!$D$116/Production!$D$35</f>
        <v>4.6802605497772438E-2</v>
      </c>
      <c r="T9" s="4">
        <v>3.658512280664648</v>
      </c>
      <c r="U9" s="5">
        <v>100.81925243215565</v>
      </c>
    </row>
    <row r="10" spans="1:21" x14ac:dyDescent="0.25">
      <c r="A10" s="270" t="s">
        <v>80</v>
      </c>
      <c r="B10" s="12" t="s">
        <v>81</v>
      </c>
      <c r="C10" s="16" t="s">
        <v>82</v>
      </c>
      <c r="D10" t="s">
        <v>25</v>
      </c>
      <c r="E10" t="s">
        <v>86</v>
      </c>
      <c r="F10" s="11">
        <f>'GHG detailed, results per kg'!G26</f>
        <v>8.5748605457138183</v>
      </c>
      <c r="G10" s="11">
        <f>'GHG detailed, results per kg'!G22</f>
        <v>3.1066522734073239</v>
      </c>
      <c r="H10" s="105">
        <f>'GHG detailed, results per kg'!G23</f>
        <v>4.4234428822943032E-3</v>
      </c>
      <c r="I10" s="47">
        <f>'GHG detailed, results per kg'!G24</f>
        <v>0.16655425626198703</v>
      </c>
      <c r="J10" s="47">
        <f>'GHG detailed, results per kg'!G25</f>
        <v>3.0748159536281073E-3</v>
      </c>
      <c r="L10" s="18">
        <f>'EFP per kg feed'!F42*FCR_bonefree_incl_parents_GR</f>
        <v>23.067974693649266</v>
      </c>
      <c r="M10" s="19">
        <f>'EFP per kg feed'!G42*FCR_bonefree_incl_parents_GR-Manure_repl_factor_GR*Excreted_N_after_losses_GR</f>
        <v>0.11690420833164557</v>
      </c>
      <c r="N10" s="19">
        <f>'EFP per kg feed'!H42*FCR_bonefree_incl_parents_GR</f>
        <v>2.0315545894975202E-2</v>
      </c>
      <c r="O10" s="18">
        <f>'EFP per kg feed'!I42*FCR_bonefree_incl_parents_GR+'Parameters, country spec'!E113</f>
        <v>0.22214014826175682</v>
      </c>
      <c r="P10" s="33">
        <f>'EFP per kg feed'!J42*FCR_bonefree_incl_parents_GR</f>
        <v>1.0485443042567848</v>
      </c>
      <c r="Q10" s="33">
        <f>'EFP per kg feed'!K42*FCR_bonefree_incl_parents_GR</f>
        <v>3.8075265048324497E-8</v>
      </c>
      <c r="R10" s="33">
        <f>'EFP per kg feed'!L53*FCR_bonefree_incl_parents_GR+NH3_per_kg_GR</f>
        <v>4.5717757591778777E-2</v>
      </c>
      <c r="S10" s="10">
        <f>'Parameters, country spec'!$E$116/Production!$E$35</f>
        <v>3.0958065458529062E-2</v>
      </c>
      <c r="T10" s="4">
        <v>3.7782569595637128</v>
      </c>
      <c r="U10" s="5">
        <v>224.64810760087585</v>
      </c>
    </row>
    <row r="11" spans="1:21" x14ac:dyDescent="0.25">
      <c r="A11" s="270" t="s">
        <v>80</v>
      </c>
      <c r="B11" s="12" t="s">
        <v>81</v>
      </c>
      <c r="C11" s="16" t="s">
        <v>82</v>
      </c>
      <c r="D11" t="s">
        <v>34</v>
      </c>
      <c r="E11" t="s">
        <v>87</v>
      </c>
      <c r="F11" s="11">
        <f>'GHG detailed, results per kg'!G31</f>
        <v>4.8295218021396842</v>
      </c>
      <c r="G11" s="11">
        <f>'GHG detailed, results per kg'!G27</f>
        <v>2.52690214611673</v>
      </c>
      <c r="H11" s="105">
        <f>'GHG detailed, results per kg'!G28</f>
        <v>3.8934293357029189E-3</v>
      </c>
      <c r="I11" s="47">
        <f>'GHG detailed, results per kg'!G29</f>
        <v>5.0732607541181411E-2</v>
      </c>
      <c r="J11" s="47">
        <f>'GHG detailed, results per kg'!G30</f>
        <v>2.9919965502091883E-3</v>
      </c>
      <c r="L11" s="18">
        <f>'EFP per kg feed'!F65*FCR_bonefree_incl_parents_HU</f>
        <v>10.993961158693276</v>
      </c>
      <c r="M11" s="19">
        <f>'EFP per kg feed'!G65*FCR_bonefree_incl_parents_HU-Manure_repl_factor_HU*Excreted_N_after_losses_HU</f>
        <v>0.12227568894609971</v>
      </c>
      <c r="N11" s="19">
        <f>'EFP per kg feed'!H65*FCR_bonefree_incl_parents_HU</f>
        <v>2.5164881991581574E-2</v>
      </c>
      <c r="O11" s="18">
        <f>'EFP per kg feed'!I65*FCR_bonefree_incl_parents_HU+'Parameters, country spec'!F113</f>
        <v>0.24979117648953425</v>
      </c>
      <c r="P11" s="33">
        <f>'EFP per kg feed'!J65*FCR_bonefree_incl_parents_HU</f>
        <v>1.0177607513124809</v>
      </c>
      <c r="Q11" s="33">
        <f>'EFP per kg feed'!K65*FCR_bonefree_incl_parents_HU</f>
        <v>9.0646473613629996E-10</v>
      </c>
      <c r="R11" s="33">
        <f>'EFP per kg feed'!L65*FCR_bonefree_incl_parents_HU+NH3_per_kg_HU</f>
        <v>4.3251730189241999E-2</v>
      </c>
      <c r="S11" s="10">
        <f>'Parameters, country spec'!$F$116/Production!$F$35</f>
        <v>0.13366620112121488</v>
      </c>
      <c r="T11" s="4">
        <v>3.6643868424530748</v>
      </c>
      <c r="U11" s="5">
        <v>206.86402934241548</v>
      </c>
    </row>
    <row r="12" spans="1:21" x14ac:dyDescent="0.25">
      <c r="A12" s="270" t="s">
        <v>80</v>
      </c>
      <c r="B12" s="12" t="s">
        <v>81</v>
      </c>
      <c r="C12" s="16" t="s">
        <v>82</v>
      </c>
      <c r="D12" t="s">
        <v>32</v>
      </c>
      <c r="E12" t="s">
        <v>88</v>
      </c>
      <c r="F12" s="11">
        <f>'GHG detailed, results per kg'!G36</f>
        <v>4.3323515031811439</v>
      </c>
      <c r="G12" s="11">
        <f>'GHG detailed, results per kg'!G32</f>
        <v>2.4366669562214711</v>
      </c>
      <c r="H12" s="105">
        <f>'GHG detailed, results per kg'!G33</f>
        <v>2.5653582117266555E-3</v>
      </c>
      <c r="I12" s="47">
        <f>'GHG detailed, results per kg'!G34</f>
        <v>2.1317294792871096E-2</v>
      </c>
      <c r="J12" s="47">
        <f>'GHG detailed, results per kg'!G35</f>
        <v>4.5555674463102509E-3</v>
      </c>
      <c r="L12" s="18">
        <f>'EFP per kg feed'!F77*FCR_bonefree_incl_parents_IE</f>
        <v>8.9675416212548686</v>
      </c>
      <c r="M12" s="19">
        <f>'EFP per kg feed'!G77*FCR_bonefree_incl_parents_IE-Manure_repl_factor_IE*Excreted_N_after_losses_IE</f>
        <v>0.12916069247685663</v>
      </c>
      <c r="N12" s="19">
        <f>'EFP per kg feed'!H77*FCR_bonefree_incl_parents_IE</f>
        <v>1.9192830397007081E-2</v>
      </c>
      <c r="O12" s="18">
        <f>'EFP per kg feed'!I77*FCR_bonefree_incl_parents_IE++'Parameters, country spec'!G113</f>
        <v>0.22479402304223367</v>
      </c>
      <c r="P12" s="33">
        <f>'EFP per kg feed'!J77*FCR_bonefree_incl_parents_IE</f>
        <v>2.0647553483228203</v>
      </c>
      <c r="Q12" s="33">
        <f>'EFP per kg feed'!K77*FCR_bonefree_incl_parents_IE</f>
        <v>9.03531461819809E-10</v>
      </c>
      <c r="R12" s="33">
        <f>'EFP per kg feed'!L77*FCR_bonefree_incl_parents_IE+NH3_per_kg_IE</f>
        <v>4.9815547951186506E-2</v>
      </c>
      <c r="S12" s="10">
        <f>'Parameters, country spec'!$G$116/Production!$G$35</f>
        <v>8.9758069267469848E-2</v>
      </c>
      <c r="T12" s="4">
        <v>3.6547804586127444</v>
      </c>
      <c r="U12" s="5">
        <v>80.832610581092808</v>
      </c>
    </row>
    <row r="13" spans="1:21" x14ac:dyDescent="0.25">
      <c r="A13" s="270" t="s">
        <v>80</v>
      </c>
      <c r="B13" s="12" t="s">
        <v>81</v>
      </c>
      <c r="C13" s="16" t="s">
        <v>82</v>
      </c>
      <c r="D13" t="s">
        <v>31</v>
      </c>
      <c r="E13" t="s">
        <v>89</v>
      </c>
      <c r="F13" s="11">
        <f>'GHG detailed, results per kg'!G41</f>
        <v>6.2138803118695742</v>
      </c>
      <c r="G13" s="11">
        <f>'GHG detailed, results per kg'!G37</f>
        <v>2.3937767976768773</v>
      </c>
      <c r="H13" s="105">
        <f>'GHG detailed, results per kg'!G38</f>
        <v>4.7976361183647738E-3</v>
      </c>
      <c r="I13" s="47">
        <f>'GHG detailed, results per kg'!G39</f>
        <v>0.10354345592564314</v>
      </c>
      <c r="J13" s="47">
        <f>'GHG detailed, results per kg'!G40</f>
        <v>3.2287935819526104E-3</v>
      </c>
      <c r="L13" s="18">
        <f>'EFP per kg feed'!F89*FCR_bonefree_incl_parents_IT</f>
        <v>10.675796445639854</v>
      </c>
      <c r="M13" s="19">
        <f>'EFP per kg feed'!G89*FCR_bonefree_incl_parents_IT-Manure_repl_factor_IT*Excreted_N_after_losses_IT</f>
        <v>0.11921154282316847</v>
      </c>
      <c r="N13" s="19">
        <f>'EFP per kg feed'!H89*FCR_bonefree_incl_parents_IT</f>
        <v>2.5754190485173061E-2</v>
      </c>
      <c r="O13" s="18">
        <f>'EFP per kg feed'!I89*FCR_bonefree_incl_parents_IT+'Parameters, country spec'!H113</f>
        <v>0.5389300640462078</v>
      </c>
      <c r="P13" s="33">
        <f>'EFP per kg feed'!J89*FCR_bonefree_incl_parents_IT</f>
        <v>1.2218156673974709</v>
      </c>
      <c r="Q13" s="33">
        <f>'EFP per kg feed'!K89*FCR_bonefree_incl_parents_IT</f>
        <v>9.8384665564926589E-9</v>
      </c>
      <c r="R13" s="33">
        <f>'EFP per kg feed'!L89*FCR_bonefree_incl_parents_IT+NH3_per_kg_IT</f>
        <v>5.7088518415013584E-2</v>
      </c>
      <c r="S13" s="10">
        <f>'Parameters, country spec'!$H$116/Production!$H$35</f>
        <v>3.5525752284580478E-2</v>
      </c>
      <c r="T13" s="4">
        <v>2.9314832390092738</v>
      </c>
      <c r="U13" s="5">
        <v>261.49843569899554</v>
      </c>
    </row>
    <row r="14" spans="1:21" x14ac:dyDescent="0.25">
      <c r="A14" s="270" t="s">
        <v>80</v>
      </c>
      <c r="B14" s="12" t="s">
        <v>81</v>
      </c>
      <c r="C14" s="16" t="s">
        <v>82</v>
      </c>
      <c r="D14" t="s">
        <v>26</v>
      </c>
      <c r="E14" t="s">
        <v>90</v>
      </c>
      <c r="F14" s="11">
        <f>'GHG detailed, results per kg'!G46</f>
        <v>7.1941901163783379</v>
      </c>
      <c r="G14" s="11">
        <f>'GHG detailed, results per kg'!G42</f>
        <v>2.8350652219445234</v>
      </c>
      <c r="H14" s="105">
        <f>'GHG detailed, results per kg'!G43</f>
        <v>3.934822104894025E-3</v>
      </c>
      <c r="I14" s="47">
        <f>'GHG detailed, results per kg'!G44</f>
        <v>0.10377627061386101</v>
      </c>
      <c r="J14" s="47">
        <f>'GHG detailed, results per kg'!G45</f>
        <v>5.2743878722847108E-3</v>
      </c>
      <c r="L14" s="18">
        <f>'EFP per kg feed'!F101*FCR_bonefree_incl_parents_NL</f>
        <v>9.2562814582881181</v>
      </c>
      <c r="M14" s="19">
        <f>'EFP per kg feed'!G101*FCR_bonefree_incl_parents_NL-Manure_repl_factor_NL*Excreted_N_after_losses_NL</f>
        <v>0.1531996810542961</v>
      </c>
      <c r="N14" s="19">
        <f>'EFP per kg feed'!H101*FCR_bonefree_incl_parents_NL</f>
        <v>2.2927930975302432E-2</v>
      </c>
      <c r="O14" s="18">
        <f>'EFP per kg feed'!I101*FCR_bonefree_incl_parents_NL+'Parameters, country spec'!I113</f>
        <v>0.2516775359226836</v>
      </c>
      <c r="P14" s="33">
        <f>'EFP per kg feed'!J101*FCR_bonefree_incl_parents_NL</f>
        <v>2.840601151277903</v>
      </c>
      <c r="Q14" s="33">
        <f>'EFP per kg feed'!K101*FCR_bonefree_incl_parents_NL</f>
        <v>9.1344275517816103E-10</v>
      </c>
      <c r="R14" s="33">
        <f>'EFP per kg feed'!L101*FCR_bonefree_incl_parents_NL+NH3_per_kg_NL</f>
        <v>4.4542831961414536E-2</v>
      </c>
      <c r="S14" s="10">
        <f>'Parameters, country spec'!$I$116/Production!$I$35</f>
        <v>5.5045243326664772E-2</v>
      </c>
      <c r="T14" s="4">
        <v>3.521250969971935</v>
      </c>
      <c r="U14" s="5">
        <v>64.140830954922777</v>
      </c>
    </row>
    <row r="15" spans="1:21" x14ac:dyDescent="0.25">
      <c r="A15" s="270" t="s">
        <v>80</v>
      </c>
      <c r="B15" s="12" t="s">
        <v>81</v>
      </c>
      <c r="C15" s="16" t="s">
        <v>82</v>
      </c>
      <c r="D15" t="s">
        <v>29</v>
      </c>
      <c r="E15" t="s">
        <v>91</v>
      </c>
      <c r="F15" s="11">
        <f>'GHG detailed, results per kg'!G51</f>
        <v>5.7877932697509387</v>
      </c>
      <c r="G15" s="11">
        <f>'GHG detailed, results per kg'!G47</f>
        <v>3.6556617638456474</v>
      </c>
      <c r="H15" s="105">
        <f>'GHG detailed, results per kg'!G48</f>
        <v>5.5545777988839137E-3</v>
      </c>
      <c r="I15" s="47">
        <f>'GHG detailed, results per kg'!G49</f>
        <v>2.3823351987054903E-2</v>
      </c>
      <c r="J15" s="47">
        <f>'GHG detailed, results per kg'!G50</f>
        <v>4.8475259481614245E-3</v>
      </c>
      <c r="L15" s="18">
        <f>'EFP per kg feed'!F113*FCR_bonefree_incl_parents_PL</f>
        <v>14.194056838473541</v>
      </c>
      <c r="M15" s="19">
        <f>'EFP per kg feed'!G113*FCR_bonefree_incl_parents_PL-Manure_repl_factor_PL*Excreted_N_after_losses_PL</f>
        <v>0.13680097273418437</v>
      </c>
      <c r="N15" s="19">
        <f>'EFP per kg feed'!H113*FCR_bonefree_incl_parents_PL</f>
        <v>2.0929677468442529E-2</v>
      </c>
      <c r="O15" s="18">
        <f>'EFP per kg feed'!I113*FCR_bonefree_incl_parents_PL+'Parameters, country spec'!J113</f>
        <v>0.23125061182044196</v>
      </c>
      <c r="P15" s="33">
        <f>'EFP per kg feed'!J113*FCR_bonefree_incl_parents_PL</f>
        <v>1.408160095608922</v>
      </c>
      <c r="Q15" s="33">
        <f>'EFP per kg feed'!K113*FCR_bonefree_incl_parents_PL</f>
        <v>1.0564905313691649E-9</v>
      </c>
      <c r="R15" s="33">
        <f>'EFP per kg feed'!L113*FCR_bonefree_incl_parents_PL+NH3_per_kg_PL</f>
        <v>4.4434047855984447E-2</v>
      </c>
      <c r="S15" s="10">
        <f>'Parameters, country spec'!$J$116/Production!$J$35</f>
        <v>0.14267630167843828</v>
      </c>
      <c r="T15" s="4">
        <v>3.7782569595637128</v>
      </c>
      <c r="U15" s="5">
        <v>269.10079851868994</v>
      </c>
    </row>
    <row r="16" spans="1:21" x14ac:dyDescent="0.25">
      <c r="A16" s="270" t="s">
        <v>80</v>
      </c>
      <c r="B16" s="12" t="s">
        <v>81</v>
      </c>
      <c r="C16" s="16" t="s">
        <v>82</v>
      </c>
      <c r="D16" t="s">
        <v>33</v>
      </c>
      <c r="E16" t="s">
        <v>92</v>
      </c>
      <c r="F16" s="11">
        <f>'GHG detailed, results per kg'!G56</f>
        <v>5.8912844866709708</v>
      </c>
      <c r="G16" s="11">
        <f>'GHG detailed, results per kg'!G52</f>
        <v>2.6323884553712782</v>
      </c>
      <c r="H16" s="105">
        <f>'GHG detailed, results per kg'!G53</f>
        <v>3.9492799096564873E-3</v>
      </c>
      <c r="I16" s="47">
        <f>'GHG detailed, results per kg'!G54</f>
        <v>8.0767747728443404E-2</v>
      </c>
      <c r="J16" s="47">
        <f>'GHG detailed, results per kg'!G55</f>
        <v>3.5182355359851926E-3</v>
      </c>
      <c r="L16" s="18">
        <f>'EFP per kg feed'!F125*FCR_bonefree_incl_parents_ES</f>
        <v>15.5090381533736</v>
      </c>
      <c r="M16" s="19">
        <f>'EFP per kg feed'!G125*FCR_bonefree_incl_parents_ES-Manure_repl_factor_ES*Excreted_N_after_losses_ES</f>
        <v>0.15207822693877662</v>
      </c>
      <c r="N16" s="19">
        <f>'EFP per kg feed'!H125*FCR_bonefree_incl_parents_ES</f>
        <v>2.4494506521304138E-2</v>
      </c>
      <c r="O16" s="18">
        <f>'EFP per kg feed'!I125*FCR_bonefree_incl_parents_ES+'Parameters, country spec'!K113</f>
        <v>1.570025069786106</v>
      </c>
      <c r="P16" s="33">
        <f>'EFP per kg feed'!J125*FCR_bonefree_incl_parents_ES</f>
        <v>1.0778177875538544</v>
      </c>
      <c r="Q16" s="33">
        <f>'EFP per kg feed'!K125*FCR_bonefree_incl_parents_ES</f>
        <v>2.4797384569106403E-8</v>
      </c>
      <c r="R16" s="33">
        <f>'EFP per kg feed'!L125*FCR_bonefree_incl_parents_ES+NH3_per_kg_ES</f>
        <v>4.3977854722592864E-2</v>
      </c>
      <c r="S16" s="10">
        <f>'Parameters, country spec'!$K$116/Production!$K$35</f>
        <v>1.4011908703696115E-2</v>
      </c>
      <c r="T16" s="4">
        <v>3.9766058701166638</v>
      </c>
      <c r="U16" s="5">
        <v>193.14711359404097</v>
      </c>
    </row>
    <row r="17" spans="1:27" x14ac:dyDescent="0.25">
      <c r="A17" s="270" t="s">
        <v>80</v>
      </c>
      <c r="B17" s="12" t="s">
        <v>81</v>
      </c>
      <c r="C17" s="16" t="s">
        <v>82</v>
      </c>
      <c r="D17" s="17" t="s">
        <v>37</v>
      </c>
      <c r="E17" s="17" t="s">
        <v>93</v>
      </c>
      <c r="F17" s="10">
        <f>'GHG detailed, results per kg'!G61</f>
        <v>3.5199729853446096</v>
      </c>
      <c r="G17" s="11">
        <f>'GHG detailed, results per kg'!G57</f>
        <v>1.427540220878341</v>
      </c>
      <c r="H17" s="105">
        <f>'GHG detailed, results per kg'!G58</f>
        <v>1.4265311428695317E-3</v>
      </c>
      <c r="I17" s="47">
        <f>'GHG detailed, results per kg'!G59</f>
        <v>2.3288091661436666E-2</v>
      </c>
      <c r="J17" s="47">
        <f>'GHG detailed, results per kg'!G60</f>
        <v>5.2056544379119659E-3</v>
      </c>
      <c r="K17" s="17"/>
      <c r="L17" s="18">
        <f>'EFP per kg feed'!F137*FCR_bonefree_incl_parents_SE</f>
        <v>12.340046258808297</v>
      </c>
      <c r="M17" s="19">
        <f>'EFP per kg feed'!G137*FCR_bonefree_incl_parents_SE-Manure_repl_factor_SE*Excreted_N_after_losses_SE</f>
        <v>0.10985702370445641</v>
      </c>
      <c r="N17" s="19">
        <f>'EFP per kg feed'!H137*FCR_bonefree_incl_parents_SE</f>
        <v>1.2766315758917107E-2</v>
      </c>
      <c r="O17" s="18">
        <f>'EFP per kg feed'!I137*FCR_bonefree_incl_parents_SE+'Parameters, country spec'!L113</f>
        <v>0.22203964898745171</v>
      </c>
      <c r="P17" s="33">
        <f>'EFP per kg feed'!J137*FCR_bonefree_incl_parents_SE</f>
        <v>0.82387300004519315</v>
      </c>
      <c r="Q17" s="33">
        <f>'EFP per kg feed'!K137*FCR_bonefree_incl_parents_SE</f>
        <v>3.3035685719184073E-10</v>
      </c>
      <c r="R17" s="33">
        <f>'EFP per kg feed'!L137*FCR_bonefree_incl_parents_SE+NH3_per_kg_SE</f>
        <v>5.1449770618891354E-2</v>
      </c>
      <c r="S17" s="10">
        <f>'Parameters, country spec'!$L$116/Production!$L$35</f>
        <v>2.7680337488990264E-2</v>
      </c>
      <c r="T17" s="4">
        <v>2.8930738532209359</v>
      </c>
      <c r="U17" s="120">
        <v>19.938176197836171</v>
      </c>
    </row>
    <row r="18" spans="1:27" x14ac:dyDescent="0.25">
      <c r="A18" s="12"/>
      <c r="B18" s="12"/>
      <c r="C18" s="16"/>
      <c r="T18" s="5"/>
    </row>
    <row r="19" spans="1:27" x14ac:dyDescent="0.25">
      <c r="J19" s="47"/>
      <c r="M19" s="47"/>
    </row>
    <row r="21" spans="1:27" x14ac:dyDescent="0.25">
      <c r="M21" s="105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0">
    <tabColor theme="9" tint="0.59999389629810485"/>
  </sheetPr>
  <dimension ref="A1:AA61"/>
  <sheetViews>
    <sheetView topLeftCell="L1" zoomScale="80" zoomScaleNormal="80" workbookViewId="0">
      <selection activeCell="Q2" sqref="Q2"/>
    </sheetView>
  </sheetViews>
  <sheetFormatPr defaultColWidth="8.7109375" defaultRowHeight="15" x14ac:dyDescent="0.25"/>
  <cols>
    <col min="1" max="1" width="8.42578125" style="30" customWidth="1"/>
    <col min="2" max="2" width="22.42578125" customWidth="1"/>
    <col min="3" max="3" width="27.42578125" customWidth="1"/>
    <col min="4" max="5" width="10.42578125" customWidth="1"/>
    <col min="6" max="6" width="7.5703125" customWidth="1"/>
    <col min="7" max="7" width="9.42578125" style="12" customWidth="1"/>
    <col min="8" max="20" width="14.5703125" customWidth="1"/>
    <col min="21" max="22" width="14.5703125" style="8" customWidth="1"/>
    <col min="23" max="24" width="14.5703125" customWidth="1"/>
    <col min="26" max="26" width="16" customWidth="1"/>
    <col min="27" max="27" width="19.42578125" customWidth="1"/>
  </cols>
  <sheetData>
    <row r="1" spans="1:27" x14ac:dyDescent="0.25">
      <c r="H1" s="160" t="s">
        <v>94</v>
      </c>
      <c r="S1" s="30" t="s">
        <v>538</v>
      </c>
    </row>
    <row r="2" spans="1:27" ht="21" x14ac:dyDescent="0.35">
      <c r="A2" s="63" t="s">
        <v>95</v>
      </c>
      <c r="H2" s="160" t="s">
        <v>96</v>
      </c>
      <c r="T2" s="47"/>
      <c r="U2" s="62"/>
    </row>
    <row r="3" spans="1:27" x14ac:dyDescent="0.25">
      <c r="H3" s="160" t="s">
        <v>97</v>
      </c>
      <c r="J3" s="7"/>
      <c r="K3" s="8"/>
      <c r="L3" s="8"/>
      <c r="M3" s="8"/>
      <c r="N3" s="8"/>
      <c r="O3" s="8"/>
      <c r="P3" s="8"/>
      <c r="Q3" s="8"/>
      <c r="R3" s="8"/>
      <c r="S3" s="8"/>
      <c r="T3" s="8"/>
    </row>
    <row r="4" spans="1:27" x14ac:dyDescent="0.25">
      <c r="A4" s="64"/>
      <c r="B4" s="48"/>
      <c r="C4" s="48"/>
      <c r="D4" s="48"/>
      <c r="E4" s="48"/>
      <c r="F4" s="48"/>
      <c r="G4" s="48"/>
      <c r="H4" s="49"/>
      <c r="I4" s="49"/>
      <c r="J4" s="50"/>
      <c r="K4" s="50"/>
      <c r="L4" s="50"/>
      <c r="M4" s="50"/>
      <c r="N4" s="50"/>
      <c r="O4" s="50"/>
      <c r="P4" s="50"/>
      <c r="Q4" s="50"/>
      <c r="R4" s="50"/>
      <c r="S4" s="49" t="s">
        <v>98</v>
      </c>
      <c r="T4" s="49"/>
      <c r="U4" s="60"/>
      <c r="V4" s="60"/>
      <c r="W4" s="50" t="s">
        <v>99</v>
      </c>
      <c r="X4" s="50" t="s">
        <v>100</v>
      </c>
      <c r="Z4" s="49" t="s">
        <v>101</v>
      </c>
      <c r="AA4" s="49"/>
    </row>
    <row r="5" spans="1:27" x14ac:dyDescent="0.25">
      <c r="A5" s="65" t="s">
        <v>47</v>
      </c>
      <c r="B5" s="46"/>
      <c r="C5" s="46"/>
      <c r="D5" s="52"/>
      <c r="E5" s="52"/>
      <c r="F5" s="53"/>
      <c r="G5" s="54" t="s">
        <v>102</v>
      </c>
      <c r="H5" s="54" t="s">
        <v>103</v>
      </c>
      <c r="I5" s="55"/>
      <c r="J5" s="54" t="s">
        <v>104</v>
      </c>
      <c r="K5" s="56"/>
      <c r="L5" s="57" t="s">
        <v>105</v>
      </c>
      <c r="M5" s="56"/>
      <c r="N5" s="56"/>
      <c r="O5" s="56"/>
      <c r="P5" s="57" t="s">
        <v>106</v>
      </c>
      <c r="Q5" s="57" t="s">
        <v>397</v>
      </c>
      <c r="R5" s="57" t="s">
        <v>107</v>
      </c>
      <c r="S5" s="58"/>
      <c r="T5" s="58"/>
      <c r="U5" s="61"/>
      <c r="V5" s="61"/>
      <c r="W5" s="59"/>
      <c r="X5" s="59"/>
      <c r="Z5" s="54"/>
      <c r="AA5" s="54"/>
    </row>
    <row r="6" spans="1:27" ht="61.15" customHeight="1" x14ac:dyDescent="0.25">
      <c r="A6" s="67" t="s">
        <v>108</v>
      </c>
      <c r="B6" s="66" t="s">
        <v>109</v>
      </c>
      <c r="C6" s="66" t="s">
        <v>110</v>
      </c>
      <c r="D6" s="68" t="s">
        <v>62</v>
      </c>
      <c r="E6" s="69" t="s">
        <v>63</v>
      </c>
      <c r="F6" s="68" t="s">
        <v>111</v>
      </c>
      <c r="G6" s="69" t="s">
        <v>112</v>
      </c>
      <c r="H6" s="51" t="s">
        <v>113</v>
      </c>
      <c r="I6" s="51" t="s">
        <v>12</v>
      </c>
      <c r="J6" s="51" t="s">
        <v>114</v>
      </c>
      <c r="K6" s="51" t="s">
        <v>115</v>
      </c>
      <c r="L6" s="51" t="s">
        <v>116</v>
      </c>
      <c r="M6" s="51" t="s">
        <v>117</v>
      </c>
      <c r="N6" s="51" t="s">
        <v>118</v>
      </c>
      <c r="O6" s="51" t="s">
        <v>119</v>
      </c>
      <c r="P6" s="51" t="s">
        <v>120</v>
      </c>
      <c r="Q6" s="51" t="s">
        <v>397</v>
      </c>
      <c r="R6" s="51" t="s">
        <v>17</v>
      </c>
      <c r="S6" s="69" t="s">
        <v>539</v>
      </c>
      <c r="T6" s="69" t="s">
        <v>121</v>
      </c>
      <c r="U6" s="70" t="s">
        <v>122</v>
      </c>
      <c r="V6" s="70" t="s">
        <v>123</v>
      </c>
      <c r="W6" s="51" t="s">
        <v>20</v>
      </c>
      <c r="X6" s="51" t="s">
        <v>21</v>
      </c>
      <c r="Z6" s="69" t="s">
        <v>124</v>
      </c>
      <c r="AA6" s="69" t="s">
        <v>125</v>
      </c>
    </row>
    <row r="7" spans="1:27" x14ac:dyDescent="0.25">
      <c r="A7" s="292" t="s">
        <v>126</v>
      </c>
      <c r="B7" s="292" t="s">
        <v>127</v>
      </c>
      <c r="C7" s="293" t="s">
        <v>128</v>
      </c>
      <c r="D7" s="294" t="s">
        <v>36</v>
      </c>
      <c r="E7" s="294" t="s">
        <v>83</v>
      </c>
      <c r="F7" s="295" t="s">
        <v>129</v>
      </c>
      <c r="G7" s="296">
        <f>SUM(H7:X7)</f>
        <v>1.9362934239092302</v>
      </c>
      <c r="H7" s="296">
        <f>'CO2 per kg feed'!G17*FCR_bonefree_incl_parents_DK-Excreted_N_after_losses_DK*Manure_repl_factor_DK*(EF_min_fert_BAT_CO2*Frac_BAT_DK+EF_min_fert_AN_CO2*Frac_AN_DK)</f>
        <v>0.2718165330418893</v>
      </c>
      <c r="I7" s="296">
        <f>'CO2 per kg feed'!H17*FCR_bonefree_incl_parents_DK</f>
        <v>0.14151904552831235</v>
      </c>
      <c r="J7" s="296">
        <f>'CO2 per kg feed'!I17*FCR_bonefree_incl_parents_DK</f>
        <v>0</v>
      </c>
      <c r="K7" s="296"/>
      <c r="L7" s="296">
        <f>'CO2 per kg feed'!K17*FCR_bonefree_incl_parents_DK</f>
        <v>0.16817241863586344</v>
      </c>
      <c r="M7" s="296"/>
      <c r="N7" s="296">
        <f>'CO2 per kg feed'!M17*FCR_bonefree_incl_parents_DK</f>
        <v>3.6101428535447676E-3</v>
      </c>
      <c r="O7" s="296">
        <f>'CO2 per kg feed'!N17*FCR_bonefree_incl_parents_DK</f>
        <v>0.21284363576820975</v>
      </c>
      <c r="P7" s="296">
        <f>'CO2 per kg feed'!O17*FCR_bonefree_incl_parents_DK</f>
        <v>7.6417362567740094E-2</v>
      </c>
      <c r="Q7" s="296">
        <f>'CO2 per kg feed'!P17*FCR_bonefree_incl_parents_DK</f>
        <v>1.2352193600649146E-2</v>
      </c>
      <c r="R7" s="296">
        <f>'CO2 per kg feed'!Q17*FCR_bonefree_incl_parents_DK</f>
        <v>7.2021635890948843E-2</v>
      </c>
      <c r="S7" s="297"/>
      <c r="T7" s="298"/>
      <c r="U7" s="299"/>
      <c r="V7" s="299"/>
      <c r="W7" s="297">
        <f>Energy_stables_DK/Bonefree_outof_CW_DK*(Share_heating_DK*(Share_biofuels_DK*EF_biofuels_CO2+(1-Share_biofuels_DK)*EF_oil_CO2)+(1-Share_heating_DK)*EF_el_CO2_DK)</f>
        <v>0.31782732351034365</v>
      </c>
      <c r="X7" s="300">
        <f>(Energy_slaughter_el_DK*EF_el_CO2_DK+Energy_slaughter_oil_DK*EF_oil_CO2)/Bonefree_outof_CW_DK</f>
        <v>0.65971313251172892</v>
      </c>
      <c r="Z7" s="19"/>
      <c r="AA7" s="19"/>
    </row>
    <row r="8" spans="1:27" x14ac:dyDescent="0.25">
      <c r="A8" s="12" t="s">
        <v>126</v>
      </c>
      <c r="B8" s="12" t="s">
        <v>127</v>
      </c>
      <c r="C8" s="16" t="s">
        <v>128</v>
      </c>
      <c r="D8" s="17" t="s">
        <v>36</v>
      </c>
      <c r="E8" s="17" t="s">
        <v>83</v>
      </c>
      <c r="F8" s="12" t="s">
        <v>130</v>
      </c>
      <c r="G8" s="19">
        <f>SUM(H8:X8)</f>
        <v>2.6107373350509424E-3</v>
      </c>
      <c r="H8" s="34">
        <f>'CH4 per kg feed'!G17*FCR_bonefree_incl_parents_DK-Excreted_N_after_losses_DK*Manure_repl_factor_DK*(EF_min_fert_BAT_CH4*Frac_BAT_DK+EF_min_fert_AN_CH4*Frac_AN_DK)</f>
        <v>4.1279654767031486E-4</v>
      </c>
      <c r="I8" s="34">
        <f>'CH4 per kg feed'!H17*FCR_bonefree_incl_parents_DK</f>
        <v>5.6712168378857944E-4</v>
      </c>
      <c r="J8" s="34"/>
      <c r="K8" s="34"/>
      <c r="L8" s="34">
        <f>'CH4 per kg feed'!K17*FCR_bonefree_incl_parents_DK</f>
        <v>8.2813453792834169E-5</v>
      </c>
      <c r="M8" s="34"/>
      <c r="N8" s="34">
        <f>'CH4 per kg feed'!M17*FCR_bonefree_incl_parents_DK</f>
        <v>7.0862217077399206E-6</v>
      </c>
      <c r="O8" s="34">
        <f>'CH4 per kg feed'!N17*FCR_bonefree_incl_parents_DK</f>
        <v>1.3852462857757891E-4</v>
      </c>
      <c r="P8" s="34">
        <f>'CH4 per kg feed'!O17*FCR_bonefree_incl_parents_DK</f>
        <v>0</v>
      </c>
      <c r="Q8" s="34">
        <f>'CH4 per kg feed'!P17*FCR_bonefree_incl_parents_DK</f>
        <v>1.22548423617166E-4</v>
      </c>
      <c r="R8" s="34">
        <f>'CH4 per kg feed'!Q17*FCR_bonefree_incl_parents_DK</f>
        <v>2.0418256820749569E-4</v>
      </c>
      <c r="W8" s="4">
        <f>Energy_stables_DK/Bonefree_outof_CW_DK*(Share_heating_DK*(Share_biofuels_DK*EF_biofuel_CH4+(1-Share_biofuels_DK)*EF_oil_CH4)+(1-Share_heating_DK)*EF_el_CH4_DK)</f>
        <v>3.2293375145818259E-4</v>
      </c>
      <c r="X8" s="11">
        <f>(Energy_slaughter_el_DK*EF_el_CH4_DK+Energy_slaughter_oil_DK*EF_oil_CH4)/Bonefree_outof_CW_DK</f>
        <v>7.527300562310507E-4</v>
      </c>
      <c r="Z8" s="33"/>
      <c r="AA8" s="33"/>
    </row>
    <row r="9" spans="1:27" x14ac:dyDescent="0.25">
      <c r="A9" s="12" t="s">
        <v>126</v>
      </c>
      <c r="B9" s="12" t="s">
        <v>127</v>
      </c>
      <c r="C9" s="16" t="s">
        <v>128</v>
      </c>
      <c r="D9" s="17" t="s">
        <v>36</v>
      </c>
      <c r="E9" s="17" t="s">
        <v>83</v>
      </c>
      <c r="F9" s="12" t="s">
        <v>131</v>
      </c>
      <c r="G9" s="19">
        <f>SUM(H9:T9)+SUM(W9:X9)</f>
        <v>2.471565299114856E-2</v>
      </c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4">
        <f>(Production!B37+Production!B38+Production!B39*4/12)*EF_ent_ferm_DK</f>
        <v>1.0419097926434782E-2</v>
      </c>
      <c r="T9" s="47">
        <f>SUM(U9:V9)</f>
        <v>1.4296555064713778E-2</v>
      </c>
      <c r="U9" s="62">
        <f>Manure!E32</f>
        <v>1.4296555064713778E-2</v>
      </c>
      <c r="W9" s="4"/>
      <c r="X9" s="11"/>
      <c r="Z9" s="33"/>
      <c r="AA9" s="33"/>
    </row>
    <row r="10" spans="1:27" ht="15.75" thickBot="1" x14ac:dyDescent="0.3">
      <c r="A10" s="12" t="s">
        <v>126</v>
      </c>
      <c r="B10" s="12" t="s">
        <v>127</v>
      </c>
      <c r="C10" s="16" t="s">
        <v>128</v>
      </c>
      <c r="D10" s="17" t="s">
        <v>36</v>
      </c>
      <c r="E10" s="17" t="s">
        <v>83</v>
      </c>
      <c r="F10" s="35" t="s">
        <v>132</v>
      </c>
      <c r="G10" s="19">
        <f>SUM(H10:T10)+SUM(W10:X10)</f>
        <v>5.3063390562676878E-3</v>
      </c>
      <c r="H10" s="34">
        <f>'N2O per kg feed'!G17*FCR_bonefree_incl_parents_DK-Excreted_N_after_losses_DK*Manure_repl_factor_DK*(EF_min_fert_BAT_N2O*Frac_BAT_DK+EF_min_fert_AN_N2O*Frac_AN_DK)</f>
        <v>6.7075482018921003E-4</v>
      </c>
      <c r="I10" s="33">
        <f>'N2O per kg feed'!H17*FCR_bonefree_incl_parents_DK</f>
        <v>5.7993945064072942E-6</v>
      </c>
      <c r="J10" s="33">
        <f>'N2O per kg feed'!I17*FCR_bonefree_incl_parents_DK-Excreted_N_after_losses_DK*Manure_repl_factor_DK*EF_N2O_diff_DK</f>
        <v>3.1891183364508003E-3</v>
      </c>
      <c r="K10" s="33">
        <f>J10*EF_indirect_N2O_DK</f>
        <v>3.1891183364508006E-4</v>
      </c>
      <c r="L10" s="33">
        <f>'N2O per kg feed'!K17*FCR_bonefree_incl_parents_DK</f>
        <v>5.0330577141944405E-6</v>
      </c>
      <c r="M10" s="33"/>
      <c r="N10" s="33">
        <f>'N2O per kg feed'!M17*FCR_bonefree_incl_parents_DK</f>
        <v>8.695913306089129E-8</v>
      </c>
      <c r="O10" s="33">
        <f>'N2O per kg feed'!N17*FCR_bonefree_incl_parents_DK</f>
        <v>8.956031914801138E-6</v>
      </c>
      <c r="P10" s="33">
        <f>'N2O per kg feed'!O17*FCR_bonefree_incl_parents_DK</f>
        <v>0</v>
      </c>
      <c r="Q10" s="33">
        <f>'N2O per kg feed'!P17*FCR_bonefree_incl_parents_DK</f>
        <v>1.2462378752843843E-5</v>
      </c>
      <c r="R10" s="33">
        <f>'N2O per kg feed'!Q17*FCR_bonefree_incl_parents_DK</f>
        <v>8.1587424983761327E-6</v>
      </c>
      <c r="S10" s="4"/>
      <c r="T10" s="47">
        <f>SUM(U10:V10)</f>
        <v>1.0313610756235124E-3</v>
      </c>
      <c r="U10" s="189">
        <f>Manure!E88*44/28</f>
        <v>5.8398405571965704E-4</v>
      </c>
      <c r="V10" s="189">
        <f>NH3_per_kg_DK*17/14*Manure!B117</f>
        <v>4.4737701990385536E-4</v>
      </c>
      <c r="W10" s="4">
        <f>Energy_stables_DK/Bonefree_outof_CW_DK*(Share_heating_DK*(Share_biofuels_DK*EF_biofuel_N2O+(1-Share_biofuels_DK)*EF_oil_N2O)+(1-Share_heating_DK)*EF_el_N2O_DK)</f>
        <v>2.4277567330926617E-5</v>
      </c>
      <c r="X10" s="11">
        <f>(Energy_slaughter_el_DK*EF_el_N2O_DK+Energy_slaughter_oil_DK*EF_oil_N2O)/Bonefree_outof_CW_DK</f>
        <v>3.141885850847458E-5</v>
      </c>
      <c r="Z10" s="33"/>
      <c r="AA10" s="33"/>
    </row>
    <row r="11" spans="1:27" ht="16.5" thickTop="1" thickBot="1" x14ac:dyDescent="0.3">
      <c r="A11" s="130" t="s">
        <v>126</v>
      </c>
      <c r="B11" s="130" t="s">
        <v>127</v>
      </c>
      <c r="C11" s="131" t="s">
        <v>128</v>
      </c>
      <c r="D11" s="132" t="s">
        <v>36</v>
      </c>
      <c r="E11" s="132" t="s">
        <v>83</v>
      </c>
      <c r="F11" s="133" t="s">
        <v>133</v>
      </c>
      <c r="G11" s="136">
        <f>SUM(H11:X11)</f>
        <v>4.130046589615838</v>
      </c>
      <c r="H11" s="134">
        <f>SUMPRODUCT(H7:H10,'Parameters, general'!$B$13:$B$16)</f>
        <v>0.46723393607411901</v>
      </c>
      <c r="I11" s="134">
        <f>SUMPRODUCT(I7:I10,'Parameters, general'!$B$13:$B$16)</f>
        <v>0.16000250640546121</v>
      </c>
      <c r="J11" s="134">
        <f>SUMPRODUCT(J7:J10,'Parameters, general'!$B$13:$B$16)</f>
        <v>0.87062930585106846</v>
      </c>
      <c r="K11" s="134">
        <f>SUMPRODUCT(K7:K10,'Parameters, general'!$B$13:$B$16)</f>
        <v>8.7062930585106862E-2</v>
      </c>
      <c r="L11" s="134">
        <f>SUMPRODUCT(L7:L10,'Parameters, general'!$B$13:$B$16)</f>
        <v>0.17201428431486498</v>
      </c>
      <c r="M11" s="134">
        <f>SUMPRODUCT(M7:M10,'Parameters, general'!$B$13:$B$16)</f>
        <v>0</v>
      </c>
      <c r="N11" s="134">
        <f>SUMPRODUCT(N7:N10,'Parameters, general'!$B$13:$B$16)</f>
        <v>3.8450521037610408E-3</v>
      </c>
      <c r="O11" s="134">
        <f>SUMPRODUCT(O7:O10,'Parameters, general'!$B$13:$B$16)</f>
        <v>0.2194166664125623</v>
      </c>
      <c r="P11" s="134">
        <f>SUMPRODUCT(P7:P10,'Parameters, general'!$B$13:$B$16)</f>
        <v>7.6417362567740094E-2</v>
      </c>
      <c r="Q11" s="134">
        <f>SUMPRODUCT(Q7:Q10,'Parameters, general'!$B$13:$B$16)</f>
        <v>1.9406366023967062E-2</v>
      </c>
      <c r="R11" s="134">
        <f>SUMPRODUCT(R7:R10,'Parameters, general'!$B$13:$B$16)</f>
        <v>8.0333613125588899E-2</v>
      </c>
      <c r="S11" s="134">
        <f>SUMPRODUCT(S7:S10,'Parameters, general'!$B$13:$B$16)</f>
        <v>0.2813156440137391</v>
      </c>
      <c r="T11" s="134">
        <f>SUMPRODUCT(T7:T10,'Parameters, general'!$B$13:$B$16)</f>
        <v>0.66756856039249091</v>
      </c>
      <c r="U11" s="134"/>
      <c r="V11" s="134"/>
      <c r="W11" s="134">
        <f>SUMPRODUCT(W7:W10,'Parameters, general'!$B$13:$B$16)</f>
        <v>0.33407852518514042</v>
      </c>
      <c r="X11" s="134">
        <f>SUMPRODUCT(X7:X10,'Parameters, general'!$B$13:$B$16)</f>
        <v>0.69072183656022779</v>
      </c>
      <c r="Z11" s="109">
        <f>SUM(H11:R11)</f>
        <v>2.15636202346424</v>
      </c>
      <c r="AA11" s="149">
        <f>'CO2 per kg feed'!F17+'CH4 per kg feed'!F17*CF_GWP_CH4_fossil+'N2O per kg feed'!F17*CF_GWP_N2O</f>
        <v>0.26512851224125844</v>
      </c>
    </row>
    <row r="12" spans="1:27" ht="15.75" thickTop="1" x14ac:dyDescent="0.25">
      <c r="A12" s="12" t="s">
        <v>126</v>
      </c>
      <c r="B12" s="12" t="s">
        <v>127</v>
      </c>
      <c r="C12" s="16" t="s">
        <v>128</v>
      </c>
      <c r="D12" s="17" t="s">
        <v>27</v>
      </c>
      <c r="E12" s="17" t="s">
        <v>84</v>
      </c>
      <c r="F12" s="37" t="s">
        <v>129</v>
      </c>
      <c r="G12" s="296">
        <f>SUM(H12:X12)</f>
        <v>1.7668012005457756</v>
      </c>
      <c r="H12" s="296">
        <f>'CO2 per kg feed'!G29*FCR_bonefree_incl_parents_FR-Excreted_N_after_losses_FR*Manure_repl_factor_FR*(EF_min_fert_BAT_CO2*Frac_BAT_FR+EF_min_fert_AN_CO2*Frac_AN_FR)</f>
        <v>0.38961476856035904</v>
      </c>
      <c r="I12" s="296">
        <f>'CO2 per kg feed'!H29*FCR_bonefree_incl_parents_FR</f>
        <v>0.14926785145244686</v>
      </c>
      <c r="J12" s="296">
        <f>'CO2 per kg feed'!I29*FCR_bonefree_incl_parents_FR</f>
        <v>0</v>
      </c>
      <c r="K12" s="296"/>
      <c r="L12" s="296">
        <f>'CO2 per kg feed'!K29*FCR_bonefree_incl_parents_FR</f>
        <v>0.16870008844436277</v>
      </c>
      <c r="M12" s="296"/>
      <c r="N12" s="296">
        <f>'CO2 per kg feed'!M29*FCR_bonefree_incl_parents_FR</f>
        <v>1.1101443898325012E-2</v>
      </c>
      <c r="O12" s="296">
        <f>'CO2 per kg feed'!N29*FCR_bonefree_incl_parents_FR</f>
        <v>0.20825194985125836</v>
      </c>
      <c r="P12" s="296">
        <f>'CO2 per kg feed'!O29*FCR_bonefree_incl_parents_FR</f>
        <v>0.17506261809639065</v>
      </c>
      <c r="Q12" s="296">
        <f>'CO2 per kg feed'!P29*FCR_bonefree_incl_parents_FR</f>
        <v>3.2323539112354534E-2</v>
      </c>
      <c r="R12" s="296">
        <f>'CO2 per kg feed'!Q29*FCR_bonefree_incl_parents_FR</f>
        <v>0.17701177758275985</v>
      </c>
      <c r="S12" s="297"/>
      <c r="T12" s="298"/>
      <c r="U12" s="299"/>
      <c r="V12" s="299"/>
      <c r="W12" s="297">
        <f>Energy_stables_FR/Bonefree_outof_CW_FR*(Share_heating_FR*(Share_biofuels_FR*EF_biofuels_CO2+(1-Share_biofuels_FR)*EF_oil_CO2)+(1-Share_heating_FR)*EF_el_CO2_FR)</f>
        <v>0.1800514410153152</v>
      </c>
      <c r="X12" s="300">
        <f>(Energy_slaughter_el_FR*EF_el_CO2_FR+Energy_slaughter_oil_FR*EF_oil_CO2)/Bonefree_outof_CW_FR</f>
        <v>0.27541572253220342</v>
      </c>
      <c r="Z12" s="19"/>
      <c r="AA12" s="19"/>
    </row>
    <row r="13" spans="1:27" x14ac:dyDescent="0.25">
      <c r="A13" s="12" t="s">
        <v>126</v>
      </c>
      <c r="B13" s="12" t="s">
        <v>127</v>
      </c>
      <c r="C13" s="16" t="s">
        <v>128</v>
      </c>
      <c r="D13" s="17" t="s">
        <v>27</v>
      </c>
      <c r="E13" s="17" t="s">
        <v>84</v>
      </c>
      <c r="F13" s="12" t="s">
        <v>130</v>
      </c>
      <c r="G13" s="19">
        <f>SUM(H13:X13)</f>
        <v>2.3924705377580029E-3</v>
      </c>
      <c r="H13" s="34">
        <f>'CH4 per kg feed'!G29*FCR_bonefree_incl_parents_FR-Excreted_N_after_losses_FR*Manure_repl_factor_FR*(EF_min_fert_BAT_CH4*Frac_BAT_FR+EF_min_fert_AN_CH4*Frac_AN_FR)</f>
        <v>7.1612041049686219E-4</v>
      </c>
      <c r="I13" s="34">
        <f>'CH4 per kg feed'!H29*FCR_bonefree_incl_parents_FR</f>
        <v>5.4887303212615337E-4</v>
      </c>
      <c r="J13" s="34"/>
      <c r="K13" s="34"/>
      <c r="L13" s="34">
        <f>'CH4 per kg feed'!K29*FCR_bonefree_incl_parents_FR</f>
        <v>7.474911732319204E-5</v>
      </c>
      <c r="M13" s="34"/>
      <c r="N13" s="34">
        <f>'CH4 per kg feed'!M29*FCR_bonefree_incl_parents_FR</f>
        <v>3.8784024309318074E-5</v>
      </c>
      <c r="O13" s="34">
        <f>'CH4 per kg feed'!N29*FCR_bonefree_incl_parents_FR</f>
        <v>1.1303870626117568E-4</v>
      </c>
      <c r="P13" s="34">
        <f>'CH4 per kg feed'!O29*FCR_bonefree_incl_parents_FR</f>
        <v>0</v>
      </c>
      <c r="Q13" s="34">
        <f>'CH4 per kg feed'!P29*FCR_bonefree_incl_parents_FR</f>
        <v>9.9216797227135727E-5</v>
      </c>
      <c r="R13" s="34">
        <f>'CH4 per kg feed'!Q29*FCR_bonefree_incl_parents_FR</f>
        <v>1.7001082160874678E-4</v>
      </c>
      <c r="W13" s="4">
        <f>Energy_stables_FR/Bonefree_outof_CW_FR*(Share_heating_FR*(Share_biofuels_FR*EF_biofuel_CH4+(1-Share_biofuels_FR)*EF_oil_CH4)+(1-Share_heating_FR)*EF_el_CH4_FR)</f>
        <v>2.0572479697301255E-4</v>
      </c>
      <c r="X13" s="11">
        <f>(Energy_slaughter_el_FR*EF_el_CH4_FR+Energy_slaughter_oil_FR*EF_oil_CH4)/Bonefree_outof_CW_FR</f>
        <v>4.2595283143240687E-4</v>
      </c>
      <c r="Z13" s="33"/>
      <c r="AA13" s="33"/>
    </row>
    <row r="14" spans="1:27" x14ac:dyDescent="0.25">
      <c r="A14" s="12" t="s">
        <v>126</v>
      </c>
      <c r="B14" s="12" t="s">
        <v>127</v>
      </c>
      <c r="C14" s="16" t="s">
        <v>128</v>
      </c>
      <c r="D14" s="17" t="s">
        <v>27</v>
      </c>
      <c r="E14" s="17" t="s">
        <v>84</v>
      </c>
      <c r="F14" s="12" t="s">
        <v>131</v>
      </c>
      <c r="G14" s="19">
        <f>SUM(H14:T14)+SUM(W14:X14)</f>
        <v>8.5274639803432223E-2</v>
      </c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4">
        <f>(Production!C37+Production!C38+Production!C39*4/12)*EF_ent_ferm_FR</f>
        <v>1.054218447680861E-2</v>
      </c>
      <c r="T14" s="47">
        <f>SUM(U14:V14)</f>
        <v>7.473245532662362E-2</v>
      </c>
      <c r="U14" s="62">
        <f>Manure!I32</f>
        <v>7.473245532662362E-2</v>
      </c>
      <c r="W14" s="4"/>
      <c r="X14" s="11"/>
      <c r="Z14" s="33"/>
      <c r="AA14" s="33"/>
    </row>
    <row r="15" spans="1:27" ht="15.75" thickBot="1" x14ac:dyDescent="0.3">
      <c r="A15" s="12" t="s">
        <v>126</v>
      </c>
      <c r="B15" s="12" t="s">
        <v>127</v>
      </c>
      <c r="C15" s="16" t="s">
        <v>128</v>
      </c>
      <c r="D15" s="17" t="s">
        <v>27</v>
      </c>
      <c r="E15" s="17" t="s">
        <v>84</v>
      </c>
      <c r="F15" s="35" t="s">
        <v>132</v>
      </c>
      <c r="G15" s="19">
        <f>SUM(H15:T15)+SUM(W15:X15)</f>
        <v>4.6765425683358555E-3</v>
      </c>
      <c r="H15" s="34">
        <f>'N2O per kg feed'!G29*FCR_bonefree_incl_parents_FR-Excreted_N_after_losses_FR*Manure_repl_factor_FR*(EF_min_fert_BAT_N2O*Frac_BAT_FR+EF_min_fert_AN_N2O*Frac_AN_FR)</f>
        <v>8.2938352937231383E-4</v>
      </c>
      <c r="I15" s="33">
        <f>'N2O per kg feed'!H29*FCR_bonefree_incl_parents_FR</f>
        <v>5.6078561855265876E-6</v>
      </c>
      <c r="J15" s="33">
        <f>'N2O per kg feed'!I29*FCR_bonefree_incl_parents_FR-Excreted_N_after_losses_FR*Manure_repl_factor_FR*EF_N2O_diff_FR</f>
        <v>2.4606622179643551E-3</v>
      </c>
      <c r="K15" s="33">
        <f>J15*EF_indirect_N2O_FR</f>
        <v>2.4606622179643552E-4</v>
      </c>
      <c r="L15" s="33">
        <f>'N2O per kg feed'!K29*FCR_bonefree_incl_parents_FR</f>
        <v>4.5335958867571964E-6</v>
      </c>
      <c r="M15" s="33"/>
      <c r="N15" s="33">
        <f>'N2O per kg feed'!M29*FCR_bonefree_incl_parents_FR</f>
        <v>4.7800268723082455E-7</v>
      </c>
      <c r="O15" s="33">
        <f>'N2O per kg feed'!N29*FCR_bonefree_incl_parents_FR</f>
        <v>7.8125206776524666E-6</v>
      </c>
      <c r="P15" s="33">
        <f>'N2O per kg feed'!O29*FCR_bonefree_incl_parents_FR</f>
        <v>0</v>
      </c>
      <c r="Q15" s="33">
        <f>'N2O per kg feed'!P29*FCR_bonefree_incl_parents_FR</f>
        <v>9.8014606825855119E-6</v>
      </c>
      <c r="R15" s="33">
        <f>'N2O per kg feed'!Q29*FCR_bonefree_incl_parents_FR</f>
        <v>6.1272279250228326E-6</v>
      </c>
      <c r="S15" s="4"/>
      <c r="T15" s="47">
        <f>SUM(U15:V15)</f>
        <v>1.0704630878687941E-3</v>
      </c>
      <c r="U15" s="189">
        <f>Manure!I88*44/28</f>
        <v>6.0595133427863274E-4</v>
      </c>
      <c r="V15" s="189">
        <f>NH3_per_kg_FR*17/14*Manure!F117</f>
        <v>4.6451175359016144E-4</v>
      </c>
      <c r="W15" s="4">
        <f>Energy_stables_FR/Bonefree_outof_CW_FR*(Share_heating_FR*(Share_biofuels_FR*EF_biofuel_N2O+(1-Share_biofuels_FR)*EF_oil_N2O)+(1-Share_heating_FR)*EF_el_N2O_FR)</f>
        <v>1.8966660074266022E-5</v>
      </c>
      <c r="X15" s="11">
        <f>(Energy_slaughter_el_FR*EF_el_N2O_FR+Energy_slaughter_oil_FR*EF_oil_N2O)/Bonefree_outof_CW_FR</f>
        <v>1.6640187214915255E-5</v>
      </c>
      <c r="Z15" s="33"/>
      <c r="AA15" s="33"/>
    </row>
    <row r="16" spans="1:27" ht="16.5" thickTop="1" thickBot="1" x14ac:dyDescent="0.3">
      <c r="A16" s="130" t="s">
        <v>126</v>
      </c>
      <c r="B16" s="130" t="s">
        <v>127</v>
      </c>
      <c r="C16" s="131" t="s">
        <v>128</v>
      </c>
      <c r="D16" s="38" t="s">
        <v>27</v>
      </c>
      <c r="E16" s="38" t="s">
        <v>84</v>
      </c>
      <c r="F16" s="135" t="s">
        <v>133</v>
      </c>
      <c r="G16" s="136">
        <f t="shared" ref="G16:G61" si="0">SUM(H16:X16)</f>
        <v>5.417208218419324</v>
      </c>
      <c r="H16" s="134">
        <f>SUMPRODUCT(H12:H15,'Parameters, general'!$B$13:$B$16)</f>
        <v>0.63737686031180718</v>
      </c>
      <c r="I16" s="134">
        <f>SUMPRODUCT(I12:I15,'Parameters, general'!$B$13:$B$16)</f>
        <v>0.167155212548455</v>
      </c>
      <c r="J16" s="134">
        <f>SUMPRODUCT(J12:J15,'Parameters, general'!$B$13:$B$16)</f>
        <v>0.67176078550426899</v>
      </c>
      <c r="K16" s="134">
        <f>SUMPRODUCT(K12:K15,'Parameters, general'!$B$13:$B$16)</f>
        <v>6.7176078550426899E-2</v>
      </c>
      <c r="L16" s="134">
        <f>SUMPRODUCT(L12:L15,'Parameters, general'!$B$13:$B$16)</f>
        <v>0.17216528381767859</v>
      </c>
      <c r="M16" s="134">
        <f>SUMPRODUCT(M12:M15,'Parameters, general'!$B$13:$B$16)</f>
        <v>0</v>
      </c>
      <c r="N16" s="134">
        <f>SUMPRODUCT(N12:N15,'Parameters, general'!$B$13:$B$16)</f>
        <v>1.2387702556356706E-2</v>
      </c>
      <c r="O16" s="134">
        <f>SUMPRODUCT(O12:O15,'Parameters, general'!$B$13:$B$16)</f>
        <v>0.21375332144284054</v>
      </c>
      <c r="P16" s="134">
        <f>SUMPRODUCT(P12:P15,'Parameters, general'!$B$13:$B$16)</f>
        <v>0.17506261809639065</v>
      </c>
      <c r="Q16" s="134">
        <f>SUMPRODUCT(Q12:Q15,'Parameters, general'!$B$13:$B$16)</f>
        <v>3.7955998436069026E-2</v>
      </c>
      <c r="R16" s="134">
        <f>SUMPRODUCT(R12:R15,'Parameters, general'!$B$13:$B$16)</f>
        <v>0.18375083329023173</v>
      </c>
      <c r="S16" s="134">
        <f>SUMPRODUCT(S12:S15,'Parameters, general'!$B$13:$B$16)</f>
        <v>0.28463898087383244</v>
      </c>
      <c r="T16" s="134">
        <f>SUMPRODUCT(T12:T15,'Parameters, general'!$B$13:$B$16)</f>
        <v>2.3100127168070186</v>
      </c>
      <c r="U16" s="134"/>
      <c r="V16" s="134"/>
      <c r="W16" s="134">
        <f>SUMPRODUCT(W12:W15,'Parameters, general'!$B$13:$B$16)</f>
        <v>0.1913599381653856</v>
      </c>
      <c r="X16" s="134">
        <f>SUMPRODUCT(X12:X15,'Parameters, general'!$B$13:$B$16)</f>
        <v>0.29265188801856101</v>
      </c>
      <c r="Z16" s="109">
        <f>SUM(H16:R16)</f>
        <v>2.3385446945545256</v>
      </c>
      <c r="AA16" s="149">
        <f>'CO2 per kg feed'!F29+'CH4 per kg feed'!F29*CF_GWP_CH4_fossil+'N2O per kg feed'!F29*CF_GWP_N2O</f>
        <v>0.23844378600743496</v>
      </c>
    </row>
    <row r="17" spans="1:27" ht="15.75" thickTop="1" x14ac:dyDescent="0.25">
      <c r="A17" s="292" t="s">
        <v>126</v>
      </c>
      <c r="B17" s="292" t="s">
        <v>127</v>
      </c>
      <c r="C17" s="293" t="s">
        <v>128</v>
      </c>
      <c r="D17" s="294" t="s">
        <v>30</v>
      </c>
      <c r="E17" s="294" t="s">
        <v>85</v>
      </c>
      <c r="F17" s="295" t="s">
        <v>129</v>
      </c>
      <c r="G17" s="296">
        <f>SUM(H17:X17)</f>
        <v>2.7531959626183728</v>
      </c>
      <c r="H17" s="296">
        <f>'CO2 per kg feed'!G41*FCR_bonefree_incl_parents_DE-Excreted_N_after_losses_DE*Manure_repl_factor_DE*(EF_min_fert_BAT_CO2*Frac_BAT_DE+EF_min_fert_AN_CO2*Frac_AN_DE)</f>
        <v>0.42465813430536548</v>
      </c>
      <c r="I17" s="296">
        <f>'CO2 per kg feed'!H41*FCR_bonefree_incl_parents_DE</f>
        <v>0.15652586710149796</v>
      </c>
      <c r="J17" s="296">
        <f>'CO2 per kg feed'!I41*FCR_bonefree_incl_parents_DE</f>
        <v>0</v>
      </c>
      <c r="K17" s="296"/>
      <c r="L17" s="296">
        <f>'CO2 per kg feed'!K41*FCR_bonefree_incl_parents_DE</f>
        <v>0.17803232215802453</v>
      </c>
      <c r="M17" s="296"/>
      <c r="N17" s="296">
        <f>'CO2 per kg feed'!M41*FCR_bonefree_incl_parents_DE</f>
        <v>2.7525333964579096E-3</v>
      </c>
      <c r="O17" s="296">
        <f>'CO2 per kg feed'!N41*FCR_bonefree_incl_parents_DE</f>
        <v>0.25590588187556085</v>
      </c>
      <c r="P17" s="296">
        <f>'CO2 per kg feed'!O41*FCR_bonefree_incl_parents_DE</f>
        <v>0.27126559489593188</v>
      </c>
      <c r="Q17" s="296">
        <f>'CO2 per kg feed'!P41*FCR_bonefree_incl_parents_DE</f>
        <v>4.8835268140781603E-2</v>
      </c>
      <c r="R17" s="296">
        <f>'CO2 per kg feed'!Q41*FCR_bonefree_incl_parents_DE</f>
        <v>0.27055081785178464</v>
      </c>
      <c r="S17" s="297"/>
      <c r="T17" s="298"/>
      <c r="U17" s="299"/>
      <c r="V17" s="299"/>
      <c r="W17" s="297">
        <f>Energy_stables_DE/Bonefree_outof_CW_DE*(Share_heating_DE*(Share_biofuels_DE*EF_biofuels_CO2+(1-Share_biofuels_DE)*EF_oil_CO2)+(1-Share_heating_DE)*EF_el_CO2_DE)</f>
        <v>0.35889354745757823</v>
      </c>
      <c r="X17" s="300">
        <f>(Energy_slaughter_el_DE*EF_el_CO2_DE+Energy_slaughter_oil_DE*EF_oil_CO2)/Bonefree_outof_CW_DE</f>
        <v>0.7857759954353899</v>
      </c>
      <c r="Z17" s="19"/>
      <c r="AA17" s="19"/>
    </row>
    <row r="18" spans="1:27" x14ac:dyDescent="0.25">
      <c r="A18" s="12" t="s">
        <v>126</v>
      </c>
      <c r="B18" s="12" t="s">
        <v>127</v>
      </c>
      <c r="C18" s="16" t="s">
        <v>128</v>
      </c>
      <c r="D18" s="17" t="s">
        <v>30</v>
      </c>
      <c r="E18" s="17" t="s">
        <v>85</v>
      </c>
      <c r="F18" s="12" t="s">
        <v>130</v>
      </c>
      <c r="G18" s="19">
        <f>SUM(H18:X18)</f>
        <v>3.7839546538749195E-3</v>
      </c>
      <c r="H18" s="34">
        <f>'CH4 per kg feed'!G41*FCR_bonefree_incl_parents_DE-Excreted_N_after_losses_DE*Manure_repl_factor_DE*(EF_min_fert_BAT_CH4*Frac_BAT_DE+EF_min_fert_AN_CH4*Frac_AN_DE)</f>
        <v>7.70734514356438E-4</v>
      </c>
      <c r="I18" s="34">
        <f>'CH4 per kg feed'!H41*FCR_bonefree_incl_parents_DE</f>
        <v>5.7411350294531258E-4</v>
      </c>
      <c r="J18" s="34"/>
      <c r="K18" s="34"/>
      <c r="L18" s="34">
        <f>'CH4 per kg feed'!K41*FCR_bonefree_incl_parents_DE</f>
        <v>7.869405430227622E-5</v>
      </c>
      <c r="M18" s="34"/>
      <c r="N18" s="34">
        <f>'CH4 per kg feed'!M41*FCR_bonefree_incl_parents_DE</f>
        <v>8.2546754857574277E-6</v>
      </c>
      <c r="O18" s="34">
        <f>'CH4 per kg feed'!N41*FCR_bonefree_incl_parents_DE</f>
        <v>1.8139037857613636E-4</v>
      </c>
      <c r="P18" s="34">
        <f>'CH4 per kg feed'!O41*FCR_bonefree_incl_parents_DE</f>
        <v>0</v>
      </c>
      <c r="Q18" s="34">
        <f>'CH4 per kg feed'!P41*FCR_bonefree_incl_parents_DE</f>
        <v>1.5102354302118818E-4</v>
      </c>
      <c r="R18" s="34">
        <f>'CH4 per kg feed'!Q41*FCR_bonefree_incl_parents_DE</f>
        <v>2.5819582214147297E-4</v>
      </c>
      <c r="W18" s="4">
        <f>Energy_stables_DE/Bonefree_outof_CW_DE*(Share_heating_DE*(Share_biofuels_DE*EF_biofuel_CH4+(1-Share_biofuels_DE)*EF_oil_CH4)+(1-Share_heating_DE)*EF_el_CH4_DE)</f>
        <v>4.9958875010477823E-4</v>
      </c>
      <c r="X18" s="11">
        <f>(Energy_slaughter_el_DE*EF_el_CH4_DE+Energy_slaughter_oil_DE*EF_oil_CH4)/Bonefree_outof_CW_DE</f>
        <v>1.2619594129415592E-3</v>
      </c>
      <c r="Z18" s="33"/>
      <c r="AA18" s="33"/>
    </row>
    <row r="19" spans="1:27" x14ac:dyDescent="0.25">
      <c r="A19" s="12" t="s">
        <v>126</v>
      </c>
      <c r="B19" s="12" t="s">
        <v>127</v>
      </c>
      <c r="C19" s="16" t="s">
        <v>128</v>
      </c>
      <c r="D19" s="17" t="s">
        <v>30</v>
      </c>
      <c r="E19" s="17" t="s">
        <v>85</v>
      </c>
      <c r="F19" s="12" t="s">
        <v>131</v>
      </c>
      <c r="G19" s="19">
        <f>SUM(H19:T19)+SUM(W19:X19)</f>
        <v>6.4925930197767684E-2</v>
      </c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4">
        <f>(Production!D37+Production!D38+Production!D39*4/12)*EF_ent_ferm_DE</f>
        <v>1.0430743492069692E-2</v>
      </c>
      <c r="T19" s="47">
        <f>SUM(U19:V19)</f>
        <v>5.4495186705697994E-2</v>
      </c>
      <c r="U19" s="62">
        <f>Manure!M32</f>
        <v>5.4495186705697994E-2</v>
      </c>
      <c r="W19" s="4"/>
      <c r="X19" s="11"/>
      <c r="Z19" s="33"/>
      <c r="AA19" s="33"/>
    </row>
    <row r="20" spans="1:27" ht="15.75" thickBot="1" x14ac:dyDescent="0.3">
      <c r="A20" s="12" t="s">
        <v>126</v>
      </c>
      <c r="B20" s="12" t="s">
        <v>127</v>
      </c>
      <c r="C20" s="16" t="s">
        <v>128</v>
      </c>
      <c r="D20" s="17" t="s">
        <v>30</v>
      </c>
      <c r="E20" s="17" t="s">
        <v>85</v>
      </c>
      <c r="F20" s="35" t="s">
        <v>132</v>
      </c>
      <c r="G20" s="19">
        <f>SUM(H20:T20)+SUM(W20:X20)</f>
        <v>4.9802808908068E-3</v>
      </c>
      <c r="H20" s="34">
        <f>'N2O per kg feed'!G41*FCR_bonefree_incl_parents_DE-Excreted_N_after_losses_DE*Manure_repl_factor_DE*(EF_min_fert_BAT_N2O*Frac_BAT_DE+EF_min_fert_AN_N2O*Frac_AN_DE)</f>
        <v>8.9402843554414215E-4</v>
      </c>
      <c r="I20" s="33">
        <f>'N2O per kg feed'!H41*FCR_bonefree_incl_parents_DE</f>
        <v>5.9094929523713026E-6</v>
      </c>
      <c r="J20" s="33">
        <f>'N2O per kg feed'!I41*FCR_bonefree_incl_parents_DE-Excreted_N_after_losses_DE*Manure_repl_factor_DE*EF_N2O_diff_DE</f>
        <v>2.6132198191398696E-3</v>
      </c>
      <c r="K20" s="33">
        <f>J20*EF_indirect_N2O_DE</f>
        <v>2.6132198191398698E-4</v>
      </c>
      <c r="L20" s="33">
        <f>'N2O per kg feed'!K41*FCR_bonefree_incl_parents_DE</f>
        <v>4.7737940703127311E-6</v>
      </c>
      <c r="M20" s="33"/>
      <c r="N20" s="33">
        <f>'N2O per kg feed'!M41*FCR_bonefree_incl_parents_DE</f>
        <v>1.0163094227350626E-7</v>
      </c>
      <c r="O20" s="33">
        <f>'N2O per kg feed'!N41*FCR_bonefree_incl_parents_DE</f>
        <v>9.5098752285804214E-6</v>
      </c>
      <c r="P20" s="33">
        <f>'N2O per kg feed'!O41*FCR_bonefree_incl_parents_DE</f>
        <v>0</v>
      </c>
      <c r="Q20" s="33">
        <f>'N2O per kg feed'!P41*FCR_bonefree_incl_parents_DE</f>
        <v>1.4955367690906832E-5</v>
      </c>
      <c r="R20" s="33">
        <f>'N2O per kg feed'!Q41*FCR_bonefree_incl_parents_DE</f>
        <v>9.3863363528254166E-6</v>
      </c>
      <c r="S20" s="4"/>
      <c r="T20" s="47">
        <f>SUM(U20:V20)</f>
        <v>1.108537242235876E-3</v>
      </c>
      <c r="U20" s="189">
        <f>Manure!M88*44/28</f>
        <v>6.3087096103713568E-4</v>
      </c>
      <c r="V20" s="189">
        <f>NH3_per_kg_DE*17/14*Manure!J117</f>
        <v>4.7766628119874036E-4</v>
      </c>
      <c r="W20" s="4">
        <f>Energy_stables_DE/Bonefree_outof_CW_DE*(Share_heating_DE*(Share_biofuels_DE*EF_biofuel_N2O+(1-Share_biofuels_DE)*EF_oil_N2O)+(1-Share_heating_DE)*EF_el_N2O_DE)</f>
        <v>2.481929534582479E-5</v>
      </c>
      <c r="X20" s="11">
        <f>(Energy_slaughter_el_DE*EF_el_N2O_DE+Energy_slaughter_oil_DE*EF_oil_N2O)/Bonefree_outof_CW_DE</f>
        <v>3.3717619389830525E-5</v>
      </c>
      <c r="Z20" s="33"/>
      <c r="AA20" s="33"/>
    </row>
    <row r="21" spans="1:27" ht="16.5" thickTop="1" thickBot="1" x14ac:dyDescent="0.3">
      <c r="A21" s="130" t="s">
        <v>126</v>
      </c>
      <c r="B21" s="130" t="s">
        <v>127</v>
      </c>
      <c r="C21" s="131" t="s">
        <v>128</v>
      </c>
      <c r="D21" s="132" t="s">
        <v>30</v>
      </c>
      <c r="E21" s="132" t="s">
        <v>85</v>
      </c>
      <c r="F21" s="133" t="s">
        <v>133</v>
      </c>
      <c r="G21" s="136">
        <f t="shared" si="0"/>
        <v>5.9785746098338288</v>
      </c>
      <c r="H21" s="134">
        <f>SUMPRODUCT(H17:H20,'Parameters, general'!$B$13:$B$16)</f>
        <v>0.69169578573673807</v>
      </c>
      <c r="I21" s="134">
        <f>SUMPRODUCT(I17:I20,'Parameters, general'!$B$13:$B$16)</f>
        <v>0.17524774106526567</v>
      </c>
      <c r="J21" s="134">
        <f>SUMPRODUCT(J17:J20,'Parameters, general'!$B$13:$B$16)</f>
        <v>0.71340901062518436</v>
      </c>
      <c r="K21" s="134">
        <f>SUMPRODUCT(K17:K20,'Parameters, general'!$B$13:$B$16)</f>
        <v>7.1340901062518447E-2</v>
      </c>
      <c r="L21" s="134">
        <f>SUMPRODUCT(L17:L20,'Parameters, general'!$B$13:$B$16)</f>
        <v>0.18168065075742773</v>
      </c>
      <c r="M21" s="134">
        <f>SUMPRODUCT(M17:M20,'Parameters, general'!$B$13:$B$16)</f>
        <v>0</v>
      </c>
      <c r="N21" s="134">
        <f>SUMPRODUCT(N17:N20,'Parameters, general'!$B$13:$B$16)</f>
        <v>3.0262679731741481E-3</v>
      </c>
      <c r="O21" s="134">
        <f>SUMPRODUCT(O17:O20,'Parameters, general'!$B$13:$B$16)</f>
        <v>0.26390751109453214</v>
      </c>
      <c r="P21" s="134">
        <f>SUMPRODUCT(P17:P20,'Parameters, general'!$B$13:$B$16)</f>
        <v>0.27126559489593188</v>
      </c>
      <c r="Q21" s="134">
        <f>SUMPRODUCT(Q17:Q20,'Parameters, general'!$B$13:$B$16)</f>
        <v>5.7418585102430572E-2</v>
      </c>
      <c r="R21" s="134">
        <f>SUMPRODUCT(R17:R20,'Parameters, general'!$B$13:$B$16)</f>
        <v>0.28080752317592189</v>
      </c>
      <c r="S21" s="134">
        <f>SUMPRODUCT(S17:S20,'Parameters, general'!$B$13:$B$16)</f>
        <v>0.28163007428588166</v>
      </c>
      <c r="T21" s="134">
        <f>SUMPRODUCT(T17:T20,'Parameters, general'!$B$13:$B$16)</f>
        <v>1.7740007081842402</v>
      </c>
      <c r="U21" s="134"/>
      <c r="V21" s="134"/>
      <c r="W21" s="134">
        <f>SUMPRODUCT(W17:W20,'Parameters, general'!$B$13:$B$16)</f>
        <v>0.38055695984011079</v>
      </c>
      <c r="X21" s="134">
        <f>SUMPRODUCT(X17:X20,'Parameters, general'!$B$13:$B$16)</f>
        <v>0.83258729603447212</v>
      </c>
      <c r="Z21" s="109">
        <f>SUM(H21:R21)</f>
        <v>2.7097995714891248</v>
      </c>
      <c r="AA21" s="149">
        <f>'CO2 per kg feed'!F41+'CH4 per kg feed'!F41*CF_GWP_CH4_fossil+'N2O per kg feed'!F41*CF_GWP_N2O</f>
        <v>0.28130743988754259</v>
      </c>
    </row>
    <row r="22" spans="1:27" ht="15.75" thickTop="1" x14ac:dyDescent="0.25">
      <c r="A22" s="12" t="s">
        <v>126</v>
      </c>
      <c r="B22" s="12" t="s">
        <v>127</v>
      </c>
      <c r="C22" s="16" t="s">
        <v>128</v>
      </c>
      <c r="D22" s="17" t="s">
        <v>25</v>
      </c>
      <c r="E22" s="17" t="s">
        <v>86</v>
      </c>
      <c r="F22" s="37" t="s">
        <v>129</v>
      </c>
      <c r="G22" s="296">
        <f>SUM(H22:X22)</f>
        <v>3.1066522734073239</v>
      </c>
      <c r="H22" s="296">
        <f>'CO2 per kg feed'!G53*FCR_bonefree_incl_parents_GR-Excreted_N_after_losses_GR*Manure_repl_factor_GR*(EF_min_fert_BAT_CO2*Frac_BAT_GR+EF_min_fert_AN_CO2*Frac_AN_GR)</f>
        <v>0.2844323327158611</v>
      </c>
      <c r="I22" s="296">
        <f>'CO2 per kg feed'!H53*FCR_bonefree_incl_parents_GR</f>
        <v>0.15132669685299271</v>
      </c>
      <c r="J22" s="296">
        <f>'CO2 per kg feed'!I53*FCR_bonefree_incl_parents_GR</f>
        <v>0</v>
      </c>
      <c r="K22" s="296"/>
      <c r="L22" s="296">
        <f>'CO2 per kg feed'!K53*FCR_bonefree_incl_parents_GR</f>
        <v>0.25102496763033022</v>
      </c>
      <c r="M22" s="296"/>
      <c r="N22" s="296">
        <f>'CO2 per kg feed'!M53*FCR_bonefree_incl_parents_GR</f>
        <v>5.1013160073471231E-2</v>
      </c>
      <c r="O22" s="296">
        <f>'CO2 per kg feed'!N53*FCR_bonefree_incl_parents_GR</f>
        <v>0.25231867759977084</v>
      </c>
      <c r="P22" s="296">
        <f>'CO2 per kg feed'!O53*FCR_bonefree_incl_parents_GR</f>
        <v>0.33414898302855761</v>
      </c>
      <c r="Q22" s="296">
        <f>'CO2 per kg feed'!P53*FCR_bonefree_incl_parents_GR</f>
        <v>4.8390137226258165E-2</v>
      </c>
      <c r="R22" s="296">
        <f>'CO2 per kg feed'!Q53*FCR_bonefree_incl_parents_GR</f>
        <v>0.26444673036704963</v>
      </c>
      <c r="S22" s="297"/>
      <c r="T22" s="298"/>
      <c r="U22" s="299"/>
      <c r="V22" s="299"/>
      <c r="W22" s="297">
        <f>Energy_stables_GR/Bonefree_outof_CW_GR*(Share_heating_GR*(Share_biofuels_GR*EF_biofuels_CO2+(1-Share_biofuels_GR)*EF_oil_CO2)+(1-Share_heating_GR)*EF_el_CO2_GR)</f>
        <v>0.44450736052035467</v>
      </c>
      <c r="X22" s="300">
        <f>(Energy_slaughter_el_GR*EF_el_CO2_GR+Energy_slaughter_oil_GR*EF_oil_CO2)/Bonefree_outof_CW_GR</f>
        <v>1.0250432273926779</v>
      </c>
      <c r="Z22" s="19"/>
      <c r="AA22" s="19"/>
    </row>
    <row r="23" spans="1:27" x14ac:dyDescent="0.25">
      <c r="A23" s="12" t="s">
        <v>126</v>
      </c>
      <c r="B23" s="12" t="s">
        <v>127</v>
      </c>
      <c r="C23" s="16" t="s">
        <v>128</v>
      </c>
      <c r="D23" s="17" t="s">
        <v>25</v>
      </c>
      <c r="E23" s="17" t="s">
        <v>86</v>
      </c>
      <c r="F23" s="12" t="s">
        <v>130</v>
      </c>
      <c r="G23" s="19">
        <f>SUM(H23:X23)</f>
        <v>4.4234428822943032E-3</v>
      </c>
      <c r="H23" s="34">
        <f>'CH4 per kg feed'!G53*FCR_bonefree_incl_parents_GR-Excreted_N_after_losses_GR*Manure_repl_factor_GR*(EF_min_fert_BAT_CH4*Frac_BAT_GR+EF_min_fert_AN_CH4*Frac_AN_GR)</f>
        <v>5.5277388458101922E-4</v>
      </c>
      <c r="I23" s="34">
        <f>'CH4 per kg feed'!H53*FCR_bonefree_incl_parents_GR</f>
        <v>5.5571876090668257E-4</v>
      </c>
      <c r="J23" s="34"/>
      <c r="K23" s="34"/>
      <c r="L23" s="34">
        <f>'CH4 per kg feed'!K53*FCR_bonefree_incl_parents_GR</f>
        <v>1.1124069713327428E-4</v>
      </c>
      <c r="M23" s="34"/>
      <c r="N23" s="34">
        <f>'CH4 per kg feed'!M53*FCR_bonefree_incl_parents_GR</f>
        <v>1.7341678580460172E-4</v>
      </c>
      <c r="O23" s="34">
        <f>'CH4 per kg feed'!N53*FCR_bonefree_incl_parents_GR</f>
        <v>2.0528472804857181E-4</v>
      </c>
      <c r="P23" s="34">
        <f>'CH4 per kg feed'!O53*FCR_bonefree_incl_parents_GR</f>
        <v>0</v>
      </c>
      <c r="Q23" s="34">
        <f>'CH4 per kg feed'!P53*FCR_bonefree_incl_parents_GR</f>
        <v>1.3598247888284629E-4</v>
      </c>
      <c r="R23" s="34">
        <f>'CH4 per kg feed'!Q53*FCR_bonefree_incl_parents_GR</f>
        <v>2.2146411661935967E-4</v>
      </c>
      <c r="W23" s="4">
        <f>Energy_stables_GR/Bonefree_outof_CW_GR*(Share_heating_GR*(Share_biofuels_GR*EF_biofuel_CH4+(1-Share_biofuels_GR)*EF_oil_CH4)+(1-Share_heating_GR)*EF_el_CH4_GR)</f>
        <v>6.8521536077910004E-4</v>
      </c>
      <c r="X23" s="11">
        <f>(Energy_slaughter_el_GR*EF_el_CH4_GR+Energy_slaughter_oil_GR*EF_oil_CH4)/Bonefree_outof_CW_GR</f>
        <v>1.782346069538848E-3</v>
      </c>
      <c r="Z23" s="33"/>
      <c r="AA23" s="33"/>
    </row>
    <row r="24" spans="1:27" x14ac:dyDescent="0.25">
      <c r="A24" s="12" t="s">
        <v>126</v>
      </c>
      <c r="B24" s="12" t="s">
        <v>127</v>
      </c>
      <c r="C24" s="16" t="s">
        <v>128</v>
      </c>
      <c r="D24" s="17" t="s">
        <v>25</v>
      </c>
      <c r="E24" s="17" t="s">
        <v>86</v>
      </c>
      <c r="F24" s="12" t="s">
        <v>131</v>
      </c>
      <c r="G24" s="19">
        <f>SUM(H24:T24)+SUM(W24:X24)</f>
        <v>0.16655425626198703</v>
      </c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4">
        <f>(Production!E37+Production!E38+Production!E39*4/12)*EF_ent_ferm_GR</f>
        <v>1.0474494164608278E-2</v>
      </c>
      <c r="T24" s="47">
        <f>SUM(U24:V24)</f>
        <v>0.15607976209737875</v>
      </c>
      <c r="U24" s="62">
        <f>Manure!Q32</f>
        <v>0.15607976209737875</v>
      </c>
      <c r="W24" s="4"/>
      <c r="X24" s="11"/>
      <c r="Z24" s="33"/>
      <c r="AA24" s="33"/>
    </row>
    <row r="25" spans="1:27" ht="15.75" thickBot="1" x14ac:dyDescent="0.3">
      <c r="A25" s="12" t="s">
        <v>126</v>
      </c>
      <c r="B25" s="12" t="s">
        <v>127</v>
      </c>
      <c r="C25" s="16" t="s">
        <v>128</v>
      </c>
      <c r="D25" s="17" t="s">
        <v>25</v>
      </c>
      <c r="E25" s="17" t="s">
        <v>86</v>
      </c>
      <c r="F25" s="35" t="s">
        <v>132</v>
      </c>
      <c r="G25" s="19">
        <f>SUM(H25:T25)+SUM(W25:X25)</f>
        <v>3.0748159536281073E-3</v>
      </c>
      <c r="H25" s="34">
        <f>'N2O per kg feed'!G53*FCR_bonefree_incl_parents_GR-Excreted_N_after_losses_GR*Manure_repl_factor_GR*(EF_min_fert_BAT_N2O*Frac_BAT_GR+EF_min_fert_AN_N2O*Frac_AN_GR)</f>
        <v>6.2860860206939945E-4</v>
      </c>
      <c r="I25" s="33">
        <f>'N2O per kg feed'!H53*FCR_bonefree_incl_parents_GR</f>
        <v>5.6997022099766541E-6</v>
      </c>
      <c r="J25" s="33">
        <f>'N2O per kg feed'!I53*FCR_bonefree_incl_parents_GR-Excreted_N_after_losses_GR*Manure_repl_factor_GR*EF_N2O_diff_GR</f>
        <v>1.109279865697527E-3</v>
      </c>
      <c r="K25" s="33">
        <f>J25*EF_indirect_N2O_GR</f>
        <v>1.1092798656975271E-4</v>
      </c>
      <c r="L25" s="33">
        <f>'N2O per kg feed'!K53*FCR_bonefree_incl_parents_GR</f>
        <v>6.7486538050749382E-6</v>
      </c>
      <c r="M25" s="33"/>
      <c r="N25" s="33">
        <f>'N2O per kg feed'!M53*FCR_bonefree_incl_parents_GR</f>
        <v>2.1336225037728733E-6</v>
      </c>
      <c r="O25" s="33">
        <f>'N2O per kg feed'!N53*FCR_bonefree_incl_parents_GR</f>
        <v>8.8923390933588512E-6</v>
      </c>
      <c r="P25" s="33">
        <f>'N2O per kg feed'!O53*FCR_bonefree_incl_parents_GR</f>
        <v>0</v>
      </c>
      <c r="Q25" s="33">
        <f>'N2O per kg feed'!P53*FCR_bonefree_incl_parents_GR</f>
        <v>1.4141267371926493E-5</v>
      </c>
      <c r="R25" s="33">
        <f>'N2O per kg feed'!Q53*FCR_bonefree_incl_parents_GR</f>
        <v>9.5719474334104648E-6</v>
      </c>
      <c r="S25" s="4"/>
      <c r="T25" s="47">
        <f>SUM(U25:V25)</f>
        <v>1.1179026825768644E-3</v>
      </c>
      <c r="U25" s="189">
        <f>Manure!Q88*44/28</f>
        <v>6.3273079913542891E-4</v>
      </c>
      <c r="V25" s="189">
        <f>NH3_per_kg_GR*17/14*Manure!N117</f>
        <v>4.8517188344143552E-4</v>
      </c>
      <c r="W25" s="4">
        <f>Energy_stables_GR/Bonefree_outof_CW_GR*(Share_heating_GR*(Share_biofuels_GR*EF_biofuel_N2O+(1-Share_biofuels_GR)*EF_oil_N2O)+(1-Share_heating_GR)*EF_el_N2O_GR)</f>
        <v>2.5478086697043247E-5</v>
      </c>
      <c r="X25" s="11">
        <f>(Energy_slaughter_el_GR*EF_el_N2O_GR+Energy_slaughter_oil_GR*EF_oil_N2O)/Bonefree_outof_CW_GR</f>
        <v>3.5431197600000009E-5</v>
      </c>
      <c r="Z25" s="33"/>
      <c r="AA25" s="33"/>
    </row>
    <row r="26" spans="1:27" ht="16.5" thickTop="1" thickBot="1" x14ac:dyDescent="0.3">
      <c r="A26" s="130" t="s">
        <v>126</v>
      </c>
      <c r="B26" s="130" t="s">
        <v>127</v>
      </c>
      <c r="C26" s="131" t="s">
        <v>128</v>
      </c>
      <c r="D26" s="38" t="s">
        <v>25</v>
      </c>
      <c r="E26" s="38" t="s">
        <v>86</v>
      </c>
      <c r="F26" s="133" t="s">
        <v>133</v>
      </c>
      <c r="G26" s="136">
        <f>SUM(H26:X26)</f>
        <v>8.5748605457138183</v>
      </c>
      <c r="H26" s="134">
        <f>SUMPRODUCT(H22:H25,'Parameters, general'!$B$13:$B$16)</f>
        <v>0.47251514284132151</v>
      </c>
      <c r="I26" s="134">
        <f>SUMPRODUCT(I22:I25,'Parameters, general'!$B$13:$B$16)</f>
        <v>0.16944313463133548</v>
      </c>
      <c r="J26" s="134">
        <f>SUMPRODUCT(J22:J25,'Parameters, general'!$B$13:$B$16)</f>
        <v>0.30283340333542486</v>
      </c>
      <c r="K26" s="134">
        <f>SUMPRODUCT(K22:K25,'Parameters, general'!$B$13:$B$16)</f>
        <v>3.0283340333542488E-2</v>
      </c>
      <c r="L26" s="134">
        <f>SUMPRODUCT(L22:L25,'Parameters, general'!$B$13:$B$16)</f>
        <v>0.25618232289368725</v>
      </c>
      <c r="M26" s="134">
        <f>SUMPRODUCT(M22:M25,'Parameters, general'!$B$13:$B$16)</f>
        <v>0</v>
      </c>
      <c r="N26" s="134">
        <f>SUMPRODUCT(N22:N25,'Parameters, general'!$B$13:$B$16)</f>
        <v>5.676345923397836E-2</v>
      </c>
      <c r="O26" s="134">
        <f>SUMPRODUCT(O22:O25,'Parameters, general'!$B$13:$B$16)</f>
        <v>0.26086377106810527</v>
      </c>
      <c r="P26" s="134">
        <f>SUMPRODUCT(P22:P25,'Parameters, general'!$B$13:$B$16)</f>
        <v>0.33414898302855761</v>
      </c>
      <c r="Q26" s="134">
        <f>SUMPRODUCT(Q22:Q25,'Parameters, general'!$B$13:$B$16)</f>
        <v>5.6302981089502914E-2</v>
      </c>
      <c r="R26" s="134">
        <f>SUMPRODUCT(R22:R25,'Parameters, general'!$B$13:$B$16)</f>
        <v>0.27365950269162764</v>
      </c>
      <c r="S26" s="134">
        <f>SUMPRODUCT(S22:S25,'Parameters, general'!$B$13:$B$16)</f>
        <v>0.28281134244442352</v>
      </c>
      <c r="T26" s="134">
        <f>SUMPRODUCT(T22:T25,'Parameters, general'!$B$13:$B$16)</f>
        <v>4.5193410089727104</v>
      </c>
      <c r="U26" s="134"/>
      <c r="V26" s="134"/>
      <c r="W26" s="134">
        <f>SUMPRODUCT(W22:W25,'Parameters, general'!$B$13:$B$16)</f>
        <v>0.47188229593986469</v>
      </c>
      <c r="X26" s="134">
        <f>SUMPRODUCT(X22:X25,'Parameters, general'!$B$13:$B$16)</f>
        <v>1.0878298572097358</v>
      </c>
      <c r="Z26" s="109">
        <f>SUM(H26:R26)</f>
        <v>2.212996041147083</v>
      </c>
      <c r="AA26" s="149">
        <f>'CO2 per kg feed'!F53+'CH4 per kg feed'!F53*CF_GWP_CH4_fossil+'N2O per kg feed'!F53*CF_GWP_N2O</f>
        <v>0.27899022603734502</v>
      </c>
    </row>
    <row r="27" spans="1:27" ht="15.75" thickTop="1" x14ac:dyDescent="0.25">
      <c r="A27" s="292" t="s">
        <v>126</v>
      </c>
      <c r="B27" s="292" t="s">
        <v>127</v>
      </c>
      <c r="C27" s="293" t="s">
        <v>128</v>
      </c>
      <c r="D27" s="294" t="s">
        <v>28</v>
      </c>
      <c r="E27" s="294" t="s">
        <v>87</v>
      </c>
      <c r="F27" s="295" t="s">
        <v>129</v>
      </c>
      <c r="G27" s="296">
        <f>SUM(H27:X27)</f>
        <v>2.52690214611673</v>
      </c>
      <c r="H27" s="296">
        <f>'CO2 per kg feed'!G65*FCR_bonefree_incl_parents_HU-Excreted_N_after_losses_HU*Manure_repl_factor_HU*(EF_min_fert_BAT_CO2*Frac_BAT_HU+EF_min_fert_AN_CO2*Frac_AN_HU)</f>
        <v>0.30879911949678585</v>
      </c>
      <c r="I27" s="296">
        <f>'CO2 per kg feed'!H65*FCR_bonefree_incl_parents_HU</f>
        <v>0.15114165078398883</v>
      </c>
      <c r="J27" s="296">
        <f>'CO2 per kg feed'!I65*FCR_bonefree_incl_parents_HU</f>
        <v>0</v>
      </c>
      <c r="K27" s="296"/>
      <c r="L27" s="296">
        <f>'CO2 per kg feed'!K65*FCR_bonefree_incl_parents_HU</f>
        <v>0.19714607109119722</v>
      </c>
      <c r="M27" s="296"/>
      <c r="N27" s="296">
        <f>'CO2 per kg feed'!M65*FCR_bonefree_incl_parents_HU</f>
        <v>1.6601660490048983E-3</v>
      </c>
      <c r="O27" s="296">
        <f>'CO2 per kg feed'!N65*FCR_bonefree_incl_parents_HU</f>
        <v>0.23369736691235699</v>
      </c>
      <c r="P27" s="296">
        <f>'CO2 per kg feed'!O65*FCR_bonefree_incl_parents_HU</f>
        <v>0.27301428553759027</v>
      </c>
      <c r="Q27" s="296">
        <f>'CO2 per kg feed'!P65*FCR_bonefree_incl_parents_HU</f>
        <v>4.8053247360294211E-2</v>
      </c>
      <c r="R27" s="296">
        <f>'CO2 per kg feed'!Q65*FCR_bonefree_incl_parents_HU</f>
        <v>0.21604110378843544</v>
      </c>
      <c r="S27" s="297"/>
      <c r="T27" s="298"/>
      <c r="U27" s="299"/>
      <c r="V27" s="299"/>
      <c r="W27" s="297">
        <f>Energy_stables_HU/Bonefree_outof_CW_HU*(Share_heating_HU*(Share_biofuels_HU*EF_biofuels_CO2+(1-Share_biofuels_HU)*EF_oil_CO2)+(1-Share_heating_HU)*EF_el_CO2_HU)</f>
        <v>0.3473040533336868</v>
      </c>
      <c r="X27" s="300">
        <f>(Energy_slaughter_el_HU*EF_el_CO2_HU+Energy_slaughter_oil_HU*EF_oil_CO2)/Bonefree_outof_CW_HU</f>
        <v>0.75004508176338991</v>
      </c>
      <c r="Z27" s="19"/>
      <c r="AA27" s="19"/>
    </row>
    <row r="28" spans="1:27" x14ac:dyDescent="0.25">
      <c r="A28" s="12" t="s">
        <v>126</v>
      </c>
      <c r="B28" s="12" t="s">
        <v>127</v>
      </c>
      <c r="C28" s="16" t="s">
        <v>128</v>
      </c>
      <c r="D28" s="17" t="s">
        <v>28</v>
      </c>
      <c r="E28" s="17" t="s">
        <v>87</v>
      </c>
      <c r="F28" s="12" t="s">
        <v>130</v>
      </c>
      <c r="G28" s="19">
        <f>SUM(H28:X28)</f>
        <v>3.8934293357029189E-3</v>
      </c>
      <c r="H28" s="34">
        <f>'CH4 per kg feed'!G65*FCR_bonefree_incl_parents_HU-Excreted_N_after_losses_HU*Manure_repl_factor_HU*(EF_min_fert_BAT_CH4*Frac_BAT_HU+EF_min_fert_AN_CH4*Frac_AN_HU)</f>
        <v>5.9859354943974231E-4</v>
      </c>
      <c r="I28" s="34">
        <f>'CH4 per kg feed'!H65*FCR_bonefree_incl_parents_HU</f>
        <v>5.5591248331922447E-4</v>
      </c>
      <c r="J28" s="34"/>
      <c r="K28" s="34"/>
      <c r="L28" s="34">
        <f>'CH4 per kg feed'!K65*FCR_bonefree_incl_parents_HU</f>
        <v>8.7816703678734152E-5</v>
      </c>
      <c r="M28" s="34"/>
      <c r="N28" s="34">
        <f>'CH4 per kg feed'!M65*FCR_bonefree_incl_parents_HU</f>
        <v>7.0558671868022264E-6</v>
      </c>
      <c r="O28" s="34">
        <f>'CH4 per kg feed'!N65*FCR_bonefree_incl_parents_HU</f>
        <v>1.9003544334968673E-4</v>
      </c>
      <c r="P28" s="34">
        <f>'CH4 per kg feed'!O65*FCR_bonefree_incl_parents_HU</f>
        <v>0</v>
      </c>
      <c r="Q28" s="34">
        <f>'CH4 per kg feed'!P65*FCR_bonefree_incl_parents_HU</f>
        <v>1.1108659339010464E-4</v>
      </c>
      <c r="R28" s="34">
        <f>'CH4 per kg feed'!Q65*FCR_bonefree_incl_parents_HU</f>
        <v>1.8091299364911745E-4</v>
      </c>
      <c r="W28" s="4">
        <f>Energy_stables_HU/Bonefree_outof_CW_HU*(Share_heating_HU*(Share_biofuels_HU*EF_biofuel_CH4+(1-Share_biofuels_HU)*EF_oil_CH4)+(1-Share_heating_HU)*EF_el_CH4_HU)</f>
        <v>6.0565775081981182E-4</v>
      </c>
      <c r="X28" s="11">
        <f>(Energy_slaughter_el_HU*EF_el_CH4_HU+Energy_slaughter_oil_HU*EF_oil_CH4)/Bonefree_outof_CW_HU</f>
        <v>1.5563579508696948E-3</v>
      </c>
      <c r="Z28" s="33"/>
      <c r="AA28" s="33"/>
    </row>
    <row r="29" spans="1:27" x14ac:dyDescent="0.25">
      <c r="A29" s="12" t="s">
        <v>126</v>
      </c>
      <c r="B29" s="12" t="s">
        <v>127</v>
      </c>
      <c r="C29" s="16" t="s">
        <v>128</v>
      </c>
      <c r="D29" s="17" t="s">
        <v>28</v>
      </c>
      <c r="E29" s="17" t="s">
        <v>87</v>
      </c>
      <c r="F29" s="12" t="s">
        <v>131</v>
      </c>
      <c r="G29" s="19">
        <f>SUM(H29:T29)+SUM(W29:X29)</f>
        <v>5.0732607541181411E-2</v>
      </c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4">
        <f>(Production!F37+Production!F38+Production!F39*4/12)*EF_ent_ferm_HU</f>
        <v>1.042089004909212E-2</v>
      </c>
      <c r="T29" s="47">
        <f>SUM(U29:V29)</f>
        <v>4.031171749208929E-2</v>
      </c>
      <c r="U29" s="62">
        <f>Manure!U32</f>
        <v>4.031171749208929E-2</v>
      </c>
      <c r="W29" s="4"/>
      <c r="X29" s="11"/>
      <c r="Z29" s="33"/>
      <c r="AA29" s="33"/>
    </row>
    <row r="30" spans="1:27" ht="15.75" thickBot="1" x14ac:dyDescent="0.3">
      <c r="A30" s="12" t="s">
        <v>126</v>
      </c>
      <c r="B30" s="12" t="s">
        <v>127</v>
      </c>
      <c r="C30" s="16" t="s">
        <v>128</v>
      </c>
      <c r="D30" s="17" t="s">
        <v>28</v>
      </c>
      <c r="E30" s="17" t="s">
        <v>87</v>
      </c>
      <c r="F30" s="35" t="s">
        <v>132</v>
      </c>
      <c r="G30" s="19">
        <f>SUM(H30:T30)+SUM(W30:X30)</f>
        <v>2.9919965502091883E-3</v>
      </c>
      <c r="H30" s="34">
        <f>'N2O per kg feed'!G65*FCR_bonefree_incl_parents_HU-Excreted_N_after_losses_HU*Manure_repl_factor_HU*(EF_min_fert_BAT_N2O*Frac_BAT_HU+EF_min_fert_AN_N2O*Frac_AN_HU)</f>
        <v>6.8052256315397292E-4</v>
      </c>
      <c r="I30" s="33">
        <f>'N2O per kg feed'!H65*FCR_bonefree_incl_parents_HU</f>
        <v>5.6752670873920444E-6</v>
      </c>
      <c r="J30" s="33">
        <f>'N2O per kg feed'!I65*FCR_bonefree_incl_parents_HU-Excreted_N_after_losses_HU*Manure_repl_factor_HU*EF_N2O_diff_HU</f>
        <v>1.0651254439765477E-3</v>
      </c>
      <c r="K30" s="33">
        <f>J30*EF_indirect_N2O_HU</f>
        <v>1.0651254439765478E-4</v>
      </c>
      <c r="L30" s="33">
        <f>'N2O per kg feed'!K65*FCR_bonefree_incl_parents_HU</f>
        <v>5.3234561448756145E-6</v>
      </c>
      <c r="M30" s="33"/>
      <c r="N30" s="33">
        <f>'N2O per kg feed'!M65*FCR_bonefree_incl_parents_HU</f>
        <v>8.6829175314467734E-8</v>
      </c>
      <c r="O30" s="33">
        <f>'N2O per kg feed'!N65*FCR_bonefree_incl_parents_HU</f>
        <v>8.2775736310117406E-6</v>
      </c>
      <c r="P30" s="33">
        <f>'N2O per kg feed'!O65*FCR_bonefree_incl_parents_HU</f>
        <v>0</v>
      </c>
      <c r="Q30" s="33">
        <f>'N2O per kg feed'!P65*FCR_bonefree_incl_parents_HU</f>
        <v>1.1552576151862997E-5</v>
      </c>
      <c r="R30" s="33">
        <f>'N2O per kg feed'!Q65*FCR_bonefree_incl_parents_HU</f>
        <v>7.8200215241607764E-6</v>
      </c>
      <c r="S30" s="4"/>
      <c r="T30" s="47">
        <f>SUM(U30:V30)</f>
        <v>1.0524881518727341E-3</v>
      </c>
      <c r="U30" s="189">
        <f>Manure!U88*44/28</f>
        <v>6.000540411208779E-4</v>
      </c>
      <c r="V30" s="189">
        <f>NH3_per_kg_HU*17/14*Manure!R117</f>
        <v>4.5243411075185613E-4</v>
      </c>
      <c r="W30" s="4">
        <f>Energy_stables_HU/Bonefree_outof_CW_HU*(Share_heating_HU*(Share_biofuels_HU*EF_biofuel_N2O+(1-Share_biofuels_HU)*EF_oil_N2O)+(1-Share_heating_HU)*EF_el_N2O_HU)</f>
        <v>2.2274607242813989E-5</v>
      </c>
      <c r="X30" s="11">
        <f>(Energy_slaughter_el_HU*EF_el_N2O_HU+Energy_slaughter_oil_HU*EF_oil_N2O)/Bonefree_outof_CW_HU</f>
        <v>2.6337515850847459E-5</v>
      </c>
      <c r="Z30" s="33"/>
      <c r="AA30" s="33"/>
    </row>
    <row r="31" spans="1:27" ht="16.5" thickTop="1" thickBot="1" x14ac:dyDescent="0.3">
      <c r="A31" s="130" t="s">
        <v>126</v>
      </c>
      <c r="B31" s="130" t="s">
        <v>127</v>
      </c>
      <c r="C31" s="131" t="s">
        <v>128</v>
      </c>
      <c r="D31" s="132" t="s">
        <v>28</v>
      </c>
      <c r="E31" s="132" t="s">
        <v>87</v>
      </c>
      <c r="F31" s="133" t="s">
        <v>133</v>
      </c>
      <c r="G31" s="136">
        <f t="shared" si="0"/>
        <v>4.8295218021396842</v>
      </c>
      <c r="H31" s="134">
        <f>SUMPRODUCT(H27:H30,'Parameters, general'!$B$13:$B$16)</f>
        <v>0.51241986701112474</v>
      </c>
      <c r="I31" s="134">
        <f>SUMPRODUCT(I27:I30,'Parameters, general'!$B$13:$B$16)</f>
        <v>0.16925719070175976</v>
      </c>
      <c r="J31" s="134">
        <f>SUMPRODUCT(J27:J30,'Parameters, general'!$B$13:$B$16)</f>
        <v>0.29077924620559753</v>
      </c>
      <c r="K31" s="134">
        <f>SUMPRODUCT(K27:K30,'Parameters, general'!$B$13:$B$16)</f>
        <v>2.9077924620559754E-2</v>
      </c>
      <c r="L31" s="134">
        <f>SUMPRODUCT(L27:L30,'Parameters, general'!$B$13:$B$16)</f>
        <v>0.20121631238837454</v>
      </c>
      <c r="M31" s="134">
        <f>SUMPRODUCT(M27:M30,'Parameters, general'!$B$13:$B$16)</f>
        <v>0</v>
      </c>
      <c r="N31" s="134">
        <f>SUMPRODUCT(N27:N30,'Parameters, general'!$B$13:$B$16)</f>
        <v>1.8941352560324543E-3</v>
      </c>
      <c r="O31" s="134">
        <f>SUMPRODUCT(O27:O30,'Parameters, general'!$B$13:$B$16)</f>
        <v>0.24162020072544385</v>
      </c>
      <c r="P31" s="134">
        <f>SUMPRODUCT(P27:P30,'Parameters, general'!$B$13:$B$16)</f>
        <v>0.27301428553759027</v>
      </c>
      <c r="Q31" s="134">
        <f>SUMPRODUCT(Q27:Q30,'Parameters, general'!$B$13:$B$16)</f>
        <v>5.4517481132777934E-2</v>
      </c>
      <c r="R31" s="134">
        <f>SUMPRODUCT(R27:R30,'Parameters, general'!$B$13:$B$16)</f>
        <v>0.22356717687527505</v>
      </c>
      <c r="S31" s="134">
        <f>SUMPRODUCT(S27:S30,'Parameters, general'!$B$13:$B$16)</f>
        <v>0.28136403132548721</v>
      </c>
      <c r="T31" s="134">
        <f>SUMPRODUCT(T27:T30,'Parameters, general'!$B$13:$B$16)</f>
        <v>1.3757456377476673</v>
      </c>
      <c r="U31" s="134"/>
      <c r="V31" s="134"/>
      <c r="W31" s="134">
        <f>SUMPRODUCT(W27:W30,'Parameters, general'!$B$13:$B$16)</f>
        <v>0.37143362208540542</v>
      </c>
      <c r="X31" s="134">
        <f>SUMPRODUCT(X27:X30,'Parameters, general'!$B$13:$B$16)</f>
        <v>0.80361469052658818</v>
      </c>
      <c r="Z31" s="109">
        <f>SUM(H31:R31)</f>
        <v>1.9973638204545359</v>
      </c>
      <c r="AA31" s="149">
        <f>'CO2 per kg feed'!F65+'CH4 per kg feed'!F65*CF_GWP_CH4_fossil+'N2O per kg feed'!F65*CF_GWP_N2O</f>
        <v>0.24541708309219742</v>
      </c>
    </row>
    <row r="32" spans="1:27" ht="15.75" thickTop="1" x14ac:dyDescent="0.25">
      <c r="A32" s="292" t="s">
        <v>126</v>
      </c>
      <c r="B32" s="292" t="s">
        <v>127</v>
      </c>
      <c r="C32" s="293" t="s">
        <v>128</v>
      </c>
      <c r="D32" s="294" t="s">
        <v>134</v>
      </c>
      <c r="E32" s="294" t="s">
        <v>88</v>
      </c>
      <c r="F32" s="295" t="s">
        <v>129</v>
      </c>
      <c r="G32" s="296">
        <f>SUM(H32:X32)</f>
        <v>2.4366669562214711</v>
      </c>
      <c r="H32" s="296">
        <f>'CO2 per kg feed'!G77*FCR_bonefree_incl_parents_IE-Excreted_N_after_losses_IE*Manure_repl_factor_IE*(EF_min_fert_BAT_CO2*Frac_BAT_IE+EF_min_fert_AN_CO2*Frac_AN_IE)</f>
        <v>0.30586025162687963</v>
      </c>
      <c r="I32" s="296">
        <f>'CO2 per kg feed'!H77*FCR_bonefree_incl_parents_IE</f>
        <v>0.14110336511656699</v>
      </c>
      <c r="J32" s="296">
        <f>'CO2 per kg feed'!I77*FCR_bonefree_incl_parents_IE</f>
        <v>0</v>
      </c>
      <c r="K32" s="296"/>
      <c r="L32" s="296">
        <f>'CO2 per kg feed'!K77*FCR_bonefree_incl_parents_IE</f>
        <v>0.16111532186028818</v>
      </c>
      <c r="M32" s="296"/>
      <c r="N32" s="296">
        <f>'CO2 per kg feed'!M77*FCR_bonefree_incl_parents_IE</f>
        <v>3.7380047851382734E-4</v>
      </c>
      <c r="O32" s="296">
        <f>'CO2 per kg feed'!N77*FCR_bonefree_incl_parents_IE</f>
        <v>0.22234584368831167</v>
      </c>
      <c r="P32" s="296">
        <f>'CO2 per kg feed'!O77*FCR_bonefree_incl_parents_IE</f>
        <v>0.28758244641631153</v>
      </c>
      <c r="Q32" s="296">
        <f>'CO2 per kg feed'!P77*FCR_bonefree_incl_parents_IE</f>
        <v>4.8830488417011819E-2</v>
      </c>
      <c r="R32" s="296">
        <f>'CO2 per kg feed'!Q77*FCR_bonefree_incl_parents_IE</f>
        <v>0.25734123652361252</v>
      </c>
      <c r="S32" s="297"/>
      <c r="T32" s="298"/>
      <c r="U32" s="299"/>
      <c r="V32" s="299"/>
      <c r="W32" s="297">
        <f>Energy_stables_IE/Bonefree_outof_CW_IE*(Share_heating_IE*(Share_biofuels_IE*EF_biofuels_CO2+(1-Share_biofuels_IE)*EF_oil_CO2)+(1-Share_heating_IE)*EF_el_CO2_IE)</f>
        <v>0.3234655103994119</v>
      </c>
      <c r="X32" s="300">
        <f>(Energy_slaughter_el_IE*EF_el_CO2_IE+Energy_slaughter_oil_IE*EF_oil_CO2)/Bonefree_outof_CW_IE</f>
        <v>0.688648691694563</v>
      </c>
      <c r="Z32" s="19"/>
      <c r="AA32" s="19"/>
    </row>
    <row r="33" spans="1:27" x14ac:dyDescent="0.25">
      <c r="A33" s="12" t="s">
        <v>126</v>
      </c>
      <c r="B33" s="12" t="s">
        <v>127</v>
      </c>
      <c r="C33" s="16" t="s">
        <v>128</v>
      </c>
      <c r="D33" s="17" t="s">
        <v>134</v>
      </c>
      <c r="E33" s="17" t="s">
        <v>88</v>
      </c>
      <c r="F33" s="12" t="s">
        <v>130</v>
      </c>
      <c r="G33" s="19">
        <f>SUM(H33:X33)</f>
        <v>2.5653582117266555E-3</v>
      </c>
      <c r="H33" s="34">
        <f>'CH4 per kg feed'!G77*FCR_bonefree_incl_parents_IE-Excreted_N_after_losses_IE*Manure_repl_factor_IE*(EF_min_fert_BAT_CH4*Frac_BAT_IE+EF_min_fert_AN_CH4*Frac_AN_IE)</f>
        <v>5.6310897786599672E-4</v>
      </c>
      <c r="I33" s="34">
        <f>'CH4 per kg feed'!H77*FCR_bonefree_incl_parents_IE</f>
        <v>5.1734966802178433E-4</v>
      </c>
      <c r="J33" s="34"/>
      <c r="K33" s="34"/>
      <c r="L33" s="34">
        <f>'CH4 per kg feed'!K77*FCR_bonefree_incl_parents_IE</f>
        <v>7.0984951279695583E-5</v>
      </c>
      <c r="M33" s="34"/>
      <c r="N33" s="34">
        <f>'CH4 per kg feed'!M77*FCR_bonefree_incl_parents_IE</f>
        <v>3.3249726161956575E-6</v>
      </c>
      <c r="O33" s="34">
        <f>'CH4 per kg feed'!N77*FCR_bonefree_incl_parents_IE</f>
        <v>1.3137927835268022E-4</v>
      </c>
      <c r="P33" s="34">
        <f>'CH4 per kg feed'!O77*FCR_bonefree_incl_parents_IE</f>
        <v>0</v>
      </c>
      <c r="Q33" s="34">
        <f>'CH4 per kg feed'!P77*FCR_bonefree_incl_parents_IE</f>
        <v>1.3866593777440967E-4</v>
      </c>
      <c r="R33" s="34">
        <f>'CH4 per kg feed'!Q77*FCR_bonefree_incl_parents_IE</f>
        <v>2.3234909824547168E-4</v>
      </c>
      <c r="W33" s="4">
        <f>Energy_stables_IE/Bonefree_outof_CW_IE*(Share_heating_IE*(Share_biofuels_IE*EF_biofuel_CH4+(1-Share_biofuels_IE)*EF_oil_CH4)+(1-Share_heating_IE)*EF_el_CH4_IE)</f>
        <v>2.7581831455814553E-4</v>
      </c>
      <c r="X33" s="11">
        <f>(Energy_slaughter_el_IE*EF_el_CH4_IE+Energy_slaughter_oil_IE*EF_oil_CH4)/Bonefree_outof_CW_IE</f>
        <v>6.3237701301227674E-4</v>
      </c>
      <c r="Z33" s="33"/>
      <c r="AA33" s="33"/>
    </row>
    <row r="34" spans="1:27" x14ac:dyDescent="0.25">
      <c r="A34" s="12" t="s">
        <v>126</v>
      </c>
      <c r="B34" s="12" t="s">
        <v>127</v>
      </c>
      <c r="C34" s="16" t="s">
        <v>128</v>
      </c>
      <c r="D34" s="17" t="s">
        <v>134</v>
      </c>
      <c r="E34" s="17" t="s">
        <v>88</v>
      </c>
      <c r="F34" s="12" t="s">
        <v>131</v>
      </c>
      <c r="G34" s="19">
        <f>SUM(H34:T34)+SUM(W34:X34)</f>
        <v>2.1317294792871096E-2</v>
      </c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4">
        <f>(Production!G37+Production!G38+Production!G39*4/12)*EF_ent_ferm_IE</f>
        <v>1.0422175345510373E-2</v>
      </c>
      <c r="T34" s="47">
        <f>SUM(U34:V34)</f>
        <v>1.0895119447360723E-2</v>
      </c>
      <c r="U34" s="62">
        <f>Manure!Y32</f>
        <v>1.0895119447360723E-2</v>
      </c>
      <c r="W34" s="4"/>
      <c r="X34" s="11"/>
      <c r="Z34" s="33"/>
      <c r="AA34" s="33"/>
    </row>
    <row r="35" spans="1:27" ht="15.75" thickBot="1" x14ac:dyDescent="0.3">
      <c r="A35" s="12" t="s">
        <v>126</v>
      </c>
      <c r="B35" s="12" t="s">
        <v>127</v>
      </c>
      <c r="C35" s="16" t="s">
        <v>128</v>
      </c>
      <c r="D35" s="17" t="s">
        <v>134</v>
      </c>
      <c r="E35" s="17" t="s">
        <v>88</v>
      </c>
      <c r="F35" s="35" t="s">
        <v>132</v>
      </c>
      <c r="G35" s="19">
        <f>SUM(H35:T35)+SUM(W35:X35)</f>
        <v>4.5555674463102509E-3</v>
      </c>
      <c r="H35" s="34">
        <f>'N2O per kg feed'!G77*FCR_bonefree_incl_parents_IE-Excreted_N_after_losses_IE*Manure_repl_factor_IE*(EF_min_fert_BAT_N2O*Frac_BAT_IE+EF_min_fert_AN_N2O*Frac_AN_IE)</f>
        <v>6.5776682555798336E-4</v>
      </c>
      <c r="I35" s="33">
        <f>'N2O per kg feed'!H77*FCR_bonefree_incl_parents_IE</f>
        <v>5.3311583191828702E-6</v>
      </c>
      <c r="J35" s="33">
        <f>'N2O per kg feed'!I77*FCR_bonefree_incl_parents_IE-Excreted_N_after_losses_IE*Manure_repl_factor_IE*EF_N2O_diff_IE</f>
        <v>2.3711307895111638E-3</v>
      </c>
      <c r="K35" s="33">
        <f>J35*EF_indirect_N2O_IE</f>
        <v>2.371130789511164E-4</v>
      </c>
      <c r="L35" s="33">
        <f>'N2O per kg feed'!K77*FCR_bonefree_incl_parents_IE</f>
        <v>4.3006752638731062E-6</v>
      </c>
      <c r="M35" s="33"/>
      <c r="N35" s="33">
        <f>'N2O per kg feed'!M77*FCR_bonefree_incl_parents_IE</f>
        <v>4.0901243962521481E-8</v>
      </c>
      <c r="O35" s="33">
        <f>'N2O per kg feed'!N77*FCR_bonefree_incl_parents_IE</f>
        <v>7.9254345595859893E-6</v>
      </c>
      <c r="P35" s="33">
        <f>'N2O per kg feed'!O77*FCR_bonefree_incl_parents_IE</f>
        <v>0</v>
      </c>
      <c r="Q35" s="33">
        <f>'N2O per kg feed'!P77*FCR_bonefree_incl_parents_IE</f>
        <v>1.4020963551030083E-5</v>
      </c>
      <c r="R35" s="33">
        <f>'N2O per kg feed'!Q77*FCR_bonefree_incl_parents_IE</f>
        <v>9.0982905307441006E-6</v>
      </c>
      <c r="S35" s="4"/>
      <c r="T35" s="47">
        <f>SUM(U35:V35)</f>
        <v>1.2020545091602629E-3</v>
      </c>
      <c r="U35" s="189">
        <f>Manure!Y88*44/28</f>
        <v>6.771521323373108E-4</v>
      </c>
      <c r="V35" s="189">
        <f>NH3_per_kg_IE*17/14*Manure!V117</f>
        <v>5.2490237682295212E-4</v>
      </c>
      <c r="W35" s="4">
        <f>Energy_stables_IE/Bonefree_outof_CW_IE*(Share_heating_IE*(Share_biofuels_IE*EF_biofuel_N2O+(1-Share_biofuels_IE)*EF_oil_N2O)+(1-Share_heating_IE)*EF_el_N2O_IE)</f>
        <v>2.1694955457956168E-5</v>
      </c>
      <c r="X35" s="11">
        <f>(Energy_slaughter_el_IE*EF_el_N2O_IE+Energy_slaughter_oil_IE*EF_oil_N2O)/Bonefree_outof_CW_IE</f>
        <v>2.5089864203389832E-5</v>
      </c>
      <c r="Z35" s="33"/>
      <c r="AA35" s="33"/>
    </row>
    <row r="36" spans="1:27" ht="16.5" thickTop="1" thickBot="1" x14ac:dyDescent="0.3">
      <c r="A36" s="130" t="s">
        <v>126</v>
      </c>
      <c r="B36" s="130" t="s">
        <v>127</v>
      </c>
      <c r="C36" s="131" t="s">
        <v>128</v>
      </c>
      <c r="D36" s="38" t="s">
        <v>134</v>
      </c>
      <c r="E36" s="38" t="s">
        <v>88</v>
      </c>
      <c r="F36" s="133" t="s">
        <v>133</v>
      </c>
      <c r="G36" s="136">
        <f t="shared" si="0"/>
        <v>4.3323515031811439</v>
      </c>
      <c r="H36" s="134">
        <f>SUMPRODUCT(H32:H35,'Parameters, general'!$B$13:$B$16)</f>
        <v>0.5022112425446158</v>
      </c>
      <c r="I36" s="134">
        <f>SUMPRODUCT(I32:I35,'Parameters, general'!$B$13:$B$16)</f>
        <v>0.1579757914447531</v>
      </c>
      <c r="J36" s="134">
        <f>SUMPRODUCT(J32:J35,'Parameters, general'!$B$13:$B$16)</f>
        <v>0.64731870553654769</v>
      </c>
      <c r="K36" s="134">
        <f>SUMPRODUCT(K32:K35,'Parameters, general'!$B$13:$B$16)</f>
        <v>6.4731870553654772E-2</v>
      </c>
      <c r="L36" s="134">
        <f>SUMPRODUCT(L32:L35,'Parameters, general'!$B$13:$B$16)</f>
        <v>0.16440475775546048</v>
      </c>
      <c r="M36" s="134">
        <f>SUMPRODUCT(M32:M35,'Parameters, general'!$B$13:$B$16)</f>
        <v>0</v>
      </c>
      <c r="N36" s="134">
        <f>SUMPRODUCT(N32:N35,'Parameters, general'!$B$13:$B$16)</f>
        <v>4.8405070207822631E-4</v>
      </c>
      <c r="O36" s="134">
        <f>SUMPRODUCT(O32:O35,'Parameters, general'!$B$13:$B$16)</f>
        <v>0.22842458981798852</v>
      </c>
      <c r="P36" s="134">
        <f>SUMPRODUCT(P32:P35,'Parameters, general'!$B$13:$B$16)</f>
        <v>0.28758244641631153</v>
      </c>
      <c r="Q36" s="134">
        <f>SUMPRODUCT(Q32:Q35,'Parameters, general'!$B$13:$B$16)</f>
        <v>5.6790456412120438E-2</v>
      </c>
      <c r="R36" s="134">
        <f>SUMPRODUCT(R32:R35,'Parameters, general'!$B$13:$B$16)</f>
        <v>0.26674907296622075</v>
      </c>
      <c r="S36" s="134">
        <f>SUMPRODUCT(S32:S35,'Parameters, general'!$B$13:$B$16)</f>
        <v>0.28139873432878004</v>
      </c>
      <c r="T36" s="134">
        <f>SUMPRODUCT(T32:T35,'Parameters, general'!$B$13:$B$16)</f>
        <v>0.62232910607949132</v>
      </c>
      <c r="U36" s="134"/>
      <c r="V36" s="134"/>
      <c r="W36" s="134">
        <f>SUMPRODUCT(W32:W35,'Parameters, general'!$B$13:$B$16)</f>
        <v>0.33760761901326669</v>
      </c>
      <c r="X36" s="134">
        <f>SUMPRODUCT(X32:X35,'Parameters, general'!$B$13:$B$16)</f>
        <v>0.71434305960985423</v>
      </c>
      <c r="Z36" s="109">
        <f>SUM(H36:R36)</f>
        <v>2.3766729841497511</v>
      </c>
      <c r="AA36" s="149">
        <f>'CO2 per kg feed'!F77+'CH4 per kg feed'!F77*CF_GWP_CH4_fossil+'N2O per kg feed'!F77*CF_GWP_N2O</f>
        <v>0.25094542530394398</v>
      </c>
    </row>
    <row r="37" spans="1:27" ht="15.75" thickTop="1" x14ac:dyDescent="0.25">
      <c r="A37" s="292" t="s">
        <v>126</v>
      </c>
      <c r="B37" s="292" t="s">
        <v>127</v>
      </c>
      <c r="C37" s="293" t="s">
        <v>128</v>
      </c>
      <c r="D37" s="294" t="s">
        <v>31</v>
      </c>
      <c r="E37" s="294" t="s">
        <v>89</v>
      </c>
      <c r="F37" s="295" t="s">
        <v>129</v>
      </c>
      <c r="G37" s="296">
        <f>SUM(H37:X37)</f>
        <v>2.3937767976768773</v>
      </c>
      <c r="H37" s="296">
        <f>'CO2 per kg feed'!G89*FCR_bonefree_incl_parents_IT-Excreted_N_after_losses_IT*Manure_repl_factor_IT*(EF_min_fert_BAT_CO2*Frac_BAT_IT+EF_min_fert_AN_CO2*Frac_AN_IT)</f>
        <v>0.27436388970456788</v>
      </c>
      <c r="I37" s="296">
        <f>'CO2 per kg feed'!H89*FCR_bonefree_incl_parents_IT</f>
        <v>0.15203452226199926</v>
      </c>
      <c r="J37" s="296">
        <f>'CO2 per kg feed'!I89*FCR_bonefree_incl_parents_IT</f>
        <v>0</v>
      </c>
      <c r="K37" s="296"/>
      <c r="L37" s="296">
        <f>'CO2 per kg feed'!K89*FCR_bonefree_incl_parents_IT</f>
        <v>0.19206922793530951</v>
      </c>
      <c r="M37" s="296"/>
      <c r="N37" s="296">
        <f>'CO2 per kg feed'!M89*FCR_bonefree_incl_parents_IT</f>
        <v>2.8000415379945832E-2</v>
      </c>
      <c r="O37" s="296">
        <f>'CO2 per kg feed'!N89*FCR_bonefree_incl_parents_IT</f>
        <v>0.23088524285676781</v>
      </c>
      <c r="P37" s="296">
        <f>'CO2 per kg feed'!O89*FCR_bonefree_incl_parents_IT</f>
        <v>0.30478851704144577</v>
      </c>
      <c r="Q37" s="296">
        <f>'CO2 per kg feed'!P89*FCR_bonefree_incl_parents_IT</f>
        <v>5.1156321208272147E-2</v>
      </c>
      <c r="R37" s="296">
        <f>'CO2 per kg feed'!Q89*FCR_bonefree_incl_parents_IT</f>
        <v>0.24332307312504722</v>
      </c>
      <c r="S37" s="297"/>
      <c r="T37" s="298"/>
      <c r="U37" s="299"/>
      <c r="V37" s="299"/>
      <c r="W37" s="297">
        <f>Energy_stables_IT/Bonefree_outof_CW_IT*(Share_heating_IT*(Share_biofuels_IT*EF_biofuels_CO2+(1-Share_biofuels_IT)*EF_oil_CO2)+(1-Share_heating_IT)*EF_el_CO2_IT)</f>
        <v>0.24734849072867451</v>
      </c>
      <c r="X37" s="300">
        <f>(Energy_slaughter_el_IT*EF_el_CO2_IT+Energy_slaughter_oil_IT*EF_oil_CO2)/Bonefree_outof_CW_IT</f>
        <v>0.66980709743484756</v>
      </c>
      <c r="Z37" s="19"/>
      <c r="AA37" s="19"/>
    </row>
    <row r="38" spans="1:27" x14ac:dyDescent="0.25">
      <c r="A38" s="12" t="s">
        <v>126</v>
      </c>
      <c r="B38" s="12" t="s">
        <v>127</v>
      </c>
      <c r="C38" s="16" t="s">
        <v>128</v>
      </c>
      <c r="D38" s="17" t="s">
        <v>31</v>
      </c>
      <c r="E38" s="17" t="s">
        <v>89</v>
      </c>
      <c r="F38" s="12" t="s">
        <v>130</v>
      </c>
      <c r="G38" s="19">
        <f>SUM(H38:X38)</f>
        <v>4.7976361183647738E-3</v>
      </c>
      <c r="H38" s="34">
        <f>'CH4 per kg feed'!G89*FCR_bonefree_incl_parents_IT-Excreted_N_after_losses_IT*Manure_repl_factor_IT*(EF_min_fert_BAT_CH4*Frac_BAT_IT+EF_min_fert_AN_CH4*Frac_AN_IT)</f>
        <v>5.3384287843206513E-4</v>
      </c>
      <c r="I38" s="34">
        <f>'CH4 per kg feed'!H89*FCR_bonefree_incl_parents_IT</f>
        <v>5.5862132932362103E-4</v>
      </c>
      <c r="J38" s="34"/>
      <c r="K38" s="34"/>
      <c r="L38" s="34">
        <f>'CH4 per kg feed'!K89*FCR_bonefree_incl_parents_IT</f>
        <v>8.5001210555092792E-5</v>
      </c>
      <c r="M38" s="34"/>
      <c r="N38" s="34">
        <f>'CH4 per kg feed'!M89*FCR_bonefree_incl_parents_IT</f>
        <v>8.83930701584773E-5</v>
      </c>
      <c r="O38" s="34">
        <f>'CH4 per kg feed'!N89*FCR_bonefree_incl_parents_IT</f>
        <v>2.4209854727861736E-4</v>
      </c>
      <c r="P38" s="34">
        <f>'CH4 per kg feed'!O89*FCR_bonefree_incl_parents_IT</f>
        <v>0</v>
      </c>
      <c r="Q38" s="34">
        <f>'CH4 per kg feed'!P89*FCR_bonefree_incl_parents_IT</f>
        <v>1.2557037355089533E-4</v>
      </c>
      <c r="R38" s="34">
        <f>'CH4 per kg feed'!Q89*FCR_bonefree_incl_parents_IT</f>
        <v>2.0496932360968115E-4</v>
      </c>
      <c r="W38" s="4">
        <f>Energy_stables_IT/Bonefree_outof_CW_IT*(Share_heating_IT*(Share_biofuels_IT*EF_biofuel_CH4+(1-Share_biofuels_IT)*EF_oil_CH4)+(1-Share_heating_IT)*EF_el_CH4_IT)</f>
        <v>6.7139370395422277E-4</v>
      </c>
      <c r="X38" s="11">
        <f>(Energy_slaughter_el_IT*EF_el_CH4_IT+Energy_slaughter_oil_IT*EF_oil_CH4)/Bonefree_outof_CW_IT</f>
        <v>2.2877456815021016E-3</v>
      </c>
      <c r="Z38" s="33"/>
      <c r="AA38" s="33"/>
    </row>
    <row r="39" spans="1:27" x14ac:dyDescent="0.25">
      <c r="A39" s="12" t="s">
        <v>126</v>
      </c>
      <c r="B39" s="12" t="s">
        <v>127</v>
      </c>
      <c r="C39" s="16" t="s">
        <v>128</v>
      </c>
      <c r="D39" s="17" t="s">
        <v>31</v>
      </c>
      <c r="E39" s="17" t="s">
        <v>89</v>
      </c>
      <c r="F39" s="12" t="s">
        <v>131</v>
      </c>
      <c r="G39" s="19">
        <f>SUM(H39:T39)+SUM(W39:X39)</f>
        <v>0.10354345592564314</v>
      </c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4">
        <f>(Production!H37+Production!H38+Production!H39*4/12)*EF_ent_ferm_IT</f>
        <v>8.3103790131795578E-3</v>
      </c>
      <c r="T39" s="47">
        <f>SUM(U39:V39)</f>
        <v>9.5233076912463577E-2</v>
      </c>
      <c r="U39" s="62">
        <f>Manure!AC32</f>
        <v>9.5233076912463577E-2</v>
      </c>
      <c r="W39" s="4"/>
      <c r="X39" s="11"/>
      <c r="Z39" s="33"/>
      <c r="AA39" s="33"/>
    </row>
    <row r="40" spans="1:27" ht="15.75" thickBot="1" x14ac:dyDescent="0.3">
      <c r="A40" s="12" t="s">
        <v>126</v>
      </c>
      <c r="B40" s="12" t="s">
        <v>127</v>
      </c>
      <c r="C40" s="16" t="s">
        <v>128</v>
      </c>
      <c r="D40" s="17" t="s">
        <v>31</v>
      </c>
      <c r="E40" s="17" t="s">
        <v>89</v>
      </c>
      <c r="F40" s="35" t="s">
        <v>132</v>
      </c>
      <c r="G40" s="19">
        <f>SUM(H40:T40)+SUM(W40:X40)</f>
        <v>3.2287935819526104E-3</v>
      </c>
      <c r="H40" s="34">
        <f>'N2O per kg feed'!G89*FCR_bonefree_incl_parents_IT-Excreted_N_after_losses_IT*Manure_repl_factor_IT*(EF_min_fert_BAT_N2O*Frac_BAT_IT+EF_min_fert_AN_N2O*Frac_AN_IT)</f>
        <v>6.0248051494876686E-4</v>
      </c>
      <c r="I40" s="33">
        <f>'N2O per kg feed'!H89*FCR_bonefree_incl_parents_IT</f>
        <v>5.7202981093052765E-6</v>
      </c>
      <c r="J40" s="33">
        <f>'N2O per kg feed'!I89*FCR_bonefree_incl_parents_IT-Excreted_N_after_losses_IT*Manure_repl_factor_IT*EF_N2O_diff_IT</f>
        <v>1.008897732618646E-3</v>
      </c>
      <c r="K40" s="33">
        <f>J40*EF_indirect_N2O_IT</f>
        <v>1.008897732618646E-4</v>
      </c>
      <c r="L40" s="33">
        <f>'N2O per kg feed'!K89*FCR_bonefree_incl_parents_IT</f>
        <v>5.1538239038074728E-6</v>
      </c>
      <c r="M40" s="33"/>
      <c r="N40" s="33">
        <f>'N2O per kg feed'!M89*FCR_bonefree_incl_parents_IT</f>
        <v>1.0881045678128464E-6</v>
      </c>
      <c r="O40" s="33">
        <f>'N2O per kg feed'!N89*FCR_bonefree_incl_parents_IT</f>
        <v>8.4447897669956427E-6</v>
      </c>
      <c r="P40" s="33">
        <f>'N2O per kg feed'!O89*FCR_bonefree_incl_parents_IT</f>
        <v>0</v>
      </c>
      <c r="Q40" s="33">
        <f>'N2O per kg feed'!P89*FCR_bonefree_incl_parents_IT</f>
        <v>1.3030119743999779E-5</v>
      </c>
      <c r="R40" s="33">
        <f>'N2O per kg feed'!Q89*FCR_bonefree_incl_parents_IT</f>
        <v>8.7919819414017158E-6</v>
      </c>
      <c r="S40" s="4"/>
      <c r="T40" s="47">
        <f>SUM(U40:V40)</f>
        <v>1.4287191209307369E-3</v>
      </c>
      <c r="U40" s="189">
        <f>Manure!AC88*44/28</f>
        <v>8.0826603504286637E-4</v>
      </c>
      <c r="V40" s="189">
        <f>NH3_per_kg_IT*17/14*Manure!Z117</f>
        <v>6.2045308588787058E-4</v>
      </c>
      <c r="W40" s="4">
        <f>Energy_stables_IT/Bonefree_outof_CW_IT*(Share_heating_IT*(Share_biofuels_IT*EF_biofuel_N2O+(1-Share_biofuels_IT)*EF_oil_N2O)+(1-Share_heating_IT)*EF_el_N2O_IT)</f>
        <v>1.7704590498256424E-5</v>
      </c>
      <c r="X40" s="11">
        <f>(Energy_slaughter_el_IT*EF_el_N2O_IT+Energy_slaughter_oil_IT*EF_oil_N2O)/Bonefree_outof_CW_IT</f>
        <v>2.7872731661016953E-5</v>
      </c>
      <c r="Z40" s="33"/>
      <c r="AA40" s="33"/>
    </row>
    <row r="41" spans="1:27" ht="16.5" thickTop="1" thickBot="1" x14ac:dyDescent="0.3">
      <c r="A41" s="130" t="s">
        <v>126</v>
      </c>
      <c r="B41" s="130" t="s">
        <v>127</v>
      </c>
      <c r="C41" s="131" t="s">
        <v>128</v>
      </c>
      <c r="D41" s="132" t="s">
        <v>31</v>
      </c>
      <c r="E41" s="132" t="s">
        <v>89</v>
      </c>
      <c r="F41" s="133" t="s">
        <v>133</v>
      </c>
      <c r="G41" s="136">
        <f t="shared" si="0"/>
        <v>6.2138803118695742</v>
      </c>
      <c r="H41" s="134">
        <f>SUMPRODUCT(H37:H40,'Parameters, general'!$B$13:$B$16)</f>
        <v>0.45474958806285676</v>
      </c>
      <c r="I41" s="134">
        <f>SUMPRODUCT(I37:I40,'Parameters, general'!$B$13:$B$16)</f>
        <v>0.17024307925968352</v>
      </c>
      <c r="J41" s="134">
        <f>SUMPRODUCT(J37:J40,'Parameters, general'!$B$13:$B$16)</f>
        <v>0.27542908100489039</v>
      </c>
      <c r="K41" s="134">
        <f>SUMPRODUCT(K37:K40,'Parameters, general'!$B$13:$B$16)</f>
        <v>2.7542908100489035E-2</v>
      </c>
      <c r="L41" s="134">
        <f>SUMPRODUCT(L37:L40,'Parameters, general'!$B$13:$B$16)</f>
        <v>0.19600925793559074</v>
      </c>
      <c r="M41" s="134">
        <f>SUMPRODUCT(M37:M40,'Parameters, general'!$B$13:$B$16)</f>
        <v>0</v>
      </c>
      <c r="N41" s="134">
        <f>SUMPRODUCT(N37:N40,'Parameters, general'!$B$13:$B$16)</f>
        <v>3.0931581417681361E-2</v>
      </c>
      <c r="O41" s="134">
        <f>SUMPRODUCT(O37:O40,'Parameters, general'!$B$13:$B$16)</f>
        <v>0.2404052071720604</v>
      </c>
      <c r="P41" s="134">
        <f>SUMPRODUCT(P37:P40,'Parameters, general'!$B$13:$B$16)</f>
        <v>0.30478851704144577</v>
      </c>
      <c r="Q41" s="134">
        <f>SUMPRODUCT(Q37:Q40,'Parameters, general'!$B$13:$B$16)</f>
        <v>5.8455541030200765E-2</v>
      </c>
      <c r="R41" s="134">
        <f>SUMPRODUCT(R37:R40,'Parameters, general'!$B$13:$B$16)</f>
        <v>0.25183137003861839</v>
      </c>
      <c r="S41" s="134">
        <f>SUMPRODUCT(S37:S40,'Parameters, general'!$B$13:$B$16)</f>
        <v>0.22438023335584806</v>
      </c>
      <c r="T41" s="134">
        <f>SUMPRODUCT(T37:T40,'Parameters, general'!$B$13:$B$16)</f>
        <v>2.9613333966506077</v>
      </c>
      <c r="U41" s="134"/>
      <c r="V41" s="134"/>
      <c r="W41" s="134">
        <f>SUMPRODUCT(W37:W40,'Parameters, general'!$B$13:$B$16)</f>
        <v>0.27218937631253437</v>
      </c>
      <c r="X41" s="134">
        <f>SUMPRODUCT(X37:X40,'Parameters, general'!$B$13:$B$16)</f>
        <v>0.7455911744870678</v>
      </c>
      <c r="Z41" s="109">
        <f>SUM(H41:R41)</f>
        <v>2.0103861310635169</v>
      </c>
      <c r="AA41" s="149">
        <f>'CO2 per kg feed'!F89+'CH4 per kg feed'!F89*CF_GWP_CH4_fossil+'N2O per kg feed'!F89*CF_GWP_N2O</f>
        <v>0.24292399968815914</v>
      </c>
    </row>
    <row r="42" spans="1:27" ht="15.75" thickTop="1" x14ac:dyDescent="0.25">
      <c r="A42" s="292" t="s">
        <v>126</v>
      </c>
      <c r="B42" s="292" t="s">
        <v>127</v>
      </c>
      <c r="C42" s="293" t="s">
        <v>128</v>
      </c>
      <c r="D42" t="s">
        <v>135</v>
      </c>
      <c r="E42" s="17" t="s">
        <v>90</v>
      </c>
      <c r="F42" s="295" t="s">
        <v>129</v>
      </c>
      <c r="G42" s="296">
        <f>SUM(H42:X42)</f>
        <v>2.8350652219445234</v>
      </c>
      <c r="H42" s="296">
        <f>'CO2 per kg feed'!G101*FCR_bonefree_incl_parents_NL-Excreted_N_after_losses_NL*Manure_repl_factor_NL*(EF_min_fert_BAT_CO2*Frac_BAT_NL+EF_min_fert_AN_CO2*Frac_AN_NL)</f>
        <v>0.38589901604005261</v>
      </c>
      <c r="I42" s="296">
        <f>'CO2 per kg feed'!H101*FCR_bonefree_incl_parents_NL</f>
        <v>0.15120755016345713</v>
      </c>
      <c r="J42" s="296">
        <f>'CO2 per kg feed'!I101*FCR_bonefree_incl_parents_NL</f>
        <v>0</v>
      </c>
      <c r="K42" s="296"/>
      <c r="L42" s="296">
        <f>'CO2 per kg feed'!K101*FCR_bonefree_incl_parents_NL</f>
        <v>0.16496416135170613</v>
      </c>
      <c r="M42" s="296"/>
      <c r="N42" s="296">
        <f>'CO2 per kg feed'!M101*FCR_bonefree_incl_parents_NL</f>
        <v>1.1507407953163578E-2</v>
      </c>
      <c r="O42" s="296">
        <f>'CO2 per kg feed'!N101*FCR_bonefree_incl_parents_NL</f>
        <v>0.2499915554121836</v>
      </c>
      <c r="P42" s="296">
        <f>'CO2 per kg feed'!O101*FCR_bonefree_incl_parents_NL</f>
        <v>0.31906062994576423</v>
      </c>
      <c r="Q42" s="296">
        <f>'CO2 per kg feed'!P101*FCR_bonefree_incl_parents_NL</f>
        <v>4.6828675629782261E-2</v>
      </c>
      <c r="R42" s="296">
        <f>'CO2 per kg feed'!Q101*FCR_bonefree_incl_parents_NL</f>
        <v>0.30130596998097597</v>
      </c>
      <c r="S42" s="297"/>
      <c r="T42" s="298"/>
      <c r="U42" s="299"/>
      <c r="V42" s="299"/>
      <c r="W42" s="297">
        <f>Energy_stables_NL/Bonefree_outof_CW_NL*(Share_heating_NL*(Share_biofuels_NL*EF_biofuels_CO2+(1-Share_biofuels_NL)*EF_oil_CO2)+(1-Share_heating_NL)*EF_el_CO2_NL)</f>
        <v>0.37346867145197998</v>
      </c>
      <c r="X42" s="300">
        <f>(Energy_slaughter_el_NL*EF_el_CO2_NL+Energy_slaughter_oil_NL*EF_oil_CO2)/Bonefree_outof_CW_NL</f>
        <v>0.83083158401545754</v>
      </c>
      <c r="Z42" s="19"/>
      <c r="AA42" s="19"/>
    </row>
    <row r="43" spans="1:27" x14ac:dyDescent="0.25">
      <c r="A43" s="12" t="s">
        <v>126</v>
      </c>
      <c r="B43" s="12" t="s">
        <v>127</v>
      </c>
      <c r="C43" s="16" t="s">
        <v>128</v>
      </c>
      <c r="D43" t="s">
        <v>135</v>
      </c>
      <c r="E43" s="17" t="s">
        <v>90</v>
      </c>
      <c r="F43" s="12" t="s">
        <v>130</v>
      </c>
      <c r="G43" s="19">
        <f>SUM(H43:X43)</f>
        <v>3.934822104894025E-3</v>
      </c>
      <c r="H43" s="34">
        <f>'CH4 per kg feed'!G101*FCR_bonefree_incl_parents_NL-Excreted_N_after_losses_NL*Manure_repl_factor_NL*(EF_min_fert_BAT_CH4*Frac_BAT_NL+EF_min_fert_AN_CH4*Frac_AN_NL)</f>
        <v>7.0507470299382361E-4</v>
      </c>
      <c r="I43" s="34">
        <f>'CH4 per kg feed'!H101*FCR_bonefree_incl_parents_NL</f>
        <v>5.539787481888093E-4</v>
      </c>
      <c r="J43" s="34"/>
      <c r="K43" s="34"/>
      <c r="L43" s="34">
        <f>'CH4 per kg feed'!K101*FCR_bonefree_incl_parents_NL</f>
        <v>7.2959603575960876E-5</v>
      </c>
      <c r="M43" s="34"/>
      <c r="N43" s="34">
        <f>'CH4 per kg feed'!M101*FCR_bonefree_incl_parents_NL</f>
        <v>3.7259707825173294E-5</v>
      </c>
      <c r="O43" s="34">
        <f>'CH4 per kg feed'!N101*FCR_bonefree_incl_parents_NL</f>
        <v>1.8292557697413623E-4</v>
      </c>
      <c r="P43" s="34">
        <f>'CH4 per kg feed'!O101*FCR_bonefree_incl_parents_NL</f>
        <v>0</v>
      </c>
      <c r="Q43" s="34">
        <f>'CH4 per kg feed'!P101*FCR_bonefree_incl_parents_NL</f>
        <v>1.6533215167371953E-4</v>
      </c>
      <c r="R43" s="34">
        <f>'CH4 per kg feed'!Q101*FCR_bonefree_incl_parents_NL</f>
        <v>2.7995082160699088E-4</v>
      </c>
      <c r="W43" s="4">
        <f>Energy_stables_NL/Bonefree_outof_CW_NL*(Share_heating_NL*(Share_biofuels_NL*EF_biofuel_CH4+(1-Share_biofuels_NL)*EF_oil_CH4)+(1-Share_heating_NL)*EF_el_CH4_NL)</f>
        <v>5.4407102510951313E-4</v>
      </c>
      <c r="X43" s="11">
        <f>(Energy_slaughter_el_NL*EF_el_CH4_NL+Energy_slaughter_oil_NL*EF_oil_CH4)/Bonefree_outof_CW_NL</f>
        <v>1.3932697669458984E-3</v>
      </c>
      <c r="Z43" s="33"/>
      <c r="AA43" s="33"/>
    </row>
    <row r="44" spans="1:27" x14ac:dyDescent="0.25">
      <c r="A44" s="12" t="s">
        <v>126</v>
      </c>
      <c r="B44" s="12" t="s">
        <v>127</v>
      </c>
      <c r="C44" s="16" t="s">
        <v>128</v>
      </c>
      <c r="D44" t="s">
        <v>135</v>
      </c>
      <c r="E44" s="17" t="s">
        <v>90</v>
      </c>
      <c r="F44" s="12" t="s">
        <v>131</v>
      </c>
      <c r="G44" s="19">
        <f>SUM(H44:T44)+SUM(W44:X44)</f>
        <v>0.10377627061386101</v>
      </c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4">
        <f>(Production!I37+Production!I38+Production!I39*4/12)*EF_ent_ferm_NL</f>
        <v>1.0312174107106649E-2</v>
      </c>
      <c r="T44" s="47">
        <f>SUM(U44:V44)</f>
        <v>9.3464096506754357E-2</v>
      </c>
      <c r="U44" s="62">
        <f>Manure!AG32</f>
        <v>9.3464096506754357E-2</v>
      </c>
      <c r="W44" s="4"/>
      <c r="X44" s="11"/>
      <c r="Z44" s="33"/>
      <c r="AA44" s="33"/>
    </row>
    <row r="45" spans="1:27" ht="15.75" thickBot="1" x14ac:dyDescent="0.3">
      <c r="A45" s="12" t="s">
        <v>126</v>
      </c>
      <c r="B45" s="12" t="s">
        <v>127</v>
      </c>
      <c r="C45" s="16" t="s">
        <v>128</v>
      </c>
      <c r="D45" t="s">
        <v>135</v>
      </c>
      <c r="E45" s="17" t="s">
        <v>90</v>
      </c>
      <c r="F45" s="35" t="s">
        <v>132</v>
      </c>
      <c r="G45" s="19">
        <f>SUM(H45:T45)+SUM(W45:X45)</f>
        <v>5.2743878722847108E-3</v>
      </c>
      <c r="H45" s="34">
        <f>'N2O per kg feed'!G101*FCR_bonefree_incl_parents_NL-Excreted_N_after_losses_NL*Manure_repl_factor_NL*(EF_min_fert_BAT_N2O*Frac_BAT_NL+EF_min_fert_AN_N2O*Frac_AN_NL)</f>
        <v>8.1261183798658841E-4</v>
      </c>
      <c r="I45" s="33">
        <f>'N2O per kg feed'!H101*FCR_bonefree_incl_parents_NL</f>
        <v>5.721263943274608E-6</v>
      </c>
      <c r="J45" s="33">
        <f>'N2O per kg feed'!I101*FCR_bonefree_incl_parents_NL-Excreted_N_after_losses_NL*Manure_repl_factor_NL*EF_N2O_diff_NL</f>
        <v>3.0240606702390364E-3</v>
      </c>
      <c r="K45" s="33">
        <f>J45*EF_indirect_N2O_NL</f>
        <v>3.0240606702390364E-4</v>
      </c>
      <c r="L45" s="33">
        <f>'N2O per kg feed'!K101*FCR_bonefree_incl_parents_NL</f>
        <v>4.4249261658244406E-6</v>
      </c>
      <c r="M45" s="33"/>
      <c r="N45" s="33">
        <f>'N2O per kg feed'!M101*FCR_bonefree_incl_parents_NL</f>
        <v>4.5832007422064842E-7</v>
      </c>
      <c r="O45" s="33">
        <f>'N2O per kg feed'!N101*FCR_bonefree_incl_parents_NL</f>
        <v>9.0839845872921161E-6</v>
      </c>
      <c r="P45" s="33">
        <f>'N2O per kg feed'!O101*FCR_bonefree_incl_parents_NL</f>
        <v>0</v>
      </c>
      <c r="Q45" s="33">
        <f>'N2O per kg feed'!P101*FCR_bonefree_incl_parents_NL</f>
        <v>1.6538283619700459E-5</v>
      </c>
      <c r="R45" s="33">
        <f>'N2O per kg feed'!Q101*FCR_bonefree_incl_parents_NL</f>
        <v>1.0551000683192768E-5</v>
      </c>
      <c r="S45" s="4"/>
      <c r="T45" s="47">
        <f>SUM(U45:V45)</f>
        <v>1.0315833957194541E-3</v>
      </c>
      <c r="U45" s="189">
        <f>Manure!AG88*44/28</f>
        <v>5.8520893821179649E-4</v>
      </c>
      <c r="V45" s="189">
        <f>NH3_per_kg_NL*17/14*Manure!AD117</f>
        <v>4.4637445750765766E-4</v>
      </c>
      <c r="W45" s="4">
        <f>Energy_stables_NL/Bonefree_outof_CW_NL*(Share_heating_NL*(Share_biofuels_NL*EF_biofuel_N2O+(1-Share_biofuels_NL)*EF_oil_N2O)+(1-Share_heating_NL)*EF_el_N2O_NL)</f>
        <v>2.4337714038833473E-5</v>
      </c>
      <c r="X45" s="11">
        <f>(Energy_slaughter_el_NL*EF_el_N2O_NL+Energy_slaughter_oil_NL*EF_oil_N2O)/Bonefree_outof_CW_NL</f>
        <v>3.2610408203389833E-5</v>
      </c>
      <c r="Z45" s="33"/>
      <c r="AA45" s="33"/>
    </row>
    <row r="46" spans="1:27" ht="16.5" thickTop="1" thickBot="1" x14ac:dyDescent="0.3">
      <c r="A46" s="130" t="s">
        <v>126</v>
      </c>
      <c r="B46" s="130" t="s">
        <v>127</v>
      </c>
      <c r="C46" s="131" t="s">
        <v>128</v>
      </c>
      <c r="D46" s="150" t="s">
        <v>135</v>
      </c>
      <c r="E46" s="132" t="s">
        <v>90</v>
      </c>
      <c r="F46" s="133" t="s">
        <v>133</v>
      </c>
      <c r="G46" s="136">
        <f t="shared" si="0"/>
        <v>7.1941901163783379</v>
      </c>
      <c r="H46" s="134">
        <f>SUMPRODUCT(H42:H45,'Parameters, general'!$B$13:$B$16)</f>
        <v>0.62875327395960723</v>
      </c>
      <c r="I46" s="134">
        <f>SUMPRODUCT(I42:I45,'Parameters, general'!$B$13:$B$16)</f>
        <v>0.16927802191599761</v>
      </c>
      <c r="J46" s="134">
        <f>SUMPRODUCT(J42:J45,'Parameters, general'!$B$13:$B$16)</f>
        <v>0.82556856297525694</v>
      </c>
      <c r="K46" s="134">
        <f>SUMPRODUCT(K42:K45,'Parameters, general'!$B$13:$B$16)</f>
        <v>8.2556856297525696E-2</v>
      </c>
      <c r="L46" s="134">
        <f>SUMPRODUCT(L42:L45,'Parameters, general'!$B$13:$B$16)</f>
        <v>0.16834636238153985</v>
      </c>
      <c r="M46" s="134">
        <f>SUMPRODUCT(M42:M45,'Parameters, general'!$B$13:$B$16)</f>
        <v>0</v>
      </c>
      <c r="N46" s="134">
        <f>SUMPRODUCT(N42:N45,'Parameters, general'!$B$13:$B$16)</f>
        <v>1.2742868626615979E-2</v>
      </c>
      <c r="O46" s="134">
        <f>SUMPRODUCT(O42:O45,'Parameters, general'!$B$13:$B$16)</f>
        <v>0.25792266539834363</v>
      </c>
      <c r="P46" s="134">
        <f>SUMPRODUCT(P42:P45,'Parameters, general'!$B$13:$B$16)</f>
        <v>0.31906062994576423</v>
      </c>
      <c r="Q46" s="134">
        <f>SUMPRODUCT(Q42:Q45,'Parameters, general'!$B$13:$B$16)</f>
        <v>5.627052517783733E-2</v>
      </c>
      <c r="R46" s="134">
        <f>SUMPRODUCT(R42:R45,'Parameters, general'!$B$13:$B$16)</f>
        <v>0.31252892765137591</v>
      </c>
      <c r="S46" s="134">
        <f>SUMPRODUCT(S42:S45,'Parameters, general'!$B$13:$B$16)</f>
        <v>0.27842870089187949</v>
      </c>
      <c r="T46" s="134">
        <f>SUMPRODUCT(T42:T45,'Parameters, general'!$B$13:$B$16)</f>
        <v>2.8051528727137782</v>
      </c>
      <c r="U46" s="134"/>
      <c r="V46" s="134"/>
      <c r="W46" s="134">
        <f>SUMPRODUCT(W42:W45,'Parameters, general'!$B$13:$B$16)</f>
        <v>0.39632618393284497</v>
      </c>
      <c r="X46" s="134">
        <f>SUMPRODUCT(X42:X45,'Parameters, general'!$B$13:$B$16)</f>
        <v>0.88125366450997078</v>
      </c>
      <c r="Z46" s="109">
        <f>SUM(H46:R46)</f>
        <v>2.8330286943298644</v>
      </c>
      <c r="AA46" s="149">
        <f>'CO2 per kg feed'!F101+'CH4 per kg feed'!F101*CF_GWP_CH4_fossil+'N2O per kg feed'!F101*CF_GWP_N2O</f>
        <v>0.29857739106438369</v>
      </c>
    </row>
    <row r="47" spans="1:27" ht="15.75" thickTop="1" x14ac:dyDescent="0.25">
      <c r="A47" s="292" t="s">
        <v>126</v>
      </c>
      <c r="B47" s="292" t="s">
        <v>127</v>
      </c>
      <c r="C47" s="293" t="s">
        <v>128</v>
      </c>
      <c r="D47" t="s">
        <v>29</v>
      </c>
      <c r="E47" s="17" t="s">
        <v>91</v>
      </c>
      <c r="F47" s="295" t="s">
        <v>129</v>
      </c>
      <c r="G47" s="296">
        <f>SUM(H47:X47)</f>
        <v>3.6556617638456474</v>
      </c>
      <c r="H47" s="296">
        <f>'CO2 per kg feed'!G113*FCR_bonefree_incl_parents_PL-Excreted_N_after_losses_PL*Manure_repl_factor_PL*(EF_min_fert_BAT_CO2*Frac_BAT_PL+EF_min_fert_AN_CO2*Frac_AN_PL)</f>
        <v>0.37587985108087407</v>
      </c>
      <c r="I47" s="296">
        <f>'CO2 per kg feed'!H113*FCR_bonefree_incl_parents_PL</f>
        <v>0.15945982317822069</v>
      </c>
      <c r="J47" s="296">
        <f>'CO2 per kg feed'!I113*FCR_bonefree_incl_parents_PL</f>
        <v>0</v>
      </c>
      <c r="K47" s="296"/>
      <c r="L47" s="296">
        <f>'CO2 per kg feed'!K113*FCR_bonefree_incl_parents_PL</f>
        <v>0.25919106695583399</v>
      </c>
      <c r="M47" s="296"/>
      <c r="N47" s="296">
        <f>'CO2 per kg feed'!M113*FCR_bonefree_incl_parents_PL</f>
        <v>1.718320912934901E-3</v>
      </c>
      <c r="O47" s="296">
        <f>'CO2 per kg feed'!N113*FCR_bonefree_incl_parents_PL</f>
        <v>0.30702987075740995</v>
      </c>
      <c r="P47" s="296">
        <f>'CO2 per kg feed'!O113*FCR_bonefree_incl_parents_PL</f>
        <v>0.2263666009920037</v>
      </c>
      <c r="Q47" s="296">
        <f>'CO2 per kg feed'!P113*FCR_bonefree_incl_parents_PL</f>
        <v>4.8390137226258165E-2</v>
      </c>
      <c r="R47" s="296">
        <f>'CO2 per kg feed'!Q113*FCR_bonefree_incl_parents_PL</f>
        <v>0.19180574740504042</v>
      </c>
      <c r="S47" s="297"/>
      <c r="T47" s="298"/>
      <c r="U47" s="299"/>
      <c r="V47" s="299"/>
      <c r="W47" s="297">
        <f>Energy_stables_PL/Bonefree_outof_CW_PL*(Share_heating_PL*(Share_biofuels_PL*EF_biofuels_CO2+(1-Share_biofuels_PL)*EF_oil_CO2)+(1-Share_heating_PL)*EF_el_CO2_PL)</f>
        <v>0.6058780258638512</v>
      </c>
      <c r="X47" s="300">
        <f>(Energy_slaughter_el_PL*EF_el_CO2_PL+Energy_slaughter_oil_PL*EF_oil_CO2)/Bonefree_outof_CW_PL</f>
        <v>1.4799423194732206</v>
      </c>
      <c r="Z47" s="19"/>
      <c r="AA47" s="19"/>
    </row>
    <row r="48" spans="1:27" x14ac:dyDescent="0.25">
      <c r="A48" s="12" t="s">
        <v>126</v>
      </c>
      <c r="B48" s="12" t="s">
        <v>127</v>
      </c>
      <c r="C48" s="16" t="s">
        <v>128</v>
      </c>
      <c r="D48" t="s">
        <v>29</v>
      </c>
      <c r="E48" s="17" t="s">
        <v>91</v>
      </c>
      <c r="F48" s="12" t="s">
        <v>130</v>
      </c>
      <c r="G48" s="19">
        <f>SUM(H48:X48)</f>
        <v>5.5545777988839137E-3</v>
      </c>
      <c r="H48" s="34">
        <f>'CH4 per kg feed'!G113*FCR_bonefree_incl_parents_PL-Excreted_N_after_losses_PL*Manure_repl_factor_PL*(EF_min_fert_BAT_CH4*Frac_BAT_PL+EF_min_fert_AN_CH4*Frac_AN_PL)</f>
        <v>7.0919564793514524E-4</v>
      </c>
      <c r="I48" s="34">
        <f>'CH4 per kg feed'!H113*FCR_bonefree_incl_parents_PL</f>
        <v>5.8687568169242023E-4</v>
      </c>
      <c r="J48" s="34"/>
      <c r="K48" s="34"/>
      <c r="L48" s="34">
        <f>'CH4 per kg feed'!K113*FCR_bonefree_incl_parents_PL</f>
        <v>1.1479595672587398E-4</v>
      </c>
      <c r="M48" s="34"/>
      <c r="N48" s="34">
        <f>'CH4 per kg feed'!M113*FCR_bonefree_incl_parents_PL</f>
        <v>5.9816561646307012E-6</v>
      </c>
      <c r="O48" s="34">
        <f>'CH4 per kg feed'!N113*FCR_bonefree_incl_parents_PL</f>
        <v>2.8238226265387198E-4</v>
      </c>
      <c r="P48" s="34">
        <f>'CH4 per kg feed'!O113*FCR_bonefree_incl_parents_PL</f>
        <v>0</v>
      </c>
      <c r="Q48" s="34">
        <f>'CH4 per kg feed'!P113*FCR_bonefree_incl_parents_PL</f>
        <v>1.0132606036009226E-4</v>
      </c>
      <c r="R48" s="34">
        <f>'CH4 per kg feed'!Q113*FCR_bonefree_incl_parents_PL</f>
        <v>1.6779406264787091E-4</v>
      </c>
      <c r="W48" s="4">
        <f>Energy_stables_PL/Bonefree_outof_CW_PL*(Share_heating_PL*(Share_biofuels_PL*EF_biofuel_CH4+(1-Share_biofuels_PL)*EF_oil_CH4)+(1-Share_heating_PL)*EF_el_CH4_PL)</f>
        <v>9.7813858099059757E-4</v>
      </c>
      <c r="X48" s="11">
        <f>(Energy_slaughter_el_PL*EF_el_CH4_PL+Energy_slaughter_oil_PL*EF_oil_CH4)/Bonefree_outof_CW_PL</f>
        <v>2.6080878897134108E-3</v>
      </c>
      <c r="Z48" s="33"/>
      <c r="AA48" s="33"/>
    </row>
    <row r="49" spans="1:27" x14ac:dyDescent="0.25">
      <c r="A49" s="12" t="s">
        <v>126</v>
      </c>
      <c r="B49" s="12" t="s">
        <v>127</v>
      </c>
      <c r="C49" s="16" t="s">
        <v>128</v>
      </c>
      <c r="D49" t="s">
        <v>29</v>
      </c>
      <c r="E49" s="17" t="s">
        <v>91</v>
      </c>
      <c r="F49" s="12" t="s">
        <v>131</v>
      </c>
      <c r="G49" s="19">
        <f>SUM(H49:T49)+SUM(W49:X49)</f>
        <v>2.3823351987054903E-2</v>
      </c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4">
        <f>(Production!J37+Production!J38+Production!J39*4/12)*EF_ent_ferm_PL</f>
        <v>1.0474494164608279E-2</v>
      </c>
      <c r="T49" s="47">
        <f>SUM(U49:V49)</f>
        <v>1.3348857822446622E-2</v>
      </c>
      <c r="U49" s="62">
        <f>Manure!AK32</f>
        <v>1.3348857822446622E-2</v>
      </c>
      <c r="W49" s="4"/>
      <c r="X49" s="11"/>
      <c r="Z49" s="33"/>
      <c r="AA49" s="33"/>
    </row>
    <row r="50" spans="1:27" ht="15.75" thickBot="1" x14ac:dyDescent="0.3">
      <c r="A50" s="12" t="s">
        <v>126</v>
      </c>
      <c r="B50" s="12" t="s">
        <v>127</v>
      </c>
      <c r="C50" s="16" t="s">
        <v>128</v>
      </c>
      <c r="D50" t="s">
        <v>29</v>
      </c>
      <c r="E50" s="17" t="s">
        <v>91</v>
      </c>
      <c r="F50" s="35" t="s">
        <v>132</v>
      </c>
      <c r="G50" s="19">
        <f>SUM(H50:T50)+SUM(W50:X50)</f>
        <v>4.8475259481614245E-3</v>
      </c>
      <c r="H50" s="34">
        <f>'N2O per kg feed'!G113*FCR_bonefree_incl_parents_PL-Excreted_N_after_losses_PL*Manure_repl_factor_PL*(EF_min_fert_BAT_N2O*Frac_BAT_PL+EF_min_fert_AN_N2O*Frac_AN_PL)</f>
        <v>8.2265328288886111E-4</v>
      </c>
      <c r="I50" s="33">
        <f>'N2O per kg feed'!H113*FCR_bonefree_incl_parents_PL</f>
        <v>5.9802444970650097E-6</v>
      </c>
      <c r="J50" s="33">
        <f>'N2O per kg feed'!I113*FCR_bonefree_incl_parents_PL-Excreted_N_after_losses_PL*Manure_repl_factor_PL*EF_N2O_diff_PL</f>
        <v>2.5999991528428529E-3</v>
      </c>
      <c r="K50" s="33">
        <f>J50*EF_indirect_N2O_PL</f>
        <v>2.5999991528428528E-4</v>
      </c>
      <c r="L50" s="33">
        <f>'N2O per kg feed'!K113*FCR_bonefree_incl_parents_PL</f>
        <v>6.9621853271086157E-6</v>
      </c>
      <c r="M50" s="33"/>
      <c r="N50" s="33">
        <f>'N2O per kg feed'!M113*FCR_bonefree_incl_parents_PL</f>
        <v>7.3704462363885901E-8</v>
      </c>
      <c r="O50" s="33">
        <f>'N2O per kg feed'!N113*FCR_bonefree_incl_parents_PL</f>
        <v>9.0562810506352363E-6</v>
      </c>
      <c r="P50" s="33">
        <f>'N2O per kg feed'!O113*FCR_bonefree_incl_parents_PL</f>
        <v>0</v>
      </c>
      <c r="Q50" s="33">
        <f>'N2O per kg feed'!P113*FCR_bonefree_incl_parents_PL</f>
        <v>1.0367290328756942E-5</v>
      </c>
      <c r="R50" s="33">
        <f>'N2O per kg feed'!Q113*FCR_bonefree_incl_parents_PL</f>
        <v>6.8505128696897913E-6</v>
      </c>
      <c r="S50" s="4"/>
      <c r="T50" s="47">
        <f>SUM(U50:V50)</f>
        <v>1.0727975185747707E-3</v>
      </c>
      <c r="U50" s="189">
        <f>Manure!AK88*44/28</f>
        <v>6.1925570815764947E-4</v>
      </c>
      <c r="V50" s="189">
        <f>NH3_per_kg_PL*17/14*Manure!AH117</f>
        <v>4.5354181041712128E-4</v>
      </c>
      <c r="W50" s="4">
        <f>Energy_stables_PL/Bonefree_outof_CW_PL*(Share_heating_PL*(Share_biofuels_PL*EF_biofuel_N2O+(1-Share_biofuels_PL)*EF_oil_N2O)+(1-Share_heating_PL)*EF_el_N2O_PL)</f>
        <v>2.3350962394355799E-5</v>
      </c>
      <c r="X50" s="11">
        <f>(Energy_slaughter_el_PL*EF_el_N2O_PL+Energy_slaughter_oil_PL*EF_oil_N2O)/Bonefree_outof_CW_PL</f>
        <v>2.9434897640677968E-5</v>
      </c>
      <c r="Z50" s="33"/>
      <c r="AA50" s="33"/>
    </row>
    <row r="51" spans="1:27" ht="16.5" thickTop="1" thickBot="1" x14ac:dyDescent="0.3">
      <c r="A51" s="130" t="s">
        <v>126</v>
      </c>
      <c r="B51" s="130" t="s">
        <v>127</v>
      </c>
      <c r="C51" s="131" t="s">
        <v>128</v>
      </c>
      <c r="D51" s="150" t="s">
        <v>29</v>
      </c>
      <c r="E51" s="38" t="s">
        <v>91</v>
      </c>
      <c r="F51" s="133" t="s">
        <v>133</v>
      </c>
      <c r="G51" s="136">
        <f t="shared" si="0"/>
        <v>5.7877932697509387</v>
      </c>
      <c r="H51" s="134">
        <f>SUMPRODUCT(H47:H50,'Parameters, general'!$B$13:$B$16)</f>
        <v>0.62159822761800054</v>
      </c>
      <c r="I51" s="134">
        <f>SUMPRODUCT(I47:I50,'Parameters, general'!$B$13:$B$16)</f>
        <v>0.17858132524035356</v>
      </c>
      <c r="J51" s="134">
        <f>SUMPRODUCT(J47:J50,'Parameters, general'!$B$13:$B$16)</f>
        <v>0.70979976872609885</v>
      </c>
      <c r="K51" s="134">
        <f>SUMPRODUCT(K47:K50,'Parameters, general'!$B$13:$B$16)</f>
        <v>7.0979976872609887E-2</v>
      </c>
      <c r="L51" s="134">
        <f>SUMPRODUCT(L47:L50,'Parameters, general'!$B$13:$B$16)</f>
        <v>0.2645126630605657</v>
      </c>
      <c r="M51" s="134">
        <f>SUMPRODUCT(M47:M50,'Parameters, general'!$B$13:$B$16)</f>
        <v>0</v>
      </c>
      <c r="N51" s="134">
        <f>SUMPRODUCT(N47:N50,'Parameters, general'!$B$13:$B$16)</f>
        <v>1.9166955848662368E-3</v>
      </c>
      <c r="O51" s="134">
        <f>SUMPRODUCT(O47:O50,'Parameters, general'!$B$13:$B$16)</f>
        <v>0.3179172269113188</v>
      </c>
      <c r="P51" s="134">
        <f>SUMPRODUCT(P47:P50,'Parameters, general'!$B$13:$B$16)</f>
        <v>0.2263666009920037</v>
      </c>
      <c r="Q51" s="134">
        <f>SUMPRODUCT(Q47:Q50,'Parameters, general'!$B$13:$B$16)</f>
        <v>5.4239924084739564E-2</v>
      </c>
      <c r="R51" s="134">
        <f>SUMPRODUCT(R47:R50,'Parameters, general'!$B$13:$B$16)</f>
        <v>0.19867620048537227</v>
      </c>
      <c r="S51" s="134">
        <f>SUMPRODUCT(S47:S50,'Parameters, general'!$B$13:$B$16)</f>
        <v>0.28281134244442352</v>
      </c>
      <c r="T51" s="134">
        <f>SUMPRODUCT(T47:T50,'Parameters, general'!$B$13:$B$16)</f>
        <v>0.65329288377697114</v>
      </c>
      <c r="U51" s="134"/>
      <c r="V51" s="134"/>
      <c r="W51" s="134">
        <f>SUMPRODUCT(W47:W50,'Parameters, general'!$B$13:$B$16)</f>
        <v>0.64140136831103012</v>
      </c>
      <c r="X51" s="134">
        <f>SUMPRODUCT(X47:X50,'Parameters, general'!$B$13:$B$16)</f>
        <v>1.5656990656425853</v>
      </c>
      <c r="Z51" s="109">
        <f>SUM(H51:R51)</f>
        <v>2.644588609575929</v>
      </c>
      <c r="AA51" s="149">
        <f>'CO2 per kg feed'!F113+'CH4 per kg feed'!F113*CF_GWP_CH4_fossil+'N2O per kg feed'!F113*CF_GWP_N2O</f>
        <v>0.27227515578809852</v>
      </c>
    </row>
    <row r="52" spans="1:27" ht="15.75" thickTop="1" x14ac:dyDescent="0.25">
      <c r="A52" s="292" t="s">
        <v>126</v>
      </c>
      <c r="B52" s="292" t="s">
        <v>127</v>
      </c>
      <c r="C52" s="293" t="s">
        <v>128</v>
      </c>
      <c r="D52" t="s">
        <v>33</v>
      </c>
      <c r="E52" s="294" t="s">
        <v>92</v>
      </c>
      <c r="F52" s="295" t="s">
        <v>129</v>
      </c>
      <c r="G52" s="296">
        <f>SUM(H52:X52)</f>
        <v>2.6323884553712782</v>
      </c>
      <c r="H52" s="296">
        <f>'CO2 per kg feed'!G125*FCR_bonefree_incl_parents_ES-Excreted_N_after_losses_ES*Manure_repl_factor_ES*(EF_min_fert_BAT_CO2*Frac_BAT_ES+EF_min_fert_AN_CO2*Frac_AN_ES)</f>
        <v>0.37741210589175467</v>
      </c>
      <c r="I52" s="296">
        <f>'CO2 per kg feed'!H125*FCR_bonefree_incl_parents_ES</f>
        <v>0.16902147850754307</v>
      </c>
      <c r="J52" s="296">
        <f>'CO2 per kg feed'!I125*FCR_bonefree_incl_parents_ES</f>
        <v>0</v>
      </c>
      <c r="K52" s="296"/>
      <c r="L52" s="296">
        <f>'CO2 per kg feed'!K125*FCR_bonefree_incl_parents_ES</f>
        <v>0.28121886102085886</v>
      </c>
      <c r="M52" s="296"/>
      <c r="N52" s="296">
        <f>'CO2 per kg feed'!M125*FCR_bonefree_incl_parents_ES</f>
        <v>7.221411220499549E-2</v>
      </c>
      <c r="O52" s="296">
        <f>'CO2 per kg feed'!N125*FCR_bonefree_incl_parents_ES</f>
        <v>0.2411442693283446</v>
      </c>
      <c r="P52" s="296">
        <f>'CO2 per kg feed'!O125*FCR_bonefree_incl_parents_ES</f>
        <v>0.35911706190371412</v>
      </c>
      <c r="Q52" s="296">
        <f>'CO2 per kg feed'!P125*FCR_bonefree_incl_parents_ES</f>
        <v>4.9876680045636793E-2</v>
      </c>
      <c r="R52" s="296">
        <f>'CO2 per kg feed'!Q125*FCR_bonefree_incl_parents_ES</f>
        <v>0.2921604174875535</v>
      </c>
      <c r="S52" s="297"/>
      <c r="T52" s="298"/>
      <c r="U52" s="299"/>
      <c r="V52" s="299"/>
      <c r="W52" s="297">
        <f>Energy_stables_ES/Bonefree_outof_CW_ES*(Share_heating_ES*(Share_biofuels_ES*EF_biofuels_CO2+(1-Share_biofuels_ES)*EF_oil_CO2)+(1-Share_heating_ES)*EF_el_CO2_ES)</f>
        <v>0.26938078234236884</v>
      </c>
      <c r="X52" s="300">
        <f>(Energy_slaughter_el_ES*EF_el_CO2_ES+Energy_slaughter_oil_ES*EF_oil_CO2)/Bonefree_outof_CW_ES</f>
        <v>0.52084268663850863</v>
      </c>
      <c r="Z52" s="19"/>
      <c r="AA52" s="19"/>
    </row>
    <row r="53" spans="1:27" x14ac:dyDescent="0.25">
      <c r="A53" s="12" t="s">
        <v>126</v>
      </c>
      <c r="B53" s="12" t="s">
        <v>127</v>
      </c>
      <c r="C53" s="16" t="s">
        <v>128</v>
      </c>
      <c r="D53" t="s">
        <v>33</v>
      </c>
      <c r="E53" s="17" t="s">
        <v>92</v>
      </c>
      <c r="F53" s="12" t="s">
        <v>130</v>
      </c>
      <c r="G53" s="19">
        <f>SUM(H53:X53)</f>
        <v>3.9492799096564873E-3</v>
      </c>
      <c r="H53" s="34">
        <f>'CH4 per kg feed'!G125*FCR_bonefree_incl_parents_ES-Excreted_N_after_losses_ES*Manure_repl_factor_ES*(EF_min_fert_BAT_CH4*Frac_BAT_ES+EF_min_fert_AN_CH4*Frac_AN_ES)</f>
        <v>7.1918667056741921E-4</v>
      </c>
      <c r="I53" s="34">
        <f>'CH4 per kg feed'!H125*FCR_bonefree_incl_parents_ES</f>
        <v>6.2104527723150075E-4</v>
      </c>
      <c r="J53" s="34"/>
      <c r="K53" s="34"/>
      <c r="L53" s="34">
        <f>'CH4 per kg feed'!K125*FCR_bonefree_incl_parents_ES</f>
        <v>1.2493923867483997E-4</v>
      </c>
      <c r="M53" s="34"/>
      <c r="N53" s="34">
        <f>'CH4 per kg feed'!M125*FCR_bonefree_incl_parents_ES</f>
        <v>2.366285509044944E-4</v>
      </c>
      <c r="O53" s="34">
        <f>'CH4 per kg feed'!N125*FCR_bonefree_incl_parents_ES</f>
        <v>1.8342007746624189E-4</v>
      </c>
      <c r="P53" s="34">
        <f>'CH4 per kg feed'!O125*FCR_bonefree_incl_parents_ES</f>
        <v>0</v>
      </c>
      <c r="Q53" s="34">
        <f>'CH4 per kg feed'!P125*FCR_bonefree_incl_parents_ES</f>
        <v>1.5192771387647152E-4</v>
      </c>
      <c r="R53" s="34">
        <f>'CH4 per kg feed'!Q125*FCR_bonefree_incl_parents_ES</f>
        <v>2.4917476626345054E-4</v>
      </c>
      <c r="W53" s="4">
        <f>Energy_stables_ES/Bonefree_outof_CW_ES*(Share_heating_ES*(Share_biofuels_ES*EF_biofuel_CH4+(1-Share_biofuels_ES)*EF_oil_CH4)+(1-Share_heating_ES)*EF_el_CH4_ES)</f>
        <v>4.7943378444020428E-4</v>
      </c>
      <c r="X53" s="11">
        <f>(Energy_slaughter_el_ES*EF_el_CH4_ES+Energy_slaughter_oil_ES*EF_oil_CH4)/Bonefree_outof_CW_ES</f>
        <v>1.1835238302318645E-3</v>
      </c>
      <c r="Z53" s="33"/>
      <c r="AA53" s="33"/>
    </row>
    <row r="54" spans="1:27" x14ac:dyDescent="0.25">
      <c r="A54" s="12" t="s">
        <v>126</v>
      </c>
      <c r="B54" s="12" t="s">
        <v>127</v>
      </c>
      <c r="C54" s="16" t="s">
        <v>128</v>
      </c>
      <c r="D54" t="s">
        <v>33</v>
      </c>
      <c r="E54" s="17" t="s">
        <v>92</v>
      </c>
      <c r="F54" s="12" t="s">
        <v>131</v>
      </c>
      <c r="G54" s="19">
        <f>SUM(H54:T54)+SUM(W54:X54)</f>
        <v>8.0767747728443404E-2</v>
      </c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4">
        <f>(Production!K37+Production!K38+Production!K39*4/12)*EF_ent_ferm_ES</f>
        <v>1.0755885354265459E-2</v>
      </c>
      <c r="T54" s="47">
        <f>SUM(U54:V54)</f>
        <v>7.0011862374177947E-2</v>
      </c>
      <c r="U54" s="62">
        <f>Manure!AO32</f>
        <v>7.0011862374177947E-2</v>
      </c>
      <c r="W54" s="4"/>
      <c r="X54" s="11"/>
      <c r="Z54" s="33"/>
      <c r="AA54" s="33"/>
    </row>
    <row r="55" spans="1:27" ht="15.75" thickBot="1" x14ac:dyDescent="0.3">
      <c r="A55" s="12" t="s">
        <v>126</v>
      </c>
      <c r="B55" s="12" t="s">
        <v>127</v>
      </c>
      <c r="C55" s="16" t="s">
        <v>128</v>
      </c>
      <c r="D55" t="s">
        <v>33</v>
      </c>
      <c r="E55" s="17" t="s">
        <v>92</v>
      </c>
      <c r="F55" s="35" t="s">
        <v>132</v>
      </c>
      <c r="G55" s="19">
        <f>SUM(H55:T55)+SUM(W55:X55)</f>
        <v>3.5182355359851926E-3</v>
      </c>
      <c r="H55" s="34">
        <f>'N2O per kg feed'!G125*FCR_bonefree_incl_parents_ES-Excreted_N_after_losses_ES*Manure_repl_factor_ES*(EF_min_fert_BAT_N2O*Frac_BAT_ES+EF_min_fert_AN_N2O*Frac_AN_ES)</f>
        <v>8.3241683139800111E-4</v>
      </c>
      <c r="I55" s="33">
        <f>'N2O per kg feed'!H125*FCR_bonefree_incl_parents_ES</f>
        <v>6.359258733985884E-6</v>
      </c>
      <c r="J55" s="33">
        <f>'N2O per kg feed'!I125*FCR_bonefree_incl_parents_ES-Excreted_N_after_losses_ES*Manure_repl_factor_ES*EF_N2O_diff_ES</f>
        <v>1.3896090939079851E-3</v>
      </c>
      <c r="K55" s="33">
        <f>J55*EF_indirect_N2O_ES</f>
        <v>1.3896090939079852E-4</v>
      </c>
      <c r="L55" s="33">
        <f>'N2O per kg feed'!K125*FCR_bonefree_incl_parents_ES</f>
        <v>7.5866190937731997E-6</v>
      </c>
      <c r="M55" s="33"/>
      <c r="N55" s="33">
        <f>'N2O per kg feed'!M125*FCR_bonefree_incl_parents_ES</f>
        <v>2.9120339641315808E-6</v>
      </c>
      <c r="O55" s="33">
        <f>'N2O per kg feed'!N125*FCR_bonefree_incl_parents_ES</f>
        <v>8.9229135081272481E-6</v>
      </c>
      <c r="P55" s="33">
        <f>'N2O per kg feed'!O125*FCR_bonefree_incl_parents_ES</f>
        <v>0</v>
      </c>
      <c r="Q55" s="33">
        <f>'N2O per kg feed'!P125*FCR_bonefree_incl_parents_ES</f>
        <v>1.5692682832850059E-5</v>
      </c>
      <c r="R55" s="33">
        <f>'N2O per kg feed'!Q125*FCR_bonefree_incl_parents_ES</f>
        <v>1.0517197093846285E-5</v>
      </c>
      <c r="T55" s="47">
        <f>SUM(U55:V55)</f>
        <v>1.0622149746161197E-3</v>
      </c>
      <c r="U55" s="189">
        <f>Manure!AO88*44/28</f>
        <v>6.1339849148743639E-4</v>
      </c>
      <c r="V55" s="189">
        <f>NH3_per_kg_ES*17/14*Manure!AL117</f>
        <v>4.4881648312868327E-4</v>
      </c>
      <c r="W55" s="4">
        <f>Energy_stables_ES/Bonefree_outof_CW_ES*(Share_heating_ES*(Share_biofuels_ES*EF_biofuel_N2O+(1-Share_biofuels_ES)*EF_oil_N2O)+(1-Share_heating_ES)*EF_el_N2O_ES)</f>
        <v>2.1014769404895927E-5</v>
      </c>
      <c r="X55" s="11">
        <f>(Energy_slaughter_el_ES*EF_el_N2O_ES+Energy_slaughter_oil_ES*EF_oil_N2O)/Bonefree_outof_CW_ES</f>
        <v>2.2028252040677967E-5</v>
      </c>
      <c r="Z55" s="33"/>
      <c r="AA55" s="33"/>
    </row>
    <row r="56" spans="1:27" ht="16.5" thickTop="1" thickBot="1" x14ac:dyDescent="0.3">
      <c r="A56" s="130" t="s">
        <v>126</v>
      </c>
      <c r="B56" s="130" t="s">
        <v>127</v>
      </c>
      <c r="C56" s="131" t="s">
        <v>128</v>
      </c>
      <c r="D56" s="150" t="s">
        <v>33</v>
      </c>
      <c r="E56" s="132" t="s">
        <v>92</v>
      </c>
      <c r="F56" s="133" t="s">
        <v>133</v>
      </c>
      <c r="G56" s="136">
        <f t="shared" si="0"/>
        <v>5.8912844866709708</v>
      </c>
      <c r="H56" s="134">
        <f>SUMPRODUCT(H52:H55,'Parameters, general'!$B$13:$B$16)</f>
        <v>0.62609366364631802</v>
      </c>
      <c r="I56" s="134">
        <f>SUMPRODUCT(I52:I55,'Parameters, general'!$B$13:$B$16)</f>
        <v>0.18926470540341991</v>
      </c>
      <c r="J56" s="134">
        <f>SUMPRODUCT(J52:J55,'Parameters, general'!$B$13:$B$16)</f>
        <v>0.37936328263687991</v>
      </c>
      <c r="K56" s="134">
        <f>SUMPRODUCT(K52:K55,'Parameters, general'!$B$13:$B$16)</f>
        <v>3.7936328263687993E-2</v>
      </c>
      <c r="L56" s="134">
        <f>SUMPRODUCT(L52:L55,'Parameters, general'!$B$13:$B$16)</f>
        <v>0.2870131973459692</v>
      </c>
      <c r="M56" s="134">
        <f>SUMPRODUCT(M52:M55,'Parameters, general'!$B$13:$B$16)</f>
        <v>0</v>
      </c>
      <c r="N56" s="134">
        <f>SUMPRODUCT(N52:N55,'Parameters, general'!$B$13:$B$16)</f>
        <v>8.0060628294157346E-2</v>
      </c>
      <c r="O56" s="134">
        <f>SUMPRODUCT(O52:O55,'Parameters, general'!$B$13:$B$16)</f>
        <v>0.24904614302455735</v>
      </c>
      <c r="P56" s="134">
        <f>SUMPRODUCT(P52:P55,'Parameters, general'!$B$13:$B$16)</f>
        <v>0.35911706190371412</v>
      </c>
      <c r="Q56" s="134">
        <f>SUMPRODUCT(Q52:Q55,'Parameters, general'!$B$13:$B$16)</f>
        <v>5.8688228332523712E-2</v>
      </c>
      <c r="R56" s="134">
        <f>SUMPRODUCT(R52:R55,'Parameters, general'!$B$13:$B$16)</f>
        <v>0.30245702032882432</v>
      </c>
      <c r="S56" s="134">
        <f>SUMPRODUCT(S52:S55,'Parameters, general'!$B$13:$B$16)</f>
        <v>0.29040890456516738</v>
      </c>
      <c r="T56" s="134">
        <f>SUMPRODUCT(T52:T55,'Parameters, general'!$B$13:$B$16)</f>
        <v>2.1803049721730052</v>
      </c>
      <c r="U56" s="134"/>
      <c r="V56" s="134"/>
      <c r="W56" s="134">
        <f>SUMPRODUCT(W52:W55,'Parameters, general'!$B$13:$B$16)</f>
        <v>0.28940494116622351</v>
      </c>
      <c r="X56" s="134">
        <f>SUMPRODUCT(X52:X55,'Parameters, general'!$B$13:$B$16)</f>
        <v>0.56212540958652324</v>
      </c>
      <c r="Z56" s="109">
        <f>SUM(H56:R56)</f>
        <v>2.5690402591800523</v>
      </c>
      <c r="AA56" s="149">
        <f>'CO2 per kg feed'!F125+'CH4 per kg feed'!F125*CF_GWP_CH4_fossil+'N2O per kg feed'!F125*CF_GWP_N2O</f>
        <v>0.30224245199078126</v>
      </c>
    </row>
    <row r="57" spans="1:27" ht="15.75" thickTop="1" x14ac:dyDescent="0.25">
      <c r="A57" s="12" t="s">
        <v>126</v>
      </c>
      <c r="B57" s="12" t="s">
        <v>127</v>
      </c>
      <c r="C57" s="16" t="s">
        <v>128</v>
      </c>
      <c r="D57" s="17" t="s">
        <v>37</v>
      </c>
      <c r="E57" s="17" t="s">
        <v>93</v>
      </c>
      <c r="F57" s="37" t="s">
        <v>129</v>
      </c>
      <c r="G57" s="296">
        <f>SUM(H57:X57)</f>
        <v>1.427540220878341</v>
      </c>
      <c r="H57" s="19">
        <f>'CO2 per kg feed'!G137*FCR_bonefree_incl_parents_SE-Excreted_N_after_losses_SE*Manure_repl_factor_SE*(EF_min_fert_BAT_CO2*Frac_BAT_SE+EF_min_fert_AN_CO2*Frac_AN_SE)</f>
        <v>0.27143148649216581</v>
      </c>
      <c r="I57" s="19">
        <f>'CO2 per kg feed'!H137*FCR_bonefree_incl_parents_SE</f>
        <v>0.14913922080391184</v>
      </c>
      <c r="J57" s="19">
        <f>'CO2 per kg feed'!I137*FCR_bonefree_incl_parents_SE</f>
        <v>0</v>
      </c>
      <c r="K57" s="19"/>
      <c r="L57" s="19">
        <f>'CO2 per kg feed'!K137*FCR_bonefree_incl_parents_SE</f>
        <v>0.22404746797975633</v>
      </c>
      <c r="M57" s="19"/>
      <c r="N57" s="19">
        <f>'CO2 per kg feed'!M137*FCR_bonefree_incl_parents_SE</f>
        <v>4.4515878132686499E-4</v>
      </c>
      <c r="O57" s="19">
        <f>'CO2 per kg feed'!N137*FCR_bonefree_incl_parents_SE</f>
        <v>0.19931563254682691</v>
      </c>
      <c r="P57" s="19">
        <f>'CO2 per kg feed'!O137*FCR_bonefree_incl_parents_SE</f>
        <v>7.9221402670515362E-2</v>
      </c>
      <c r="Q57" s="19">
        <f>'CO2 per kg feed'!P137*FCR_bonefree_incl_parents_SE</f>
        <v>4.7581393731679578E-2</v>
      </c>
      <c r="R57" s="19">
        <f>'CO2 per kg feed'!Q137*FCR_bonefree_incl_parents_SE</f>
        <v>7.4664380268925482E-2</v>
      </c>
      <c r="W57" s="4">
        <f>Energy_stables_SE*(Share_heating_SE*(Share_biofuels_SE*EF_biofuels_CO2+(1-Share_biofuels_SE)*EF_oil_CO2)+(1-Share_heating_SE)*EF_el_CO2_SE)</f>
        <v>0.10446460000532097</v>
      </c>
      <c r="X57" s="11">
        <f>(Energy_slaughter_el_SE*EF_el_CO2_SE+Energy_slaughter_oil_SE*EF_oil_CO2)/Bonefree_outof_CW_SE</f>
        <v>0.27722947759791189</v>
      </c>
    </row>
    <row r="58" spans="1:27" x14ac:dyDescent="0.25">
      <c r="A58" s="12" t="s">
        <v>126</v>
      </c>
      <c r="B58" s="12" t="s">
        <v>127</v>
      </c>
      <c r="C58" s="16" t="s">
        <v>128</v>
      </c>
      <c r="D58" s="17" t="s">
        <v>37</v>
      </c>
      <c r="E58" s="17" t="s">
        <v>93</v>
      </c>
      <c r="F58" s="12" t="s">
        <v>130</v>
      </c>
      <c r="G58" s="19">
        <f>SUM(H58:X58)</f>
        <v>1.4265311428695317E-3</v>
      </c>
      <c r="H58" s="34">
        <f>'CH4 per kg feed'!G137*FCR_bonefree_incl_parents_SE-Excreted_N_after_losses_SE*Manure_repl_factor_SE*(EF_min_fert_BAT_CH4*Frac_BAT_SE+EF_min_fert_AN_CH4*Frac_AN_SE)</f>
        <v>3.5064328899281154E-4</v>
      </c>
      <c r="I58" s="34">
        <f>'CH4 per kg feed'!H137*FCR_bonefree_incl_parents_SE</f>
        <v>5.2474911023598606E-4</v>
      </c>
      <c r="J58" s="34"/>
      <c r="K58" s="34"/>
      <c r="L58" s="34">
        <f>'CH4 per kg feed'!K137*FCR_bonefree_incl_parents_SE</f>
        <v>9.9219816978869809E-5</v>
      </c>
      <c r="M58" s="34"/>
      <c r="N58" s="34">
        <f>'CH4 per kg feed'!M137*FCR_bonefree_incl_parents_SE</f>
        <v>3.5563383832255604E-7</v>
      </c>
      <c r="O58" s="34">
        <f>'CH4 per kg feed'!N137*FCR_bonefree_incl_parents_SE</f>
        <v>7.754413479599548E-5</v>
      </c>
      <c r="P58" s="34">
        <f>'CH4 per kg feed'!O137*FCR_bonefree_incl_parents_SE</f>
        <v>0</v>
      </c>
      <c r="Q58" s="34">
        <f>'CH4 per kg feed'!P137*FCR_bonefree_incl_parents_SE</f>
        <v>4.094319231568944E-5</v>
      </c>
      <c r="R58" s="34">
        <f>'CH4 per kg feed'!Q137*FCR_bonefree_incl_parents_SE</f>
        <v>6.9302034072111745E-5</v>
      </c>
      <c r="W58" s="4">
        <f>Energy_stables_SE*(Share_heating_SE*(Share_biofuels_SE*EF_biofuel_CH4+(1-Share_biofuels_SE)*EF_oil_CH4)+(1-Share_heating_SE)*EF_el_CH4_SE)</f>
        <v>7.0767086004572166E-5</v>
      </c>
      <c r="X58" s="11">
        <f>(Energy_slaughter_el_SE*EF_el_CH4_SE+Energy_slaughter_oil_SE*EF_oil_CH4)/Bonefree_outof_CW_SE</f>
        <v>1.930068456351729E-4</v>
      </c>
    </row>
    <row r="59" spans="1:27" x14ac:dyDescent="0.25">
      <c r="A59" s="12" t="s">
        <v>126</v>
      </c>
      <c r="B59" s="12" t="s">
        <v>127</v>
      </c>
      <c r="C59" s="16" t="s">
        <v>128</v>
      </c>
      <c r="D59" s="17" t="s">
        <v>37</v>
      </c>
      <c r="E59" s="17" t="s">
        <v>93</v>
      </c>
      <c r="F59" s="12" t="s">
        <v>131</v>
      </c>
      <c r="G59" s="19">
        <f>SUM(H59:T59)+SUM(W59:X59)</f>
        <v>2.3288091661436666E-2</v>
      </c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4">
        <f>(Production!L37+Production!L38+Production!L39*4/12)*EF_ent_ferm_SE</f>
        <v>1.0423672616216661E-2</v>
      </c>
      <c r="T59" s="105">
        <f>SUM(U59:V59)</f>
        <v>1.2864419045220007E-2</v>
      </c>
      <c r="U59" s="186">
        <f>Manure!AS32</f>
        <v>1.2864419045220007E-2</v>
      </c>
      <c r="W59" s="4"/>
      <c r="X59" s="11"/>
      <c r="Z59" s="33"/>
      <c r="AA59" s="33"/>
    </row>
    <row r="60" spans="1:27" ht="15.75" thickBot="1" x14ac:dyDescent="0.3">
      <c r="A60" s="12" t="s">
        <v>126</v>
      </c>
      <c r="B60" s="12" t="s">
        <v>127</v>
      </c>
      <c r="C60" s="16" t="s">
        <v>128</v>
      </c>
      <c r="D60" s="17" t="s">
        <v>37</v>
      </c>
      <c r="E60" s="17" t="s">
        <v>93</v>
      </c>
      <c r="F60" s="35" t="s">
        <v>132</v>
      </c>
      <c r="G60" s="19">
        <f>SUM(H60:T60)+SUM(W60:X60)</f>
        <v>5.2056544379119659E-3</v>
      </c>
      <c r="H60" s="34">
        <f>'N2O per kg feed'!G137*FCR_bonefree_incl_parents_SE-Excreted_N_after_losses_SE*Manure_repl_factor_SE*(EF_min_fert_BAT_N2O*Frac_BAT_SE+EF_min_fert_AN_N2O*Frac_AN_SE)</f>
        <v>5.8099089359897713E-4</v>
      </c>
      <c r="I60" s="33">
        <f>'N2O per kg feed'!H137*FCR_bonefree_incl_parents_SE</f>
        <v>5.5612297847352964E-6</v>
      </c>
      <c r="J60" s="33">
        <f>'N2O per kg feed'!I137*FCR_bonefree_incl_parents_SE-Excreted_N_after_losses_SE*Manure_repl_factor_SE*EF_N2O_diff_SE</f>
        <v>3.018912601710424E-3</v>
      </c>
      <c r="K60" s="33">
        <f>J60*EF_indirect_N2O_SE</f>
        <v>3.0189126017104241E-4</v>
      </c>
      <c r="L60" s="33">
        <f>'N2O per kg feed'!K137*FCR_bonefree_incl_parents_SE</f>
        <v>6.0216429952799074E-6</v>
      </c>
      <c r="M60" s="33"/>
      <c r="N60" s="33">
        <f>'N2O per kg feed'!M137*FCR_bonefree_incl_parents_SE</f>
        <v>3.2506198978848642E-8</v>
      </c>
      <c r="O60" s="33">
        <f>'N2O per kg feed'!N137*FCR_bonefree_incl_parents_SE</f>
        <v>7.5314721188759884E-6</v>
      </c>
      <c r="P60" s="33">
        <f>'N2O per kg feed'!O137*FCR_bonefree_incl_parents_SE</f>
        <v>0</v>
      </c>
      <c r="Q60" s="33">
        <f>'N2O per kg feed'!P137*FCR_bonefree_incl_parents_SE</f>
        <v>4.0971413036193654E-6</v>
      </c>
      <c r="R60" s="33">
        <f>'N2O per kg feed'!Q137*FCR_bonefree_incl_parents_SE</f>
        <v>2.6154709041802051E-6</v>
      </c>
      <c r="T60" s="47">
        <f>SUM(U60:V60)</f>
        <v>1.2503821100019021E-3</v>
      </c>
      <c r="U60" s="189">
        <f>Manure!AS88*44/28</f>
        <v>7.0751987602004566E-4</v>
      </c>
      <c r="V60" s="189">
        <f>NH3_per_kg_SE*17/14*Manure!AP117</f>
        <v>5.4286223398185653E-4</v>
      </c>
      <c r="W60" s="4">
        <f>Energy_stables_SE*(Share_heating_SE*(Share_biofuels_SE*EF_biofuel_N2O+(1-Share_biofuels_SE)*EF_oil_N2O)+(1-Share_heating_SE)*EF_el_N2O_SE)</f>
        <v>1.0967065300221226E-5</v>
      </c>
      <c r="X60" s="11">
        <f>(Energy_slaughter_el_SE*EF_el_N2O_SE+Energy_slaughter_oil_SE*EF_oil_N2O)/Bonefree_outof_CW_SE</f>
        <v>1.6651043823728812E-5</v>
      </c>
    </row>
    <row r="61" spans="1:27" ht="15.75" thickTop="1" x14ac:dyDescent="0.25">
      <c r="A61" s="130" t="s">
        <v>126</v>
      </c>
      <c r="B61" s="130" t="s">
        <v>127</v>
      </c>
      <c r="C61" s="131" t="s">
        <v>128</v>
      </c>
      <c r="D61" s="132" t="s">
        <v>37</v>
      </c>
      <c r="E61" s="132" t="s">
        <v>93</v>
      </c>
      <c r="F61" s="133" t="s">
        <v>133</v>
      </c>
      <c r="G61" s="151">
        <f t="shared" si="0"/>
        <v>3.5199729853446096</v>
      </c>
      <c r="H61" s="161">
        <f>SUMPRODUCT(H57:H60,'Parameters, general'!$B$13:$B$16)</f>
        <v>0.44049117045667241</v>
      </c>
      <c r="I61" s="134">
        <f>SUMPRODUCT(I57:I60,'Parameters, general'!$B$13:$B$16)</f>
        <v>0.16629496002017696</v>
      </c>
      <c r="J61" s="134">
        <f>SUMPRODUCT(J57:J60,'Parameters, general'!$B$13:$B$16)</f>
        <v>0.8241631402669457</v>
      </c>
      <c r="K61" s="134">
        <f>SUMPRODUCT(K57:K60,'Parameters, general'!$B$13:$B$16)</f>
        <v>8.2416314026694582E-2</v>
      </c>
      <c r="L61" s="134">
        <f>SUMPRODUCT(L57:L60,'Parameters, general'!$B$13:$B$16)</f>
        <v>0.22864812706343807</v>
      </c>
      <c r="M61" s="134">
        <f>SUMPRODUCT(M57:M60,'Parameters, general'!$B$13:$B$16)</f>
        <v>0</v>
      </c>
      <c r="N61" s="134">
        <f>SUMPRODUCT(N57:N60,'Parameters, general'!$B$13:$B$16)</f>
        <v>4.6463086203010285E-4</v>
      </c>
      <c r="O61" s="134">
        <f>SUMPRODUCT(O57:O60,'Parameters, general'!$B$13:$B$16)</f>
        <v>0.20368253965220073</v>
      </c>
      <c r="P61" s="134">
        <f>SUMPRODUCT(P57:P60,'Parameters, general'!$B$13:$B$16)</f>
        <v>7.9221402670515362E-2</v>
      </c>
      <c r="Q61" s="134">
        <f>SUMPRODUCT(Q57:Q60,'Parameters, general'!$B$13:$B$16)</f>
        <v>4.9920020438575206E-2</v>
      </c>
      <c r="R61" s="134">
        <f>SUMPRODUCT(R57:R60,'Parameters, general'!$B$13:$B$16)</f>
        <v>7.7443604441115602E-2</v>
      </c>
      <c r="S61" s="134">
        <f>SUMPRODUCT(S57:S60,'Parameters, general'!$B$13:$B$16)</f>
        <v>0.28143916063784985</v>
      </c>
      <c r="T61" s="134">
        <f>SUMPRODUCT(T57:T60,'Parameters, general'!$B$13:$B$16)</f>
        <v>0.68869363025145947</v>
      </c>
      <c r="U61" s="134"/>
      <c r="V61" s="134"/>
      <c r="W61" s="134">
        <f>SUMPRODUCT(W57:W60,'Parameters, general'!$B$13:$B$16)</f>
        <v>0.10956746799521762</v>
      </c>
      <c r="X61" s="134">
        <f>SUMPRODUCT(X57:X60,'Parameters, general'!$B$13:$B$16)</f>
        <v>0.28752681656171797</v>
      </c>
      <c r="Z61" s="109">
        <f>SUM(H61:R61)</f>
        <v>2.1527459098983646</v>
      </c>
      <c r="AA61" s="149">
        <f>'CO2 per kg feed'!F137+'CH4 per kg feed'!F137*CF_GWP_CH4_fossil+'N2O per kg feed'!F137*CF_GWP_N2O</f>
        <v>0.19208530713982022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U42"/>
  <sheetViews>
    <sheetView topLeftCell="A19" zoomScale="92" zoomScaleNormal="110" workbookViewId="0">
      <selection activeCell="B37" sqref="B37:L37"/>
    </sheetView>
  </sheetViews>
  <sheetFormatPr defaultColWidth="8.7109375" defaultRowHeight="15" x14ac:dyDescent="0.25"/>
  <cols>
    <col min="1" max="1" width="59.42578125" customWidth="1"/>
    <col min="2" max="11" width="10.5703125" customWidth="1"/>
    <col min="12" max="12" width="10.5703125" style="172" customWidth="1"/>
  </cols>
  <sheetData>
    <row r="2" spans="1:21" ht="18.75" x14ac:dyDescent="0.3">
      <c r="A2" s="1" t="s">
        <v>136</v>
      </c>
      <c r="B2" t="s">
        <v>83</v>
      </c>
      <c r="C2" t="s">
        <v>84</v>
      </c>
      <c r="D2" t="s">
        <v>85</v>
      </c>
      <c r="E2" t="s">
        <v>86</v>
      </c>
      <c r="F2" t="s">
        <v>87</v>
      </c>
      <c r="G2" t="s">
        <v>88</v>
      </c>
      <c r="H2" t="s">
        <v>89</v>
      </c>
      <c r="I2" t="s">
        <v>90</v>
      </c>
      <c r="J2" t="s">
        <v>91</v>
      </c>
      <c r="K2" t="s">
        <v>92</v>
      </c>
      <c r="L2" s="182" t="s">
        <v>93</v>
      </c>
    </row>
    <row r="3" spans="1:21" ht="18.75" x14ac:dyDescent="0.3">
      <c r="A3" s="1"/>
      <c r="B3" s="124" t="s">
        <v>35</v>
      </c>
      <c r="C3" s="124" t="s">
        <v>27</v>
      </c>
      <c r="D3" s="124" t="s">
        <v>30</v>
      </c>
      <c r="E3" s="124" t="s">
        <v>25</v>
      </c>
      <c r="F3" s="124" t="s">
        <v>34</v>
      </c>
      <c r="G3" s="124" t="s">
        <v>32</v>
      </c>
      <c r="H3" s="124" t="s">
        <v>31</v>
      </c>
      <c r="I3" s="124" t="s">
        <v>26</v>
      </c>
      <c r="J3" s="124" t="s">
        <v>29</v>
      </c>
      <c r="K3" s="124" t="s">
        <v>33</v>
      </c>
      <c r="L3" s="191" t="s">
        <v>37</v>
      </c>
      <c r="U3" s="190"/>
    </row>
    <row r="4" spans="1:21" x14ac:dyDescent="0.25">
      <c r="A4" s="114" t="s">
        <v>137</v>
      </c>
      <c r="B4" s="129"/>
      <c r="C4" s="129"/>
      <c r="D4" s="129"/>
      <c r="E4" s="129"/>
      <c r="F4" s="129"/>
      <c r="G4" s="129"/>
      <c r="H4" s="129"/>
      <c r="I4" s="129"/>
      <c r="J4" s="129"/>
      <c r="K4" s="129"/>
      <c r="L4" s="183"/>
      <c r="U4" s="190"/>
    </row>
    <row r="5" spans="1:21" x14ac:dyDescent="0.25">
      <c r="A5" s="3" t="s">
        <v>138</v>
      </c>
      <c r="B5" s="187">
        <v>1</v>
      </c>
      <c r="C5" s="187">
        <v>1</v>
      </c>
      <c r="D5" s="187">
        <v>1</v>
      </c>
      <c r="E5" s="187">
        <v>1</v>
      </c>
      <c r="F5" s="187">
        <v>1</v>
      </c>
      <c r="G5" s="187">
        <v>1</v>
      </c>
      <c r="H5" s="187">
        <v>1</v>
      </c>
      <c r="I5" s="187">
        <v>1</v>
      </c>
      <c r="J5" s="187">
        <v>1</v>
      </c>
      <c r="K5" s="187">
        <v>1</v>
      </c>
      <c r="L5" s="187">
        <v>1</v>
      </c>
      <c r="N5" s="93" t="s">
        <v>139</v>
      </c>
      <c r="U5" s="190"/>
    </row>
    <row r="6" spans="1:21" x14ac:dyDescent="0.25">
      <c r="A6" s="3" t="s">
        <v>140</v>
      </c>
      <c r="B6" s="167">
        <f>B5*'Parameters, country spec'!B12/100</f>
        <v>0.55000000000000004</v>
      </c>
      <c r="C6" s="167">
        <f>C5*'Parameters, country spec'!C12/100</f>
        <v>0.55000000000000004</v>
      </c>
      <c r="D6" s="167">
        <f>D5*'Parameters, country spec'!D12/100</f>
        <v>0.55000000000000004</v>
      </c>
      <c r="E6" s="167">
        <f>E5*'Parameters, country spec'!E12/100</f>
        <v>0.55000000000000004</v>
      </c>
      <c r="F6" s="167">
        <f>F5*'Parameters, country spec'!F12/100</f>
        <v>0.55000000000000004</v>
      </c>
      <c r="G6" s="167">
        <f>G5*'Parameters, country spec'!G12/100</f>
        <v>0.55000000000000004</v>
      </c>
      <c r="H6" s="167">
        <f>H5*'Parameters, country spec'!H12/100</f>
        <v>0.55000000000000004</v>
      </c>
      <c r="I6" s="167">
        <f>I5*'Parameters, country spec'!I12/100</f>
        <v>0.55000000000000004</v>
      </c>
      <c r="J6" s="167">
        <f>J5*'Parameters, country spec'!J12/100</f>
        <v>0.55000000000000004</v>
      </c>
      <c r="K6" s="167">
        <f>K5*'Parameters, country spec'!K12/100</f>
        <v>0.55000000000000004</v>
      </c>
      <c r="L6" s="167">
        <f>L5*'Parameters, country spec'!L12/100</f>
        <v>0.55000000000000004</v>
      </c>
      <c r="N6" s="93" t="s">
        <v>141</v>
      </c>
      <c r="U6" s="190"/>
    </row>
    <row r="7" spans="1:21" x14ac:dyDescent="0.25">
      <c r="A7" s="3" t="s">
        <v>142</v>
      </c>
      <c r="B7" s="167">
        <f t="shared" ref="B7:L7" si="0">B5*Boars_per_sow</f>
        <v>1.2143013015902067E-2</v>
      </c>
      <c r="C7" s="167">
        <f t="shared" si="0"/>
        <v>1.2143013015902067E-2</v>
      </c>
      <c r="D7" s="167">
        <f t="shared" si="0"/>
        <v>1.2143013015902067E-2</v>
      </c>
      <c r="E7" s="167">
        <f t="shared" si="0"/>
        <v>1.2143013015902067E-2</v>
      </c>
      <c r="F7" s="167">
        <f t="shared" si="0"/>
        <v>1.2143013015902067E-2</v>
      </c>
      <c r="G7" s="167">
        <f t="shared" si="0"/>
        <v>1.2143013015902067E-2</v>
      </c>
      <c r="H7" s="167">
        <f t="shared" si="0"/>
        <v>1.2143013015902067E-2</v>
      </c>
      <c r="I7" s="167">
        <f t="shared" si="0"/>
        <v>1.2143013015902067E-2</v>
      </c>
      <c r="J7" s="167">
        <f t="shared" si="0"/>
        <v>1.2143013015902067E-2</v>
      </c>
      <c r="K7" s="167">
        <f t="shared" si="0"/>
        <v>1.2143013015902067E-2</v>
      </c>
      <c r="L7" s="167">
        <f t="shared" si="0"/>
        <v>1.2143013015902067E-2</v>
      </c>
      <c r="N7" s="176" t="s">
        <v>512</v>
      </c>
      <c r="U7" s="190"/>
    </row>
    <row r="8" spans="1:21" x14ac:dyDescent="0.25">
      <c r="A8" s="3" t="s">
        <v>143</v>
      </c>
      <c r="B8" s="182">
        <f>B5*'Parameters, country spec'!B16-B6</f>
        <v>31.916764705882361</v>
      </c>
      <c r="C8" s="182">
        <f>C5*'Parameters, country spec'!C16-C6</f>
        <v>28.611794019933555</v>
      </c>
      <c r="D8" s="182">
        <f>D5*'Parameters, country spec'!D16-D6</f>
        <v>28.704304635761584</v>
      </c>
      <c r="E8" s="182">
        <f>E5*'Parameters, country spec'!E16-E6</f>
        <v>28.210383597883595</v>
      </c>
      <c r="F8" s="182">
        <f>F5*'Parameters, country spec'!F16-F6</f>
        <v>29.674271844660197</v>
      </c>
      <c r="G8" s="182">
        <f>G5*'Parameters, country spec'!G16-G6</f>
        <v>28.15</v>
      </c>
      <c r="H8" s="182">
        <f>H5*'Parameters, country spec'!H16-H6</f>
        <v>23.972988505747129</v>
      </c>
      <c r="I8" s="182">
        <f>I5*'Parameters, country spec'!I16-I6</f>
        <v>30.64034267912773</v>
      </c>
      <c r="J8" s="182">
        <f>J5*'Parameters, country spec'!J16-J6</f>
        <v>28.210383597883602</v>
      </c>
      <c r="K8" s="182">
        <f>K5*'Parameters, country spec'!K16-K6</f>
        <v>25.597311827956986</v>
      </c>
      <c r="L8" s="182">
        <f>L5*'Parameters, country spec'!L16-L6</f>
        <v>26.629569892473121</v>
      </c>
      <c r="N8" s="93" t="s">
        <v>144</v>
      </c>
      <c r="U8" s="190"/>
    </row>
    <row r="9" spans="1:21" x14ac:dyDescent="0.25">
      <c r="A9" s="3" t="s">
        <v>145</v>
      </c>
      <c r="B9" s="182">
        <f>B5*'Parameters, country spec'!B16</f>
        <v>32.466764705882362</v>
      </c>
      <c r="C9" s="182">
        <f>C5*'Parameters, country spec'!C16</f>
        <v>29.161794019933556</v>
      </c>
      <c r="D9" s="182">
        <f>D5*'Parameters, country spec'!D16</f>
        <v>29.254304635761585</v>
      </c>
      <c r="E9" s="182">
        <f>E5*'Parameters, country spec'!E16</f>
        <v>28.760383597883596</v>
      </c>
      <c r="F9" s="182">
        <f>F5*'Parameters, country spec'!F16</f>
        <v>30.224271844660198</v>
      </c>
      <c r="G9" s="182">
        <f>G5*'Parameters, country spec'!G16</f>
        <v>28.7</v>
      </c>
      <c r="H9" s="182">
        <f>H5*'Parameters, country spec'!H16</f>
        <v>24.522988505747129</v>
      </c>
      <c r="I9" s="182">
        <f>I5*'Parameters, country spec'!I16</f>
        <v>31.190342679127731</v>
      </c>
      <c r="J9" s="182">
        <f>J5*'Parameters, country spec'!J16</f>
        <v>28.760383597883603</v>
      </c>
      <c r="K9" s="182">
        <f>K5*'Parameters, country spec'!K16</f>
        <v>26.147311827956987</v>
      </c>
      <c r="L9" s="182">
        <f>L5*'Parameters, country spec'!L16</f>
        <v>27.179569892473122</v>
      </c>
      <c r="N9" s="93" t="s">
        <v>146</v>
      </c>
      <c r="U9" s="190"/>
    </row>
    <row r="10" spans="1:21" x14ac:dyDescent="0.25">
      <c r="A10" s="6" t="s">
        <v>147</v>
      </c>
      <c r="B10" s="184">
        <f>SUM(B5:B8)</f>
        <v>33.478907718898263</v>
      </c>
      <c r="C10" s="184">
        <f t="shared" ref="C10:K10" si="1">SUM(C5:C8)</f>
        <v>30.173937032949457</v>
      </c>
      <c r="D10" s="184">
        <f t="shared" si="1"/>
        <v>30.266447648777486</v>
      </c>
      <c r="E10" s="184">
        <f t="shared" si="1"/>
        <v>29.772526610899497</v>
      </c>
      <c r="F10" s="184">
        <f t="shared" si="1"/>
        <v>31.236414857676099</v>
      </c>
      <c r="G10" s="184">
        <f t="shared" si="1"/>
        <v>29.712143013015901</v>
      </c>
      <c r="H10" s="184">
        <f t="shared" si="1"/>
        <v>25.535131518763031</v>
      </c>
      <c r="I10" s="184">
        <f t="shared" si="1"/>
        <v>32.202485692143632</v>
      </c>
      <c r="J10" s="184">
        <f t="shared" si="1"/>
        <v>29.772526610899504</v>
      </c>
      <c r="K10" s="184">
        <f t="shared" si="1"/>
        <v>27.159454840972888</v>
      </c>
      <c r="L10" s="184">
        <f>SUM(L5:L8)</f>
        <v>28.191712905489023</v>
      </c>
      <c r="N10" s="93"/>
      <c r="U10" s="190"/>
    </row>
    <row r="11" spans="1:21" x14ac:dyDescent="0.25">
      <c r="A11" s="114" t="s">
        <v>148</v>
      </c>
      <c r="B11" s="71"/>
      <c r="C11" s="71"/>
      <c r="D11" s="71"/>
      <c r="E11" s="71"/>
      <c r="F11" s="71"/>
      <c r="G11" s="71"/>
      <c r="H11" s="71"/>
      <c r="I11" s="71"/>
      <c r="J11" s="71"/>
      <c r="K11" s="71"/>
      <c r="L11" s="71"/>
      <c r="N11" s="93"/>
      <c r="U11" s="190"/>
    </row>
    <row r="12" spans="1:21" x14ac:dyDescent="0.25">
      <c r="A12" s="3" t="s">
        <v>138</v>
      </c>
      <c r="B12" s="182">
        <f>B5*'Parameters, country spec'!B12/100*(1-'Parameters, country spec'!B18/100)</f>
        <v>0.53113946994562289</v>
      </c>
      <c r="C12" s="182">
        <f>C5*'Parameters, country spec'!C12/100*(1-'Parameters, country spec'!C18/100)</f>
        <v>0.53113946994562289</v>
      </c>
      <c r="D12" s="182">
        <f>D5*'Parameters, country spec'!D12/100*(1-'Parameters, country spec'!D18/100)</f>
        <v>0.53113946994562289</v>
      </c>
      <c r="E12" s="182">
        <f>E5*'Parameters, country spec'!E12/100*(1-'Parameters, country spec'!E18/100)</f>
        <v>0.53113946994562289</v>
      </c>
      <c r="F12" s="182">
        <f>F5*'Parameters, country spec'!F12/100*(1-'Parameters, country spec'!F18/100)</f>
        <v>0.53113946994562289</v>
      </c>
      <c r="G12" s="182">
        <f>G5*'Parameters, country spec'!G12/100*(1-'Parameters, country spec'!G18/100)</f>
        <v>0.53113946994562289</v>
      </c>
      <c r="H12" s="182">
        <f>H5*'Parameters, country spec'!H12/100*(1-'Parameters, country spec'!H18/100)</f>
        <v>0.53113946994562289</v>
      </c>
      <c r="I12" s="182">
        <f>I5*'Parameters, country spec'!I12/100*(1-'Parameters, country spec'!I18/100)</f>
        <v>0.53113946994562289</v>
      </c>
      <c r="J12" s="182">
        <f>J5*'Parameters, country spec'!J12/100*(1-'Parameters, country spec'!J18/100)</f>
        <v>0.53113946994562289</v>
      </c>
      <c r="K12" s="182">
        <f>K5*'Parameters, country spec'!K12/100*(1-'Parameters, country spec'!K18/100)</f>
        <v>0.53113946994562289</v>
      </c>
      <c r="L12" s="167">
        <f>L5*'Parameters, country spec'!L12/100*(1-'Parameters, country spec'!L18/100)</f>
        <v>0.53113946994562289</v>
      </c>
      <c r="M12" s="16"/>
      <c r="N12" s="180" t="s">
        <v>149</v>
      </c>
      <c r="U12" s="190"/>
    </row>
    <row r="13" spans="1:21" x14ac:dyDescent="0.25">
      <c r="A13" s="3" t="s">
        <v>142</v>
      </c>
      <c r="B13" s="167">
        <f>B7*(1-'Parameters, country spec'!B18/100)</f>
        <v>1.1726606357834589E-2</v>
      </c>
      <c r="C13" s="167">
        <f>C7*(1-'Parameters, country spec'!C18/100)</f>
        <v>1.1726606357834589E-2</v>
      </c>
      <c r="D13" s="167">
        <f>D7*(1-'Parameters, country spec'!D18/100)</f>
        <v>1.1726606357834589E-2</v>
      </c>
      <c r="E13" s="167">
        <f>E7*(1-'Parameters, country spec'!E18/100)</f>
        <v>1.1726606357834589E-2</v>
      </c>
      <c r="F13" s="167">
        <f>F7*(1-'Parameters, country spec'!F18/100)</f>
        <v>1.1726606357834589E-2</v>
      </c>
      <c r="G13" s="167">
        <f>G7*(1-'Parameters, country spec'!G18/100)</f>
        <v>1.1726606357834589E-2</v>
      </c>
      <c r="H13" s="167">
        <f>H7*(1-'Parameters, country spec'!H18/100)</f>
        <v>1.1726606357834589E-2</v>
      </c>
      <c r="I13" s="167">
        <f>I7*(1-'Parameters, country spec'!I18/100)</f>
        <v>1.1726606357834589E-2</v>
      </c>
      <c r="J13" s="167">
        <f>J7*(1-'Parameters, country spec'!J18/100)</f>
        <v>1.1726606357834589E-2</v>
      </c>
      <c r="K13" s="167">
        <f>K7*(1-'Parameters, country spec'!K18/100)</f>
        <v>1.1726606357834589E-2</v>
      </c>
      <c r="L13" s="167">
        <f>L7*(1-'Parameters, country spec'!L18/100)</f>
        <v>1.1726606357834589E-2</v>
      </c>
      <c r="M13" s="16"/>
      <c r="N13" s="180"/>
      <c r="U13" s="190"/>
    </row>
    <row r="14" spans="1:21" x14ac:dyDescent="0.25">
      <c r="A14" s="3" t="s">
        <v>143</v>
      </c>
      <c r="B14" s="182">
        <f>B8*(1-'Parameters, country spec'!B6/100)*(1-'Parameters, country spec'!B7/100)</f>
        <v>30.656345314355104</v>
      </c>
      <c r="C14" s="182">
        <f>C8*(1-'Parameters, country spec'!C6/100)*(1-'Parameters, country spec'!C7/100)</f>
        <v>27.45777197430635</v>
      </c>
      <c r="D14" s="182">
        <f>D8*(1-'Parameters, country spec'!D6/100)*(1-'Parameters, country spec'!D7/100)</f>
        <v>27.842257740009906</v>
      </c>
      <c r="E14" s="182">
        <f>E8*(1-'Parameters, country spec'!E6/100)*(1-'Parameters, country spec'!E7/100)</f>
        <v>27.296175269316134</v>
      </c>
      <c r="F14" s="182">
        <f>F8*(1-'Parameters, country spec'!F6/100)*(1-'Parameters, country spec'!F7/100)</f>
        <v>28.709358541766797</v>
      </c>
      <c r="G14" s="182">
        <f>G8*(1-'Parameters, country spec'!G6/100)*(1-'Parameters, country spec'!G7/100)</f>
        <v>27.386147795138886</v>
      </c>
      <c r="H14" s="182">
        <f>H8*(1-'Parameters, country spec'!H6/100)*(1-'Parameters, country spec'!H7/100)</f>
        <v>23.322815822746527</v>
      </c>
      <c r="I14" s="182">
        <f>I8*(1-'Parameters, country spec'!I6/100)*(1-'Parameters, country spec'!I7/100)</f>
        <v>29.868225622107438</v>
      </c>
      <c r="J14" s="182">
        <f>J8*(1-'Parameters, country spec'!J6/100)*(1-'Parameters, country spec'!J7/100)</f>
        <v>27.296175269316141</v>
      </c>
      <c r="K14" s="182">
        <f>K8*(1-'Parameters, country spec'!K6/100)*(1-'Parameters, country spec'!K7/100)</f>
        <v>24.362939640762459</v>
      </c>
      <c r="L14" s="182">
        <f>L8*(1-'Parameters, country spec'!L6/100)*(1-'Parameters, country spec'!L7/100)</f>
        <v>26.066037470558118</v>
      </c>
      <c r="N14" s="180" t="s">
        <v>150</v>
      </c>
    </row>
    <row r="15" spans="1:21" x14ac:dyDescent="0.25">
      <c r="A15" s="6" t="s">
        <v>147</v>
      </c>
      <c r="B15" s="184">
        <f>SUM(B12:B14)</f>
        <v>31.199211390658562</v>
      </c>
      <c r="C15" s="184">
        <f t="shared" ref="C15:K15" si="2">SUM(C12:C14)</f>
        <v>28.000638050609808</v>
      </c>
      <c r="D15" s="184">
        <f t="shared" si="2"/>
        <v>28.385123816313364</v>
      </c>
      <c r="E15" s="184">
        <f t="shared" si="2"/>
        <v>27.839041345619592</v>
      </c>
      <c r="F15" s="184">
        <f t="shared" si="2"/>
        <v>29.252224618070255</v>
      </c>
      <c r="G15" s="184">
        <f t="shared" si="2"/>
        <v>27.929013871442343</v>
      </c>
      <c r="H15" s="184">
        <f t="shared" si="2"/>
        <v>23.865681899049985</v>
      </c>
      <c r="I15" s="184">
        <f t="shared" si="2"/>
        <v>30.411091698410896</v>
      </c>
      <c r="J15" s="184">
        <f t="shared" si="2"/>
        <v>27.839041345619599</v>
      </c>
      <c r="K15" s="184">
        <f t="shared" si="2"/>
        <v>24.905805717065917</v>
      </c>
      <c r="L15" s="184">
        <f>SUM(L12:L14)</f>
        <v>26.608903546861576</v>
      </c>
      <c r="N15" s="93"/>
    </row>
    <row r="16" spans="1:21" x14ac:dyDescent="0.25">
      <c r="A16" s="114" t="s">
        <v>151</v>
      </c>
      <c r="B16" s="185"/>
      <c r="C16" s="185"/>
      <c r="D16" s="185"/>
      <c r="E16" s="185"/>
      <c r="F16" s="185"/>
      <c r="G16" s="185"/>
      <c r="H16" s="185"/>
      <c r="I16" s="185"/>
      <c r="J16" s="185"/>
      <c r="K16" s="185"/>
      <c r="L16" s="185"/>
      <c r="N16" s="93"/>
    </row>
    <row r="17" spans="1:14" x14ac:dyDescent="0.25">
      <c r="A17" s="3" t="s">
        <v>138</v>
      </c>
      <c r="B17" s="182">
        <f>B12*'Parameters, country spec'!B10</f>
        <v>95.339534855239307</v>
      </c>
      <c r="C17" s="182">
        <f>C12*'Parameters, country spec'!C10</f>
        <v>95.339534855239307</v>
      </c>
      <c r="D17" s="182">
        <f>D12*'Parameters, country spec'!D10</f>
        <v>95.339534855239307</v>
      </c>
      <c r="E17" s="182">
        <f>E12*'Parameters, country spec'!E10</f>
        <v>95.339534855239307</v>
      </c>
      <c r="F17" s="182">
        <f>F12*'Parameters, country spec'!F10</f>
        <v>95.339534855239307</v>
      </c>
      <c r="G17" s="182">
        <f>G12*'Parameters, country spec'!G10</f>
        <v>95.339534855239307</v>
      </c>
      <c r="H17" s="182">
        <f>H12*'Parameters, country spec'!H10</f>
        <v>95.339534855239307</v>
      </c>
      <c r="I17" s="182">
        <f>I12*'Parameters, country spec'!I10</f>
        <v>95.339534855239307</v>
      </c>
      <c r="J17" s="182">
        <f>J12*'Parameters, country spec'!J10</f>
        <v>95.339534855239307</v>
      </c>
      <c r="K17" s="182">
        <f>K12*'Parameters, country spec'!K10</f>
        <v>95.339534855239307</v>
      </c>
      <c r="L17" s="182">
        <f>L12*'Parameters, country spec'!L10</f>
        <v>95.339534855239307</v>
      </c>
      <c r="N17" s="93" t="s">
        <v>152</v>
      </c>
    </row>
    <row r="18" spans="1:14" x14ac:dyDescent="0.25">
      <c r="A18" s="3" t="s">
        <v>142</v>
      </c>
      <c r="B18" s="187">
        <f>B13*'Parameters, country spec'!B9</f>
        <v>1.0741571423776484</v>
      </c>
      <c r="C18" s="187">
        <f>C13*'Parameters, country spec'!C9</f>
        <v>1.0741571423776484</v>
      </c>
      <c r="D18" s="187">
        <f>D13*'Parameters, country spec'!D9</f>
        <v>1.0741571423776484</v>
      </c>
      <c r="E18" s="187">
        <f>E13*'Parameters, country spec'!E9</f>
        <v>1.0741571423776484</v>
      </c>
      <c r="F18" s="187">
        <f>F13*'Parameters, country spec'!F9</f>
        <v>1.0741571423776484</v>
      </c>
      <c r="G18" s="187">
        <f>G13*'Parameters, country spec'!G9</f>
        <v>1.0741571423776484</v>
      </c>
      <c r="H18" s="187">
        <f>H13*'Parameters, country spec'!H9</f>
        <v>1.3847949447966865</v>
      </c>
      <c r="I18" s="187">
        <f>I13*'Parameters, country spec'!I9</f>
        <v>1.0741571423776484</v>
      </c>
      <c r="J18" s="187">
        <f>J13*'Parameters, country spec'!J9</f>
        <v>1.0741571423776484</v>
      </c>
      <c r="K18" s="187">
        <f>K13*'Parameters, country spec'!K9</f>
        <v>1.0741571423776484</v>
      </c>
      <c r="L18" s="187">
        <f>L13*'Parameters, country spec'!L9</f>
        <v>1.0741571423776484</v>
      </c>
    </row>
    <row r="19" spans="1:14" x14ac:dyDescent="0.25">
      <c r="A19" s="3" t="s">
        <v>143</v>
      </c>
      <c r="B19" s="182">
        <f>B14*'Parameters, country spec'!B9</f>
        <v>2808.1212307949272</v>
      </c>
      <c r="C19" s="182">
        <f>C14*'Parameters, country spec'!C9</f>
        <v>2515.1319128464615</v>
      </c>
      <c r="D19" s="182">
        <f>D14*'Parameters, country spec'!D9</f>
        <v>2550.3508089849074</v>
      </c>
      <c r="E19" s="182">
        <f>E14*'Parameters, country spec'!E9</f>
        <v>2500.3296546693578</v>
      </c>
      <c r="F19" s="182">
        <f>F14*'Parameters, country spec'!F9</f>
        <v>2629.7772424258383</v>
      </c>
      <c r="G19" s="182">
        <f>G14*'Parameters, country spec'!G9</f>
        <v>2508.5711380347216</v>
      </c>
      <c r="H19" s="182">
        <f>H14*'Parameters, country spec'!H9</f>
        <v>2754.1913205081373</v>
      </c>
      <c r="I19" s="182">
        <f>I14*'Parameters, country spec'!I9</f>
        <v>2735.929466985041</v>
      </c>
      <c r="J19" s="182">
        <f>J14*'Parameters, country spec'!J9</f>
        <v>2500.3296546693582</v>
      </c>
      <c r="K19" s="182">
        <f>K14*'Parameters, country spec'!K9</f>
        <v>2231.6452710938411</v>
      </c>
      <c r="L19" s="182">
        <f>L14*'Parameters, country spec'!L9</f>
        <v>2387.6490323031235</v>
      </c>
    </row>
    <row r="20" spans="1:14" x14ac:dyDescent="0.25">
      <c r="A20" s="6" t="s">
        <v>147</v>
      </c>
      <c r="B20" s="184">
        <f>SUM(B17:B19)</f>
        <v>2904.534922792544</v>
      </c>
      <c r="C20" s="184">
        <f t="shared" ref="C20:K20" si="3">SUM(C17:C19)</f>
        <v>2611.5456048440783</v>
      </c>
      <c r="D20" s="184">
        <f t="shared" si="3"/>
        <v>2646.7645009825242</v>
      </c>
      <c r="E20" s="184">
        <f t="shared" si="3"/>
        <v>2596.7433466669745</v>
      </c>
      <c r="F20" s="184">
        <f t="shared" si="3"/>
        <v>2726.190934423455</v>
      </c>
      <c r="G20" s="184">
        <f t="shared" si="3"/>
        <v>2604.9848300323383</v>
      </c>
      <c r="H20" s="184">
        <f t="shared" si="3"/>
        <v>2850.9156503081731</v>
      </c>
      <c r="I20" s="184">
        <f t="shared" si="3"/>
        <v>2832.3431589826578</v>
      </c>
      <c r="J20" s="184">
        <f t="shared" si="3"/>
        <v>2596.743346666975</v>
      </c>
      <c r="K20" s="184">
        <f t="shared" si="3"/>
        <v>2328.0589630914578</v>
      </c>
      <c r="L20" s="184">
        <f>SUM(L17:L19)</f>
        <v>2484.0627243007402</v>
      </c>
    </row>
    <row r="21" spans="1:14" x14ac:dyDescent="0.25">
      <c r="A21" s="114" t="s">
        <v>153</v>
      </c>
      <c r="B21" s="183"/>
      <c r="C21" s="183"/>
      <c r="D21" s="183"/>
      <c r="E21" s="183"/>
      <c r="F21" s="183"/>
      <c r="G21" s="183"/>
      <c r="H21" s="183"/>
      <c r="I21" s="183"/>
      <c r="J21" s="183"/>
      <c r="K21" s="183"/>
      <c r="L21" s="183"/>
    </row>
    <row r="22" spans="1:14" x14ac:dyDescent="0.25">
      <c r="A22" s="3" t="s">
        <v>138</v>
      </c>
      <c r="B22" s="182">
        <f t="shared" ref="B22:L22" si="4">B17*Bonefree_outof_CW_SE</f>
        <v>56.250325564591186</v>
      </c>
      <c r="C22" s="182">
        <f t="shared" si="4"/>
        <v>56.250325564591186</v>
      </c>
      <c r="D22" s="182">
        <f t="shared" si="4"/>
        <v>56.250325564591186</v>
      </c>
      <c r="E22" s="182">
        <f t="shared" si="4"/>
        <v>56.250325564591186</v>
      </c>
      <c r="F22" s="182">
        <f t="shared" si="4"/>
        <v>56.250325564591186</v>
      </c>
      <c r="G22" s="182">
        <f t="shared" si="4"/>
        <v>56.250325564591186</v>
      </c>
      <c r="H22" s="182">
        <f t="shared" si="4"/>
        <v>56.250325564591186</v>
      </c>
      <c r="I22" s="182">
        <f t="shared" si="4"/>
        <v>56.250325564591186</v>
      </c>
      <c r="J22" s="182">
        <f t="shared" si="4"/>
        <v>56.250325564591186</v>
      </c>
      <c r="K22" s="182">
        <f t="shared" si="4"/>
        <v>56.250325564591186</v>
      </c>
      <c r="L22" s="182">
        <f t="shared" si="4"/>
        <v>56.250325564591186</v>
      </c>
    </row>
    <row r="23" spans="1:14" x14ac:dyDescent="0.25">
      <c r="A23" s="3" t="s">
        <v>142</v>
      </c>
      <c r="B23" s="182">
        <f t="shared" ref="B23:L23" si="5">B18*Bonefree_outof_CW_SE</f>
        <v>0.63375271400281252</v>
      </c>
      <c r="C23" s="182">
        <f t="shared" si="5"/>
        <v>0.63375271400281252</v>
      </c>
      <c r="D23" s="182">
        <f t="shared" si="5"/>
        <v>0.63375271400281252</v>
      </c>
      <c r="E23" s="182">
        <f t="shared" si="5"/>
        <v>0.63375271400281252</v>
      </c>
      <c r="F23" s="182">
        <f t="shared" si="5"/>
        <v>0.63375271400281252</v>
      </c>
      <c r="G23" s="182">
        <f t="shared" si="5"/>
        <v>0.63375271400281252</v>
      </c>
      <c r="H23" s="182">
        <f t="shared" si="5"/>
        <v>0.81702901743004497</v>
      </c>
      <c r="I23" s="182">
        <f t="shared" si="5"/>
        <v>0.63375271400281252</v>
      </c>
      <c r="J23" s="182">
        <f t="shared" si="5"/>
        <v>0.63375271400281252</v>
      </c>
      <c r="K23" s="182">
        <f t="shared" si="5"/>
        <v>0.63375271400281252</v>
      </c>
      <c r="L23" s="182">
        <f t="shared" si="5"/>
        <v>0.63375271400281252</v>
      </c>
    </row>
    <row r="24" spans="1:14" x14ac:dyDescent="0.25">
      <c r="A24" s="3" t="s">
        <v>143</v>
      </c>
      <c r="B24" s="182">
        <f t="shared" ref="B24:L24" si="6">B19*Bonefree_outof_CW_SE</f>
        <v>1656.7915261690071</v>
      </c>
      <c r="C24" s="182">
        <f t="shared" si="6"/>
        <v>1483.9278285794123</v>
      </c>
      <c r="D24" s="182">
        <f t="shared" si="6"/>
        <v>1504.7069773010953</v>
      </c>
      <c r="E24" s="182">
        <f t="shared" si="6"/>
        <v>1475.194496254921</v>
      </c>
      <c r="F24" s="182">
        <f t="shared" si="6"/>
        <v>1551.5685730312446</v>
      </c>
      <c r="G24" s="182">
        <f t="shared" si="6"/>
        <v>1480.0569714404855</v>
      </c>
      <c r="H24" s="182">
        <f t="shared" si="6"/>
        <v>1624.972879099801</v>
      </c>
      <c r="I24" s="182">
        <f t="shared" si="6"/>
        <v>1614.198385521174</v>
      </c>
      <c r="J24" s="182">
        <f t="shared" si="6"/>
        <v>1475.1944962549212</v>
      </c>
      <c r="K24" s="182">
        <f t="shared" si="6"/>
        <v>1316.6707099453661</v>
      </c>
      <c r="L24" s="182">
        <f t="shared" si="6"/>
        <v>1408.7129290588427</v>
      </c>
    </row>
    <row r="25" spans="1:14" x14ac:dyDescent="0.25">
      <c r="A25" s="6" t="s">
        <v>147</v>
      </c>
      <c r="B25" s="184">
        <f>SUM(B22:B24)</f>
        <v>1713.675604447601</v>
      </c>
      <c r="C25" s="184">
        <f t="shared" ref="C25:K25" si="7">SUM(C22:C24)</f>
        <v>1540.8119068580063</v>
      </c>
      <c r="D25" s="184">
        <f t="shared" si="7"/>
        <v>1561.5910555796893</v>
      </c>
      <c r="E25" s="184">
        <f t="shared" si="7"/>
        <v>1532.0785745335149</v>
      </c>
      <c r="F25" s="184">
        <f t="shared" si="7"/>
        <v>1608.4526513098385</v>
      </c>
      <c r="G25" s="184">
        <f t="shared" si="7"/>
        <v>1536.9410497190795</v>
      </c>
      <c r="H25" s="184">
        <f t="shared" si="7"/>
        <v>1682.0402336818222</v>
      </c>
      <c r="I25" s="184">
        <f t="shared" si="7"/>
        <v>1671.082463799768</v>
      </c>
      <c r="J25" s="184">
        <f t="shared" si="7"/>
        <v>1532.0785745335152</v>
      </c>
      <c r="K25" s="184">
        <f t="shared" si="7"/>
        <v>1373.55478822396</v>
      </c>
      <c r="L25" s="184">
        <f>SUM(L22:L24)</f>
        <v>1465.5970073374367</v>
      </c>
    </row>
    <row r="26" spans="1:14" x14ac:dyDescent="0.25">
      <c r="A26" s="114" t="s">
        <v>154</v>
      </c>
      <c r="B26" s="183"/>
      <c r="C26" s="183"/>
      <c r="D26" s="183"/>
      <c r="E26" s="183"/>
      <c r="F26" s="183"/>
      <c r="G26" s="183"/>
      <c r="H26" s="183"/>
      <c r="I26" s="183"/>
      <c r="J26" s="183"/>
      <c r="K26" s="183"/>
      <c r="L26" s="183"/>
    </row>
    <row r="27" spans="1:14" x14ac:dyDescent="0.25">
      <c r="A27" s="3" t="s">
        <v>138</v>
      </c>
      <c r="B27" s="187">
        <f>B12*'Parameters, country spec'!B11</f>
        <v>0.72978563170528576</v>
      </c>
      <c r="C27" s="187">
        <f>C12*'Parameters, country spec'!C11</f>
        <v>0.72978563170528576</v>
      </c>
      <c r="D27" s="187">
        <f>D12*'Parameters, country spec'!D11</f>
        <v>0.72978563170528576</v>
      </c>
      <c r="E27" s="187">
        <f>E12*'Parameters, country spec'!E11</f>
        <v>0.72978563170528576</v>
      </c>
      <c r="F27" s="187">
        <f>F12*'Parameters, country spec'!F11</f>
        <v>0.72978563170528576</v>
      </c>
      <c r="G27" s="187">
        <f>G12*'Parameters, country spec'!G11</f>
        <v>0.72978563170528576</v>
      </c>
      <c r="H27" s="187">
        <f>H12*'Parameters, country spec'!H11</f>
        <v>0.94083390008817902</v>
      </c>
      <c r="I27" s="187">
        <f>I12*'Parameters, country spec'!I11</f>
        <v>0.72978563170528576</v>
      </c>
      <c r="J27" s="187">
        <f>J12*'Parameters, country spec'!J11</f>
        <v>0.72978563170528576</v>
      </c>
      <c r="K27" s="187">
        <f>K12*'Parameters, country spec'!K11</f>
        <v>0.72978563170528576</v>
      </c>
      <c r="L27" s="187">
        <f>L12*'Parameters, country spec'!L11</f>
        <v>0.72978563170528576</v>
      </c>
    </row>
    <row r="28" spans="1:14" x14ac:dyDescent="0.25">
      <c r="A28" s="3" t="s">
        <v>142</v>
      </c>
      <c r="B28" s="187">
        <f>B13*'Parameters, country spec'!B11</f>
        <v>1.6112357135664723E-2</v>
      </c>
      <c r="C28" s="187">
        <f>C13*'Parameters, country spec'!C11</f>
        <v>1.6112357135664723E-2</v>
      </c>
      <c r="D28" s="187">
        <f>D13*'Parameters, country spec'!D11</f>
        <v>1.6112357135664723E-2</v>
      </c>
      <c r="E28" s="187">
        <f>E13*'Parameters, country spec'!E11</f>
        <v>1.6112357135664723E-2</v>
      </c>
      <c r="F28" s="187">
        <f>F13*'Parameters, country spec'!F11</f>
        <v>1.6112357135664723E-2</v>
      </c>
      <c r="G28" s="187">
        <f>G13*'Parameters, country spec'!G11</f>
        <v>1.6112357135664723E-2</v>
      </c>
      <c r="H28" s="187">
        <f>H13*'Parameters, country spec'!H11</f>
        <v>2.0771924171950295E-2</v>
      </c>
      <c r="I28" s="187">
        <f>I13*'Parameters, country spec'!I11</f>
        <v>1.6112357135664723E-2</v>
      </c>
      <c r="J28" s="187">
        <f>J13*'Parameters, country spec'!J11</f>
        <v>1.6112357135664723E-2</v>
      </c>
      <c r="K28" s="187">
        <f>K13*'Parameters, country spec'!K11</f>
        <v>1.6112357135664723E-2</v>
      </c>
      <c r="L28" s="187">
        <f>L13*'Parameters, country spec'!L11</f>
        <v>1.6112357135664723E-2</v>
      </c>
    </row>
    <row r="29" spans="1:14" x14ac:dyDescent="0.25">
      <c r="A29" s="3" t="s">
        <v>143</v>
      </c>
      <c r="B29" s="182">
        <f>B14*'Parameters, country spec'!B11</f>
        <v>42.121818461923908</v>
      </c>
      <c r="C29" s="182">
        <f>C14*'Parameters, country spec'!C11</f>
        <v>37.726978692696925</v>
      </c>
      <c r="D29" s="182">
        <f>D14*'Parameters, country spec'!D11</f>
        <v>38.255262134773609</v>
      </c>
      <c r="E29" s="182">
        <f>E14*'Parameters, country spec'!E11</f>
        <v>37.504944820040365</v>
      </c>
      <c r="F29" s="182">
        <f>F14*'Parameters, country spec'!F11</f>
        <v>39.446658636387575</v>
      </c>
      <c r="G29" s="182">
        <f>G14*'Parameters, country spec'!G11</f>
        <v>37.628567070520823</v>
      </c>
      <c r="H29" s="182">
        <f>H14*'Parameters, country spec'!H11</f>
        <v>41.312869807622057</v>
      </c>
      <c r="I29" s="182">
        <f>I14*'Parameters, country spec'!I11</f>
        <v>41.038942004775613</v>
      </c>
      <c r="J29" s="182">
        <f>J14*'Parameters, country spec'!J11</f>
        <v>37.504944820040372</v>
      </c>
      <c r="K29" s="182">
        <f>K14*'Parameters, country spec'!K11</f>
        <v>33.474679066407617</v>
      </c>
      <c r="L29" s="182">
        <f>L14*'Parameters, country spec'!L11</f>
        <v>35.814735484546851</v>
      </c>
    </row>
    <row r="30" spans="1:14" x14ac:dyDescent="0.25">
      <c r="A30" s="6" t="s">
        <v>147</v>
      </c>
      <c r="B30" s="184">
        <f>SUM(B27:B29)</f>
        <v>42.86771645076486</v>
      </c>
      <c r="C30" s="184">
        <f t="shared" ref="C30:K30" si="8">SUM(C27:C29)</f>
        <v>38.472876681537876</v>
      </c>
      <c r="D30" s="184">
        <f t="shared" si="8"/>
        <v>39.001160123614561</v>
      </c>
      <c r="E30" s="184">
        <f t="shared" si="8"/>
        <v>38.250842808881316</v>
      </c>
      <c r="F30" s="184">
        <f t="shared" si="8"/>
        <v>40.192556625228526</v>
      </c>
      <c r="G30" s="184">
        <f t="shared" si="8"/>
        <v>38.374465059361775</v>
      </c>
      <c r="H30" s="184">
        <f t="shared" si="8"/>
        <v>42.27447563188219</v>
      </c>
      <c r="I30" s="184">
        <f t="shared" si="8"/>
        <v>41.784839993616565</v>
      </c>
      <c r="J30" s="184">
        <f t="shared" si="8"/>
        <v>38.250842808881323</v>
      </c>
      <c r="K30" s="184">
        <f t="shared" si="8"/>
        <v>34.220577055248569</v>
      </c>
      <c r="L30" s="184">
        <f>SUM(L27:L29)</f>
        <v>36.560633473387803</v>
      </c>
    </row>
    <row r="31" spans="1:14" x14ac:dyDescent="0.25">
      <c r="A31" s="114" t="s">
        <v>155</v>
      </c>
      <c r="B31" s="183"/>
      <c r="C31" s="183"/>
      <c r="D31" s="183"/>
      <c r="E31" s="183"/>
      <c r="F31" s="183"/>
      <c r="G31" s="183"/>
      <c r="H31" s="183"/>
      <c r="I31" s="183"/>
      <c r="J31" s="183"/>
      <c r="K31" s="183"/>
      <c r="L31" s="183"/>
    </row>
    <row r="32" spans="1:14" x14ac:dyDescent="0.25">
      <c r="A32" s="3" t="s">
        <v>138</v>
      </c>
      <c r="B32" s="182">
        <f>B22+B27</f>
        <v>56.98011119629647</v>
      </c>
      <c r="C32" s="182">
        <f t="shared" ref="C32:K32" si="9">C22+C27</f>
        <v>56.98011119629647</v>
      </c>
      <c r="D32" s="182">
        <f t="shared" si="9"/>
        <v>56.98011119629647</v>
      </c>
      <c r="E32" s="182">
        <f t="shared" si="9"/>
        <v>56.98011119629647</v>
      </c>
      <c r="F32" s="182">
        <f t="shared" si="9"/>
        <v>56.98011119629647</v>
      </c>
      <c r="G32" s="182">
        <f t="shared" si="9"/>
        <v>56.98011119629647</v>
      </c>
      <c r="H32" s="182">
        <f t="shared" si="9"/>
        <v>57.191159464679366</v>
      </c>
      <c r="I32" s="182">
        <f t="shared" si="9"/>
        <v>56.98011119629647</v>
      </c>
      <c r="J32" s="182">
        <f t="shared" si="9"/>
        <v>56.98011119629647</v>
      </c>
      <c r="K32" s="182">
        <f t="shared" si="9"/>
        <v>56.98011119629647</v>
      </c>
      <c r="L32" s="182">
        <f>L22+L27</f>
        <v>56.98011119629647</v>
      </c>
    </row>
    <row r="33" spans="1:12" x14ac:dyDescent="0.25">
      <c r="A33" s="3" t="s">
        <v>142</v>
      </c>
      <c r="B33" s="182">
        <f t="shared" ref="B33:K34" si="10">B23+B28</f>
        <v>0.64986507113847725</v>
      </c>
      <c r="C33" s="182">
        <f t="shared" si="10"/>
        <v>0.64986507113847725</v>
      </c>
      <c r="D33" s="182">
        <f t="shared" si="10"/>
        <v>0.64986507113847725</v>
      </c>
      <c r="E33" s="182">
        <f t="shared" si="10"/>
        <v>0.64986507113847725</v>
      </c>
      <c r="F33" s="182">
        <f t="shared" si="10"/>
        <v>0.64986507113847725</v>
      </c>
      <c r="G33" s="182">
        <f t="shared" si="10"/>
        <v>0.64986507113847725</v>
      </c>
      <c r="H33" s="182">
        <f t="shared" si="10"/>
        <v>0.83780094160199525</v>
      </c>
      <c r="I33" s="182">
        <f t="shared" si="10"/>
        <v>0.64986507113847725</v>
      </c>
      <c r="J33" s="182">
        <f t="shared" si="10"/>
        <v>0.64986507113847725</v>
      </c>
      <c r="K33" s="182">
        <f t="shared" si="10"/>
        <v>0.64986507113847725</v>
      </c>
      <c r="L33" s="182">
        <f t="shared" ref="L33" si="11">L23+L28</f>
        <v>0.64986507113847725</v>
      </c>
    </row>
    <row r="34" spans="1:12" x14ac:dyDescent="0.25">
      <c r="A34" s="3" t="s">
        <v>143</v>
      </c>
      <c r="B34" s="182">
        <f t="shared" si="10"/>
        <v>1698.9133446309311</v>
      </c>
      <c r="C34" s="182">
        <f t="shared" si="10"/>
        <v>1521.6548072721093</v>
      </c>
      <c r="D34" s="182">
        <f t="shared" si="10"/>
        <v>1542.9622394358689</v>
      </c>
      <c r="E34" s="182">
        <f t="shared" si="10"/>
        <v>1512.6994410749614</v>
      </c>
      <c r="F34" s="182">
        <f t="shared" si="10"/>
        <v>1591.0152316676322</v>
      </c>
      <c r="G34" s="182">
        <f t="shared" si="10"/>
        <v>1517.6855385110064</v>
      </c>
      <c r="H34" s="182">
        <f t="shared" si="10"/>
        <v>1666.2857489074231</v>
      </c>
      <c r="I34" s="182">
        <f t="shared" si="10"/>
        <v>1655.2373275259497</v>
      </c>
      <c r="J34" s="182">
        <f t="shared" si="10"/>
        <v>1512.6994410749617</v>
      </c>
      <c r="K34" s="182">
        <f t="shared" si="10"/>
        <v>1350.1453890117737</v>
      </c>
      <c r="L34" s="182">
        <f t="shared" ref="L34" si="12">L24+L29</f>
        <v>1444.5276645433896</v>
      </c>
    </row>
    <row r="35" spans="1:12" x14ac:dyDescent="0.25">
      <c r="A35" s="6" t="s">
        <v>147</v>
      </c>
      <c r="B35" s="184">
        <f>SUM(B32:B34)</f>
        <v>1756.5433208983661</v>
      </c>
      <c r="C35" s="184">
        <f t="shared" ref="C35:K35" si="13">SUM(C32:C34)</f>
        <v>1579.2847835395444</v>
      </c>
      <c r="D35" s="184">
        <f t="shared" si="13"/>
        <v>1600.592215703304</v>
      </c>
      <c r="E35" s="184">
        <f t="shared" si="13"/>
        <v>1570.3294173423965</v>
      </c>
      <c r="F35" s="184">
        <f t="shared" si="13"/>
        <v>1648.6452079350672</v>
      </c>
      <c r="G35" s="184">
        <f t="shared" si="13"/>
        <v>1575.3155147784414</v>
      </c>
      <c r="H35" s="184">
        <f t="shared" si="13"/>
        <v>1724.3147093137045</v>
      </c>
      <c r="I35" s="184">
        <f t="shared" si="13"/>
        <v>1712.8673037933847</v>
      </c>
      <c r="J35" s="184">
        <f t="shared" si="13"/>
        <v>1570.3294173423967</v>
      </c>
      <c r="K35" s="184">
        <f t="shared" si="13"/>
        <v>1407.7753652792087</v>
      </c>
      <c r="L35" s="184">
        <f>SUM(L32:L34)</f>
        <v>1502.1576408108247</v>
      </c>
    </row>
    <row r="36" spans="1:12" x14ac:dyDescent="0.25">
      <c r="A36" s="114" t="s">
        <v>156</v>
      </c>
      <c r="B36" s="183"/>
      <c r="C36" s="183"/>
      <c r="D36" s="183"/>
      <c r="E36" s="183"/>
      <c r="F36" s="183"/>
      <c r="G36" s="183"/>
      <c r="H36" s="183"/>
      <c r="I36" s="183"/>
      <c r="J36" s="183"/>
      <c r="K36" s="183"/>
      <c r="L36" s="183"/>
    </row>
    <row r="37" spans="1:12" x14ac:dyDescent="0.25">
      <c r="A37" s="3" t="s">
        <v>157</v>
      </c>
      <c r="B37" s="288">
        <f>(B5+B6)/B35</f>
        <v>8.824149006511655E-4</v>
      </c>
      <c r="C37" s="288">
        <f t="shared" ref="C37:K37" si="14">(C5+C6)/C35</f>
        <v>9.8145693300868107E-4</v>
      </c>
      <c r="D37" s="288">
        <f t="shared" si="14"/>
        <v>9.6839156456782237E-4</v>
      </c>
      <c r="E37" s="288">
        <f t="shared" si="14"/>
        <v>9.8705404285375897E-4</v>
      </c>
      <c r="F37" s="288">
        <f t="shared" si="14"/>
        <v>9.4016589654324684E-4</v>
      </c>
      <c r="G37" s="288">
        <f t="shared" si="14"/>
        <v>9.8392987656063173E-4</v>
      </c>
      <c r="H37" s="288">
        <f t="shared" si="14"/>
        <v>8.9890783371958621E-4</v>
      </c>
      <c r="I37" s="288">
        <f t="shared" si="14"/>
        <v>9.0491539920652803E-4</v>
      </c>
      <c r="J37" s="288">
        <f t="shared" si="14"/>
        <v>9.8705404285375875E-4</v>
      </c>
      <c r="K37" s="288">
        <f t="shared" si="14"/>
        <v>1.1010279326010108E-3</v>
      </c>
      <c r="L37" s="288">
        <f>(L5+L6)/L35</f>
        <v>1.0318490935234677E-3</v>
      </c>
    </row>
    <row r="38" spans="1:12" x14ac:dyDescent="0.25">
      <c r="A38" s="3" t="s">
        <v>142</v>
      </c>
      <c r="B38" s="19">
        <f>B7/B35</f>
        <v>6.9130165316342139E-6</v>
      </c>
      <c r="C38" s="19">
        <f t="shared" ref="C38:K38" si="15">C7/C35</f>
        <v>7.6889318142398312E-6</v>
      </c>
      <c r="D38" s="19">
        <f t="shared" si="15"/>
        <v>7.5865750793786028E-6</v>
      </c>
      <c r="E38" s="19">
        <f t="shared" si="15"/>
        <v>7.7327807030786782E-6</v>
      </c>
      <c r="F38" s="19">
        <f t="shared" si="15"/>
        <v>7.3654494960205691E-6</v>
      </c>
      <c r="G38" s="19">
        <f t="shared" si="15"/>
        <v>7.7083053534262361E-6</v>
      </c>
      <c r="H38" s="19">
        <f t="shared" si="15"/>
        <v>7.0422254999698489E-6</v>
      </c>
      <c r="I38" s="19">
        <f t="shared" si="15"/>
        <v>7.0892899811968284E-6</v>
      </c>
      <c r="J38" s="19">
        <f t="shared" si="15"/>
        <v>7.7327807030786765E-6</v>
      </c>
      <c r="K38" s="19">
        <f t="shared" si="15"/>
        <v>8.6256751719005283E-6</v>
      </c>
      <c r="L38" s="19">
        <f>L7/L35</f>
        <v>8.0837141761949776E-6</v>
      </c>
    </row>
    <row r="39" spans="1:12" x14ac:dyDescent="0.25">
      <c r="A39" s="3" t="s">
        <v>143</v>
      </c>
      <c r="B39" s="19">
        <f>B8/B35</f>
        <v>1.8170212101321165E-2</v>
      </c>
      <c r="C39" s="19">
        <f t="shared" ref="C39:K39" si="16">C8/C35</f>
        <v>1.8116931359148457E-2</v>
      </c>
      <c r="D39" s="19">
        <f t="shared" si="16"/>
        <v>1.7933552565197779E-2</v>
      </c>
      <c r="E39" s="19">
        <f t="shared" si="16"/>
        <v>1.7964627858546044E-2</v>
      </c>
      <c r="F39" s="19">
        <f t="shared" si="16"/>
        <v>1.7999186060066438E-2</v>
      </c>
      <c r="G39" s="19">
        <f t="shared" si="16"/>
        <v>1.7869436145278569E-2</v>
      </c>
      <c r="H39" s="19">
        <f>H8/H35</f>
        <v>1.3902907848700446E-2</v>
      </c>
      <c r="I39" s="19">
        <f t="shared" si="16"/>
        <v>1.7888334146650121E-2</v>
      </c>
      <c r="J39" s="19">
        <f t="shared" si="16"/>
        <v>1.7964627858546047E-2</v>
      </c>
      <c r="K39" s="19">
        <f t="shared" si="16"/>
        <v>1.8182809885212182E-2</v>
      </c>
      <c r="L39" s="19">
        <f>L8/L35</f>
        <v>1.7727546809334332E-2</v>
      </c>
    </row>
    <row r="40" spans="1:12" x14ac:dyDescent="0.25">
      <c r="A40" s="6" t="s">
        <v>147</v>
      </c>
      <c r="B40" s="188">
        <f>SUM(B37:B39)</f>
        <v>1.9059540018503966E-2</v>
      </c>
      <c r="C40" s="188">
        <f t="shared" ref="C40:K40" si="17">SUM(C37:C39)</f>
        <v>1.9106077223971379E-2</v>
      </c>
      <c r="D40" s="188">
        <f t="shared" si="17"/>
        <v>1.8909530704844982E-2</v>
      </c>
      <c r="E40" s="188">
        <f t="shared" si="17"/>
        <v>1.8959414682102882E-2</v>
      </c>
      <c r="F40" s="188">
        <f t="shared" si="17"/>
        <v>1.8946717406105706E-2</v>
      </c>
      <c r="G40" s="188">
        <f t="shared" si="17"/>
        <v>1.8861074327192626E-2</v>
      </c>
      <c r="H40" s="188">
        <f t="shared" si="17"/>
        <v>1.4808857907920001E-2</v>
      </c>
      <c r="I40" s="188">
        <f t="shared" si="17"/>
        <v>1.8800338835837847E-2</v>
      </c>
      <c r="J40" s="188">
        <f t="shared" si="17"/>
        <v>1.8959414682102885E-2</v>
      </c>
      <c r="K40" s="188">
        <f t="shared" si="17"/>
        <v>1.9292463492985093E-2</v>
      </c>
      <c r="L40" s="188">
        <f>SUM(L37:L39)</f>
        <v>1.8767479617033997E-2</v>
      </c>
    </row>
    <row r="41" spans="1:12" x14ac:dyDescent="0.25">
      <c r="L41" s="16"/>
    </row>
    <row r="42" spans="1:12" x14ac:dyDescent="0.25">
      <c r="B42" s="291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3">
    <tabColor theme="4" tint="0.39997558519241921"/>
  </sheetPr>
  <dimension ref="A2:P119"/>
  <sheetViews>
    <sheetView zoomScale="80" zoomScaleNormal="80" workbookViewId="0">
      <selection activeCell="B8" sqref="B8"/>
    </sheetView>
  </sheetViews>
  <sheetFormatPr defaultColWidth="8.7109375" defaultRowHeight="15" x14ac:dyDescent="0.25"/>
  <cols>
    <col min="1" max="1" width="55.5703125" customWidth="1"/>
    <col min="2" max="11" width="10.5703125" customWidth="1"/>
    <col min="12" max="12" width="10.5703125" style="172" customWidth="1"/>
    <col min="14" max="14" width="29.42578125" customWidth="1"/>
    <col min="15" max="15" width="24.42578125" customWidth="1"/>
  </cols>
  <sheetData>
    <row r="2" spans="1:16" ht="18.75" x14ac:dyDescent="0.3">
      <c r="A2" s="1" t="s">
        <v>158</v>
      </c>
    </row>
    <row r="3" spans="1:16" x14ac:dyDescent="0.25">
      <c r="B3" t="s">
        <v>83</v>
      </c>
      <c r="C3" t="s">
        <v>84</v>
      </c>
      <c r="D3" t="s">
        <v>85</v>
      </c>
      <c r="E3" t="s">
        <v>86</v>
      </c>
      <c r="F3" t="s">
        <v>87</v>
      </c>
      <c r="G3" t="s">
        <v>88</v>
      </c>
      <c r="H3" t="s">
        <v>89</v>
      </c>
      <c r="I3" t="s">
        <v>90</v>
      </c>
      <c r="J3" t="s">
        <v>91</v>
      </c>
      <c r="K3" t="s">
        <v>92</v>
      </c>
      <c r="L3" s="17" t="s">
        <v>93</v>
      </c>
    </row>
    <row r="4" spans="1:16" x14ac:dyDescent="0.25">
      <c r="A4" s="128" t="s">
        <v>159</v>
      </c>
      <c r="B4" s="128" t="s">
        <v>35</v>
      </c>
      <c r="C4" s="128" t="s">
        <v>27</v>
      </c>
      <c r="D4" s="128" t="s">
        <v>30</v>
      </c>
      <c r="E4" s="128" t="s">
        <v>25</v>
      </c>
      <c r="F4" s="128" t="s">
        <v>34</v>
      </c>
      <c r="G4" s="128" t="s">
        <v>32</v>
      </c>
      <c r="H4" s="128" t="s">
        <v>31</v>
      </c>
      <c r="I4" s="128" t="s">
        <v>26</v>
      </c>
      <c r="J4" s="128" t="s">
        <v>29</v>
      </c>
      <c r="K4" s="128" t="s">
        <v>33</v>
      </c>
      <c r="L4" s="128" t="s">
        <v>37</v>
      </c>
      <c r="N4" s="128" t="s">
        <v>160</v>
      </c>
      <c r="O4" s="128"/>
      <c r="P4" s="128"/>
    </row>
    <row r="5" spans="1:16" x14ac:dyDescent="0.25">
      <c r="A5" s="3" t="s">
        <v>161</v>
      </c>
      <c r="B5" s="13">
        <f t="shared" ref="B5:G5" si="0">6*30-Time_piglet_system_DK</f>
        <v>110</v>
      </c>
      <c r="C5" s="13">
        <f t="shared" si="0"/>
        <v>110</v>
      </c>
      <c r="D5" s="13">
        <f t="shared" si="0"/>
        <v>110</v>
      </c>
      <c r="E5" s="13">
        <f t="shared" si="0"/>
        <v>110</v>
      </c>
      <c r="F5" s="13">
        <f t="shared" si="0"/>
        <v>110</v>
      </c>
      <c r="G5" s="13">
        <f t="shared" si="0"/>
        <v>110</v>
      </c>
      <c r="H5" s="13">
        <f>9*30-Time_piglet_system_DK</f>
        <v>200</v>
      </c>
      <c r="I5" s="13">
        <f>6*30-Time_piglet_system_DK</f>
        <v>110</v>
      </c>
      <c r="J5" s="13">
        <f>6*30-Time_piglet_system_DK</f>
        <v>110</v>
      </c>
      <c r="K5" s="13">
        <f>6*30-Time_piglet_system_DK</f>
        <v>110</v>
      </c>
      <c r="L5" s="13">
        <f>6*30-Time_piglet_system_DK</f>
        <v>110</v>
      </c>
      <c r="N5" s="93" t="s">
        <v>162</v>
      </c>
      <c r="O5" s="92"/>
    </row>
    <row r="6" spans="1:16" x14ac:dyDescent="0.25">
      <c r="A6" s="3" t="s">
        <v>163</v>
      </c>
      <c r="B6" s="120">
        <f>'Mortality &amp; FCR'!B12</f>
        <v>3.6697247706422105</v>
      </c>
      <c r="C6" s="120">
        <f>'Mortality &amp; FCR'!C12</f>
        <v>3.7542662116040999</v>
      </c>
      <c r="D6" s="120">
        <f>'Mortality &amp; FCR'!D12</f>
        <v>2.7210884353741402</v>
      </c>
      <c r="E6" s="120">
        <f>'Mortality &amp; FCR'!E12</f>
        <v>2.9592621060722482</v>
      </c>
      <c r="F6" s="120">
        <f>'Mortality &amp; FCR'!F12</f>
        <v>2.9702970297029769</v>
      </c>
      <c r="G6" s="120">
        <f>'Mortality &amp; FCR'!G12</f>
        <v>2.4305555555555531</v>
      </c>
      <c r="H6" s="120">
        <f>'Mortality &amp; FCR'!H12</f>
        <v>2.4291497975708416</v>
      </c>
      <c r="I6" s="120">
        <f>'Mortality &amp; FCR'!I12</f>
        <v>2.2364217252396146</v>
      </c>
      <c r="J6" s="120">
        <f>'Mortality &amp; FCR'!J12</f>
        <v>2.9592621060722477</v>
      </c>
      <c r="K6" s="120">
        <f>'Mortality &amp; FCR'!K12</f>
        <v>4.5454545454545432</v>
      </c>
      <c r="L6" s="120">
        <f>'Mortality &amp; FCR'!L12</f>
        <v>1.8315018315018317</v>
      </c>
      <c r="N6" s="93" t="s">
        <v>537</v>
      </c>
      <c r="O6" s="92"/>
    </row>
    <row r="7" spans="1:16" x14ac:dyDescent="0.25">
      <c r="A7" s="3" t="s">
        <v>164</v>
      </c>
      <c r="B7" s="13">
        <v>0.28999999999999998</v>
      </c>
      <c r="C7" s="13">
        <v>0.28999999999999998</v>
      </c>
      <c r="D7" s="13">
        <v>0.28999999999999998</v>
      </c>
      <c r="E7" s="13">
        <v>0.28999999999999998</v>
      </c>
      <c r="F7" s="13">
        <v>0.28999999999999998</v>
      </c>
      <c r="G7" s="13">
        <v>0.28999999999999998</v>
      </c>
      <c r="H7" s="13">
        <v>0.28999999999999998</v>
      </c>
      <c r="I7" s="13">
        <v>0.28999999999999998</v>
      </c>
      <c r="J7" s="13">
        <v>0.28999999999999998</v>
      </c>
      <c r="K7" s="13">
        <v>0.28999999999999998</v>
      </c>
      <c r="L7" s="13">
        <v>0.28999999999999998</v>
      </c>
      <c r="N7" s="173" t="s">
        <v>165</v>
      </c>
      <c r="O7" s="92"/>
    </row>
    <row r="8" spans="1:16" x14ac:dyDescent="0.25">
      <c r="A8" s="3" t="s">
        <v>166</v>
      </c>
      <c r="B8" s="13">
        <v>0.59</v>
      </c>
      <c r="C8" s="13">
        <v>0.59</v>
      </c>
      <c r="D8" s="13">
        <v>0.59</v>
      </c>
      <c r="E8" s="13">
        <v>0.59</v>
      </c>
      <c r="F8" s="13">
        <v>0.59</v>
      </c>
      <c r="G8" s="13">
        <v>0.59</v>
      </c>
      <c r="H8" s="13">
        <v>0.59</v>
      </c>
      <c r="I8" s="13">
        <v>0.59</v>
      </c>
      <c r="J8" s="13">
        <v>0.59</v>
      </c>
      <c r="K8" s="13">
        <v>0.59</v>
      </c>
      <c r="L8" s="13">
        <v>0.59</v>
      </c>
      <c r="N8" s="93" t="s">
        <v>167</v>
      </c>
      <c r="O8" s="92"/>
    </row>
    <row r="9" spans="1:16" x14ac:dyDescent="0.25">
      <c r="A9" s="3" t="s">
        <v>168</v>
      </c>
      <c r="B9" s="14">
        <v>91.6</v>
      </c>
      <c r="C9" s="14">
        <v>91.6</v>
      </c>
      <c r="D9" s="14">
        <v>91.6</v>
      </c>
      <c r="E9" s="14">
        <v>91.6</v>
      </c>
      <c r="F9" s="14">
        <v>91.6</v>
      </c>
      <c r="G9" s="14">
        <v>91.6</v>
      </c>
      <c r="H9" s="14">
        <f>168.7*0.7</f>
        <v>118.08999999999999</v>
      </c>
      <c r="I9" s="14">
        <v>91.6</v>
      </c>
      <c r="J9" s="14">
        <v>91.6</v>
      </c>
      <c r="K9" s="14">
        <v>91.6</v>
      </c>
      <c r="L9" s="14">
        <v>91.6</v>
      </c>
      <c r="N9" s="93" t="s">
        <v>169</v>
      </c>
      <c r="O9" s="92"/>
    </row>
    <row r="10" spans="1:16" x14ac:dyDescent="0.25">
      <c r="A10" s="3" t="s">
        <v>170</v>
      </c>
      <c r="B10" s="14">
        <v>179.5</v>
      </c>
      <c r="C10" s="14">
        <v>179.5</v>
      </c>
      <c r="D10" s="14">
        <v>179.5</v>
      </c>
      <c r="E10" s="14">
        <v>179.5</v>
      </c>
      <c r="F10" s="14">
        <v>179.5</v>
      </c>
      <c r="G10" s="14">
        <v>179.5</v>
      </c>
      <c r="H10" s="14">
        <v>179.5</v>
      </c>
      <c r="I10" s="14">
        <v>179.5</v>
      </c>
      <c r="J10" s="14">
        <v>179.5</v>
      </c>
      <c r="K10" s="14">
        <v>179.5</v>
      </c>
      <c r="L10" s="14">
        <v>179.5</v>
      </c>
      <c r="N10" s="93" t="s">
        <v>171</v>
      </c>
      <c r="O10" s="92"/>
    </row>
    <row r="11" spans="1:16" x14ac:dyDescent="0.25">
      <c r="A11" s="3" t="s">
        <v>172</v>
      </c>
      <c r="B11" s="14">
        <f>B9*0.015</f>
        <v>1.3739999999999999</v>
      </c>
      <c r="C11" s="14">
        <f t="shared" ref="C11:K11" si="1">C9*0.015</f>
        <v>1.3739999999999999</v>
      </c>
      <c r="D11" s="14">
        <f t="shared" si="1"/>
        <v>1.3739999999999999</v>
      </c>
      <c r="E11" s="14">
        <f t="shared" si="1"/>
        <v>1.3739999999999999</v>
      </c>
      <c r="F11" s="14">
        <f t="shared" si="1"/>
        <v>1.3739999999999999</v>
      </c>
      <c r="G11" s="14">
        <f t="shared" si="1"/>
        <v>1.3739999999999999</v>
      </c>
      <c r="H11" s="14">
        <f t="shared" si="1"/>
        <v>1.7713499999999998</v>
      </c>
      <c r="I11" s="14">
        <f t="shared" si="1"/>
        <v>1.3739999999999999</v>
      </c>
      <c r="J11" s="14">
        <f t="shared" si="1"/>
        <v>1.3739999999999999</v>
      </c>
      <c r="K11" s="14">
        <f t="shared" si="1"/>
        <v>1.3739999999999999</v>
      </c>
      <c r="L11" s="14">
        <f>L9*0.015</f>
        <v>1.3739999999999999</v>
      </c>
      <c r="N11" s="173" t="s">
        <v>173</v>
      </c>
      <c r="O11" s="92" t="s">
        <v>174</v>
      </c>
    </row>
    <row r="12" spans="1:16" x14ac:dyDescent="0.25">
      <c r="A12" s="3" t="s">
        <v>175</v>
      </c>
      <c r="B12" s="14">
        <v>55</v>
      </c>
      <c r="C12" s="14">
        <v>55</v>
      </c>
      <c r="D12" s="14">
        <v>55</v>
      </c>
      <c r="E12" s="14">
        <v>55</v>
      </c>
      <c r="F12" s="14">
        <v>55</v>
      </c>
      <c r="G12" s="14">
        <v>55</v>
      </c>
      <c r="H12" s="14">
        <v>55</v>
      </c>
      <c r="I12" s="14">
        <v>55</v>
      </c>
      <c r="J12" s="14">
        <v>55</v>
      </c>
      <c r="K12" s="14">
        <v>55</v>
      </c>
      <c r="L12" s="14">
        <v>55</v>
      </c>
      <c r="N12" s="93" t="s">
        <v>176</v>
      </c>
      <c r="O12" s="92"/>
    </row>
    <row r="13" spans="1:16" x14ac:dyDescent="0.25">
      <c r="A13" s="3" t="s">
        <v>177</v>
      </c>
      <c r="B13" s="120">
        <f>'Mortality &amp; FCR'!B6</f>
        <v>40.1</v>
      </c>
      <c r="C13" s="120">
        <f>'Mortality &amp; FCR'!C6</f>
        <v>35.299999999999997</v>
      </c>
      <c r="D13" s="120">
        <f>'Mortality &amp; FCR'!D6</f>
        <v>35.700000000000003</v>
      </c>
      <c r="E13" s="120">
        <f>'Mortality &amp; FCR'!E6</f>
        <v>34.577777777777776</v>
      </c>
      <c r="F13" s="120">
        <f>'Mortality &amp; FCR'!F6</f>
        <v>34.799999999999997</v>
      </c>
      <c r="G13" s="120">
        <f>'Mortality &amp; FCR'!G6</f>
        <v>33.299999999999997</v>
      </c>
      <c r="H13" s="120">
        <f>'Mortality &amp; FCR'!H6</f>
        <v>29.4</v>
      </c>
      <c r="I13" s="120">
        <f>'Mortality &amp; FCR'!I6</f>
        <v>36.5</v>
      </c>
      <c r="J13" s="120">
        <f>'Mortality &amp; FCR'!J6</f>
        <v>34.577777777777776</v>
      </c>
      <c r="K13" s="120">
        <f>'Mortality &amp; FCR'!K6</f>
        <v>32.6</v>
      </c>
      <c r="L13" s="120">
        <f>'Mortality &amp; FCR'!L6</f>
        <v>33.5</v>
      </c>
      <c r="N13" s="93"/>
      <c r="O13" s="92"/>
    </row>
    <row r="14" spans="1:16" x14ac:dyDescent="0.25">
      <c r="A14" s="3" t="s">
        <v>178</v>
      </c>
      <c r="B14" s="13">
        <v>70</v>
      </c>
      <c r="C14" s="13">
        <v>70</v>
      </c>
      <c r="D14" s="13">
        <v>70</v>
      </c>
      <c r="E14" s="13">
        <v>70</v>
      </c>
      <c r="F14" s="13">
        <v>70</v>
      </c>
      <c r="G14" s="13">
        <v>70</v>
      </c>
      <c r="H14" s="13">
        <v>70</v>
      </c>
      <c r="I14" s="13">
        <v>70</v>
      </c>
      <c r="J14" s="13">
        <v>70</v>
      </c>
      <c r="K14" s="13">
        <v>70</v>
      </c>
      <c r="L14" s="13">
        <v>70</v>
      </c>
      <c r="N14" s="93" t="s">
        <v>179</v>
      </c>
      <c r="O14" s="92" t="s">
        <v>180</v>
      </c>
    </row>
    <row r="15" spans="1:16" x14ac:dyDescent="0.25">
      <c r="A15" s="3" t="s">
        <v>181</v>
      </c>
      <c r="B15" s="120">
        <f>'Mortality &amp; FCR'!B8+'Mortality &amp; FCR'!B10</f>
        <v>19.035499486577667</v>
      </c>
      <c r="C15" s="120">
        <f>'Mortality &amp; FCR'!C8+'Mortality &amp; FCR'!C10</f>
        <v>17.38868549593893</v>
      </c>
      <c r="D15" s="120">
        <f>'Mortality &amp; FCR'!D8+'Mortality &amp; FCR'!D10</f>
        <v>18.055169087502563</v>
      </c>
      <c r="E15" s="120">
        <f>'Mortality &amp; FCR'!E8+'Mortality &amp; FCR'!E10</f>
        <v>16.82408342514384</v>
      </c>
      <c r="F15" s="120">
        <f>'Mortality &amp; FCR'!F8+'Mortality &amp; FCR'!F10</f>
        <v>13.148644124539663</v>
      </c>
      <c r="G15" s="120">
        <f>'Mortality &amp; FCR'!G8+'Mortality &amp; FCR'!G10</f>
        <v>13.813813813813805</v>
      </c>
      <c r="H15" s="120">
        <f>'Mortality &amp; FCR'!H8+'Mortality &amp; FCR'!H10</f>
        <v>16.588474470247867</v>
      </c>
      <c r="I15" s="120">
        <f>'Mortality &amp; FCR'!I8+'Mortality &amp; FCR'!I10</f>
        <v>14.547006358554174</v>
      </c>
      <c r="J15" s="120">
        <f>'Mortality &amp; FCR'!J8+'Mortality &amp; FCR'!J10</f>
        <v>16.824083425143829</v>
      </c>
      <c r="K15" s="120">
        <f>'Mortality &amp; FCR'!K8+'Mortality &amp; FCR'!K10</f>
        <v>19.793522000131944</v>
      </c>
      <c r="L15" s="120">
        <f>'Mortality &amp; FCR'!L8+'Mortality &amp; FCR'!L10</f>
        <v>18.86695554485636</v>
      </c>
      <c r="N15" s="93" t="s">
        <v>537</v>
      </c>
      <c r="O15" s="92"/>
    </row>
    <row r="16" spans="1:16" x14ac:dyDescent="0.25">
      <c r="A16" s="3" t="s">
        <v>182</v>
      </c>
      <c r="B16" s="5">
        <f t="shared" ref="B16:L16" si="2">B13*(100-B15)/100</f>
        <v>32.466764705882362</v>
      </c>
      <c r="C16" s="5">
        <f t="shared" si="2"/>
        <v>29.161794019933556</v>
      </c>
      <c r="D16" s="5">
        <f t="shared" si="2"/>
        <v>29.254304635761585</v>
      </c>
      <c r="E16" s="5">
        <f t="shared" si="2"/>
        <v>28.760383597883596</v>
      </c>
      <c r="F16" s="5">
        <f t="shared" si="2"/>
        <v>30.224271844660198</v>
      </c>
      <c r="G16" s="5">
        <f t="shared" si="2"/>
        <v>28.7</v>
      </c>
      <c r="H16" s="5">
        <f t="shared" si="2"/>
        <v>24.522988505747129</v>
      </c>
      <c r="I16" s="5">
        <f t="shared" si="2"/>
        <v>31.190342679127731</v>
      </c>
      <c r="J16" s="5">
        <f t="shared" si="2"/>
        <v>28.760383597883603</v>
      </c>
      <c r="K16" s="5">
        <f t="shared" si="2"/>
        <v>26.147311827956987</v>
      </c>
      <c r="L16" s="5">
        <f t="shared" si="2"/>
        <v>27.179569892473122</v>
      </c>
      <c r="N16" s="93"/>
      <c r="O16" s="92"/>
    </row>
    <row r="17" spans="1:15" x14ac:dyDescent="0.25">
      <c r="A17" s="3" t="s">
        <v>183</v>
      </c>
      <c r="B17" s="15">
        <f>1725/142057</f>
        <v>1.2143013015902067E-2</v>
      </c>
      <c r="C17" s="15">
        <f t="shared" ref="C17:K17" si="3">1725/142057</f>
        <v>1.2143013015902067E-2</v>
      </c>
      <c r="D17" s="15">
        <f t="shared" si="3"/>
        <v>1.2143013015902067E-2</v>
      </c>
      <c r="E17" s="15">
        <f t="shared" si="3"/>
        <v>1.2143013015902067E-2</v>
      </c>
      <c r="F17" s="15">
        <f t="shared" si="3"/>
        <v>1.2143013015902067E-2</v>
      </c>
      <c r="G17" s="15">
        <f t="shared" si="3"/>
        <v>1.2143013015902067E-2</v>
      </c>
      <c r="H17" s="15">
        <f t="shared" si="3"/>
        <v>1.2143013015902067E-2</v>
      </c>
      <c r="I17" s="15">
        <f t="shared" si="3"/>
        <v>1.2143013015902067E-2</v>
      </c>
      <c r="J17" s="15">
        <f t="shared" si="3"/>
        <v>1.2143013015902067E-2</v>
      </c>
      <c r="K17" s="15">
        <f t="shared" si="3"/>
        <v>1.2143013015902067E-2</v>
      </c>
      <c r="L17" s="15">
        <f>1725/142057</f>
        <v>1.2143013015902067E-2</v>
      </c>
      <c r="N17" s="93" t="s">
        <v>184</v>
      </c>
      <c r="O17" s="92"/>
    </row>
    <row r="18" spans="1:15" x14ac:dyDescent="0.25">
      <c r="A18" s="3" t="s">
        <v>185</v>
      </c>
      <c r="B18" s="14">
        <f>3500/102065*100</f>
        <v>3.4291872826140204</v>
      </c>
      <c r="C18" s="14">
        <f t="shared" ref="C18:K18" si="4">3500/102065*100</f>
        <v>3.4291872826140204</v>
      </c>
      <c r="D18" s="14">
        <f t="shared" si="4"/>
        <v>3.4291872826140204</v>
      </c>
      <c r="E18" s="14">
        <f t="shared" si="4"/>
        <v>3.4291872826140204</v>
      </c>
      <c r="F18" s="14">
        <f t="shared" si="4"/>
        <v>3.4291872826140204</v>
      </c>
      <c r="G18" s="14">
        <f t="shared" si="4"/>
        <v>3.4291872826140204</v>
      </c>
      <c r="H18" s="14">
        <f t="shared" si="4"/>
        <v>3.4291872826140204</v>
      </c>
      <c r="I18" s="14">
        <f t="shared" si="4"/>
        <v>3.4291872826140204</v>
      </c>
      <c r="J18" s="14">
        <f t="shared" si="4"/>
        <v>3.4291872826140204</v>
      </c>
      <c r="K18" s="14">
        <f t="shared" si="4"/>
        <v>3.4291872826140204</v>
      </c>
      <c r="L18" s="14">
        <f>3500/102065*100</f>
        <v>3.4291872826140204</v>
      </c>
      <c r="N18" s="93" t="s">
        <v>176</v>
      </c>
      <c r="O18" s="92"/>
    </row>
    <row r="19" spans="1:15" x14ac:dyDescent="0.25">
      <c r="B19" s="5">
        <f>B6+B15</f>
        <v>22.705224257219879</v>
      </c>
      <c r="C19" s="5">
        <f t="shared" ref="C19:L19" si="5">C6+C15</f>
        <v>21.14295170754303</v>
      </c>
      <c r="D19" s="5">
        <f t="shared" si="5"/>
        <v>20.776257522876705</v>
      </c>
      <c r="E19" s="5">
        <f t="shared" si="5"/>
        <v>19.783345531216089</v>
      </c>
      <c r="F19" s="5">
        <f t="shared" si="5"/>
        <v>16.118941154242641</v>
      </c>
      <c r="G19" s="5">
        <f t="shared" si="5"/>
        <v>16.244369369369359</v>
      </c>
      <c r="H19" s="5">
        <f t="shared" si="5"/>
        <v>19.017624267818707</v>
      </c>
      <c r="I19" s="5">
        <f t="shared" si="5"/>
        <v>16.78342808379379</v>
      </c>
      <c r="J19" s="5">
        <f t="shared" si="5"/>
        <v>19.783345531216078</v>
      </c>
      <c r="K19" s="5">
        <f t="shared" si="5"/>
        <v>24.338976545586487</v>
      </c>
      <c r="L19" s="5">
        <f t="shared" si="5"/>
        <v>20.698457376358192</v>
      </c>
      <c r="N19" s="93"/>
      <c r="O19" s="92"/>
    </row>
    <row r="20" spans="1:15" x14ac:dyDescent="0.25">
      <c r="A20" s="128" t="s">
        <v>186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77"/>
      <c r="N20" s="93"/>
      <c r="O20" s="92"/>
    </row>
    <row r="21" spans="1:15" x14ac:dyDescent="0.25">
      <c r="A21" s="88" t="s">
        <v>187</v>
      </c>
      <c r="B21" s="77">
        <v>0.35358045392897253</v>
      </c>
      <c r="C21" s="77">
        <v>0.12973292757166538</v>
      </c>
      <c r="D21" s="77">
        <v>0.11526313251585651</v>
      </c>
      <c r="E21" s="77">
        <v>0.14058778141858874</v>
      </c>
      <c r="F21" s="77">
        <v>7.6814695206271766E-2</v>
      </c>
      <c r="G21" s="77">
        <v>0.30784418386466139</v>
      </c>
      <c r="H21" s="77">
        <v>6.7331149351278818E-2</v>
      </c>
      <c r="I21" s="77">
        <v>8.7412023715897388E-2</v>
      </c>
      <c r="J21" s="77">
        <v>0.16330174178855722</v>
      </c>
      <c r="K21" s="77">
        <v>0.22020467449872944</v>
      </c>
      <c r="L21" s="77">
        <v>0.26218798715146852</v>
      </c>
      <c r="N21" s="93" t="s">
        <v>188</v>
      </c>
      <c r="O21" s="92"/>
    </row>
    <row r="22" spans="1:15" x14ac:dyDescent="0.25">
      <c r="A22" s="89" t="s">
        <v>189</v>
      </c>
      <c r="B22" s="77">
        <v>2.127816529490071E-2</v>
      </c>
      <c r="C22" s="77">
        <v>0.21338006498227882</v>
      </c>
      <c r="D22" s="77">
        <v>0.17160602278973394</v>
      </c>
      <c r="E22" s="77">
        <v>0.42048559354051435</v>
      </c>
      <c r="F22" s="77">
        <v>0.45561964069086464</v>
      </c>
      <c r="G22" s="77">
        <v>8.4847862288086023E-2</v>
      </c>
      <c r="H22" s="77">
        <v>0.44026970650157493</v>
      </c>
      <c r="I22" s="77">
        <v>0.26251561737967866</v>
      </c>
      <c r="J22" s="77">
        <v>0.22370545528493602</v>
      </c>
      <c r="K22" s="77">
        <v>0.29043024005341855</v>
      </c>
      <c r="L22" s="77">
        <v>2.7145227912969191E-3</v>
      </c>
      <c r="N22" s="93" t="s">
        <v>190</v>
      </c>
      <c r="O22" s="92"/>
    </row>
    <row r="23" spans="1:15" x14ac:dyDescent="0.25">
      <c r="A23" s="89" t="s">
        <v>191</v>
      </c>
      <c r="B23" s="77">
        <v>5.9387582525533989E-3</v>
      </c>
      <c r="C23" s="77">
        <v>1.4700955750111657E-2</v>
      </c>
      <c r="D23" s="77">
        <v>2.2943563284883134E-5</v>
      </c>
      <c r="E23" s="77">
        <v>3.8207301246899875E-2</v>
      </c>
      <c r="F23" s="77">
        <v>4.1142483484800152E-2</v>
      </c>
      <c r="G23" s="77">
        <v>1.7744137138731981E-2</v>
      </c>
      <c r="H23" s="77">
        <v>1.3982897878135709E-2</v>
      </c>
      <c r="I23" s="77">
        <v>2.8712859930884239E-3</v>
      </c>
      <c r="J23" s="77">
        <v>4.8907896416157566E-3</v>
      </c>
      <c r="K23" s="77">
        <v>3.4333767030039916E-2</v>
      </c>
      <c r="L23" s="77">
        <v>4.4514084693111092E-2</v>
      </c>
      <c r="N23" s="93"/>
      <c r="O23" s="92"/>
    </row>
    <row r="24" spans="1:15" x14ac:dyDescent="0.25">
      <c r="A24" s="89" t="s">
        <v>192</v>
      </c>
      <c r="B24" s="77">
        <v>4.3085020093106188E-3</v>
      </c>
      <c r="C24" s="77">
        <v>2.2576295256694127E-3</v>
      </c>
      <c r="D24" s="77">
        <v>1.8828087929403461E-2</v>
      </c>
      <c r="E24" s="77">
        <v>8.4271833798069493E-3</v>
      </c>
      <c r="F24" s="77">
        <v>1.5990662090106512E-2</v>
      </c>
      <c r="G24" s="77">
        <v>0</v>
      </c>
      <c r="H24" s="77">
        <v>1.1141062374852339E-3</v>
      </c>
      <c r="I24" s="77">
        <v>1.0804608698251197E-2</v>
      </c>
      <c r="J24" s="77">
        <v>6.3855774971504811E-2</v>
      </c>
      <c r="K24" s="77">
        <v>9.062638357287928E-3</v>
      </c>
      <c r="L24" s="77">
        <v>2.791271755500447E-2</v>
      </c>
      <c r="N24" s="93"/>
      <c r="O24" s="92"/>
    </row>
    <row r="25" spans="1:15" x14ac:dyDescent="0.25">
      <c r="A25" s="90" t="s">
        <v>193</v>
      </c>
      <c r="B25" s="77">
        <v>0.36499405608086982</v>
      </c>
      <c r="C25" s="77">
        <v>0.31605527388288979</v>
      </c>
      <c r="D25" s="77">
        <v>0.38499846835384366</v>
      </c>
      <c r="E25" s="77">
        <v>6.0433584669897823E-3</v>
      </c>
      <c r="F25" s="77">
        <v>7.1936556132033619E-2</v>
      </c>
      <c r="G25" s="77">
        <v>0.13221920344294855</v>
      </c>
      <c r="H25" s="77">
        <v>6.3776792034317548E-2</v>
      </c>
      <c r="I25" s="77">
        <v>0.295775529852283</v>
      </c>
      <c r="J25" s="77">
        <v>0.25675160576024147</v>
      </c>
      <c r="K25" s="77">
        <v>0.18653591098002148</v>
      </c>
      <c r="L25" s="77">
        <v>0.32729029603711124</v>
      </c>
      <c r="N25" s="93"/>
      <c r="O25" s="92"/>
    </row>
    <row r="26" spans="1:15" x14ac:dyDescent="0.25">
      <c r="A26" s="89" t="s">
        <v>194</v>
      </c>
      <c r="B26" s="77">
        <v>8.6328274294382738E-4</v>
      </c>
      <c r="C26" s="77">
        <v>0</v>
      </c>
      <c r="D26" s="77">
        <v>1.3290604571676279E-3</v>
      </c>
      <c r="E26" s="77">
        <v>8.3484845362647169E-4</v>
      </c>
      <c r="F26" s="77">
        <v>1.6050102986641154E-3</v>
      </c>
      <c r="G26" s="77">
        <v>1.343960411791802E-3</v>
      </c>
      <c r="H26" s="77">
        <v>3.3307304103593416E-3</v>
      </c>
      <c r="I26" s="77">
        <v>0</v>
      </c>
      <c r="J26" s="77">
        <v>4.3260384773615755E-3</v>
      </c>
      <c r="K26" s="77">
        <v>6.7614174404510841E-3</v>
      </c>
      <c r="L26" s="77">
        <v>4.8974646420038275E-3</v>
      </c>
      <c r="N26" s="92"/>
      <c r="O26" s="92"/>
    </row>
    <row r="27" spans="1:15" x14ac:dyDescent="0.25">
      <c r="A27" s="89" t="s">
        <v>195</v>
      </c>
      <c r="B27" s="77">
        <v>8.4802813940235893E-4</v>
      </c>
      <c r="C27" s="77">
        <v>0</v>
      </c>
      <c r="D27" s="77">
        <v>1.3055753467122256E-3</v>
      </c>
      <c r="E27" s="77">
        <v>8.2009629650373257E-4</v>
      </c>
      <c r="F27" s="77">
        <v>1.5766490275233829E-3</v>
      </c>
      <c r="G27" s="77">
        <v>1.3202120121893659E-3</v>
      </c>
      <c r="H27" s="77">
        <v>3.2718748699923465E-3</v>
      </c>
      <c r="I27" s="77">
        <v>0</v>
      </c>
      <c r="J27" s="77">
        <v>4.2495953847608006E-3</v>
      </c>
      <c r="K27" s="77">
        <v>6.6419400786463401E-3</v>
      </c>
      <c r="L27" s="77">
        <v>5.63859541846429E-2</v>
      </c>
      <c r="N27" s="92"/>
      <c r="O27" s="92"/>
    </row>
    <row r="28" spans="1:15" x14ac:dyDescent="0.25">
      <c r="A28" s="89" t="s">
        <v>196</v>
      </c>
      <c r="B28" s="77">
        <v>5.419738399660614E-2</v>
      </c>
      <c r="C28" s="77">
        <v>9.4127517207749589E-2</v>
      </c>
      <c r="D28" s="77">
        <v>0.13439854710458843</v>
      </c>
      <c r="E28" s="77">
        <v>9.11078407125663E-4</v>
      </c>
      <c r="F28" s="77">
        <v>6.9270869900852153E-4</v>
      </c>
      <c r="G28" s="77">
        <v>7.1952686054860826E-2</v>
      </c>
      <c r="H28" s="77">
        <v>5.6103860515759841E-3</v>
      </c>
      <c r="I28" s="77">
        <v>0.12265283909261471</v>
      </c>
      <c r="J28" s="77">
        <v>3.1180103544946641E-2</v>
      </c>
      <c r="K28" s="77">
        <v>1.9581705928834556E-2</v>
      </c>
      <c r="L28" s="77">
        <v>2.9607485666187296E-2</v>
      </c>
      <c r="N28" s="92"/>
      <c r="O28" s="92"/>
    </row>
    <row r="29" spans="1:15" x14ac:dyDescent="0.25">
      <c r="A29" s="89" t="s">
        <v>197</v>
      </c>
      <c r="B29" s="77">
        <v>0.1335329470959849</v>
      </c>
      <c r="C29" s="77">
        <v>8.4804995412120512E-2</v>
      </c>
      <c r="D29" s="77">
        <v>0.12913839280171097</v>
      </c>
      <c r="E29" s="77">
        <v>0.16053788194639729</v>
      </c>
      <c r="F29" s="77">
        <v>0.13208602451248805</v>
      </c>
      <c r="G29" s="77">
        <v>0.13691957563671808</v>
      </c>
      <c r="H29" s="77">
        <v>0.13851395632807983</v>
      </c>
      <c r="I29" s="77">
        <v>0.15840014745626804</v>
      </c>
      <c r="J29" s="77">
        <v>0.10875512574448185</v>
      </c>
      <c r="K29" s="77">
        <v>0.16739124532505686</v>
      </c>
      <c r="L29" s="77">
        <v>3.870789973314008E-2</v>
      </c>
    </row>
    <row r="30" spans="1:15" x14ac:dyDescent="0.25">
      <c r="A30" s="89" t="s">
        <v>198</v>
      </c>
      <c r="B30" s="77">
        <v>2.191861120973471E-2</v>
      </c>
      <c r="C30" s="77">
        <v>7.7718083682440264E-2</v>
      </c>
      <c r="D30" s="77">
        <v>2.5759825634764286E-2</v>
      </c>
      <c r="E30" s="77">
        <v>0.10119467109899569</v>
      </c>
      <c r="F30" s="77">
        <v>0.10416150013335602</v>
      </c>
      <c r="G30" s="77">
        <v>0.13523038514369462</v>
      </c>
      <c r="H30" s="77">
        <v>0.14622390087159998</v>
      </c>
      <c r="I30" s="77">
        <v>1.7258350982780408E-2</v>
      </c>
      <c r="J30" s="77">
        <v>5.3222180084939459E-2</v>
      </c>
      <c r="K30" s="77">
        <v>2.5717267166106915E-2</v>
      </c>
      <c r="L30" s="77">
        <v>0.11190565161757877</v>
      </c>
      <c r="O30" s="4"/>
    </row>
    <row r="31" spans="1:15" x14ac:dyDescent="0.25">
      <c r="A31" s="89" t="s">
        <v>199</v>
      </c>
      <c r="B31" s="77">
        <v>3.8539811248720843E-2</v>
      </c>
      <c r="C31" s="77">
        <v>6.7222551985074513E-2</v>
      </c>
      <c r="D31" s="77">
        <v>1.7349943502934249E-2</v>
      </c>
      <c r="E31" s="77">
        <v>0.1219502057445514</v>
      </c>
      <c r="F31" s="77">
        <v>9.8374069724883342E-2</v>
      </c>
      <c r="G31" s="77">
        <v>0.11057779400631759</v>
      </c>
      <c r="H31" s="77">
        <v>0.11657449946560031</v>
      </c>
      <c r="I31" s="77">
        <v>4.230959682913802E-2</v>
      </c>
      <c r="J31" s="77">
        <v>8.5761589316654452E-2</v>
      </c>
      <c r="K31" s="77">
        <v>3.3339193141406827E-2</v>
      </c>
      <c r="L31" s="77">
        <v>9.3875935928454946E-2</v>
      </c>
      <c r="O31" s="4"/>
    </row>
    <row r="32" spans="1:15" x14ac:dyDescent="0.25">
      <c r="A32" s="3"/>
      <c r="B32" s="13"/>
      <c r="C32" s="13"/>
      <c r="D32" s="13"/>
      <c r="E32" s="13"/>
      <c r="F32" s="13"/>
      <c r="G32" s="13"/>
      <c r="H32" s="13"/>
      <c r="I32" s="13"/>
      <c r="J32" s="13"/>
      <c r="K32" s="13"/>
    </row>
    <row r="33" spans="1:15" x14ac:dyDescent="0.25">
      <c r="A33" s="89" t="s">
        <v>200</v>
      </c>
      <c r="B33" s="11">
        <f t="shared" ref="B33:I33" si="6">SUM(B21:B25)</f>
        <v>0.75009993556660715</v>
      </c>
      <c r="C33" s="11">
        <f t="shared" si="6"/>
        <v>0.67612685171261511</v>
      </c>
      <c r="D33" s="11">
        <f t="shared" si="6"/>
        <v>0.69071865515212238</v>
      </c>
      <c r="E33" s="11">
        <f t="shared" si="6"/>
        <v>0.61375121805279964</v>
      </c>
      <c r="F33" s="11">
        <f t="shared" si="6"/>
        <v>0.66150403760407672</v>
      </c>
      <c r="G33" s="11">
        <f t="shared" si="6"/>
        <v>0.54265538673442792</v>
      </c>
      <c r="H33" s="11">
        <f t="shared" si="6"/>
        <v>0.58647465200279214</v>
      </c>
      <c r="I33" s="11">
        <f t="shared" si="6"/>
        <v>0.65937906563919868</v>
      </c>
      <c r="J33" s="11">
        <f>SUM(J21:J25)</f>
        <v>0.71250536744685533</v>
      </c>
      <c r="K33" s="11">
        <f>SUM(K21:K25)</f>
        <v>0.74056723091949728</v>
      </c>
      <c r="L33" s="18">
        <f>SUM(L21:L25)</f>
        <v>0.66461960822799226</v>
      </c>
    </row>
    <row r="34" spans="1:15" x14ac:dyDescent="0.25">
      <c r="L34" s="174"/>
    </row>
    <row r="35" spans="1:15" x14ac:dyDescent="0.25">
      <c r="A35" s="128" t="s">
        <v>201</v>
      </c>
      <c r="B35" s="128"/>
      <c r="C35" s="128"/>
      <c r="D35" s="128"/>
      <c r="E35" s="128"/>
      <c r="F35" s="128"/>
      <c r="G35" s="128"/>
      <c r="H35" s="128"/>
      <c r="I35" s="128"/>
      <c r="J35" s="128"/>
      <c r="K35" s="128"/>
      <c r="L35" s="177"/>
      <c r="N35" s="93"/>
      <c r="O35" s="92"/>
    </row>
    <row r="36" spans="1:15" x14ac:dyDescent="0.25">
      <c r="A36" s="88" t="s">
        <v>187</v>
      </c>
      <c r="B36" s="77">
        <v>0.37652697962773507</v>
      </c>
      <c r="C36" s="77">
        <v>0.12488963891726482</v>
      </c>
      <c r="D36" s="77">
        <v>0.12092361817049073</v>
      </c>
      <c r="E36" s="77">
        <v>9.2031363037170397E-2</v>
      </c>
      <c r="F36" s="77">
        <v>8.2897726625923082E-2</v>
      </c>
      <c r="G36" s="77">
        <v>0.32916597005852094</v>
      </c>
      <c r="H36" s="77">
        <v>7.9188753651964941E-2</v>
      </c>
      <c r="I36" s="77">
        <v>9.4962159647470235E-2</v>
      </c>
      <c r="J36" s="77">
        <v>0.15234196787355392</v>
      </c>
      <c r="K36" s="77">
        <v>0.23834348236468511</v>
      </c>
      <c r="L36" s="77">
        <v>0.26218798715146852</v>
      </c>
      <c r="N36" s="93" t="s">
        <v>202</v>
      </c>
      <c r="O36" s="92"/>
    </row>
    <row r="37" spans="1:15" x14ac:dyDescent="0.25">
      <c r="A37" s="89" t="s">
        <v>189</v>
      </c>
      <c r="B37" s="77">
        <v>2.2659067322629779E-2</v>
      </c>
      <c r="C37" s="77">
        <v>0.20541399753383185</v>
      </c>
      <c r="D37" s="77">
        <v>0.18003346535108536</v>
      </c>
      <c r="E37" s="77">
        <v>0.27525764992547697</v>
      </c>
      <c r="F37" s="77">
        <v>0.49170060905229729</v>
      </c>
      <c r="G37" s="77">
        <v>9.0724562526003194E-2</v>
      </c>
      <c r="H37" s="77">
        <v>0.5178050524554686</v>
      </c>
      <c r="I37" s="77">
        <v>0.28519017074118147</v>
      </c>
      <c r="J37" s="77">
        <v>0.20869176844803744</v>
      </c>
      <c r="K37" s="77">
        <v>0.3143537027608721</v>
      </c>
      <c r="L37" s="77">
        <v>2.7145227912969191E-3</v>
      </c>
      <c r="N37" s="93" t="s">
        <v>203</v>
      </c>
      <c r="O37" s="92"/>
    </row>
    <row r="38" spans="1:15" x14ac:dyDescent="0.25">
      <c r="A38" s="89" t="s">
        <v>191</v>
      </c>
      <c r="B38" s="77">
        <v>6.3241694616008298E-3</v>
      </c>
      <c r="C38" s="77">
        <v>1.415212845357176E-2</v>
      </c>
      <c r="D38" s="77">
        <v>2.4070304001283695E-5</v>
      </c>
      <c r="E38" s="77">
        <v>2.5011206353835469E-2</v>
      </c>
      <c r="F38" s="77">
        <v>4.4400597304030801E-2</v>
      </c>
      <c r="G38" s="77">
        <v>1.8973124787891888E-2</v>
      </c>
      <c r="H38" s="77">
        <v>1.6445408487343622E-2</v>
      </c>
      <c r="I38" s="77">
        <v>3.1192907723987372E-3</v>
      </c>
      <c r="J38" s="77">
        <v>4.562550958266352E-3</v>
      </c>
      <c r="K38" s="77">
        <v>3.7161924982987052E-2</v>
      </c>
      <c r="L38" s="77">
        <v>4.4514084693111092E-2</v>
      </c>
      <c r="N38" s="93"/>
      <c r="O38" s="92"/>
    </row>
    <row r="39" spans="1:15" x14ac:dyDescent="0.25">
      <c r="A39" s="89" t="s">
        <v>192</v>
      </c>
      <c r="B39" s="77">
        <v>4.5881134850537433E-3</v>
      </c>
      <c r="C39" s="77">
        <v>2.1733459760034666E-3</v>
      </c>
      <c r="D39" s="77">
        <v>1.9752721150149657E-2</v>
      </c>
      <c r="E39" s="77">
        <v>5.5165901716847229E-3</v>
      </c>
      <c r="F39" s="77">
        <v>1.7256978383639595E-2</v>
      </c>
      <c r="G39" s="77">
        <v>0</v>
      </c>
      <c r="H39" s="77">
        <v>1.3103100898289519E-3</v>
      </c>
      <c r="I39" s="77">
        <v>1.1737847182311212E-2</v>
      </c>
      <c r="J39" s="77">
        <v>5.95701816300317E-2</v>
      </c>
      <c r="K39" s="77">
        <v>9.8091504668706316E-3</v>
      </c>
      <c r="L39" s="77">
        <v>2.791271755500447E-2</v>
      </c>
      <c r="N39" s="93"/>
      <c r="O39" s="92"/>
    </row>
    <row r="40" spans="1:15" x14ac:dyDescent="0.25">
      <c r="A40" s="90" t="s">
        <v>193</v>
      </c>
      <c r="B40" s="77">
        <v>0.38868129723992856</v>
      </c>
      <c r="C40" s="77">
        <v>0.30425605717335746</v>
      </c>
      <c r="D40" s="77">
        <v>0.40390545324992744</v>
      </c>
      <c r="E40" s="77">
        <v>3.9560942804519415E-3</v>
      </c>
      <c r="F40" s="77">
        <v>7.7633282918689012E-2</v>
      </c>
      <c r="G40" s="77">
        <v>0.1413769194183655</v>
      </c>
      <c r="H40" s="77">
        <v>7.5008442947401444E-2</v>
      </c>
      <c r="I40" s="77">
        <v>0.3213228786398028</v>
      </c>
      <c r="J40" s="77">
        <v>0.23952007156822802</v>
      </c>
      <c r="K40" s="77">
        <v>0.20190133889587691</v>
      </c>
      <c r="L40" s="77">
        <v>0.32729029603711124</v>
      </c>
      <c r="N40" s="93"/>
      <c r="O40" s="92"/>
    </row>
    <row r="41" spans="1:15" x14ac:dyDescent="0.25">
      <c r="A41" s="89" t="s">
        <v>194</v>
      </c>
      <c r="B41" s="77">
        <v>6.2239525818159923E-4</v>
      </c>
      <c r="C41" s="77">
        <v>0</v>
      </c>
      <c r="D41" s="77">
        <v>9.196513844152987E-4</v>
      </c>
      <c r="E41" s="77">
        <v>5.0650317292563057E-4</v>
      </c>
      <c r="F41" s="77">
        <v>1.1193026669358026E-3</v>
      </c>
      <c r="G41" s="77">
        <v>1.085763784785134E-3</v>
      </c>
      <c r="H41" s="77">
        <v>2.3225249402634902E-3</v>
      </c>
      <c r="I41" s="77">
        <v>0</v>
      </c>
      <c r="J41" s="77">
        <v>2.5752107994552837E-3</v>
      </c>
      <c r="K41" s="77">
        <v>4.9559904191211895E-3</v>
      </c>
      <c r="L41" s="77">
        <v>4.8974646420038275E-3</v>
      </c>
      <c r="N41" s="92"/>
      <c r="O41" s="92"/>
    </row>
    <row r="42" spans="1:15" x14ac:dyDescent="0.25">
      <c r="A42" s="89" t="s">
        <v>195</v>
      </c>
      <c r="B42" s="77">
        <v>6.1139724951353067E-4</v>
      </c>
      <c r="C42" s="77">
        <v>0</v>
      </c>
      <c r="D42" s="77">
        <v>9.0340072172286577E-4</v>
      </c>
      <c r="E42" s="77">
        <v>4.9755303208425515E-4</v>
      </c>
      <c r="F42" s="77">
        <v>1.0995240727190159E-3</v>
      </c>
      <c r="G42" s="77">
        <v>1.0665778386664178E-3</v>
      </c>
      <c r="H42" s="77">
        <v>2.2814848536795314E-3</v>
      </c>
      <c r="I42" s="77">
        <v>0</v>
      </c>
      <c r="J42" s="77">
        <v>2.5297056405131661E-3</v>
      </c>
      <c r="K42" s="77">
        <v>4.8684157839511237E-3</v>
      </c>
      <c r="L42" s="77">
        <v>5.63859541846429E-2</v>
      </c>
      <c r="N42" s="92"/>
      <c r="O42" s="92"/>
    </row>
    <row r="43" spans="1:15" x14ac:dyDescent="0.25">
      <c r="A43" s="89" t="s">
        <v>196</v>
      </c>
      <c r="B43" s="77">
        <v>3.9074330028098382E-2</v>
      </c>
      <c r="C43" s="77">
        <v>5.6631191999220294E-2</v>
      </c>
      <c r="D43" s="77">
        <v>9.299788382794566E-2</v>
      </c>
      <c r="E43" s="77">
        <v>5.5275194416799886E-4</v>
      </c>
      <c r="F43" s="77">
        <v>4.8308144424377963E-4</v>
      </c>
      <c r="G43" s="77">
        <v>5.8129406283907739E-2</v>
      </c>
      <c r="H43" s="77">
        <v>3.9121333527599019E-3</v>
      </c>
      <c r="I43" s="77">
        <v>9.1881999531999145E-2</v>
      </c>
      <c r="J43" s="77">
        <v>1.8560939720242912E-2</v>
      </c>
      <c r="K43" s="77">
        <v>1.435301810812931E-2</v>
      </c>
      <c r="L43" s="77">
        <v>2.9607485666187296E-2</v>
      </c>
      <c r="N43" s="92"/>
      <c r="O43" s="92"/>
    </row>
    <row r="44" spans="1:15" x14ac:dyDescent="0.25">
      <c r="A44" s="89" t="s">
        <v>197</v>
      </c>
      <c r="B44" s="77">
        <v>9.6272367041691675E-2</v>
      </c>
      <c r="C44" s="77">
        <v>5.102235903671775E-2</v>
      </c>
      <c r="D44" s="77">
        <v>8.9358088349939455E-2</v>
      </c>
      <c r="E44" s="77">
        <v>9.7398452104689809E-2</v>
      </c>
      <c r="F44" s="77">
        <v>9.2114199921270318E-2</v>
      </c>
      <c r="G44" s="77">
        <v>0.1106151010339694</v>
      </c>
      <c r="H44" s="77">
        <v>9.6586057244275908E-2</v>
      </c>
      <c r="I44" s="77">
        <v>0.1186611120230328</v>
      </c>
      <c r="J44" s="77">
        <v>6.4739917556934326E-2</v>
      </c>
      <c r="K44" s="77">
        <v>0.12269459993345525</v>
      </c>
      <c r="L44" s="77">
        <v>3.870789973314008E-2</v>
      </c>
    </row>
    <row r="45" spans="1:15" x14ac:dyDescent="0.25">
      <c r="A45" s="89" t="s">
        <v>198</v>
      </c>
      <c r="B45" s="77">
        <v>2.0253606897760023E-2</v>
      </c>
      <c r="C45" s="77">
        <v>0.15388834703081716</v>
      </c>
      <c r="D45" s="77">
        <v>6.9340503352959701E-2</v>
      </c>
      <c r="E45" s="77">
        <v>0.24235010977149785</v>
      </c>
      <c r="F45" s="77">
        <v>9.2245801625382401E-2</v>
      </c>
      <c r="G45" s="77">
        <v>0.10925043147396357</v>
      </c>
      <c r="H45" s="77">
        <v>0.10196221690520327</v>
      </c>
      <c r="I45" s="77">
        <v>1.2928618771322712E-2</v>
      </c>
      <c r="J45" s="77">
        <v>0.10778244955936339</v>
      </c>
      <c r="K45" s="77">
        <v>2.1037034696854463E-2</v>
      </c>
      <c r="L45" s="77">
        <v>0.11190565161757877</v>
      </c>
      <c r="O45" s="4"/>
    </row>
    <row r="46" spans="1:15" x14ac:dyDescent="0.25">
      <c r="A46" s="89" t="s">
        <v>199</v>
      </c>
      <c r="B46" s="77">
        <v>4.4386276387806768E-2</v>
      </c>
      <c r="C46" s="77">
        <v>8.7572933879215331E-2</v>
      </c>
      <c r="D46" s="77">
        <v>2.1841144137362524E-2</v>
      </c>
      <c r="E46" s="77">
        <v>0.25692172620601483</v>
      </c>
      <c r="F46" s="77">
        <v>9.9048895984868893E-2</v>
      </c>
      <c r="G46" s="77">
        <v>0.1396121427939262</v>
      </c>
      <c r="H46" s="77">
        <v>0.10317761507181041</v>
      </c>
      <c r="I46" s="77">
        <v>6.0195922690480762E-2</v>
      </c>
      <c r="J46" s="77">
        <v>0.13912523624537368</v>
      </c>
      <c r="K46" s="77">
        <v>3.0521341587196972E-2</v>
      </c>
      <c r="L46" s="77">
        <v>9.3875935928454946E-2</v>
      </c>
      <c r="O46" s="4"/>
    </row>
    <row r="47" spans="1:15" x14ac:dyDescent="0.25">
      <c r="A47" s="3"/>
      <c r="B47" s="13"/>
      <c r="C47" s="13"/>
      <c r="D47" s="13"/>
      <c r="E47" s="13"/>
      <c r="F47" s="13"/>
      <c r="G47" s="13"/>
      <c r="H47" s="13"/>
      <c r="I47" s="13"/>
      <c r="J47" s="13"/>
      <c r="K47" s="13"/>
    </row>
    <row r="48" spans="1:15" x14ac:dyDescent="0.25">
      <c r="A48" s="89" t="s">
        <v>200</v>
      </c>
      <c r="B48" s="11">
        <f>SUM(B36:B40)</f>
        <v>0.79877962713694795</v>
      </c>
      <c r="C48" s="11">
        <f>SUM(C36:C40)</f>
        <v>0.65088516805402941</v>
      </c>
      <c r="D48" s="11">
        <f t="shared" ref="D48:I48" si="7">SUM(D36:D40)</f>
        <v>0.72463932822565447</v>
      </c>
      <c r="E48" s="11">
        <f t="shared" si="7"/>
        <v>0.40177290376861952</v>
      </c>
      <c r="F48" s="11">
        <f t="shared" si="7"/>
        <v>0.71388919428457975</v>
      </c>
      <c r="G48" s="11">
        <f t="shared" si="7"/>
        <v>0.58024057679078145</v>
      </c>
      <c r="H48" s="11">
        <f t="shared" si="7"/>
        <v>0.68975796763200758</v>
      </c>
      <c r="I48" s="11">
        <f t="shared" si="7"/>
        <v>0.71633234698316439</v>
      </c>
      <c r="J48" s="11">
        <f>SUM(J36:J40)</f>
        <v>0.66468654047811748</v>
      </c>
      <c r="K48" s="11">
        <f>SUM(K36:K40)</f>
        <v>0.8015695994712918</v>
      </c>
      <c r="L48" s="18">
        <f>SUM(L36:L40)</f>
        <v>0.66461960822799226</v>
      </c>
    </row>
    <row r="49" spans="1:15" x14ac:dyDescent="0.25">
      <c r="A49" s="89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8"/>
    </row>
    <row r="50" spans="1:15" x14ac:dyDescent="0.25">
      <c r="A50" s="128" t="s">
        <v>204</v>
      </c>
      <c r="B50" s="128" t="s">
        <v>35</v>
      </c>
      <c r="C50" s="128" t="s">
        <v>27</v>
      </c>
      <c r="D50" s="128" t="s">
        <v>30</v>
      </c>
      <c r="E50" s="128" t="s">
        <v>25</v>
      </c>
      <c r="F50" s="128" t="s">
        <v>34</v>
      </c>
      <c r="G50" s="128" t="s">
        <v>32</v>
      </c>
      <c r="H50" s="128" t="s">
        <v>31</v>
      </c>
      <c r="I50" s="128" t="s">
        <v>26</v>
      </c>
      <c r="J50" s="128" t="s">
        <v>29</v>
      </c>
      <c r="K50" s="128" t="s">
        <v>33</v>
      </c>
      <c r="L50" s="128" t="s">
        <v>37</v>
      </c>
      <c r="N50" s="93"/>
      <c r="O50" s="92"/>
    </row>
    <row r="51" spans="1:15" x14ac:dyDescent="0.25">
      <c r="A51" s="88" t="s">
        <v>187</v>
      </c>
      <c r="B51" s="19">
        <f>B21*(1-B$72)+B36*B$72</f>
        <v>0.37052244823106312</v>
      </c>
      <c r="C51" s="19">
        <f t="shared" ref="C51:K51" si="8">C21*(1-C$72)+C36*C$72</f>
        <v>0.12606262629304116</v>
      </c>
      <c r="D51" s="19">
        <f t="shared" si="8"/>
        <v>0.11963061531721042</v>
      </c>
      <c r="E51" s="19">
        <f t="shared" si="8"/>
        <v>0.10357924575306088</v>
      </c>
      <c r="F51" s="19">
        <f t="shared" si="8"/>
        <v>8.1459954464377052E-2</v>
      </c>
      <c r="G51" s="19">
        <f t="shared" si="8"/>
        <v>0.32423669971652103</v>
      </c>
      <c r="H51" s="19">
        <f t="shared" si="8"/>
        <v>7.6591109849777905E-2</v>
      </c>
      <c r="I51" s="19">
        <f t="shared" si="8"/>
        <v>9.3061411574646036E-2</v>
      </c>
      <c r="J51" s="19">
        <f t="shared" si="8"/>
        <v>0.15494846538679652</v>
      </c>
      <c r="K51" s="19">
        <f t="shared" si="8"/>
        <v>0.23419754355371158</v>
      </c>
      <c r="L51" s="19">
        <f>L21*(1-L$72)+L36*L$72</f>
        <v>0.26218798715146852</v>
      </c>
      <c r="N51" s="93"/>
      <c r="O51" s="92"/>
    </row>
    <row r="52" spans="1:15" x14ac:dyDescent="0.25">
      <c r="A52" s="89" t="s">
        <v>189</v>
      </c>
      <c r="B52" s="19">
        <f>B22*(1-B$72)+B37*B$72</f>
        <v>2.2297719827585057E-2</v>
      </c>
      <c r="C52" s="19">
        <f t="shared" ref="C52:L52" si="9">C22*(1-C$72)+C37*C$72</f>
        <v>0.20734328509407693</v>
      </c>
      <c r="D52" s="19">
        <f t="shared" si="9"/>
        <v>0.17810841722932885</v>
      </c>
      <c r="E52" s="19">
        <f t="shared" si="9"/>
        <v>0.30979634359029207</v>
      </c>
      <c r="F52" s="19">
        <f t="shared" si="9"/>
        <v>0.4831725893376359</v>
      </c>
      <c r="G52" s="19">
        <f t="shared" si="9"/>
        <v>8.9365959455500049E-2</v>
      </c>
      <c r="H52" s="19">
        <f t="shared" si="9"/>
        <v>0.50081939449622082</v>
      </c>
      <c r="I52" s="19">
        <f t="shared" si="9"/>
        <v>0.27948184787194708</v>
      </c>
      <c r="J52" s="19">
        <f t="shared" si="9"/>
        <v>0.21226238383741222</v>
      </c>
      <c r="K52" s="19">
        <f t="shared" si="9"/>
        <v>0.30888558086087292</v>
      </c>
      <c r="L52" s="19">
        <f t="shared" si="9"/>
        <v>2.7145227912969191E-3</v>
      </c>
      <c r="N52" s="93"/>
      <c r="O52" s="92"/>
    </row>
    <row r="53" spans="1:15" x14ac:dyDescent="0.25">
      <c r="A53" s="89" t="s">
        <v>191</v>
      </c>
      <c r="B53" s="19">
        <f t="shared" ref="B53:L60" si="10">B23*(1-B$72)+B38*B$72</f>
        <v>6.2233169954917927E-3</v>
      </c>
      <c r="C53" s="19">
        <f t="shared" si="10"/>
        <v>1.4285047950273209E-2</v>
      </c>
      <c r="D53" s="19">
        <f t="shared" si="10"/>
        <v>2.3812926975688678E-5</v>
      </c>
      <c r="E53" s="19">
        <f t="shared" si="10"/>
        <v>2.8149554716678987E-2</v>
      </c>
      <c r="F53" s="19">
        <f t="shared" si="10"/>
        <v>4.3630516562164968E-2</v>
      </c>
      <c r="G53" s="19">
        <f t="shared" si="10"/>
        <v>1.8689001670128293E-2</v>
      </c>
      <c r="H53" s="19">
        <f t="shared" si="10"/>
        <v>1.5905946614639822E-2</v>
      </c>
      <c r="I53" s="19">
        <f t="shared" si="10"/>
        <v>3.056855524795577E-3</v>
      </c>
      <c r="J53" s="19">
        <f t="shared" si="10"/>
        <v>4.6406140021334379E-3</v>
      </c>
      <c r="K53" s="19">
        <f t="shared" si="10"/>
        <v>3.6515500482141319E-2</v>
      </c>
      <c r="L53" s="19">
        <f t="shared" si="10"/>
        <v>4.4514084693111092E-2</v>
      </c>
      <c r="N53" s="93"/>
      <c r="O53" s="92"/>
    </row>
    <row r="54" spans="1:15" x14ac:dyDescent="0.25">
      <c r="A54" s="89" t="s">
        <v>192</v>
      </c>
      <c r="B54" s="19">
        <f t="shared" si="10"/>
        <v>4.51494616085791E-3</v>
      </c>
      <c r="C54" s="19">
        <f>C24*(1-C$72)+C39*C$72</f>
        <v>2.1937584574387714E-3</v>
      </c>
      <c r="D54" s="19">
        <f t="shared" si="10"/>
        <v>1.9541510758390463E-2</v>
      </c>
      <c r="E54" s="19">
        <f t="shared" si="10"/>
        <v>6.2087991549964992E-3</v>
      </c>
      <c r="F54" s="19">
        <f t="shared" si="10"/>
        <v>1.6957674600878863E-2</v>
      </c>
      <c r="G54" s="19">
        <f t="shared" si="10"/>
        <v>0</v>
      </c>
      <c r="H54" s="19">
        <f t="shared" si="10"/>
        <v>1.267327737906786E-3</v>
      </c>
      <c r="I54" s="19">
        <f t="shared" si="10"/>
        <v>1.1502904226828169E-2</v>
      </c>
      <c r="J54" s="19">
        <f t="shared" si="10"/>
        <v>6.0589398675378506E-2</v>
      </c>
      <c r="K54" s="19">
        <f t="shared" si="10"/>
        <v>9.6385221901474638E-3</v>
      </c>
      <c r="L54" s="19">
        <f t="shared" si="10"/>
        <v>2.791271755500447E-2</v>
      </c>
      <c r="N54" s="93"/>
      <c r="O54" s="92"/>
    </row>
    <row r="55" spans="1:15" x14ac:dyDescent="0.25">
      <c r="A55" s="90" t="s">
        <v>193</v>
      </c>
      <c r="B55" s="19">
        <f t="shared" si="10"/>
        <v>0.38248293914828163</v>
      </c>
      <c r="C55" s="19">
        <f t="shared" si="10"/>
        <v>0.3071136882649414</v>
      </c>
      <c r="D55" s="19">
        <f t="shared" si="10"/>
        <v>0.3995866037890955</v>
      </c>
      <c r="E55" s="19">
        <f t="shared" si="10"/>
        <v>4.4524958443786893E-3</v>
      </c>
      <c r="F55" s="19">
        <f t="shared" si="10"/>
        <v>7.628681688543347E-2</v>
      </c>
      <c r="G55" s="19">
        <f t="shared" si="10"/>
        <v>0.13925979577085976</v>
      </c>
      <c r="H55" s="19">
        <f t="shared" si="10"/>
        <v>7.2547926670853705E-2</v>
      </c>
      <c r="I55" s="19">
        <f t="shared" si="10"/>
        <v>0.3148913290076189</v>
      </c>
      <c r="J55" s="19">
        <f t="shared" si="10"/>
        <v>0.24361814433589279</v>
      </c>
      <c r="K55" s="19">
        <f t="shared" si="10"/>
        <v>0.1983893041241141</v>
      </c>
      <c r="L55" s="19">
        <f t="shared" si="10"/>
        <v>0.32729029603711124</v>
      </c>
      <c r="N55" s="93"/>
      <c r="O55" s="92"/>
    </row>
    <row r="56" spans="1:15" x14ac:dyDescent="0.25">
      <c r="A56" s="89" t="s">
        <v>194</v>
      </c>
      <c r="B56" s="19">
        <f t="shared" si="10"/>
        <v>6.8542948324505366E-4</v>
      </c>
      <c r="C56" s="19">
        <f t="shared" si="10"/>
        <v>0</v>
      </c>
      <c r="D56" s="19">
        <f t="shared" si="10"/>
        <v>1.0131711160295312E-3</v>
      </c>
      <c r="E56" s="19">
        <f t="shared" si="10"/>
        <v>5.845915682035752E-4</v>
      </c>
      <c r="F56" s="19">
        <f t="shared" si="10"/>
        <v>1.2341034732070693E-3</v>
      </c>
      <c r="G56" s="19">
        <f t="shared" si="10"/>
        <v>1.1454548896642795E-3</v>
      </c>
      <c r="H56" s="19">
        <f t="shared" si="10"/>
        <v>2.5433923789394469E-3</v>
      </c>
      <c r="I56" s="19">
        <f t="shared" si="10"/>
        <v>0</v>
      </c>
      <c r="J56" s="19">
        <f t="shared" si="10"/>
        <v>2.991599679734269E-3</v>
      </c>
      <c r="K56" s="19">
        <f t="shared" si="10"/>
        <v>5.3686520456970328E-3</v>
      </c>
      <c r="L56" s="19">
        <f t="shared" si="10"/>
        <v>4.8974646420038275E-3</v>
      </c>
      <c r="N56" s="92"/>
      <c r="O56" s="92"/>
    </row>
    <row r="57" spans="1:15" x14ac:dyDescent="0.25">
      <c r="A57" s="89" t="s">
        <v>195</v>
      </c>
      <c r="B57" s="19">
        <f t="shared" si="10"/>
        <v>6.7331763024622358E-4</v>
      </c>
      <c r="C57" s="19">
        <f t="shared" si="10"/>
        <v>0</v>
      </c>
      <c r="D57" s="19">
        <f t="shared" si="10"/>
        <v>9.9526791640472964E-4</v>
      </c>
      <c r="E57" s="19">
        <f t="shared" si="10"/>
        <v>5.7426156851415682E-4</v>
      </c>
      <c r="F57" s="19">
        <f t="shared" si="10"/>
        <v>1.2122962960188174E-3</v>
      </c>
      <c r="G57" s="19">
        <f t="shared" si="10"/>
        <v>1.1252141741918337E-3</v>
      </c>
      <c r="H57" s="19">
        <f t="shared" si="10"/>
        <v>2.4984494632570358E-3</v>
      </c>
      <c r="I57" s="19">
        <f t="shared" si="10"/>
        <v>0</v>
      </c>
      <c r="J57" s="19">
        <f t="shared" si="10"/>
        <v>2.9387367369754832E-3</v>
      </c>
      <c r="K57" s="19">
        <f t="shared" si="10"/>
        <v>5.2737854896075754E-3</v>
      </c>
      <c r="L57" s="19">
        <f t="shared" si="10"/>
        <v>5.63859541846429E-2</v>
      </c>
      <c r="N57" s="92"/>
      <c r="O57" s="92"/>
    </row>
    <row r="58" spans="1:15" x14ac:dyDescent="0.25">
      <c r="A58" s="89" t="s">
        <v>196</v>
      </c>
      <c r="B58" s="19">
        <f t="shared" si="10"/>
        <v>4.3031654703718732E-2</v>
      </c>
      <c r="C58" s="19">
        <f t="shared" si="10"/>
        <v>6.5712359620242994E-2</v>
      </c>
      <c r="D58" s="19">
        <f t="shared" si="10"/>
        <v>0.10245487727524298</v>
      </c>
      <c r="E58" s="19">
        <f t="shared" si="10"/>
        <v>6.3797058479612403E-4</v>
      </c>
      <c r="F58" s="19">
        <f t="shared" si="10"/>
        <v>5.3262848919712286E-4</v>
      </c>
      <c r="G58" s="19">
        <f t="shared" si="10"/>
        <v>6.1325136809699698E-2</v>
      </c>
      <c r="H58" s="19">
        <f t="shared" si="10"/>
        <v>4.284169346351941E-3</v>
      </c>
      <c r="I58" s="19">
        <f t="shared" si="10"/>
        <v>9.9628563901713527E-2</v>
      </c>
      <c r="J58" s="19">
        <f t="shared" si="10"/>
        <v>2.1562080015962347E-2</v>
      </c>
      <c r="K58" s="19">
        <f t="shared" si="10"/>
        <v>1.5548125301861329E-2</v>
      </c>
      <c r="L58" s="19">
        <f t="shared" si="10"/>
        <v>2.9607485666187296E-2</v>
      </c>
      <c r="N58" s="92"/>
      <c r="O58" s="92"/>
    </row>
    <row r="59" spans="1:15" x14ac:dyDescent="0.25">
      <c r="A59" s="89" t="s">
        <v>197</v>
      </c>
      <c r="B59" s="19">
        <f t="shared" si="10"/>
        <v>0.10602252816548562</v>
      </c>
      <c r="C59" s="19">
        <f t="shared" si="10"/>
        <v>5.9204115032777505E-2</v>
      </c>
      <c r="D59" s="19">
        <f t="shared" si="10"/>
        <v>9.8444949495570894E-2</v>
      </c>
      <c r="E59" s="19">
        <f t="shared" si="10"/>
        <v>0.11241452525969123</v>
      </c>
      <c r="F59" s="19">
        <f t="shared" si="10"/>
        <v>0.10156185400666515</v>
      </c>
      <c r="G59" s="19">
        <f t="shared" si="10"/>
        <v>0.11669629260686681</v>
      </c>
      <c r="H59" s="19">
        <f t="shared" si="10"/>
        <v>0.10577119653817733</v>
      </c>
      <c r="I59" s="19">
        <f t="shared" si="10"/>
        <v>0.1286654213096709</v>
      </c>
      <c r="J59" s="19">
        <f t="shared" si="10"/>
        <v>7.5207791399536594E-2</v>
      </c>
      <c r="K59" s="19">
        <f t="shared" si="10"/>
        <v>0.13291079265233652</v>
      </c>
      <c r="L59" s="19">
        <f t="shared" si="10"/>
        <v>3.870789973314008E-2</v>
      </c>
    </row>
    <row r="60" spans="1:15" x14ac:dyDescent="0.25">
      <c r="A60" s="89" t="s">
        <v>198</v>
      </c>
      <c r="B60" s="19">
        <f t="shared" si="10"/>
        <v>2.0689296849175431E-2</v>
      </c>
      <c r="C60" s="19">
        <f t="shared" si="10"/>
        <v>0.13544080782911672</v>
      </c>
      <c r="D60" s="19">
        <f t="shared" si="10"/>
        <v>5.9385537635242069E-2</v>
      </c>
      <c r="E60" s="19">
        <f t="shared" si="10"/>
        <v>0.20877995561194154</v>
      </c>
      <c r="F60" s="19">
        <f t="shared" si="10"/>
        <v>9.5062170376133001E-2</v>
      </c>
      <c r="G60" s="19">
        <f t="shared" si="10"/>
        <v>0.11525659877844663</v>
      </c>
      <c r="H60" s="19">
        <f t="shared" si="10"/>
        <v>0.11165861814394411</v>
      </c>
      <c r="I60" s="19">
        <f t="shared" si="10"/>
        <v>1.4018629630909798E-2</v>
      </c>
      <c r="J60" s="19">
        <f t="shared" si="10"/>
        <v>9.4806706828735279E-2</v>
      </c>
      <c r="K60" s="19">
        <f t="shared" si="10"/>
        <v>2.2106782917467743E-2</v>
      </c>
      <c r="L60" s="19">
        <f t="shared" si="10"/>
        <v>0.11190565161757876</v>
      </c>
      <c r="O60" s="4"/>
    </row>
    <row r="61" spans="1:15" x14ac:dyDescent="0.25">
      <c r="A61" s="89" t="s">
        <v>199</v>
      </c>
      <c r="B61" s="19">
        <f>B31*(1-B$72)+B46*B$72</f>
        <v>4.2856402804849376E-2</v>
      </c>
      <c r="C61" s="19">
        <f t="shared" ref="C61:L61" si="11">C31*(1-C$72)+C46*C$72</f>
        <v>8.264431145809123E-2</v>
      </c>
      <c r="D61" s="19">
        <f t="shared" si="11"/>
        <v>2.0815236540508923E-2</v>
      </c>
      <c r="E61" s="19">
        <f t="shared" si="11"/>
        <v>0.2248222563474461</v>
      </c>
      <c r="F61" s="19">
        <f t="shared" si="11"/>
        <v>9.8889395508288569E-2</v>
      </c>
      <c r="G61" s="19">
        <f t="shared" si="11"/>
        <v>0.13289984612812167</v>
      </c>
      <c r="H61" s="19">
        <f t="shared" si="11"/>
        <v>0.10611246875993111</v>
      </c>
      <c r="I61" s="19">
        <f t="shared" si="11"/>
        <v>5.5693036951869904E-2</v>
      </c>
      <c r="J61" s="19">
        <f t="shared" si="11"/>
        <v>0.12643407910144272</v>
      </c>
      <c r="K61" s="19">
        <f t="shared" si="11"/>
        <v>3.1165410382042506E-2</v>
      </c>
      <c r="L61" s="19">
        <f t="shared" si="11"/>
        <v>9.3875935928454946E-2</v>
      </c>
      <c r="O61" s="4"/>
    </row>
    <row r="62" spans="1:15" x14ac:dyDescent="0.25">
      <c r="A62" s="3"/>
      <c r="B62" s="13"/>
      <c r="C62" s="13"/>
      <c r="D62" s="13"/>
      <c r="E62" s="13"/>
      <c r="F62" s="13"/>
      <c r="G62" s="13"/>
      <c r="H62" s="13"/>
      <c r="I62" s="13"/>
      <c r="J62" s="13"/>
      <c r="K62" s="13"/>
    </row>
    <row r="63" spans="1:15" x14ac:dyDescent="0.25">
      <c r="A63" s="89" t="s">
        <v>200</v>
      </c>
      <c r="B63" s="11">
        <f>SUM(B51:B55)</f>
        <v>0.78604137036327948</v>
      </c>
      <c r="C63" s="11">
        <f>SUM(C51:C55)</f>
        <v>0.65699840605977133</v>
      </c>
      <c r="D63" s="11">
        <f t="shared" ref="D63:I63" si="12">SUM(D51:D55)</f>
        <v>0.71689096002100094</v>
      </c>
      <c r="E63" s="11">
        <f t="shared" si="12"/>
        <v>0.45218643905940714</v>
      </c>
      <c r="F63" s="11">
        <f t="shared" si="12"/>
        <v>0.7015075518504903</v>
      </c>
      <c r="G63" s="11">
        <f t="shared" si="12"/>
        <v>0.5715514566130091</v>
      </c>
      <c r="H63" s="11">
        <f t="shared" si="12"/>
        <v>0.66713170536939914</v>
      </c>
      <c r="I63" s="11">
        <f t="shared" si="12"/>
        <v>0.70199434820583573</v>
      </c>
      <c r="J63" s="11">
        <f>SUM(J51:J55)</f>
        <v>0.6760590062376135</v>
      </c>
      <c r="K63" s="11">
        <f>SUM(K51:K55)</f>
        <v>0.7876264512109874</v>
      </c>
      <c r="L63" s="18">
        <f>SUM(L51:L55)</f>
        <v>0.66461960822799226</v>
      </c>
    </row>
    <row r="64" spans="1:15" x14ac:dyDescent="0.25">
      <c r="A64" s="89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8"/>
    </row>
    <row r="65" spans="1:15" x14ac:dyDescent="0.25">
      <c r="A65" s="128" t="s">
        <v>205</v>
      </c>
      <c r="B65" s="128"/>
      <c r="C65" s="128"/>
      <c r="D65" s="128"/>
      <c r="E65" s="128"/>
      <c r="F65" s="128"/>
      <c r="G65" s="128"/>
      <c r="H65" s="128"/>
      <c r="I65" s="128"/>
      <c r="J65" s="128"/>
      <c r="K65" s="128"/>
      <c r="L65" s="177"/>
      <c r="N65" s="175" t="s">
        <v>206</v>
      </c>
      <c r="O65" s="175" t="s">
        <v>207</v>
      </c>
    </row>
    <row r="66" spans="1:15" x14ac:dyDescent="0.25">
      <c r="A66" s="3" t="s">
        <v>208</v>
      </c>
      <c r="B66" s="13">
        <f>$L$66*'Mortality &amp; FCR'!B21</f>
        <v>1360</v>
      </c>
      <c r="C66" s="13">
        <f>$L$66*'Mortality &amp; FCR'!C21</f>
        <v>1400</v>
      </c>
      <c r="D66" s="13">
        <f>$L$66*'Mortality &amp; FCR'!D21</f>
        <v>1439.9999999999998</v>
      </c>
      <c r="E66" s="13">
        <f>$L$66*'Mortality &amp; FCR'!E21</f>
        <v>1420</v>
      </c>
      <c r="F66" s="13">
        <f>$L$66*'Mortality &amp; FCR'!F21</f>
        <v>1420</v>
      </c>
      <c r="G66" s="13">
        <f>$L$66*'Mortality &amp; FCR'!G21</f>
        <v>1439.9999999999998</v>
      </c>
      <c r="H66" s="13">
        <f>$L$66*'Mortality &amp; FCR'!H21</f>
        <v>1879.9999999999998</v>
      </c>
      <c r="I66" s="13">
        <f>$L$66*'Mortality &amp; FCR'!I21</f>
        <v>1400</v>
      </c>
      <c r="J66" s="13">
        <f>$L$66*'Mortality &amp; FCR'!J21</f>
        <v>1420</v>
      </c>
      <c r="K66" s="13">
        <f>$L$66*'Mortality &amp; FCR'!K21</f>
        <v>1420</v>
      </c>
      <c r="L66" s="13">
        <v>1400</v>
      </c>
      <c r="N66" s="93" t="s">
        <v>209</v>
      </c>
      <c r="O66" s="93"/>
    </row>
    <row r="67" spans="1:15" x14ac:dyDescent="0.25">
      <c r="A67" s="3" t="s">
        <v>210</v>
      </c>
      <c r="B67" s="225">
        <f>$L$67*'Mortality &amp; FCR'!B21</f>
        <v>699.42857142857144</v>
      </c>
      <c r="C67" s="225">
        <f>$L$67*'Mortality &amp; FCR'!C21</f>
        <v>720</v>
      </c>
      <c r="D67" s="225">
        <f>$L$67*'Mortality &amp; FCR'!D21</f>
        <v>740.57142857142844</v>
      </c>
      <c r="E67" s="225">
        <f>$L$67*'Mortality &amp; FCR'!E21</f>
        <v>730.28571428571422</v>
      </c>
      <c r="F67" s="225">
        <f>$L$67*'Mortality &amp; FCR'!F21</f>
        <v>730.28571428571422</v>
      </c>
      <c r="G67" s="225">
        <f>$L$67*'Mortality &amp; FCR'!G21</f>
        <v>740.57142857142844</v>
      </c>
      <c r="H67" s="225">
        <f>$L$67*'Mortality &amp; FCR'!H21</f>
        <v>966.85714285714278</v>
      </c>
      <c r="I67" s="225">
        <f>$L$67*'Mortality &amp; FCR'!I21</f>
        <v>720</v>
      </c>
      <c r="J67" s="225">
        <f>$L$67*'Mortality &amp; FCR'!J21</f>
        <v>730.28571428571422</v>
      </c>
      <c r="K67" s="225">
        <f>$L$67*'Mortality &amp; FCR'!K21</f>
        <v>730.28571428571422</v>
      </c>
      <c r="L67" s="13">
        <v>720</v>
      </c>
      <c r="N67" s="93" t="s">
        <v>209</v>
      </c>
      <c r="O67" s="93"/>
    </row>
    <row r="68" spans="1:15" x14ac:dyDescent="0.25">
      <c r="A68" s="3" t="s">
        <v>211</v>
      </c>
      <c r="B68" s="225">
        <f>$L$68*'Mortality &amp; FCR'!B21</f>
        <v>699.42857142857144</v>
      </c>
      <c r="C68" s="225">
        <f>$L$68*'Mortality &amp; FCR'!C21</f>
        <v>720</v>
      </c>
      <c r="D68" s="225">
        <f>$L$68*'Mortality &amp; FCR'!D21</f>
        <v>740.57142857142844</v>
      </c>
      <c r="E68" s="225">
        <f>$L$68*'Mortality &amp; FCR'!E21</f>
        <v>730.28571428571422</v>
      </c>
      <c r="F68" s="225">
        <f>$L$68*'Mortality &amp; FCR'!F21</f>
        <v>730.28571428571422</v>
      </c>
      <c r="G68" s="225">
        <f>$L$68*'Mortality &amp; FCR'!G21</f>
        <v>740.57142857142844</v>
      </c>
      <c r="H68" s="225">
        <f>$L$68*'Mortality &amp; FCR'!H21</f>
        <v>966.85714285714278</v>
      </c>
      <c r="I68" s="225">
        <f>$L$68*'Mortality &amp; FCR'!I21</f>
        <v>720</v>
      </c>
      <c r="J68" s="225">
        <f>$L$68*'Mortality &amp; FCR'!J21</f>
        <v>730.28571428571422</v>
      </c>
      <c r="K68" s="225">
        <f>$L$68*'Mortality &amp; FCR'!K21</f>
        <v>730.28571428571422</v>
      </c>
      <c r="L68" s="13">
        <v>720</v>
      </c>
      <c r="N68" s="93" t="s">
        <v>209</v>
      </c>
    </row>
    <row r="69" spans="1:15" x14ac:dyDescent="0.25">
      <c r="A69" s="3" t="s">
        <v>212</v>
      </c>
      <c r="B69" s="225">
        <f>$L$69*'Mortality &amp; FCR'!B21</f>
        <v>252.57142857142856</v>
      </c>
      <c r="C69" s="225">
        <f>$L$69*'Mortality &amp; FCR'!C21</f>
        <v>260</v>
      </c>
      <c r="D69" s="225">
        <f>$L$69*'Mortality &amp; FCR'!D21</f>
        <v>267.42857142857139</v>
      </c>
      <c r="E69" s="225">
        <f>$L$69*'Mortality &amp; FCR'!E21</f>
        <v>263.71428571428572</v>
      </c>
      <c r="F69" s="225">
        <f>$L$69*'Mortality &amp; FCR'!F21</f>
        <v>263.71428571428572</v>
      </c>
      <c r="G69" s="225">
        <f>$L$69*'Mortality &amp; FCR'!G21</f>
        <v>267.42857142857139</v>
      </c>
      <c r="H69" s="225">
        <f>$L$69*'Mortality &amp; FCR'!H21</f>
        <v>349.14285714285711</v>
      </c>
      <c r="I69" s="225">
        <f>$L$69*'Mortality &amp; FCR'!I21</f>
        <v>260</v>
      </c>
      <c r="J69" s="225">
        <f>$L$69*'Mortality &amp; FCR'!J21</f>
        <v>263.71428571428572</v>
      </c>
      <c r="K69" s="225">
        <f>$L$69*'Mortality &amp; FCR'!K21</f>
        <v>263.71428571428572</v>
      </c>
      <c r="L69" s="13">
        <v>260</v>
      </c>
      <c r="N69" s="93" t="s">
        <v>209</v>
      </c>
    </row>
    <row r="70" spans="1:15" x14ac:dyDescent="0.25">
      <c r="A70" s="3" t="s">
        <v>213</v>
      </c>
      <c r="B70" s="225">
        <f>$L$70*'Mortality &amp; FCR'!B21</f>
        <v>34</v>
      </c>
      <c r="C70" s="225">
        <f>$L$70*'Mortality &amp; FCR'!C21</f>
        <v>35</v>
      </c>
      <c r="D70" s="225">
        <f>$L$70*'Mortality &amp; FCR'!D21</f>
        <v>36</v>
      </c>
      <c r="E70" s="225">
        <f>$L$70*'Mortality &amp; FCR'!E21</f>
        <v>35.5</v>
      </c>
      <c r="F70" s="225">
        <f>$L$70*'Mortality &amp; FCR'!F21</f>
        <v>35.5</v>
      </c>
      <c r="G70" s="225">
        <f>$L$70*'Mortality &amp; FCR'!G21</f>
        <v>36</v>
      </c>
      <c r="H70" s="225">
        <f>$L$70*'Mortality &amp; FCR'!H21</f>
        <v>46.999999999999993</v>
      </c>
      <c r="I70" s="225">
        <f>$L$70*'Mortality &amp; FCR'!I21</f>
        <v>35</v>
      </c>
      <c r="J70" s="225">
        <f>$L$70*'Mortality &amp; FCR'!J21</f>
        <v>35.5</v>
      </c>
      <c r="K70" s="225">
        <f>$L$70*'Mortality &amp; FCR'!K21</f>
        <v>35.5</v>
      </c>
      <c r="L70" s="13">
        <v>35</v>
      </c>
      <c r="N70" s="93" t="s">
        <v>209</v>
      </c>
    </row>
    <row r="71" spans="1:15" x14ac:dyDescent="0.25">
      <c r="A71" s="3" t="s">
        <v>214</v>
      </c>
      <c r="B71" s="5">
        <f>SUMPRODUCT(Production!B5:B9,B66:B70)/Production!B35</f>
        <v>6.2157941747152963</v>
      </c>
      <c r="C71" s="5">
        <f>SUMPRODUCT(Production!C5:C9,C66:C70)/Production!C35</f>
        <v>6.4994434900124727</v>
      </c>
      <c r="D71" s="5">
        <f>SUMPRODUCT(Production!D5:D9,D66:D70)/Production!D35</f>
        <v>6.6136852971253886</v>
      </c>
      <c r="E71" s="5">
        <f>SUMPRODUCT(Production!E5:E9,E66:E70)/Production!E35</f>
        <v>6.5534019016049045</v>
      </c>
      <c r="F71" s="5">
        <f>SUMPRODUCT(Production!F5:F9,F66:F70)/Production!F35</f>
        <v>6.5077774249079967</v>
      </c>
      <c r="G71" s="5">
        <f>SUMPRODUCT(Production!G5:G9,G66:G70)/Production!G35</f>
        <v>6.6130379864824045</v>
      </c>
      <c r="H71" s="5">
        <f>SUMPRODUCT(Production!H5:H9,H66:H70)/Production!H35</f>
        <v>6.9280219462466173</v>
      </c>
      <c r="I71" s="5">
        <f>SUMPRODUCT(Production!I5:I9,I66:I70)/Production!I35</f>
        <v>6.3419355577964085</v>
      </c>
      <c r="J71" s="5">
        <f>SUMPRODUCT(Production!J5:J9,J66:J70)/Production!J35</f>
        <v>6.5534019016049045</v>
      </c>
      <c r="K71" s="5">
        <f>SUMPRODUCT(Production!K5:K9,K66:K70)/Production!K35</f>
        <v>6.7547221105925885</v>
      </c>
      <c r="L71" s="5">
        <f>SUMPRODUCT(Production!L5:L9,L66:L70)/Production!L35</f>
        <v>6.4438750132949885</v>
      </c>
      <c r="N71" s="176"/>
      <c r="O71" s="93"/>
    </row>
    <row r="72" spans="1:15" x14ac:dyDescent="0.25">
      <c r="A72" s="3" t="s">
        <v>215</v>
      </c>
      <c r="B72" s="5">
        <f>Production!B8*B69/Production!B35/FCR_bonefree_incl_parents_DK</f>
        <v>0.73832503118344484</v>
      </c>
      <c r="C72" s="5">
        <f>Production!C8*C69/Production!C35/FCR_bonefree_incl_parents_DK</f>
        <v>0.75781179700892376</v>
      </c>
      <c r="D72" s="5">
        <f>Production!D8*D69/Production!D35/FCR_bonefree_incl_parents_DK</f>
        <v>0.77157386624207258</v>
      </c>
      <c r="E72" s="5">
        <f>Production!E8*E69/Production!E35/FCR_bonefree_incl_parents_DK</f>
        <v>0.76217597794837266</v>
      </c>
      <c r="F72" s="5">
        <f>Production!F8*F69/Production!F35/FCR_bonefree_incl_parents_DK</f>
        <v>0.76364216089673864</v>
      </c>
      <c r="G72" s="5">
        <f>Production!G8*G69/Production!G35/FCR_bonefree_incl_parents_DK</f>
        <v>0.76881531888639321</v>
      </c>
      <c r="H72" s="5">
        <f>Production!H8*H69/Production!H35/FCR_bonefree_incl_parents_DK</f>
        <v>0.78093013257014099</v>
      </c>
      <c r="I72" s="5">
        <f>Production!I8*I69/Production!I35/FCR_bonefree_incl_parents_DK</f>
        <v>0.74824982092365711</v>
      </c>
      <c r="J72" s="5">
        <f>Production!J8*J69/Production!J35/FCR_bonefree_incl_parents_DK</f>
        <v>0.76217597794837277</v>
      </c>
      <c r="K72" s="5">
        <f>Production!K8*K69/Production!K35/FCR_bonefree_incl_parents_DK</f>
        <v>0.77143267398763471</v>
      </c>
      <c r="L72" s="5">
        <f>Production!L8*L69/Production!L35/FCR_bonefree_incl_parents_DK</f>
        <v>0.74152425914875808</v>
      </c>
      <c r="N72" s="176"/>
      <c r="O72" s="93"/>
    </row>
    <row r="73" spans="1:15" x14ac:dyDescent="0.25">
      <c r="L73" s="174"/>
      <c r="N73" s="93"/>
      <c r="O73" s="93"/>
    </row>
    <row r="74" spans="1:15" x14ac:dyDescent="0.25">
      <c r="A74" s="128" t="s">
        <v>18</v>
      </c>
      <c r="B74" s="128"/>
      <c r="C74" s="128"/>
      <c r="D74" s="128"/>
      <c r="E74" s="128"/>
      <c r="F74" s="128"/>
      <c r="G74" s="128"/>
      <c r="H74" s="128"/>
      <c r="I74" s="128"/>
      <c r="J74" s="128"/>
      <c r="K74" s="128"/>
      <c r="L74" s="177"/>
      <c r="N74" s="93"/>
      <c r="O74" s="93"/>
    </row>
    <row r="75" spans="1:15" x14ac:dyDescent="0.25">
      <c r="A75" s="3" t="s">
        <v>216</v>
      </c>
      <c r="B75">
        <v>1.5</v>
      </c>
      <c r="C75">
        <v>1.5</v>
      </c>
      <c r="D75">
        <v>1.5</v>
      </c>
      <c r="E75">
        <v>1.5</v>
      </c>
      <c r="F75">
        <v>1.5</v>
      </c>
      <c r="G75">
        <v>1.5</v>
      </c>
      <c r="H75">
        <v>1.5</v>
      </c>
      <c r="I75">
        <v>1.5</v>
      </c>
      <c r="J75">
        <v>1.5</v>
      </c>
      <c r="K75">
        <v>1.5</v>
      </c>
      <c r="L75">
        <v>1.5</v>
      </c>
      <c r="N75" s="93"/>
      <c r="O75" s="93"/>
    </row>
    <row r="76" spans="1:15" x14ac:dyDescent="0.25">
      <c r="L76" s="17"/>
    </row>
    <row r="77" spans="1:15" x14ac:dyDescent="0.25">
      <c r="A77" s="128" t="s">
        <v>217</v>
      </c>
      <c r="B77" s="128"/>
      <c r="C77" s="128"/>
      <c r="D77" s="128"/>
      <c r="E77" s="128"/>
      <c r="F77" s="128"/>
      <c r="G77" s="128"/>
      <c r="H77" s="128"/>
      <c r="I77" s="128"/>
      <c r="J77" s="128"/>
      <c r="K77" s="128"/>
      <c r="L77" s="177"/>
      <c r="N77" s="93"/>
    </row>
    <row r="78" spans="1:15" x14ac:dyDescent="0.25">
      <c r="A78" s="3" t="s">
        <v>218</v>
      </c>
      <c r="B78" s="13">
        <v>0.4</v>
      </c>
      <c r="C78" s="13">
        <v>0.4</v>
      </c>
      <c r="D78" s="13">
        <v>0.4</v>
      </c>
      <c r="E78" s="13">
        <v>0.4</v>
      </c>
      <c r="F78" s="13">
        <v>0.4</v>
      </c>
      <c r="G78" s="13">
        <v>0.4</v>
      </c>
      <c r="H78" s="13">
        <v>0.4</v>
      </c>
      <c r="I78" s="13">
        <v>0.4</v>
      </c>
      <c r="J78" s="13">
        <v>0.4</v>
      </c>
      <c r="K78" s="13">
        <v>0.4</v>
      </c>
      <c r="L78" s="13">
        <v>0.4</v>
      </c>
      <c r="N78" s="93" t="s">
        <v>219</v>
      </c>
    </row>
    <row r="79" spans="1:15" x14ac:dyDescent="0.25">
      <c r="A79" s="3" t="s">
        <v>220</v>
      </c>
      <c r="B79" s="13">
        <v>50</v>
      </c>
      <c r="C79" s="13">
        <v>50</v>
      </c>
      <c r="D79" s="13">
        <v>50</v>
      </c>
      <c r="E79" s="13">
        <v>50</v>
      </c>
      <c r="F79" s="13">
        <v>50</v>
      </c>
      <c r="G79" s="13">
        <v>50</v>
      </c>
      <c r="H79" s="13">
        <v>50</v>
      </c>
      <c r="I79" s="13">
        <v>50</v>
      </c>
      <c r="J79" s="13">
        <v>50</v>
      </c>
      <c r="K79" s="13">
        <v>50</v>
      </c>
      <c r="L79" s="13">
        <v>50</v>
      </c>
      <c r="N79" s="93" t="s">
        <v>219</v>
      </c>
    </row>
    <row r="80" spans="1:15" x14ac:dyDescent="0.25">
      <c r="A80" s="3" t="s">
        <v>221</v>
      </c>
      <c r="B80" s="18">
        <f>(No_fattening_pigs_DK*B78+No_piglets_DK*B79)/Production!B25</f>
        <v>0.95473433649297068</v>
      </c>
      <c r="C80" s="18">
        <f>(No_fattening_pigs_FR*C78+No_piglets_FR*C79)/Production!C25</f>
        <v>0.95374030539606691</v>
      </c>
      <c r="D80" s="18">
        <f>(No_fattening_pigs_DE*D78+No_piglets_DE*D79)/Production!D25</f>
        <v>0.944035218679667</v>
      </c>
      <c r="E80" s="18">
        <f>(No_fattening_pigs_GR*E78+No_piglets_GR*E79)/Production!E25</f>
        <v>0.94597193474532792</v>
      </c>
      <c r="F80" s="18">
        <f>(No_fattening_pigs_HU*F78+No_piglets_HU*F79)/Production!F25</f>
        <v>0.94692454871491294</v>
      </c>
      <c r="G80" s="18">
        <f>(No_fattening_pigs_IE*G78+No_piglets_IE*G79)/Production!G25</f>
        <v>0.94099900595689467</v>
      </c>
      <c r="H80" s="18">
        <f>(No_fattening_pigs_IT*H78+No_piglets_IT*H79)/Production!H25</f>
        <v>0.7346665055595869</v>
      </c>
      <c r="I80" s="18">
        <f>(No_fattening_pigs_NL*I78+No_piglets_NL*I79)/Production!I25</f>
        <v>0.94057193769724701</v>
      </c>
      <c r="J80" s="18">
        <f>(No_fattening_pigs_PL*J78+No_piglets_PL*J79)/Production!J25</f>
        <v>0.94597193474532792</v>
      </c>
      <c r="K80" s="18">
        <f>(No_fattening_pigs_ES*K78+No_piglets_ES*K79)/Production!K25</f>
        <v>0.95926607910029349</v>
      </c>
      <c r="L80" s="18">
        <f>(No_fattening_pigs_SE*L78+No_piglets_SE*L79)/Production!L25</f>
        <v>0.93452041435924138</v>
      </c>
      <c r="N80" s="176"/>
    </row>
    <row r="81" spans="1:14" x14ac:dyDescent="0.25">
      <c r="A81" s="3" t="s">
        <v>222</v>
      </c>
      <c r="B81" s="13">
        <v>0.7</v>
      </c>
      <c r="C81" s="13">
        <v>0.7</v>
      </c>
      <c r="D81" s="13">
        <v>0.7</v>
      </c>
      <c r="E81" s="13">
        <v>0.7</v>
      </c>
      <c r="F81" s="13">
        <v>0.7</v>
      </c>
      <c r="G81" s="13">
        <v>0.7</v>
      </c>
      <c r="H81" s="13">
        <v>0.7</v>
      </c>
      <c r="I81" s="13">
        <v>0.7</v>
      </c>
      <c r="J81" s="13">
        <v>0.7</v>
      </c>
      <c r="K81" s="13">
        <v>0.7</v>
      </c>
      <c r="L81" s="13">
        <v>0.7</v>
      </c>
      <c r="N81" s="193" t="s">
        <v>223</v>
      </c>
    </row>
    <row r="82" spans="1:14" x14ac:dyDescent="0.25">
      <c r="A82" s="3" t="s">
        <v>224</v>
      </c>
      <c r="B82" s="13">
        <v>0.6</v>
      </c>
      <c r="C82" s="13">
        <v>0.6</v>
      </c>
      <c r="D82" s="13">
        <v>0.6</v>
      </c>
      <c r="E82" s="13">
        <v>0.6</v>
      </c>
      <c r="F82" s="13">
        <v>0.6</v>
      </c>
      <c r="G82" s="13">
        <v>0.6</v>
      </c>
      <c r="H82" s="13">
        <v>0.6</v>
      </c>
      <c r="I82" s="13">
        <v>0.6</v>
      </c>
      <c r="J82" s="13">
        <v>0.6</v>
      </c>
      <c r="K82" s="13">
        <v>0.6</v>
      </c>
      <c r="L82" s="13">
        <v>0.6</v>
      </c>
      <c r="N82" s="193" t="s">
        <v>223</v>
      </c>
    </row>
    <row r="83" spans="1:14" x14ac:dyDescent="0.25">
      <c r="N83" s="93"/>
    </row>
    <row r="84" spans="1:14" x14ac:dyDescent="0.25">
      <c r="A84" s="128" t="s">
        <v>225</v>
      </c>
      <c r="B84" s="128"/>
      <c r="C84" s="128"/>
      <c r="D84" s="128"/>
      <c r="E84" s="128"/>
      <c r="F84" s="128"/>
      <c r="G84" s="128"/>
      <c r="H84" s="128"/>
      <c r="I84" s="128"/>
      <c r="J84" s="128"/>
      <c r="K84" s="128"/>
      <c r="L84" s="177"/>
    </row>
    <row r="85" spans="1:14" x14ac:dyDescent="0.25">
      <c r="A85" s="3" t="s">
        <v>226</v>
      </c>
      <c r="B85" s="14">
        <v>0.8</v>
      </c>
      <c r="C85" s="14">
        <v>0.8</v>
      </c>
      <c r="D85" s="14">
        <v>0.8</v>
      </c>
      <c r="E85" s="14">
        <v>0.8</v>
      </c>
      <c r="F85" s="14">
        <v>0.8</v>
      </c>
      <c r="G85" s="14">
        <v>0.8</v>
      </c>
      <c r="H85" s="14">
        <v>0.8</v>
      </c>
      <c r="I85" s="14">
        <v>0.8</v>
      </c>
      <c r="J85" s="14">
        <v>0.8</v>
      </c>
      <c r="K85" s="14">
        <v>0.8</v>
      </c>
      <c r="L85" s="14">
        <v>0.8</v>
      </c>
      <c r="N85" s="251" t="s">
        <v>227</v>
      </c>
    </row>
    <row r="86" spans="1:14" x14ac:dyDescent="0.25">
      <c r="A86" s="3" t="s">
        <v>228</v>
      </c>
      <c r="B86" s="13">
        <v>0.32</v>
      </c>
      <c r="C86" s="13">
        <v>0.32</v>
      </c>
      <c r="D86" s="13">
        <v>0.32</v>
      </c>
      <c r="E86" s="13">
        <v>0.32</v>
      </c>
      <c r="F86" s="13">
        <v>0.32</v>
      </c>
      <c r="G86" s="13">
        <v>0.32</v>
      </c>
      <c r="H86" s="13">
        <v>0.32</v>
      </c>
      <c r="I86" s="13">
        <v>0.32</v>
      </c>
      <c r="J86" s="13">
        <v>0.32</v>
      </c>
      <c r="K86" s="13">
        <v>0.32</v>
      </c>
      <c r="L86" s="13">
        <v>0.32</v>
      </c>
      <c r="N86" s="251"/>
    </row>
    <row r="87" spans="1:14" x14ac:dyDescent="0.25">
      <c r="L87" s="174"/>
    </row>
    <row r="88" spans="1:14" x14ac:dyDescent="0.25">
      <c r="A88" s="128" t="s">
        <v>229</v>
      </c>
      <c r="B88" s="128"/>
      <c r="C88" s="128"/>
      <c r="D88" s="128"/>
      <c r="E88" s="128"/>
      <c r="F88" s="128"/>
      <c r="G88" s="128"/>
      <c r="H88" s="128"/>
      <c r="I88" s="128"/>
      <c r="J88" s="128"/>
      <c r="K88" s="128"/>
      <c r="L88" s="177"/>
      <c r="N88" s="93"/>
    </row>
    <row r="89" spans="1:14" x14ac:dyDescent="0.25">
      <c r="A89" s="3" t="s">
        <v>230</v>
      </c>
      <c r="B89" s="19">
        <f>SUMPRODUCT(B90:B92,'Parameters, general'!$B$13:$B$15)</f>
        <v>0.38627677177026798</v>
      </c>
      <c r="C89" s="19">
        <f>SUMPRODUCT(C90:C92,'Parameters, general'!$B$13:$B$15)</f>
        <v>9.5381405160222713E-2</v>
      </c>
      <c r="D89" s="19">
        <f>SUMPRODUCT(D90:D92,'Parameters, general'!$B$13:$B$15)</f>
        <v>0.49048549543962316</v>
      </c>
      <c r="E89" s="19">
        <f>SUMPRODUCT(E90:E92,'Parameters, general'!$B$13:$B$15)</f>
        <v>0.67841599837959998</v>
      </c>
      <c r="F89" s="19">
        <f>SUMPRODUCT(F90:F92,'Parameters, general'!$B$13:$B$15)</f>
        <v>0.47045713416211871</v>
      </c>
      <c r="G89" s="19">
        <f>SUMPRODUCT(G90:G92,'Parameters, general'!$B$13:$B$15)</f>
        <v>0.40484566156116741</v>
      </c>
      <c r="H89" s="19">
        <f>SUMPRODUCT(H90:H92,'Parameters, general'!$B$13:$B$15)</f>
        <v>0.42738626455461243</v>
      </c>
      <c r="I89" s="19">
        <f>SUMPRODUCT(I90:I92,'Parameters, general'!$B$13:$B$15)</f>
        <v>0.52657781797980341</v>
      </c>
      <c r="J89" s="19">
        <f>SUMPRODUCT(J90:J92,'Parameters, general'!$B$13:$B$15)</f>
        <v>1.0319324183189464</v>
      </c>
      <c r="K89" s="19">
        <f>SUMPRODUCT(K90:K92,'Parameters, general'!$B$13:$B$15)</f>
        <v>0.29314059765558081</v>
      </c>
      <c r="L89" s="19">
        <f>SUMPRODUCT(L90:L92,'Parameters, general'!$B$13:$B$15)</f>
        <v>9.1599695300547013E-2</v>
      </c>
      <c r="N89" s="93" t="s">
        <v>231</v>
      </c>
    </row>
    <row r="90" spans="1:14" x14ac:dyDescent="0.25">
      <c r="A90" s="3" t="s">
        <v>232</v>
      </c>
      <c r="B90" s="77">
        <v>0.37053203522740003</v>
      </c>
      <c r="C90" s="138">
        <v>8.7112695367499993E-2</v>
      </c>
      <c r="D90" s="77">
        <v>0.46350339663360002</v>
      </c>
      <c r="E90" s="77">
        <v>0.63996298020209996</v>
      </c>
      <c r="F90" s="77">
        <v>0.43715184780049998</v>
      </c>
      <c r="G90" s="77">
        <v>0.3918720101247401</v>
      </c>
      <c r="H90" s="77">
        <v>0.37797633435819999</v>
      </c>
      <c r="I90" s="77">
        <v>0.49673189321139988</v>
      </c>
      <c r="J90" s="77">
        <v>0.9754510606115</v>
      </c>
      <c r="K90" s="77">
        <v>0.26811508139590001</v>
      </c>
      <c r="L90" s="77">
        <v>8.8450339728460003E-2</v>
      </c>
      <c r="N90" s="93"/>
    </row>
    <row r="91" spans="1:14" x14ac:dyDescent="0.25">
      <c r="A91" s="3" t="s">
        <v>233</v>
      </c>
      <c r="B91" s="137">
        <v>5.1107441647039987E-4</v>
      </c>
      <c r="C91" s="137">
        <v>2.700762131814E-4</v>
      </c>
      <c r="D91" s="137">
        <v>8.866310670443999E-4</v>
      </c>
      <c r="E91" s="137">
        <v>1.2704162262849E-3</v>
      </c>
      <c r="F91" s="137">
        <v>1.1037499887663997E-3</v>
      </c>
      <c r="G91" s="137">
        <v>4.22314047096554E-4</v>
      </c>
      <c r="H91" s="137">
        <v>1.6431484401077997E-3</v>
      </c>
      <c r="I91" s="137">
        <v>9.8347245312259998E-4</v>
      </c>
      <c r="J91" s="137">
        <v>1.8794008186636402E-3</v>
      </c>
      <c r="K91" s="137">
        <v>8.28784824796E-4</v>
      </c>
      <c r="L91" s="137">
        <v>9.8278548655939986E-5</v>
      </c>
      <c r="N91" s="93"/>
    </row>
    <row r="92" spans="1:14" x14ac:dyDescent="0.25">
      <c r="A92" s="3" t="s">
        <v>234</v>
      </c>
      <c r="B92" s="96">
        <v>1.9063664150000001E-5</v>
      </c>
      <c r="C92" s="96">
        <v>8.1643940709999986E-6</v>
      </c>
      <c r="D92" s="96">
        <v>2.0759000300000004E-5</v>
      </c>
      <c r="E92" s="96">
        <v>2.2022764229999999E-5</v>
      </c>
      <c r="F92" s="96">
        <v>1.5316173940000001E-5</v>
      </c>
      <c r="G92" s="96">
        <v>1.439603085E-5</v>
      </c>
      <c r="H92" s="96">
        <v>1.6448395599999999E-5</v>
      </c>
      <c r="I92" s="96">
        <v>1.9942432050000001E-5</v>
      </c>
      <c r="J92" s="96">
        <v>1.7600493009999999E-5</v>
      </c>
      <c r="K92" s="96">
        <v>1.213809188E-5</v>
      </c>
      <c r="L92" s="96">
        <v>8.172400819999999E-6</v>
      </c>
    </row>
    <row r="93" spans="1:14" x14ac:dyDescent="0.25">
      <c r="A93" s="3"/>
    </row>
    <row r="94" spans="1:14" x14ac:dyDescent="0.25">
      <c r="A94" s="128" t="s">
        <v>235</v>
      </c>
      <c r="B94" s="128"/>
      <c r="C94" s="128"/>
      <c r="D94" s="128"/>
      <c r="E94" s="128"/>
      <c r="F94" s="128"/>
      <c r="G94" s="128"/>
      <c r="H94" s="128"/>
      <c r="I94" s="128"/>
      <c r="J94" s="128"/>
      <c r="K94" s="128"/>
      <c r="L94" s="177"/>
      <c r="N94" s="93"/>
    </row>
    <row r="95" spans="1:14" x14ac:dyDescent="0.25">
      <c r="A95" s="3" t="s">
        <v>236</v>
      </c>
      <c r="B95" s="15">
        <v>0.19</v>
      </c>
      <c r="C95" s="15">
        <v>0.19</v>
      </c>
      <c r="D95" s="15">
        <v>0.19</v>
      </c>
      <c r="E95" s="15">
        <v>0.19</v>
      </c>
      <c r="F95" s="15">
        <v>0.19</v>
      </c>
      <c r="G95" s="15">
        <v>0.19</v>
      </c>
      <c r="H95" s="15">
        <v>0.19</v>
      </c>
      <c r="I95" s="15">
        <v>0.19</v>
      </c>
      <c r="J95" s="15">
        <v>0.19</v>
      </c>
      <c r="K95" s="15">
        <v>0.19</v>
      </c>
      <c r="L95" s="15">
        <v>0.19</v>
      </c>
      <c r="N95" s="93" t="s">
        <v>237</v>
      </c>
    </row>
    <row r="96" spans="1:14" x14ac:dyDescent="0.25">
      <c r="L96" s="13"/>
      <c r="N96" s="93"/>
    </row>
    <row r="97" spans="1:14" x14ac:dyDescent="0.25">
      <c r="A97" s="128" t="s">
        <v>238</v>
      </c>
      <c r="B97" s="128"/>
      <c r="C97" s="128"/>
      <c r="D97" s="128"/>
      <c r="E97" s="128"/>
      <c r="F97" s="128"/>
      <c r="G97" s="128"/>
      <c r="H97" s="128"/>
      <c r="I97" s="128"/>
      <c r="J97" s="128"/>
      <c r="K97" s="128"/>
      <c r="L97" s="192"/>
      <c r="N97" s="93"/>
    </row>
    <row r="98" spans="1:14" x14ac:dyDescent="0.25">
      <c r="A98" s="3" t="s">
        <v>239</v>
      </c>
      <c r="B98" s="111">
        <v>0.6</v>
      </c>
      <c r="C98" s="111">
        <v>0.3</v>
      </c>
      <c r="D98" s="111">
        <v>0.3</v>
      </c>
      <c r="E98" s="111">
        <v>0.3</v>
      </c>
      <c r="F98" s="111">
        <v>0.3</v>
      </c>
      <c r="G98" s="111">
        <v>0.3</v>
      </c>
      <c r="H98" s="111">
        <v>0.3</v>
      </c>
      <c r="I98" s="111">
        <v>0.3</v>
      </c>
      <c r="J98" s="111">
        <v>0.3</v>
      </c>
      <c r="K98" s="111">
        <v>0.3</v>
      </c>
      <c r="L98" s="111">
        <v>0.6</v>
      </c>
      <c r="N98" s="93" t="s">
        <v>237</v>
      </c>
    </row>
    <row r="99" spans="1:14" x14ac:dyDescent="0.25">
      <c r="A99" s="3" t="s">
        <v>240</v>
      </c>
      <c r="B99" s="112">
        <v>0.4</v>
      </c>
      <c r="C99" s="112">
        <v>0.7</v>
      </c>
      <c r="D99" s="112">
        <v>0.7</v>
      </c>
      <c r="E99" s="112">
        <v>0.7</v>
      </c>
      <c r="F99" s="112">
        <v>0.7</v>
      </c>
      <c r="G99" s="112">
        <v>0.7</v>
      </c>
      <c r="H99" s="112">
        <v>0.7</v>
      </c>
      <c r="I99" s="112">
        <v>0.7</v>
      </c>
      <c r="J99" s="112">
        <v>0.7</v>
      </c>
      <c r="K99" s="112">
        <v>0.7</v>
      </c>
      <c r="L99" s="112">
        <v>0.4</v>
      </c>
    </row>
    <row r="100" spans="1:14" x14ac:dyDescent="0.25">
      <c r="L100" s="13"/>
    </row>
    <row r="101" spans="1:14" x14ac:dyDescent="0.25">
      <c r="A101" s="128" t="s">
        <v>241</v>
      </c>
      <c r="B101" s="128"/>
      <c r="C101" s="128"/>
      <c r="D101" s="128"/>
      <c r="E101" s="128"/>
      <c r="F101" s="128"/>
      <c r="G101" s="128"/>
      <c r="H101" s="128"/>
      <c r="I101" s="128"/>
      <c r="J101" s="128"/>
      <c r="K101" s="128"/>
      <c r="L101" s="177"/>
    </row>
    <row r="102" spans="1:14" x14ac:dyDescent="0.25">
      <c r="A102" s="91" t="s">
        <v>242</v>
      </c>
      <c r="B102" s="31">
        <v>1.6E-2</v>
      </c>
      <c r="C102" s="31">
        <v>1.6E-2</v>
      </c>
      <c r="D102" s="31">
        <v>1.6E-2</v>
      </c>
      <c r="E102" s="31">
        <v>1.6E-2</v>
      </c>
      <c r="F102" s="31">
        <v>1.6E-2</v>
      </c>
      <c r="G102" s="31">
        <v>1.6E-2</v>
      </c>
      <c r="H102" s="31">
        <v>1.6E-2</v>
      </c>
      <c r="I102" s="31">
        <v>1.6E-2</v>
      </c>
      <c r="J102" s="31">
        <v>1.6E-2</v>
      </c>
      <c r="K102" s="31">
        <v>1.6E-2</v>
      </c>
      <c r="L102" s="31">
        <v>1.6E-2</v>
      </c>
    </row>
    <row r="103" spans="1:14" x14ac:dyDescent="0.25">
      <c r="A103" s="91" t="s">
        <v>243</v>
      </c>
      <c r="B103" s="31">
        <v>6.0000000000000001E-3</v>
      </c>
      <c r="C103" s="31">
        <v>6.0000000000000001E-3</v>
      </c>
      <c r="D103" s="31">
        <v>6.0000000000000001E-3</v>
      </c>
      <c r="E103" s="31">
        <v>6.0000000000000001E-3</v>
      </c>
      <c r="F103" s="31">
        <v>6.0000000000000001E-3</v>
      </c>
      <c r="G103" s="31">
        <v>6.0000000000000001E-3</v>
      </c>
      <c r="H103" s="31">
        <v>6.0000000000000001E-3</v>
      </c>
      <c r="I103" s="31">
        <v>6.0000000000000001E-3</v>
      </c>
      <c r="J103" s="31">
        <v>6.0000000000000001E-3</v>
      </c>
      <c r="K103" s="31">
        <v>6.0000000000000001E-3</v>
      </c>
      <c r="L103" s="31">
        <v>6.0000000000000001E-3</v>
      </c>
    </row>
    <row r="104" spans="1:14" x14ac:dyDescent="0.25">
      <c r="A104" s="3" t="s">
        <v>244</v>
      </c>
      <c r="B104" s="4">
        <f t="shared" ref="B104:L104" si="13">B102-B103</f>
        <v>0.01</v>
      </c>
      <c r="C104" s="4">
        <f t="shared" si="13"/>
        <v>0.01</v>
      </c>
      <c r="D104" s="4">
        <f t="shared" si="13"/>
        <v>0.01</v>
      </c>
      <c r="E104" s="4">
        <f t="shared" si="13"/>
        <v>0.01</v>
      </c>
      <c r="F104" s="4">
        <f t="shared" si="13"/>
        <v>0.01</v>
      </c>
      <c r="G104" s="4">
        <f t="shared" si="13"/>
        <v>0.01</v>
      </c>
      <c r="H104" s="4">
        <f t="shared" si="13"/>
        <v>0.01</v>
      </c>
      <c r="I104" s="4">
        <f t="shared" ref="I104" si="14">I102-I103</f>
        <v>0.01</v>
      </c>
      <c r="J104" s="4">
        <f t="shared" si="13"/>
        <v>0.01</v>
      </c>
      <c r="K104" s="4">
        <f t="shared" si="13"/>
        <v>0.01</v>
      </c>
      <c r="L104" s="77">
        <f t="shared" si="13"/>
        <v>0.01</v>
      </c>
    </row>
    <row r="105" spans="1:14" x14ac:dyDescent="0.25">
      <c r="A105" s="91" t="s">
        <v>245</v>
      </c>
      <c r="B105" s="32">
        <v>0.1</v>
      </c>
      <c r="C105" s="32">
        <v>0.1</v>
      </c>
      <c r="D105" s="32">
        <v>0.1</v>
      </c>
      <c r="E105" s="32">
        <v>0.1</v>
      </c>
      <c r="F105" s="32">
        <v>0.1</v>
      </c>
      <c r="G105" s="32">
        <v>0.1</v>
      </c>
      <c r="H105" s="32">
        <v>0.1</v>
      </c>
      <c r="I105" s="32">
        <v>0.1</v>
      </c>
      <c r="J105" s="32">
        <v>0.1</v>
      </c>
      <c r="K105" s="32">
        <v>0.1</v>
      </c>
      <c r="L105" s="113">
        <v>0.1</v>
      </c>
    </row>
    <row r="106" spans="1:14" x14ac:dyDescent="0.25">
      <c r="A106" s="3"/>
      <c r="L106" s="13"/>
    </row>
    <row r="107" spans="1:14" x14ac:dyDescent="0.25">
      <c r="A107" s="128" t="s">
        <v>246</v>
      </c>
      <c r="B107" s="128"/>
      <c r="C107" s="128"/>
      <c r="D107" s="128"/>
      <c r="E107" s="128"/>
      <c r="F107" s="128"/>
      <c r="G107" s="128"/>
      <c r="H107" s="128"/>
      <c r="I107" s="128"/>
      <c r="J107" s="128"/>
      <c r="K107" s="128"/>
      <c r="L107" s="192"/>
      <c r="N107" s="93"/>
    </row>
    <row r="108" spans="1:14" x14ac:dyDescent="0.25">
      <c r="A108" s="91" t="s">
        <v>246</v>
      </c>
      <c r="B108" s="36">
        <v>0.5</v>
      </c>
      <c r="C108" s="36">
        <v>0.5</v>
      </c>
      <c r="D108" s="36">
        <v>0.5</v>
      </c>
      <c r="E108" s="36">
        <v>0.5</v>
      </c>
      <c r="F108" s="36">
        <v>0.5</v>
      </c>
      <c r="G108" s="36">
        <v>0.5</v>
      </c>
      <c r="H108" s="36">
        <v>0.5</v>
      </c>
      <c r="I108" s="36">
        <v>0.5</v>
      </c>
      <c r="J108" s="36">
        <v>0.5</v>
      </c>
      <c r="K108" s="36">
        <v>0.5</v>
      </c>
      <c r="L108" s="36">
        <v>0.5</v>
      </c>
      <c r="N108" s="93" t="s">
        <v>247</v>
      </c>
    </row>
    <row r="109" spans="1:14" x14ac:dyDescent="0.25">
      <c r="L109" s="13"/>
      <c r="N109" s="93"/>
    </row>
    <row r="110" spans="1:14" x14ac:dyDescent="0.25">
      <c r="A110" s="128" t="s">
        <v>43</v>
      </c>
      <c r="B110" s="128"/>
      <c r="C110" s="128"/>
      <c r="D110" s="128"/>
      <c r="E110" s="128"/>
      <c r="F110" s="128"/>
      <c r="G110" s="128"/>
      <c r="H110" s="128"/>
      <c r="I110" s="128"/>
      <c r="J110" s="128"/>
      <c r="K110" s="128"/>
      <c r="L110" s="177"/>
      <c r="N110" s="93"/>
    </row>
    <row r="111" spans="1:14" x14ac:dyDescent="0.25">
      <c r="A111" s="91" t="s">
        <v>248</v>
      </c>
      <c r="B111" s="290">
        <v>13</v>
      </c>
      <c r="C111" s="290">
        <v>13</v>
      </c>
      <c r="D111" s="290">
        <v>13</v>
      </c>
      <c r="E111" s="290">
        <v>13</v>
      </c>
      <c r="F111" s="290">
        <v>13</v>
      </c>
      <c r="G111" s="290">
        <v>13</v>
      </c>
      <c r="H111" s="290">
        <v>13</v>
      </c>
      <c r="I111" s="290">
        <v>13</v>
      </c>
      <c r="J111" s="290">
        <v>13</v>
      </c>
      <c r="K111" s="290">
        <v>13</v>
      </c>
      <c r="L111" s="290">
        <v>13</v>
      </c>
      <c r="N111" s="93" t="s">
        <v>249</v>
      </c>
    </row>
    <row r="112" spans="1:14" x14ac:dyDescent="0.25">
      <c r="A112" s="91" t="s">
        <v>250</v>
      </c>
      <c r="B112" s="290">
        <v>48</v>
      </c>
      <c r="C112" s="290">
        <v>48</v>
      </c>
      <c r="D112" s="290">
        <v>48</v>
      </c>
      <c r="E112" s="290">
        <v>48</v>
      </c>
      <c r="F112" s="290">
        <v>48</v>
      </c>
      <c r="G112" s="290">
        <v>48</v>
      </c>
      <c r="H112" s="290">
        <v>48</v>
      </c>
      <c r="I112" s="290">
        <v>48</v>
      </c>
      <c r="J112" s="290">
        <v>48</v>
      </c>
      <c r="K112" s="290">
        <v>48</v>
      </c>
      <c r="L112" s="290">
        <v>48</v>
      </c>
      <c r="N112" s="93"/>
    </row>
    <row r="113" spans="1:14" x14ac:dyDescent="0.25">
      <c r="A113" s="91" t="s">
        <v>251</v>
      </c>
      <c r="B113" s="113">
        <f>(SUM(Production!B37:B38)*SUM('Parameters, country spec'!B111:B112)*365+Production!B39/2*SUM('Parameters, country spec'!B111:B112)*365)/1000</f>
        <v>0.22208077229403289</v>
      </c>
      <c r="C113" s="113">
        <f>(SUM(Production!C37:C38)*SUM('Parameters, country spec'!C111:C112)*365+Production!C39/2*SUM('Parameters, country spec'!C111:C112)*365)/1000</f>
        <v>0.22371007103600249</v>
      </c>
      <c r="D113" s="113">
        <f>(SUM(Production!D37:D38)*SUM('Parameters, country spec'!D111:D112)*365+Production!D39/2*SUM('Parameters, country spec'!D111:D112)*365)/1000</f>
        <v>0.22137542721130921</v>
      </c>
      <c r="E113" s="113">
        <f>(SUM(Production!E37:E38)*SUM('Parameters, country spec'!E111:E112)*365+Production!E39/2*SUM('Parameters, country spec'!E111:E112)*365)/1000</f>
        <v>0.22214014826175682</v>
      </c>
      <c r="F113" s="113">
        <f>(SUM(Production!F37:F38)*SUM('Parameters, country spec'!F111:F112)*365+Production!F39/2*SUM('Parameters, country spec'!F111:F112)*365)/1000</f>
        <v>0.22147272423325393</v>
      </c>
      <c r="G113" s="113">
        <f>(SUM(Production!G37:G38)*SUM('Parameters, country spec'!G111:G112)*365+Production!G39/2*SUM('Parameters, country spec'!G111:G112)*365)/1000</f>
        <v>0.22101032200763021</v>
      </c>
      <c r="H113" s="113">
        <f>(SUM(Production!H37:H38)*SUM('Parameters, country spec'!H111:H112)*365+Production!H39/2*SUM('Parameters, country spec'!H111:H112)*365)/1000</f>
        <v>0.17494509969418115</v>
      </c>
      <c r="I113" s="113">
        <f>(SUM(Production!I37:I38)*SUM('Parameters, country spec'!I111:I112)*365+Production!I39/2*SUM('Parameters, country spec'!I111:I112)*365)/1000</f>
        <v>0.21944766429234719</v>
      </c>
      <c r="J113" s="113">
        <f>(SUM(Production!J37:J38)*SUM('Parameters, country spec'!J111:J112)*365+Production!J39/2*SUM('Parameters, country spec'!J111:J112)*365)/1000</f>
        <v>0.22214014826175685</v>
      </c>
      <c r="K113" s="113">
        <f>(SUM(Production!K37:K38)*SUM('Parameters, country spec'!K111:K112)*365+Production!K39/2*SUM('Parameters, country spec'!K111:K112)*365)/1000</f>
        <v>0.22712656862418851</v>
      </c>
      <c r="L113" s="113">
        <f>(SUM(Production!L37:L38)*SUM('Parameters, country spec'!L111:L112)*365+Production!L39/2*SUM('Parameters, country spec'!L111:L112)*365)/1000</f>
        <v>0.22050601881834744</v>
      </c>
      <c r="N113" s="93"/>
    </row>
    <row r="114" spans="1:14" x14ac:dyDescent="0.25">
      <c r="N114" s="93"/>
    </row>
    <row r="115" spans="1:14" x14ac:dyDescent="0.25">
      <c r="A115" s="128" t="s">
        <v>252</v>
      </c>
      <c r="B115" s="128"/>
      <c r="C115" s="128"/>
      <c r="D115" s="128"/>
      <c r="E115" s="128"/>
      <c r="F115" s="128"/>
      <c r="G115" s="128"/>
      <c r="H115" s="128"/>
      <c r="I115" s="128"/>
      <c r="J115" s="128"/>
      <c r="K115" s="128"/>
      <c r="L115" s="177"/>
      <c r="N115" s="93"/>
    </row>
    <row r="116" spans="1:14" x14ac:dyDescent="0.25">
      <c r="A116" s="91" t="s">
        <v>253</v>
      </c>
      <c r="B116" s="225">
        <f>No_sows_DK*11.48+No_recruit_sows_DK*1.025+No_boars_DK*1.025+No_fattening_pigs_DK*1.025+No_piglets_DK*0.082</f>
        <v>47.433155117753074</v>
      </c>
      <c r="C116" s="225">
        <f>No_sows_FR*17.36+No_recruit_sows_FR*1.55+No_boars_FR*1.55+No_fattening_pigs_FR*1.55+No_piglets_FR*0.124</f>
        <v>66.195664859543413</v>
      </c>
      <c r="D116" s="225">
        <f>No_sows_DE*19.6+No_recruit_sows_DE*1.75+No_boars_DE*1.75+No_fattening_pigs_DE*1.75+No_piglets_DE*0.14</f>
        <v>74.911886034367228</v>
      </c>
      <c r="E116" s="225">
        <f>No_sows_GR*12.88+No_recruit_sows_GR*1.15+No_boars_GR*1.15+No_fattening_pigs_GR*1.15+No_piglets_GR*0.092</f>
        <v>48.614360893539711</v>
      </c>
      <c r="F116" s="225">
        <f>No_sows_HU*56.28+No_recruit_sows_HU*5.025+No_boars_HU*5.025+No_fattening_pigs_HU*5.025+No_piglets_HU*0.402</f>
        <v>220.36814194137582</v>
      </c>
      <c r="G116" s="225">
        <f>No_sows_IE*37.52+No_recruit_sows_IE*3.35+No_boars_IE*3.35+No_fattening_pigs_IE*3.35+No_piglets_IE*0.268</f>
        <v>141.39727909360326</v>
      </c>
      <c r="H116" s="225">
        <f>No_sows_IT*18.2+No_recruit_sows_IT*1.625+No_boars_IT*1.625+No_fattening_pigs_IT*1.625+No_piglets_IT*0.13</f>
        <v>61.257577223737059</v>
      </c>
      <c r="I116" s="225">
        <f>No_sows_NL*23.52+No_recruit_sows_NL*2.1+No_boars_NL*2.1+No_fattening_pigs_NL*2.1+No_piglets_NL*0.168</f>
        <v>94.285197523595087</v>
      </c>
      <c r="J116" s="225">
        <f>No_sows_PL*59.36+No_recruit_sows_PL*5.3+No_boars_PL*5.3+No_fattening_pigs_PL*5.3+No_piglets_PL*0.424</f>
        <v>224.04879368326999</v>
      </c>
      <c r="K116" s="225">
        <f>No_sows_ES*5.6+No_recruit_sows_ES*0.5+No_boars_ES*0.5+No_fattening_pigs_ES*0.5+No_piglets_ES*0.04</f>
        <v>19.725619893604723</v>
      </c>
      <c r="L116" s="225">
        <f>No_sows_SE*11.48+No_recruit_sows_SE*1.025+No_boars_SE*1.025+No_fattening_pigs_SE*1.025+No_piglets_SE*0.082</f>
        <v>41.580230459309043</v>
      </c>
      <c r="N116" s="93"/>
    </row>
    <row r="117" spans="1:14" x14ac:dyDescent="0.25">
      <c r="L117" s="174"/>
      <c r="N117" s="93"/>
    </row>
    <row r="118" spans="1:14" x14ac:dyDescent="0.25">
      <c r="L118" s="17"/>
      <c r="N118" s="93"/>
    </row>
    <row r="119" spans="1:14" x14ac:dyDescent="0.25">
      <c r="A119" t="s">
        <v>255</v>
      </c>
    </row>
  </sheetData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 tint="0.39997558519241921"/>
  </sheetPr>
  <dimension ref="A2:L23"/>
  <sheetViews>
    <sheetView zoomScale="80" zoomScaleNormal="80" workbookViewId="0">
      <selection activeCell="N34" sqref="N34"/>
    </sheetView>
  </sheetViews>
  <sheetFormatPr defaultColWidth="8.7109375" defaultRowHeight="15" x14ac:dyDescent="0.25"/>
  <cols>
    <col min="1" max="1" width="38.5703125" customWidth="1"/>
  </cols>
  <sheetData>
    <row r="2" spans="1:12" ht="21" x14ac:dyDescent="0.35">
      <c r="A2" s="2" t="s">
        <v>256</v>
      </c>
      <c r="B2" s="93" t="s">
        <v>257</v>
      </c>
    </row>
    <row r="4" spans="1:12" x14ac:dyDescent="0.25">
      <c r="B4" t="s">
        <v>83</v>
      </c>
      <c r="C4" t="s">
        <v>84</v>
      </c>
      <c r="D4" t="s">
        <v>85</v>
      </c>
      <c r="E4" t="s">
        <v>86</v>
      </c>
      <c r="F4" t="s">
        <v>87</v>
      </c>
      <c r="G4" t="s">
        <v>88</v>
      </c>
      <c r="H4" t="s">
        <v>89</v>
      </c>
      <c r="I4" t="s">
        <v>90</v>
      </c>
      <c r="J4" t="s">
        <v>91</v>
      </c>
      <c r="K4" t="s">
        <v>92</v>
      </c>
      <c r="L4" s="17" t="s">
        <v>93</v>
      </c>
    </row>
    <row r="5" spans="1:12" x14ac:dyDescent="0.25">
      <c r="B5" s="128" t="s">
        <v>35</v>
      </c>
      <c r="C5" s="128" t="s">
        <v>27</v>
      </c>
      <c r="D5" s="128" t="s">
        <v>30</v>
      </c>
      <c r="E5" s="128" t="s">
        <v>258</v>
      </c>
      <c r="F5" s="128" t="s">
        <v>34</v>
      </c>
      <c r="G5" s="128" t="s">
        <v>32</v>
      </c>
      <c r="H5" s="128" t="s">
        <v>31</v>
      </c>
      <c r="I5" s="128" t="s">
        <v>26</v>
      </c>
      <c r="J5" s="128" t="s">
        <v>259</v>
      </c>
      <c r="K5" s="128" t="s">
        <v>33</v>
      </c>
      <c r="L5" s="128" t="s">
        <v>37</v>
      </c>
    </row>
    <row r="6" spans="1:12" x14ac:dyDescent="0.25">
      <c r="A6" s="254" t="s">
        <v>260</v>
      </c>
      <c r="B6">
        <v>40.1</v>
      </c>
      <c r="C6">
        <v>35.299999999999997</v>
      </c>
      <c r="D6">
        <v>35.700000000000003</v>
      </c>
      <c r="E6" s="255">
        <f>AVERAGE(B6:D6,F6:I6,K6:L6)</f>
        <v>34.577777777777776</v>
      </c>
      <c r="F6">
        <v>34.799999999999997</v>
      </c>
      <c r="G6">
        <v>33.299999999999997</v>
      </c>
      <c r="H6">
        <v>29.4</v>
      </c>
      <c r="I6">
        <v>36.5</v>
      </c>
      <c r="J6" s="255">
        <f>AVERAGE(B6:D6,F6:I6,K6:L6)</f>
        <v>34.577777777777776</v>
      </c>
      <c r="K6">
        <v>32.6</v>
      </c>
      <c r="L6">
        <v>33.5</v>
      </c>
    </row>
    <row r="7" spans="1:12" x14ac:dyDescent="0.25">
      <c r="A7" s="254" t="s">
        <v>261</v>
      </c>
      <c r="B7">
        <v>34</v>
      </c>
      <c r="C7">
        <v>30.1</v>
      </c>
      <c r="D7">
        <v>30.2</v>
      </c>
      <c r="E7" s="255">
        <f>AVERAGE(B7:D7,F7:L7)</f>
        <v>29.866666666666656</v>
      </c>
      <c r="F7">
        <v>30.9</v>
      </c>
      <c r="G7">
        <v>29.6</v>
      </c>
      <c r="H7">
        <v>26.1</v>
      </c>
      <c r="I7">
        <v>32.1</v>
      </c>
      <c r="J7" s="255">
        <f>AVERAGE(B7:D7,F7:I7,K7:L7)</f>
        <v>29.86666666666666</v>
      </c>
      <c r="K7">
        <v>27.9</v>
      </c>
      <c r="L7">
        <v>27.9</v>
      </c>
    </row>
    <row r="8" spans="1:12" x14ac:dyDescent="0.25">
      <c r="A8" s="254" t="s">
        <v>262</v>
      </c>
      <c r="B8" s="252">
        <f>(B6-B7)/B6*100</f>
        <v>15.211970074812969</v>
      </c>
      <c r="C8" s="252">
        <f t="shared" ref="C8:K8" si="0">(C6-C7)/C6*100</f>
        <v>14.730878186968827</v>
      </c>
      <c r="D8" s="252">
        <f t="shared" si="0"/>
        <v>15.406162464986004</v>
      </c>
      <c r="E8" s="252">
        <f t="shared" si="0"/>
        <v>13.624678663239099</v>
      </c>
      <c r="F8" s="252">
        <f t="shared" si="0"/>
        <v>11.206896551724135</v>
      </c>
      <c r="G8" s="252">
        <f t="shared" si="0"/>
        <v>11.1111111111111</v>
      </c>
      <c r="H8" s="252">
        <f t="shared" si="0"/>
        <v>11.224489795918357</v>
      </c>
      <c r="I8" s="252">
        <f t="shared" si="0"/>
        <v>12.054794520547942</v>
      </c>
      <c r="J8" s="252">
        <f t="shared" si="0"/>
        <v>13.62467866323909</v>
      </c>
      <c r="K8" s="252">
        <f t="shared" si="0"/>
        <v>14.417177914110438</v>
      </c>
      <c r="L8" s="252">
        <f>(L6-L7)/L6*100</f>
        <v>16.716417910447763</v>
      </c>
    </row>
    <row r="9" spans="1:12" x14ac:dyDescent="0.25">
      <c r="A9" s="254" t="s">
        <v>263</v>
      </c>
      <c r="B9">
        <v>32.700000000000003</v>
      </c>
      <c r="C9">
        <v>29.3</v>
      </c>
      <c r="D9">
        <v>29.4</v>
      </c>
      <c r="E9" s="255">
        <f>AVERAGE(B9:D9,F9:L9)</f>
        <v>28.911111111111108</v>
      </c>
      <c r="F9">
        <v>30.3</v>
      </c>
      <c r="G9">
        <v>28.8</v>
      </c>
      <c r="H9">
        <v>24.7</v>
      </c>
      <c r="I9">
        <v>31.3</v>
      </c>
      <c r="J9" s="255">
        <f>AVERAGE(B9:D9,F9:I9,K9:L9)</f>
        <v>28.911111111111111</v>
      </c>
      <c r="K9">
        <v>26.4</v>
      </c>
      <c r="L9">
        <v>27.3</v>
      </c>
    </row>
    <row r="10" spans="1:12" x14ac:dyDescent="0.25">
      <c r="A10" s="254" t="s">
        <v>264</v>
      </c>
      <c r="B10" s="253">
        <f>(B7-B9)/B7*100</f>
        <v>3.8235294117646976</v>
      </c>
      <c r="C10" s="253">
        <f t="shared" ref="C10:K10" si="1">(C7-C9)/C7*100</f>
        <v>2.657807308970102</v>
      </c>
      <c r="D10" s="253">
        <f t="shared" si="1"/>
        <v>2.6490066225165587</v>
      </c>
      <c r="E10" s="253">
        <f t="shared" si="1"/>
        <v>3.1994047619047397</v>
      </c>
      <c r="F10" s="253">
        <f t="shared" si="1"/>
        <v>1.9417475728155271</v>
      </c>
      <c r="G10" s="253">
        <f t="shared" si="1"/>
        <v>2.7027027027027049</v>
      </c>
      <c r="H10" s="253">
        <f t="shared" si="1"/>
        <v>5.3639846743295099</v>
      </c>
      <c r="I10" s="253">
        <f t="shared" si="1"/>
        <v>2.4922118380062326</v>
      </c>
      <c r="J10" s="253">
        <f t="shared" si="1"/>
        <v>3.1994047619047397</v>
      </c>
      <c r="K10" s="253">
        <f t="shared" si="1"/>
        <v>5.376344086021505</v>
      </c>
      <c r="L10" s="253">
        <f>(L7-L9)/L7*100</f>
        <v>2.1505376344085949</v>
      </c>
    </row>
    <row r="11" spans="1:12" x14ac:dyDescent="0.25">
      <c r="A11" s="254" t="s">
        <v>265</v>
      </c>
      <c r="B11">
        <v>31.5</v>
      </c>
      <c r="C11">
        <v>28.2</v>
      </c>
      <c r="D11">
        <v>28.6</v>
      </c>
      <c r="E11" s="255">
        <f>AVERAGE(B11:D11,F11:L11)</f>
        <v>28.055555555555554</v>
      </c>
      <c r="F11">
        <v>29.4</v>
      </c>
      <c r="G11">
        <v>28.1</v>
      </c>
      <c r="H11">
        <v>24.1</v>
      </c>
      <c r="I11">
        <v>30.6</v>
      </c>
      <c r="J11" s="255">
        <f>AVERAGE(B11:D11,F11:I11,K11:L11)</f>
        <v>28.055555555555557</v>
      </c>
      <c r="K11">
        <v>25.2</v>
      </c>
      <c r="L11">
        <v>26.8</v>
      </c>
    </row>
    <row r="12" spans="1:12" ht="15.6" customHeight="1" x14ac:dyDescent="0.25">
      <c r="A12" s="254" t="s">
        <v>266</v>
      </c>
      <c r="B12" s="229">
        <f>(B9-B11)/B9*100</f>
        <v>3.6697247706422105</v>
      </c>
      <c r="C12" s="229">
        <f t="shared" ref="C12:K12" si="2">(C9-C11)/C9*100</f>
        <v>3.7542662116040999</v>
      </c>
      <c r="D12" s="229">
        <f t="shared" si="2"/>
        <v>2.7210884353741402</v>
      </c>
      <c r="E12" s="229">
        <f t="shared" si="2"/>
        <v>2.9592621060722482</v>
      </c>
      <c r="F12" s="229">
        <f t="shared" si="2"/>
        <v>2.9702970297029769</v>
      </c>
      <c r="G12" s="229">
        <f t="shared" si="2"/>
        <v>2.4305555555555531</v>
      </c>
      <c r="H12" s="229">
        <f t="shared" si="2"/>
        <v>2.4291497975708416</v>
      </c>
      <c r="I12" s="229">
        <f t="shared" si="2"/>
        <v>2.2364217252396146</v>
      </c>
      <c r="J12" s="229">
        <f t="shared" si="2"/>
        <v>2.9592621060722477</v>
      </c>
      <c r="K12" s="229">
        <f t="shared" si="2"/>
        <v>4.5454545454545432</v>
      </c>
      <c r="L12" s="229">
        <f>(L9-L11)/L9*100</f>
        <v>1.8315018315018317</v>
      </c>
    </row>
    <row r="14" spans="1:12" x14ac:dyDescent="0.25">
      <c r="A14" s="121" t="s">
        <v>267</v>
      </c>
    </row>
    <row r="16" spans="1:12" ht="21" x14ac:dyDescent="0.35">
      <c r="A16" s="2" t="s">
        <v>268</v>
      </c>
      <c r="B16" s="93" t="s">
        <v>269</v>
      </c>
    </row>
    <row r="18" spans="1:12" x14ac:dyDescent="0.25">
      <c r="B18" t="s">
        <v>83</v>
      </c>
      <c r="C18" t="s">
        <v>84</v>
      </c>
      <c r="D18" t="s">
        <v>85</v>
      </c>
      <c r="E18" t="s">
        <v>86</v>
      </c>
      <c r="F18" t="s">
        <v>87</v>
      </c>
      <c r="G18" t="s">
        <v>88</v>
      </c>
      <c r="H18" t="s">
        <v>89</v>
      </c>
      <c r="I18" t="s">
        <v>90</v>
      </c>
      <c r="J18" t="s">
        <v>91</v>
      </c>
      <c r="K18" t="s">
        <v>92</v>
      </c>
      <c r="L18" s="17" t="s">
        <v>93</v>
      </c>
    </row>
    <row r="19" spans="1:12" x14ac:dyDescent="0.25">
      <c r="B19" s="128" t="s">
        <v>35</v>
      </c>
      <c r="C19" s="128" t="s">
        <v>27</v>
      </c>
      <c r="D19" s="128" t="s">
        <v>30</v>
      </c>
      <c r="E19" s="128" t="s">
        <v>258</v>
      </c>
      <c r="F19" s="128" t="s">
        <v>270</v>
      </c>
      <c r="G19" s="128" t="s">
        <v>32</v>
      </c>
      <c r="H19" s="128" t="s">
        <v>31</v>
      </c>
      <c r="I19" s="128" t="s">
        <v>26</v>
      </c>
      <c r="J19" s="128" t="s">
        <v>259</v>
      </c>
      <c r="K19" s="128" t="s">
        <v>271</v>
      </c>
      <c r="L19" s="128" t="s">
        <v>37</v>
      </c>
    </row>
    <row r="20" spans="1:12" x14ac:dyDescent="0.25">
      <c r="A20" t="s">
        <v>272</v>
      </c>
      <c r="B20">
        <v>34</v>
      </c>
      <c r="C20">
        <v>35</v>
      </c>
      <c r="D20">
        <v>36</v>
      </c>
      <c r="E20">
        <v>35.5</v>
      </c>
      <c r="F20">
        <v>35.5</v>
      </c>
      <c r="G20">
        <v>36</v>
      </c>
      <c r="H20">
        <v>47</v>
      </c>
      <c r="I20">
        <v>35</v>
      </c>
      <c r="J20">
        <v>35.5</v>
      </c>
      <c r="K20">
        <v>35.5</v>
      </c>
      <c r="L20">
        <v>35</v>
      </c>
    </row>
    <row r="21" spans="1:12" x14ac:dyDescent="0.25">
      <c r="A21" t="s">
        <v>273</v>
      </c>
      <c r="B21" s="11">
        <f>B20/$L$20</f>
        <v>0.97142857142857142</v>
      </c>
      <c r="C21" s="11">
        <f t="shared" ref="C21:L21" si="3">C20/$L$20</f>
        <v>1</v>
      </c>
      <c r="D21" s="11">
        <f t="shared" si="3"/>
        <v>1.0285714285714285</v>
      </c>
      <c r="E21" s="11">
        <f t="shared" si="3"/>
        <v>1.0142857142857142</v>
      </c>
      <c r="F21" s="11">
        <f t="shared" si="3"/>
        <v>1.0142857142857142</v>
      </c>
      <c r="G21" s="11">
        <f t="shared" si="3"/>
        <v>1.0285714285714285</v>
      </c>
      <c r="H21" s="11">
        <f t="shared" si="3"/>
        <v>1.3428571428571427</v>
      </c>
      <c r="I21" s="11">
        <f t="shared" si="3"/>
        <v>1</v>
      </c>
      <c r="J21" s="11">
        <f t="shared" si="3"/>
        <v>1.0142857142857142</v>
      </c>
      <c r="K21" s="11">
        <f t="shared" si="3"/>
        <v>1.0142857142857142</v>
      </c>
      <c r="L21" s="11">
        <f t="shared" si="3"/>
        <v>1</v>
      </c>
    </row>
    <row r="23" spans="1:12" x14ac:dyDescent="0.25">
      <c r="A23" s="121" t="s">
        <v>274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BH145"/>
  <sheetViews>
    <sheetView topLeftCell="A116" zoomScale="65" zoomScaleNormal="80" workbookViewId="0">
      <selection activeCell="G132" sqref="G132"/>
    </sheetView>
  </sheetViews>
  <sheetFormatPr defaultColWidth="8.7109375" defaultRowHeight="15" x14ac:dyDescent="0.25"/>
  <cols>
    <col min="1" max="1" width="65.42578125" customWidth="1"/>
    <col min="2" max="44" width="8.5703125" customWidth="1"/>
    <col min="45" max="45" width="10.42578125" customWidth="1"/>
    <col min="46" max="48" width="8.5703125" customWidth="1"/>
  </cols>
  <sheetData>
    <row r="2" spans="1:60" ht="18.75" x14ac:dyDescent="0.3">
      <c r="A2" s="1" t="s">
        <v>275</v>
      </c>
      <c r="B2" s="172"/>
      <c r="C2" s="172"/>
      <c r="D2" s="172"/>
      <c r="E2" s="7"/>
    </row>
    <row r="3" spans="1:60" x14ac:dyDescent="0.25">
      <c r="B3" t="s">
        <v>83</v>
      </c>
      <c r="F3" t="s">
        <v>84</v>
      </c>
      <c r="J3" t="s">
        <v>85</v>
      </c>
      <c r="N3" t="s">
        <v>86</v>
      </c>
      <c r="R3" t="s">
        <v>87</v>
      </c>
      <c r="V3" t="s">
        <v>88</v>
      </c>
      <c r="Z3" t="s">
        <v>89</v>
      </c>
      <c r="AD3" t="s">
        <v>90</v>
      </c>
      <c r="AH3" t="s">
        <v>91</v>
      </c>
      <c r="AL3" t="s">
        <v>92</v>
      </c>
      <c r="AP3" s="17" t="s">
        <v>93</v>
      </c>
    </row>
    <row r="4" spans="1:60" x14ac:dyDescent="0.25">
      <c r="A4" s="301"/>
      <c r="B4" s="302" t="s">
        <v>35</v>
      </c>
      <c r="C4" s="303"/>
      <c r="D4" s="303"/>
      <c r="E4" s="304"/>
      <c r="F4" s="302" t="s">
        <v>27</v>
      </c>
      <c r="G4" s="303"/>
      <c r="H4" s="303"/>
      <c r="I4" s="304"/>
      <c r="J4" s="303" t="s">
        <v>30</v>
      </c>
      <c r="K4" s="303"/>
      <c r="L4" s="303"/>
      <c r="M4" s="303"/>
      <c r="N4" s="303" t="s">
        <v>25</v>
      </c>
      <c r="O4" s="303"/>
      <c r="P4" s="303"/>
      <c r="Q4" s="303"/>
      <c r="R4" s="303" t="s">
        <v>34</v>
      </c>
      <c r="S4" s="303"/>
      <c r="T4" s="303"/>
      <c r="U4" s="303"/>
      <c r="V4" s="303" t="s">
        <v>32</v>
      </c>
      <c r="W4" s="303"/>
      <c r="X4" s="303"/>
      <c r="Y4" s="303"/>
      <c r="Z4" s="303" t="s">
        <v>31</v>
      </c>
      <c r="AA4" s="303"/>
      <c r="AB4" s="303"/>
      <c r="AC4" s="303"/>
      <c r="AD4" s="303" t="s">
        <v>26</v>
      </c>
      <c r="AE4" s="303"/>
      <c r="AF4" s="303"/>
      <c r="AG4" s="303"/>
      <c r="AH4" s="303" t="s">
        <v>29</v>
      </c>
      <c r="AI4" s="303"/>
      <c r="AJ4" s="303"/>
      <c r="AK4" s="303"/>
      <c r="AL4" s="303" t="s">
        <v>33</v>
      </c>
      <c r="AM4" s="303"/>
      <c r="AN4" s="303"/>
      <c r="AO4" s="303"/>
      <c r="AP4" s="302" t="s">
        <v>37</v>
      </c>
      <c r="AQ4" s="303"/>
      <c r="AR4" s="303"/>
      <c r="AS4" s="304"/>
      <c r="AU4" s="93" t="s">
        <v>276</v>
      </c>
      <c r="AW4" t="s">
        <v>36</v>
      </c>
      <c r="AX4" t="s">
        <v>27</v>
      </c>
      <c r="AY4" t="s">
        <v>30</v>
      </c>
      <c r="AZ4" t="s">
        <v>25</v>
      </c>
      <c r="BA4" t="s">
        <v>28</v>
      </c>
      <c r="BB4" t="s">
        <v>32</v>
      </c>
      <c r="BC4" t="s">
        <v>31</v>
      </c>
      <c r="BD4" t="s">
        <v>26</v>
      </c>
      <c r="BE4" t="s">
        <v>29</v>
      </c>
      <c r="BF4" t="s">
        <v>33</v>
      </c>
      <c r="BG4" t="s">
        <v>37</v>
      </c>
    </row>
    <row r="5" spans="1:60" x14ac:dyDescent="0.25">
      <c r="A5" s="237"/>
      <c r="B5" s="178" t="s">
        <v>138</v>
      </c>
      <c r="C5" s="263" t="s">
        <v>142</v>
      </c>
      <c r="D5" s="263" t="s">
        <v>143</v>
      </c>
      <c r="E5" s="194" t="s">
        <v>145</v>
      </c>
      <c r="F5" s="178" t="s">
        <v>138</v>
      </c>
      <c r="G5" s="263" t="s">
        <v>142</v>
      </c>
      <c r="H5" s="263" t="s">
        <v>143</v>
      </c>
      <c r="I5" s="194" t="s">
        <v>145</v>
      </c>
      <c r="J5" s="178" t="s">
        <v>138</v>
      </c>
      <c r="K5" s="263" t="s">
        <v>142</v>
      </c>
      <c r="L5" s="263" t="s">
        <v>143</v>
      </c>
      <c r="M5" s="194" t="s">
        <v>145</v>
      </c>
      <c r="N5" s="178" t="s">
        <v>138</v>
      </c>
      <c r="O5" s="263" t="s">
        <v>142</v>
      </c>
      <c r="P5" s="263" t="s">
        <v>143</v>
      </c>
      <c r="Q5" s="194" t="s">
        <v>145</v>
      </c>
      <c r="R5" s="178" t="s">
        <v>138</v>
      </c>
      <c r="S5" s="263" t="s">
        <v>142</v>
      </c>
      <c r="T5" s="263" t="s">
        <v>143</v>
      </c>
      <c r="U5" s="194" t="s">
        <v>145</v>
      </c>
      <c r="V5" s="178" t="s">
        <v>138</v>
      </c>
      <c r="W5" s="263" t="s">
        <v>142</v>
      </c>
      <c r="X5" s="263" t="s">
        <v>143</v>
      </c>
      <c r="Y5" s="194" t="s">
        <v>145</v>
      </c>
      <c r="Z5" s="178" t="s">
        <v>138</v>
      </c>
      <c r="AA5" s="263" t="s">
        <v>142</v>
      </c>
      <c r="AB5" s="263" t="s">
        <v>143</v>
      </c>
      <c r="AC5" s="194" t="s">
        <v>145</v>
      </c>
      <c r="AD5" s="178" t="s">
        <v>138</v>
      </c>
      <c r="AE5" s="263" t="s">
        <v>142</v>
      </c>
      <c r="AF5" s="263" t="s">
        <v>143</v>
      </c>
      <c r="AG5" s="194" t="s">
        <v>145</v>
      </c>
      <c r="AH5" s="178" t="s">
        <v>138</v>
      </c>
      <c r="AI5" s="263" t="s">
        <v>142</v>
      </c>
      <c r="AJ5" s="263" t="s">
        <v>143</v>
      </c>
      <c r="AK5" s="194" t="s">
        <v>145</v>
      </c>
      <c r="AL5" s="178" t="s">
        <v>138</v>
      </c>
      <c r="AM5" s="263" t="s">
        <v>142</v>
      </c>
      <c r="AN5" s="263" t="s">
        <v>143</v>
      </c>
      <c r="AO5" s="263" t="s">
        <v>145</v>
      </c>
      <c r="AP5" s="178" t="s">
        <v>138</v>
      </c>
      <c r="AQ5" s="263" t="s">
        <v>142</v>
      </c>
      <c r="AR5" s="263" t="s">
        <v>143</v>
      </c>
      <c r="AS5" s="194" t="s">
        <v>145</v>
      </c>
      <c r="AW5" t="s">
        <v>277</v>
      </c>
      <c r="AX5" s="180" t="s">
        <v>278</v>
      </c>
      <c r="AY5" s="180" t="s">
        <v>278</v>
      </c>
      <c r="AZ5" t="s">
        <v>279</v>
      </c>
      <c r="BA5" s="180" t="s">
        <v>278</v>
      </c>
      <c r="BB5" t="s">
        <v>280</v>
      </c>
      <c r="BC5" s="180" t="s">
        <v>278</v>
      </c>
      <c r="BD5" s="180" t="s">
        <v>278</v>
      </c>
      <c r="BE5" t="s">
        <v>281</v>
      </c>
      <c r="BF5" s="180" t="s">
        <v>282</v>
      </c>
      <c r="BG5" s="93" t="s">
        <v>283</v>
      </c>
      <c r="BH5" s="180" t="s">
        <v>284</v>
      </c>
    </row>
    <row r="6" spans="1:60" x14ac:dyDescent="0.25">
      <c r="A6" s="238" t="s">
        <v>285</v>
      </c>
      <c r="B6" s="264">
        <v>1.1075423634954037E-3</v>
      </c>
      <c r="C6" s="264">
        <v>1.1075423634954037E-3</v>
      </c>
      <c r="D6" s="264">
        <v>1.1075423634954037E-3</v>
      </c>
      <c r="E6" s="196">
        <v>1.1075423634954037E-3</v>
      </c>
      <c r="F6" s="264">
        <v>6.2283737024221401E-2</v>
      </c>
      <c r="G6" s="264">
        <v>6.228373702422145E-2</v>
      </c>
      <c r="H6" s="264">
        <v>6.228373702422145E-2</v>
      </c>
      <c r="I6" s="196">
        <v>6.228373702422145E-2</v>
      </c>
      <c r="J6" s="264">
        <v>3.5847020740918362E-2</v>
      </c>
      <c r="K6" s="264">
        <v>3.5847020740918362E-2</v>
      </c>
      <c r="L6" s="264">
        <v>3.5847020740918362E-2</v>
      </c>
      <c r="M6" s="196">
        <v>3.5847020740918362E-2</v>
      </c>
      <c r="N6" s="264">
        <v>0.1</v>
      </c>
      <c r="O6" s="264">
        <v>0.1</v>
      </c>
      <c r="P6" s="264">
        <v>0.1</v>
      </c>
      <c r="Q6" s="196">
        <v>0.1</v>
      </c>
      <c r="R6" s="264">
        <v>0.21731047304275974</v>
      </c>
      <c r="S6" s="264">
        <v>0.21731047304275974</v>
      </c>
      <c r="T6" s="264">
        <v>0.21731047304275974</v>
      </c>
      <c r="U6" s="196">
        <v>0.21731047304275974</v>
      </c>
      <c r="V6" s="264">
        <v>0</v>
      </c>
      <c r="W6" s="264">
        <v>0</v>
      </c>
      <c r="X6" s="264">
        <v>0</v>
      </c>
      <c r="Y6" s="196">
        <v>0</v>
      </c>
      <c r="Z6" s="264">
        <v>0</v>
      </c>
      <c r="AA6" s="264">
        <v>0</v>
      </c>
      <c r="AB6" s="264">
        <v>0</v>
      </c>
      <c r="AC6" s="196">
        <v>0</v>
      </c>
      <c r="AD6" s="264">
        <v>6.7632850241545889E-3</v>
      </c>
      <c r="AE6" s="264">
        <v>0.2</v>
      </c>
      <c r="AF6" s="264">
        <v>0</v>
      </c>
      <c r="AG6" s="196">
        <v>0.2</v>
      </c>
      <c r="AH6" s="264">
        <v>0.75700000000000001</v>
      </c>
      <c r="AI6" s="264">
        <v>0.75700000000000001</v>
      </c>
      <c r="AJ6" s="264">
        <v>0.75700000000000001</v>
      </c>
      <c r="AK6" s="196">
        <v>0.75700000000000001</v>
      </c>
      <c r="AL6" s="264">
        <v>4.0151592748130696E-2</v>
      </c>
      <c r="AM6" s="264">
        <v>4.0151592748130696E-2</v>
      </c>
      <c r="AN6" s="264">
        <v>4.0151592748130696E-2</v>
      </c>
      <c r="AO6" s="264">
        <v>4.0151592748130696E-2</v>
      </c>
      <c r="AP6" s="195">
        <v>0.2</v>
      </c>
      <c r="AQ6" s="264">
        <v>0.2</v>
      </c>
      <c r="AR6" s="264">
        <v>0</v>
      </c>
      <c r="AS6" s="196">
        <v>0.2</v>
      </c>
      <c r="AW6" t="s">
        <v>277</v>
      </c>
      <c r="AX6" s="180" t="s">
        <v>278</v>
      </c>
      <c r="AY6" s="180" t="s">
        <v>278</v>
      </c>
      <c r="AZ6" t="s">
        <v>279</v>
      </c>
      <c r="BA6" s="180" t="s">
        <v>278</v>
      </c>
      <c r="BB6" t="s">
        <v>280</v>
      </c>
      <c r="BC6" s="180" t="s">
        <v>278</v>
      </c>
      <c r="BD6" s="180" t="s">
        <v>278</v>
      </c>
      <c r="BF6" s="180" t="s">
        <v>282</v>
      </c>
      <c r="BH6" s="180" t="s">
        <v>284</v>
      </c>
    </row>
    <row r="7" spans="1:60" x14ac:dyDescent="0.25">
      <c r="A7" s="239" t="s">
        <v>286</v>
      </c>
      <c r="B7" s="264">
        <v>0.96345110200465167</v>
      </c>
      <c r="C7" s="264">
        <v>0.96345110200465167</v>
      </c>
      <c r="D7" s="264">
        <v>0.96345110200465167</v>
      </c>
      <c r="E7" s="196">
        <v>0.96345110200465167</v>
      </c>
      <c r="F7" s="264">
        <v>0.93771626297577848</v>
      </c>
      <c r="G7" s="264">
        <v>0.93771626297577848</v>
      </c>
      <c r="H7" s="264">
        <v>0.93771626297577848</v>
      </c>
      <c r="I7" s="196">
        <v>0.93771626297577848</v>
      </c>
      <c r="J7" s="264">
        <v>0.94880709747032732</v>
      </c>
      <c r="K7" s="264">
        <v>0.94880709747032732</v>
      </c>
      <c r="L7" s="264">
        <v>0.94880709747032732</v>
      </c>
      <c r="M7" s="196">
        <v>0.94880709747032732</v>
      </c>
      <c r="N7" s="264">
        <v>0.9</v>
      </c>
      <c r="O7" s="264">
        <v>0.9</v>
      </c>
      <c r="P7" s="264">
        <v>0.9</v>
      </c>
      <c r="Q7" s="196">
        <v>0.9</v>
      </c>
      <c r="R7" s="264">
        <v>0.69086965502995246</v>
      </c>
      <c r="S7" s="264">
        <v>0.69086965502995246</v>
      </c>
      <c r="T7" s="264">
        <v>0.69086965502995246</v>
      </c>
      <c r="U7" s="196">
        <v>0.69086965502995246</v>
      </c>
      <c r="V7" s="264">
        <v>1</v>
      </c>
      <c r="W7" s="264">
        <v>1</v>
      </c>
      <c r="X7" s="264">
        <v>1</v>
      </c>
      <c r="Y7" s="196">
        <v>1</v>
      </c>
      <c r="Z7" s="264">
        <v>1</v>
      </c>
      <c r="AA7" s="264">
        <v>1</v>
      </c>
      <c r="AB7" s="264">
        <v>1</v>
      </c>
      <c r="AC7" s="196">
        <v>1</v>
      </c>
      <c r="AD7" s="264">
        <v>0.51026570048309172</v>
      </c>
      <c r="AE7" s="264">
        <v>0.63</v>
      </c>
      <c r="AF7" s="264">
        <v>1</v>
      </c>
      <c r="AG7" s="196">
        <v>0.63</v>
      </c>
      <c r="AH7" s="264">
        <v>0.24299999999999999</v>
      </c>
      <c r="AI7" s="264">
        <v>0.24299999999999999</v>
      </c>
      <c r="AJ7" s="264">
        <v>0.24299999999999999</v>
      </c>
      <c r="AK7" s="196">
        <v>0.24299999999999999</v>
      </c>
      <c r="AL7" s="264">
        <v>0.2372221653180375</v>
      </c>
      <c r="AM7" s="264">
        <v>0.2372221653180375</v>
      </c>
      <c r="AN7" s="264">
        <v>0.2372221653180375</v>
      </c>
      <c r="AO7" s="264">
        <v>0.2372221653180375</v>
      </c>
      <c r="AP7" s="195">
        <v>0.63</v>
      </c>
      <c r="AQ7" s="264">
        <v>0.63</v>
      </c>
      <c r="AR7" s="264">
        <v>1</v>
      </c>
      <c r="AS7" s="196">
        <v>0.63</v>
      </c>
      <c r="AW7" t="s">
        <v>277</v>
      </c>
      <c r="AX7" s="180" t="s">
        <v>278</v>
      </c>
      <c r="AY7" s="180" t="s">
        <v>278</v>
      </c>
      <c r="AZ7" t="s">
        <v>279</v>
      </c>
      <c r="BA7" s="180" t="s">
        <v>278</v>
      </c>
      <c r="BB7" t="s">
        <v>280</v>
      </c>
      <c r="BC7" s="180" t="s">
        <v>278</v>
      </c>
      <c r="BD7" s="180" t="s">
        <v>278</v>
      </c>
      <c r="BF7" s="180" t="s">
        <v>282</v>
      </c>
      <c r="BH7" s="180" t="s">
        <v>284</v>
      </c>
    </row>
    <row r="8" spans="1:60" x14ac:dyDescent="0.25">
      <c r="A8" s="239" t="s">
        <v>287</v>
      </c>
      <c r="B8" s="264">
        <v>3.5441355631852918E-2</v>
      </c>
      <c r="C8" s="264">
        <v>3.5441355631852918E-2</v>
      </c>
      <c r="D8" s="264">
        <v>3.5441355631852918E-2</v>
      </c>
      <c r="E8" s="196">
        <v>3.5441355631852918E-2</v>
      </c>
      <c r="F8" s="264">
        <v>0</v>
      </c>
      <c r="G8" s="264">
        <v>0</v>
      </c>
      <c r="H8" s="264">
        <v>0</v>
      </c>
      <c r="I8" s="196">
        <v>0</v>
      </c>
      <c r="J8" s="264">
        <v>1.5345881788754347E-2</v>
      </c>
      <c r="K8" s="264">
        <v>1.5345881788754347E-2</v>
      </c>
      <c r="L8" s="264">
        <v>1.5345881788754347E-2</v>
      </c>
      <c r="M8" s="196">
        <v>1.5345881788754347E-2</v>
      </c>
      <c r="N8" s="264">
        <v>0</v>
      </c>
      <c r="O8" s="264">
        <v>0</v>
      </c>
      <c r="P8" s="264">
        <v>0</v>
      </c>
      <c r="Q8" s="196">
        <v>0</v>
      </c>
      <c r="R8" s="264">
        <v>9.1819871927287744E-2</v>
      </c>
      <c r="S8" s="264">
        <v>9.1819871927287744E-2</v>
      </c>
      <c r="T8" s="264">
        <v>9.1819871927287744E-2</v>
      </c>
      <c r="U8" s="196">
        <v>9.1819871927287744E-2</v>
      </c>
      <c r="V8" s="264">
        <v>0</v>
      </c>
      <c r="W8" s="264">
        <v>0</v>
      </c>
      <c r="X8" s="264">
        <v>0</v>
      </c>
      <c r="Y8" s="196">
        <v>0</v>
      </c>
      <c r="Z8" s="264">
        <v>0</v>
      </c>
      <c r="AA8" s="264">
        <v>0</v>
      </c>
      <c r="AB8" s="264">
        <v>0</v>
      </c>
      <c r="AC8" s="196">
        <v>0</v>
      </c>
      <c r="AD8" s="264">
        <v>0.48297101449275359</v>
      </c>
      <c r="AE8" s="264">
        <f>0.17</f>
        <v>0.17</v>
      </c>
      <c r="AF8" s="264">
        <v>0</v>
      </c>
      <c r="AG8" s="196">
        <f>0.17</f>
        <v>0.17</v>
      </c>
      <c r="AH8" s="264">
        <v>0</v>
      </c>
      <c r="AI8" s="264">
        <v>0</v>
      </c>
      <c r="AJ8" s="264">
        <v>0</v>
      </c>
      <c r="AK8" s="264">
        <v>0</v>
      </c>
      <c r="AL8" s="264">
        <v>0.72262624193383185</v>
      </c>
      <c r="AM8" s="264">
        <v>0.72262624193383185</v>
      </c>
      <c r="AN8" s="264">
        <v>0.72262624193383185</v>
      </c>
      <c r="AO8" s="264">
        <v>0.72262624193383185</v>
      </c>
      <c r="AP8" s="195">
        <f>0.17</f>
        <v>0.17</v>
      </c>
      <c r="AQ8" s="264">
        <f>0.17</f>
        <v>0.17</v>
      </c>
      <c r="AR8" s="264">
        <v>0</v>
      </c>
      <c r="AS8" s="196">
        <f>0.17</f>
        <v>0.17</v>
      </c>
      <c r="BH8" s="180" t="s">
        <v>284</v>
      </c>
    </row>
    <row r="9" spans="1:60" x14ac:dyDescent="0.25">
      <c r="A9" s="239"/>
      <c r="B9" s="195"/>
      <c r="C9" s="264"/>
      <c r="D9" s="264"/>
      <c r="E9" s="196"/>
      <c r="F9" s="195"/>
      <c r="G9" s="264"/>
      <c r="H9" s="264"/>
      <c r="I9" s="196"/>
      <c r="K9" s="264"/>
      <c r="L9" s="264"/>
      <c r="M9" s="196"/>
      <c r="N9" s="195"/>
      <c r="O9" s="264"/>
      <c r="P9" s="264"/>
      <c r="Q9" s="196"/>
      <c r="R9" s="195"/>
      <c r="S9" s="264"/>
      <c r="T9" s="264"/>
      <c r="U9" s="196"/>
      <c r="V9" s="195"/>
      <c r="W9" s="264"/>
      <c r="X9" s="264"/>
      <c r="Y9" s="196"/>
      <c r="Z9" s="195"/>
      <c r="AA9" s="264"/>
      <c r="AB9" s="264"/>
      <c r="AC9" s="196"/>
      <c r="AD9" s="195"/>
      <c r="AE9" s="264"/>
      <c r="AF9" s="264"/>
      <c r="AG9" s="196"/>
      <c r="AH9" s="195"/>
      <c r="AI9" s="264"/>
      <c r="AJ9" s="264"/>
      <c r="AK9" s="196"/>
      <c r="AL9" s="195"/>
      <c r="AM9" s="264"/>
      <c r="AN9" s="264"/>
      <c r="AO9" s="264"/>
      <c r="AP9" s="195"/>
      <c r="AQ9" s="264"/>
      <c r="AR9" s="264"/>
      <c r="AS9" s="196"/>
      <c r="BH9" s="180" t="s">
        <v>284</v>
      </c>
    </row>
    <row r="10" spans="1:60" x14ac:dyDescent="0.25">
      <c r="A10" s="240" t="s">
        <v>288</v>
      </c>
      <c r="B10" s="250"/>
      <c r="C10" s="153"/>
      <c r="D10" s="153"/>
      <c r="E10" s="153"/>
      <c r="F10" s="250"/>
      <c r="G10" s="153"/>
      <c r="H10" s="153"/>
      <c r="I10" s="153"/>
      <c r="J10" s="250"/>
      <c r="K10" s="153"/>
      <c r="L10" s="153"/>
      <c r="M10" s="153"/>
      <c r="N10" s="250"/>
      <c r="O10" s="153"/>
      <c r="P10" s="153"/>
      <c r="Q10" s="153"/>
      <c r="R10" s="250"/>
      <c r="S10" s="153"/>
      <c r="T10" s="153"/>
      <c r="U10" s="153"/>
      <c r="V10" s="250"/>
      <c r="W10" s="153"/>
      <c r="X10" s="153"/>
      <c r="Y10" s="153"/>
      <c r="Z10" s="250"/>
      <c r="AA10" s="153"/>
      <c r="AB10" s="153"/>
      <c r="AC10" s="153"/>
      <c r="AD10" s="250"/>
      <c r="AE10" s="153"/>
      <c r="AF10" s="153"/>
      <c r="AG10" s="153"/>
      <c r="AH10" s="250"/>
      <c r="AI10" s="153"/>
      <c r="AJ10" s="153"/>
      <c r="AK10" s="153"/>
      <c r="AL10" s="250"/>
      <c r="AM10" s="153"/>
      <c r="AN10" s="153"/>
      <c r="AO10" s="153"/>
      <c r="AP10" s="250"/>
      <c r="AQ10" s="153"/>
      <c r="AR10" s="153"/>
      <c r="AS10" s="265"/>
      <c r="BH10" s="180" t="s">
        <v>284</v>
      </c>
    </row>
    <row r="11" spans="1:60" x14ac:dyDescent="0.25">
      <c r="A11" s="241" t="s">
        <v>289</v>
      </c>
      <c r="B11" s="199"/>
      <c r="C11" s="266"/>
      <c r="D11" s="266"/>
      <c r="E11" s="200"/>
      <c r="F11" s="199"/>
      <c r="G11" s="266"/>
      <c r="H11" s="266"/>
      <c r="I11" s="200"/>
      <c r="J11" s="199"/>
      <c r="K11" s="266"/>
      <c r="L11" s="266"/>
      <c r="M11" s="200"/>
      <c r="N11" s="199"/>
      <c r="O11" s="266"/>
      <c r="P11" s="266"/>
      <c r="Q11" s="200"/>
      <c r="R11" s="199"/>
      <c r="S11" s="266"/>
      <c r="T11" s="266"/>
      <c r="U11" s="200"/>
      <c r="V11" s="199"/>
      <c r="W11" s="266"/>
      <c r="X11" s="266"/>
      <c r="Y11" s="200"/>
      <c r="Z11" s="199"/>
      <c r="AA11" s="266"/>
      <c r="AB11" s="266"/>
      <c r="AC11" s="200"/>
      <c r="AD11" s="199"/>
      <c r="AE11" s="266"/>
      <c r="AF11" s="266"/>
      <c r="AG11" s="200"/>
      <c r="AH11" s="199"/>
      <c r="AI11" s="266"/>
      <c r="AJ11" s="266"/>
      <c r="AK11" s="200"/>
      <c r="AL11" s="199"/>
      <c r="AM11" s="266"/>
      <c r="AN11" s="266"/>
      <c r="AO11" s="266"/>
      <c r="AP11" s="199"/>
      <c r="AQ11" s="266"/>
      <c r="AR11" s="266"/>
      <c r="AS11" s="200"/>
      <c r="BH11" s="180" t="s">
        <v>284</v>
      </c>
    </row>
    <row r="12" spans="1:60" x14ac:dyDescent="0.25">
      <c r="A12" s="242" t="s">
        <v>290</v>
      </c>
      <c r="B12" s="201">
        <v>0.02</v>
      </c>
      <c r="E12" s="198"/>
      <c r="F12" s="201">
        <v>3.9097222222222221E-2</v>
      </c>
      <c r="I12" s="198"/>
      <c r="J12" s="201">
        <v>0.03</v>
      </c>
      <c r="M12" s="198"/>
      <c r="N12" s="201">
        <v>0.04</v>
      </c>
      <c r="Q12" s="198"/>
      <c r="R12" s="201">
        <v>0.02</v>
      </c>
      <c r="U12" s="198"/>
      <c r="V12" s="201">
        <v>0.02</v>
      </c>
      <c r="Y12" s="198"/>
      <c r="Z12" s="201"/>
      <c r="AC12" s="198"/>
      <c r="AD12" s="201">
        <v>0.02</v>
      </c>
      <c r="AG12" s="198"/>
      <c r="AH12" s="201">
        <v>0.02</v>
      </c>
      <c r="AK12" s="198"/>
      <c r="AL12" s="201">
        <v>2.3608673469387758E-2</v>
      </c>
      <c r="AP12" s="201">
        <v>0.02</v>
      </c>
      <c r="AS12" s="198"/>
      <c r="AV12" s="180"/>
      <c r="AW12" s="180" t="s">
        <v>291</v>
      </c>
      <c r="AX12" s="180" t="s">
        <v>292</v>
      </c>
      <c r="AY12" s="180" t="s">
        <v>293</v>
      </c>
      <c r="AZ12" t="s">
        <v>294</v>
      </c>
      <c r="BA12" t="s">
        <v>295</v>
      </c>
      <c r="BB12" t="s">
        <v>296</v>
      </c>
      <c r="BC12" s="180" t="s">
        <v>297</v>
      </c>
      <c r="BD12" s="180" t="s">
        <v>298</v>
      </c>
      <c r="BE12" t="s">
        <v>299</v>
      </c>
      <c r="BF12" s="180" t="s">
        <v>300</v>
      </c>
      <c r="BG12" s="180" t="s">
        <v>301</v>
      </c>
      <c r="BH12" s="180" t="s">
        <v>284</v>
      </c>
    </row>
    <row r="13" spans="1:60" x14ac:dyDescent="0.25">
      <c r="A13" s="243" t="s">
        <v>302</v>
      </c>
      <c r="B13" s="201">
        <v>0.13975000000000001</v>
      </c>
      <c r="E13" s="198"/>
      <c r="F13" s="201">
        <v>0.37723606580179664</v>
      </c>
      <c r="I13" s="198"/>
      <c r="J13" s="201">
        <v>0.23080000000000001</v>
      </c>
      <c r="M13" s="198"/>
      <c r="N13" s="201">
        <v>0.55000000000000004</v>
      </c>
      <c r="Q13" s="198"/>
      <c r="R13" s="201">
        <v>0.13700000000000001</v>
      </c>
      <c r="U13" s="198"/>
      <c r="V13" s="201">
        <v>3.5000000000000003E-2</v>
      </c>
      <c r="Y13" s="198"/>
      <c r="Z13" s="201">
        <v>0.26220269877517099</v>
      </c>
      <c r="AC13" s="198"/>
      <c r="AD13" s="201">
        <v>0.36</v>
      </c>
      <c r="AG13" s="198"/>
      <c r="AH13" s="201">
        <v>0.1</v>
      </c>
      <c r="AK13" s="198"/>
      <c r="AL13" s="201">
        <v>0.19793531951640758</v>
      </c>
      <c r="AP13" s="201">
        <v>3.5000000000000003E-2</v>
      </c>
      <c r="AS13" s="198"/>
      <c r="AV13" s="180"/>
      <c r="AW13" s="180" t="s">
        <v>303</v>
      </c>
      <c r="AX13" s="180" t="s">
        <v>292</v>
      </c>
      <c r="AY13" s="180" t="s">
        <v>293</v>
      </c>
      <c r="AZ13" t="s">
        <v>294</v>
      </c>
      <c r="BA13" t="s">
        <v>304</v>
      </c>
      <c r="BB13" t="s">
        <v>305</v>
      </c>
      <c r="BC13" s="180" t="s">
        <v>297</v>
      </c>
      <c r="BD13" s="180" t="s">
        <v>298</v>
      </c>
      <c r="BE13" t="s">
        <v>306</v>
      </c>
      <c r="BF13" s="180" t="s">
        <v>300</v>
      </c>
      <c r="BG13" s="180" t="s">
        <v>301</v>
      </c>
      <c r="BH13" s="180" t="s">
        <v>307</v>
      </c>
    </row>
    <row r="14" spans="1:60" x14ac:dyDescent="0.25">
      <c r="A14" s="242" t="s">
        <v>308</v>
      </c>
      <c r="B14" s="201">
        <v>0.17960000000000001</v>
      </c>
      <c r="E14" s="198"/>
      <c r="F14" s="201"/>
      <c r="I14" s="198"/>
      <c r="J14" s="201">
        <v>0.25</v>
      </c>
      <c r="M14" s="198"/>
      <c r="N14" s="201">
        <v>0</v>
      </c>
      <c r="Q14" s="198"/>
      <c r="R14" s="201">
        <v>0.186</v>
      </c>
      <c r="U14" s="198"/>
      <c r="V14" s="201">
        <v>0.17</v>
      </c>
      <c r="Y14" s="198"/>
      <c r="Z14" s="201"/>
      <c r="AC14" s="198"/>
      <c r="AD14">
        <v>0.02</v>
      </c>
      <c r="AG14" s="198"/>
      <c r="AH14" s="201"/>
      <c r="AK14" s="198"/>
      <c r="AL14" s="201">
        <v>0.16810532955350815</v>
      </c>
      <c r="AP14" s="201">
        <v>0.17</v>
      </c>
      <c r="AS14" s="198"/>
      <c r="AV14" s="180"/>
      <c r="AW14" s="180" t="s">
        <v>309</v>
      </c>
      <c r="AX14" s="180" t="s">
        <v>292</v>
      </c>
      <c r="AY14" s="180" t="s">
        <v>293</v>
      </c>
      <c r="AZ14" t="s">
        <v>294</v>
      </c>
      <c r="BA14" t="s">
        <v>310</v>
      </c>
      <c r="BB14" t="s">
        <v>311</v>
      </c>
      <c r="BC14" s="180" t="s">
        <v>297</v>
      </c>
      <c r="BD14" s="180" t="s">
        <v>298</v>
      </c>
      <c r="BE14" t="s">
        <v>306</v>
      </c>
      <c r="BF14" s="180" t="s">
        <v>300</v>
      </c>
      <c r="BG14" s="180" t="s">
        <v>301</v>
      </c>
      <c r="BH14" s="180" t="s">
        <v>284</v>
      </c>
    </row>
    <row r="15" spans="1:60" x14ac:dyDescent="0.25">
      <c r="A15" s="242" t="s">
        <v>312</v>
      </c>
      <c r="B15" s="201">
        <v>0.13700000000000001</v>
      </c>
      <c r="E15" s="198"/>
      <c r="F15" s="201"/>
      <c r="I15" s="198"/>
      <c r="J15" s="201">
        <v>0.25</v>
      </c>
      <c r="M15" s="198"/>
      <c r="N15" s="201">
        <v>0</v>
      </c>
      <c r="Q15" s="198"/>
      <c r="R15" s="201">
        <v>0.186</v>
      </c>
      <c r="U15" s="198"/>
      <c r="V15" s="201">
        <v>0.17</v>
      </c>
      <c r="Y15" s="198"/>
      <c r="Z15" s="201"/>
      <c r="AC15" s="198"/>
      <c r="AD15">
        <v>0.02</v>
      </c>
      <c r="AG15" s="198"/>
      <c r="AH15" s="201"/>
      <c r="AK15" s="198"/>
      <c r="AL15" s="201">
        <v>0.16810532955350815</v>
      </c>
      <c r="AP15" s="201">
        <v>0.17</v>
      </c>
      <c r="AS15" s="198"/>
      <c r="AV15" s="180"/>
      <c r="AW15" s="180" t="s">
        <v>309</v>
      </c>
      <c r="AX15" s="180" t="s">
        <v>292</v>
      </c>
      <c r="AY15" s="180" t="s">
        <v>293</v>
      </c>
      <c r="AZ15" t="s">
        <v>294</v>
      </c>
      <c r="BA15" t="s">
        <v>313</v>
      </c>
      <c r="BB15" t="s">
        <v>314</v>
      </c>
      <c r="BC15" s="180" t="s">
        <v>297</v>
      </c>
      <c r="BD15" s="180" t="s">
        <v>298</v>
      </c>
      <c r="BE15" t="s">
        <v>306</v>
      </c>
      <c r="BF15" s="180" t="s">
        <v>300</v>
      </c>
      <c r="BG15" s="180" t="s">
        <v>301</v>
      </c>
      <c r="BH15" s="180" t="s">
        <v>284</v>
      </c>
    </row>
    <row r="16" spans="1:60" x14ac:dyDescent="0.25">
      <c r="A16" s="242" t="s">
        <v>315</v>
      </c>
      <c r="B16" s="201">
        <v>8.2299999999999998E-2</v>
      </c>
      <c r="E16" s="198"/>
      <c r="F16" s="201"/>
      <c r="I16" s="198"/>
      <c r="J16" s="201">
        <v>0.25</v>
      </c>
      <c r="M16" s="198"/>
      <c r="N16" s="201">
        <v>0</v>
      </c>
      <c r="Q16" s="198"/>
      <c r="R16" s="201">
        <v>0.186</v>
      </c>
      <c r="U16" s="198"/>
      <c r="V16" s="201">
        <v>0.17</v>
      </c>
      <c r="Y16" s="198"/>
      <c r="Z16" s="201"/>
      <c r="AC16" s="198"/>
      <c r="AD16">
        <v>0.02</v>
      </c>
      <c r="AG16" s="198"/>
      <c r="AH16" s="201"/>
      <c r="AK16" s="198"/>
      <c r="AL16" s="201">
        <v>0.16810532955350815</v>
      </c>
      <c r="AP16" s="201">
        <v>0.17</v>
      </c>
      <c r="AS16" s="198"/>
      <c r="AV16" s="180"/>
      <c r="AW16" s="180" t="s">
        <v>309</v>
      </c>
      <c r="AX16" s="180" t="s">
        <v>292</v>
      </c>
      <c r="AY16" s="180" t="s">
        <v>293</v>
      </c>
      <c r="AZ16" t="s">
        <v>294</v>
      </c>
      <c r="BA16" t="s">
        <v>316</v>
      </c>
      <c r="BB16" t="s">
        <v>317</v>
      </c>
      <c r="BC16" s="180" t="s">
        <v>297</v>
      </c>
      <c r="BD16" s="180" t="s">
        <v>298</v>
      </c>
      <c r="BE16" t="s">
        <v>306</v>
      </c>
      <c r="BF16" s="180" t="s">
        <v>300</v>
      </c>
      <c r="BG16" s="180" t="s">
        <v>301</v>
      </c>
      <c r="BH16" s="180" t="s">
        <v>284</v>
      </c>
    </row>
    <row r="17" spans="1:60" x14ac:dyDescent="0.25">
      <c r="A17" s="242" t="s">
        <v>318</v>
      </c>
      <c r="B17" s="202">
        <v>0.8</v>
      </c>
      <c r="E17" s="198"/>
      <c r="F17" s="202">
        <v>0.87</v>
      </c>
      <c r="I17" s="198"/>
      <c r="J17" s="202">
        <v>0.87</v>
      </c>
      <c r="M17" s="198"/>
      <c r="N17" s="202">
        <v>0.87</v>
      </c>
      <c r="Q17" s="198"/>
      <c r="R17" s="202">
        <v>0.87</v>
      </c>
      <c r="U17" s="198"/>
      <c r="V17" s="202">
        <v>0.87</v>
      </c>
      <c r="Y17" s="198"/>
      <c r="Z17" s="202">
        <v>0.87</v>
      </c>
      <c r="AC17" s="198"/>
      <c r="AD17" s="202">
        <v>0.87</v>
      </c>
      <c r="AG17" s="198"/>
      <c r="AH17" s="202">
        <v>0.87</v>
      </c>
      <c r="AK17" s="198"/>
      <c r="AL17" s="202">
        <v>0.87</v>
      </c>
      <c r="AP17" s="202">
        <v>0.87</v>
      </c>
      <c r="AS17" s="198"/>
      <c r="AV17" s="180"/>
      <c r="AW17" t="s">
        <v>319</v>
      </c>
      <c r="AX17" t="s">
        <v>320</v>
      </c>
      <c r="AY17" t="s">
        <v>320</v>
      </c>
      <c r="AZ17" t="s">
        <v>320</v>
      </c>
      <c r="BA17" t="s">
        <v>320</v>
      </c>
      <c r="BB17" t="s">
        <v>320</v>
      </c>
      <c r="BC17" t="s">
        <v>320</v>
      </c>
      <c r="BD17" t="s">
        <v>320</v>
      </c>
      <c r="BE17" t="s">
        <v>320</v>
      </c>
      <c r="BF17" t="s">
        <v>320</v>
      </c>
      <c r="BG17" s="180" t="s">
        <v>301</v>
      </c>
      <c r="BH17" s="180" t="s">
        <v>284</v>
      </c>
    </row>
    <row r="18" spans="1:60" x14ac:dyDescent="0.25">
      <c r="A18" s="242" t="s">
        <v>321</v>
      </c>
      <c r="B18" s="202">
        <v>0.45</v>
      </c>
      <c r="E18" s="198"/>
      <c r="F18" s="202">
        <v>0.45</v>
      </c>
      <c r="I18" s="198"/>
      <c r="J18" s="202">
        <v>0.3</v>
      </c>
      <c r="M18" s="198"/>
      <c r="N18" s="202">
        <v>0.45</v>
      </c>
      <c r="Q18" s="198"/>
      <c r="R18" s="202">
        <v>0.45</v>
      </c>
      <c r="U18" s="198"/>
      <c r="V18" s="202">
        <v>0.45</v>
      </c>
      <c r="Y18" s="198"/>
      <c r="Z18" s="202">
        <v>0.4</v>
      </c>
      <c r="AC18" s="198"/>
      <c r="AD18" s="202">
        <v>0.31</v>
      </c>
      <c r="AG18" s="198"/>
      <c r="AH18" s="202">
        <v>0.45</v>
      </c>
      <c r="AK18" s="198"/>
      <c r="AL18" s="202">
        <v>0.45</v>
      </c>
      <c r="AP18" s="202">
        <v>0.45</v>
      </c>
      <c r="AS18" s="198"/>
      <c r="AV18" s="180"/>
      <c r="AW18" s="180" t="s">
        <v>322</v>
      </c>
      <c r="AX18" s="180" t="s">
        <v>323</v>
      </c>
      <c r="AY18" s="180" t="s">
        <v>323</v>
      </c>
      <c r="AZ18" t="s">
        <v>294</v>
      </c>
      <c r="BA18" t="s">
        <v>324</v>
      </c>
      <c r="BB18" t="s">
        <v>325</v>
      </c>
      <c r="BC18" t="s">
        <v>326</v>
      </c>
      <c r="BD18" s="180" t="s">
        <v>323</v>
      </c>
      <c r="BE18" t="s">
        <v>327</v>
      </c>
      <c r="BF18" t="s">
        <v>328</v>
      </c>
      <c r="BG18" s="180" t="s">
        <v>301</v>
      </c>
      <c r="BH18" s="180" t="s">
        <v>284</v>
      </c>
    </row>
    <row r="19" spans="1:60" x14ac:dyDescent="0.25">
      <c r="A19" s="242"/>
      <c r="B19" s="202"/>
      <c r="E19" s="198"/>
      <c r="F19" s="202"/>
      <c r="I19" s="198"/>
      <c r="J19" s="202"/>
      <c r="M19" s="198"/>
      <c r="N19" s="202"/>
      <c r="Q19" s="198"/>
      <c r="R19" s="202"/>
      <c r="U19" s="198"/>
      <c r="V19" s="202"/>
      <c r="Y19" s="198"/>
      <c r="Z19" s="202"/>
      <c r="AC19" s="198"/>
      <c r="AD19" s="202"/>
      <c r="AG19" s="198"/>
      <c r="AH19" s="202"/>
      <c r="AK19" s="198"/>
      <c r="AL19" s="202"/>
      <c r="AP19" s="202"/>
      <c r="AS19" s="198"/>
      <c r="AV19" s="180"/>
      <c r="BH19" s="180" t="s">
        <v>284</v>
      </c>
    </row>
    <row r="20" spans="1:60" x14ac:dyDescent="0.25">
      <c r="A20" s="243" t="s">
        <v>329</v>
      </c>
      <c r="B20" s="217">
        <v>0.473551269952033</v>
      </c>
      <c r="C20" s="15">
        <v>0.47355126995203251</v>
      </c>
      <c r="D20" s="15">
        <v>9.1313650437054347E-2</v>
      </c>
      <c r="E20" s="218">
        <v>1.8482154555324204E-2</v>
      </c>
      <c r="F20" s="217">
        <v>0.19084726582</v>
      </c>
      <c r="G20" s="15">
        <v>0.19084726582</v>
      </c>
      <c r="H20" s="15">
        <v>0.19084726582</v>
      </c>
      <c r="I20" s="15">
        <v>0.19084726582</v>
      </c>
      <c r="J20" s="217">
        <v>0.33559</v>
      </c>
      <c r="K20" s="15">
        <v>0.33559</v>
      </c>
      <c r="L20" s="15">
        <v>0.33559</v>
      </c>
      <c r="M20" s="15">
        <v>0.33559</v>
      </c>
      <c r="N20" s="217">
        <v>0.69</v>
      </c>
      <c r="O20" s="15">
        <v>0.45</v>
      </c>
      <c r="P20" s="15">
        <v>0.37</v>
      </c>
      <c r="Q20" s="218">
        <v>4.3999999999999997E-2</v>
      </c>
      <c r="R20" s="217">
        <v>0.5</v>
      </c>
      <c r="S20" s="15">
        <v>0.5</v>
      </c>
      <c r="T20" s="15">
        <v>0.3</v>
      </c>
      <c r="U20" s="15">
        <v>0.3</v>
      </c>
      <c r="V20" s="217">
        <v>0.69</v>
      </c>
      <c r="W20" s="15">
        <v>0.45</v>
      </c>
      <c r="X20" s="15">
        <v>0.37</v>
      </c>
      <c r="Y20" s="218">
        <v>4.3999999999999997E-2</v>
      </c>
      <c r="Z20" s="217">
        <v>0.33</v>
      </c>
      <c r="AA20" s="15">
        <v>0.33</v>
      </c>
      <c r="AB20" s="15">
        <v>0.33</v>
      </c>
      <c r="AC20" s="15">
        <v>0.33</v>
      </c>
      <c r="AD20" s="217">
        <v>0.42</v>
      </c>
      <c r="AE20" s="15">
        <v>0.42</v>
      </c>
      <c r="AF20" s="15">
        <v>0.42</v>
      </c>
      <c r="AG20" s="15">
        <v>0.42</v>
      </c>
      <c r="AH20" s="217">
        <v>0.31</v>
      </c>
      <c r="AI20" s="15">
        <v>0.31</v>
      </c>
      <c r="AJ20" s="15">
        <v>0.31</v>
      </c>
      <c r="AK20" s="15">
        <v>0.31</v>
      </c>
      <c r="AL20" s="217">
        <v>0.37</v>
      </c>
      <c r="AM20" s="15">
        <v>0.37</v>
      </c>
      <c r="AN20" s="15">
        <v>0.37</v>
      </c>
      <c r="AO20" s="15">
        <v>0.37</v>
      </c>
      <c r="AP20" s="217">
        <v>0.69</v>
      </c>
      <c r="AQ20" s="15">
        <v>0.45</v>
      </c>
      <c r="AR20" s="15">
        <v>0.37</v>
      </c>
      <c r="AS20" s="218">
        <v>4.3999999999999997E-2</v>
      </c>
      <c r="AW20" t="s">
        <v>330</v>
      </c>
      <c r="AX20" s="180" t="s">
        <v>323</v>
      </c>
      <c r="AY20" s="180" t="s">
        <v>323</v>
      </c>
      <c r="AZ20" t="s">
        <v>320</v>
      </c>
      <c r="BA20" t="s">
        <v>324</v>
      </c>
      <c r="BB20" t="s">
        <v>320</v>
      </c>
      <c r="BC20" t="s">
        <v>326</v>
      </c>
      <c r="BD20" s="180" t="s">
        <v>323</v>
      </c>
      <c r="BE20" t="s">
        <v>327</v>
      </c>
      <c r="BF20" s="180" t="s">
        <v>331</v>
      </c>
      <c r="BG20" s="93" t="s">
        <v>332</v>
      </c>
      <c r="BH20" s="180" t="s">
        <v>284</v>
      </c>
    </row>
    <row r="21" spans="1:60" x14ac:dyDescent="0.25">
      <c r="A21" s="237"/>
      <c r="B21" s="197">
        <f>B20*1.55*365</f>
        <v>267.91163097536264</v>
      </c>
      <c r="E21" s="198"/>
      <c r="F21" s="197">
        <f>F20*1.55*365</f>
        <v>107.971840637665</v>
      </c>
      <c r="I21" s="198"/>
      <c r="J21" s="197">
        <f>J20*1.55*365</f>
        <v>189.86004250000002</v>
      </c>
      <c r="M21" s="198"/>
      <c r="N21" s="197">
        <f>N20*1.55*365</f>
        <v>390.36749999999995</v>
      </c>
      <c r="Q21" s="198"/>
      <c r="R21" s="197">
        <f>R20*1.55*365</f>
        <v>282.875</v>
      </c>
      <c r="U21" s="198"/>
      <c r="V21" s="197">
        <f>V20*1.55*365</f>
        <v>390.36749999999995</v>
      </c>
      <c r="Y21" s="198"/>
      <c r="Z21" s="197">
        <f>Z20*1.55*365</f>
        <v>186.69750000000002</v>
      </c>
      <c r="AC21" s="198"/>
      <c r="AD21" s="197">
        <f>AD20*1.55*365</f>
        <v>237.61500000000001</v>
      </c>
      <c r="AG21" s="198"/>
      <c r="AH21" s="197">
        <f>AH20*1.55*365</f>
        <v>175.38249999999999</v>
      </c>
      <c r="AK21" s="198"/>
      <c r="AL21" s="197">
        <f>AL20*1.55*365</f>
        <v>209.32750000000001</v>
      </c>
      <c r="AP21" s="197">
        <f>AP20*1.55*365</f>
        <v>390.36749999999995</v>
      </c>
      <c r="AS21" s="198"/>
      <c r="AW21" s="7" t="s">
        <v>510</v>
      </c>
    </row>
    <row r="22" spans="1:60" x14ac:dyDescent="0.25">
      <c r="A22" s="244" t="s">
        <v>333</v>
      </c>
      <c r="B22" s="205"/>
      <c r="C22" s="114"/>
      <c r="D22" s="114"/>
      <c r="E22" s="206"/>
      <c r="F22" s="205"/>
      <c r="G22" s="114"/>
      <c r="H22" s="114"/>
      <c r="I22" s="206"/>
      <c r="J22" s="205"/>
      <c r="K22" s="114"/>
      <c r="L22" s="114"/>
      <c r="M22" s="206"/>
      <c r="N22" s="205"/>
      <c r="O22" s="114"/>
      <c r="P22" s="114"/>
      <c r="Q22" s="206"/>
      <c r="R22" s="205"/>
      <c r="S22" s="114"/>
      <c r="T22" s="114"/>
      <c r="U22" s="206"/>
      <c r="V22" s="205"/>
      <c r="W22" s="114"/>
      <c r="X22" s="114"/>
      <c r="Y22" s="206"/>
      <c r="Z22" s="205"/>
      <c r="AA22" s="114"/>
      <c r="AB22" s="114"/>
      <c r="AC22" s="206"/>
      <c r="AD22" s="205"/>
      <c r="AE22" s="114"/>
      <c r="AF22" s="114"/>
      <c r="AG22" s="206"/>
      <c r="AH22" s="205"/>
      <c r="AI22" s="114"/>
      <c r="AJ22" s="114"/>
      <c r="AK22" s="206"/>
      <c r="AL22" s="205"/>
      <c r="AM22" s="114"/>
      <c r="AN22" s="114"/>
      <c r="AO22" s="114"/>
      <c r="AP22" s="205"/>
      <c r="AQ22" s="114"/>
      <c r="AR22" s="114"/>
      <c r="AS22" s="206"/>
    </row>
    <row r="23" spans="1:60" x14ac:dyDescent="0.25">
      <c r="A23" s="243" t="s">
        <v>334</v>
      </c>
      <c r="B23" s="207">
        <f>(No_sows_DK+No_recruit_sows_DK)*B6*$B$20*365</f>
        <v>0.2967234809783616</v>
      </c>
      <c r="C23" s="123">
        <f>No_boars_DK*C6*$C$20*365</f>
        <v>2.3245916720283934E-3</v>
      </c>
      <c r="D23">
        <f>No_fattening_pigs_DK*D6*$D$20*Time_fattening_days_DK</f>
        <v>0.35506478291927362</v>
      </c>
      <c r="E23" s="208">
        <f>No_piglets_DK*E6*$ES$20*Time_piglet_system_DK</f>
        <v>0</v>
      </c>
      <c r="F23" s="207">
        <f>(No_sows_FR+No_recruit_sows_FR)*F6*$F$20*365</f>
        <v>6.7248897282974687</v>
      </c>
      <c r="G23" s="123">
        <f>No_boars_FR*G6*$G$20*365</f>
        <v>5.2684144194336993E-2</v>
      </c>
      <c r="H23">
        <f>No_fattening_pigs_FR*H6*$H$20*Time_fattening_days_FR</f>
        <v>37.410919254811432</v>
      </c>
      <c r="I23" s="208">
        <f>No_piglets_FR*I6*$I$20*Time_piglet_system_FR</f>
        <v>24.264585831968983</v>
      </c>
      <c r="J23" s="207">
        <f>(No_sows_DE+No_recruit_sows_DE)*J6*$J$20*365</f>
        <v>6.8059168813691411</v>
      </c>
      <c r="K23" s="123">
        <f>No_boars_DE*K6*$K$20*365</f>
        <v>5.331892727458909E-2</v>
      </c>
      <c r="L23">
        <f>No_fattening_pigs_DE*L6*$L$20*Time_fattening_days_DE</f>
        <v>37.984095914686961</v>
      </c>
      <c r="M23" s="208">
        <f>No_piglets_DE*M6*$M$20*Time_piglet_system_DE</f>
        <v>24.634848615337468</v>
      </c>
      <c r="N23" s="207">
        <f>(No_sows_GR+No_recruit_sows_GR)*N6*$N$20*365</f>
        <v>39.036749999999998</v>
      </c>
      <c r="O23" s="123">
        <f>No_boars_GR*O6*$O$20*365</f>
        <v>0.19944898878619149</v>
      </c>
      <c r="P23">
        <f>No_fattening_pigs_GR*P6*$P$20*Time_fattening_days_GR</f>
        <v>114.81626124338625</v>
      </c>
      <c r="Q23" s="208">
        <f>No_piglets_GR*Q6*$Q$20*Time_piglet_system_GR</f>
        <v>8.8581981481481478</v>
      </c>
      <c r="R23" s="207">
        <f>(No_sows_HU+No_recruit_sows_HU)*R6*$R$20*365</f>
        <v>61.471700061970665</v>
      </c>
      <c r="S23" s="123">
        <f>No_boars_HU*S6*$S$20*365</f>
        <v>0.48158171223363722</v>
      </c>
      <c r="T23">
        <f>No_fattening_pigs_HU*T6*$T$20*Time_fattening_days_HU</f>
        <v>212.80149170816429</v>
      </c>
      <c r="U23" s="208">
        <f>No_piglets_HU*U6*$U$20*Time_piglet_system_HU</f>
        <v>137.92906705065752</v>
      </c>
      <c r="V23" s="207">
        <f>(No_sows_IE+No_recruit_sows_IE)*V6*$V$20*365</f>
        <v>0</v>
      </c>
      <c r="W23" s="123">
        <f>No_boars_IE*W6*$W$20*365</f>
        <v>0</v>
      </c>
      <c r="X23">
        <f>No_fattening_pigs_IE*X6*$X$20*Time_fattening_days_IE</f>
        <v>0</v>
      </c>
      <c r="Y23" s="208">
        <f>No_piglets_IE*Y6*$Y$20*Time_piglet_system_IE</f>
        <v>0</v>
      </c>
      <c r="Z23" s="207">
        <f>(No_sows_IT+No_recruit_sows_IT)*Z6*$Z$20*365</f>
        <v>0</v>
      </c>
      <c r="AA23" s="123">
        <f>No_boars_IT*AA6*$AA$20*365</f>
        <v>0</v>
      </c>
      <c r="AB23">
        <f>No_fattening_pigs_IT*AB6*$AB$20*Time_fattening_days_IT</f>
        <v>0</v>
      </c>
      <c r="AC23" s="208">
        <f>No_piglets_IT*AC6*$AC$20*Time_piglet_system_IT</f>
        <v>0</v>
      </c>
      <c r="AD23" s="207">
        <f>(No_sows_NL+No_recruit_sows_NL)*AD6*$AD$20*365</f>
        <v>1.6070579710144928</v>
      </c>
      <c r="AE23" s="123">
        <f>No_boars_NL*AE6*$AE$20*365</f>
        <v>0.37230477906755743</v>
      </c>
      <c r="AF23">
        <f>No_fattening_pigs_NL*AF6*$AF$20*Time_fattening_days_NL</f>
        <v>0</v>
      </c>
      <c r="AG23" s="208">
        <f>No_piglets_NL*AG6*$AG$20*Time_piglet_system_NL</f>
        <v>183.39921495327107</v>
      </c>
      <c r="AH23" s="207">
        <f>(No_sows_PL+No_recruit_sows_PL)*AH6*$AH$20*365</f>
        <v>132.76455250000001</v>
      </c>
      <c r="AI23" s="123">
        <f>No_boars_PL*AI6*$AI$20*365</f>
        <v>1.0401043155212344</v>
      </c>
      <c r="AJ23">
        <f>No_fattening_pigs_PL*AJ6*$AJ$20*Time_fattening_days_PL</f>
        <v>728.21437908068788</v>
      </c>
      <c r="AK23" s="208">
        <f>No_piglets_PL*AK6*$AK$20*Time_piglet_system_PL</f>
        <v>472.44394532407415</v>
      </c>
      <c r="AL23" s="207">
        <f>(No_sows_ES+No_recruit_sows_ES)*AL6*$AL$20*365</f>
        <v>8.4048325309843293</v>
      </c>
      <c r="AM23" s="123">
        <f>No_boars_ES*AM6*$AM$20*365</f>
        <v>6.584515536788374E-2</v>
      </c>
      <c r="AN23" s="123">
        <f>No_fattening_pigs_ES*AN6*$AN$20*Time_fattening_days_ES</f>
        <v>41.830354586495645</v>
      </c>
      <c r="AO23" s="123">
        <f>No_piglets_ES*AO6*$AO$20*Time_piglet_system_ES</f>
        <v>27.191275993739801</v>
      </c>
      <c r="AP23" s="207">
        <f>(No_sows_SE+No_recruit_sows_SE)*AP6*$AP$20*365</f>
        <v>78.073499999999996</v>
      </c>
      <c r="AQ23" s="123">
        <f>No_boars_SE*AQ6*$AQ$20*365</f>
        <v>0.39889797757238299</v>
      </c>
      <c r="AR23">
        <f>No_fattening_pigs_SE*AR6*$AR$20*Time_fattening_days_SE</f>
        <v>0</v>
      </c>
      <c r="AS23" s="208">
        <f>No_piglets_SE*AS6*$AS$20*Time_piglet_system_SE</f>
        <v>16.742615053763444</v>
      </c>
    </row>
    <row r="24" spans="1:60" x14ac:dyDescent="0.25">
      <c r="A24" s="243" t="s">
        <v>335</v>
      </c>
      <c r="B24" s="207">
        <f>(No_sows_DK+No_recruit_sows_DK)*B7*$B$20*365</f>
        <v>258.11975610307672</v>
      </c>
      <c r="C24" s="123">
        <f>No_boars_DK*C7*$C$20*365</f>
        <v>2.0221622954974996</v>
      </c>
      <c r="D24">
        <f>No_fattening_pigs_DK*D7*$D$20*Time_fattening_days_DK</f>
        <v>308.87085466147607</v>
      </c>
      <c r="E24" s="208">
        <f>No_piglets_DK*E7*$ES$20*Time_piglet_system_DK</f>
        <v>0</v>
      </c>
      <c r="F24" s="207">
        <f>(No_sows_FR+No_recruit_sows_FR)*F7*$F$20*365</f>
        <v>101.24695090936751</v>
      </c>
      <c r="G24" s="123">
        <f>No_boars_FR*G7*$G$20*365</f>
        <v>0.7931890598147403</v>
      </c>
      <c r="H24" s="123">
        <f>No_fattening_pigs_FR*H7*$H$20*Time_fattening_days_FR</f>
        <v>563.24217322521656</v>
      </c>
      <c r="I24" s="208">
        <f>No_piglets_FR*I7*$I$20*Time_piglet_system_FR</f>
        <v>365.31682002575519</v>
      </c>
      <c r="J24" s="207">
        <f>(No_sows_DE+No_recruit_sows_DE)*J7*$J$20*365</f>
        <v>180.14055585001802</v>
      </c>
      <c r="K24" s="123">
        <f>No_boars_DE*K7*$K$20*365</f>
        <v>1.4112574931474851</v>
      </c>
      <c r="L24">
        <f>No_fattening_pigs_DE*L7*$L$20*Time_fattening_days_DE</f>
        <v>1005.3716891934199</v>
      </c>
      <c r="M24" s="208">
        <f>No_piglets_DE*M7*$M$20*Time_piglet_system_DE</f>
        <v>652.04077572501899</v>
      </c>
      <c r="N24" s="207">
        <f>(No_sows_GR+No_recruit_sows_GR)*N7*$N$20*365</f>
        <v>351.33074999999997</v>
      </c>
      <c r="O24" s="123">
        <f>No_boars_GR*O7*$O$20*365</f>
        <v>1.7950408990757232</v>
      </c>
      <c r="P24">
        <f>No_fattening_pigs_GR*P7*$P$20*Time_fattening_days_GR</f>
        <v>1033.3463511904761</v>
      </c>
      <c r="Q24" s="208">
        <f>No_piglets_GR*Q7*$Q$20*Time_piglet_system_GR</f>
        <v>79.72378333333333</v>
      </c>
      <c r="R24" s="207">
        <f>(No_sows_HU+No_recruit_sows_HU)*R7*$R$20*365</f>
        <v>195.42975366659778</v>
      </c>
      <c r="S24" s="123">
        <f>No_boars_HU*S7*$S$20*365</f>
        <v>1.5310361564309884</v>
      </c>
      <c r="T24">
        <f>No_fattening_pigs_HU*T7*$T$20*Time_fattening_days_HU</f>
        <v>676.53478043531902</v>
      </c>
      <c r="U24" s="208">
        <f>No_piglets_HU*U7*$U$20*Time_piglet_system_HU</f>
        <v>438.50167751988982</v>
      </c>
      <c r="V24" s="207">
        <f>(No_sows_IE+No_recruit_sows_IE)*V7*$V$20*365</f>
        <v>390.36749999999995</v>
      </c>
      <c r="W24" s="123">
        <f>No_boars_IE*W7*$W$20*365</f>
        <v>1.9944898878619146</v>
      </c>
      <c r="X24">
        <f>No_fattening_pigs_IE*X7*$X$20*Time_fattening_days_IE</f>
        <v>1145.7049999999999</v>
      </c>
      <c r="Y24" s="208">
        <f>No_piglets_IE*Y7*$Y$20*Time_piglet_system_IE</f>
        <v>88.396000000000001</v>
      </c>
      <c r="Z24" s="207">
        <f>(No_sows_IT+No_recruit_sows_IT)*Z7*$Z$20*365</f>
        <v>186.69750000000002</v>
      </c>
      <c r="AA24" s="123">
        <f>No_boars_IT*AA7*$AA$20*365</f>
        <v>1.4626259177654042</v>
      </c>
      <c r="AB24">
        <f>No_fattening_pigs_IT*AB7*$AB$20*Time_fattening_days_IT</f>
        <v>1582.2172413793105</v>
      </c>
      <c r="AC24" s="208">
        <f>No_piglets_IT*AC7*$AC$20*Time_piglet_system_IT</f>
        <v>566.48103448275867</v>
      </c>
      <c r="AD24" s="207">
        <f>(No_sows_NL+No_recruit_sows_NL)*AD7*$AD$20*365</f>
        <v>121.24678442028984</v>
      </c>
      <c r="AE24" s="123">
        <f>No_boars_NL*AE7*$AE$20*365</f>
        <v>1.1727600540628056</v>
      </c>
      <c r="AF24">
        <f>No_fattening_pigs_NL*AF7*$AF$20*Time_fattening_days_NL</f>
        <v>1415.5838317757011</v>
      </c>
      <c r="AG24" s="208">
        <f>No_piglets_NL*AG7*$AG$20*Time_piglet_system_NL</f>
        <v>577.70752710280385</v>
      </c>
      <c r="AH24" s="207">
        <f>(No_sows_PL+No_recruit_sows_PL)*AH7*$AH$20*365</f>
        <v>42.6179475</v>
      </c>
      <c r="AI24" s="123">
        <f>No_boars_PL*AI7*$AI$20*365</f>
        <v>0.33387760722808446</v>
      </c>
      <c r="AJ24">
        <f>No_fattening_pigs_PL*AJ7*$AJ$20*Time_fattening_days_PL</f>
        <v>233.75970160714286</v>
      </c>
      <c r="AK24" s="208">
        <f>No_piglets_PL*AK7*$AK$20*Time_piglet_system_PL</f>
        <v>151.65637875000002</v>
      </c>
      <c r="AL24" s="207">
        <f>(No_sows_ES+No_recruit_sows_ES)*AL7*$AL$20*365</f>
        <v>49.657122810611497</v>
      </c>
      <c r="AM24" s="123">
        <f>No_boars_ES*AM7*$AM$20*365</f>
        <v>0.38902392814290504</v>
      </c>
      <c r="AN24" s="123">
        <f>No_fattening_pigs_ES*AN7*$AN$20*Time_fattening_days_ES</f>
        <v>247.14056434266303</v>
      </c>
      <c r="AO24" s="123">
        <f>No_piglets_ES*AO7*$AO$20*Time_piglet_system_ES</f>
        <v>160.65049796301375</v>
      </c>
      <c r="AP24" s="207">
        <f>(No_sows_SE+No_recruit_sows_SE)*AP7*$AP$20*365</f>
        <v>245.93152499999999</v>
      </c>
      <c r="AQ24" s="123">
        <f>No_boars_SE*AQ7*$AQ$20*365</f>
        <v>1.2565286293530062</v>
      </c>
      <c r="AR24" s="123">
        <f>No_fattening_pigs_SE*AR7*$AR$20*Time_fattening_days_SE</f>
        <v>1083.823494623656</v>
      </c>
      <c r="AS24" s="208">
        <f>No_piglets_SE*AS7*$AS$20*Time_piglet_system_SE</f>
        <v>52.739237419354843</v>
      </c>
    </row>
    <row r="25" spans="1:60" x14ac:dyDescent="0.25">
      <c r="A25" s="243" t="s">
        <v>336</v>
      </c>
      <c r="B25" s="207">
        <f>(No_sows_DK+No_recruit_sows_DK)*B8*$B$20*365</f>
        <v>9.4951513913075711</v>
      </c>
      <c r="C25" s="123">
        <f>No_boars_DK*C8*$C$20*365</f>
        <v>7.4386933504908589E-2</v>
      </c>
      <c r="D25">
        <f>No_fattening_pigs_DK*D8*$D$20*Time_fattening_days_DK</f>
        <v>11.362073053416756</v>
      </c>
      <c r="E25" s="208">
        <f>No_piglets_DK*E8*$ES$20*Time_piglet_system_DK</f>
        <v>0</v>
      </c>
      <c r="F25" s="207">
        <f>(No_sows_FR+No_recruit_sows_FR)*F8*$F$20*365</f>
        <v>0</v>
      </c>
      <c r="G25" s="123">
        <f>No_boars_FR*G8*$G$20*365</f>
        <v>0</v>
      </c>
      <c r="H25">
        <f>No_fattening_pigs_FR*H8*$H$20*Time_fattening_days_FR</f>
        <v>0</v>
      </c>
      <c r="I25" s="208">
        <f>No_piglets_FR*I8*$I$20*Time_piglet_system_FR</f>
        <v>0</v>
      </c>
      <c r="J25" s="207">
        <f>(No_sows_DE+No_recruit_sows_DE)*J8*$J$20*365</f>
        <v>2.9135697686128763</v>
      </c>
      <c r="K25" s="123">
        <f>No_boars_DE*K8*$K$20*365</f>
        <v>2.2825493950325761E-2</v>
      </c>
      <c r="L25">
        <f>No_fattening_pigs_DE*L8*$L$20*Time_fattening_days_DE</f>
        <v>16.26075009056833</v>
      </c>
      <c r="M25" s="208">
        <f>No_piglets_DE*M8*$M$20*Time_piglet_system_DE</f>
        <v>10.546022149709684</v>
      </c>
      <c r="N25" s="207">
        <f>(No_sows_GR+No_recruit_sows_GR)*N8*$N$20*365</f>
        <v>0</v>
      </c>
      <c r="O25" s="123">
        <f>No_boars_GR*O8*$O$20*365</f>
        <v>0</v>
      </c>
      <c r="P25">
        <f>No_fattening_pigs_GR*P8*$P$20*Time_fattening_days_GR</f>
        <v>0</v>
      </c>
      <c r="Q25" s="208">
        <f>No_piglets_GR*Q8*$Q$20*Time_piglet_system_GR</f>
        <v>0</v>
      </c>
      <c r="R25" s="207">
        <f>(No_sows_HU+No_recruit_sows_HU)*R8*$R$20*365</f>
        <v>25.97354627143152</v>
      </c>
      <c r="S25" s="123">
        <f>No_boars_HU*S8*$S$20*365</f>
        <v>0.20348200673750166</v>
      </c>
      <c r="T25">
        <f>No_fattening_pigs_HU*T8*$T$20*Time_fattening_days_HU</f>
        <v>89.914698730303257</v>
      </c>
      <c r="U25" s="208">
        <f>No_piglets_HU*U8*$U$20*Time_piglet_system_HU</f>
        <v>58.278964167316794</v>
      </c>
      <c r="V25" s="207">
        <f>(No_sows_IE+No_recruit_sows_IE)*V8*$V$20*365</f>
        <v>0</v>
      </c>
      <c r="W25" s="123">
        <f>No_boars_IE*W8*$W$20*365</f>
        <v>0</v>
      </c>
      <c r="X25">
        <f>No_fattening_pigs_IE*X8*$X$20*Time_fattening_days_IE</f>
        <v>0</v>
      </c>
      <c r="Y25" s="208">
        <f>No_piglets_IE*Y8*$Y$20*Time_piglet_system_IE</f>
        <v>0</v>
      </c>
      <c r="Z25" s="207">
        <f>(No_sows_IT+No_recruit_sows_IT)*Z8*$Z$20*365</f>
        <v>0</v>
      </c>
      <c r="AA25" s="123">
        <f>No_boars_IT*AA8*$AA$20*365</f>
        <v>0</v>
      </c>
      <c r="AB25">
        <f>No_fattening_pigs_IT*AB8*$AB$20*Time_fattening_days_IT</f>
        <v>0</v>
      </c>
      <c r="AC25" s="208">
        <f>No_piglets_IT*AC8*$AC$20*Time_piglet_system_IT</f>
        <v>0</v>
      </c>
      <c r="AD25" s="207">
        <f>(No_sows_NL+No_recruit_sows_NL)*AD8*$AD$20*365</f>
        <v>114.76115760869564</v>
      </c>
      <c r="AE25" s="123">
        <f>No_boars_NL*AE8*$AE$20*365</f>
        <v>0.31645906220742376</v>
      </c>
      <c r="AF25">
        <f>No_fattening_pigs_NL*AF8*$AF$20*Time_fattening_days_NL</f>
        <v>0</v>
      </c>
      <c r="AG25" s="208">
        <f>No_piglets_NL*AG8*$AG$20*Time_piglet_system_NL</f>
        <v>155.8893327102804</v>
      </c>
      <c r="AH25" s="207">
        <f>(No_sows_PL+No_recruit_sows_PL)*AH8*$AH$20*365</f>
        <v>0</v>
      </c>
      <c r="AI25" s="123">
        <f>No_boars_PL*AI8*$AI$20*365</f>
        <v>0</v>
      </c>
      <c r="AJ25">
        <f>No_fattening_pigs_PL*AJ8*$AJ$20*Time_fattening_days_PL</f>
        <v>0</v>
      </c>
      <c r="AK25" s="208">
        <f>No_piglets_PL*AK8*$AK$20*Time_piglet_system_PL</f>
        <v>0</v>
      </c>
      <c r="AL25" s="207">
        <f>(No_sows_ES+No_recruit_sows_ES)*AL8*$AL$20*365</f>
        <v>151.2655446584042</v>
      </c>
      <c r="AM25" s="123">
        <f>No_boars_ES*AM8*$AM$20*365</f>
        <v>1.1850448242867853</v>
      </c>
      <c r="AN25" s="123">
        <f>No_fattening_pigs_ES*AN8*$AN$20*Time_fattening_days_ES</f>
        <v>752.83967246869065</v>
      </c>
      <c r="AO25" s="123">
        <f>No_piglets_ES*AO8*$AO$20*Time_piglet_system_ES</f>
        <v>489.37360238733237</v>
      </c>
      <c r="AP25" s="207">
        <f>(No_sows_SE+No_recruit_sows_SE)*AP8*$AP$20*365</f>
        <v>66.362475000000003</v>
      </c>
      <c r="AQ25" s="123">
        <f>No_boars_SE*AQ8*$AQ$20*365</f>
        <v>0.33906328093652549</v>
      </c>
      <c r="AR25">
        <f>No_fattening_pigs_SE*AR8*$AR$20*Time_fattening_days_SE</f>
        <v>0</v>
      </c>
      <c r="AS25" s="208">
        <f>No_piglets_SE*AS8*$AS$20*Time_piglet_system_SE</f>
        <v>14.231222795698926</v>
      </c>
    </row>
    <row r="26" spans="1:60" x14ac:dyDescent="0.25">
      <c r="A26" s="237"/>
      <c r="B26" s="207"/>
      <c r="C26" s="126"/>
      <c r="E26" s="198"/>
      <c r="F26" s="207"/>
      <c r="G26" s="126"/>
      <c r="I26" s="198"/>
      <c r="J26" s="207">
        <f>SUM(J23:J25)-J21</f>
        <v>0</v>
      </c>
      <c r="K26" s="126"/>
      <c r="M26" s="198"/>
      <c r="N26" s="207"/>
      <c r="O26" s="126"/>
      <c r="Q26" s="198"/>
      <c r="R26" s="207"/>
      <c r="S26" s="126"/>
      <c r="U26" s="198"/>
      <c r="V26" s="207"/>
      <c r="W26" s="126"/>
      <c r="Y26" s="198"/>
      <c r="Z26" s="207"/>
      <c r="AA26" s="126"/>
      <c r="AC26" s="198"/>
      <c r="AD26" s="207"/>
      <c r="AE26" s="126"/>
      <c r="AG26" s="198"/>
      <c r="AH26" s="207"/>
      <c r="AI26" s="126"/>
      <c r="AK26" s="198"/>
      <c r="AL26" s="207"/>
      <c r="AM26" s="126"/>
      <c r="AP26" s="207"/>
      <c r="AQ26" s="126"/>
      <c r="AS26" s="198"/>
    </row>
    <row r="27" spans="1:60" x14ac:dyDescent="0.25">
      <c r="A27" s="245" t="s">
        <v>337</v>
      </c>
      <c r="B27" s="205"/>
      <c r="C27" s="267"/>
      <c r="D27" s="114"/>
      <c r="E27" s="206"/>
      <c r="F27" s="205"/>
      <c r="G27" s="267"/>
      <c r="H27" s="114"/>
      <c r="I27" s="206"/>
      <c r="J27" s="205"/>
      <c r="K27" s="267"/>
      <c r="L27" s="114"/>
      <c r="M27" s="206"/>
      <c r="N27" s="205"/>
      <c r="O27" s="267"/>
      <c r="P27" s="114"/>
      <c r="Q27" s="206"/>
      <c r="R27" s="205"/>
      <c r="S27" s="267"/>
      <c r="T27" s="114"/>
      <c r="U27" s="206"/>
      <c r="V27" s="205"/>
      <c r="W27" s="267"/>
      <c r="X27" s="114"/>
      <c r="Y27" s="206"/>
      <c r="Z27" s="205"/>
      <c r="AA27" s="267"/>
      <c r="AB27" s="114"/>
      <c r="AC27" s="206"/>
      <c r="AD27" s="205"/>
      <c r="AE27" s="267"/>
      <c r="AF27" s="114"/>
      <c r="AG27" s="206"/>
      <c r="AH27" s="205"/>
      <c r="AI27" s="267"/>
      <c r="AJ27" s="114"/>
      <c r="AK27" s="206"/>
      <c r="AL27" s="205"/>
      <c r="AM27" s="267"/>
      <c r="AN27" s="114"/>
      <c r="AO27" s="114"/>
      <c r="AP27" s="205"/>
      <c r="AQ27" s="267"/>
      <c r="AR27" s="114"/>
      <c r="AS27" s="206"/>
    </row>
    <row r="28" spans="1:60" x14ac:dyDescent="0.25">
      <c r="A28" s="243" t="s">
        <v>334</v>
      </c>
      <c r="B28" s="209">
        <f>B23*$B$18*0.67*B12</f>
        <v>1.7892425902995208E-3</v>
      </c>
      <c r="C28" s="11">
        <f>C23*$B$18*0.67*B12</f>
        <v>1.4017287782331216E-5</v>
      </c>
      <c r="D28" s="11">
        <f>D23*$B$18*0.67*B12</f>
        <v>2.14104064100322E-3</v>
      </c>
      <c r="E28" s="210">
        <f>E23*$B$18*0.67*B12</f>
        <v>0</v>
      </c>
      <c r="F28" s="209">
        <f>F23*$F$18*0.67*F12</f>
        <v>7.9271739200346511E-2</v>
      </c>
      <c r="G28" s="11">
        <f>G23*$F$18*0.67*F12</f>
        <v>6.2103081348580808E-4</v>
      </c>
      <c r="H28" s="11">
        <f>H23*$F$18*0.67*F12</f>
        <v>0.44099290162835686</v>
      </c>
      <c r="I28" s="210">
        <f>I23*$F$18*0.67*F12</f>
        <v>0.28602638817740689</v>
      </c>
      <c r="J28" s="209">
        <f>J23*$J$18*0.67*J12</f>
        <v>4.1039678794655927E-2</v>
      </c>
      <c r="K28" s="11">
        <f>K23*$J$18*0.67*J12</f>
        <v>3.2151313146577224E-4</v>
      </c>
      <c r="L28" s="11">
        <f>L23*$J$18*0.67*J12</f>
        <v>0.22904409836556236</v>
      </c>
      <c r="M28" s="210">
        <f>M23*$J$18*0.67*J12</f>
        <v>0.14854813715048493</v>
      </c>
      <c r="N28" s="209">
        <f>N23*$N$18*0.67*N12</f>
        <v>0.47078320499999998</v>
      </c>
      <c r="O28" s="11">
        <f>O23*$N$18*0.67*N12</f>
        <v>2.4053548047614699E-3</v>
      </c>
      <c r="P28" s="11">
        <f>P23*$N$18*0.67*N12</f>
        <v>1.3846841105952385</v>
      </c>
      <c r="Q28" s="210">
        <f>Q23*$N$18*0.67*N12</f>
        <v>0.10682986966666669</v>
      </c>
      <c r="R28" s="209">
        <f>R23*$R$18*0.67*R12</f>
        <v>0.37067435137368315</v>
      </c>
      <c r="S28" s="11">
        <f>S23*$R$18*0.67*R12</f>
        <v>2.9039377247688332E-3</v>
      </c>
      <c r="T28" s="11">
        <f>T23*$R$18*0.67*R12</f>
        <v>1.2831929950002308</v>
      </c>
      <c r="U28" s="210">
        <f>U23*$R$18*0.67*R12</f>
        <v>0.83171227431546502</v>
      </c>
      <c r="V28" s="209">
        <f>V23*$V$18*0.67*V12</f>
        <v>0</v>
      </c>
      <c r="W28" s="11">
        <f>W23*$V$18*0.67*V12</f>
        <v>0</v>
      </c>
      <c r="X28" s="11">
        <f>X23*$V$18*0.67*V12</f>
        <v>0</v>
      </c>
      <c r="Y28" s="210">
        <f>Y23*$V$18*0.67*V12</f>
        <v>0</v>
      </c>
      <c r="Z28" s="209">
        <f>Z23*$Z$18*0.67*Z12</f>
        <v>0</v>
      </c>
      <c r="AA28" s="11">
        <f>AA23*$Z$18*0.67*Z12</f>
        <v>0</v>
      </c>
      <c r="AB28" s="11">
        <f>AB23*$Z$18*0.67*Z12</f>
        <v>0</v>
      </c>
      <c r="AC28" s="210">
        <f>AC23*$Z$18*0.67*Z12</f>
        <v>0</v>
      </c>
      <c r="AD28" s="209">
        <f>AD23*$AD$18*0.67*AD12</f>
        <v>6.6757188115942039E-3</v>
      </c>
      <c r="AE28" s="11">
        <f>AE23*$AD$18*0.67*AD12</f>
        <v>1.5465540522466338E-3</v>
      </c>
      <c r="AF28" s="11">
        <f>AF23*$AD$18*0.67*AD12</f>
        <v>0</v>
      </c>
      <c r="AG28" s="210">
        <f>AG23*$AD$18*0.67*AD12</f>
        <v>0.76184033891588809</v>
      </c>
      <c r="AH28" s="209">
        <f>AH23*$AH$18*0.67*AH12</f>
        <v>0.80057025157500006</v>
      </c>
      <c r="AI28" s="11">
        <f>AI23*$AH$18*0.67*AH12</f>
        <v>6.2718290225930442E-3</v>
      </c>
      <c r="AJ28" s="11">
        <f>AJ23*$AH$18*0.67*AH12</f>
        <v>4.3911327058565481</v>
      </c>
      <c r="AK28" s="210">
        <f>AK23*$AH$18*0.67*AH12</f>
        <v>2.8488369903041675</v>
      </c>
      <c r="AL28" s="209">
        <f>AL23*$AL$18*0.67*AL12</f>
        <v>5.9825724456852421E-2</v>
      </c>
      <c r="AM28" s="11">
        <f>AM23*$AL$18*0.67*AL12</f>
        <v>4.6868680694537381E-4</v>
      </c>
      <c r="AN28" s="11">
        <f>AN23*$AL$18*0.67*AL12</f>
        <v>0.29774909353619661</v>
      </c>
      <c r="AO28" s="210">
        <f>AO23*$AL$18*0.67*AL12</f>
        <v>0.19354791177988984</v>
      </c>
      <c r="AP28" s="209">
        <f>AP23*$AP$18*0.67*AP12</f>
        <v>0.47078320499999998</v>
      </c>
      <c r="AQ28" s="11">
        <f>AQ23*$AP$18*0.67*AP12</f>
        <v>2.4053548047614699E-3</v>
      </c>
      <c r="AR28" s="11">
        <f>AR23*$AP$18*0.67*AP12</f>
        <v>0</v>
      </c>
      <c r="AS28" s="210">
        <f>AS23*$AP$18*0.67*AP12</f>
        <v>0.10095796877419357</v>
      </c>
      <c r="AV28" s="11"/>
      <c r="AW28" s="102" t="s">
        <v>513</v>
      </c>
      <c r="AX28" s="11"/>
      <c r="AY28" s="11"/>
      <c r="AZ28" s="11"/>
    </row>
    <row r="29" spans="1:60" x14ac:dyDescent="0.25">
      <c r="A29" s="243" t="s">
        <v>335</v>
      </c>
      <c r="B29" s="209">
        <f t="shared" ref="B29:B30" si="0">B24*$B$18*0.67*B13</f>
        <v>10.875779128494601</v>
      </c>
      <c r="C29" s="11">
        <f t="shared" ref="C29:C30" si="1">C24*$B$18*0.67*B13</f>
        <v>8.5203050009926354E-2</v>
      </c>
      <c r="D29" s="11">
        <f t="shared" ref="D29:D30" si="2">D24*$B$18*0.67*B13</f>
        <v>13.014157634590799</v>
      </c>
      <c r="E29" s="210">
        <f t="shared" ref="E29:E30" si="3">E24*$B$18*0.67*B13</f>
        <v>0</v>
      </c>
      <c r="F29" s="209">
        <f>F24*$F$18*0.67*F13</f>
        <v>11.515491432796448</v>
      </c>
      <c r="G29" s="11">
        <f>G24*$F$18*0.67*F13</f>
        <v>9.0214685389003887E-2</v>
      </c>
      <c r="H29" s="11">
        <f t="shared" ref="H29:H30" si="4">H24*$F$18*0.67*F13</f>
        <v>64.061291348622134</v>
      </c>
      <c r="I29" s="210">
        <f>I24*$F$18*0.67*F13</f>
        <v>41.549920007258279</v>
      </c>
      <c r="J29" s="209">
        <f t="shared" ref="J29:J30" si="5">J24*$J$18*0.67*J13</f>
        <v>8.3568644983270168</v>
      </c>
      <c r="K29" s="11">
        <f t="shared" ref="K29:K30" si="6">K24*$J$18*0.67*J13</f>
        <v>6.546936411310636E-2</v>
      </c>
      <c r="L29" s="11">
        <f t="shared" ref="L29:L30" si="7">L24*$J$18*0.67*J13</f>
        <v>46.6399969590341</v>
      </c>
      <c r="M29" s="210">
        <f t="shared" ref="M29:M30" si="8">M24*$J$18*0.67*J13</f>
        <v>30.248693218504215</v>
      </c>
      <c r="N29" s="209">
        <f>N24*$N$18*0.67*N13</f>
        <v>58.259421618750011</v>
      </c>
      <c r="O29" s="11">
        <f t="shared" ref="O29:O30" si="9">O24*$N$18*0.67*N13</f>
        <v>0.29766265708923184</v>
      </c>
      <c r="P29" s="11">
        <f t="shared" ref="P29:P30" si="10">P24*$N$18*0.67*N13</f>
        <v>171.35465868616072</v>
      </c>
      <c r="Q29" s="210">
        <f t="shared" ref="Q29:Q30" si="11">Q24*$N$18*0.67*N13</f>
        <v>13.220196371250003</v>
      </c>
      <c r="R29" s="209">
        <f t="shared" ref="R29:R30" si="12">R24*$R$18*0.67*R13</f>
        <v>8.0723236900756561</v>
      </c>
      <c r="S29" s="11">
        <f t="shared" ref="S29:S30" si="13">S24*$R$18*0.67*R13</f>
        <v>6.3240213959460209E-2</v>
      </c>
      <c r="T29" s="11">
        <f t="shared" ref="T29:T30" si="14">T24*$R$18*0.67*R13</f>
        <v>27.944607373271076</v>
      </c>
      <c r="U29" s="210">
        <f t="shared" ref="U29:U30" si="15">U24*$R$18*0.67*R13</f>
        <v>18.112531040797812</v>
      </c>
      <c r="V29" s="209">
        <f t="shared" ref="V29:V30" si="16">V24*$V$18*0.67*V13</f>
        <v>4.1193530437500003</v>
      </c>
      <c r="W29" s="11">
        <f t="shared" ref="W29:W30" si="17">W24*$V$18*0.67*V13</f>
        <v>2.1046854541662857E-2</v>
      </c>
      <c r="X29" s="11">
        <f t="shared" ref="X29:X30" si="18">X24*$V$18*0.67*V13</f>
        <v>12.090052012500001</v>
      </c>
      <c r="Y29" s="210">
        <f t="shared" ref="Y29:Y30" si="19">Y24*$V$18*0.67*V13</f>
        <v>0.9327987900000001</v>
      </c>
      <c r="Z29" s="209">
        <f t="shared" ref="Z29:Z30" si="20">Z24*$Z$18*0.67*Z13</f>
        <v>13.119293679026772</v>
      </c>
      <c r="AA29" s="11">
        <f t="shared" ref="AA29:AA30" si="21">AA24*$Z$18*0.67*Z13</f>
        <v>0.10277919606700889</v>
      </c>
      <c r="AB29" s="11">
        <f t="shared" ref="AB29:AB30" si="22">AB24*$Z$18*0.67*Z13</f>
        <v>111.18291703785407</v>
      </c>
      <c r="AC29" s="210">
        <f t="shared" ref="AC29:AC30" si="23">AC24*$Z$18*0.67*Z13</f>
        <v>39.806805420416453</v>
      </c>
      <c r="AD29" s="209">
        <f t="shared" ref="AD29:AD30" si="24">AD24*$AD$18*0.67*AD13</f>
        <v>9.0658645646739124</v>
      </c>
      <c r="AE29" s="11">
        <f t="shared" ref="AE29:AE30" si="25">AE24*$AD$18*0.67*AD13</f>
        <v>8.7689614762384099E-2</v>
      </c>
      <c r="AF29" s="11">
        <f t="shared" ref="AF29:AF30" si="26">AF24*$AD$18*0.67*AD13</f>
        <v>105.84603426953272</v>
      </c>
      <c r="AG29" s="210">
        <f t="shared" ref="AG29" si="27">AG24*$AD$18*0.67*AD13</f>
        <v>43.196347216530853</v>
      </c>
      <c r="AH29" s="209">
        <f t="shared" ref="AH29:AH30" si="28">AH24*$AH$18*0.67*AH13</f>
        <v>1.2849311171250002</v>
      </c>
      <c r="AI29" s="11">
        <f t="shared" ref="AI29:AI30" si="29">AI24*$AH$18*0.67*AH13</f>
        <v>1.0066409857926749E-2</v>
      </c>
      <c r="AJ29" s="11">
        <f t="shared" ref="AJ29:AJ30" si="30">AJ24*$AH$18*0.67*AH13</f>
        <v>7.047855003455358</v>
      </c>
      <c r="AK29" s="210">
        <f t="shared" ref="AK29:AK30" si="31">AK24*$AH$18*0.67*AH13</f>
        <v>4.5724398193125015</v>
      </c>
      <c r="AL29" s="209">
        <f t="shared" ref="AL29:AL30" si="32">AL24*$AL$18*0.67*AL13</f>
        <v>2.9634128886398394</v>
      </c>
      <c r="AM29" s="11">
        <f t="shared" ref="AM29:AM30" si="33">AM24*$AL$18*0.67*AL13</f>
        <v>2.3215975018222909E-2</v>
      </c>
      <c r="AN29" s="11">
        <f>AN24*$AL$18*0.67*AL13</f>
        <v>14.748730740442033</v>
      </c>
      <c r="AO29" s="210">
        <f t="shared" ref="AO29:AO30" si="34">AO24*$AL$18*0.67*AL13</f>
        <v>9.5872199049009037</v>
      </c>
      <c r="AP29" s="209">
        <f t="shared" ref="AP29:AP30" si="35">AP24*$AP$18*0.67*AP13</f>
        <v>2.5951924175625001</v>
      </c>
      <c r="AQ29" s="11">
        <f t="shared" ref="AQ29:AQ30" si="36">AQ24*$AP$18*0.67*AP13</f>
        <v>1.3259518361247599E-2</v>
      </c>
      <c r="AR29" s="11">
        <f t="shared" ref="AR29" si="37">AR24*$AP$18*0.67*AP13</f>
        <v>11.437047427016131</v>
      </c>
      <c r="AS29" s="210">
        <f t="shared" ref="AS29:AS30" si="38">AS24*$AP$18*0.67*AP13</f>
        <v>0.55653080286774204</v>
      </c>
      <c r="AV29" s="11"/>
      <c r="AW29" s="11"/>
      <c r="AX29" s="11"/>
      <c r="AY29" s="11"/>
      <c r="AZ29" s="11"/>
    </row>
    <row r="30" spans="1:60" x14ac:dyDescent="0.25">
      <c r="A30" s="243" t="s">
        <v>338</v>
      </c>
      <c r="B30" s="209">
        <f t="shared" si="0"/>
        <v>0.51415675074847034</v>
      </c>
      <c r="C30" s="11">
        <f t="shared" si="1"/>
        <v>4.0280078171306983E-3</v>
      </c>
      <c r="D30" s="11">
        <f t="shared" si="2"/>
        <v>0.61524943859868542</v>
      </c>
      <c r="E30" s="210">
        <f t="shared" si="3"/>
        <v>0</v>
      </c>
      <c r="F30" s="209">
        <f t="shared" ref="F30" si="39">F25*$F$18*0.67*F14</f>
        <v>0</v>
      </c>
      <c r="G30" s="11">
        <f t="shared" ref="G30" si="40">G25*$F$18*0.67*F14</f>
        <v>0</v>
      </c>
      <c r="H30" s="11">
        <f t="shared" si="4"/>
        <v>0</v>
      </c>
      <c r="I30" s="210">
        <f t="shared" ref="I30" si="41">I25*$F$18*0.67*F14</f>
        <v>0</v>
      </c>
      <c r="J30" s="209">
        <f t="shared" si="5"/>
        <v>0.14640688087279705</v>
      </c>
      <c r="K30" s="11">
        <f t="shared" si="6"/>
        <v>1.1469810710038695E-3</v>
      </c>
      <c r="L30" s="11">
        <f t="shared" si="7"/>
        <v>0.81710269205105857</v>
      </c>
      <c r="M30" s="210">
        <f t="shared" si="8"/>
        <v>0.52993761302291165</v>
      </c>
      <c r="N30" s="209">
        <f t="shared" ref="N30" si="42">N25*$N$18*0.67*N14</f>
        <v>0</v>
      </c>
      <c r="O30" s="11">
        <f t="shared" si="9"/>
        <v>0</v>
      </c>
      <c r="P30" s="11">
        <f t="shared" si="10"/>
        <v>0</v>
      </c>
      <c r="Q30" s="210">
        <f t="shared" si="11"/>
        <v>0</v>
      </c>
      <c r="R30" s="209">
        <f t="shared" si="12"/>
        <v>1.4565705013556085</v>
      </c>
      <c r="S30" s="11">
        <f t="shared" si="13"/>
        <v>1.1411067455832357E-2</v>
      </c>
      <c r="T30" s="11">
        <f t="shared" si="14"/>
        <v>5.0423263900966768</v>
      </c>
      <c r="U30" s="210">
        <f t="shared" si="15"/>
        <v>3.2682260315389593</v>
      </c>
      <c r="V30" s="209">
        <f t="shared" si="16"/>
        <v>0</v>
      </c>
      <c r="W30" s="11">
        <f t="shared" si="17"/>
        <v>0</v>
      </c>
      <c r="X30" s="11">
        <f t="shared" si="18"/>
        <v>0</v>
      </c>
      <c r="Y30" s="210">
        <f t="shared" si="19"/>
        <v>0</v>
      </c>
      <c r="Z30" s="209">
        <f t="shared" si="20"/>
        <v>0</v>
      </c>
      <c r="AA30" s="11">
        <f t="shared" si="21"/>
        <v>0</v>
      </c>
      <c r="AB30" s="11">
        <f t="shared" si="22"/>
        <v>0</v>
      </c>
      <c r="AC30" s="210">
        <f t="shared" si="23"/>
        <v>0</v>
      </c>
      <c r="AD30" s="209">
        <f t="shared" si="24"/>
        <v>0.47671784870652179</v>
      </c>
      <c r="AE30" s="11">
        <f t="shared" si="25"/>
        <v>1.3145709444096381E-3</v>
      </c>
      <c r="AF30" s="11">
        <f t="shared" si="26"/>
        <v>0</v>
      </c>
      <c r="AG30" s="210">
        <f>AG25*$AD$18*0.67*AD14</f>
        <v>0.64756428807850486</v>
      </c>
      <c r="AH30" s="209">
        <f t="shared" si="28"/>
        <v>0</v>
      </c>
      <c r="AI30" s="11">
        <f t="shared" si="29"/>
        <v>0</v>
      </c>
      <c r="AJ30" s="11">
        <f t="shared" si="30"/>
        <v>0</v>
      </c>
      <c r="AK30" s="210">
        <f t="shared" si="31"/>
        <v>0</v>
      </c>
      <c r="AL30" s="209">
        <f t="shared" si="32"/>
        <v>7.6667060868199206</v>
      </c>
      <c r="AM30" s="11">
        <f t="shared" si="33"/>
        <v>6.0062523742806385E-2</v>
      </c>
      <c r="AN30" s="11">
        <f t="shared" ref="AN30" si="43">AN25*$AL$18*0.67*AL14</f>
        <v>38.156742914253279</v>
      </c>
      <c r="AO30" s="210">
        <f t="shared" si="34"/>
        <v>24.803292677289157</v>
      </c>
      <c r="AP30" s="209">
        <f t="shared" si="35"/>
        <v>3.401408656125001</v>
      </c>
      <c r="AQ30" s="11">
        <f t="shared" si="36"/>
        <v>1.7378688464401618E-2</v>
      </c>
      <c r="AR30" s="11">
        <f>AR25*$AP$18*0.67*AP14</f>
        <v>0</v>
      </c>
      <c r="AS30" s="210">
        <f t="shared" si="38"/>
        <v>0.72942132439354856</v>
      </c>
      <c r="AV30" s="11"/>
      <c r="AW30" s="11"/>
      <c r="AX30" s="11"/>
      <c r="AY30" s="11"/>
      <c r="AZ30" s="11"/>
    </row>
    <row r="31" spans="1:60" x14ac:dyDescent="0.25">
      <c r="A31" s="243" t="s">
        <v>339</v>
      </c>
      <c r="B31" s="209"/>
      <c r="C31" s="11"/>
      <c r="D31" s="11"/>
      <c r="E31" s="210">
        <f>SUM(B28:E30)</f>
        <v>25.112518310778697</v>
      </c>
      <c r="F31" s="209"/>
      <c r="G31" s="11"/>
      <c r="H31" s="11"/>
      <c r="I31" s="210">
        <f>SUM(F28:I30)</f>
        <v>118.02382953388546</v>
      </c>
      <c r="J31" s="209"/>
      <c r="K31" s="11"/>
      <c r="L31" s="11"/>
      <c r="M31" s="210">
        <f>SUM(J28:M30)</f>
        <v>87.224571634438391</v>
      </c>
      <c r="N31" s="209"/>
      <c r="O31" s="11"/>
      <c r="P31" s="11"/>
      <c r="Q31" s="210">
        <f>SUM(N28:Q30)</f>
        <v>245.09664187331666</v>
      </c>
      <c r="R31" s="209"/>
      <c r="S31" s="11"/>
      <c r="T31" s="11"/>
      <c r="U31" s="210">
        <f>SUM(R28:U30)</f>
        <v>66.45971986696523</v>
      </c>
      <c r="V31" s="209"/>
      <c r="W31" s="11"/>
      <c r="X31" s="11"/>
      <c r="Y31" s="210">
        <f>SUM(V28:Y30)</f>
        <v>17.163250700791664</v>
      </c>
      <c r="Z31" s="209"/>
      <c r="AA31" s="11"/>
      <c r="AB31" s="11"/>
      <c r="AC31" s="210">
        <f>SUM(Z28:AC30)</f>
        <v>164.21179533336431</v>
      </c>
      <c r="AD31" s="209"/>
      <c r="AE31" s="11"/>
      <c r="AF31" s="11"/>
      <c r="AG31" s="210">
        <f>SUM(AD28:AG30)</f>
        <v>160.09159498500904</v>
      </c>
      <c r="AH31" s="209"/>
      <c r="AI31" s="11"/>
      <c r="AJ31" s="11"/>
      <c r="AK31" s="210">
        <f>SUM(AH28:AK30)</f>
        <v>20.962104126509097</v>
      </c>
      <c r="AL31" s="209"/>
      <c r="AM31" s="11"/>
      <c r="AN31" s="11"/>
      <c r="AO31" s="11">
        <f>SUM(AL28:AO30)</f>
        <v>98.560975127686049</v>
      </c>
      <c r="AP31" s="209"/>
      <c r="AQ31" s="11"/>
      <c r="AR31" s="11"/>
      <c r="AS31" s="210">
        <f>SUM(AP28:AS30)</f>
        <v>19.324385363369526</v>
      </c>
      <c r="AV31" s="11"/>
      <c r="AW31" s="11"/>
      <c r="AX31" s="11"/>
      <c r="AY31" s="11"/>
      <c r="AZ31" s="11"/>
    </row>
    <row r="32" spans="1:60" x14ac:dyDescent="0.25">
      <c r="A32" s="243" t="s">
        <v>340</v>
      </c>
      <c r="B32" s="209"/>
      <c r="C32" s="11"/>
      <c r="D32" s="11"/>
      <c r="E32" s="211">
        <f>E31/Production!B35</f>
        <v>1.4296555064713778E-2</v>
      </c>
      <c r="F32" s="209"/>
      <c r="G32" s="11"/>
      <c r="H32" s="11"/>
      <c r="I32" s="211">
        <f>I31/Production!C35</f>
        <v>7.473245532662362E-2</v>
      </c>
      <c r="J32" s="209"/>
      <c r="K32" s="11"/>
      <c r="L32" s="11"/>
      <c r="M32" s="211">
        <f>M31/Production!D35</f>
        <v>5.4495186705697994E-2</v>
      </c>
      <c r="N32" s="209"/>
      <c r="O32" s="11"/>
      <c r="P32" s="11"/>
      <c r="Q32" s="211">
        <f>Q31/Production!E35</f>
        <v>0.15607976209737875</v>
      </c>
      <c r="R32" s="209"/>
      <c r="S32" s="11"/>
      <c r="T32" s="11"/>
      <c r="U32" s="211">
        <f>U31/Production!F35</f>
        <v>4.031171749208929E-2</v>
      </c>
      <c r="V32" s="209"/>
      <c r="W32" s="11"/>
      <c r="X32" s="11"/>
      <c r="Y32" s="211">
        <f>Y31/Production!G35</f>
        <v>1.0895119447360723E-2</v>
      </c>
      <c r="Z32" s="209"/>
      <c r="AA32" s="11"/>
      <c r="AB32" s="11"/>
      <c r="AC32" s="211">
        <f>AC31/Production!H35</f>
        <v>9.5233076912463577E-2</v>
      </c>
      <c r="AD32" s="209"/>
      <c r="AE32" s="11"/>
      <c r="AF32" s="11"/>
      <c r="AG32" s="211">
        <f>AG31/Production!I35</f>
        <v>9.3464096506754357E-2</v>
      </c>
      <c r="AH32" s="209"/>
      <c r="AI32" s="11"/>
      <c r="AJ32" s="11"/>
      <c r="AK32" s="211">
        <f>AK31/Production!J35</f>
        <v>1.3348857822446622E-2</v>
      </c>
      <c r="AL32" s="209"/>
      <c r="AM32" s="11"/>
      <c r="AN32" s="11"/>
      <c r="AO32" s="4">
        <f>AO31/Production!K35</f>
        <v>7.0011862374177947E-2</v>
      </c>
      <c r="AP32" s="209"/>
      <c r="AQ32" s="11"/>
      <c r="AR32" s="11"/>
      <c r="AS32" s="211">
        <f>AS31/Production!L35</f>
        <v>1.2864419045220007E-2</v>
      </c>
      <c r="AV32" s="4"/>
      <c r="AW32" s="4"/>
      <c r="AX32" s="4"/>
      <c r="AY32" s="4"/>
      <c r="AZ32" s="4"/>
    </row>
    <row r="33" spans="1:59" x14ac:dyDescent="0.25">
      <c r="A33" s="243"/>
      <c r="B33" s="197"/>
      <c r="E33" s="198"/>
      <c r="F33" s="197"/>
      <c r="I33" s="198"/>
      <c r="J33" s="197"/>
      <c r="M33" s="198"/>
      <c r="N33" s="197"/>
      <c r="Q33" s="198"/>
      <c r="R33" s="197"/>
      <c r="U33" s="198"/>
      <c r="V33" s="197"/>
      <c r="Y33" s="198"/>
      <c r="Z33" s="197"/>
      <c r="AC33" s="198"/>
      <c r="AD33" s="197"/>
      <c r="AG33" s="198"/>
      <c r="AH33" s="197"/>
      <c r="AK33" s="198"/>
      <c r="AL33" s="197"/>
      <c r="AP33" s="197"/>
      <c r="AS33" s="198"/>
    </row>
    <row r="34" spans="1:59" x14ac:dyDescent="0.25">
      <c r="A34" s="240" t="s">
        <v>341</v>
      </c>
      <c r="B34" s="250"/>
      <c r="C34" s="153"/>
      <c r="D34" s="153"/>
      <c r="E34" s="153"/>
      <c r="F34" s="250"/>
      <c r="G34" s="153"/>
      <c r="H34" s="153"/>
      <c r="I34" s="153"/>
      <c r="J34" s="250"/>
      <c r="K34" s="153"/>
      <c r="L34" s="153"/>
      <c r="M34" s="153"/>
      <c r="N34" s="250"/>
      <c r="O34" s="153"/>
      <c r="P34" s="153"/>
      <c r="Q34" s="153"/>
      <c r="R34" s="250"/>
      <c r="S34" s="153"/>
      <c r="T34" s="153"/>
      <c r="U34" s="153"/>
      <c r="V34" s="250"/>
      <c r="W34" s="153"/>
      <c r="X34" s="153"/>
      <c r="Y34" s="153"/>
      <c r="Z34" s="250"/>
      <c r="AA34" s="153"/>
      <c r="AB34" s="153"/>
      <c r="AC34" s="153"/>
      <c r="AD34" s="250"/>
      <c r="AE34" s="153"/>
      <c r="AF34" s="153"/>
      <c r="AG34" s="153"/>
      <c r="AH34" s="250"/>
      <c r="AI34" s="153"/>
      <c r="AJ34" s="153"/>
      <c r="AK34" s="153"/>
      <c r="AL34" s="250"/>
      <c r="AM34" s="153"/>
      <c r="AN34" s="153"/>
      <c r="AO34" s="153"/>
      <c r="AP34" s="250"/>
      <c r="AQ34" s="153"/>
      <c r="AR34" s="153"/>
      <c r="AS34" s="265"/>
    </row>
    <row r="35" spans="1:59" x14ac:dyDescent="0.25">
      <c r="A35" s="245" t="s">
        <v>342</v>
      </c>
      <c r="B35" s="205"/>
      <c r="C35" s="114"/>
      <c r="D35" s="114"/>
      <c r="E35" s="206"/>
      <c r="F35" s="205"/>
      <c r="G35" s="114"/>
      <c r="H35" s="114"/>
      <c r="I35" s="206"/>
      <c r="J35" s="205"/>
      <c r="K35" s="114"/>
      <c r="L35" s="114"/>
      <c r="M35" s="206"/>
      <c r="N35" s="205"/>
      <c r="O35" s="114"/>
      <c r="P35" s="114"/>
      <c r="Q35" s="206"/>
      <c r="R35" s="205"/>
      <c r="S35" s="114"/>
      <c r="T35" s="114"/>
      <c r="U35" s="206"/>
      <c r="V35" s="205"/>
      <c r="W35" s="114"/>
      <c r="X35" s="114"/>
      <c r="Y35" s="206"/>
      <c r="Z35" s="205"/>
      <c r="AA35" s="114"/>
      <c r="AB35" s="114"/>
      <c r="AC35" s="206"/>
      <c r="AD35" s="205"/>
      <c r="AE35" s="114"/>
      <c r="AF35" s="114"/>
      <c r="AG35" s="206"/>
      <c r="AH35" s="205"/>
      <c r="AI35" s="114"/>
      <c r="AJ35" s="114"/>
      <c r="AK35" s="206"/>
      <c r="AL35" s="205"/>
      <c r="AM35" s="114"/>
      <c r="AN35" s="114"/>
      <c r="AO35" s="114"/>
      <c r="AP35" s="205"/>
      <c r="AQ35" s="114"/>
      <c r="AR35" s="114"/>
      <c r="AS35" s="206"/>
      <c r="AU35" s="7" t="s">
        <v>511</v>
      </c>
    </row>
    <row r="36" spans="1:59" x14ac:dyDescent="0.25">
      <c r="A36" s="243" t="s">
        <v>343</v>
      </c>
      <c r="B36" s="195">
        <v>7.12</v>
      </c>
      <c r="C36" s="264">
        <v>7.12</v>
      </c>
      <c r="D36" s="264">
        <v>7.12</v>
      </c>
      <c r="E36" s="196">
        <v>7.12</v>
      </c>
      <c r="F36" s="195">
        <v>9.49</v>
      </c>
      <c r="G36" s="264">
        <v>9.49</v>
      </c>
      <c r="H36" s="264">
        <v>9.49</v>
      </c>
      <c r="I36" s="196">
        <v>9.49</v>
      </c>
      <c r="J36" s="195">
        <v>12.61</v>
      </c>
      <c r="K36" s="264">
        <v>12.61</v>
      </c>
      <c r="L36" s="264">
        <v>12.61</v>
      </c>
      <c r="M36" s="196">
        <v>12.61</v>
      </c>
      <c r="N36" s="195">
        <v>13.51</v>
      </c>
      <c r="O36" s="264">
        <v>13.51</v>
      </c>
      <c r="P36" s="264">
        <v>13.51</v>
      </c>
      <c r="Q36" s="196">
        <v>13.51</v>
      </c>
      <c r="R36" s="195">
        <v>9.31</v>
      </c>
      <c r="S36" s="264">
        <v>9.31</v>
      </c>
      <c r="T36" s="264">
        <v>9.31</v>
      </c>
      <c r="U36" s="196">
        <v>9.31</v>
      </c>
      <c r="V36" s="195">
        <v>20</v>
      </c>
      <c r="W36" s="264">
        <v>16</v>
      </c>
      <c r="X36" s="264">
        <v>9.1999999999999993</v>
      </c>
      <c r="Y36" s="196">
        <v>3</v>
      </c>
      <c r="Z36" s="195">
        <v>12.14</v>
      </c>
      <c r="AA36" s="264">
        <v>12.14</v>
      </c>
      <c r="AB36" s="264">
        <v>12.14</v>
      </c>
      <c r="AC36" s="196">
        <v>12.14</v>
      </c>
      <c r="AD36" s="195">
        <v>7.81</v>
      </c>
      <c r="AE36" s="264">
        <v>7.81</v>
      </c>
      <c r="AF36" s="264">
        <v>7.81</v>
      </c>
      <c r="AG36" s="196">
        <v>7.81</v>
      </c>
      <c r="AH36" s="195">
        <v>10.93</v>
      </c>
      <c r="AI36" s="264">
        <v>10.93</v>
      </c>
      <c r="AJ36" s="264">
        <v>10.93</v>
      </c>
      <c r="AK36" s="196">
        <v>10.93</v>
      </c>
      <c r="AL36" s="195">
        <v>8.41</v>
      </c>
      <c r="AM36" s="195">
        <v>8.41</v>
      </c>
      <c r="AN36" s="195">
        <v>8.41</v>
      </c>
      <c r="AO36" s="195">
        <v>8.41</v>
      </c>
      <c r="AP36" s="195">
        <v>22.5</v>
      </c>
      <c r="AQ36" s="264">
        <v>13</v>
      </c>
      <c r="AR36" s="264">
        <v>10.8</v>
      </c>
      <c r="AS36" s="196">
        <v>1.2</v>
      </c>
    </row>
    <row r="37" spans="1:59" x14ac:dyDescent="0.25">
      <c r="A37" s="243" t="s">
        <v>345</v>
      </c>
      <c r="B37" s="212">
        <v>0.7</v>
      </c>
      <c r="C37" s="268">
        <v>0.7</v>
      </c>
      <c r="D37" s="268">
        <v>0.7</v>
      </c>
      <c r="E37" s="213">
        <v>0.7</v>
      </c>
      <c r="F37" s="212">
        <v>0.7</v>
      </c>
      <c r="G37" s="268">
        <v>0.7</v>
      </c>
      <c r="H37" s="268">
        <v>0.7</v>
      </c>
      <c r="I37" s="213">
        <v>0.7</v>
      </c>
      <c r="J37" s="212">
        <v>0.7</v>
      </c>
      <c r="K37" s="268">
        <v>0.7</v>
      </c>
      <c r="L37" s="268">
        <v>0.7</v>
      </c>
      <c r="M37" s="213">
        <v>0.7</v>
      </c>
      <c r="N37" s="212">
        <v>0.7</v>
      </c>
      <c r="O37" s="268">
        <v>0.7</v>
      </c>
      <c r="P37" s="268">
        <v>0.7</v>
      </c>
      <c r="Q37" s="213">
        <v>0.7</v>
      </c>
      <c r="R37" s="212">
        <v>0.7</v>
      </c>
      <c r="S37" s="268">
        <v>0.7</v>
      </c>
      <c r="T37" s="268">
        <v>0.7</v>
      </c>
      <c r="U37" s="213">
        <v>0.7</v>
      </c>
      <c r="V37" s="212">
        <v>0.7</v>
      </c>
      <c r="W37" s="268">
        <v>0.7</v>
      </c>
      <c r="X37" s="268">
        <v>0.7</v>
      </c>
      <c r="Y37" s="213">
        <v>0.7</v>
      </c>
      <c r="Z37" s="212">
        <v>0.7</v>
      </c>
      <c r="AA37" s="268">
        <v>0.7</v>
      </c>
      <c r="AB37" s="268">
        <v>0.7</v>
      </c>
      <c r="AC37" s="213">
        <v>0.7</v>
      </c>
      <c r="AD37" s="212">
        <v>0.7</v>
      </c>
      <c r="AE37" s="268">
        <v>0.7</v>
      </c>
      <c r="AF37" s="268">
        <v>0.7</v>
      </c>
      <c r="AG37" s="213">
        <v>0.7</v>
      </c>
      <c r="AH37" s="212">
        <v>0.7</v>
      </c>
      <c r="AI37" s="268">
        <v>0.7</v>
      </c>
      <c r="AJ37" s="268">
        <v>0.7</v>
      </c>
      <c r="AK37" s="213">
        <v>0.7</v>
      </c>
      <c r="AL37" s="212">
        <v>0.7</v>
      </c>
      <c r="AM37" s="268">
        <v>0.7</v>
      </c>
      <c r="AN37" s="268">
        <v>0.7</v>
      </c>
      <c r="AO37" s="268">
        <v>0.7</v>
      </c>
      <c r="AP37" s="212">
        <v>0.7</v>
      </c>
      <c r="AQ37" s="268">
        <v>0.7</v>
      </c>
      <c r="AR37" s="268">
        <v>0.7</v>
      </c>
      <c r="AS37" s="213">
        <v>0.7</v>
      </c>
      <c r="AU37" s="180" t="s">
        <v>346</v>
      </c>
    </row>
    <row r="38" spans="1:59" x14ac:dyDescent="0.25">
      <c r="A38" s="243"/>
      <c r="B38" s="212"/>
      <c r="C38" s="268"/>
      <c r="D38" s="268"/>
      <c r="E38" s="213"/>
      <c r="F38" s="212"/>
      <c r="G38" s="268"/>
      <c r="H38" s="268"/>
      <c r="I38" s="213"/>
      <c r="J38" s="212"/>
      <c r="K38" s="268"/>
      <c r="L38" s="268"/>
      <c r="M38" s="213"/>
      <c r="N38" s="212"/>
      <c r="O38" s="268"/>
      <c r="P38" s="268"/>
      <c r="Q38" s="213"/>
      <c r="R38" s="212"/>
      <c r="S38" s="268"/>
      <c r="T38" s="268"/>
      <c r="U38" s="213"/>
      <c r="V38" s="212"/>
      <c r="W38" s="268"/>
      <c r="X38" s="268"/>
      <c r="Y38" s="213"/>
      <c r="Z38" s="212"/>
      <c r="AA38" s="268"/>
      <c r="AB38" s="268"/>
      <c r="AC38" s="213"/>
      <c r="AD38" s="212"/>
      <c r="AE38" s="268"/>
      <c r="AF38" s="268"/>
      <c r="AG38" s="213"/>
      <c r="AH38" s="212"/>
      <c r="AI38" s="268"/>
      <c r="AJ38" s="268"/>
      <c r="AK38" s="213"/>
      <c r="AL38" s="212"/>
      <c r="AM38" s="268"/>
      <c r="AN38" s="268"/>
      <c r="AO38" s="268"/>
      <c r="AP38" s="212"/>
      <c r="AQ38" s="268"/>
      <c r="AR38" s="268"/>
      <c r="AS38" s="213"/>
      <c r="AU38" s="180"/>
    </row>
    <row r="39" spans="1:59" x14ac:dyDescent="0.25">
      <c r="A39" s="245" t="s">
        <v>347</v>
      </c>
      <c r="B39" s="205"/>
      <c r="C39" s="114"/>
      <c r="D39" s="114"/>
      <c r="E39" s="206"/>
      <c r="F39" s="205"/>
      <c r="G39" s="114"/>
      <c r="H39" s="114"/>
      <c r="I39" s="206"/>
      <c r="J39" s="205"/>
      <c r="K39" s="114"/>
      <c r="L39" s="114"/>
      <c r="M39" s="206"/>
      <c r="N39" s="205"/>
      <c r="O39" s="114"/>
      <c r="P39" s="114"/>
      <c r="Q39" s="206"/>
      <c r="R39" s="205"/>
      <c r="S39" s="114"/>
      <c r="T39" s="114"/>
      <c r="U39" s="206"/>
      <c r="V39" s="205"/>
      <c r="W39" s="114"/>
      <c r="X39" s="114"/>
      <c r="Y39" s="206"/>
      <c r="Z39" s="205"/>
      <c r="AA39" s="114"/>
      <c r="AB39" s="114"/>
      <c r="AC39" s="206"/>
      <c r="AD39" s="205"/>
      <c r="AE39" s="114"/>
      <c r="AF39" s="114"/>
      <c r="AG39" s="206"/>
      <c r="AH39" s="205"/>
      <c r="AI39" s="114"/>
      <c r="AJ39" s="114"/>
      <c r="AK39" s="206"/>
      <c r="AL39" s="205"/>
      <c r="AM39" s="114"/>
      <c r="AN39" s="114"/>
      <c r="AO39" s="114"/>
      <c r="AP39" s="205"/>
      <c r="AQ39" s="114"/>
      <c r="AR39" s="114"/>
      <c r="AS39" s="206"/>
    </row>
    <row r="40" spans="1:59" x14ac:dyDescent="0.25">
      <c r="A40" s="243" t="s">
        <v>334</v>
      </c>
      <c r="B40" s="256">
        <f>(No_sows_DK+No_recruit_sows_DK)*B6*B36</f>
        <v>1.2222837523535276E-2</v>
      </c>
      <c r="C40" s="18">
        <f>No_boars_DK*C6*$AQ$36</f>
        <v>1.7483571736263913E-4</v>
      </c>
      <c r="D40" s="11">
        <f>No_fattening_pigs_DK*Time_fattening_days_DK/365*D6*$AR$36</f>
        <v>0.1150542816240159</v>
      </c>
      <c r="E40" s="210">
        <f>No_piglets_DK*Time_piglet_system_DK/365*E6*$AS$36</f>
        <v>8.2753387798952787E-3</v>
      </c>
      <c r="F40" s="256">
        <f>(No_sows_FR+No_recruit_sows_FR)*F6*F36</f>
        <v>0.91616262975778473</v>
      </c>
      <c r="G40" s="18">
        <f>No_boars_FR*G6*$AQ$36</f>
        <v>9.8320589817338534E-3</v>
      </c>
      <c r="H40" s="11">
        <f>No_fattening_pigs_FR*Time_fattening_days_FR/365*H6*$AR$36</f>
        <v>5.8002047999455772</v>
      </c>
      <c r="I40" s="210">
        <f>No_piglets_FR*Time_piglet_system_FR/365*I6*$AS$36</f>
        <v>0.41799907624913052</v>
      </c>
      <c r="J40" s="256">
        <f>(No_sows_DE+No_recruit_sows_DE)*J7*J36</f>
        <v>18.544909123606285</v>
      </c>
      <c r="K40" s="18">
        <f>No_boars_DE*K6*$AQ$36</f>
        <v>5.6587809126976791E-3</v>
      </c>
      <c r="L40" s="11">
        <f>No_fattening_pigs_DE*Time_fattening_days_DE/365*L6*$AR$36</f>
        <v>3.3490657499029042</v>
      </c>
      <c r="M40" s="210">
        <f>No_piglets_DE*Time_piglet_system_DE/365*M6*$AS$36</f>
        <v>0.24133997770767213</v>
      </c>
      <c r="N40" s="256">
        <f>(No_sows_GR+No_recruit_sows_GR)*N6*N36</f>
        <v>2.0940500000000002</v>
      </c>
      <c r="O40" s="18">
        <f>No_boars_GR*O6*$AQ$36</f>
        <v>1.5785916920672688E-2</v>
      </c>
      <c r="P40" s="11">
        <f>No_fattening_pigs_GR*Time_fattening_days_GR/365*P6*$AR$36</f>
        <v>9.1819001956947162</v>
      </c>
      <c r="Q40" s="210">
        <f>No_piglets_GR*Time_piglet_system_GR/365*Q6*$AS$36</f>
        <v>0.66188280060882798</v>
      </c>
      <c r="R40" s="256">
        <f>(No_sows_HU+No_recruit_sows_HU)*R6*R36</f>
        <v>3.1358987812435446</v>
      </c>
      <c r="S40" s="18">
        <f>No_boars_HU*S6*$AQ$36</f>
        <v>3.4304450734450868E-2</v>
      </c>
      <c r="T40" s="11">
        <f>No_fattening_pigs_HU*Time_fattening_days_HU/365*T6*$AR$36</f>
        <v>20.988640278065517</v>
      </c>
      <c r="U40" s="210">
        <f>No_piglets_HU*Time_piglet_system_HU/365*U6*$AS$36</f>
        <v>1.5115514197332327</v>
      </c>
      <c r="V40" s="256">
        <f>(No_sows_IE+No_recruit_sows_IE)*V6*V36</f>
        <v>0</v>
      </c>
      <c r="W40" s="18">
        <f>No_boars_IE*W6*$AQ$36</f>
        <v>0</v>
      </c>
      <c r="X40" s="11">
        <f>No_fattening_pigs_IE*Time_fattening_days_IE/365*X6*$AR$36</f>
        <v>0</v>
      </c>
      <c r="Y40" s="210">
        <f>No_piglets_IE*Time_piglet_system_IE/365*Y6*$AS$36</f>
        <v>0</v>
      </c>
      <c r="Z40" s="256">
        <f>(No_sows_IT+No_recruit_sows_IT)*Z6*Z36</f>
        <v>0</v>
      </c>
      <c r="AA40" s="18">
        <f>No_boars_IT*AA6*$AQ$36</f>
        <v>0</v>
      </c>
      <c r="AB40" s="11">
        <f>No_fattening_pigs_IT*Time_fattening_days_IT/365*AB6*$AR$36</f>
        <v>0</v>
      </c>
      <c r="AC40" s="210">
        <f>No_piglets_IT*Time_piglet_system_IT/365*AC6*$AS$36</f>
        <v>0</v>
      </c>
      <c r="AD40" s="256">
        <f>(No_sows_NL+No_recruit_sows_NL)*AD6*AD36</f>
        <v>8.1872946859903373E-2</v>
      </c>
      <c r="AE40" s="18">
        <f>No_boars_NL*AE6*$AQ$36</f>
        <v>3.1571833841345376E-2</v>
      </c>
      <c r="AF40" s="11">
        <f>No_fattening_pigs_NL*Time_fattening_days_NL/365*AF6*$AR$36</f>
        <v>0</v>
      </c>
      <c r="AG40" s="210">
        <f>No_piglets_NL*Time_piglet_system_NL/365*AG6*$AS$36</f>
        <v>1.4356102931762902</v>
      </c>
      <c r="AH40" s="256">
        <f>(No_sows_PL+No_recruit_sows_PL)*AH6*AH36</f>
        <v>12.824715500000002</v>
      </c>
      <c r="AI40" s="18">
        <f>No_boars_PL*AI6*$AQ$36</f>
        <v>0.11949939108949224</v>
      </c>
      <c r="AJ40" s="11">
        <f>No_fattening_pigs_PL*Time_fattening_days_PL/365*AJ6*$AR$36</f>
        <v>69.50698448140902</v>
      </c>
      <c r="AK40" s="210">
        <f>No_piglets_PL*Time_piglet_system_PL/365*AK6*$AS$36</f>
        <v>5.010452800608828</v>
      </c>
      <c r="AL40" s="256">
        <f>(No_sows_ES+No_recruit_sows_ES)*AL6*AL36</f>
        <v>0.5233960872682577</v>
      </c>
      <c r="AM40" s="18">
        <f>No_boars_ES*AM6*$AQ$36</f>
        <v>6.3382970735467508E-3</v>
      </c>
      <c r="AN40" s="11">
        <f>No_fattening_pigs_ES*Time_fattening_days_ES/365*AN6*$AR$36</f>
        <v>3.3451894078796958</v>
      </c>
      <c r="AO40" s="11">
        <f>No_piglets_ES*Time_piglet_system_ES/365*AO6*$AS$36</f>
        <v>0.24161074559413373</v>
      </c>
      <c r="AP40" s="256">
        <f>(No_sows_SE+No_recruit_sows_SE)*AP6*AP36</f>
        <v>6.9750000000000014</v>
      </c>
      <c r="AQ40" s="18">
        <f>No_boars_SE*AQ6*$AQ$36</f>
        <v>3.1571833841345376E-2</v>
      </c>
      <c r="AR40" s="11">
        <f>No_fattening_pigs_SE*Time_fattening_days_SE/365*AR6*$AR$36</f>
        <v>0</v>
      </c>
      <c r="AS40" s="210">
        <f>No_piglets_SE*Time_piglet_system_SE/365*AS6*$AS$36</f>
        <v>1.2510048608042423</v>
      </c>
      <c r="AW40" s="180" t="s">
        <v>540</v>
      </c>
      <c r="AX40" s="180" t="s">
        <v>540</v>
      </c>
      <c r="AY40" s="180" t="s">
        <v>540</v>
      </c>
      <c r="AZ40" s="180" t="s">
        <v>540</v>
      </c>
      <c r="BA40" s="180" t="s">
        <v>540</v>
      </c>
      <c r="BB40" s="180" t="s">
        <v>540</v>
      </c>
      <c r="BC40" s="180" t="s">
        <v>540</v>
      </c>
      <c r="BD40" s="180" t="s">
        <v>540</v>
      </c>
      <c r="BE40" s="180" t="s">
        <v>540</v>
      </c>
      <c r="BF40" s="180" t="s">
        <v>540</v>
      </c>
      <c r="BG40" s="180" t="s">
        <v>344</v>
      </c>
    </row>
    <row r="41" spans="1:59" x14ac:dyDescent="0.25">
      <c r="A41" s="243" t="s">
        <v>335</v>
      </c>
      <c r="B41" s="256">
        <f>(No_sows_DK+No_recruit_sows_DK)*B7*B36</f>
        <v>10.632646361723337</v>
      </c>
      <c r="C41" s="18">
        <f>No_boars_DK*C7*$AQ$36</f>
        <v>0.15208959053375978</v>
      </c>
      <c r="D41" s="11">
        <f>No_fattening_pigs_DK*Time_fattening_days_DK/365*D7*$AR$36</f>
        <v>100.08571958473145</v>
      </c>
      <c r="E41" s="210">
        <f>No_piglets_DK*Time_piglet_system_DK/365*E7*$AS$36</f>
        <v>7.1987172046309027</v>
      </c>
      <c r="F41" s="256">
        <f>(No_sows_FR+No_recruit_sows_FR)*F7*F36</f>
        <v>13.793337370242215</v>
      </c>
      <c r="G41" s="18">
        <f>No_boars_FR*G7*$AQ$36</f>
        <v>0.14802711022499301</v>
      </c>
      <c r="H41" s="11">
        <f>No_fattening_pigs_FR*Time_fattening_days_FR/365*H7*$AR$36</f>
        <v>87.325305599180624</v>
      </c>
      <c r="I41" s="210">
        <f>No_piglets_FR*Time_piglet_system_FR/365*I7*$AS$36</f>
        <v>6.2932083146396876</v>
      </c>
      <c r="J41" s="256">
        <f>(No_sows_DE+No_recruit_sows_DE)*J6*J36</f>
        <v>0.70064794389161977</v>
      </c>
      <c r="K41" s="18">
        <f>No_boars_DE*K7*$AQ$36</f>
        <v>0.1497779001441118</v>
      </c>
      <c r="L41" s="11">
        <f>No_fattening_pigs_DE*Time_fattening_days_DE/365*L7*$AR$36</f>
        <v>88.643833928868176</v>
      </c>
      <c r="M41" s="210">
        <f>No_piglets_DE*Time_piglet_system_DE/365*M7*$AS$36</f>
        <v>6.3878414166505584</v>
      </c>
      <c r="N41" s="256">
        <f>(No_sows_GR+No_recruit_sows_GR)*N7*N36</f>
        <v>18.846450000000001</v>
      </c>
      <c r="O41" s="18">
        <f>No_boars_GR*O7*$AQ$36</f>
        <v>0.14207325228605419</v>
      </c>
      <c r="P41" s="11">
        <f>No_fattening_pigs_GR*Time_fattening_days_GR/365*P7*$AR$36</f>
        <v>82.637101761252438</v>
      </c>
      <c r="Q41" s="210">
        <f>No_piglets_GR*Time_piglet_system_GR/365*Q7*$AS$36</f>
        <v>5.9569452054794523</v>
      </c>
      <c r="R41" s="256">
        <f>(No_sows_HU+No_recruit_sows_HU)*R7*R36</f>
        <v>9.969594556909728</v>
      </c>
      <c r="S41" s="18">
        <f>No_boars_HU*S7*$AQ$36</f>
        <v>0.1090601097731663</v>
      </c>
      <c r="T41" s="11">
        <f>No_fattening_pigs_HU*Time_fattening_days_HU/365*T7*$AR$36</f>
        <v>66.726718070332822</v>
      </c>
      <c r="U41" s="210">
        <f>No_piglets_HU*Time_piglet_system_HU/365*U7*$AS$36</f>
        <v>4.8054978358344078</v>
      </c>
      <c r="V41" s="256">
        <f>(No_sows_IE+No_recruit_sows_IE)*V7*V36</f>
        <v>31</v>
      </c>
      <c r="W41" s="18">
        <f>No_boars_IE*W7*$AQ$36</f>
        <v>0.15785916920672688</v>
      </c>
      <c r="X41" s="11">
        <f>No_fattening_pigs_IE*Time_fattening_days_IE/365*X7*$AR$36</f>
        <v>91.622465753424663</v>
      </c>
      <c r="Y41" s="210">
        <f>No_piglets_IE*Time_piglet_system_IE/365*Y7*$AS$36</f>
        <v>6.6049315068493142</v>
      </c>
      <c r="Z41" s="256">
        <f>(No_sows_IT+No_recruit_sows_IT)*Z7*Z36</f>
        <v>18.817</v>
      </c>
      <c r="AA41" s="18">
        <f>No_boars_IT*AA7*$AQ$36</f>
        <v>0.15785916920672688</v>
      </c>
      <c r="AB41" s="11">
        <f>No_fattening_pigs_IT*Time_fattening_days_IT/365*AB7*$AR$36</f>
        <v>141.86754841757207</v>
      </c>
      <c r="AC41" s="210">
        <f>No_piglets_IT*Time_piglet_system_IT/365*AC7*$AS$36</f>
        <v>5.6436466698157775</v>
      </c>
      <c r="AD41" s="256">
        <f>(No_sows_NL+No_recruit_sows_NL)*AD7*AD36</f>
        <v>6.177021437198067</v>
      </c>
      <c r="AE41" s="18">
        <f>No_boars_NL*AE7*$AQ$36</f>
        <v>9.9451276600237934E-2</v>
      </c>
      <c r="AF41" s="11">
        <f>No_fattening_pigs_NL*Time_fattening_days_NL/365*AF7*$AR$36</f>
        <v>99.728019459736302</v>
      </c>
      <c r="AG41" s="210">
        <f>No_piglets_NL*Time_piglet_system_NL/365*AG7*$AS$36</f>
        <v>4.5221724235053138</v>
      </c>
      <c r="AH41" s="256">
        <f>(No_sows_PL+No_recruit_sows_PL)*AH7*AH36</f>
        <v>4.1167844999999996</v>
      </c>
      <c r="AI41" s="18">
        <f>No_boars_PL*AI7*$AQ$36</f>
        <v>3.8359778117234629E-2</v>
      </c>
      <c r="AJ41" s="11">
        <f>No_fattening_pigs_PL*Time_fattening_days_PL/365*AJ7*$AR$36</f>
        <v>22.312017475538166</v>
      </c>
      <c r="AK41" s="210">
        <f>No_piglets_PL*Time_piglet_system_PL/365*AK7*$AS$36</f>
        <v>1.608375205479452</v>
      </c>
      <c r="AL41" s="256">
        <f>(No_sows_ES+No_recruit_sows_ES)*AL7*AL36</f>
        <v>3.092309536003278</v>
      </c>
      <c r="AM41" s="18">
        <f>No_boars_ES*AM7*$AQ$36</f>
        <v>3.7447693934526217E-2</v>
      </c>
      <c r="AN41" s="11">
        <f>No_fattening_pigs_ES*Time_fattening_days_ES/365*AN7*$AR$36</f>
        <v>19.763925175125959</v>
      </c>
      <c r="AO41" s="11">
        <f>No_piglets_ES*Time_piglet_system_ES/365*AO7*$AS$36</f>
        <v>1.4274757316224842</v>
      </c>
      <c r="AP41" s="256">
        <f>(No_sows_SE+No_recruit_sows_SE)*AP7*AP36</f>
        <v>21.971250000000001</v>
      </c>
      <c r="AQ41" s="18">
        <f>No_boars_SE*AQ7*$AQ$36</f>
        <v>9.9451276600237934E-2</v>
      </c>
      <c r="AR41" s="11">
        <f>No_fattening_pigs_SE*Time_fattening_days_SE/365*AR7*$AR$36</f>
        <v>86.67377817057006</v>
      </c>
      <c r="AS41" s="210">
        <f>No_piglets_SE*Time_piglet_system_SE/365*AS7*$AS$36</f>
        <v>3.9406653115333627</v>
      </c>
    </row>
    <row r="42" spans="1:59" x14ac:dyDescent="0.25">
      <c r="A42" s="243" t="s">
        <v>336</v>
      </c>
      <c r="B42" s="256">
        <f>(No_sows_DK+No_recruit_sows_DK)*B8*B36</f>
        <v>0.39113080075312884</v>
      </c>
      <c r="C42" s="18">
        <f>No_boars_DK*C8*$AQ$36</f>
        <v>5.5947429556044521E-3</v>
      </c>
      <c r="D42" s="11">
        <f>No_fattening_pigs_DK*Time_fattening_days_DK/365*D8*$AR$36</f>
        <v>3.6817370119685089</v>
      </c>
      <c r="E42" s="210">
        <f>No_piglets_DK*Time_piglet_system_DK/365*E8*$AS$36</f>
        <v>0.26481084095664892</v>
      </c>
      <c r="F42" s="256">
        <f>(No_sows_FR+No_recruit_sows_FR)*F8*F36</f>
        <v>0</v>
      </c>
      <c r="G42" s="18">
        <f>No_boars_FR*G8*$AQ$36</f>
        <v>0</v>
      </c>
      <c r="H42" s="11">
        <f>No_fattening_pigs_FR*Time_fattening_days_FR/365*H8*$AR$36</f>
        <v>0</v>
      </c>
      <c r="I42" s="210">
        <f>No_piglets_FR*Time_piglet_system_FR/365*I8*$AS$36</f>
        <v>0</v>
      </c>
      <c r="J42" s="256">
        <f>(No_sows_DE+No_recruit_sows_DE)*J8*J36</f>
        <v>0.29994293250209808</v>
      </c>
      <c r="K42" s="18">
        <f>No_boars_DE*K8*$AQ$36</f>
        <v>2.422488149917401E-3</v>
      </c>
      <c r="L42" s="11">
        <f>No_fattening_pigs_DE*Time_fattening_days_DE/365*L8*$AR$36</f>
        <v>1.4337137658447217</v>
      </c>
      <c r="M42" s="210">
        <f>No_piglets_DE*Time_piglet_system_DE/365*M8*$AS$36</f>
        <v>0.10331611085813389</v>
      </c>
      <c r="N42" s="256">
        <f>(No_sows_GR+No_recruit_sows_GR)*N8*N36</f>
        <v>0</v>
      </c>
      <c r="O42" s="18">
        <f>No_boars_GR*O8*$AQ$36</f>
        <v>0</v>
      </c>
      <c r="P42" s="11">
        <f>No_fattening_pigs_GR*Time_fattening_days_GR/365*P8*$AR$36</f>
        <v>0</v>
      </c>
      <c r="Q42" s="210">
        <f>No_piglets_GR*Time_piglet_system_GR/365*Q8*$AS$36</f>
        <v>0</v>
      </c>
      <c r="R42" s="256">
        <f>(No_sows_HU+No_recruit_sows_HU)*R8*R36</f>
        <v>1.3250066618467258</v>
      </c>
      <c r="S42" s="18">
        <f>No_boars_HU*S8*$AQ$36</f>
        <v>1.4494608699109707E-2</v>
      </c>
      <c r="T42" s="11">
        <f>No_fattening_pigs_HU*Time_fattening_days_HU/365*T8*$AR$36</f>
        <v>8.8682990528518282</v>
      </c>
      <c r="U42" s="210">
        <f>No_piglets_HU*Time_piglet_system_HU/365*U8*$AS$36</f>
        <v>0.63867357991580043</v>
      </c>
      <c r="V42" s="256">
        <f>(No_sows_IE+No_recruit_sows_IE)*V8*V36</f>
        <v>0</v>
      </c>
      <c r="W42" s="18">
        <f>No_boars_IE*W8*$AQ$36</f>
        <v>0</v>
      </c>
      <c r="X42" s="11">
        <f>No_fattening_pigs_IE*Time_fattening_days_IE/365*X8*$AR$36</f>
        <v>0</v>
      </c>
      <c r="Y42" s="210">
        <f>No_piglets_IE*Time_piglet_system_IE/365*Y8*$AS$36</f>
        <v>0</v>
      </c>
      <c r="Z42" s="256">
        <f>(No_sows_IT+No_recruit_sows_IT)*Z8*Z36</f>
        <v>0</v>
      </c>
      <c r="AA42" s="18">
        <f>No_boars_IT*AA8*$AQ$36</f>
        <v>0</v>
      </c>
      <c r="AB42" s="11">
        <f>No_fattening_pigs_IT*Time_fattening_days_IT/365*AB8*$AR$36</f>
        <v>0</v>
      </c>
      <c r="AC42" s="210">
        <f>No_piglets_IT*Time_piglet_system_IT/365*AC8*$AS$36</f>
        <v>0</v>
      </c>
      <c r="AD42" s="256">
        <f>(No_sows_NL+No_recruit_sows_NL)*AD8*AD36</f>
        <v>5.8466056159420283</v>
      </c>
      <c r="AE42" s="18">
        <f>No_boars_NL*AE8*$AQ$36</f>
        <v>2.6836058765143569E-2</v>
      </c>
      <c r="AF42" s="11">
        <f>No_fattening_pigs_NL*Time_fattening_days_NL/365*AF8*$AR$36</f>
        <v>0</v>
      </c>
      <c r="AG42" s="210">
        <f>No_piglets_NL*Time_piglet_system_NL/365*AG8*$AS$36</f>
        <v>1.2202687491998467</v>
      </c>
      <c r="AH42" s="256">
        <f>(No_sows_PL+No_recruit_sows_PL)*AH8*AH36</f>
        <v>0</v>
      </c>
      <c r="AI42" s="18">
        <f>No_boars_PL*AI8*$AQ$36</f>
        <v>0</v>
      </c>
      <c r="AJ42" s="11">
        <f>No_fattening_pigs_PL*Time_fattening_days_PL/365*AJ8*$AR$36</f>
        <v>0</v>
      </c>
      <c r="AK42" s="210">
        <f>No_piglets_PL*Time_piglet_system_PL/365*AK8*$AS$36</f>
        <v>0</v>
      </c>
      <c r="AL42" s="256">
        <f>(No_sows_ES+No_recruit_sows_ES)*AL8*AL36</f>
        <v>9.4197943767284649</v>
      </c>
      <c r="AM42" s="18">
        <f>No_boars_ES*AM8*$AQ$36</f>
        <v>0.11407317819865391</v>
      </c>
      <c r="AN42" s="11">
        <f>No_fattening_pigs_ES*Time_fattening_days_ES/365*AN8*$AR$36</f>
        <v>60.204875695385859</v>
      </c>
      <c r="AO42" s="11">
        <f>No_piglets_ES*Time_piglet_system_ES/365*AO8*$AS$36</f>
        <v>4.3483770667515653</v>
      </c>
      <c r="AP42" s="256">
        <f>(No_sows_SE+No_recruit_sows_SE)*AP8*AP36</f>
        <v>5.92875</v>
      </c>
      <c r="AQ42" s="18">
        <f>No_boars_SE*AQ8*$AQ$36</f>
        <v>2.6836058765143569E-2</v>
      </c>
      <c r="AR42" s="11">
        <f>No_fattening_pigs_SE*Time_fattening_days_SE/365*AR8*$AR$36</f>
        <v>0</v>
      </c>
      <c r="AS42" s="210">
        <f>No_piglets_SE*Time_piglet_system_SE/365*AS8*$AS$36</f>
        <v>1.0633541316836059</v>
      </c>
    </row>
    <row r="43" spans="1:59" x14ac:dyDescent="0.25">
      <c r="A43" s="237"/>
      <c r="B43" s="197"/>
      <c r="E43" s="198"/>
      <c r="F43" s="197"/>
      <c r="I43" s="198"/>
      <c r="J43" s="197"/>
      <c r="M43" s="198"/>
      <c r="N43" s="197"/>
      <c r="Q43" s="198"/>
      <c r="R43" s="197"/>
      <c r="U43" s="198"/>
      <c r="V43" s="197"/>
      <c r="Y43" s="198"/>
      <c r="Z43" s="197"/>
      <c r="AC43" s="198"/>
      <c r="AD43" s="197"/>
      <c r="AG43" s="198"/>
      <c r="AH43" s="197"/>
      <c r="AK43" s="198"/>
      <c r="AL43" s="197"/>
      <c r="AP43" s="197"/>
      <c r="AS43" s="198"/>
    </row>
    <row r="44" spans="1:59" x14ac:dyDescent="0.25">
      <c r="A44" s="245" t="s">
        <v>348</v>
      </c>
      <c r="B44" s="205"/>
      <c r="C44" s="114"/>
      <c r="D44" s="114"/>
      <c r="E44" s="206"/>
      <c r="F44" s="114"/>
      <c r="G44" s="114"/>
      <c r="H44" s="114"/>
      <c r="I44" s="206"/>
      <c r="J44" s="114"/>
      <c r="K44" s="114"/>
      <c r="L44" s="114"/>
      <c r="M44" s="206"/>
      <c r="N44" s="114"/>
      <c r="O44" s="114"/>
      <c r="P44" s="114"/>
      <c r="Q44" s="206"/>
      <c r="R44" s="114"/>
      <c r="S44" s="114"/>
      <c r="T44" s="114"/>
      <c r="U44" s="206"/>
      <c r="V44" s="114"/>
      <c r="W44" s="114"/>
      <c r="X44" s="114"/>
      <c r="Y44" s="206"/>
      <c r="Z44" s="205"/>
      <c r="AA44" s="114"/>
      <c r="AB44" s="114"/>
      <c r="AC44" s="206"/>
      <c r="AD44" s="114"/>
      <c r="AE44" s="114"/>
      <c r="AF44" s="114"/>
      <c r="AG44" s="206"/>
      <c r="AH44" s="205"/>
      <c r="AI44" s="114"/>
      <c r="AJ44" s="114"/>
      <c r="AK44" s="206"/>
      <c r="AL44" s="205"/>
      <c r="AM44" s="114"/>
      <c r="AN44" s="114"/>
      <c r="AO44" s="114"/>
      <c r="AP44" s="205"/>
      <c r="AQ44" s="114"/>
      <c r="AR44" s="114"/>
      <c r="AS44" s="206"/>
    </row>
    <row r="45" spans="1:59" x14ac:dyDescent="0.25">
      <c r="A45" s="243" t="s">
        <v>334</v>
      </c>
      <c r="B45" s="5">
        <f>B40*$B$37</f>
        <v>8.5559862664746928E-3</v>
      </c>
      <c r="C45" s="5">
        <f>C40*$C$37</f>
        <v>1.2238500215384739E-4</v>
      </c>
      <c r="D45" s="5">
        <f>D40*$D$37</f>
        <v>8.0537997136811132E-2</v>
      </c>
      <c r="E45" s="215">
        <f>E40*$E$37</f>
        <v>5.7927371459266944E-3</v>
      </c>
      <c r="F45" s="5">
        <f>F40*$F$37</f>
        <v>0.64131384083044929</v>
      </c>
      <c r="G45" s="5">
        <f>G40*$G$37</f>
        <v>6.8824412872136968E-3</v>
      </c>
      <c r="H45" s="5">
        <f>H40*$H$37</f>
        <v>4.0601433599619039</v>
      </c>
      <c r="I45" s="215">
        <f>I40*$I$37</f>
        <v>0.29259935337439136</v>
      </c>
      <c r="J45" s="5">
        <f>J40*$J$37</f>
        <v>12.981436386524399</v>
      </c>
      <c r="K45" s="5">
        <f>K40*$K$37</f>
        <v>3.961146638888375E-3</v>
      </c>
      <c r="L45" s="5">
        <f>L40*$L$37</f>
        <v>2.3443460249320327</v>
      </c>
      <c r="M45" s="215">
        <f>M40*$M$37</f>
        <v>0.16893798439537047</v>
      </c>
      <c r="N45" s="5">
        <f>N40*$N$37</f>
        <v>1.465835</v>
      </c>
      <c r="O45" s="5">
        <f>O40*$O$37</f>
        <v>1.1050141844470882E-2</v>
      </c>
      <c r="P45" s="5">
        <f>P40*$P$37</f>
        <v>6.427330136986301</v>
      </c>
      <c r="Q45" s="215">
        <f>Q40*$Q$37</f>
        <v>0.46331796042617956</v>
      </c>
      <c r="R45" s="5">
        <f>R40*$R$37</f>
        <v>2.1951291468704812</v>
      </c>
      <c r="S45" s="5">
        <f>S40*$S$37</f>
        <v>2.4013115514115606E-2</v>
      </c>
      <c r="T45" s="5">
        <f>T40*$T$37</f>
        <v>14.692048194645862</v>
      </c>
      <c r="U45" s="215">
        <f>U40*$U$37</f>
        <v>1.0580859938132627</v>
      </c>
      <c r="V45" s="5">
        <f>V40*$V$37</f>
        <v>0</v>
      </c>
      <c r="W45" s="5">
        <f>W40*$W$37</f>
        <v>0</v>
      </c>
      <c r="X45" s="5">
        <f>X40*$X$37</f>
        <v>0</v>
      </c>
      <c r="Y45" s="215">
        <f>Y40*$Y$37</f>
        <v>0</v>
      </c>
      <c r="Z45" s="5">
        <f>Z40*$Z$37</f>
        <v>0</v>
      </c>
      <c r="AA45" s="5">
        <f>AA40*$AA$37</f>
        <v>0</v>
      </c>
      <c r="AB45" s="5">
        <f>AB40*$AB$37</f>
        <v>0</v>
      </c>
      <c r="AC45" s="215">
        <f>AC40*$AC$37</f>
        <v>0</v>
      </c>
      <c r="AD45" s="5">
        <f>AD40*$AD$37</f>
        <v>5.7311062801932357E-2</v>
      </c>
      <c r="AE45" s="5">
        <f>AE40*$AE$37</f>
        <v>2.2100283688941763E-2</v>
      </c>
      <c r="AF45" s="5">
        <f>AF40*$AF$37</f>
        <v>0</v>
      </c>
      <c r="AG45" s="215">
        <f>AG40*$AG$37</f>
        <v>1.0049272052234031</v>
      </c>
      <c r="AH45" s="5">
        <f>AH40*$AH$37</f>
        <v>8.9773008500000007</v>
      </c>
      <c r="AI45" s="5">
        <f>AI40*$AI$37</f>
        <v>8.3649573762644563E-2</v>
      </c>
      <c r="AJ45" s="5">
        <f>AJ40*$AJ$37</f>
        <v>48.654889136986313</v>
      </c>
      <c r="AK45" s="215">
        <f>AK40*$AK$37</f>
        <v>3.5073169604261794</v>
      </c>
      <c r="AL45" s="5">
        <f>AL40*$AL$37</f>
        <v>0.36637726108778035</v>
      </c>
      <c r="AM45" s="5">
        <f>AM40*$AM$37</f>
        <v>4.4368079514827252E-3</v>
      </c>
      <c r="AN45" s="5">
        <f>AN40*$AN$37</f>
        <v>2.3416325855157867</v>
      </c>
      <c r="AO45" s="215">
        <f>AO40*$AO$37</f>
        <v>0.16912752191589361</v>
      </c>
      <c r="AP45" s="5">
        <f>AP40*$AP$37</f>
        <v>4.8825000000000003</v>
      </c>
      <c r="AQ45" s="5">
        <f>AQ40*$AQ$37</f>
        <v>2.2100283688941763E-2</v>
      </c>
      <c r="AR45" s="5">
        <f>AR40*$AR$37</f>
        <v>0</v>
      </c>
      <c r="AS45" s="215">
        <f>AS40*$AS$37</f>
        <v>0.87570340256296952</v>
      </c>
    </row>
    <row r="46" spans="1:59" x14ac:dyDescent="0.25">
      <c r="A46" s="243" t="s">
        <v>335</v>
      </c>
      <c r="B46" s="5">
        <f t="shared" ref="B46:B47" si="44">B41*$B$37</f>
        <v>7.4428524532063349</v>
      </c>
      <c r="C46" s="5">
        <f t="shared" ref="C46:C47" si="45">C41*$C$37</f>
        <v>0.10646271337363185</v>
      </c>
      <c r="D46" s="5">
        <f t="shared" ref="D46:D47" si="46">D41*$D$37</f>
        <v>70.060003709312014</v>
      </c>
      <c r="E46" s="215">
        <f t="shared" ref="E46:E47" si="47">E41*$E$37</f>
        <v>5.0391020432416314</v>
      </c>
      <c r="F46" s="5">
        <f t="shared" ref="F46:F47" si="48">F41*$F$37</f>
        <v>9.6553361591695506</v>
      </c>
      <c r="G46" s="5">
        <f t="shared" ref="G46:G47" si="49">G41*$G$37</f>
        <v>0.1036189771574951</v>
      </c>
      <c r="H46" s="5">
        <f t="shared" ref="H46:H47" si="50">H41*$H$37</f>
        <v>61.127713919426434</v>
      </c>
      <c r="I46" s="215">
        <f t="shared" ref="I46:I47" si="51">I41*$I$37</f>
        <v>4.4052458202477807</v>
      </c>
      <c r="J46" s="5">
        <f t="shared" ref="J46:J47" si="52">J41*$J$37</f>
        <v>0.49045356072413382</v>
      </c>
      <c r="K46" s="5">
        <f t="shared" ref="K46:K47" si="53">K41*$K$37</f>
        <v>0.10484453010087826</v>
      </c>
      <c r="L46" s="5">
        <f t="shared" ref="L46:L47" si="54">L41*$L$37</f>
        <v>62.050683750207718</v>
      </c>
      <c r="M46" s="215">
        <f t="shared" ref="M46:M47" si="55">M41*$M$37</f>
        <v>4.4714889916553906</v>
      </c>
      <c r="N46" s="5">
        <f t="shared" ref="N46:N47" si="56">N41*$N$37</f>
        <v>13.192515</v>
      </c>
      <c r="O46" s="5">
        <f t="shared" ref="O46:O47" si="57">O41*$O$37</f>
        <v>9.9451276600237934E-2</v>
      </c>
      <c r="P46" s="5">
        <f t="shared" ref="P46:P47" si="58">P41*$P$37</f>
        <v>57.8459712328767</v>
      </c>
      <c r="Q46" s="215">
        <f t="shared" ref="Q46:Q47" si="59">Q41*$Q$37</f>
        <v>4.169861643835616</v>
      </c>
      <c r="R46" s="5">
        <f t="shared" ref="R46:R47" si="60">R41*$R$37</f>
        <v>6.9787161898368089</v>
      </c>
      <c r="S46" s="5">
        <f t="shared" ref="S46:S47" si="61">S41*$S$37</f>
        <v>7.6342076841216397E-2</v>
      </c>
      <c r="T46" s="5">
        <f t="shared" ref="T46:T47" si="62">T41*$T$37</f>
        <v>46.708702649232976</v>
      </c>
      <c r="U46" s="215">
        <f t="shared" ref="U46" si="63">U41*$U$37</f>
        <v>3.3638484850840853</v>
      </c>
      <c r="V46" s="5">
        <f t="shared" ref="V46:V47" si="64">V41*$V$37</f>
        <v>21.7</v>
      </c>
      <c r="W46" s="5">
        <f t="shared" ref="W46:W47" si="65">W41*$W$37</f>
        <v>0.1105014184447088</v>
      </c>
      <c r="X46" s="5">
        <f t="shared" ref="X46:X47" si="66">X41*$X$37</f>
        <v>64.135726027397254</v>
      </c>
      <c r="Y46" s="215">
        <f t="shared" ref="Y46:Y47" si="67">Y41*$Y$37</f>
        <v>4.6234520547945195</v>
      </c>
      <c r="Z46" s="5">
        <f t="shared" ref="Z46:Z47" si="68">Z41*$Z$37</f>
        <v>13.171899999999999</v>
      </c>
      <c r="AA46" s="5">
        <f t="shared" ref="AA46:AA47" si="69">AA41*$AA$37</f>
        <v>0.1105014184447088</v>
      </c>
      <c r="AB46" s="5">
        <f t="shared" ref="AB46:AB47" si="70">AB41*$AB$37</f>
        <v>99.307283892300447</v>
      </c>
      <c r="AC46" s="215">
        <f t="shared" ref="AC46:AC47" si="71">AC41*$AC$37</f>
        <v>3.9505526688710439</v>
      </c>
      <c r="AD46" s="5">
        <f t="shared" ref="AD46:AD47" si="72">AD41*$AD$37</f>
        <v>4.3239150060386464</v>
      </c>
      <c r="AE46" s="5">
        <f t="shared" ref="AE46:AE47" si="73">AE41*$AE$37</f>
        <v>6.9615893620166555E-2</v>
      </c>
      <c r="AF46" s="5">
        <f t="shared" ref="AF46:AF47" si="74">AF41*$AF$37</f>
        <v>69.809613621815402</v>
      </c>
      <c r="AG46" s="215">
        <f t="shared" ref="AG46:AG47" si="75">AG41*$AG$37</f>
        <v>3.1655206964537195</v>
      </c>
      <c r="AH46" s="5">
        <f t="shared" ref="AH46:AH47" si="76">AH41*$AH$37</f>
        <v>2.8817491499999996</v>
      </c>
      <c r="AI46" s="5">
        <f t="shared" ref="AI46:AI47" si="77">AI41*$AI$37</f>
        <v>2.6851844682064238E-2</v>
      </c>
      <c r="AJ46" s="5">
        <f t="shared" ref="AJ46:AJ47" si="78">AJ41*$AJ$37</f>
        <v>15.618412232876715</v>
      </c>
      <c r="AK46" s="215">
        <f t="shared" ref="AK46:AK47" si="79">AK41*$AK$37</f>
        <v>1.1258626438356163</v>
      </c>
      <c r="AL46" s="5">
        <f t="shared" ref="AL46:AL47" si="80">AL41*$AL$37</f>
        <v>2.1646166752022946</v>
      </c>
      <c r="AM46" s="5">
        <f t="shared" ref="AM46:AM47" si="81">AM41*$AM$37</f>
        <v>2.6213385754168352E-2</v>
      </c>
      <c r="AN46" s="5">
        <f t="shared" ref="AN46:AN47" si="82">AN41*$AN$37</f>
        <v>13.83474762258817</v>
      </c>
      <c r="AO46" s="215">
        <f t="shared" ref="AO46:AO47" si="83">AO41*$AO$37</f>
        <v>0.9992330121357389</v>
      </c>
      <c r="AP46" s="5">
        <f t="shared" ref="AP46:AP47" si="84">AP41*$AP$37</f>
        <v>15.379875</v>
      </c>
      <c r="AQ46" s="5">
        <f t="shared" ref="AQ46:AQ47" si="85">AQ41*$AQ$37</f>
        <v>6.9615893620166555E-2</v>
      </c>
      <c r="AR46" s="5">
        <f t="shared" ref="AR46:AR47" si="86">AR41*$AR$37</f>
        <v>60.67164471939904</v>
      </c>
      <c r="AS46" s="215">
        <f t="shared" ref="AS46:AS47" si="87">AS41*$AS$37</f>
        <v>2.7584657180733538</v>
      </c>
    </row>
    <row r="47" spans="1:59" x14ac:dyDescent="0.25">
      <c r="A47" s="243" t="s">
        <v>336</v>
      </c>
      <c r="B47" s="5">
        <f t="shared" si="44"/>
        <v>0.27379156052719017</v>
      </c>
      <c r="C47" s="5">
        <f t="shared" si="45"/>
        <v>3.9163200689231164E-3</v>
      </c>
      <c r="D47" s="5">
        <f t="shared" si="46"/>
        <v>2.5772159083779562</v>
      </c>
      <c r="E47" s="215">
        <f t="shared" si="47"/>
        <v>0.18536758866965422</v>
      </c>
      <c r="F47" s="5">
        <f t="shared" si="48"/>
        <v>0</v>
      </c>
      <c r="G47" s="5">
        <f t="shared" si="49"/>
        <v>0</v>
      </c>
      <c r="H47" s="5">
        <f t="shared" si="50"/>
        <v>0</v>
      </c>
      <c r="I47" s="215">
        <f t="shared" si="51"/>
        <v>0</v>
      </c>
      <c r="J47" s="5">
        <f t="shared" si="52"/>
        <v>0.20996005275146865</v>
      </c>
      <c r="K47" s="5">
        <f t="shared" si="53"/>
        <v>1.6957417049421805E-3</v>
      </c>
      <c r="L47" s="5">
        <f t="shared" si="54"/>
        <v>1.0035996360913051</v>
      </c>
      <c r="M47" s="215">
        <f t="shared" si="55"/>
        <v>7.232127760069372E-2</v>
      </c>
      <c r="N47" s="5">
        <f t="shared" si="56"/>
        <v>0</v>
      </c>
      <c r="O47" s="5">
        <f t="shared" si="57"/>
        <v>0</v>
      </c>
      <c r="P47" s="5">
        <f t="shared" si="58"/>
        <v>0</v>
      </c>
      <c r="Q47" s="215">
        <f t="shared" si="59"/>
        <v>0</v>
      </c>
      <c r="R47" s="5">
        <f t="shared" si="60"/>
        <v>0.92750466329270798</v>
      </c>
      <c r="S47" s="5">
        <f t="shared" si="61"/>
        <v>1.0146226089376794E-2</v>
      </c>
      <c r="T47" s="5">
        <f t="shared" si="62"/>
        <v>6.207809336996279</v>
      </c>
      <c r="U47" s="215">
        <f>U42*$U$37</f>
        <v>0.44707150594106027</v>
      </c>
      <c r="V47" s="5">
        <f t="shared" si="64"/>
        <v>0</v>
      </c>
      <c r="W47" s="5">
        <f t="shared" si="65"/>
        <v>0</v>
      </c>
      <c r="X47" s="5">
        <f t="shared" si="66"/>
        <v>0</v>
      </c>
      <c r="Y47" s="215">
        <f t="shared" si="67"/>
        <v>0</v>
      </c>
      <c r="Z47" s="5">
        <f t="shared" si="68"/>
        <v>0</v>
      </c>
      <c r="AA47" s="5">
        <f t="shared" si="69"/>
        <v>0</v>
      </c>
      <c r="AB47" s="5">
        <f t="shared" si="70"/>
        <v>0</v>
      </c>
      <c r="AC47" s="215">
        <f t="shared" si="71"/>
        <v>0</v>
      </c>
      <c r="AD47" s="5">
        <f t="shared" si="72"/>
        <v>4.0926239311594195</v>
      </c>
      <c r="AE47" s="5">
        <f t="shared" si="73"/>
        <v>1.8785241135600497E-2</v>
      </c>
      <c r="AF47" s="5">
        <f t="shared" si="74"/>
        <v>0</v>
      </c>
      <c r="AG47" s="215">
        <f t="shared" si="75"/>
        <v>0.85418812443989267</v>
      </c>
      <c r="AH47" s="5">
        <f t="shared" si="76"/>
        <v>0</v>
      </c>
      <c r="AI47" s="5">
        <f t="shared" si="77"/>
        <v>0</v>
      </c>
      <c r="AJ47" s="5">
        <f t="shared" si="78"/>
        <v>0</v>
      </c>
      <c r="AK47" s="215">
        <f t="shared" si="79"/>
        <v>0</v>
      </c>
      <c r="AL47" s="5">
        <f t="shared" si="80"/>
        <v>6.5938560637099251</v>
      </c>
      <c r="AM47" s="5">
        <f t="shared" si="81"/>
        <v>7.985122473905773E-2</v>
      </c>
      <c r="AN47" s="5">
        <f t="shared" si="82"/>
        <v>42.143412986770102</v>
      </c>
      <c r="AO47" s="215">
        <f t="shared" si="83"/>
        <v>3.0438639467260957</v>
      </c>
      <c r="AP47" s="5">
        <f t="shared" si="84"/>
        <v>4.1501250000000001</v>
      </c>
      <c r="AQ47" s="5">
        <f t="shared" si="85"/>
        <v>1.8785241135600497E-2</v>
      </c>
      <c r="AR47" s="5">
        <f t="shared" si="86"/>
        <v>0</v>
      </c>
      <c r="AS47" s="215">
        <f t="shared" si="87"/>
        <v>0.74434789217852415</v>
      </c>
    </row>
    <row r="48" spans="1:59" x14ac:dyDescent="0.25">
      <c r="A48" s="237"/>
      <c r="B48" s="197"/>
      <c r="E48" s="198"/>
      <c r="I48" s="198"/>
      <c r="M48" s="198"/>
      <c r="Q48" s="198"/>
      <c r="U48" s="198"/>
      <c r="Y48" s="198"/>
      <c r="AC48" s="198"/>
      <c r="AG48" s="198"/>
      <c r="AK48" s="198"/>
      <c r="AO48" s="198"/>
      <c r="AS48" s="198"/>
    </row>
    <row r="49" spans="1:47" x14ac:dyDescent="0.25">
      <c r="A49" s="245" t="s">
        <v>349</v>
      </c>
      <c r="B49" s="205"/>
      <c r="C49" s="114"/>
      <c r="D49" s="114"/>
      <c r="E49" s="206"/>
      <c r="F49" s="114"/>
      <c r="G49" s="114"/>
      <c r="H49" s="114"/>
      <c r="I49" s="206"/>
      <c r="J49" s="114"/>
      <c r="K49" s="114"/>
      <c r="L49" s="114"/>
      <c r="M49" s="206"/>
      <c r="N49" s="114"/>
      <c r="O49" s="114"/>
      <c r="P49" s="114"/>
      <c r="Q49" s="206"/>
      <c r="R49" s="114"/>
      <c r="S49" s="114"/>
      <c r="T49" s="114"/>
      <c r="U49" s="206"/>
      <c r="V49" s="114"/>
      <c r="W49" s="114"/>
      <c r="X49" s="114"/>
      <c r="Y49" s="206"/>
      <c r="Z49" s="114"/>
      <c r="AA49" s="114"/>
      <c r="AB49" s="114"/>
      <c r="AC49" s="206"/>
      <c r="AD49" s="114"/>
      <c r="AE49" s="114"/>
      <c r="AF49" s="114"/>
      <c r="AG49" s="206"/>
      <c r="AH49" s="114"/>
      <c r="AI49" s="114"/>
      <c r="AJ49" s="114"/>
      <c r="AK49" s="206"/>
      <c r="AL49" s="205"/>
      <c r="AM49" s="114"/>
      <c r="AN49" s="114"/>
      <c r="AO49" s="114"/>
      <c r="AP49" s="205"/>
      <c r="AQ49" s="114"/>
      <c r="AR49" s="114"/>
      <c r="AS49" s="206"/>
      <c r="AU49" s="168" t="s">
        <v>350</v>
      </c>
    </row>
    <row r="50" spans="1:47" x14ac:dyDescent="0.25">
      <c r="A50" s="243" t="s">
        <v>334</v>
      </c>
      <c r="B50" s="214">
        <f>B45*B56</f>
        <v>2.053436703953926E-3</v>
      </c>
      <c r="C50" s="5">
        <f t="shared" ref="C50:E50" si="88">C45*C56</f>
        <v>2.9372400516923371E-5</v>
      </c>
      <c r="D50" s="5">
        <f t="shared" si="88"/>
        <v>1.8523739341466561E-2</v>
      </c>
      <c r="E50" s="215">
        <f t="shared" si="88"/>
        <v>1.3902569150224067E-3</v>
      </c>
      <c r="F50" s="5">
        <f t="shared" ref="F50:I50" si="89">F45*F56</f>
        <v>0.15391532179930784</v>
      </c>
      <c r="G50" s="5">
        <f t="shared" si="89"/>
        <v>1.6517859089312872E-3</v>
      </c>
      <c r="H50" s="5">
        <f t="shared" si="89"/>
        <v>0.93383297279123789</v>
      </c>
      <c r="I50" s="215">
        <f t="shared" si="89"/>
        <v>7.0223844809853928E-2</v>
      </c>
      <c r="J50" s="5">
        <f t="shared" ref="J50:M50" si="90">J45*J56</f>
        <v>3.1155447327658554</v>
      </c>
      <c r="K50" s="5">
        <f t="shared" si="90"/>
        <v>9.506751933332099E-4</v>
      </c>
      <c r="L50" s="5">
        <f t="shared" si="90"/>
        <v>0.53919958573436755</v>
      </c>
      <c r="M50" s="215">
        <f t="shared" si="90"/>
        <v>4.0545116254888915E-2</v>
      </c>
      <c r="N50" s="5">
        <f t="shared" ref="N50:AO50" si="91">N45*N56</f>
        <v>0.35180040000000001</v>
      </c>
      <c r="O50" s="5">
        <f t="shared" si="91"/>
        <v>2.6520340426730116E-3</v>
      </c>
      <c r="P50" s="5">
        <f t="shared" si="91"/>
        <v>1.4782859315068493</v>
      </c>
      <c r="Q50" s="215">
        <f t="shared" si="91"/>
        <v>0.1111963105022831</v>
      </c>
      <c r="R50" s="214">
        <f t="shared" si="91"/>
        <v>0.52683099524891552</v>
      </c>
      <c r="S50" s="5">
        <f t="shared" si="91"/>
        <v>5.7631477233877453E-3</v>
      </c>
      <c r="T50" s="5">
        <f t="shared" si="91"/>
        <v>3.3791710847685485</v>
      </c>
      <c r="U50" s="215">
        <f t="shared" si="91"/>
        <v>0.25394063851518306</v>
      </c>
      <c r="V50" s="214">
        <f t="shared" si="91"/>
        <v>0</v>
      </c>
      <c r="W50" s="5">
        <f t="shared" si="91"/>
        <v>0</v>
      </c>
      <c r="X50" s="5">
        <f t="shared" si="91"/>
        <v>0</v>
      </c>
      <c r="Y50" s="215">
        <f t="shared" si="91"/>
        <v>0</v>
      </c>
      <c r="Z50" s="5">
        <f t="shared" si="91"/>
        <v>0</v>
      </c>
      <c r="AA50" s="5">
        <f t="shared" si="91"/>
        <v>0</v>
      </c>
      <c r="AB50" s="5">
        <f t="shared" si="91"/>
        <v>0</v>
      </c>
      <c r="AC50" s="215">
        <f t="shared" si="91"/>
        <v>0</v>
      </c>
      <c r="AD50" s="5">
        <f t="shared" si="91"/>
        <v>1.3754655072463765E-2</v>
      </c>
      <c r="AE50" s="5">
        <f t="shared" si="91"/>
        <v>5.3040680853460231E-3</v>
      </c>
      <c r="AF50" s="5">
        <f t="shared" si="91"/>
        <v>0</v>
      </c>
      <c r="AG50" s="215">
        <f t="shared" si="91"/>
        <v>0.24118252925361672</v>
      </c>
      <c r="AH50" s="5">
        <f t="shared" si="91"/>
        <v>2.1545522040000002</v>
      </c>
      <c r="AI50" s="5">
        <f t="shared" si="91"/>
        <v>2.0075897703034695E-2</v>
      </c>
      <c r="AJ50" s="5">
        <f t="shared" si="91"/>
        <v>11.190624501506852</v>
      </c>
      <c r="AK50" s="215">
        <f t="shared" si="91"/>
        <v>0.84175607050228296</v>
      </c>
      <c r="AL50" s="214">
        <f t="shared" si="91"/>
        <v>8.7930542661067285E-2</v>
      </c>
      <c r="AM50" s="5">
        <f t="shared" si="91"/>
        <v>1.0648339083558539E-3</v>
      </c>
      <c r="AN50" s="5">
        <f t="shared" si="91"/>
        <v>0.53857549466863097</v>
      </c>
      <c r="AO50" s="5">
        <f t="shared" si="91"/>
        <v>4.0590605259814463E-2</v>
      </c>
      <c r="AP50" s="214">
        <f>AP45*AP56</f>
        <v>1.1718</v>
      </c>
      <c r="AQ50" s="5">
        <f t="shared" ref="AP50:AS51" si="92">AQ45*AQ56</f>
        <v>5.3040680853460231E-3</v>
      </c>
      <c r="AR50" s="5">
        <f t="shared" si="92"/>
        <v>0</v>
      </c>
      <c r="AS50" s="215">
        <f t="shared" si="92"/>
        <v>0.21016881661511269</v>
      </c>
    </row>
    <row r="51" spans="1:47" x14ac:dyDescent="0.25">
      <c r="A51" s="243" t="s">
        <v>335</v>
      </c>
      <c r="B51" s="214">
        <f t="shared" ref="B51:E51" si="93">B46*B57</f>
        <v>2.604998358622217</v>
      </c>
      <c r="C51" s="5">
        <f t="shared" si="93"/>
        <v>3.7261949680771143E-2</v>
      </c>
      <c r="D51" s="5">
        <f>D46*D57</f>
        <v>18.916201001514246</v>
      </c>
      <c r="E51" s="215">
        <f t="shared" si="93"/>
        <v>1.7636857151345708</v>
      </c>
      <c r="F51" s="214">
        <f t="shared" ref="F51:I51" si="94">F46*F57</f>
        <v>3.3793676557093426</v>
      </c>
      <c r="G51" s="5">
        <f t="shared" si="94"/>
        <v>3.6266642005123285E-2</v>
      </c>
      <c r="H51" s="5">
        <f t="shared" si="94"/>
        <v>16.504482758245139</v>
      </c>
      <c r="I51" s="215">
        <f t="shared" si="94"/>
        <v>1.5418360370867232</v>
      </c>
      <c r="J51" s="214">
        <f t="shared" ref="J51:M51" si="95">J46*J57</f>
        <v>0.17165874625344682</v>
      </c>
      <c r="K51" s="5">
        <f t="shared" si="95"/>
        <v>3.6695585535307385E-2</v>
      </c>
      <c r="L51" s="5">
        <f t="shared" si="95"/>
        <v>16.753684612556086</v>
      </c>
      <c r="M51" s="215">
        <f t="shared" si="95"/>
        <v>1.5650211470793867</v>
      </c>
      <c r="N51" s="214">
        <f>N46*N57</f>
        <v>4.6173802500000001</v>
      </c>
      <c r="O51" s="5">
        <f t="shared" ref="O51:AO51" si="96">O46*O57</f>
        <v>3.4807946810083278E-2</v>
      </c>
      <c r="P51" s="5">
        <f t="shared" si="96"/>
        <v>15.618412232876709</v>
      </c>
      <c r="Q51" s="215">
        <f t="shared" si="96"/>
        <v>1.4594515753424655</v>
      </c>
      <c r="R51" s="214">
        <f t="shared" si="96"/>
        <v>2.4425506664428829</v>
      </c>
      <c r="S51" s="5">
        <f t="shared" si="96"/>
        <v>2.6719726894425738E-2</v>
      </c>
      <c r="T51" s="5">
        <f t="shared" si="96"/>
        <v>12.611349715292905</v>
      </c>
      <c r="U51" s="215">
        <f t="shared" si="96"/>
        <v>1.1773469697794299</v>
      </c>
      <c r="V51" s="214">
        <f t="shared" si="96"/>
        <v>7.5949999999999989</v>
      </c>
      <c r="W51" s="5">
        <f t="shared" si="96"/>
        <v>3.8675496455648078E-2</v>
      </c>
      <c r="X51" s="5">
        <f t="shared" si="96"/>
        <v>17.316646027397258</v>
      </c>
      <c r="Y51" s="215">
        <f t="shared" si="96"/>
        <v>1.6182082191780818</v>
      </c>
      <c r="Z51" s="5">
        <f t="shared" si="96"/>
        <v>4.6101649999999994</v>
      </c>
      <c r="AA51" s="5">
        <f t="shared" si="96"/>
        <v>3.8675496455648078E-2</v>
      </c>
      <c r="AB51" s="5">
        <f t="shared" si="96"/>
        <v>26.812966650921123</v>
      </c>
      <c r="AC51" s="215">
        <f t="shared" si="96"/>
        <v>1.3826934341048653</v>
      </c>
      <c r="AD51" s="214">
        <f t="shared" si="96"/>
        <v>1.5133702521135262</v>
      </c>
      <c r="AE51" s="5">
        <f t="shared" si="96"/>
        <v>2.4365562767058292E-2</v>
      </c>
      <c r="AF51" s="5">
        <f t="shared" si="96"/>
        <v>18.84859567789016</v>
      </c>
      <c r="AG51" s="215">
        <f t="shared" si="96"/>
        <v>1.1079322437588017</v>
      </c>
      <c r="AH51" s="214">
        <f t="shared" si="96"/>
        <v>1.0086122024999997</v>
      </c>
      <c r="AI51" s="5">
        <f t="shared" si="96"/>
        <v>9.398145638722483E-3</v>
      </c>
      <c r="AJ51" s="5">
        <f t="shared" si="96"/>
        <v>4.2169713028767131</v>
      </c>
      <c r="AK51" s="215">
        <f t="shared" si="96"/>
        <v>0.39405192534246569</v>
      </c>
      <c r="AL51" s="214">
        <f t="shared" si="96"/>
        <v>0.75761583632080309</v>
      </c>
      <c r="AM51" s="5">
        <f t="shared" si="96"/>
        <v>9.1746850139589227E-3</v>
      </c>
      <c r="AN51" s="5">
        <f t="shared" si="96"/>
        <v>3.7353818580988061</v>
      </c>
      <c r="AO51" s="5">
        <f t="shared" si="96"/>
        <v>0.34973155424750857</v>
      </c>
      <c r="AP51" s="214">
        <f t="shared" si="92"/>
        <v>5.3829562499999994</v>
      </c>
      <c r="AQ51" s="5">
        <f t="shared" si="92"/>
        <v>2.4365562767058292E-2</v>
      </c>
      <c r="AR51" s="5">
        <f>AR46*AR57</f>
        <v>16.381344074237742</v>
      </c>
      <c r="AS51" s="215">
        <f t="shared" si="92"/>
        <v>0.96546300132567375</v>
      </c>
    </row>
    <row r="52" spans="1:47" x14ac:dyDescent="0.25">
      <c r="A52" s="243" t="s">
        <v>336</v>
      </c>
      <c r="B52" s="214">
        <f t="shared" ref="B52:AS52" si="97">B47*B56</f>
        <v>6.5709974526525633E-2</v>
      </c>
      <c r="C52" s="5">
        <f t="shared" si="97"/>
        <v>9.3991681654154787E-4</v>
      </c>
      <c r="D52" s="5">
        <f t="shared" si="97"/>
        <v>0.59275965892692994</v>
      </c>
      <c r="E52" s="215">
        <f t="shared" si="97"/>
        <v>4.4488221280717014E-2</v>
      </c>
      <c r="F52" s="214">
        <f t="shared" si="97"/>
        <v>0</v>
      </c>
      <c r="G52" s="5">
        <f t="shared" si="97"/>
        <v>0</v>
      </c>
      <c r="H52" s="5">
        <f t="shared" si="97"/>
        <v>0</v>
      </c>
      <c r="I52" s="215">
        <f t="shared" si="97"/>
        <v>0</v>
      </c>
      <c r="J52" s="214">
        <f t="shared" si="97"/>
        <v>5.039041266035247E-2</v>
      </c>
      <c r="K52" s="5">
        <f t="shared" si="97"/>
        <v>4.0697800918612333E-4</v>
      </c>
      <c r="L52" s="5">
        <f t="shared" si="97"/>
        <v>0.23082791630100019</v>
      </c>
      <c r="M52" s="215">
        <f t="shared" si="97"/>
        <v>1.7357106624166493E-2</v>
      </c>
      <c r="N52" s="214">
        <f t="shared" si="97"/>
        <v>0</v>
      </c>
      <c r="O52" s="5">
        <f t="shared" si="97"/>
        <v>0</v>
      </c>
      <c r="P52" s="5">
        <f t="shared" si="97"/>
        <v>0</v>
      </c>
      <c r="Q52" s="215">
        <f t="shared" si="97"/>
        <v>0</v>
      </c>
      <c r="R52" s="214">
        <f t="shared" si="97"/>
        <v>0.22260111919024991</v>
      </c>
      <c r="S52" s="5">
        <f t="shared" si="97"/>
        <v>2.4350942614504304E-3</v>
      </c>
      <c r="T52" s="5">
        <f t="shared" si="97"/>
        <v>1.4277961475091443</v>
      </c>
      <c r="U52" s="215">
        <f t="shared" si="97"/>
        <v>0.10729716142585446</v>
      </c>
      <c r="V52" s="214">
        <f t="shared" si="97"/>
        <v>0</v>
      </c>
      <c r="W52" s="5">
        <f t="shared" si="97"/>
        <v>0</v>
      </c>
      <c r="X52" s="5">
        <f t="shared" si="97"/>
        <v>0</v>
      </c>
      <c r="Y52" s="215">
        <f t="shared" si="97"/>
        <v>0</v>
      </c>
      <c r="Z52" s="5">
        <f t="shared" si="97"/>
        <v>0</v>
      </c>
      <c r="AA52" s="5">
        <f t="shared" si="97"/>
        <v>0</v>
      </c>
      <c r="AB52" s="5">
        <f t="shared" si="97"/>
        <v>0</v>
      </c>
      <c r="AC52" s="215">
        <f t="shared" si="97"/>
        <v>0</v>
      </c>
      <c r="AD52" s="214">
        <f t="shared" si="97"/>
        <v>0.98222974347826064</v>
      </c>
      <c r="AE52" s="5">
        <f t="shared" si="97"/>
        <v>4.508457872544119E-3</v>
      </c>
      <c r="AF52" s="5">
        <f t="shared" si="97"/>
        <v>0</v>
      </c>
      <c r="AG52" s="215">
        <f t="shared" si="97"/>
        <v>0.20500514986557422</v>
      </c>
      <c r="AH52" s="214">
        <f t="shared" si="97"/>
        <v>0</v>
      </c>
      <c r="AI52" s="5">
        <f t="shared" si="97"/>
        <v>0</v>
      </c>
      <c r="AJ52" s="5">
        <f t="shared" si="97"/>
        <v>0</v>
      </c>
      <c r="AK52" s="215">
        <f t="shared" si="97"/>
        <v>0</v>
      </c>
      <c r="AL52" s="214">
        <f t="shared" si="97"/>
        <v>1.582525455290382</v>
      </c>
      <c r="AM52" s="5">
        <f t="shared" si="97"/>
        <v>1.9164293937373855E-2</v>
      </c>
      <c r="AN52" s="5">
        <f t="shared" si="97"/>
        <v>9.6929849869571232</v>
      </c>
      <c r="AO52" s="5">
        <f t="shared" si="97"/>
        <v>0.73052734721426293</v>
      </c>
      <c r="AP52" s="214">
        <f>AP47*AP56</f>
        <v>0.99602999999999997</v>
      </c>
      <c r="AQ52" s="5">
        <f t="shared" si="97"/>
        <v>4.508457872544119E-3</v>
      </c>
      <c r="AR52" s="5">
        <f t="shared" si="97"/>
        <v>0</v>
      </c>
      <c r="AS52" s="215">
        <f t="shared" si="97"/>
        <v>0.1786434941228458</v>
      </c>
      <c r="AU52" s="93" t="s">
        <v>351</v>
      </c>
    </row>
    <row r="53" spans="1:47" x14ac:dyDescent="0.25">
      <c r="A53" s="243" t="s">
        <v>339</v>
      </c>
      <c r="B53" s="214"/>
      <c r="C53" s="5"/>
      <c r="D53" s="5"/>
      <c r="E53" s="215">
        <f>SUM(B50:E52)</f>
        <v>24.048041601863478</v>
      </c>
      <c r="F53" s="214"/>
      <c r="G53" s="5"/>
      <c r="H53" s="5"/>
      <c r="I53" s="215">
        <f>SUM(F50:I52)</f>
        <v>22.621577018355659</v>
      </c>
      <c r="J53" s="214"/>
      <c r="K53" s="5"/>
      <c r="L53" s="5"/>
      <c r="M53" s="215">
        <f>SUM(J50:M52)</f>
        <v>22.522282614967377</v>
      </c>
      <c r="N53" s="214"/>
      <c r="O53" s="5"/>
      <c r="P53" s="5"/>
      <c r="Q53" s="215">
        <f>SUM(N50:Q52)</f>
        <v>23.673986681081065</v>
      </c>
      <c r="R53" s="214"/>
      <c r="S53" s="5"/>
      <c r="T53" s="5"/>
      <c r="U53" s="215">
        <f>SUM(R50:U52)</f>
        <v>22.183802467052377</v>
      </c>
      <c r="V53" s="214"/>
      <c r="W53" s="5"/>
      <c r="X53" s="5"/>
      <c r="Y53" s="215">
        <f>SUM(V50:Y52)</f>
        <v>26.568529743030989</v>
      </c>
      <c r="Z53" s="214"/>
      <c r="AA53" s="5"/>
      <c r="AB53" s="5"/>
      <c r="AC53" s="215">
        <f>SUM(Z50:AC52)</f>
        <v>32.844500581481633</v>
      </c>
      <c r="AD53" s="214"/>
      <c r="AE53" s="5"/>
      <c r="AF53" s="5"/>
      <c r="AG53" s="215">
        <f>SUM(AD50:AG52)</f>
        <v>22.94624834015735</v>
      </c>
      <c r="AH53" s="214"/>
      <c r="AI53" s="5"/>
      <c r="AJ53" s="5"/>
      <c r="AK53" s="215">
        <f>SUM(AH50:AK52)</f>
        <v>19.836042250070072</v>
      </c>
      <c r="AL53" s="214"/>
      <c r="AM53" s="5"/>
      <c r="AN53" s="5"/>
      <c r="AO53" s="5">
        <f>SUM(AL50:AO52)</f>
        <v>17.545267493578088</v>
      </c>
      <c r="AP53" s="214"/>
      <c r="AQ53" s="5"/>
      <c r="AR53" s="5"/>
      <c r="AS53" s="215">
        <f>SUM(AP50:AS52)</f>
        <v>25.320583725026321</v>
      </c>
      <c r="AU53" s="93"/>
    </row>
    <row r="54" spans="1:47" x14ac:dyDescent="0.25">
      <c r="A54" s="243" t="s">
        <v>340</v>
      </c>
      <c r="B54" s="214"/>
      <c r="C54" s="5"/>
      <c r="D54" s="5"/>
      <c r="E54" s="211">
        <f>E53/Production!B35</f>
        <v>1.3690548542557067E-2</v>
      </c>
      <c r="F54" s="214"/>
      <c r="G54" s="5"/>
      <c r="H54" s="5"/>
      <c r="I54" s="211">
        <f>I53/Production!C35</f>
        <v>1.4323937806616135E-2</v>
      </c>
      <c r="J54" s="214"/>
      <c r="K54" s="5"/>
      <c r="L54" s="5"/>
      <c r="M54" s="211">
        <f>M53/Production!D35</f>
        <v>1.4071218386546402E-2</v>
      </c>
      <c r="N54" s="214"/>
      <c r="O54" s="5"/>
      <c r="P54" s="5"/>
      <c r="Q54" s="211">
        <f>Q53/Production!E35</f>
        <v>1.5075809202598133E-2</v>
      </c>
      <c r="R54" s="214"/>
      <c r="S54" s="5"/>
      <c r="T54" s="5"/>
      <c r="U54" s="211">
        <f>U53/Production!F35</f>
        <v>1.3455777119467476E-2</v>
      </c>
      <c r="V54" s="214"/>
      <c r="W54" s="5"/>
      <c r="X54" s="5"/>
      <c r="Y54" s="211">
        <f>Y53/Production!G35</f>
        <v>1.6865529155134167E-2</v>
      </c>
      <c r="Z54" s="214"/>
      <c r="AA54" s="5"/>
      <c r="AB54" s="5"/>
      <c r="AC54" s="211">
        <f>AC53/Production!H35</f>
        <v>1.9047857333742802E-2</v>
      </c>
      <c r="AD54" s="214"/>
      <c r="AE54" s="5"/>
      <c r="AF54" s="5"/>
      <c r="AG54" s="211">
        <f>AG53/Production!I35</f>
        <v>1.3396395791629431E-2</v>
      </c>
      <c r="AH54" s="214"/>
      <c r="AI54" s="5"/>
      <c r="AJ54" s="5"/>
      <c r="AK54" s="211">
        <f>AK53/Production!J35</f>
        <v>1.2631771417515893E-2</v>
      </c>
      <c r="AL54" s="214"/>
      <c r="AM54" s="5"/>
      <c r="AN54" s="5"/>
      <c r="AO54" s="4">
        <f>AO53/Production!K35</f>
        <v>1.2463115867990968E-2</v>
      </c>
      <c r="AP54" s="214"/>
      <c r="AQ54" s="5"/>
      <c r="AR54" s="5"/>
      <c r="AS54" s="211">
        <f>AS53/Production!L35</f>
        <v>1.6856142815582887E-2</v>
      </c>
      <c r="AU54" s="93"/>
    </row>
    <row r="55" spans="1:47" x14ac:dyDescent="0.25">
      <c r="A55" s="243"/>
      <c r="B55" s="216"/>
      <c r="E55" s="198"/>
      <c r="F55" s="216"/>
      <c r="I55" s="198"/>
      <c r="J55" s="216"/>
      <c r="M55" s="198"/>
      <c r="N55" s="216"/>
      <c r="Q55" s="198"/>
      <c r="R55" s="216"/>
      <c r="U55" s="198"/>
      <c r="V55" s="216"/>
      <c r="Y55" s="198"/>
      <c r="Z55" s="216"/>
      <c r="AC55" s="198"/>
      <c r="AD55" s="216"/>
      <c r="AG55" s="198"/>
      <c r="AH55" s="216"/>
      <c r="AK55" s="198"/>
      <c r="AL55" s="216"/>
      <c r="AP55" s="216"/>
      <c r="AS55" s="198"/>
    </row>
    <row r="56" spans="1:47" x14ac:dyDescent="0.25">
      <c r="A56" s="246" t="s">
        <v>352</v>
      </c>
      <c r="B56" s="217">
        <v>0.24</v>
      </c>
      <c r="C56" s="15">
        <v>0.24</v>
      </c>
      <c r="D56" s="13">
        <v>0.23</v>
      </c>
      <c r="E56" s="218">
        <v>0.24</v>
      </c>
      <c r="F56" s="217">
        <v>0.24</v>
      </c>
      <c r="G56" s="15">
        <v>0.24</v>
      </c>
      <c r="H56" s="13">
        <v>0.23</v>
      </c>
      <c r="I56" s="218">
        <v>0.24</v>
      </c>
      <c r="J56" s="217">
        <v>0.24</v>
      </c>
      <c r="K56" s="15">
        <v>0.24</v>
      </c>
      <c r="L56" s="13">
        <v>0.23</v>
      </c>
      <c r="M56" s="218">
        <v>0.24</v>
      </c>
      <c r="N56" s="217">
        <v>0.24</v>
      </c>
      <c r="O56" s="15">
        <v>0.24</v>
      </c>
      <c r="P56" s="13">
        <v>0.23</v>
      </c>
      <c r="Q56" s="218">
        <v>0.24</v>
      </c>
      <c r="R56" s="217">
        <v>0.24</v>
      </c>
      <c r="S56" s="15">
        <v>0.24</v>
      </c>
      <c r="T56" s="13">
        <v>0.23</v>
      </c>
      <c r="U56" s="218">
        <v>0.24</v>
      </c>
      <c r="V56" s="217">
        <v>0.24</v>
      </c>
      <c r="W56" s="15">
        <v>0.24</v>
      </c>
      <c r="X56" s="13">
        <v>0.23</v>
      </c>
      <c r="Y56" s="218">
        <v>0.24</v>
      </c>
      <c r="Z56" s="217">
        <v>0.24</v>
      </c>
      <c r="AA56" s="15">
        <v>0.24</v>
      </c>
      <c r="AB56" s="13">
        <v>0.23</v>
      </c>
      <c r="AC56" s="218">
        <v>0.24</v>
      </c>
      <c r="AD56" s="217">
        <v>0.24</v>
      </c>
      <c r="AE56" s="15">
        <v>0.24</v>
      </c>
      <c r="AF56" s="13">
        <v>0.23</v>
      </c>
      <c r="AG56" s="218">
        <v>0.24</v>
      </c>
      <c r="AH56" s="217">
        <v>0.24</v>
      </c>
      <c r="AI56" s="15">
        <v>0.24</v>
      </c>
      <c r="AJ56" s="13">
        <v>0.23</v>
      </c>
      <c r="AK56" s="218">
        <v>0.24</v>
      </c>
      <c r="AL56" s="217">
        <v>0.24</v>
      </c>
      <c r="AM56" s="15">
        <v>0.24</v>
      </c>
      <c r="AN56" s="13">
        <v>0.23</v>
      </c>
      <c r="AO56" s="15">
        <v>0.24</v>
      </c>
      <c r="AP56" s="217">
        <v>0.24</v>
      </c>
      <c r="AQ56" s="15">
        <v>0.24</v>
      </c>
      <c r="AR56" s="13">
        <v>0.23</v>
      </c>
      <c r="AS56" s="218">
        <v>0.24</v>
      </c>
      <c r="AU56" s="180" t="s">
        <v>353</v>
      </c>
    </row>
    <row r="57" spans="1:47" x14ac:dyDescent="0.25">
      <c r="A57" s="246" t="s">
        <v>354</v>
      </c>
      <c r="B57" s="217">
        <v>0.35</v>
      </c>
      <c r="C57" s="15">
        <v>0.35</v>
      </c>
      <c r="D57" s="13">
        <v>0.27</v>
      </c>
      <c r="E57" s="218">
        <v>0.35</v>
      </c>
      <c r="F57" s="217">
        <v>0.35</v>
      </c>
      <c r="G57" s="15">
        <v>0.35</v>
      </c>
      <c r="H57" s="13">
        <v>0.27</v>
      </c>
      <c r="I57" s="218">
        <v>0.35</v>
      </c>
      <c r="J57" s="217">
        <v>0.35</v>
      </c>
      <c r="K57" s="15">
        <v>0.35</v>
      </c>
      <c r="L57" s="13">
        <v>0.27</v>
      </c>
      <c r="M57" s="218">
        <v>0.35</v>
      </c>
      <c r="N57" s="217">
        <v>0.35</v>
      </c>
      <c r="O57" s="15">
        <v>0.35</v>
      </c>
      <c r="P57" s="13">
        <v>0.27</v>
      </c>
      <c r="Q57" s="218">
        <v>0.35</v>
      </c>
      <c r="R57" s="217">
        <v>0.35</v>
      </c>
      <c r="S57" s="15">
        <v>0.35</v>
      </c>
      <c r="T57" s="13">
        <v>0.27</v>
      </c>
      <c r="U57" s="218">
        <v>0.35</v>
      </c>
      <c r="V57" s="217">
        <v>0.35</v>
      </c>
      <c r="W57" s="15">
        <v>0.35</v>
      </c>
      <c r="X57" s="13">
        <v>0.27</v>
      </c>
      <c r="Y57" s="218">
        <v>0.35</v>
      </c>
      <c r="Z57" s="217">
        <v>0.35</v>
      </c>
      <c r="AA57" s="15">
        <v>0.35</v>
      </c>
      <c r="AB57" s="13">
        <v>0.27</v>
      </c>
      <c r="AC57" s="218">
        <v>0.35</v>
      </c>
      <c r="AD57" s="217">
        <v>0.35</v>
      </c>
      <c r="AE57" s="15">
        <v>0.35</v>
      </c>
      <c r="AF57" s="13">
        <v>0.27</v>
      </c>
      <c r="AG57" s="218">
        <v>0.35</v>
      </c>
      <c r="AH57" s="217">
        <v>0.35</v>
      </c>
      <c r="AI57" s="15">
        <v>0.35</v>
      </c>
      <c r="AJ57" s="13">
        <v>0.27</v>
      </c>
      <c r="AK57" s="218">
        <v>0.35</v>
      </c>
      <c r="AL57" s="217">
        <v>0.35</v>
      </c>
      <c r="AM57" s="15">
        <v>0.35</v>
      </c>
      <c r="AN57" s="13">
        <v>0.27</v>
      </c>
      <c r="AO57" s="15">
        <v>0.35</v>
      </c>
      <c r="AP57" s="217">
        <v>0.35</v>
      </c>
      <c r="AQ57" s="15">
        <v>0.35</v>
      </c>
      <c r="AR57" s="13">
        <v>0.27</v>
      </c>
      <c r="AS57" s="218">
        <v>0.35</v>
      </c>
    </row>
    <row r="58" spans="1:47" x14ac:dyDescent="0.25">
      <c r="A58" s="237"/>
      <c r="B58" s="197"/>
      <c r="E58" s="198"/>
      <c r="F58" s="197"/>
      <c r="I58" s="198"/>
      <c r="J58" s="197"/>
      <c r="M58" s="198"/>
      <c r="N58" s="197"/>
      <c r="Q58" s="198"/>
      <c r="R58" s="197"/>
      <c r="U58" s="198"/>
      <c r="V58" s="197"/>
      <c r="Y58" s="198"/>
      <c r="Z58" s="197"/>
      <c r="AC58" s="198"/>
      <c r="AD58" s="197"/>
      <c r="AG58" s="198"/>
      <c r="AH58" s="197"/>
      <c r="AK58" s="198"/>
      <c r="AL58" s="197"/>
      <c r="AP58" s="197"/>
      <c r="AS58" s="198"/>
    </row>
    <row r="59" spans="1:47" x14ac:dyDescent="0.25">
      <c r="A59" s="247" t="s">
        <v>355</v>
      </c>
      <c r="B59" s="219"/>
      <c r="C59" s="7"/>
      <c r="D59" s="7"/>
      <c r="E59" s="220"/>
      <c r="F59" s="219"/>
      <c r="G59" s="7"/>
      <c r="H59" s="7"/>
      <c r="I59" s="220"/>
      <c r="J59" s="219"/>
      <c r="K59" s="7"/>
      <c r="L59" s="7"/>
      <c r="M59" s="220"/>
      <c r="N59" s="219"/>
      <c r="O59" s="7"/>
      <c r="P59" s="7"/>
      <c r="Q59" s="220"/>
      <c r="R59" s="219"/>
      <c r="S59" s="7"/>
      <c r="T59" s="7"/>
      <c r="U59" s="220"/>
      <c r="V59" s="219"/>
      <c r="W59" s="7"/>
      <c r="X59" s="7"/>
      <c r="Y59" s="220"/>
      <c r="Z59" s="219"/>
      <c r="AA59" s="7"/>
      <c r="AB59" s="7"/>
      <c r="AC59" s="220"/>
      <c r="AD59" s="219"/>
      <c r="AE59" s="7"/>
      <c r="AF59" s="7"/>
      <c r="AG59" s="220"/>
      <c r="AH59" s="219"/>
      <c r="AI59" s="7"/>
      <c r="AJ59" s="7"/>
      <c r="AK59" s="220"/>
      <c r="AL59" s="219"/>
      <c r="AM59" s="7"/>
      <c r="AN59" s="7"/>
      <c r="AO59" s="7"/>
      <c r="AP59" s="219"/>
      <c r="AQ59" s="7"/>
      <c r="AR59" s="7"/>
      <c r="AS59" s="220"/>
      <c r="AT59" s="7"/>
      <c r="AU59" s="181" t="s">
        <v>356</v>
      </c>
    </row>
    <row r="60" spans="1:47" x14ac:dyDescent="0.25">
      <c r="A60" s="237"/>
      <c r="B60" s="197"/>
      <c r="E60" s="198"/>
      <c r="F60" s="197"/>
      <c r="I60" s="198"/>
      <c r="J60" s="197"/>
      <c r="M60" s="198"/>
      <c r="N60" s="197"/>
      <c r="Q60" s="198"/>
      <c r="R60" s="197"/>
      <c r="U60" s="198"/>
      <c r="V60" s="197"/>
      <c r="Y60" s="198"/>
      <c r="Z60" s="197"/>
      <c r="AC60" s="198"/>
      <c r="AD60" s="197"/>
      <c r="AG60" s="198"/>
      <c r="AH60" s="197"/>
      <c r="AK60" s="198"/>
      <c r="AL60" s="197"/>
      <c r="AP60" s="197"/>
      <c r="AS60" s="198"/>
    </row>
    <row r="61" spans="1:47" x14ac:dyDescent="0.25">
      <c r="A61" s="245" t="s">
        <v>357</v>
      </c>
      <c r="B61" s="205"/>
      <c r="C61" s="114"/>
      <c r="D61" s="114"/>
      <c r="E61" s="206"/>
      <c r="F61" s="205"/>
      <c r="G61" s="114"/>
      <c r="H61" s="114"/>
      <c r="I61" s="206"/>
      <c r="J61" s="205"/>
      <c r="K61" s="114"/>
      <c r="L61" s="114"/>
      <c r="M61" s="206"/>
      <c r="N61" s="205"/>
      <c r="O61" s="114"/>
      <c r="P61" s="114"/>
      <c r="Q61" s="206"/>
      <c r="R61" s="205"/>
      <c r="S61" s="114"/>
      <c r="T61" s="114"/>
      <c r="U61" s="206"/>
      <c r="V61" s="205"/>
      <c r="W61" s="114"/>
      <c r="X61" s="114"/>
      <c r="Y61" s="206"/>
      <c r="Z61" s="205"/>
      <c r="AA61" s="114"/>
      <c r="AB61" s="114"/>
      <c r="AC61" s="206"/>
      <c r="AD61" s="205"/>
      <c r="AE61" s="114"/>
      <c r="AF61" s="114"/>
      <c r="AG61" s="206"/>
      <c r="AH61" s="205"/>
      <c r="AI61" s="114"/>
      <c r="AJ61" s="114"/>
      <c r="AK61" s="206"/>
      <c r="AL61" s="205"/>
      <c r="AM61" s="114"/>
      <c r="AN61" s="114"/>
      <c r="AO61" s="114"/>
      <c r="AP61" s="205"/>
      <c r="AQ61" s="114"/>
      <c r="AR61" s="114"/>
      <c r="AS61" s="206"/>
    </row>
    <row r="62" spans="1:47" x14ac:dyDescent="0.25">
      <c r="A62" s="243" t="s">
        <v>334</v>
      </c>
      <c r="B62" s="214">
        <f>B45-B50</f>
        <v>6.5025495625207668E-3</v>
      </c>
      <c r="C62" s="11">
        <f t="shared" ref="C62:E62" si="98">C45-C50</f>
        <v>9.301260163692402E-5</v>
      </c>
      <c r="D62" s="11">
        <f t="shared" si="98"/>
        <v>6.2014257795344571E-2</v>
      </c>
      <c r="E62" s="215">
        <f t="shared" si="98"/>
        <v>4.4024802309042873E-3</v>
      </c>
      <c r="F62" s="214">
        <f t="shared" ref="F62:I62" si="99">F45-F50</f>
        <v>0.48739851903114145</v>
      </c>
      <c r="G62" s="11">
        <f t="shared" si="99"/>
        <v>5.2306553782824096E-3</v>
      </c>
      <c r="H62" s="11">
        <f t="shared" si="99"/>
        <v>3.1263103871706659</v>
      </c>
      <c r="I62" s="215">
        <f t="shared" si="99"/>
        <v>0.22237550856453742</v>
      </c>
      <c r="J62" s="214">
        <f t="shared" ref="J62:M62" si="100">J45-J50</f>
        <v>9.8658916537585437</v>
      </c>
      <c r="K62" s="11">
        <f t="shared" si="100"/>
        <v>3.0104714455551651E-3</v>
      </c>
      <c r="L62" s="11">
        <f t="shared" si="100"/>
        <v>1.805146439197665</v>
      </c>
      <c r="M62" s="215">
        <f t="shared" si="100"/>
        <v>0.12839286814048156</v>
      </c>
      <c r="N62" s="214">
        <f t="shared" ref="N62:AO62" si="101">N45-N50</f>
        <v>1.1140346000000001</v>
      </c>
      <c r="O62" s="11">
        <f t="shared" si="101"/>
        <v>8.3981078017978696E-3</v>
      </c>
      <c r="P62" s="11">
        <f t="shared" si="101"/>
        <v>4.9490442054794519</v>
      </c>
      <c r="Q62" s="215">
        <f t="shared" si="101"/>
        <v>0.3521216499238965</v>
      </c>
      <c r="R62" s="214">
        <f t="shared" si="101"/>
        <v>1.6682981516215656</v>
      </c>
      <c r="S62" s="11">
        <f t="shared" si="101"/>
        <v>1.8249967790727861E-2</v>
      </c>
      <c r="T62" s="11">
        <f t="shared" si="101"/>
        <v>11.312877109877313</v>
      </c>
      <c r="U62" s="215">
        <f t="shared" si="101"/>
        <v>0.80414535529807973</v>
      </c>
      <c r="V62" s="214">
        <f t="shared" si="101"/>
        <v>0</v>
      </c>
      <c r="W62" s="11">
        <f t="shared" si="101"/>
        <v>0</v>
      </c>
      <c r="X62" s="11">
        <f t="shared" si="101"/>
        <v>0</v>
      </c>
      <c r="Y62" s="215">
        <f t="shared" si="101"/>
        <v>0</v>
      </c>
      <c r="Z62" s="214">
        <f t="shared" si="101"/>
        <v>0</v>
      </c>
      <c r="AA62" s="11">
        <f t="shared" si="101"/>
        <v>0</v>
      </c>
      <c r="AB62" s="11">
        <f t="shared" si="101"/>
        <v>0</v>
      </c>
      <c r="AC62" s="215">
        <f t="shared" si="101"/>
        <v>0</v>
      </c>
      <c r="AD62" s="214">
        <f t="shared" si="101"/>
        <v>4.3556407729468588E-2</v>
      </c>
      <c r="AE62" s="11">
        <f t="shared" si="101"/>
        <v>1.6796215603595739E-2</v>
      </c>
      <c r="AF62" s="11">
        <f t="shared" si="101"/>
        <v>0</v>
      </c>
      <c r="AG62" s="215">
        <f t="shared" si="101"/>
        <v>0.76374467596978635</v>
      </c>
      <c r="AH62" s="214">
        <f t="shared" si="101"/>
        <v>6.8227486460000009</v>
      </c>
      <c r="AI62" s="11">
        <f t="shared" si="101"/>
        <v>6.3573676059609868E-2</v>
      </c>
      <c r="AJ62" s="11">
        <f t="shared" si="101"/>
        <v>37.464264635479459</v>
      </c>
      <c r="AK62" s="215">
        <f t="shared" si="101"/>
        <v>2.6655608899238965</v>
      </c>
      <c r="AL62" s="214">
        <f t="shared" si="101"/>
        <v>0.27844671842671309</v>
      </c>
      <c r="AM62" s="11">
        <f t="shared" si="101"/>
        <v>3.3719740431268712E-3</v>
      </c>
      <c r="AN62" s="11">
        <f t="shared" si="101"/>
        <v>1.8030570908471557</v>
      </c>
      <c r="AO62" s="5">
        <f t="shared" si="101"/>
        <v>0.12853691665607914</v>
      </c>
      <c r="AP62" s="214">
        <f t="shared" ref="AP62:AS64" si="102">AP45-AP50</f>
        <v>3.7107000000000001</v>
      </c>
      <c r="AQ62" s="11">
        <f t="shared" si="102"/>
        <v>1.6796215603595739E-2</v>
      </c>
      <c r="AR62" s="11">
        <f t="shared" si="102"/>
        <v>0</v>
      </c>
      <c r="AS62" s="215">
        <f t="shared" si="102"/>
        <v>0.66553458594785686</v>
      </c>
    </row>
    <row r="63" spans="1:47" x14ac:dyDescent="0.25">
      <c r="A63" s="243" t="s">
        <v>335</v>
      </c>
      <c r="B63" s="214">
        <f t="shared" ref="B63:E63" si="103">B46-B51</f>
        <v>4.8378540945841184</v>
      </c>
      <c r="C63" s="11">
        <f t="shared" si="103"/>
        <v>6.9200763692860712E-2</v>
      </c>
      <c r="D63" s="5">
        <f>D46-D51</f>
        <v>51.143802707797768</v>
      </c>
      <c r="E63" s="215">
        <f t="shared" si="103"/>
        <v>3.2754163281070605</v>
      </c>
      <c r="F63" s="214">
        <f t="shared" ref="F63:I63" si="104">F46-F51</f>
        <v>6.2759685034602075</v>
      </c>
      <c r="G63" s="11">
        <f t="shared" si="104"/>
        <v>6.7352335152371823E-2</v>
      </c>
      <c r="H63" s="5">
        <f t="shared" si="104"/>
        <v>44.623231161181295</v>
      </c>
      <c r="I63" s="215">
        <f t="shared" si="104"/>
        <v>2.8634097831610577</v>
      </c>
      <c r="J63" s="214">
        <f t="shared" ref="J63:M63" si="105">J46-J51</f>
        <v>0.31879481447068703</v>
      </c>
      <c r="K63" s="11">
        <f t="shared" si="105"/>
        <v>6.8148944565570871E-2</v>
      </c>
      <c r="L63" s="5">
        <f t="shared" si="105"/>
        <v>45.296999137651632</v>
      </c>
      <c r="M63" s="215">
        <f t="shared" si="105"/>
        <v>2.9064678445760039</v>
      </c>
      <c r="N63" s="214">
        <f t="shared" ref="N63:AO63" si="106">N46-N51</f>
        <v>8.5751347500000001</v>
      </c>
      <c r="O63" s="11">
        <f t="shared" si="106"/>
        <v>6.4643329790154663E-2</v>
      </c>
      <c r="P63" s="5">
        <f t="shared" si="106"/>
        <v>42.227558999999992</v>
      </c>
      <c r="Q63" s="215">
        <f t="shared" si="106"/>
        <v>2.7104100684931502</v>
      </c>
      <c r="R63" s="214">
        <f t="shared" si="106"/>
        <v>4.536165523393926</v>
      </c>
      <c r="S63" s="11">
        <f t="shared" si="106"/>
        <v>4.9622349946790656E-2</v>
      </c>
      <c r="T63" s="5">
        <f t="shared" si="106"/>
        <v>34.097352933940073</v>
      </c>
      <c r="U63" s="215">
        <f t="shared" si="106"/>
        <v>2.1865015153046556</v>
      </c>
      <c r="V63" s="214">
        <f t="shared" si="106"/>
        <v>14.105</v>
      </c>
      <c r="W63" s="11">
        <f t="shared" si="106"/>
        <v>7.1825921989060723E-2</v>
      </c>
      <c r="X63" s="5">
        <f t="shared" si="106"/>
        <v>46.81908</v>
      </c>
      <c r="Y63" s="215">
        <f t="shared" si="106"/>
        <v>3.0052438356164375</v>
      </c>
      <c r="Z63" s="214">
        <f t="shared" si="106"/>
        <v>8.5617349999999988</v>
      </c>
      <c r="AA63" s="11">
        <f t="shared" si="106"/>
        <v>7.1825921989060723E-2</v>
      </c>
      <c r="AB63" s="5">
        <f t="shared" si="106"/>
        <v>72.494317241379321</v>
      </c>
      <c r="AC63" s="215">
        <f t="shared" si="106"/>
        <v>2.5678592347661784</v>
      </c>
      <c r="AD63" s="214">
        <f t="shared" si="106"/>
        <v>2.8105447539251203</v>
      </c>
      <c r="AE63" s="11">
        <f t="shared" si="106"/>
        <v>4.5250330853108263E-2</v>
      </c>
      <c r="AF63" s="5">
        <f t="shared" si="106"/>
        <v>50.961017943925242</v>
      </c>
      <c r="AG63" s="215">
        <f t="shared" si="106"/>
        <v>2.057588452694918</v>
      </c>
      <c r="AH63" s="214">
        <f t="shared" si="106"/>
        <v>1.8731369474999999</v>
      </c>
      <c r="AI63" s="11">
        <f t="shared" si="106"/>
        <v>1.7453699043341757E-2</v>
      </c>
      <c r="AJ63" s="5">
        <f t="shared" si="106"/>
        <v>11.401440930000001</v>
      </c>
      <c r="AK63" s="215">
        <f t="shared" si="106"/>
        <v>0.7318107184931506</v>
      </c>
      <c r="AL63" s="214">
        <f t="shared" si="106"/>
        <v>1.4070008388814914</v>
      </c>
      <c r="AM63" s="11">
        <f t="shared" si="106"/>
        <v>1.7038700740209429E-2</v>
      </c>
      <c r="AN63" s="5">
        <f t="shared" si="106"/>
        <v>10.099365764489363</v>
      </c>
      <c r="AO63" s="5">
        <f t="shared" si="106"/>
        <v>0.64950145788823033</v>
      </c>
      <c r="AP63" s="214">
        <f t="shared" si="102"/>
        <v>9.9969187500000007</v>
      </c>
      <c r="AQ63" s="11">
        <f t="shared" si="102"/>
        <v>4.5250330853108263E-2</v>
      </c>
      <c r="AR63" s="5">
        <f>AR46-AR51</f>
        <v>44.290300645161295</v>
      </c>
      <c r="AS63" s="215">
        <f t="shared" si="102"/>
        <v>1.7930027167476801</v>
      </c>
    </row>
    <row r="64" spans="1:47" x14ac:dyDescent="0.25">
      <c r="A64" s="243" t="s">
        <v>336</v>
      </c>
      <c r="B64" s="214">
        <f t="shared" ref="B64:E64" si="107">B47-B52</f>
        <v>0.20808158600066454</v>
      </c>
      <c r="C64" s="11">
        <f t="shared" si="107"/>
        <v>2.9764032523815686E-3</v>
      </c>
      <c r="D64" s="5">
        <f t="shared" si="107"/>
        <v>1.9844562494510263</v>
      </c>
      <c r="E64" s="215">
        <f t="shared" si="107"/>
        <v>0.14087936738893719</v>
      </c>
      <c r="F64" s="214">
        <f t="shared" ref="F64:I64" si="108">F47-F52</f>
        <v>0</v>
      </c>
      <c r="G64" s="11">
        <f t="shared" si="108"/>
        <v>0</v>
      </c>
      <c r="H64" s="5">
        <f t="shared" si="108"/>
        <v>0</v>
      </c>
      <c r="I64" s="215">
        <f t="shared" si="108"/>
        <v>0</v>
      </c>
      <c r="J64" s="214">
        <f t="shared" ref="J64:M64" si="109">J47-J52</f>
        <v>0.15956964009111618</v>
      </c>
      <c r="K64" s="11">
        <f t="shared" si="109"/>
        <v>1.2887636957560572E-3</v>
      </c>
      <c r="L64" s="5">
        <f t="shared" si="109"/>
        <v>0.7727717197903049</v>
      </c>
      <c r="M64" s="215">
        <f t="shared" si="109"/>
        <v>5.4964170976527227E-2</v>
      </c>
      <c r="N64" s="214">
        <f t="shared" ref="N64:AO64" si="110">N47-N52</f>
        <v>0</v>
      </c>
      <c r="O64" s="11">
        <f t="shared" si="110"/>
        <v>0</v>
      </c>
      <c r="P64" s="5">
        <f t="shared" si="110"/>
        <v>0</v>
      </c>
      <c r="Q64" s="215">
        <f t="shared" si="110"/>
        <v>0</v>
      </c>
      <c r="R64" s="214">
        <f t="shared" si="110"/>
        <v>0.70490354410245804</v>
      </c>
      <c r="S64" s="11">
        <f t="shared" si="110"/>
        <v>7.7111318279263633E-3</v>
      </c>
      <c r="T64" s="5">
        <f t="shared" si="110"/>
        <v>4.7800131894871347</v>
      </c>
      <c r="U64" s="215">
        <f t="shared" si="110"/>
        <v>0.33977434451520583</v>
      </c>
      <c r="V64" s="214">
        <f t="shared" si="110"/>
        <v>0</v>
      </c>
      <c r="W64" s="11">
        <f t="shared" si="110"/>
        <v>0</v>
      </c>
      <c r="X64" s="5">
        <f t="shared" si="110"/>
        <v>0</v>
      </c>
      <c r="Y64" s="215">
        <f t="shared" si="110"/>
        <v>0</v>
      </c>
      <c r="Z64" s="214">
        <f t="shared" si="110"/>
        <v>0</v>
      </c>
      <c r="AA64" s="11">
        <f t="shared" si="110"/>
        <v>0</v>
      </c>
      <c r="AB64" s="5">
        <f t="shared" si="110"/>
        <v>0</v>
      </c>
      <c r="AC64" s="215">
        <f t="shared" si="110"/>
        <v>0</v>
      </c>
      <c r="AD64" s="214">
        <f t="shared" si="110"/>
        <v>3.1103941876811589</v>
      </c>
      <c r="AE64" s="11">
        <f t="shared" si="110"/>
        <v>1.4276783263056378E-2</v>
      </c>
      <c r="AF64" s="5">
        <f t="shared" si="110"/>
        <v>0</v>
      </c>
      <c r="AG64" s="215">
        <f t="shared" si="110"/>
        <v>0.64918297457431851</v>
      </c>
      <c r="AH64" s="214">
        <f t="shared" si="110"/>
        <v>0</v>
      </c>
      <c r="AI64" s="11">
        <f t="shared" si="110"/>
        <v>0</v>
      </c>
      <c r="AJ64" s="5">
        <f t="shared" si="110"/>
        <v>0</v>
      </c>
      <c r="AK64" s="215">
        <f t="shared" si="110"/>
        <v>0</v>
      </c>
      <c r="AL64" s="214">
        <f t="shared" si="110"/>
        <v>5.0113306084195433</v>
      </c>
      <c r="AM64" s="11">
        <f t="shared" si="110"/>
        <v>6.0686930801683872E-2</v>
      </c>
      <c r="AN64" s="5">
        <f t="shared" si="110"/>
        <v>32.45042799981298</v>
      </c>
      <c r="AO64" s="5">
        <f t="shared" si="110"/>
        <v>2.3133365995118327</v>
      </c>
      <c r="AP64" s="214">
        <f t="shared" si="102"/>
        <v>3.1540949999999999</v>
      </c>
      <c r="AQ64" s="11">
        <f t="shared" si="102"/>
        <v>1.4276783263056378E-2</v>
      </c>
      <c r="AR64" s="5">
        <f t="shared" si="102"/>
        <v>0</v>
      </c>
      <c r="AS64" s="215">
        <f t="shared" si="102"/>
        <v>0.5657043980556784</v>
      </c>
    </row>
    <row r="65" spans="1:48" x14ac:dyDescent="0.25">
      <c r="A65" s="237"/>
      <c r="B65" s="197"/>
      <c r="E65" s="198"/>
      <c r="F65" s="197"/>
      <c r="I65" s="198"/>
      <c r="J65" s="197"/>
      <c r="M65" s="198"/>
      <c r="N65" s="197"/>
      <c r="Q65" s="198"/>
      <c r="R65" s="197"/>
      <c r="U65" s="198"/>
      <c r="V65" s="197"/>
      <c r="Y65" s="198"/>
      <c r="Z65" s="197"/>
      <c r="AC65" s="198"/>
      <c r="AD65" s="197"/>
      <c r="AG65" s="198"/>
      <c r="AH65" s="197"/>
      <c r="AK65" s="198"/>
      <c r="AL65" s="197"/>
      <c r="AP65" s="197"/>
      <c r="AS65" s="198"/>
    </row>
    <row r="66" spans="1:48" x14ac:dyDescent="0.25">
      <c r="A66" s="245" t="s">
        <v>358</v>
      </c>
      <c r="B66" s="221"/>
      <c r="C66" s="114"/>
      <c r="D66" s="114"/>
      <c r="E66" s="206"/>
      <c r="F66" s="221"/>
      <c r="G66" s="114"/>
      <c r="H66" s="114"/>
      <c r="I66" s="206"/>
      <c r="J66" s="221"/>
      <c r="K66" s="114"/>
      <c r="L66" s="114"/>
      <c r="M66" s="206"/>
      <c r="N66" s="221"/>
      <c r="O66" s="114"/>
      <c r="P66" s="114"/>
      <c r="Q66" s="206"/>
      <c r="R66" s="221"/>
      <c r="S66" s="114"/>
      <c r="T66" s="114"/>
      <c r="U66" s="206"/>
      <c r="V66" s="221"/>
      <c r="W66" s="114"/>
      <c r="X66" s="114"/>
      <c r="Y66" s="206"/>
      <c r="Z66" s="221"/>
      <c r="AA66" s="114"/>
      <c r="AB66" s="114"/>
      <c r="AC66" s="206"/>
      <c r="AD66" s="221"/>
      <c r="AE66" s="114"/>
      <c r="AF66" s="114"/>
      <c r="AG66" s="206"/>
      <c r="AH66" s="221"/>
      <c r="AI66" s="114"/>
      <c r="AJ66" s="114"/>
      <c r="AK66" s="206"/>
      <c r="AL66" s="221"/>
      <c r="AM66" s="114"/>
      <c r="AN66" s="114"/>
      <c r="AO66" s="114"/>
      <c r="AP66" s="221"/>
      <c r="AQ66" s="114"/>
      <c r="AR66" s="114"/>
      <c r="AS66" s="206"/>
      <c r="AU66" s="168" t="s">
        <v>359</v>
      </c>
    </row>
    <row r="67" spans="1:48" x14ac:dyDescent="0.25">
      <c r="A67" s="243" t="s">
        <v>334</v>
      </c>
      <c r="B67" s="222">
        <f>B62</f>
        <v>6.5025495625207668E-3</v>
      </c>
      <c r="C67" s="18">
        <f t="shared" ref="C67:E67" si="111">C62</f>
        <v>9.301260163692402E-5</v>
      </c>
      <c r="D67" s="120">
        <f t="shared" si="111"/>
        <v>6.2014257795344571E-2</v>
      </c>
      <c r="E67" s="223">
        <f t="shared" si="111"/>
        <v>4.4024802309042873E-3</v>
      </c>
      <c r="F67" s="222">
        <f>F62</f>
        <v>0.48739851903114145</v>
      </c>
      <c r="G67" s="18">
        <f t="shared" ref="G67:I67" si="112">G62</f>
        <v>5.2306553782824096E-3</v>
      </c>
      <c r="H67" s="120">
        <f t="shared" si="112"/>
        <v>3.1263103871706659</v>
      </c>
      <c r="I67" s="223">
        <f t="shared" si="112"/>
        <v>0.22237550856453742</v>
      </c>
      <c r="J67" s="222">
        <f>J62</f>
        <v>9.8658916537585437</v>
      </c>
      <c r="K67" s="18">
        <f t="shared" ref="K67:M67" si="113">K62</f>
        <v>3.0104714455551651E-3</v>
      </c>
      <c r="L67" s="120">
        <f t="shared" si="113"/>
        <v>1.805146439197665</v>
      </c>
      <c r="M67" s="223">
        <f t="shared" si="113"/>
        <v>0.12839286814048156</v>
      </c>
      <c r="N67" s="222">
        <f>N62</f>
        <v>1.1140346000000001</v>
      </c>
      <c r="O67" s="18">
        <f t="shared" ref="O67:Q67" si="114">O62</f>
        <v>8.3981078017978696E-3</v>
      </c>
      <c r="P67" s="120">
        <f t="shared" si="114"/>
        <v>4.9490442054794519</v>
      </c>
      <c r="Q67" s="223">
        <f t="shared" si="114"/>
        <v>0.3521216499238965</v>
      </c>
      <c r="R67" s="222">
        <f>R62</f>
        <v>1.6682981516215656</v>
      </c>
      <c r="S67" s="18">
        <f t="shared" ref="S67:U67" si="115">S62</f>
        <v>1.8249967790727861E-2</v>
      </c>
      <c r="T67" s="120">
        <f t="shared" si="115"/>
        <v>11.312877109877313</v>
      </c>
      <c r="U67" s="223">
        <f t="shared" si="115"/>
        <v>0.80414535529807973</v>
      </c>
      <c r="V67" s="222">
        <f>V62</f>
        <v>0</v>
      </c>
      <c r="W67" s="18">
        <f t="shared" ref="W67:Y67" si="116">W62</f>
        <v>0</v>
      </c>
      <c r="X67" s="120">
        <f t="shared" si="116"/>
        <v>0</v>
      </c>
      <c r="Y67" s="223">
        <f t="shared" si="116"/>
        <v>0</v>
      </c>
      <c r="Z67" s="222">
        <f>Z62</f>
        <v>0</v>
      </c>
      <c r="AA67" s="18">
        <f t="shared" ref="AA67:AC67" si="117">AA62</f>
        <v>0</v>
      </c>
      <c r="AB67" s="120">
        <f t="shared" si="117"/>
        <v>0</v>
      </c>
      <c r="AC67" s="223">
        <f t="shared" si="117"/>
        <v>0</v>
      </c>
      <c r="AD67" s="222">
        <f>AD62</f>
        <v>4.3556407729468588E-2</v>
      </c>
      <c r="AE67" s="18">
        <f t="shared" ref="AE67:AG67" si="118">AE62</f>
        <v>1.6796215603595739E-2</v>
      </c>
      <c r="AF67" s="120">
        <f t="shared" si="118"/>
        <v>0</v>
      </c>
      <c r="AG67" s="223">
        <f t="shared" si="118"/>
        <v>0.76374467596978635</v>
      </c>
      <c r="AH67" s="222">
        <f>AH62</f>
        <v>6.8227486460000009</v>
      </c>
      <c r="AI67" s="18">
        <f t="shared" ref="AI67:AK67" si="119">AI62</f>
        <v>6.3573676059609868E-2</v>
      </c>
      <c r="AJ67" s="120">
        <f t="shared" si="119"/>
        <v>37.464264635479459</v>
      </c>
      <c r="AK67" s="223">
        <f t="shared" si="119"/>
        <v>2.6655608899238965</v>
      </c>
      <c r="AL67" s="222">
        <f>AL62</f>
        <v>0.27844671842671309</v>
      </c>
      <c r="AM67" s="18">
        <f t="shared" ref="AM67:AO67" si="120">AM62</f>
        <v>3.3719740431268712E-3</v>
      </c>
      <c r="AN67" s="120">
        <f t="shared" si="120"/>
        <v>1.8030570908471557</v>
      </c>
      <c r="AO67" s="120">
        <f t="shared" si="120"/>
        <v>0.12853691665607914</v>
      </c>
      <c r="AP67" s="222">
        <f>AP62</f>
        <v>3.7107000000000001</v>
      </c>
      <c r="AQ67" s="18">
        <f t="shared" ref="AQ67:AS67" si="121">AQ62</f>
        <v>1.6796215603595739E-2</v>
      </c>
      <c r="AR67" s="120">
        <f t="shared" si="121"/>
        <v>0</v>
      </c>
      <c r="AS67" s="223">
        <f t="shared" si="121"/>
        <v>0.66553458594785686</v>
      </c>
    </row>
    <row r="68" spans="1:48" x14ac:dyDescent="0.25">
      <c r="A68" s="243" t="s">
        <v>335</v>
      </c>
      <c r="B68" s="214">
        <f>B63+((B41-B46)*B71)</f>
        <v>5.1568334854358184</v>
      </c>
      <c r="C68" s="11">
        <f t="shared" ref="C68:E68" si="122">C63+((C41-C46)*C71)</f>
        <v>7.3763451408873498E-2</v>
      </c>
      <c r="D68" s="5">
        <f>D63+((D41-D46)*D71)</f>
        <v>54.146374295339712</v>
      </c>
      <c r="E68" s="215">
        <f t="shared" si="122"/>
        <v>3.4913778442459877</v>
      </c>
      <c r="F68" s="214">
        <f>F63+((F41-F46)*F71)</f>
        <v>6.6897686245674741</v>
      </c>
      <c r="G68" s="11">
        <f t="shared" ref="G68:I68" si="123">G63+((G41-G46)*G71)</f>
        <v>7.1793148459121617E-2</v>
      </c>
      <c r="H68" s="5">
        <f t="shared" si="123"/>
        <v>47.242990329156711</v>
      </c>
      <c r="I68" s="215">
        <f t="shared" si="123"/>
        <v>3.0522060326002483</v>
      </c>
      <c r="J68" s="214">
        <f>J63+((J41-J46)*J71)</f>
        <v>0.3398142527874356</v>
      </c>
      <c r="K68" s="11">
        <f t="shared" ref="K68:M68" si="124">K63+((K41-K46)*K71)</f>
        <v>7.2642281569894218E-2</v>
      </c>
      <c r="L68" s="5">
        <f t="shared" si="124"/>
        <v>47.956314155517674</v>
      </c>
      <c r="M68" s="215">
        <f t="shared" si="124"/>
        <v>3.0981030870755206</v>
      </c>
      <c r="N68" s="214">
        <f>N63+((N41-N46)*N71)</f>
        <v>9.1405282500000009</v>
      </c>
      <c r="O68" s="11">
        <f t="shared" ref="O68:Q68" si="125">O63+((O41-O46)*O71)</f>
        <v>6.8905527358736285E-2</v>
      </c>
      <c r="P68" s="5">
        <f t="shared" si="125"/>
        <v>44.706672052837568</v>
      </c>
      <c r="Q68" s="215">
        <f t="shared" si="125"/>
        <v>2.8891184246575339</v>
      </c>
      <c r="R68" s="214">
        <f>R63+((R41-R46)*R71)</f>
        <v>4.835253360101218</v>
      </c>
      <c r="S68" s="11">
        <f t="shared" ref="S68:U68" si="126">S63+((S41-S46)*S71)</f>
        <v>5.2894153239985649E-2</v>
      </c>
      <c r="T68" s="5">
        <f t="shared" si="126"/>
        <v>36.09915447605006</v>
      </c>
      <c r="U68" s="215">
        <f t="shared" si="126"/>
        <v>2.3306664503796881</v>
      </c>
      <c r="V68" s="214">
        <f>V63+((V41-V46)*V71)</f>
        <v>15.035</v>
      </c>
      <c r="W68" s="11">
        <f t="shared" ref="W68:Y68" si="127">W63+((W41-W46)*W71)</f>
        <v>7.6561697065262529E-2</v>
      </c>
      <c r="X68" s="5">
        <f t="shared" si="127"/>
        <v>49.567753972602738</v>
      </c>
      <c r="Y68" s="215">
        <f t="shared" si="127"/>
        <v>3.2033917808219168</v>
      </c>
      <c r="Z68" s="214">
        <f>Z63+((Z41-Z46)*Z71)</f>
        <v>9.1262449999999991</v>
      </c>
      <c r="AA68" s="11">
        <f t="shared" ref="AA68:AC68" si="128">AA63+((AA41-AA46)*AA71)</f>
        <v>7.6561697065262529E-2</v>
      </c>
      <c r="AB68" s="5">
        <f t="shared" si="128"/>
        <v>76.750343693906487</v>
      </c>
      <c r="AC68" s="215">
        <f t="shared" si="128"/>
        <v>2.7371686348606517</v>
      </c>
      <c r="AD68" s="214">
        <f>AD63+((AD41-AD46)*AD71)</f>
        <v>2.9958553970410624</v>
      </c>
      <c r="AE68" s="11">
        <f t="shared" ref="AE68:AG68" si="129">AE63+((AE41-AE46)*AE71)</f>
        <v>4.8233869151115404E-2</v>
      </c>
      <c r="AF68" s="5">
        <f t="shared" si="129"/>
        <v>53.952858527717332</v>
      </c>
      <c r="AG68" s="215">
        <f t="shared" si="129"/>
        <v>2.1932536254000774</v>
      </c>
      <c r="AH68" s="214">
        <f>AH63+((AH41-AH46)*AH71)</f>
        <v>1.9966404824999999</v>
      </c>
      <c r="AI68" s="11">
        <f t="shared" ref="AI68:AK68" si="130">AI63+((AI41-AI46)*AI71)</f>
        <v>1.8604492386858795E-2</v>
      </c>
      <c r="AJ68" s="5">
        <f t="shared" si="130"/>
        <v>12.070801454266146</v>
      </c>
      <c r="AK68" s="215">
        <f t="shared" si="130"/>
        <v>0.78006197465753413</v>
      </c>
      <c r="AL68" s="214">
        <f>AL63+((AL41-AL46)*AL71)</f>
        <v>1.4997701249615898</v>
      </c>
      <c r="AM68" s="11">
        <f t="shared" ref="AM68:AO68" si="131">AM63+((AM41-AM46)*AM71)</f>
        <v>1.8162131558245215E-2</v>
      </c>
      <c r="AN68" s="5">
        <f t="shared" si="131"/>
        <v>10.692283519743143</v>
      </c>
      <c r="AO68" s="5">
        <f t="shared" si="131"/>
        <v>0.69232572983690488</v>
      </c>
      <c r="AP68" s="214">
        <f>AP63+((AP41-AP46)*AP71)</f>
        <v>10.656056250000001</v>
      </c>
      <c r="AQ68" s="11">
        <f t="shared" ref="AQ68:AS68" si="132">AQ63+((AQ41-AQ46)*AQ71)</f>
        <v>4.8233869151115404E-2</v>
      </c>
      <c r="AR68" s="5">
        <f>AR63+((AR41-AR46)*AR71)</f>
        <v>46.8905139902784</v>
      </c>
      <c r="AS68" s="215">
        <f t="shared" si="132"/>
        <v>1.911222676093681</v>
      </c>
      <c r="AU68" t="s">
        <v>514</v>
      </c>
    </row>
    <row r="69" spans="1:48" x14ac:dyDescent="0.25">
      <c r="A69" s="243" t="s">
        <v>338</v>
      </c>
      <c r="B69" s="214">
        <f>B64</f>
        <v>0.20808158600066454</v>
      </c>
      <c r="C69" s="11">
        <f t="shared" ref="C69:E69" si="133">C64</f>
        <v>2.9764032523815686E-3</v>
      </c>
      <c r="D69" s="5">
        <f t="shared" si="133"/>
        <v>1.9844562494510263</v>
      </c>
      <c r="E69" s="215">
        <f t="shared" si="133"/>
        <v>0.14087936738893719</v>
      </c>
      <c r="F69" s="214">
        <f>F64</f>
        <v>0</v>
      </c>
      <c r="G69" s="11">
        <f t="shared" ref="G69:I69" si="134">G64</f>
        <v>0</v>
      </c>
      <c r="H69" s="5">
        <f t="shared" si="134"/>
        <v>0</v>
      </c>
      <c r="I69" s="215">
        <f t="shared" si="134"/>
        <v>0</v>
      </c>
      <c r="J69" s="214">
        <f>J64</f>
        <v>0.15956964009111618</v>
      </c>
      <c r="K69" s="11">
        <f t="shared" ref="K69:M69" si="135">K64</f>
        <v>1.2887636957560572E-3</v>
      </c>
      <c r="L69" s="5">
        <f t="shared" si="135"/>
        <v>0.7727717197903049</v>
      </c>
      <c r="M69" s="215">
        <f t="shared" si="135"/>
        <v>5.4964170976527227E-2</v>
      </c>
      <c r="N69" s="214">
        <f>N64</f>
        <v>0</v>
      </c>
      <c r="O69" s="11">
        <f t="shared" ref="O69:Q69" si="136">O64</f>
        <v>0</v>
      </c>
      <c r="P69" s="5">
        <f t="shared" si="136"/>
        <v>0</v>
      </c>
      <c r="Q69" s="215">
        <f t="shared" si="136"/>
        <v>0</v>
      </c>
      <c r="R69" s="214">
        <f>R64</f>
        <v>0.70490354410245804</v>
      </c>
      <c r="S69" s="11">
        <f t="shared" ref="S69:U69" si="137">S64</f>
        <v>7.7111318279263633E-3</v>
      </c>
      <c r="T69" s="5">
        <f t="shared" si="137"/>
        <v>4.7800131894871347</v>
      </c>
      <c r="U69" s="215">
        <f t="shared" si="137"/>
        <v>0.33977434451520583</v>
      </c>
      <c r="V69" s="214">
        <f>V64</f>
        <v>0</v>
      </c>
      <c r="W69" s="11">
        <f t="shared" ref="W69:Y69" si="138">W64</f>
        <v>0</v>
      </c>
      <c r="X69" s="5">
        <f t="shared" si="138"/>
        <v>0</v>
      </c>
      <c r="Y69" s="215">
        <f t="shared" si="138"/>
        <v>0</v>
      </c>
      <c r="Z69" s="214">
        <f>Z64</f>
        <v>0</v>
      </c>
      <c r="AA69" s="11">
        <f t="shared" ref="AA69:AC69" si="139">AA64</f>
        <v>0</v>
      </c>
      <c r="AB69" s="5">
        <f t="shared" si="139"/>
        <v>0</v>
      </c>
      <c r="AC69" s="215">
        <f t="shared" si="139"/>
        <v>0</v>
      </c>
      <c r="AD69" s="214">
        <f>AD64</f>
        <v>3.1103941876811589</v>
      </c>
      <c r="AE69" s="11">
        <f t="shared" ref="AE69:AG69" si="140">AE64</f>
        <v>1.4276783263056378E-2</v>
      </c>
      <c r="AF69" s="5">
        <f t="shared" si="140"/>
        <v>0</v>
      </c>
      <c r="AG69" s="215">
        <f t="shared" si="140"/>
        <v>0.64918297457431851</v>
      </c>
      <c r="AH69" s="214">
        <f>AH64</f>
        <v>0</v>
      </c>
      <c r="AI69" s="11">
        <f t="shared" ref="AI69:AK69" si="141">AI64</f>
        <v>0</v>
      </c>
      <c r="AJ69" s="5">
        <f t="shared" si="141"/>
        <v>0</v>
      </c>
      <c r="AK69" s="215">
        <f t="shared" si="141"/>
        <v>0</v>
      </c>
      <c r="AL69" s="214">
        <f>AL64</f>
        <v>5.0113306084195433</v>
      </c>
      <c r="AM69" s="11">
        <f t="shared" ref="AM69:AO69" si="142">AM64</f>
        <v>6.0686930801683872E-2</v>
      </c>
      <c r="AN69" s="5">
        <f t="shared" si="142"/>
        <v>32.45042799981298</v>
      </c>
      <c r="AO69" s="5">
        <f t="shared" si="142"/>
        <v>2.3133365995118327</v>
      </c>
      <c r="AP69" s="214">
        <f>AP64</f>
        <v>3.1540949999999999</v>
      </c>
      <c r="AQ69" s="11">
        <f t="shared" ref="AQ69:AS69" si="143">AQ64</f>
        <v>1.4276783263056378E-2</v>
      </c>
      <c r="AR69" s="5">
        <f t="shared" si="143"/>
        <v>0</v>
      </c>
      <c r="AS69" s="215">
        <f t="shared" si="143"/>
        <v>0.5657043980556784</v>
      </c>
    </row>
    <row r="70" spans="1:48" x14ac:dyDescent="0.25">
      <c r="A70" s="237"/>
      <c r="B70" s="197"/>
      <c r="E70" s="198"/>
      <c r="F70" s="197"/>
      <c r="I70" s="198"/>
      <c r="J70" s="197"/>
      <c r="M70" s="198"/>
      <c r="N70" s="197"/>
      <c r="Q70" s="198"/>
      <c r="R70" s="197"/>
      <c r="U70" s="198"/>
      <c r="V70" s="197"/>
      <c r="Y70" s="198"/>
      <c r="Z70" s="197"/>
      <c r="AC70" s="198"/>
      <c r="AD70" s="197"/>
      <c r="AG70" s="198"/>
      <c r="AH70" s="197"/>
      <c r="AK70" s="198"/>
      <c r="AL70" s="197"/>
      <c r="AP70" s="197"/>
      <c r="AS70" s="198"/>
    </row>
    <row r="71" spans="1:48" x14ac:dyDescent="0.25">
      <c r="A71" s="243" t="s">
        <v>360</v>
      </c>
      <c r="B71" s="203">
        <v>0.1</v>
      </c>
      <c r="C71" s="13">
        <v>0.1</v>
      </c>
      <c r="D71" s="13">
        <v>0.1</v>
      </c>
      <c r="E71" s="204">
        <v>0.1</v>
      </c>
      <c r="F71" s="203">
        <v>0.1</v>
      </c>
      <c r="G71" s="13">
        <v>0.1</v>
      </c>
      <c r="H71" s="13">
        <v>0.1</v>
      </c>
      <c r="I71" s="204">
        <v>0.1</v>
      </c>
      <c r="J71" s="203">
        <v>0.1</v>
      </c>
      <c r="K71" s="13">
        <v>0.1</v>
      </c>
      <c r="L71" s="13">
        <v>0.1</v>
      </c>
      <c r="M71" s="204">
        <v>0.1</v>
      </c>
      <c r="N71" s="203">
        <v>0.1</v>
      </c>
      <c r="O71" s="13">
        <v>0.1</v>
      </c>
      <c r="P71" s="13">
        <v>0.1</v>
      </c>
      <c r="Q71" s="204">
        <v>0.1</v>
      </c>
      <c r="R71" s="203">
        <v>0.1</v>
      </c>
      <c r="S71" s="13">
        <v>0.1</v>
      </c>
      <c r="T71" s="13">
        <v>0.1</v>
      </c>
      <c r="U71" s="204">
        <v>0.1</v>
      </c>
      <c r="V71" s="203">
        <v>0.1</v>
      </c>
      <c r="W71" s="13">
        <v>0.1</v>
      </c>
      <c r="X71" s="13">
        <v>0.1</v>
      </c>
      <c r="Y71" s="204">
        <v>0.1</v>
      </c>
      <c r="Z71" s="203">
        <v>0.1</v>
      </c>
      <c r="AA71" s="13">
        <v>0.1</v>
      </c>
      <c r="AB71" s="13">
        <v>0.1</v>
      </c>
      <c r="AC71" s="204">
        <v>0.1</v>
      </c>
      <c r="AD71" s="203">
        <v>0.1</v>
      </c>
      <c r="AE71" s="13">
        <v>0.1</v>
      </c>
      <c r="AF71" s="13">
        <v>0.1</v>
      </c>
      <c r="AG71" s="204">
        <v>0.1</v>
      </c>
      <c r="AH71" s="203">
        <v>0.1</v>
      </c>
      <c r="AI71" s="13">
        <v>0.1</v>
      </c>
      <c r="AJ71" s="13">
        <v>0.1</v>
      </c>
      <c r="AK71" s="204">
        <v>0.1</v>
      </c>
      <c r="AL71" s="203">
        <v>0.1</v>
      </c>
      <c r="AM71" s="13">
        <v>0.1</v>
      </c>
      <c r="AN71" s="13">
        <v>0.1</v>
      </c>
      <c r="AO71" s="13">
        <v>0.1</v>
      </c>
      <c r="AP71" s="203">
        <v>0.1</v>
      </c>
      <c r="AQ71" s="13">
        <v>0.1</v>
      </c>
      <c r="AR71" s="13">
        <v>0.1</v>
      </c>
      <c r="AS71" s="204">
        <v>0.1</v>
      </c>
      <c r="AT71" s="13"/>
      <c r="AU71" s="180" t="s">
        <v>361</v>
      </c>
    </row>
    <row r="72" spans="1:48" x14ac:dyDescent="0.25">
      <c r="A72" s="237"/>
      <c r="B72" s="197"/>
      <c r="E72" s="198"/>
      <c r="F72" s="197"/>
      <c r="I72" s="198"/>
      <c r="J72" s="197"/>
      <c r="M72" s="198"/>
      <c r="N72" s="197"/>
      <c r="Q72" s="198"/>
      <c r="R72" s="197"/>
      <c r="U72" s="198"/>
      <c r="V72" s="197"/>
      <c r="Y72" s="198"/>
      <c r="Z72" s="197"/>
      <c r="AC72" s="198"/>
      <c r="AD72" s="197"/>
      <c r="AG72" s="198"/>
      <c r="AH72" s="197"/>
      <c r="AK72" s="198"/>
      <c r="AL72" s="197"/>
      <c r="AP72" s="197"/>
      <c r="AS72" s="198"/>
    </row>
    <row r="73" spans="1:48" x14ac:dyDescent="0.25">
      <c r="A73" s="248" t="s">
        <v>362</v>
      </c>
      <c r="B73" s="205"/>
      <c r="C73" s="114"/>
      <c r="D73" s="114"/>
      <c r="E73" s="206"/>
      <c r="F73" s="205"/>
      <c r="G73" s="114"/>
      <c r="H73" s="114"/>
      <c r="I73" s="206"/>
      <c r="J73" s="205"/>
      <c r="K73" s="114"/>
      <c r="L73" s="114"/>
      <c r="M73" s="206"/>
      <c r="N73" s="205"/>
      <c r="O73" s="114"/>
      <c r="P73" s="114"/>
      <c r="Q73" s="206"/>
      <c r="R73" s="205"/>
      <c r="S73" s="114"/>
      <c r="T73" s="114"/>
      <c r="U73" s="206"/>
      <c r="V73" s="205"/>
      <c r="W73" s="114"/>
      <c r="X73" s="114"/>
      <c r="Y73" s="206"/>
      <c r="Z73" s="205"/>
      <c r="AA73" s="114"/>
      <c r="AB73" s="114"/>
      <c r="AC73" s="206"/>
      <c r="AD73" s="205"/>
      <c r="AE73" s="114"/>
      <c r="AF73" s="114"/>
      <c r="AG73" s="206"/>
      <c r="AH73" s="205"/>
      <c r="AI73" s="114"/>
      <c r="AJ73" s="114"/>
      <c r="AK73" s="206"/>
      <c r="AL73" s="205"/>
      <c r="AM73" s="114"/>
      <c r="AN73" s="114"/>
      <c r="AO73" s="114"/>
      <c r="AP73" s="205"/>
      <c r="AQ73" s="114"/>
      <c r="AR73" s="114"/>
      <c r="AS73" s="206"/>
      <c r="AU73" s="168" t="s">
        <v>363</v>
      </c>
      <c r="AV73" s="93" t="s">
        <v>515</v>
      </c>
    </row>
    <row r="74" spans="1:48" x14ac:dyDescent="0.25">
      <c r="A74" s="243" t="s">
        <v>334</v>
      </c>
      <c r="B74" s="224">
        <f>B67*B80</f>
        <v>1.8857393731310222E-3</v>
      </c>
      <c r="C74" s="4">
        <f>C67*C80</f>
        <v>2.6973654474707963E-5</v>
      </c>
      <c r="D74" s="4">
        <f t="shared" ref="D74:E74" si="144">D67*D80</f>
        <v>1.7984134760649924E-2</v>
      </c>
      <c r="E74" s="211">
        <f t="shared" si="144"/>
        <v>1.2767192669622433E-3</v>
      </c>
      <c r="F74" s="224">
        <f>F67*F80</f>
        <v>0.14134557051903102</v>
      </c>
      <c r="G74" s="4">
        <f>G67*G80</f>
        <v>1.5168900597018987E-3</v>
      </c>
      <c r="H74" s="4">
        <f t="shared" ref="H74:I74" si="145">H67*H80</f>
        <v>0.90663001227949302</v>
      </c>
      <c r="I74" s="211">
        <f t="shared" si="145"/>
        <v>6.4488897483715849E-2</v>
      </c>
      <c r="J74" s="224">
        <f>J67*J80</f>
        <v>2.8611085795899776</v>
      </c>
      <c r="K74" s="4">
        <f>K67*K80</f>
        <v>8.7303671921099783E-4</v>
      </c>
      <c r="L74" s="4">
        <f t="shared" ref="L74:M74" si="146">L67*L80</f>
        <v>0.5234924673673228</v>
      </c>
      <c r="M74" s="211">
        <f t="shared" si="146"/>
        <v>3.723393176073965E-2</v>
      </c>
      <c r="N74" s="224">
        <f>N67*N80</f>
        <v>0.32307003400000001</v>
      </c>
      <c r="O74" s="4">
        <f>O67*O80</f>
        <v>2.4354512625213822E-3</v>
      </c>
      <c r="P74" s="4">
        <f t="shared" ref="P74:Q74" si="147">P67*P80</f>
        <v>1.4352228195890409</v>
      </c>
      <c r="Q74" s="211">
        <f t="shared" si="147"/>
        <v>0.10211527847792998</v>
      </c>
      <c r="R74" s="224">
        <f>R67*R80</f>
        <v>0.48380646397025401</v>
      </c>
      <c r="S74" s="4">
        <f>S67*S80</f>
        <v>5.2924906593110792E-3</v>
      </c>
      <c r="T74" s="4">
        <f t="shared" ref="T74:U74" si="148">T67*T80</f>
        <v>3.2807343618644205</v>
      </c>
      <c r="U74" s="211">
        <f t="shared" si="148"/>
        <v>0.23320215303644309</v>
      </c>
      <c r="V74" s="224">
        <f>V67*V80</f>
        <v>0</v>
      </c>
      <c r="W74" s="4">
        <f>W67*W80</f>
        <v>0</v>
      </c>
      <c r="X74" s="4">
        <f t="shared" ref="X74:Y74" si="149">X67*X80</f>
        <v>0</v>
      </c>
      <c r="Y74" s="211">
        <f t="shared" si="149"/>
        <v>0</v>
      </c>
      <c r="Z74" s="224">
        <f>Z67*Z80</f>
        <v>0</v>
      </c>
      <c r="AA74" s="4">
        <f>AA67*AA80</f>
        <v>0</v>
      </c>
      <c r="AB74" s="4">
        <f t="shared" ref="AB74:AC74" si="150">AB67*AB80</f>
        <v>0</v>
      </c>
      <c r="AC74" s="211">
        <f t="shared" si="150"/>
        <v>0</v>
      </c>
      <c r="AD74" s="224">
        <f>AD67*AD80</f>
        <v>1.263135824154589E-2</v>
      </c>
      <c r="AE74" s="4">
        <f>AE67*AE80</f>
        <v>4.8709025250427643E-3</v>
      </c>
      <c r="AF74" s="4">
        <f t="shared" ref="AF74:AG74" si="151">AF67*AF80</f>
        <v>0</v>
      </c>
      <c r="AG74" s="211">
        <f t="shared" si="151"/>
        <v>0.22148595603123802</v>
      </c>
      <c r="AH74" s="224">
        <f>AH67*AH80</f>
        <v>1.9785971073400002</v>
      </c>
      <c r="AI74" s="4">
        <f>AI67*AI80</f>
        <v>1.8436366057286862E-2</v>
      </c>
      <c r="AJ74" s="4">
        <f t="shared" ref="AJ74:AK74" si="152">AJ67*AJ80</f>
        <v>10.864636744289042</v>
      </c>
      <c r="AK74" s="211">
        <f t="shared" si="152"/>
        <v>0.77301265807792996</v>
      </c>
      <c r="AL74" s="224">
        <f>AL67*AL80</f>
        <v>8.0749548343746785E-2</v>
      </c>
      <c r="AM74" s="4">
        <f>AM67*AM80</f>
        <v>9.7787247250679266E-4</v>
      </c>
      <c r="AN74" s="4">
        <f t="shared" ref="AN74:AO74" si="153">AN67*AN80</f>
        <v>0.52288655634567516</v>
      </c>
      <c r="AO74" s="4">
        <f t="shared" si="153"/>
        <v>3.7275705830262948E-2</v>
      </c>
      <c r="AP74" s="224">
        <f>AP67*AP80</f>
        <v>1.076103</v>
      </c>
      <c r="AQ74" s="4">
        <f>AQ67*AQ80</f>
        <v>4.8709025250427643E-3</v>
      </c>
      <c r="AR74" s="4">
        <f t="shared" ref="AR74:AS74" si="154">AR67*AR80</f>
        <v>0</v>
      </c>
      <c r="AS74" s="211">
        <f t="shared" si="154"/>
        <v>0.19300502992487847</v>
      </c>
    </row>
    <row r="75" spans="1:48" x14ac:dyDescent="0.25">
      <c r="A75" s="243" t="s">
        <v>335</v>
      </c>
      <c r="B75" s="224">
        <f>B68*B81</f>
        <v>0.56725168339794008</v>
      </c>
      <c r="C75" s="4">
        <f t="shared" ref="C75" si="155">C68*C81</f>
        <v>8.1139796549760841E-3</v>
      </c>
      <c r="D75" s="4">
        <f>D68*D81</f>
        <v>5.9561011724873687</v>
      </c>
      <c r="E75" s="211">
        <f>E68*E81</f>
        <v>0.38405156286705866</v>
      </c>
      <c r="F75" s="224">
        <f>F68*F81</f>
        <v>0.73587454870242219</v>
      </c>
      <c r="G75" s="4">
        <f t="shared" ref="G75" si="156">G68*G81</f>
        <v>7.8972463305033783E-3</v>
      </c>
      <c r="H75" s="4">
        <f>H68*H81</f>
        <v>5.1967289362072382</v>
      </c>
      <c r="I75" s="211">
        <f>I68*I81</f>
        <v>0.33574266358602733</v>
      </c>
      <c r="J75" s="224">
        <f>J68*J81</f>
        <v>3.7379567806617914E-2</v>
      </c>
      <c r="K75" s="4">
        <f t="shared" ref="K75" si="157">K68*K81</f>
        <v>7.9906509726883641E-3</v>
      </c>
      <c r="L75" s="4">
        <f>L68*L81</f>
        <v>5.2751945571069445</v>
      </c>
      <c r="M75" s="211">
        <f>M68*M81</f>
        <v>0.34079133957830726</v>
      </c>
      <c r="N75" s="224">
        <f>N68*N81</f>
        <v>1.0054581075000002</v>
      </c>
      <c r="O75" s="4">
        <f t="shared" ref="O75" si="158">O68*O81</f>
        <v>7.5796080094609917E-3</v>
      </c>
      <c r="P75" s="4">
        <f>P68*P81</f>
        <v>4.9177339258121329</v>
      </c>
      <c r="Q75" s="211">
        <f>Q68*Q81</f>
        <v>0.31780302671232874</v>
      </c>
      <c r="R75" s="224">
        <f>R68*R81</f>
        <v>0.53187786961113404</v>
      </c>
      <c r="S75" s="4">
        <f t="shared" ref="S75" si="159">S68*S81</f>
        <v>5.8183568563984212E-3</v>
      </c>
      <c r="T75" s="4">
        <f>T68*T81</f>
        <v>3.9709069923655065</v>
      </c>
      <c r="U75" s="211">
        <f>U68*U81</f>
        <v>0.25637330954176568</v>
      </c>
      <c r="V75" s="224">
        <f>V68*V81</f>
        <v>1.65385</v>
      </c>
      <c r="W75" s="4">
        <f t="shared" ref="W75" si="160">W68*W81</f>
        <v>8.4217866771788778E-3</v>
      </c>
      <c r="X75" s="4">
        <f>X68*X81</f>
        <v>5.4524529369863011</v>
      </c>
      <c r="Y75" s="211">
        <f>Y68*Y81</f>
        <v>0.35237309589041083</v>
      </c>
      <c r="Z75" s="224">
        <f>Z68*Z81</f>
        <v>1.0038869499999998</v>
      </c>
      <c r="AA75" s="4">
        <f t="shared" ref="AA75" si="161">AA68*AA81</f>
        <v>8.4217866771788778E-3</v>
      </c>
      <c r="AB75" s="4">
        <f>AB68*AB81</f>
        <v>8.4425378063297138</v>
      </c>
      <c r="AC75" s="211">
        <f>AC68*AC81</f>
        <v>0.3010885498346717</v>
      </c>
      <c r="AD75" s="224">
        <f>AD68*AD81</f>
        <v>0.32954409367451687</v>
      </c>
      <c r="AE75" s="4">
        <f t="shared" ref="AE75" si="162">AE68*AE81</f>
        <v>5.3057256066226946E-3</v>
      </c>
      <c r="AF75" s="4">
        <f>AF68*AF81</f>
        <v>5.9348144380489067</v>
      </c>
      <c r="AG75" s="211">
        <f>AG68*AG81</f>
        <v>0.24125789879400852</v>
      </c>
      <c r="AH75" s="224">
        <f>AH68*AH81</f>
        <v>0.21963045307499998</v>
      </c>
      <c r="AI75" s="4">
        <f t="shared" ref="AI75" si="163">AI68*AI81</f>
        <v>2.0464941625544675E-3</v>
      </c>
      <c r="AJ75" s="4">
        <f>AJ68*AJ81</f>
        <v>1.327788159969276</v>
      </c>
      <c r="AK75" s="211">
        <f>AK68*AK81</f>
        <v>8.5806817212328759E-2</v>
      </c>
      <c r="AL75" s="224">
        <f>AL68*AL81</f>
        <v>0.16497471374577488</v>
      </c>
      <c r="AM75" s="4">
        <f t="shared" ref="AM75" si="164">AM68*AM81</f>
        <v>1.9978344714069738E-3</v>
      </c>
      <c r="AN75" s="4">
        <f>AN68*AN81</f>
        <v>1.1761511871717456</v>
      </c>
      <c r="AO75" s="4">
        <f>AO68*AO81</f>
        <v>7.6155830282059536E-2</v>
      </c>
      <c r="AP75" s="224">
        <f>AP68*AP81</f>
        <v>1.1721661875</v>
      </c>
      <c r="AQ75" s="4">
        <f t="shared" ref="AQ75" si="165">AQ68*AQ81</f>
        <v>5.3057256066226946E-3</v>
      </c>
      <c r="AR75" s="4">
        <f>AR68*AR81</f>
        <v>5.1579565389306241</v>
      </c>
      <c r="AS75" s="211">
        <f>AS68*AS81</f>
        <v>0.21023449437030492</v>
      </c>
    </row>
    <row r="76" spans="1:48" x14ac:dyDescent="0.25">
      <c r="A76" s="243" t="s">
        <v>336</v>
      </c>
      <c r="B76" s="224">
        <f>B69*B80</f>
        <v>6.0343659940192709E-2</v>
      </c>
      <c r="C76" s="4">
        <f>C69*C80</f>
        <v>8.6315694319065482E-4</v>
      </c>
      <c r="D76" s="4">
        <f>D69*D80</f>
        <v>0.57549231234079756</v>
      </c>
      <c r="E76" s="211">
        <f t="shared" ref="E76" si="166">E69*E80</f>
        <v>4.0855016542791785E-2</v>
      </c>
      <c r="F76" s="224">
        <f>F69*F80</f>
        <v>0</v>
      </c>
      <c r="G76" s="4">
        <f t="shared" ref="G76" si="167">G69*G80</f>
        <v>0</v>
      </c>
      <c r="H76" s="4">
        <f>H69*H80</f>
        <v>0</v>
      </c>
      <c r="I76" s="211">
        <f t="shared" ref="I76" si="168">I69*I80</f>
        <v>0</v>
      </c>
      <c r="J76" s="224">
        <f>J69*J80</f>
        <v>4.6275195626423689E-2</v>
      </c>
      <c r="K76" s="4">
        <f t="shared" ref="K76" si="169">K69*K80</f>
        <v>3.7374147176925655E-4</v>
      </c>
      <c r="L76" s="4">
        <f>L69*L80</f>
        <v>0.2241037987391884</v>
      </c>
      <c r="M76" s="211">
        <f t="shared" ref="M76" si="170">M69*M80</f>
        <v>1.5939609583192894E-2</v>
      </c>
      <c r="N76" s="224">
        <f>N69*N80</f>
        <v>0</v>
      </c>
      <c r="O76" s="4">
        <f t="shared" ref="O76" si="171">O69*O80</f>
        <v>0</v>
      </c>
      <c r="P76" s="4">
        <f>P69*P80</f>
        <v>0</v>
      </c>
      <c r="Q76" s="211">
        <f t="shared" ref="Q76" si="172">Q69*Q80</f>
        <v>0</v>
      </c>
      <c r="R76" s="224">
        <f>R69*R80</f>
        <v>0.20442202778971283</v>
      </c>
      <c r="S76" s="4">
        <f t="shared" ref="S76" si="173">S69*S80</f>
        <v>2.2362282300986453E-3</v>
      </c>
      <c r="T76" s="4">
        <f>T69*T80</f>
        <v>1.3862038249512689</v>
      </c>
      <c r="U76" s="211">
        <f t="shared" ref="U76" si="174">U69*U80</f>
        <v>9.853455990940968E-2</v>
      </c>
      <c r="V76" s="224">
        <f>V69*V80</f>
        <v>0</v>
      </c>
      <c r="W76" s="4">
        <f t="shared" ref="W76" si="175">W69*W80</f>
        <v>0</v>
      </c>
      <c r="X76" s="4">
        <f>X69*X80</f>
        <v>0</v>
      </c>
      <c r="Y76" s="211">
        <f t="shared" ref="Y76" si="176">Y69*Y80</f>
        <v>0</v>
      </c>
      <c r="Z76" s="224">
        <f>Z69*Z80</f>
        <v>0</v>
      </c>
      <c r="AA76" s="4">
        <f t="shared" ref="AA76" si="177">AA69*AA80</f>
        <v>0</v>
      </c>
      <c r="AB76" s="4">
        <f>AB69*AB80</f>
        <v>0</v>
      </c>
      <c r="AC76" s="211">
        <f t="shared" ref="AC76" si="178">AC69*AC80</f>
        <v>0</v>
      </c>
      <c r="AD76" s="224">
        <f>AD69*AD80</f>
        <v>0.90201431442753599</v>
      </c>
      <c r="AE76" s="4">
        <f t="shared" ref="AE76" si="179">AE69*AE80</f>
        <v>4.1402671462863498E-3</v>
      </c>
      <c r="AF76" s="4">
        <f>AF69*AF80</f>
        <v>0</v>
      </c>
      <c r="AG76" s="211">
        <f t="shared" ref="AG76" si="180">AG69*AG80</f>
        <v>0.18826306262655235</v>
      </c>
      <c r="AH76" s="224">
        <f>AH69*AH80</f>
        <v>0</v>
      </c>
      <c r="AI76" s="4">
        <f t="shared" ref="AI76" si="181">AI69*AI80</f>
        <v>0</v>
      </c>
      <c r="AJ76" s="4">
        <f>AJ69*AJ80</f>
        <v>0</v>
      </c>
      <c r="AK76" s="211">
        <f t="shared" ref="AK76" si="182">AK69*AK80</f>
        <v>0</v>
      </c>
      <c r="AL76" s="224">
        <f>AL69*AL80</f>
        <v>1.4532858764416674</v>
      </c>
      <c r="AM76" s="4">
        <f t="shared" ref="AM76" si="183">AM69*AM80</f>
        <v>1.759920993248832E-2</v>
      </c>
      <c r="AN76" s="4">
        <f>AN69*AN80</f>
        <v>9.4106241199457639</v>
      </c>
      <c r="AO76" s="4">
        <f t="shared" ref="AO76" si="184">AO69*AO80</f>
        <v>0.67086761385843141</v>
      </c>
      <c r="AP76" s="224">
        <f>AP69*AP80</f>
        <v>0.9146875499999999</v>
      </c>
      <c r="AQ76" s="4">
        <f t="shared" ref="AQ76:AS76" si="185">AQ69*AQ80</f>
        <v>4.1402671462863498E-3</v>
      </c>
      <c r="AR76" s="4">
        <f>AR69*AR80</f>
        <v>0</v>
      </c>
      <c r="AS76" s="211">
        <f t="shared" si="185"/>
        <v>0.16405427543614673</v>
      </c>
      <c r="AU76" s="93" t="s">
        <v>351</v>
      </c>
    </row>
    <row r="77" spans="1:48" x14ac:dyDescent="0.25">
      <c r="A77" s="243" t="s">
        <v>339</v>
      </c>
      <c r="B77" s="207"/>
      <c r="C77" s="123"/>
      <c r="D77" s="123"/>
      <c r="E77" s="210">
        <f>SUM(B74:E76)</f>
        <v>7.6142461112295337</v>
      </c>
      <c r="F77" s="207"/>
      <c r="G77" s="123"/>
      <c r="H77" s="123"/>
      <c r="I77" s="210">
        <f>SUM(F74:I76)</f>
        <v>7.3902247651681332</v>
      </c>
      <c r="J77" s="207"/>
      <c r="K77" s="123"/>
      <c r="L77" s="123"/>
      <c r="M77" s="210">
        <f>SUM(J74:M76)</f>
        <v>9.3707564763223825</v>
      </c>
      <c r="N77" s="207"/>
      <c r="O77" s="123"/>
      <c r="P77" s="123"/>
      <c r="Q77" s="210">
        <f>SUM(N74:Q76)</f>
        <v>8.1114182513634141</v>
      </c>
      <c r="R77" s="207"/>
      <c r="S77" s="123"/>
      <c r="T77" s="123"/>
      <c r="U77" s="210">
        <f>SUM(R74:U76)</f>
        <v>10.459408638785723</v>
      </c>
      <c r="V77" s="207"/>
      <c r="W77" s="123"/>
      <c r="X77" s="123"/>
      <c r="Y77" s="210">
        <f>SUM(V74:Y76)</f>
        <v>7.4670978195538913</v>
      </c>
      <c r="Z77" s="207"/>
      <c r="AA77" s="123"/>
      <c r="AB77" s="123"/>
      <c r="AC77" s="210">
        <f>SUM(Z74:AC76)</f>
        <v>9.7559350928415647</v>
      </c>
      <c r="AD77" s="207"/>
      <c r="AE77" s="123"/>
      <c r="AF77" s="123"/>
      <c r="AG77" s="210">
        <f>SUM(AD74:AG76)</f>
        <v>7.8443280171222547</v>
      </c>
      <c r="AH77" s="207"/>
      <c r="AI77" s="123"/>
      <c r="AJ77" s="123"/>
      <c r="AK77" s="210">
        <f>SUM(AH74:AK76)</f>
        <v>15.26995480018342</v>
      </c>
      <c r="AL77" s="207"/>
      <c r="AM77" s="123"/>
      <c r="AN77" s="123"/>
      <c r="AO77" s="11">
        <f>SUM(AL74:AO76)</f>
        <v>13.613546068841531</v>
      </c>
      <c r="AP77" s="207"/>
      <c r="AQ77" s="123"/>
      <c r="AR77" s="123"/>
      <c r="AS77" s="210">
        <f>SUM(AP74:AS76)</f>
        <v>8.9025239714399067</v>
      </c>
      <c r="AU77" s="93"/>
    </row>
    <row r="78" spans="1:48" x14ac:dyDescent="0.25">
      <c r="A78" s="243" t="s">
        <v>340</v>
      </c>
      <c r="B78" s="207"/>
      <c r="C78" s="123"/>
      <c r="D78" s="123"/>
      <c r="E78" s="211">
        <f>E77/Production!B35</f>
        <v>4.3347898230800853E-3</v>
      </c>
      <c r="F78" s="207"/>
      <c r="G78" s="123"/>
      <c r="H78" s="123"/>
      <c r="I78" s="211">
        <f>I77/Production!C35</f>
        <v>4.6794756982365916E-3</v>
      </c>
      <c r="J78" s="207"/>
      <c r="K78" s="123"/>
      <c r="L78" s="123"/>
      <c r="M78" s="211">
        <f>M77/Production!D35</f>
        <v>5.8545558227676682E-3</v>
      </c>
      <c r="N78" s="207"/>
      <c r="O78" s="123"/>
      <c r="P78" s="123"/>
      <c r="Q78" s="211">
        <f>Q77/Production!E35</f>
        <v>5.1654246311522746E-3</v>
      </c>
      <c r="R78" s="207"/>
      <c r="S78" s="123"/>
      <c r="T78" s="123"/>
      <c r="U78" s="211">
        <f>U77/Production!F35</f>
        <v>6.344244709803974E-3</v>
      </c>
      <c r="V78" s="207"/>
      <c r="W78" s="123"/>
      <c r="X78" s="123"/>
      <c r="Y78" s="211">
        <f>Y77/Production!G35</f>
        <v>4.7400649263611766E-3</v>
      </c>
      <c r="Z78" s="207"/>
      <c r="AA78" s="123"/>
      <c r="AB78" s="123"/>
      <c r="AC78" s="211">
        <f>AC77/Production!H35</f>
        <v>5.6578622453000646E-3</v>
      </c>
      <c r="AD78" s="207"/>
      <c r="AE78" s="123"/>
      <c r="AF78" s="123"/>
      <c r="AG78" s="211">
        <f>AG77/Production!I35</f>
        <v>4.5796472381426688E-3</v>
      </c>
      <c r="AH78" s="207"/>
      <c r="AI78" s="123"/>
      <c r="AJ78" s="123"/>
      <c r="AK78" s="211">
        <f>AK77/Production!J35</f>
        <v>9.7240455611065837E-3</v>
      </c>
      <c r="AL78" s="207"/>
      <c r="AM78" s="123"/>
      <c r="AN78" s="123"/>
      <c r="AO78" s="4">
        <f>AO77/Production!K35</f>
        <v>9.6702545055130391E-3</v>
      </c>
      <c r="AP78" s="207"/>
      <c r="AQ78" s="123"/>
      <c r="AR78" s="123"/>
      <c r="AS78" s="211">
        <f>AS77/Production!L35</f>
        <v>5.9264911548394892E-3</v>
      </c>
      <c r="AU78" s="93"/>
    </row>
    <row r="79" spans="1:48" x14ac:dyDescent="0.25">
      <c r="A79" s="237"/>
      <c r="B79" s="197"/>
      <c r="E79" s="198"/>
      <c r="F79" s="197"/>
      <c r="I79" s="198"/>
      <c r="J79" s="197"/>
      <c r="M79" s="198"/>
      <c r="N79" s="197"/>
      <c r="Q79" s="198"/>
      <c r="R79" s="197"/>
      <c r="U79" s="198"/>
      <c r="V79" s="197"/>
      <c r="Y79" s="198"/>
      <c r="Z79" s="197"/>
      <c r="AC79" s="198"/>
      <c r="AD79" s="197"/>
      <c r="AG79" s="198"/>
      <c r="AH79" s="197"/>
      <c r="AK79" s="198"/>
      <c r="AL79" s="197"/>
      <c r="AP79" s="197"/>
      <c r="AS79" s="198"/>
    </row>
    <row r="80" spans="1:48" x14ac:dyDescent="0.25">
      <c r="A80" s="246" t="s">
        <v>364</v>
      </c>
      <c r="B80" s="217">
        <v>0.28999999999999998</v>
      </c>
      <c r="C80" s="15">
        <v>0.28999999999999998</v>
      </c>
      <c r="D80" s="15">
        <v>0.28999999999999998</v>
      </c>
      <c r="E80" s="218">
        <v>0.28999999999999998</v>
      </c>
      <c r="F80" s="217">
        <v>0.28999999999999998</v>
      </c>
      <c r="G80" s="15">
        <v>0.28999999999999998</v>
      </c>
      <c r="H80" s="15">
        <v>0.28999999999999998</v>
      </c>
      <c r="I80" s="218">
        <v>0.28999999999999998</v>
      </c>
      <c r="J80" s="217">
        <v>0.28999999999999998</v>
      </c>
      <c r="K80" s="15">
        <v>0.28999999999999998</v>
      </c>
      <c r="L80" s="15">
        <v>0.28999999999999998</v>
      </c>
      <c r="M80" s="218">
        <v>0.28999999999999998</v>
      </c>
      <c r="N80" s="217">
        <v>0.28999999999999998</v>
      </c>
      <c r="O80" s="15">
        <v>0.28999999999999998</v>
      </c>
      <c r="P80" s="15">
        <v>0.28999999999999998</v>
      </c>
      <c r="Q80" s="218">
        <v>0.28999999999999998</v>
      </c>
      <c r="R80" s="217">
        <v>0.28999999999999998</v>
      </c>
      <c r="S80" s="15">
        <v>0.28999999999999998</v>
      </c>
      <c r="T80" s="15">
        <v>0.28999999999999998</v>
      </c>
      <c r="U80" s="218">
        <v>0.28999999999999998</v>
      </c>
      <c r="V80" s="217">
        <v>0.28999999999999998</v>
      </c>
      <c r="W80" s="15">
        <v>0.28999999999999998</v>
      </c>
      <c r="X80" s="15">
        <v>0.28999999999999998</v>
      </c>
      <c r="Y80" s="218">
        <v>0.28999999999999998</v>
      </c>
      <c r="Z80" s="217">
        <v>0.28999999999999998</v>
      </c>
      <c r="AA80" s="15">
        <v>0.28999999999999998</v>
      </c>
      <c r="AB80" s="15">
        <v>0.28999999999999998</v>
      </c>
      <c r="AC80" s="218">
        <v>0.28999999999999998</v>
      </c>
      <c r="AD80" s="217">
        <v>0.28999999999999998</v>
      </c>
      <c r="AE80" s="15">
        <v>0.28999999999999998</v>
      </c>
      <c r="AF80" s="15">
        <v>0.28999999999999998</v>
      </c>
      <c r="AG80" s="218">
        <v>0.28999999999999998</v>
      </c>
      <c r="AH80" s="217">
        <v>0.28999999999999998</v>
      </c>
      <c r="AI80" s="15">
        <v>0.28999999999999998</v>
      </c>
      <c r="AJ80" s="15">
        <v>0.28999999999999998</v>
      </c>
      <c r="AK80" s="218">
        <v>0.28999999999999998</v>
      </c>
      <c r="AL80" s="217">
        <v>0.28999999999999998</v>
      </c>
      <c r="AM80" s="15">
        <v>0.28999999999999998</v>
      </c>
      <c r="AN80" s="15">
        <v>0.28999999999999998</v>
      </c>
      <c r="AO80" s="15">
        <v>0.28999999999999998</v>
      </c>
      <c r="AP80" s="217">
        <v>0.28999999999999998</v>
      </c>
      <c r="AQ80" s="15">
        <v>0.28999999999999998</v>
      </c>
      <c r="AR80" s="15">
        <v>0.28999999999999998</v>
      </c>
      <c r="AS80" s="218">
        <v>0.28999999999999998</v>
      </c>
      <c r="AU80" s="180" t="s">
        <v>346</v>
      </c>
    </row>
    <row r="81" spans="1:53" x14ac:dyDescent="0.25">
      <c r="A81" s="246" t="s">
        <v>365</v>
      </c>
      <c r="B81" s="217">
        <v>0.11</v>
      </c>
      <c r="C81" s="15">
        <v>0.11</v>
      </c>
      <c r="D81" s="15">
        <v>0.11</v>
      </c>
      <c r="E81" s="218">
        <v>0.11</v>
      </c>
      <c r="F81" s="217">
        <v>0.11</v>
      </c>
      <c r="G81" s="15">
        <v>0.11</v>
      </c>
      <c r="H81" s="15">
        <v>0.11</v>
      </c>
      <c r="I81" s="218">
        <v>0.11</v>
      </c>
      <c r="J81" s="217">
        <v>0.11</v>
      </c>
      <c r="K81" s="15">
        <v>0.11</v>
      </c>
      <c r="L81" s="15">
        <v>0.11</v>
      </c>
      <c r="M81" s="218">
        <v>0.11</v>
      </c>
      <c r="N81" s="217">
        <v>0.11</v>
      </c>
      <c r="O81" s="15">
        <v>0.11</v>
      </c>
      <c r="P81" s="15">
        <v>0.11</v>
      </c>
      <c r="Q81" s="218">
        <v>0.11</v>
      </c>
      <c r="R81" s="217">
        <v>0.11</v>
      </c>
      <c r="S81" s="15">
        <v>0.11</v>
      </c>
      <c r="T81" s="15">
        <v>0.11</v>
      </c>
      <c r="U81" s="218">
        <v>0.11</v>
      </c>
      <c r="V81" s="217">
        <v>0.11</v>
      </c>
      <c r="W81" s="15">
        <v>0.11</v>
      </c>
      <c r="X81" s="15">
        <v>0.11</v>
      </c>
      <c r="Y81" s="218">
        <v>0.11</v>
      </c>
      <c r="Z81" s="217">
        <v>0.11</v>
      </c>
      <c r="AA81" s="15">
        <v>0.11</v>
      </c>
      <c r="AB81" s="15">
        <v>0.11</v>
      </c>
      <c r="AC81" s="218">
        <v>0.11</v>
      </c>
      <c r="AD81" s="217">
        <v>0.11</v>
      </c>
      <c r="AE81" s="15">
        <v>0.11</v>
      </c>
      <c r="AF81" s="15">
        <v>0.11</v>
      </c>
      <c r="AG81" s="218">
        <v>0.11</v>
      </c>
      <c r="AH81" s="217">
        <v>0.11</v>
      </c>
      <c r="AI81" s="15">
        <v>0.11</v>
      </c>
      <c r="AJ81" s="15">
        <v>0.11</v>
      </c>
      <c r="AK81" s="218">
        <v>0.11</v>
      </c>
      <c r="AL81" s="217">
        <v>0.11</v>
      </c>
      <c r="AM81" s="15">
        <v>0.11</v>
      </c>
      <c r="AN81" s="15">
        <v>0.11</v>
      </c>
      <c r="AO81" s="15">
        <v>0.11</v>
      </c>
      <c r="AP81" s="217">
        <v>0.11</v>
      </c>
      <c r="AQ81" s="15">
        <v>0.11</v>
      </c>
      <c r="AR81" s="15">
        <v>0.11</v>
      </c>
      <c r="AS81" s="218">
        <v>0.11</v>
      </c>
      <c r="AU81" s="180" t="s">
        <v>346</v>
      </c>
    </row>
    <row r="82" spans="1:53" x14ac:dyDescent="0.25">
      <c r="A82" s="237"/>
      <c r="B82" s="197"/>
      <c r="E82" s="198"/>
      <c r="F82" s="197"/>
      <c r="I82" s="198"/>
      <c r="J82" s="197"/>
      <c r="M82" s="198"/>
      <c r="N82" s="197"/>
      <c r="Q82" s="198"/>
      <c r="R82" s="197"/>
      <c r="U82" s="198"/>
      <c r="V82" s="197"/>
      <c r="Y82" s="198"/>
      <c r="Z82" s="197"/>
      <c r="AC82" s="198"/>
      <c r="AD82" s="197"/>
      <c r="AG82" s="198"/>
      <c r="AH82" s="197"/>
      <c r="AK82" s="198"/>
      <c r="AL82" s="197"/>
      <c r="AP82" s="197"/>
      <c r="AS82" s="198"/>
    </row>
    <row r="83" spans="1:53" x14ac:dyDescent="0.25">
      <c r="A83" s="248" t="s">
        <v>366</v>
      </c>
      <c r="B83" s="205"/>
      <c r="C83" s="114"/>
      <c r="D83" s="114"/>
      <c r="E83" s="206"/>
      <c r="F83" s="205"/>
      <c r="G83" s="114"/>
      <c r="H83" s="114"/>
      <c r="I83" s="206"/>
      <c r="J83" s="205"/>
      <c r="K83" s="114"/>
      <c r="L83" s="114"/>
      <c r="M83" s="206"/>
      <c r="N83" s="205"/>
      <c r="O83" s="114"/>
      <c r="P83" s="114"/>
      <c r="Q83" s="206"/>
      <c r="R83" s="205"/>
      <c r="S83" s="114"/>
      <c r="T83" s="114"/>
      <c r="U83" s="206"/>
      <c r="V83" s="205"/>
      <c r="W83" s="114"/>
      <c r="X83" s="114"/>
      <c r="Y83" s="206"/>
      <c r="Z83" s="205"/>
      <c r="AA83" s="114"/>
      <c r="AB83" s="114"/>
      <c r="AC83" s="206"/>
      <c r="AD83" s="205"/>
      <c r="AE83" s="114"/>
      <c r="AF83" s="114"/>
      <c r="AG83" s="206"/>
      <c r="AH83" s="205"/>
      <c r="AI83" s="114"/>
      <c r="AJ83" s="114"/>
      <c r="AK83" s="206"/>
      <c r="AL83" s="205"/>
      <c r="AM83" s="114"/>
      <c r="AN83" s="114"/>
      <c r="AO83" s="114"/>
      <c r="AP83" s="205"/>
      <c r="AQ83" s="114"/>
      <c r="AR83" s="114"/>
      <c r="AS83" s="206"/>
    </row>
    <row r="84" spans="1:53" x14ac:dyDescent="0.25">
      <c r="A84" s="243" t="s">
        <v>334</v>
      </c>
      <c r="B84" s="209">
        <f>B67*B90</f>
        <v>6.5025495625207672E-5</v>
      </c>
      <c r="C84" s="11">
        <f t="shared" ref="C84:E84" si="186">C67*C90</f>
        <v>9.3012601636924022E-7</v>
      </c>
      <c r="D84" s="11">
        <f t="shared" si="186"/>
        <v>6.2014257795344569E-4</v>
      </c>
      <c r="E84" s="210">
        <f t="shared" si="186"/>
        <v>4.4024802309042876E-5</v>
      </c>
      <c r="F84" s="209">
        <f>F67*F90</f>
        <v>4.873985190311415E-3</v>
      </c>
      <c r="G84" s="11">
        <f t="shared" ref="G84:I84" si="187">G67*G90</f>
        <v>5.2306553782824099E-5</v>
      </c>
      <c r="H84" s="11">
        <f t="shared" si="187"/>
        <v>3.1263103871706659E-2</v>
      </c>
      <c r="I84" s="210">
        <f t="shared" si="187"/>
        <v>2.223755085645374E-3</v>
      </c>
      <c r="J84" s="209">
        <f>J67*J90</f>
        <v>9.8658916537585434E-2</v>
      </c>
      <c r="K84" s="11">
        <f t="shared" ref="K84:M84" si="188">K67*K90</f>
        <v>3.0104714455551651E-5</v>
      </c>
      <c r="L84" s="11">
        <f t="shared" si="188"/>
        <v>1.8051464391976652E-2</v>
      </c>
      <c r="M84" s="210">
        <f t="shared" si="188"/>
        <v>1.2839286814048158E-3</v>
      </c>
      <c r="N84" s="209">
        <f>N67*N90</f>
        <v>1.1140346000000001E-2</v>
      </c>
      <c r="O84" s="11">
        <f t="shared" ref="O84:Q84" si="189">O67*O90</f>
        <v>8.3981078017978696E-5</v>
      </c>
      <c r="P84" s="11">
        <f t="shared" si="189"/>
        <v>4.9490442054794519E-2</v>
      </c>
      <c r="Q84" s="210">
        <f t="shared" si="189"/>
        <v>3.521216499238965E-3</v>
      </c>
      <c r="R84" s="209">
        <f>R67*R90</f>
        <v>1.6682981516215657E-2</v>
      </c>
      <c r="S84" s="11">
        <f t="shared" ref="S84:U84" si="190">S67*S90</f>
        <v>1.824996779072786E-4</v>
      </c>
      <c r="T84" s="11">
        <f t="shared" si="190"/>
        <v>0.11312877109877313</v>
      </c>
      <c r="U84" s="210">
        <f t="shared" si="190"/>
        <v>8.0414535529807971E-3</v>
      </c>
      <c r="V84" s="209">
        <f>V67*V90</f>
        <v>0</v>
      </c>
      <c r="W84" s="11">
        <f t="shared" ref="W84:Y84" si="191">W67*W90</f>
        <v>0</v>
      </c>
      <c r="X84" s="11">
        <f t="shared" si="191"/>
        <v>0</v>
      </c>
      <c r="Y84" s="210">
        <f t="shared" si="191"/>
        <v>0</v>
      </c>
      <c r="Z84" s="209">
        <f>Z67*Z90</f>
        <v>0</v>
      </c>
      <c r="AA84" s="11">
        <f t="shared" ref="AA84:AC84" si="192">AA67*AA90</f>
        <v>0</v>
      </c>
      <c r="AB84" s="11">
        <f t="shared" si="192"/>
        <v>0</v>
      </c>
      <c r="AC84" s="210">
        <f t="shared" si="192"/>
        <v>0</v>
      </c>
      <c r="AD84" s="209">
        <f>AD67*AD90</f>
        <v>4.3556407729468589E-4</v>
      </c>
      <c r="AE84" s="11">
        <f t="shared" ref="AE84:AG84" si="193">AE67*AE90</f>
        <v>1.6796215603595739E-4</v>
      </c>
      <c r="AF84" s="11">
        <f t="shared" si="193"/>
        <v>0</v>
      </c>
      <c r="AG84" s="210">
        <f t="shared" si="193"/>
        <v>7.6374467596978636E-3</v>
      </c>
      <c r="AH84" s="209">
        <f>AH67*AH90</f>
        <v>6.8227486460000014E-2</v>
      </c>
      <c r="AI84" s="11">
        <f t="shared" ref="AI84:AK84" si="194">AI67*AI90</f>
        <v>6.3573676059609872E-4</v>
      </c>
      <c r="AJ84" s="11">
        <f t="shared" si="194"/>
        <v>0.37464264635479461</v>
      </c>
      <c r="AK84" s="210">
        <f t="shared" si="194"/>
        <v>2.6655608899238965E-2</v>
      </c>
      <c r="AL84" s="209">
        <f>AL67*AL90</f>
        <v>2.7844671842671312E-3</v>
      </c>
      <c r="AM84" s="11">
        <f t="shared" ref="AM84:AO84" si="195">AM67*AM90</f>
        <v>3.3719740431268713E-5</v>
      </c>
      <c r="AN84" s="11">
        <f t="shared" si="195"/>
        <v>1.8030570908471558E-2</v>
      </c>
      <c r="AO84" s="11">
        <f t="shared" si="195"/>
        <v>1.2853691665607914E-3</v>
      </c>
      <c r="AP84" s="209">
        <f>AP67*AP90</f>
        <v>3.7107000000000001E-2</v>
      </c>
      <c r="AQ84" s="11">
        <f t="shared" ref="AQ84:AS84" si="196">AQ67*AQ90</f>
        <v>1.6796215603595739E-4</v>
      </c>
      <c r="AR84" s="11">
        <f t="shared" si="196"/>
        <v>0</v>
      </c>
      <c r="AS84" s="210">
        <f t="shared" si="196"/>
        <v>6.6553458594785691E-3</v>
      </c>
    </row>
    <row r="85" spans="1:53" x14ac:dyDescent="0.25">
      <c r="A85" s="243" t="s">
        <v>335</v>
      </c>
      <c r="B85" s="209">
        <f>B68*B91</f>
        <v>5.1568334854358189E-2</v>
      </c>
      <c r="C85" s="11">
        <f t="shared" ref="C85:E85" si="197">C68*C91</f>
        <v>7.3763451408873505E-4</v>
      </c>
      <c r="D85" s="11">
        <f t="shared" si="197"/>
        <v>0.54146374295339716</v>
      </c>
      <c r="E85" s="210">
        <f t="shared" si="197"/>
        <v>3.4913778442459881E-2</v>
      </c>
      <c r="F85" s="209">
        <f>F68*F91</f>
        <v>6.6897686245674742E-2</v>
      </c>
      <c r="G85" s="11">
        <f t="shared" ref="G85:I85" si="198">G68*G91</f>
        <v>7.1793148459121622E-4</v>
      </c>
      <c r="H85" s="11">
        <f t="shared" si="198"/>
        <v>0.47242990329156714</v>
      </c>
      <c r="I85" s="210">
        <f t="shared" si="198"/>
        <v>3.0522060326002482E-2</v>
      </c>
      <c r="J85" s="209">
        <f>J68*J91</f>
        <v>3.398142527874356E-3</v>
      </c>
      <c r="K85" s="11">
        <f t="shared" ref="K85:M85" si="199">K68*K91</f>
        <v>7.2642281569894221E-4</v>
      </c>
      <c r="L85" s="11">
        <f t="shared" si="199"/>
        <v>0.47956314155517676</v>
      </c>
      <c r="M85" s="210">
        <f t="shared" si="199"/>
        <v>3.0981030870755207E-2</v>
      </c>
      <c r="N85" s="209">
        <f>N68*N91</f>
        <v>9.1405282500000004E-2</v>
      </c>
      <c r="O85" s="11">
        <f t="shared" ref="O85:Q85" si="200">O68*O91</f>
        <v>6.8905527358736288E-4</v>
      </c>
      <c r="P85" s="11">
        <f t="shared" si="200"/>
        <v>0.44706672052837571</v>
      </c>
      <c r="Q85" s="210">
        <f t="shared" si="200"/>
        <v>2.889118424657534E-2</v>
      </c>
      <c r="R85" s="209">
        <f>R68*R91</f>
        <v>4.8352533601012181E-2</v>
      </c>
      <c r="S85" s="11">
        <f t="shared" ref="S85:U85" si="201">S68*S91</f>
        <v>5.2894153239985652E-4</v>
      </c>
      <c r="T85" s="11">
        <f t="shared" si="201"/>
        <v>0.3609915447605006</v>
      </c>
      <c r="U85" s="210">
        <f t="shared" si="201"/>
        <v>2.330666450379688E-2</v>
      </c>
      <c r="V85" s="209">
        <f>V68*V91</f>
        <v>0.15035000000000001</v>
      </c>
      <c r="W85" s="11">
        <f t="shared" ref="W85:Y85" si="202">W68*W91</f>
        <v>7.6561697065262533E-4</v>
      </c>
      <c r="X85" s="11">
        <f t="shared" si="202"/>
        <v>0.49567753972602741</v>
      </c>
      <c r="Y85" s="210">
        <f t="shared" si="202"/>
        <v>3.2033917808219167E-2</v>
      </c>
      <c r="Z85" s="209">
        <f>Z68*Z91</f>
        <v>9.1262449999999995E-2</v>
      </c>
      <c r="AA85" s="11">
        <f t="shared" ref="AA85:AC85" si="203">AA68*AA91</f>
        <v>7.6561697065262533E-4</v>
      </c>
      <c r="AB85" s="11">
        <f t="shared" si="203"/>
        <v>0.76750343693906486</v>
      </c>
      <c r="AC85" s="210">
        <f t="shared" si="203"/>
        <v>2.7371686348606518E-2</v>
      </c>
      <c r="AD85" s="209">
        <f>AD68*AD91</f>
        <v>2.9958553970410626E-2</v>
      </c>
      <c r="AE85" s="11">
        <f t="shared" ref="AE85:AG85" si="204">AE68*AE91</f>
        <v>4.8233869151115407E-4</v>
      </c>
      <c r="AF85" s="11">
        <f t="shared" si="204"/>
        <v>0.53952858527717329</v>
      </c>
      <c r="AG85" s="210">
        <f t="shared" si="204"/>
        <v>2.1932536254000774E-2</v>
      </c>
      <c r="AH85" s="209">
        <f>AH68*AH91</f>
        <v>1.9966404824999999E-2</v>
      </c>
      <c r="AI85" s="11">
        <f t="shared" ref="AI85:AK85" si="205">AI68*AI91</f>
        <v>1.8604492386858795E-4</v>
      </c>
      <c r="AJ85" s="11">
        <f t="shared" si="205"/>
        <v>0.12070801454266146</v>
      </c>
      <c r="AK85" s="210">
        <f t="shared" si="205"/>
        <v>7.8006197465753414E-3</v>
      </c>
      <c r="AL85" s="209">
        <f>AL68*AL91</f>
        <v>1.4997701249615898E-2</v>
      </c>
      <c r="AM85" s="11">
        <f t="shared" ref="AM85:AO85" si="206">AM68*AM91</f>
        <v>1.8162131558245215E-4</v>
      </c>
      <c r="AN85" s="11">
        <f t="shared" si="206"/>
        <v>0.10692283519743143</v>
      </c>
      <c r="AO85" s="11">
        <f t="shared" si="206"/>
        <v>6.9232572983690486E-3</v>
      </c>
      <c r="AP85" s="209">
        <f>AP68*AP91</f>
        <v>0.10656056250000001</v>
      </c>
      <c r="AQ85" s="11">
        <f>AQ68*AQ91</f>
        <v>4.8233869151115407E-4</v>
      </c>
      <c r="AR85" s="11">
        <f>AR68*AR91</f>
        <v>0.46890513990278399</v>
      </c>
      <c r="AS85" s="210">
        <f t="shared" ref="AS85" si="207">AS68*AS91</f>
        <v>1.911222676093681E-2</v>
      </c>
    </row>
    <row r="86" spans="1:53" x14ac:dyDescent="0.25">
      <c r="A86" s="243" t="s">
        <v>336</v>
      </c>
      <c r="B86" s="209">
        <f>B69*B90</f>
        <v>2.0808158600066455E-3</v>
      </c>
      <c r="C86" s="11">
        <f t="shared" ref="C86:E86" si="208">C69*C90</f>
        <v>2.9764032523815687E-5</v>
      </c>
      <c r="D86" s="11">
        <f t="shared" si="208"/>
        <v>1.9844562494510262E-2</v>
      </c>
      <c r="E86" s="210">
        <f t="shared" si="208"/>
        <v>1.408793673889372E-3</v>
      </c>
      <c r="F86" s="209">
        <f>F69*F90</f>
        <v>0</v>
      </c>
      <c r="G86" s="11">
        <f t="shared" ref="G86:I86" si="209">G69*G90</f>
        <v>0</v>
      </c>
      <c r="H86" s="11">
        <f t="shared" si="209"/>
        <v>0</v>
      </c>
      <c r="I86" s="210">
        <f t="shared" si="209"/>
        <v>0</v>
      </c>
      <c r="J86" s="209">
        <f>J69*J90</f>
        <v>1.5956964009111619E-3</v>
      </c>
      <c r="K86" s="11">
        <f t="shared" ref="K86:M86" si="210">K69*K90</f>
        <v>1.2887636957560573E-5</v>
      </c>
      <c r="L86" s="11">
        <f t="shared" si="210"/>
        <v>7.7277171979030492E-3</v>
      </c>
      <c r="M86" s="210">
        <f t="shared" si="210"/>
        <v>5.4964170976527229E-4</v>
      </c>
      <c r="N86" s="209">
        <f>N69*N90</f>
        <v>0</v>
      </c>
      <c r="O86" s="11">
        <f t="shared" ref="O86:Q86" si="211">O69*O90</f>
        <v>0</v>
      </c>
      <c r="P86" s="11">
        <f t="shared" si="211"/>
        <v>0</v>
      </c>
      <c r="Q86" s="210">
        <f t="shared" si="211"/>
        <v>0</v>
      </c>
      <c r="R86" s="209">
        <f>R69*R90</f>
        <v>7.0490354410245801E-3</v>
      </c>
      <c r="S86" s="11">
        <f t="shared" ref="S86:U86" si="212">S69*S90</f>
        <v>7.7111318279263636E-5</v>
      </c>
      <c r="T86" s="11">
        <f t="shared" si="212"/>
        <v>4.7800131894871346E-2</v>
      </c>
      <c r="U86" s="210">
        <f t="shared" si="212"/>
        <v>3.3977434451520584E-3</v>
      </c>
      <c r="V86" s="209">
        <f>V69*V90</f>
        <v>0</v>
      </c>
      <c r="W86" s="11">
        <f t="shared" ref="W86:Y86" si="213">W69*W90</f>
        <v>0</v>
      </c>
      <c r="X86" s="11">
        <f t="shared" si="213"/>
        <v>0</v>
      </c>
      <c r="Y86" s="210">
        <f t="shared" si="213"/>
        <v>0</v>
      </c>
      <c r="Z86" s="209">
        <f>Z69*Z90</f>
        <v>0</v>
      </c>
      <c r="AA86" s="11">
        <f t="shared" ref="AA86:AC86" si="214">AA69*AA90</f>
        <v>0</v>
      </c>
      <c r="AB86" s="11">
        <f t="shared" si="214"/>
        <v>0</v>
      </c>
      <c r="AC86" s="210">
        <f t="shared" si="214"/>
        <v>0</v>
      </c>
      <c r="AD86" s="209">
        <f>AD69*AD90</f>
        <v>3.1103941876811592E-2</v>
      </c>
      <c r="AE86" s="11">
        <f t="shared" ref="AE86:AG86" si="215">AE69*AE90</f>
        <v>1.4276783263056378E-4</v>
      </c>
      <c r="AF86" s="11">
        <f t="shared" si="215"/>
        <v>0</v>
      </c>
      <c r="AG86" s="210">
        <f t="shared" si="215"/>
        <v>6.4918297457431853E-3</v>
      </c>
      <c r="AH86" s="209">
        <f>AH69*AH90</f>
        <v>0</v>
      </c>
      <c r="AI86" s="11">
        <f t="shared" ref="AI86:AK86" si="216">AI69*AI90</f>
        <v>0</v>
      </c>
      <c r="AJ86" s="11">
        <f t="shared" si="216"/>
        <v>0</v>
      </c>
      <c r="AK86" s="210">
        <f t="shared" si="216"/>
        <v>0</v>
      </c>
      <c r="AL86" s="209">
        <f>AL69*AL90</f>
        <v>5.0113306084195432E-2</v>
      </c>
      <c r="AM86" s="11">
        <f t="shared" ref="AM86:AO86" si="217">AM69*AM90</f>
        <v>6.0686930801683871E-4</v>
      </c>
      <c r="AN86" s="11">
        <f t="shared" si="217"/>
        <v>0.32450427999812981</v>
      </c>
      <c r="AO86" s="11">
        <f t="shared" si="217"/>
        <v>2.3133365995118328E-2</v>
      </c>
      <c r="AP86" s="209">
        <f>AP69*AP90</f>
        <v>3.1540949999999998E-2</v>
      </c>
      <c r="AQ86" s="11">
        <f t="shared" ref="AQ86:AS86" si="218">AQ69*AQ90</f>
        <v>1.4276783263056378E-4</v>
      </c>
      <c r="AR86" s="11">
        <f t="shared" si="218"/>
        <v>0</v>
      </c>
      <c r="AS86" s="210">
        <f t="shared" si="218"/>
        <v>5.6570439805567838E-3</v>
      </c>
    </row>
    <row r="87" spans="1:53" x14ac:dyDescent="0.25">
      <c r="A87" s="243" t="s">
        <v>339</v>
      </c>
      <c r="B87" s="197"/>
      <c r="E87" s="210">
        <f>SUM(B84:E86)</f>
        <v>0.6527775498271382</v>
      </c>
      <c r="F87" s="197"/>
      <c r="I87" s="210">
        <f>SUM(F84:I86)</f>
        <v>0.60898073204928183</v>
      </c>
      <c r="J87" s="197"/>
      <c r="M87" s="210">
        <f>SUM(J84:M86)</f>
        <v>0.64257909504046473</v>
      </c>
      <c r="N87" s="197"/>
      <c r="Q87" s="210">
        <f>SUM(N84:Q86)</f>
        <v>0.63228822818058994</v>
      </c>
      <c r="R87" s="197"/>
      <c r="U87" s="210">
        <f>SUM(R84:U86)</f>
        <v>0.62953941234291366</v>
      </c>
      <c r="V87" s="197"/>
      <c r="Y87" s="210">
        <f>SUM(V84:Y86)</f>
        <v>0.67882707450489921</v>
      </c>
      <c r="Z87" s="197"/>
      <c r="AC87" s="210">
        <f>SUM(Z84:AC86)</f>
        <v>0.88690319025832398</v>
      </c>
      <c r="AD87" s="197"/>
      <c r="AG87" s="210">
        <f>SUM(AD84:AG86)</f>
        <v>0.63788152664130959</v>
      </c>
      <c r="AH87" s="197"/>
      <c r="AK87" s="210">
        <f>SUM(AH84:AK86)</f>
        <v>0.61882256251273504</v>
      </c>
      <c r="AL87" s="197"/>
      <c r="AO87" s="11">
        <f>SUM(AL84:AO86)</f>
        <v>0.54951736344618995</v>
      </c>
      <c r="AP87" s="197"/>
      <c r="AS87" s="210">
        <f>SUM(AP84:AS86)</f>
        <v>0.67633133768393383</v>
      </c>
    </row>
    <row r="88" spans="1:53" x14ac:dyDescent="0.25">
      <c r="A88" s="243" t="s">
        <v>367</v>
      </c>
      <c r="B88" s="197"/>
      <c r="E88" s="198">
        <f>E87/Production!B35</f>
        <v>3.7162621727614538E-4</v>
      </c>
      <c r="F88" s="197"/>
      <c r="I88" s="198">
        <f>I87/Production!C35</f>
        <v>3.8560539454094811E-4</v>
      </c>
      <c r="J88" s="197"/>
      <c r="M88" s="198">
        <f>M87/Production!D35</f>
        <v>4.0146333884181362E-4</v>
      </c>
      <c r="N88" s="197"/>
      <c r="Q88" s="198">
        <f>Q87/Production!E35</f>
        <v>4.0264687217709118E-4</v>
      </c>
      <c r="R88" s="197"/>
      <c r="U88" s="198">
        <f>U87/Production!F35</f>
        <v>3.8185257162237689E-4</v>
      </c>
      <c r="V88" s="197"/>
      <c r="Y88" s="198">
        <f>Y87/Production!G35</f>
        <v>4.3091499330556146E-4</v>
      </c>
      <c r="Z88" s="197"/>
      <c r="AC88" s="198">
        <f>AC87/Production!H35</f>
        <v>5.1435111320909674E-4</v>
      </c>
      <c r="AD88" s="197"/>
      <c r="AG88" s="198">
        <f>AG87/Production!I35</f>
        <v>3.7240568795296139E-4</v>
      </c>
      <c r="AH88" s="197"/>
      <c r="AK88" s="198">
        <f>AK87/Production!J35</f>
        <v>3.9407181428214059E-4</v>
      </c>
      <c r="AL88" s="197"/>
      <c r="AO88">
        <f>AO87/Production!K35</f>
        <v>3.9034449458291405E-4</v>
      </c>
      <c r="AP88" s="197"/>
      <c r="AS88" s="198">
        <f>AS87/Production!L35</f>
        <v>4.5023992110366541E-4</v>
      </c>
    </row>
    <row r="89" spans="1:53" x14ac:dyDescent="0.25">
      <c r="A89" s="237"/>
      <c r="B89" s="197"/>
      <c r="E89" s="198"/>
      <c r="F89" s="197"/>
      <c r="I89" s="198"/>
      <c r="J89" s="197"/>
      <c r="M89" s="198"/>
      <c r="N89" s="197"/>
      <c r="Q89" s="198"/>
      <c r="R89" s="197"/>
      <c r="U89" s="198"/>
      <c r="V89" s="197"/>
      <c r="Y89" s="198"/>
      <c r="Z89" s="197"/>
      <c r="AC89" s="198"/>
      <c r="AD89" s="197"/>
      <c r="AG89" s="198"/>
      <c r="AH89" s="197"/>
      <c r="AK89" s="198"/>
      <c r="AL89" s="197"/>
      <c r="AP89" s="197"/>
      <c r="AS89" s="198"/>
    </row>
    <row r="90" spans="1:53" x14ac:dyDescent="0.25">
      <c r="A90" s="246" t="s">
        <v>368</v>
      </c>
      <c r="B90" s="217">
        <v>0.01</v>
      </c>
      <c r="C90" s="15">
        <v>0.01</v>
      </c>
      <c r="D90" s="15">
        <v>0.01</v>
      </c>
      <c r="E90" s="218">
        <v>0.01</v>
      </c>
      <c r="F90" s="217">
        <v>0.01</v>
      </c>
      <c r="G90" s="15">
        <v>0.01</v>
      </c>
      <c r="H90" s="15">
        <v>0.01</v>
      </c>
      <c r="I90" s="218">
        <v>0.01</v>
      </c>
      <c r="J90" s="217">
        <v>0.01</v>
      </c>
      <c r="K90" s="15">
        <v>0.01</v>
      </c>
      <c r="L90" s="15">
        <v>0.01</v>
      </c>
      <c r="M90" s="218">
        <v>0.01</v>
      </c>
      <c r="N90" s="217">
        <v>0.01</v>
      </c>
      <c r="O90" s="15">
        <v>0.01</v>
      </c>
      <c r="P90" s="15">
        <v>0.01</v>
      </c>
      <c r="Q90" s="218">
        <v>0.01</v>
      </c>
      <c r="R90" s="217">
        <v>0.01</v>
      </c>
      <c r="S90" s="15">
        <v>0.01</v>
      </c>
      <c r="T90" s="15">
        <v>0.01</v>
      </c>
      <c r="U90" s="218">
        <v>0.01</v>
      </c>
      <c r="V90" s="217">
        <v>0.01</v>
      </c>
      <c r="W90" s="15">
        <v>0.01</v>
      </c>
      <c r="X90" s="15">
        <v>0.01</v>
      </c>
      <c r="Y90" s="218">
        <v>0.01</v>
      </c>
      <c r="Z90" s="217">
        <v>0.01</v>
      </c>
      <c r="AA90" s="15">
        <v>0.01</v>
      </c>
      <c r="AB90" s="15">
        <v>0.01</v>
      </c>
      <c r="AC90" s="218">
        <v>0.01</v>
      </c>
      <c r="AD90" s="217">
        <v>0.01</v>
      </c>
      <c r="AE90" s="15">
        <v>0.01</v>
      </c>
      <c r="AF90" s="15">
        <v>0.01</v>
      </c>
      <c r="AG90" s="218">
        <v>0.01</v>
      </c>
      <c r="AH90" s="217">
        <v>0.01</v>
      </c>
      <c r="AI90" s="15">
        <v>0.01</v>
      </c>
      <c r="AJ90" s="15">
        <v>0.01</v>
      </c>
      <c r="AK90" s="218">
        <v>0.01</v>
      </c>
      <c r="AL90" s="217">
        <v>0.01</v>
      </c>
      <c r="AM90" s="15">
        <v>0.01</v>
      </c>
      <c r="AN90" s="15">
        <v>0.01</v>
      </c>
      <c r="AO90" s="218">
        <v>0.01</v>
      </c>
      <c r="AP90" s="217">
        <v>0.01</v>
      </c>
      <c r="AQ90" s="15">
        <v>0.01</v>
      </c>
      <c r="AR90" s="15">
        <v>0.01</v>
      </c>
      <c r="AS90" s="218">
        <v>0.01</v>
      </c>
      <c r="AT90" s="15"/>
      <c r="AU90" s="180" t="s">
        <v>369</v>
      </c>
      <c r="AX90" s="7"/>
      <c r="AY90" s="7"/>
      <c r="BA90" s="93" t="s">
        <v>370</v>
      </c>
    </row>
    <row r="91" spans="1:53" x14ac:dyDescent="0.25">
      <c r="A91" s="246" t="s">
        <v>371</v>
      </c>
      <c r="B91" s="217">
        <v>0.01</v>
      </c>
      <c r="C91" s="15">
        <v>0.01</v>
      </c>
      <c r="D91" s="15">
        <v>0.01</v>
      </c>
      <c r="E91" s="218">
        <v>0.01</v>
      </c>
      <c r="F91" s="217">
        <v>0.01</v>
      </c>
      <c r="G91" s="15">
        <v>0.01</v>
      </c>
      <c r="H91" s="15">
        <v>0.01</v>
      </c>
      <c r="I91" s="218">
        <v>0.01</v>
      </c>
      <c r="J91" s="217">
        <v>0.01</v>
      </c>
      <c r="K91" s="15">
        <v>0.01</v>
      </c>
      <c r="L91" s="15">
        <v>0.01</v>
      </c>
      <c r="M91" s="218">
        <v>0.01</v>
      </c>
      <c r="N91" s="217">
        <v>0.01</v>
      </c>
      <c r="O91" s="15">
        <v>0.01</v>
      </c>
      <c r="P91" s="15">
        <v>0.01</v>
      </c>
      <c r="Q91" s="218">
        <v>0.01</v>
      </c>
      <c r="R91" s="217">
        <v>0.01</v>
      </c>
      <c r="S91" s="15">
        <v>0.01</v>
      </c>
      <c r="T91" s="15">
        <v>0.01</v>
      </c>
      <c r="U91" s="218">
        <v>0.01</v>
      </c>
      <c r="V91" s="217">
        <v>0.01</v>
      </c>
      <c r="W91" s="15">
        <v>0.01</v>
      </c>
      <c r="X91" s="15">
        <v>0.01</v>
      </c>
      <c r="Y91" s="218">
        <v>0.01</v>
      </c>
      <c r="Z91" s="217">
        <v>0.01</v>
      </c>
      <c r="AA91" s="15">
        <v>0.01</v>
      </c>
      <c r="AB91" s="15">
        <v>0.01</v>
      </c>
      <c r="AC91" s="218">
        <v>0.01</v>
      </c>
      <c r="AD91" s="217">
        <v>0.01</v>
      </c>
      <c r="AE91" s="15">
        <v>0.01</v>
      </c>
      <c r="AF91" s="15">
        <v>0.01</v>
      </c>
      <c r="AG91" s="218">
        <v>0.01</v>
      </c>
      <c r="AH91" s="217">
        <v>0.01</v>
      </c>
      <c r="AI91" s="15">
        <v>0.01</v>
      </c>
      <c r="AJ91" s="15">
        <v>0.01</v>
      </c>
      <c r="AK91" s="218">
        <v>0.01</v>
      </c>
      <c r="AL91" s="217">
        <v>0.01</v>
      </c>
      <c r="AM91" s="15">
        <v>0.01</v>
      </c>
      <c r="AN91" s="15">
        <v>0.01</v>
      </c>
      <c r="AO91" s="218">
        <v>0.01</v>
      </c>
      <c r="AP91" s="217">
        <v>0.01</v>
      </c>
      <c r="AQ91" s="15">
        <v>0.01</v>
      </c>
      <c r="AR91" s="15">
        <v>0.01</v>
      </c>
      <c r="AS91" s="218">
        <v>0.01</v>
      </c>
      <c r="AT91" s="225"/>
      <c r="AU91" s="176" t="s">
        <v>372</v>
      </c>
    </row>
    <row r="92" spans="1:53" x14ac:dyDescent="0.25">
      <c r="A92" s="237"/>
      <c r="B92" s="197"/>
      <c r="E92" s="198"/>
      <c r="F92" s="197"/>
      <c r="I92" s="198"/>
      <c r="J92" s="197"/>
      <c r="M92" s="198"/>
      <c r="N92" s="197"/>
      <c r="Q92" s="198"/>
      <c r="R92" s="197"/>
      <c r="U92" s="198"/>
      <c r="V92" s="197"/>
      <c r="Y92" s="198"/>
      <c r="Z92" s="197"/>
      <c r="AC92" s="198"/>
      <c r="AD92" s="197"/>
      <c r="AG92" s="198"/>
      <c r="AH92" s="197"/>
      <c r="AK92" s="198"/>
      <c r="AL92" s="197"/>
      <c r="AP92" s="197"/>
      <c r="AS92" s="198"/>
    </row>
    <row r="93" spans="1:53" x14ac:dyDescent="0.25">
      <c r="A93" s="248" t="s">
        <v>373</v>
      </c>
      <c r="B93" s="205"/>
      <c r="C93" s="114"/>
      <c r="D93" s="114"/>
      <c r="E93" s="206"/>
      <c r="F93" s="205"/>
      <c r="G93" s="114"/>
      <c r="H93" s="114"/>
      <c r="I93" s="206"/>
      <c r="J93" s="205"/>
      <c r="K93" s="114"/>
      <c r="L93" s="114"/>
      <c r="M93" s="206"/>
      <c r="N93" s="205"/>
      <c r="O93" s="114"/>
      <c r="P93" s="114"/>
      <c r="Q93" s="206"/>
      <c r="R93" s="205"/>
      <c r="S93" s="114"/>
      <c r="T93" s="114"/>
      <c r="U93" s="206"/>
      <c r="V93" s="205"/>
      <c r="W93" s="114"/>
      <c r="X93" s="114"/>
      <c r="Y93" s="206"/>
      <c r="Z93" s="205"/>
      <c r="AA93" s="114"/>
      <c r="AB93" s="114"/>
      <c r="AC93" s="206"/>
      <c r="AD93" s="205"/>
      <c r="AE93" s="114"/>
      <c r="AF93" s="114"/>
      <c r="AG93" s="206"/>
      <c r="AH93" s="205"/>
      <c r="AI93" s="114"/>
      <c r="AJ93" s="114"/>
      <c r="AK93" s="206"/>
      <c r="AL93" s="205"/>
      <c r="AM93" s="114"/>
      <c r="AN93" s="114"/>
      <c r="AO93" s="114"/>
      <c r="AP93" s="205"/>
      <c r="AQ93" s="114"/>
      <c r="AR93" s="114"/>
      <c r="AS93" s="206"/>
    </row>
    <row r="94" spans="1:53" x14ac:dyDescent="0.25">
      <c r="A94" s="243" t="s">
        <v>334</v>
      </c>
      <c r="B94" s="209">
        <f t="shared" ref="B94:E94" si="219">B67*(B98+B100)</f>
        <v>2.0157903643814377E-3</v>
      </c>
      <c r="C94" s="11">
        <f t="shared" si="219"/>
        <v>2.8833906507446446E-5</v>
      </c>
      <c r="D94" s="11">
        <f t="shared" si="219"/>
        <v>1.9224419916556816E-2</v>
      </c>
      <c r="E94" s="210">
        <f t="shared" si="219"/>
        <v>1.3647688715803291E-3</v>
      </c>
      <c r="F94" s="209">
        <f t="shared" ref="F94:I94" si="220">F67*(F98+F100)</f>
        <v>0.15109354089965385</v>
      </c>
      <c r="G94" s="11">
        <f t="shared" si="220"/>
        <v>1.6215031672675469E-3</v>
      </c>
      <c r="H94" s="11">
        <f t="shared" si="220"/>
        <v>0.96915622002290647</v>
      </c>
      <c r="I94" s="210">
        <f t="shared" si="220"/>
        <v>6.8936407655006596E-2</v>
      </c>
      <c r="J94" s="209">
        <f t="shared" ref="J94:M94" si="221">J67*(J98+J100)</f>
        <v>3.0584264126651486</v>
      </c>
      <c r="K94" s="11">
        <f t="shared" si="221"/>
        <v>9.3324614812210116E-4</v>
      </c>
      <c r="L94" s="11">
        <f t="shared" si="221"/>
        <v>0.55959539615127618</v>
      </c>
      <c r="M94" s="210">
        <f t="shared" si="221"/>
        <v>3.9801789123549286E-2</v>
      </c>
      <c r="N94" s="209">
        <f t="shared" ref="N94:AO94" si="222">N67*(N98+N100)</f>
        <v>0.34535072600000005</v>
      </c>
      <c r="O94" s="11">
        <f t="shared" si="222"/>
        <v>2.6034134185573396E-3</v>
      </c>
      <c r="P94" s="11">
        <f t="shared" si="222"/>
        <v>1.53420370369863</v>
      </c>
      <c r="Q94" s="210">
        <f t="shared" si="222"/>
        <v>0.10915771147640792</v>
      </c>
      <c r="R94" s="209">
        <f t="shared" si="222"/>
        <v>0.51717242700268529</v>
      </c>
      <c r="S94" s="11">
        <f t="shared" si="222"/>
        <v>5.6574900151256371E-3</v>
      </c>
      <c r="T94" s="11">
        <f t="shared" si="222"/>
        <v>3.5069919040619668</v>
      </c>
      <c r="U94" s="210">
        <f t="shared" si="222"/>
        <v>0.2492850601424047</v>
      </c>
      <c r="V94" s="209">
        <f t="shared" si="222"/>
        <v>0</v>
      </c>
      <c r="W94" s="11">
        <f t="shared" si="222"/>
        <v>0</v>
      </c>
      <c r="X94" s="11">
        <f t="shared" si="222"/>
        <v>0</v>
      </c>
      <c r="Y94" s="210">
        <f t="shared" si="222"/>
        <v>0</v>
      </c>
      <c r="Z94" s="209">
        <f t="shared" si="222"/>
        <v>0</v>
      </c>
      <c r="AA94" s="11">
        <f t="shared" si="222"/>
        <v>0</v>
      </c>
      <c r="AB94" s="11">
        <f t="shared" si="222"/>
        <v>0</v>
      </c>
      <c r="AC94" s="210">
        <f t="shared" si="222"/>
        <v>0</v>
      </c>
      <c r="AD94" s="209">
        <f t="shared" si="222"/>
        <v>1.3502486396135263E-2</v>
      </c>
      <c r="AE94" s="11">
        <f t="shared" si="222"/>
        <v>5.2068268371146791E-3</v>
      </c>
      <c r="AF94" s="11">
        <f t="shared" si="222"/>
        <v>0</v>
      </c>
      <c r="AG94" s="210">
        <f t="shared" si="222"/>
        <v>0.23676084955063376</v>
      </c>
      <c r="AH94" s="209">
        <f t="shared" si="222"/>
        <v>2.1150520802600004</v>
      </c>
      <c r="AI94" s="11">
        <f t="shared" si="222"/>
        <v>1.9707839578479058E-2</v>
      </c>
      <c r="AJ94" s="11">
        <f t="shared" si="222"/>
        <v>11.613922036998632</v>
      </c>
      <c r="AK94" s="210">
        <f t="shared" si="222"/>
        <v>0.82632387587640788</v>
      </c>
      <c r="AL94" s="209">
        <f t="shared" si="222"/>
        <v>8.6318482712281056E-2</v>
      </c>
      <c r="AM94" s="11">
        <f t="shared" si="222"/>
        <v>1.04531195336933E-3</v>
      </c>
      <c r="AN94" s="11">
        <f t="shared" si="222"/>
        <v>0.55894769816261825</v>
      </c>
      <c r="AO94" s="11">
        <f t="shared" si="222"/>
        <v>3.984644416338453E-2</v>
      </c>
      <c r="AP94" s="209">
        <f>AP67*(AP98+AP100)</f>
        <v>1.150317</v>
      </c>
      <c r="AQ94" s="11">
        <f t="shared" ref="AQ94:AS95" si="223">AQ67*(AQ98+AQ100)</f>
        <v>5.2068268371146791E-3</v>
      </c>
      <c r="AR94" s="11">
        <f t="shared" si="223"/>
        <v>0</v>
      </c>
      <c r="AS94" s="210">
        <f t="shared" si="223"/>
        <v>0.20631572164383563</v>
      </c>
    </row>
    <row r="95" spans="1:53" x14ac:dyDescent="0.25">
      <c r="A95" s="243" t="s">
        <v>335</v>
      </c>
      <c r="B95" s="209">
        <f t="shared" ref="B95:E95" si="224">B68*(B99+B101)</f>
        <v>1.5986183804851038E-2</v>
      </c>
      <c r="C95" s="11">
        <f t="shared" si="224"/>
        <v>2.2866669936750784E-4</v>
      </c>
      <c r="D95" s="11">
        <f t="shared" si="224"/>
        <v>0.1678537603155531</v>
      </c>
      <c r="E95" s="210">
        <f t="shared" si="224"/>
        <v>1.0823271317162562E-2</v>
      </c>
      <c r="F95" s="209">
        <f t="shared" ref="F95:I95" si="225">F68*(F99+F101)</f>
        <v>2.0738282736159169E-2</v>
      </c>
      <c r="G95" s="11">
        <f t="shared" si="225"/>
        <v>2.22558760223277E-4</v>
      </c>
      <c r="H95" s="11">
        <f t="shared" si="225"/>
        <v>0.1464532700203858</v>
      </c>
      <c r="I95" s="210">
        <f t="shared" si="225"/>
        <v>9.4618387010607687E-3</v>
      </c>
      <c r="J95" s="209">
        <f t="shared" ref="J95:M95" si="226">J68*(J99+J101)</f>
        <v>1.0534241836410504E-3</v>
      </c>
      <c r="K95" s="11">
        <f t="shared" si="226"/>
        <v>2.2519107286667208E-4</v>
      </c>
      <c r="L95" s="11">
        <f t="shared" si="226"/>
        <v>0.14866457388210477</v>
      </c>
      <c r="M95" s="210">
        <f t="shared" si="226"/>
        <v>9.6041195699341133E-3</v>
      </c>
      <c r="N95" s="209">
        <f t="shared" ref="N95:AO95" si="227">N68*(N99+N101)</f>
        <v>2.8335637575000003E-2</v>
      </c>
      <c r="O95" s="11">
        <f t="shared" si="227"/>
        <v>2.1360713481208247E-4</v>
      </c>
      <c r="P95" s="11">
        <f t="shared" si="227"/>
        <v>0.13859068336379646</v>
      </c>
      <c r="Q95" s="210">
        <f t="shared" si="227"/>
        <v>8.9562671164383541E-3</v>
      </c>
      <c r="R95" s="209">
        <f t="shared" si="227"/>
        <v>1.4989285416313775E-2</v>
      </c>
      <c r="S95" s="11">
        <f t="shared" si="227"/>
        <v>1.6397187504395551E-4</v>
      </c>
      <c r="T95" s="11">
        <f t="shared" si="227"/>
        <v>0.11190737887575518</v>
      </c>
      <c r="U95" s="210">
        <f t="shared" si="227"/>
        <v>7.2250659961770325E-3</v>
      </c>
      <c r="V95" s="209">
        <f t="shared" si="227"/>
        <v>4.6608499999999997E-2</v>
      </c>
      <c r="W95" s="11">
        <f t="shared" si="227"/>
        <v>2.3734126090231382E-4</v>
      </c>
      <c r="X95" s="11">
        <f t="shared" si="227"/>
        <v>0.15366003731506847</v>
      </c>
      <c r="Y95" s="210">
        <f t="shared" si="227"/>
        <v>9.9305145205479412E-3</v>
      </c>
      <c r="Z95" s="209">
        <f t="shared" si="227"/>
        <v>2.8291359499999995E-2</v>
      </c>
      <c r="AA95" s="11">
        <f t="shared" si="227"/>
        <v>2.3734126090231382E-4</v>
      </c>
      <c r="AB95" s="11">
        <f t="shared" si="227"/>
        <v>0.23792606545111011</v>
      </c>
      <c r="AC95" s="210">
        <f t="shared" si="227"/>
        <v>8.4852227680680195E-3</v>
      </c>
      <c r="AD95" s="209">
        <f t="shared" si="227"/>
        <v>9.2871517308272932E-3</v>
      </c>
      <c r="AE95" s="11">
        <f t="shared" si="227"/>
        <v>1.4952499436845775E-4</v>
      </c>
      <c r="AF95" s="11">
        <f t="shared" si="227"/>
        <v>0.16725386143592372</v>
      </c>
      <c r="AG95" s="210">
        <f t="shared" si="227"/>
        <v>6.7990862387402396E-3</v>
      </c>
      <c r="AH95" s="209">
        <f t="shared" si="227"/>
        <v>6.1895854957499993E-3</v>
      </c>
      <c r="AI95" s="11">
        <f t="shared" si="227"/>
        <v>5.7673926399262262E-5</v>
      </c>
      <c r="AJ95" s="11">
        <f t="shared" si="227"/>
        <v>3.7419484508225048E-2</v>
      </c>
      <c r="AK95" s="210">
        <f t="shared" si="227"/>
        <v>2.4181921214383559E-3</v>
      </c>
      <c r="AL95" s="209">
        <f t="shared" si="227"/>
        <v>4.6492873873809279E-3</v>
      </c>
      <c r="AM95" s="11">
        <f t="shared" si="227"/>
        <v>5.6302607830560167E-5</v>
      </c>
      <c r="AN95" s="11">
        <f t="shared" si="227"/>
        <v>3.314607891120374E-2</v>
      </c>
      <c r="AO95" s="11">
        <f t="shared" si="227"/>
        <v>2.1462097624944049E-3</v>
      </c>
      <c r="AP95" s="209">
        <f>AP68*(AP99+AP101)</f>
        <v>3.3033774374999998E-2</v>
      </c>
      <c r="AQ95" s="11">
        <f t="shared" si="223"/>
        <v>1.4952499436845775E-4</v>
      </c>
      <c r="AR95" s="11">
        <f t="shared" si="223"/>
        <v>0.14536059336986304</v>
      </c>
      <c r="AS95" s="210">
        <f t="shared" si="223"/>
        <v>5.9247902958904112E-3</v>
      </c>
    </row>
    <row r="96" spans="1:53" x14ac:dyDescent="0.25">
      <c r="A96" s="243" t="s">
        <v>336</v>
      </c>
      <c r="B96" s="209">
        <f t="shared" ref="B96:AS96" si="228">B69*(B98+B100)</f>
        <v>6.4505291660206007E-2</v>
      </c>
      <c r="C96" s="11">
        <f t="shared" si="228"/>
        <v>9.2268500823828627E-4</v>
      </c>
      <c r="D96" s="11">
        <f t="shared" si="228"/>
        <v>0.61518143732981811</v>
      </c>
      <c r="E96" s="210">
        <f t="shared" si="228"/>
        <v>4.3672603890570531E-2</v>
      </c>
      <c r="F96" s="209">
        <f t="shared" si="228"/>
        <v>0</v>
      </c>
      <c r="G96" s="11">
        <f t="shared" si="228"/>
        <v>0</v>
      </c>
      <c r="H96" s="11">
        <f t="shared" si="228"/>
        <v>0</v>
      </c>
      <c r="I96" s="210">
        <f t="shared" si="228"/>
        <v>0</v>
      </c>
      <c r="J96" s="209">
        <f t="shared" si="228"/>
        <v>4.9466588428246014E-2</v>
      </c>
      <c r="K96" s="11">
        <f t="shared" si="228"/>
        <v>3.9951674568437773E-4</v>
      </c>
      <c r="L96" s="11">
        <f t="shared" si="228"/>
        <v>0.23955923313499453</v>
      </c>
      <c r="M96" s="210">
        <f t="shared" si="228"/>
        <v>1.7038893002723439E-2</v>
      </c>
      <c r="N96" s="209">
        <f t="shared" si="228"/>
        <v>0</v>
      </c>
      <c r="O96" s="11">
        <f t="shared" si="228"/>
        <v>0</v>
      </c>
      <c r="P96" s="11">
        <f t="shared" si="228"/>
        <v>0</v>
      </c>
      <c r="Q96" s="210">
        <f t="shared" si="228"/>
        <v>0</v>
      </c>
      <c r="R96" s="209">
        <f t="shared" si="228"/>
        <v>0.218520098671762</v>
      </c>
      <c r="S96" s="11">
        <f t="shared" si="228"/>
        <v>2.3904508666571728E-3</v>
      </c>
      <c r="T96" s="11">
        <f t="shared" si="228"/>
        <v>1.4818040887410118</v>
      </c>
      <c r="U96" s="210">
        <f t="shared" si="228"/>
        <v>0.10533004679971381</v>
      </c>
      <c r="V96" s="209">
        <f t="shared" si="228"/>
        <v>0</v>
      </c>
      <c r="W96" s="11">
        <f t="shared" si="228"/>
        <v>0</v>
      </c>
      <c r="X96" s="11">
        <f t="shared" si="228"/>
        <v>0</v>
      </c>
      <c r="Y96" s="210">
        <f t="shared" si="228"/>
        <v>0</v>
      </c>
      <c r="Z96" s="209">
        <f t="shared" si="228"/>
        <v>0</v>
      </c>
      <c r="AA96" s="11">
        <f t="shared" si="228"/>
        <v>0</v>
      </c>
      <c r="AB96" s="11">
        <f t="shared" si="228"/>
        <v>0</v>
      </c>
      <c r="AC96" s="210">
        <f t="shared" si="228"/>
        <v>0</v>
      </c>
      <c r="AD96" s="209">
        <f t="shared" si="228"/>
        <v>0.96422219818115928</v>
      </c>
      <c r="AE96" s="11">
        <f t="shared" si="228"/>
        <v>4.4258028115474772E-3</v>
      </c>
      <c r="AF96" s="11">
        <f t="shared" si="228"/>
        <v>0</v>
      </c>
      <c r="AG96" s="210">
        <f t="shared" si="228"/>
        <v>0.20124672211803873</v>
      </c>
      <c r="AH96" s="209">
        <f t="shared" si="228"/>
        <v>0</v>
      </c>
      <c r="AI96" s="11">
        <f t="shared" si="228"/>
        <v>0</v>
      </c>
      <c r="AJ96" s="11">
        <f t="shared" si="228"/>
        <v>0</v>
      </c>
      <c r="AK96" s="210">
        <f t="shared" si="228"/>
        <v>0</v>
      </c>
      <c r="AL96" s="209">
        <f t="shared" si="228"/>
        <v>1.5535124886100584</v>
      </c>
      <c r="AM96" s="11">
        <f t="shared" si="228"/>
        <v>1.8812948548522002E-2</v>
      </c>
      <c r="AN96" s="11">
        <f t="shared" si="228"/>
        <v>10.059632679942023</v>
      </c>
      <c r="AO96" s="11">
        <f t="shared" si="228"/>
        <v>0.71713434584866809</v>
      </c>
      <c r="AP96" s="209">
        <f t="shared" si="228"/>
        <v>0.97776944999999993</v>
      </c>
      <c r="AQ96" s="11">
        <f t="shared" si="228"/>
        <v>4.4258028115474772E-3</v>
      </c>
      <c r="AR96" s="11">
        <f t="shared" si="228"/>
        <v>0</v>
      </c>
      <c r="AS96" s="210">
        <f t="shared" si="228"/>
        <v>0.17536836339726031</v>
      </c>
    </row>
    <row r="97" spans="1:47" x14ac:dyDescent="0.25">
      <c r="A97" s="237"/>
      <c r="B97" s="197"/>
      <c r="E97" s="198"/>
      <c r="F97" s="197"/>
      <c r="I97" s="198"/>
      <c r="J97" s="197"/>
      <c r="M97" s="198"/>
      <c r="N97" s="197"/>
      <c r="Q97" s="198"/>
      <c r="R97" s="197"/>
      <c r="U97" s="198"/>
      <c r="V97" s="197"/>
      <c r="Y97" s="198"/>
      <c r="Z97" s="197"/>
      <c r="AC97" s="198"/>
      <c r="AD97" s="197"/>
      <c r="AG97" s="198"/>
      <c r="AH97" s="197"/>
      <c r="AK97" s="198"/>
      <c r="AL97" s="197"/>
      <c r="AP97" s="197"/>
      <c r="AS97" s="198"/>
    </row>
    <row r="98" spans="1:47" x14ac:dyDescent="0.25">
      <c r="A98" s="246" t="s">
        <v>516</v>
      </c>
      <c r="B98" s="217">
        <v>0.01</v>
      </c>
      <c r="C98" s="15">
        <v>0.01</v>
      </c>
      <c r="D98" s="15">
        <v>0.01</v>
      </c>
      <c r="E98" s="218">
        <v>0.01</v>
      </c>
      <c r="F98" s="217">
        <v>0.01</v>
      </c>
      <c r="G98" s="15">
        <v>0.01</v>
      </c>
      <c r="H98" s="15">
        <v>0.01</v>
      </c>
      <c r="I98" s="218">
        <v>0.01</v>
      </c>
      <c r="J98" s="217">
        <v>0.01</v>
      </c>
      <c r="K98" s="15">
        <v>0.01</v>
      </c>
      <c r="L98" s="15">
        <v>0.01</v>
      </c>
      <c r="M98" s="218">
        <v>0.01</v>
      </c>
      <c r="N98" s="217">
        <v>0.01</v>
      </c>
      <c r="O98" s="15">
        <v>0.01</v>
      </c>
      <c r="P98" s="15">
        <v>0.01</v>
      </c>
      <c r="Q98" s="218">
        <v>0.01</v>
      </c>
      <c r="R98" s="217">
        <v>0.01</v>
      </c>
      <c r="S98" s="15">
        <v>0.01</v>
      </c>
      <c r="T98" s="15">
        <v>0.01</v>
      </c>
      <c r="U98" s="218">
        <v>0.01</v>
      </c>
      <c r="V98" s="217">
        <v>0.01</v>
      </c>
      <c r="W98" s="15">
        <v>0.01</v>
      </c>
      <c r="X98" s="15">
        <v>0.01</v>
      </c>
      <c r="Y98" s="218">
        <v>0.01</v>
      </c>
      <c r="Z98" s="217">
        <v>0.01</v>
      </c>
      <c r="AA98" s="15">
        <v>0.01</v>
      </c>
      <c r="AB98" s="15">
        <v>0.01</v>
      </c>
      <c r="AC98" s="218">
        <v>0.01</v>
      </c>
      <c r="AD98" s="217">
        <v>0.01</v>
      </c>
      <c r="AE98" s="15">
        <v>0.01</v>
      </c>
      <c r="AF98" s="15">
        <v>0.01</v>
      </c>
      <c r="AG98" s="218">
        <v>0.01</v>
      </c>
      <c r="AH98" s="217">
        <v>0.01</v>
      </c>
      <c r="AI98" s="15">
        <v>0.01</v>
      </c>
      <c r="AJ98" s="15">
        <v>0.01</v>
      </c>
      <c r="AK98" s="218">
        <v>0.01</v>
      </c>
      <c r="AL98" s="217">
        <v>0.01</v>
      </c>
      <c r="AM98" s="15">
        <v>0.01</v>
      </c>
      <c r="AN98" s="15">
        <v>0.01</v>
      </c>
      <c r="AO98" s="15">
        <v>0.01</v>
      </c>
      <c r="AP98" s="217">
        <v>0.01</v>
      </c>
      <c r="AQ98" s="15">
        <v>0.01</v>
      </c>
      <c r="AR98" s="15">
        <v>0.01</v>
      </c>
      <c r="AS98" s="218">
        <v>0.01</v>
      </c>
      <c r="AU98" s="180" t="s">
        <v>374</v>
      </c>
    </row>
    <row r="99" spans="1:47" x14ac:dyDescent="0.25">
      <c r="A99" s="246" t="s">
        <v>517</v>
      </c>
      <c r="B99" s="226">
        <v>1E-4</v>
      </c>
      <c r="C99" s="138">
        <v>1E-4</v>
      </c>
      <c r="D99" s="138">
        <v>1E-4</v>
      </c>
      <c r="E99" s="227">
        <v>1E-4</v>
      </c>
      <c r="F99" s="226">
        <v>1E-4</v>
      </c>
      <c r="G99" s="138">
        <v>1E-4</v>
      </c>
      <c r="H99" s="138">
        <v>1E-4</v>
      </c>
      <c r="I99" s="227">
        <v>1E-4</v>
      </c>
      <c r="J99" s="226">
        <v>1E-4</v>
      </c>
      <c r="K99" s="138">
        <v>1E-4</v>
      </c>
      <c r="L99" s="138">
        <v>1E-4</v>
      </c>
      <c r="M99" s="227">
        <v>1E-4</v>
      </c>
      <c r="N99" s="226">
        <v>1E-4</v>
      </c>
      <c r="O99" s="138">
        <v>1E-4</v>
      </c>
      <c r="P99" s="138">
        <v>1E-4</v>
      </c>
      <c r="Q99" s="227">
        <v>1E-4</v>
      </c>
      <c r="R99" s="226">
        <v>1E-4</v>
      </c>
      <c r="S99" s="138">
        <v>1E-4</v>
      </c>
      <c r="T99" s="138">
        <v>1E-4</v>
      </c>
      <c r="U99" s="227">
        <v>1E-4</v>
      </c>
      <c r="V99" s="226">
        <v>1E-4</v>
      </c>
      <c r="W99" s="138">
        <v>1E-4</v>
      </c>
      <c r="X99" s="138">
        <v>1E-4</v>
      </c>
      <c r="Y99" s="227">
        <v>1E-4</v>
      </c>
      <c r="Z99" s="226">
        <v>1E-4</v>
      </c>
      <c r="AA99" s="138">
        <v>1E-4</v>
      </c>
      <c r="AB99" s="138">
        <v>1E-4</v>
      </c>
      <c r="AC99" s="227">
        <v>1E-4</v>
      </c>
      <c r="AD99" s="226">
        <v>1E-4</v>
      </c>
      <c r="AE99" s="138">
        <v>1E-4</v>
      </c>
      <c r="AF99" s="138">
        <v>1E-4</v>
      </c>
      <c r="AG99" s="227">
        <v>1E-4</v>
      </c>
      <c r="AH99" s="226">
        <v>1E-4</v>
      </c>
      <c r="AI99" s="138">
        <v>1E-4</v>
      </c>
      <c r="AJ99" s="138">
        <v>1E-4</v>
      </c>
      <c r="AK99" s="227">
        <v>1E-4</v>
      </c>
      <c r="AL99" s="226">
        <v>1E-4</v>
      </c>
      <c r="AM99" s="138">
        <v>1E-4</v>
      </c>
      <c r="AN99" s="138">
        <v>1E-4</v>
      </c>
      <c r="AO99" s="138">
        <v>1E-4</v>
      </c>
      <c r="AP99" s="226">
        <v>1E-4</v>
      </c>
      <c r="AQ99" s="138">
        <v>1E-4</v>
      </c>
      <c r="AR99" s="138">
        <v>1E-4</v>
      </c>
      <c r="AS99" s="227">
        <v>1E-4</v>
      </c>
      <c r="AU99" s="180" t="s">
        <v>374</v>
      </c>
    </row>
    <row r="100" spans="1:47" x14ac:dyDescent="0.25">
      <c r="A100" s="246" t="s">
        <v>375</v>
      </c>
      <c r="B100" s="203">
        <v>0.3</v>
      </c>
      <c r="C100" s="13">
        <v>0.3</v>
      </c>
      <c r="D100" s="13">
        <v>0.3</v>
      </c>
      <c r="E100" s="204">
        <v>0.3</v>
      </c>
      <c r="F100" s="203">
        <v>0.3</v>
      </c>
      <c r="G100" s="13">
        <v>0.3</v>
      </c>
      <c r="H100" s="13">
        <v>0.3</v>
      </c>
      <c r="I100" s="204">
        <v>0.3</v>
      </c>
      <c r="J100" s="203">
        <v>0.3</v>
      </c>
      <c r="K100" s="13">
        <v>0.3</v>
      </c>
      <c r="L100" s="13">
        <v>0.3</v>
      </c>
      <c r="M100" s="204">
        <v>0.3</v>
      </c>
      <c r="N100" s="203">
        <v>0.3</v>
      </c>
      <c r="O100" s="13">
        <v>0.3</v>
      </c>
      <c r="P100" s="13">
        <v>0.3</v>
      </c>
      <c r="Q100" s="204">
        <v>0.3</v>
      </c>
      <c r="R100" s="203">
        <v>0.3</v>
      </c>
      <c r="S100" s="13">
        <v>0.3</v>
      </c>
      <c r="T100" s="13">
        <v>0.3</v>
      </c>
      <c r="U100" s="204">
        <v>0.3</v>
      </c>
      <c r="V100" s="203">
        <v>0.3</v>
      </c>
      <c r="W100" s="13">
        <v>0.3</v>
      </c>
      <c r="X100" s="13">
        <v>0.3</v>
      </c>
      <c r="Y100" s="204">
        <v>0.3</v>
      </c>
      <c r="Z100" s="203">
        <v>0.3</v>
      </c>
      <c r="AA100" s="13">
        <v>0.3</v>
      </c>
      <c r="AB100" s="13">
        <v>0.3</v>
      </c>
      <c r="AC100" s="204">
        <v>0.3</v>
      </c>
      <c r="AD100" s="203">
        <v>0.3</v>
      </c>
      <c r="AE100" s="13">
        <v>0.3</v>
      </c>
      <c r="AF100" s="13">
        <v>0.3</v>
      </c>
      <c r="AG100" s="204">
        <v>0.3</v>
      </c>
      <c r="AH100" s="203">
        <v>0.3</v>
      </c>
      <c r="AI100" s="13">
        <v>0.3</v>
      </c>
      <c r="AJ100" s="13">
        <v>0.3</v>
      </c>
      <c r="AK100" s="204">
        <v>0.3</v>
      </c>
      <c r="AL100" s="203">
        <v>0.3</v>
      </c>
      <c r="AM100" s="13">
        <v>0.3</v>
      </c>
      <c r="AN100" s="13">
        <v>0.3</v>
      </c>
      <c r="AO100" s="13">
        <v>0.3</v>
      </c>
      <c r="AP100" s="203">
        <v>0.3</v>
      </c>
      <c r="AQ100" s="13">
        <v>0.3</v>
      </c>
      <c r="AR100" s="13">
        <v>0.3</v>
      </c>
      <c r="AS100" s="204">
        <v>0.3</v>
      </c>
      <c r="AU100" s="180" t="s">
        <v>374</v>
      </c>
    </row>
    <row r="101" spans="1:47" x14ac:dyDescent="0.25">
      <c r="A101" s="246" t="s">
        <v>376</v>
      </c>
      <c r="B101" s="203">
        <v>3.0000000000000001E-3</v>
      </c>
      <c r="C101" s="13">
        <v>3.0000000000000001E-3</v>
      </c>
      <c r="D101" s="13">
        <v>3.0000000000000001E-3</v>
      </c>
      <c r="E101" s="204">
        <v>3.0000000000000001E-3</v>
      </c>
      <c r="F101" s="203">
        <v>3.0000000000000001E-3</v>
      </c>
      <c r="G101" s="13">
        <v>3.0000000000000001E-3</v>
      </c>
      <c r="H101" s="13">
        <v>3.0000000000000001E-3</v>
      </c>
      <c r="I101" s="204">
        <v>3.0000000000000001E-3</v>
      </c>
      <c r="J101" s="203">
        <v>3.0000000000000001E-3</v>
      </c>
      <c r="K101" s="13">
        <v>3.0000000000000001E-3</v>
      </c>
      <c r="L101" s="13">
        <v>3.0000000000000001E-3</v>
      </c>
      <c r="M101" s="204">
        <v>3.0000000000000001E-3</v>
      </c>
      <c r="N101" s="203">
        <v>3.0000000000000001E-3</v>
      </c>
      <c r="O101" s="13">
        <v>3.0000000000000001E-3</v>
      </c>
      <c r="P101" s="13">
        <v>3.0000000000000001E-3</v>
      </c>
      <c r="Q101" s="204">
        <v>3.0000000000000001E-3</v>
      </c>
      <c r="R101" s="203">
        <v>3.0000000000000001E-3</v>
      </c>
      <c r="S101" s="13">
        <v>3.0000000000000001E-3</v>
      </c>
      <c r="T101" s="13">
        <v>3.0000000000000001E-3</v>
      </c>
      <c r="U101" s="204">
        <v>3.0000000000000001E-3</v>
      </c>
      <c r="V101" s="203">
        <v>3.0000000000000001E-3</v>
      </c>
      <c r="W101" s="13">
        <v>3.0000000000000001E-3</v>
      </c>
      <c r="X101" s="13">
        <v>3.0000000000000001E-3</v>
      </c>
      <c r="Y101" s="204">
        <v>3.0000000000000001E-3</v>
      </c>
      <c r="Z101" s="203">
        <v>3.0000000000000001E-3</v>
      </c>
      <c r="AA101" s="13">
        <v>3.0000000000000001E-3</v>
      </c>
      <c r="AB101" s="13">
        <v>3.0000000000000001E-3</v>
      </c>
      <c r="AC101" s="204">
        <v>3.0000000000000001E-3</v>
      </c>
      <c r="AD101" s="203">
        <v>3.0000000000000001E-3</v>
      </c>
      <c r="AE101" s="13">
        <v>3.0000000000000001E-3</v>
      </c>
      <c r="AF101" s="13">
        <v>3.0000000000000001E-3</v>
      </c>
      <c r="AG101" s="204">
        <v>3.0000000000000001E-3</v>
      </c>
      <c r="AH101" s="203">
        <v>3.0000000000000001E-3</v>
      </c>
      <c r="AI101" s="13">
        <v>3.0000000000000001E-3</v>
      </c>
      <c r="AJ101" s="13">
        <v>3.0000000000000001E-3</v>
      </c>
      <c r="AK101" s="204">
        <v>3.0000000000000001E-3</v>
      </c>
      <c r="AL101" s="203">
        <v>3.0000000000000001E-3</v>
      </c>
      <c r="AM101" s="13">
        <v>3.0000000000000001E-3</v>
      </c>
      <c r="AN101" s="13">
        <v>3.0000000000000001E-3</v>
      </c>
      <c r="AO101" s="13">
        <v>3.0000000000000001E-3</v>
      </c>
      <c r="AP101" s="203">
        <v>3.0000000000000001E-3</v>
      </c>
      <c r="AQ101" s="13">
        <v>3.0000000000000001E-3</v>
      </c>
      <c r="AR101" s="13">
        <v>3.0000000000000001E-3</v>
      </c>
      <c r="AS101" s="204">
        <v>3.0000000000000001E-3</v>
      </c>
      <c r="AU101" s="180" t="s">
        <v>374</v>
      </c>
    </row>
    <row r="102" spans="1:47" x14ac:dyDescent="0.25">
      <c r="A102" s="237"/>
      <c r="B102" s="197"/>
      <c r="E102" s="198"/>
      <c r="F102" s="197"/>
      <c r="I102" s="198"/>
      <c r="J102" s="197"/>
      <c r="M102" s="198"/>
      <c r="N102" s="197"/>
      <c r="Q102" s="198"/>
      <c r="R102" s="197"/>
      <c r="U102" s="198"/>
      <c r="V102" s="197"/>
      <c r="Y102" s="198"/>
      <c r="Z102" s="197"/>
      <c r="AC102" s="198"/>
      <c r="AD102" s="197"/>
      <c r="AG102" s="198"/>
      <c r="AH102" s="197"/>
      <c r="AK102" s="198"/>
      <c r="AL102" s="197"/>
      <c r="AP102" s="197"/>
      <c r="AS102" s="198"/>
    </row>
    <row r="103" spans="1:47" x14ac:dyDescent="0.25">
      <c r="A103" s="245" t="s">
        <v>377</v>
      </c>
      <c r="B103" s="205"/>
      <c r="C103" s="114"/>
      <c r="D103" s="114"/>
      <c r="E103" s="206"/>
      <c r="F103" s="205"/>
      <c r="G103" s="114"/>
      <c r="H103" s="114"/>
      <c r="I103" s="206"/>
      <c r="J103" s="205"/>
      <c r="K103" s="114"/>
      <c r="L103" s="114"/>
      <c r="M103" s="206"/>
      <c r="N103" s="205"/>
      <c r="O103" s="114"/>
      <c r="P103" s="114"/>
      <c r="Q103" s="206"/>
      <c r="R103" s="205"/>
      <c r="S103" s="114"/>
      <c r="T103" s="114"/>
      <c r="U103" s="206"/>
      <c r="V103" s="205"/>
      <c r="W103" s="114"/>
      <c r="X103" s="114"/>
      <c r="Y103" s="206"/>
      <c r="Z103" s="205"/>
      <c r="AA103" s="114"/>
      <c r="AB103" s="114"/>
      <c r="AC103" s="206"/>
      <c r="AD103" s="205"/>
      <c r="AE103" s="114"/>
      <c r="AF103" s="114"/>
      <c r="AG103" s="206"/>
      <c r="AH103" s="205"/>
      <c r="AI103" s="114"/>
      <c r="AJ103" s="114"/>
      <c r="AK103" s="206"/>
      <c r="AL103" s="205"/>
      <c r="AM103" s="114"/>
      <c r="AN103" s="114"/>
      <c r="AO103" s="114"/>
      <c r="AP103" s="205"/>
      <c r="AQ103" s="114"/>
      <c r="AR103" s="114"/>
      <c r="AS103" s="206"/>
    </row>
    <row r="104" spans="1:47" x14ac:dyDescent="0.25">
      <c r="A104" s="243" t="s">
        <v>334</v>
      </c>
      <c r="B104" s="214">
        <f>B67-B74-B84-B94</f>
        <v>2.5359943293830991E-3</v>
      </c>
      <c r="C104" s="5">
        <f t="shared" ref="C104:E104" si="229">C67-C74-C84-C94</f>
        <v>3.6274914638400376E-5</v>
      </c>
      <c r="D104" s="5">
        <f t="shared" si="229"/>
        <v>2.4185560540184385E-2</v>
      </c>
      <c r="E104" s="215">
        <f t="shared" si="229"/>
        <v>1.7169672900526724E-3</v>
      </c>
      <c r="F104" s="214">
        <f>F67-F74-F84-F94</f>
        <v>0.19008542242214518</v>
      </c>
      <c r="G104" s="5">
        <f t="shared" ref="G104:I105" si="230">G67-G74-G84-G94</f>
        <v>2.0399555975301399E-3</v>
      </c>
      <c r="H104" s="5">
        <f t="shared" si="230"/>
        <v>1.2192610509965593</v>
      </c>
      <c r="I104" s="215">
        <f t="shared" si="230"/>
        <v>8.6726448340169612E-2</v>
      </c>
      <c r="J104" s="214">
        <f>J67-J74-J84-J94</f>
        <v>3.8476977449658318</v>
      </c>
      <c r="K104" s="5">
        <f t="shared" ref="K104:M104" si="231">K67-K74-K84-K94</f>
        <v>1.1740838637665145E-3</v>
      </c>
      <c r="L104" s="5">
        <f t="shared" si="231"/>
        <v>0.70400711128708948</v>
      </c>
      <c r="M104" s="215">
        <f t="shared" si="231"/>
        <v>5.0073218574787817E-2</v>
      </c>
      <c r="N104" s="214">
        <f>N67-N74-N84-N94</f>
        <v>0.43447349400000002</v>
      </c>
      <c r="O104" s="5">
        <f t="shared" ref="O104:Q105" si="232">O67-O74-O84-O94</f>
        <v>3.2752620427011691E-3</v>
      </c>
      <c r="P104" s="5">
        <f t="shared" si="232"/>
        <v>1.9301272401369867</v>
      </c>
      <c r="Q104" s="215">
        <f t="shared" si="232"/>
        <v>0.13732744347031961</v>
      </c>
      <c r="R104" s="214">
        <f>R67-R74-R84-R94</f>
        <v>0.65063627913241062</v>
      </c>
      <c r="S104" s="5">
        <f t="shared" ref="S104:U105" si="233">S67-S74-S84-S94</f>
        <v>7.117487438383867E-3</v>
      </c>
      <c r="T104" s="5">
        <f t="shared" si="233"/>
        <v>4.4120220728521531</v>
      </c>
      <c r="U104" s="215">
        <f t="shared" si="233"/>
        <v>0.31361668856625113</v>
      </c>
      <c r="V104" s="214">
        <f>V67-V74-V84-V94</f>
        <v>0</v>
      </c>
      <c r="W104" s="5">
        <f t="shared" ref="W104:Y105" si="234">W67-W74-W84-W94</f>
        <v>0</v>
      </c>
      <c r="X104" s="5">
        <f t="shared" si="234"/>
        <v>0</v>
      </c>
      <c r="Y104" s="215">
        <f t="shared" si="234"/>
        <v>0</v>
      </c>
      <c r="Z104" s="214">
        <f>Z67-Z74-Z84-Z94</f>
        <v>0</v>
      </c>
      <c r="AA104" s="5">
        <f t="shared" ref="AA104:AC105" si="235">AA67-AA74-AA84-AA94</f>
        <v>0</v>
      </c>
      <c r="AB104" s="5">
        <f t="shared" si="235"/>
        <v>0</v>
      </c>
      <c r="AC104" s="215">
        <f t="shared" si="235"/>
        <v>0</v>
      </c>
      <c r="AD104" s="214">
        <f>AD67-AD74-AD84-AD94</f>
        <v>1.698699901449275E-2</v>
      </c>
      <c r="AE104" s="5">
        <f t="shared" ref="AE104:AG105" si="236">AE67-AE74-AE84-AE94</f>
        <v>6.5505240854023383E-3</v>
      </c>
      <c r="AF104" s="5">
        <f t="shared" si="236"/>
        <v>0</v>
      </c>
      <c r="AG104" s="215">
        <f t="shared" si="236"/>
        <v>0.29786042362821669</v>
      </c>
      <c r="AH104" s="214">
        <f>AH67-AH74-AH84-AH94</f>
        <v>2.6608719719400002</v>
      </c>
      <c r="AI104" s="5">
        <f t="shared" ref="AI104:AK105" si="237">AI67-AI74-AI84-AI94</f>
        <v>2.4793733663247847E-2</v>
      </c>
      <c r="AJ104" s="5">
        <f t="shared" si="237"/>
        <v>14.61106320783699</v>
      </c>
      <c r="AK104" s="215">
        <f t="shared" si="237"/>
        <v>1.0395687470703199</v>
      </c>
      <c r="AL104" s="214">
        <f>AL67-AL74-AL84-AL94</f>
        <v>0.10859422018641811</v>
      </c>
      <c r="AM104" s="5">
        <f t="shared" ref="AM104:AO105" si="238">AM67-AM74-AM84-AM94</f>
        <v>1.31506987681948E-3</v>
      </c>
      <c r="AN104" s="5">
        <f t="shared" si="238"/>
        <v>0.7031922654303906</v>
      </c>
      <c r="AO104" s="5">
        <f t="shared" si="238"/>
        <v>5.0129397495870871E-2</v>
      </c>
      <c r="AP104" s="214">
        <f>AP67-AP74-AP84-AP94</f>
        <v>1.4471730000000005</v>
      </c>
      <c r="AQ104" s="5">
        <f t="shared" ref="AQ104:AS104" si="239">AQ67-AQ74-AQ84-AQ94</f>
        <v>6.5505240854023383E-3</v>
      </c>
      <c r="AR104" s="5">
        <f t="shared" si="239"/>
        <v>0</v>
      </c>
      <c r="AS104" s="215">
        <f t="shared" si="239"/>
        <v>0.25955848851966423</v>
      </c>
    </row>
    <row r="105" spans="1:47" x14ac:dyDescent="0.25">
      <c r="A105" s="243" t="s">
        <v>335</v>
      </c>
      <c r="B105" s="214">
        <f>B68-B75-B85-B95</f>
        <v>4.5220272833786694</v>
      </c>
      <c r="C105" s="5">
        <f t="shared" ref="C105" si="240">C68-C75-C85-C95</f>
        <v>6.4683170540441176E-2</v>
      </c>
      <c r="D105" s="5">
        <f>D68-D75-D85-D95</f>
        <v>47.480955619583398</v>
      </c>
      <c r="E105" s="215">
        <f t="shared" ref="E105" si="241">E68-E75-E85-E95</f>
        <v>3.0615892316193065</v>
      </c>
      <c r="F105" s="214">
        <f>F68-F75-F85-F95</f>
        <v>5.866258106883218</v>
      </c>
      <c r="G105" s="5">
        <f t="shared" ref="G105" si="242">G68-G75-G85-G95</f>
        <v>6.2955411883803741E-2</v>
      </c>
      <c r="H105" s="5">
        <f>H68-H75-H85-H95</f>
        <v>41.427378219637518</v>
      </c>
      <c r="I105" s="215">
        <f t="shared" si="230"/>
        <v>2.6764794699871577</v>
      </c>
      <c r="J105" s="214">
        <f>J68-J75-J85-J95</f>
        <v>0.29798311826930229</v>
      </c>
      <c r="K105" s="5">
        <f t="shared" ref="K105" si="243">K68-K75-K85-K95</f>
        <v>6.3700016708640242E-2</v>
      </c>
      <c r="L105" s="5">
        <f>L68-L75-L85-L95</f>
        <v>42.052891882973448</v>
      </c>
      <c r="M105" s="215">
        <f t="shared" ref="M105" si="244">M68-M75-M85-M95</f>
        <v>2.7167265970565246</v>
      </c>
      <c r="N105" s="214">
        <f>N68-N75-N85-N95</f>
        <v>8.0153292224250006</v>
      </c>
      <c r="O105" s="5">
        <f t="shared" ref="O105" si="245">O68-O75-O85-O95</f>
        <v>6.0423256940875851E-2</v>
      </c>
      <c r="P105" s="5">
        <f>P68-P75-P85-P95</f>
        <v>39.203280723133261</v>
      </c>
      <c r="Q105" s="215">
        <f t="shared" si="232"/>
        <v>2.5334679465821912</v>
      </c>
      <c r="R105" s="214">
        <f>R68-R75-R85-R95</f>
        <v>4.2400336714727587</v>
      </c>
      <c r="S105" s="5">
        <f t="shared" ref="S105" si="246">S68-S75-S85-S95</f>
        <v>4.6382882976143416E-2</v>
      </c>
      <c r="T105" s="5">
        <f>T68-T75-T85-T95</f>
        <v>31.655348560048296</v>
      </c>
      <c r="U105" s="215">
        <f t="shared" si="233"/>
        <v>2.0437614103379489</v>
      </c>
      <c r="V105" s="214">
        <f>V68-V75-V85-V95</f>
        <v>13.184191500000001</v>
      </c>
      <c r="W105" s="5">
        <f t="shared" ref="W105" si="247">W68-W75-W85-W95</f>
        <v>6.7136952156528706E-2</v>
      </c>
      <c r="X105" s="5">
        <f>X68-X75-X85-X95</f>
        <v>43.465963458575345</v>
      </c>
      <c r="Y105" s="215">
        <f t="shared" si="234"/>
        <v>2.8090542526027389</v>
      </c>
      <c r="Z105" s="214">
        <f>Z68-Z75-Z85-Z95</f>
        <v>8.0028042404999979</v>
      </c>
      <c r="AA105" s="5">
        <f t="shared" ref="AA105" si="248">AA68-AA75-AA85-AA95</f>
        <v>6.7136952156528706E-2</v>
      </c>
      <c r="AB105" s="5">
        <f>AB68-AB75-AB85-AB95</f>
        <v>67.302376385186605</v>
      </c>
      <c r="AC105" s="215">
        <f t="shared" si="235"/>
        <v>2.4002231759093058</v>
      </c>
      <c r="AD105" s="214">
        <f>AD68-AD75-AD85-AD95</f>
        <v>2.6270655976653075</v>
      </c>
      <c r="AE105" s="5">
        <f t="shared" ref="AE105" si="249">AE68-AE75-AE85-AE95</f>
        <v>4.2296279858613096E-2</v>
      </c>
      <c r="AF105" s="5">
        <f>AF68-AF75-AF85-AF95</f>
        <v>47.311261642955323</v>
      </c>
      <c r="AG105" s="215">
        <f t="shared" si="236"/>
        <v>1.9232641041133278</v>
      </c>
      <c r="AH105" s="214">
        <f>AH68-AH75-AH85-AH95</f>
        <v>1.75085403910425</v>
      </c>
      <c r="AI105" s="5">
        <f t="shared" ref="AI105" si="250">AI68-AI75-AI85-AI95</f>
        <v>1.6314279374036476E-2</v>
      </c>
      <c r="AJ105" s="5">
        <f>AJ68-AJ75-AJ85-AJ95</f>
        <v>10.584885795245983</v>
      </c>
      <c r="AK105" s="215">
        <f t="shared" si="237"/>
        <v>0.68403634557719173</v>
      </c>
      <c r="AL105" s="214">
        <f>AL68-AL75-AL85-AL95</f>
        <v>1.3151484225788181</v>
      </c>
      <c r="AM105" s="5">
        <f t="shared" ref="AM105" si="251">AM68-AM75-AM85-AM95</f>
        <v>1.5926373163425229E-2</v>
      </c>
      <c r="AN105" s="5">
        <f>AN68-AN75-AN85-AN95</f>
        <v>9.3760634184627616</v>
      </c>
      <c r="AO105" s="5">
        <f t="shared" si="238"/>
        <v>0.60710043249398193</v>
      </c>
      <c r="AP105" s="214">
        <f>AP68-AP75-AP85-AP95</f>
        <v>9.3442957256250008</v>
      </c>
      <c r="AQ105" s="5">
        <f t="shared" ref="AQ105:AS105" si="252">AQ68-AQ75-AQ85-AQ95</f>
        <v>4.2296279858613096E-2</v>
      </c>
      <c r="AR105" s="5">
        <f>AR68-AR75-AR85-AR95</f>
        <v>41.11829171807512</v>
      </c>
      <c r="AS105" s="215">
        <f t="shared" si="252"/>
        <v>1.675951164666549</v>
      </c>
    </row>
    <row r="106" spans="1:47" x14ac:dyDescent="0.25">
      <c r="A106" s="243" t="s">
        <v>336</v>
      </c>
      <c r="B106" s="214">
        <f t="shared" ref="B106:E106" si="253">B69-B76-B86-B96</f>
        <v>8.1151818540259171E-2</v>
      </c>
      <c r="C106" s="5">
        <f t="shared" si="253"/>
        <v>1.160797268428812E-3</v>
      </c>
      <c r="D106" s="5">
        <f t="shared" si="253"/>
        <v>0.77393793728590032</v>
      </c>
      <c r="E106" s="215">
        <f t="shared" si="253"/>
        <v>5.4942953281685518E-2</v>
      </c>
      <c r="F106" s="214">
        <f t="shared" ref="F106:I106" si="254">F69-F76-F86-F96</f>
        <v>0</v>
      </c>
      <c r="G106" s="5">
        <f t="shared" si="254"/>
        <v>0</v>
      </c>
      <c r="H106" s="5">
        <f t="shared" si="254"/>
        <v>0</v>
      </c>
      <c r="I106" s="215">
        <f t="shared" si="254"/>
        <v>0</v>
      </c>
      <c r="J106" s="214">
        <f t="shared" ref="J106:M106" si="255">J69-J76-J86-J96</f>
        <v>6.2232159635535328E-2</v>
      </c>
      <c r="K106" s="5">
        <f t="shared" si="255"/>
        <v>5.0261784134486239E-4</v>
      </c>
      <c r="L106" s="5">
        <f t="shared" si="255"/>
        <v>0.30138097071821901</v>
      </c>
      <c r="M106" s="215">
        <f t="shared" si="255"/>
        <v>2.1436026680845627E-2</v>
      </c>
      <c r="N106" s="214">
        <f t="shared" ref="N106:AO106" si="256">N69-N76-N86-N96</f>
        <v>0</v>
      </c>
      <c r="O106" s="5">
        <f t="shared" si="256"/>
        <v>0</v>
      </c>
      <c r="P106" s="5">
        <f t="shared" si="256"/>
        <v>0</v>
      </c>
      <c r="Q106" s="215">
        <f t="shared" si="256"/>
        <v>0</v>
      </c>
      <c r="R106" s="214">
        <f t="shared" si="256"/>
        <v>0.27491238219995862</v>
      </c>
      <c r="S106" s="5">
        <f t="shared" si="256"/>
        <v>3.0073414128912812E-3</v>
      </c>
      <c r="T106" s="5">
        <f t="shared" si="256"/>
        <v>1.8642051438999823</v>
      </c>
      <c r="U106" s="215">
        <f t="shared" si="256"/>
        <v>0.13251199436093028</v>
      </c>
      <c r="V106" s="214">
        <f t="shared" si="256"/>
        <v>0</v>
      </c>
      <c r="W106" s="5">
        <f t="shared" si="256"/>
        <v>0</v>
      </c>
      <c r="X106" s="5">
        <f t="shared" si="256"/>
        <v>0</v>
      </c>
      <c r="Y106" s="215">
        <f t="shared" si="256"/>
        <v>0</v>
      </c>
      <c r="Z106" s="214">
        <f t="shared" si="256"/>
        <v>0</v>
      </c>
      <c r="AA106" s="5">
        <f t="shared" si="256"/>
        <v>0</v>
      </c>
      <c r="AB106" s="5">
        <f t="shared" si="256"/>
        <v>0</v>
      </c>
      <c r="AC106" s="215">
        <f t="shared" si="256"/>
        <v>0</v>
      </c>
      <c r="AD106" s="214">
        <f t="shared" si="256"/>
        <v>1.2130537331956521</v>
      </c>
      <c r="AE106" s="5">
        <f t="shared" si="256"/>
        <v>5.5679454725919885E-3</v>
      </c>
      <c r="AF106" s="5">
        <f t="shared" si="256"/>
        <v>0</v>
      </c>
      <c r="AG106" s="215">
        <f t="shared" si="256"/>
        <v>0.25318136008398423</v>
      </c>
      <c r="AH106" s="214">
        <f t="shared" si="256"/>
        <v>0</v>
      </c>
      <c r="AI106" s="5">
        <f t="shared" si="256"/>
        <v>0</v>
      </c>
      <c r="AJ106" s="5">
        <f t="shared" si="256"/>
        <v>0</v>
      </c>
      <c r="AK106" s="215">
        <f t="shared" si="256"/>
        <v>0</v>
      </c>
      <c r="AL106" s="214">
        <f t="shared" si="256"/>
        <v>1.954418937283622</v>
      </c>
      <c r="AM106" s="5">
        <f t="shared" si="256"/>
        <v>2.3667903012656713E-2</v>
      </c>
      <c r="AN106" s="5">
        <f t="shared" si="256"/>
        <v>12.655666919927061</v>
      </c>
      <c r="AO106" s="5">
        <f t="shared" si="256"/>
        <v>0.90220127380961479</v>
      </c>
      <c r="AP106" s="214">
        <f t="shared" ref="AP106:AS106" si="257">AP69-AP76-AP86-AP96</f>
        <v>1.2300970499999999</v>
      </c>
      <c r="AQ106" s="5">
        <f t="shared" si="257"/>
        <v>5.5679454725919885E-3</v>
      </c>
      <c r="AR106" s="5">
        <f t="shared" si="257"/>
        <v>0</v>
      </c>
      <c r="AS106" s="215">
        <f t="shared" si="257"/>
        <v>0.22062471524171462</v>
      </c>
    </row>
    <row r="107" spans="1:47" x14ac:dyDescent="0.25">
      <c r="A107" s="237"/>
      <c r="B107" s="214"/>
      <c r="C107" s="5"/>
      <c r="D107" s="5"/>
      <c r="E107" s="215"/>
      <c r="F107" s="214"/>
      <c r="G107" s="5"/>
      <c r="H107" s="5"/>
      <c r="I107" s="215"/>
      <c r="J107" s="214"/>
      <c r="K107" s="5"/>
      <c r="L107" s="5"/>
      <c r="M107" s="215"/>
      <c r="N107" s="214"/>
      <c r="O107" s="5"/>
      <c r="P107" s="5"/>
      <c r="Q107" s="215"/>
      <c r="R107" s="214"/>
      <c r="S107" s="5"/>
      <c r="T107" s="5"/>
      <c r="U107" s="215"/>
      <c r="V107" s="214"/>
      <c r="W107" s="5"/>
      <c r="X107" s="5"/>
      <c r="Y107" s="215"/>
      <c r="Z107" s="214"/>
      <c r="AA107" s="5"/>
      <c r="AB107" s="5"/>
      <c r="AC107" s="215"/>
      <c r="AD107" s="214"/>
      <c r="AE107" s="5"/>
      <c r="AF107" s="5"/>
      <c r="AG107" s="215"/>
      <c r="AH107" s="214"/>
      <c r="AI107" s="5"/>
      <c r="AJ107" s="5"/>
      <c r="AK107" s="215"/>
      <c r="AL107" s="214"/>
      <c r="AM107" s="5"/>
      <c r="AN107" s="5"/>
      <c r="AO107" s="5"/>
      <c r="AP107" s="214"/>
      <c r="AQ107" s="5"/>
      <c r="AR107" s="5"/>
      <c r="AS107" s="215"/>
    </row>
    <row r="108" spans="1:47" x14ac:dyDescent="0.25">
      <c r="A108" s="248" t="s">
        <v>378</v>
      </c>
      <c r="B108" s="228"/>
      <c r="C108" s="229"/>
      <c r="D108" s="229"/>
      <c r="E108" s="230"/>
      <c r="F108" s="228"/>
      <c r="G108" s="229"/>
      <c r="H108" s="229"/>
      <c r="I108" s="230"/>
      <c r="J108" s="228"/>
      <c r="K108" s="229"/>
      <c r="L108" s="229"/>
      <c r="M108" s="230"/>
      <c r="N108" s="228"/>
      <c r="O108" s="229"/>
      <c r="P108" s="229"/>
      <c r="Q108" s="230"/>
      <c r="R108" s="228"/>
      <c r="S108" s="229"/>
      <c r="T108" s="229"/>
      <c r="U108" s="230"/>
      <c r="V108" s="228"/>
      <c r="W108" s="229"/>
      <c r="X108" s="229"/>
      <c r="Y108" s="230"/>
      <c r="Z108" s="228"/>
      <c r="AA108" s="229"/>
      <c r="AB108" s="229"/>
      <c r="AC108" s="230"/>
      <c r="AD108" s="228"/>
      <c r="AE108" s="229"/>
      <c r="AF108" s="229"/>
      <c r="AG108" s="230"/>
      <c r="AH108" s="228"/>
      <c r="AI108" s="229"/>
      <c r="AJ108" s="229"/>
      <c r="AK108" s="230"/>
      <c r="AL108" s="228"/>
      <c r="AM108" s="229"/>
      <c r="AN108" s="229"/>
      <c r="AO108" s="229"/>
      <c r="AP108" s="228"/>
      <c r="AQ108" s="229"/>
      <c r="AR108" s="229"/>
      <c r="AS108" s="230"/>
      <c r="AU108" s="168" t="s">
        <v>379</v>
      </c>
    </row>
    <row r="109" spans="1:47" x14ac:dyDescent="0.25">
      <c r="A109" s="243" t="s">
        <v>334</v>
      </c>
      <c r="B109" s="214">
        <f>B104*B115</f>
        <v>1.1411974482223946E-3</v>
      </c>
      <c r="C109" s="5">
        <f t="shared" ref="C109:E109" si="258">C104*C115</f>
        <v>1.6323711587280171E-5</v>
      </c>
      <c r="D109" s="5">
        <f t="shared" si="258"/>
        <v>1.0883502243082974E-2</v>
      </c>
      <c r="E109" s="215">
        <f t="shared" si="258"/>
        <v>7.7263528052370261E-4</v>
      </c>
      <c r="F109" s="214">
        <f>F104*F115</f>
        <v>8.5538440089965334E-2</v>
      </c>
      <c r="G109" s="5">
        <f t="shared" ref="G109:I109" si="259">G104*G115</f>
        <v>9.1798001888856301E-4</v>
      </c>
      <c r="H109" s="5">
        <f t="shared" si="259"/>
        <v>0.54866747294845175</v>
      </c>
      <c r="I109" s="215">
        <f t="shared" si="259"/>
        <v>3.9026901753076326E-2</v>
      </c>
      <c r="J109" s="214">
        <f>J104*J115</f>
        <v>1.7314639852346243</v>
      </c>
      <c r="K109" s="5">
        <f t="shared" ref="K109:M109" si="260">K104*K115</f>
        <v>5.2833773869493154E-4</v>
      </c>
      <c r="L109" s="5">
        <f t="shared" si="260"/>
        <v>0.31680320007919027</v>
      </c>
      <c r="M109" s="215">
        <f t="shared" si="260"/>
        <v>2.253294835865452E-2</v>
      </c>
      <c r="N109" s="214">
        <f>N104*N115</f>
        <v>0.19551307230000001</v>
      </c>
      <c r="O109" s="5">
        <f t="shared" ref="O109:Q109" si="261">O104*O115</f>
        <v>1.4738679192155262E-3</v>
      </c>
      <c r="P109" s="5">
        <f t="shared" si="261"/>
        <v>0.86855725806164397</v>
      </c>
      <c r="Q109" s="215">
        <f t="shared" si="261"/>
        <v>6.1797349561643823E-2</v>
      </c>
      <c r="R109" s="214">
        <f>R104*R115</f>
        <v>0.29278632560958479</v>
      </c>
      <c r="S109" s="5">
        <f t="shared" ref="S109:U109" si="262">S104*S115</f>
        <v>3.2028693472727402E-3</v>
      </c>
      <c r="T109" s="5">
        <f t="shared" si="262"/>
        <v>1.9854099327834689</v>
      </c>
      <c r="U109" s="215">
        <f t="shared" si="262"/>
        <v>0.14112750985481301</v>
      </c>
      <c r="V109" s="214">
        <f>V104*V115</f>
        <v>0</v>
      </c>
      <c r="W109" s="5">
        <f t="shared" ref="W109:Y109" si="263">W104*W115</f>
        <v>0</v>
      </c>
      <c r="X109" s="5">
        <f t="shared" si="263"/>
        <v>0</v>
      </c>
      <c r="Y109" s="215">
        <f t="shared" si="263"/>
        <v>0</v>
      </c>
      <c r="Z109" s="214">
        <f>Z104*Z115</f>
        <v>0</v>
      </c>
      <c r="AA109" s="5">
        <f t="shared" ref="AA109:AC109" si="264">AA104*AA115</f>
        <v>0</v>
      </c>
      <c r="AB109" s="5">
        <f t="shared" si="264"/>
        <v>0</v>
      </c>
      <c r="AC109" s="215">
        <f t="shared" si="264"/>
        <v>0</v>
      </c>
      <c r="AD109" s="214">
        <f>AD104*AD115</f>
        <v>7.6441495565217378E-3</v>
      </c>
      <c r="AE109" s="5">
        <f t="shared" ref="AE109:AG109" si="265">AE104*AE115</f>
        <v>2.9477358384310524E-3</v>
      </c>
      <c r="AF109" s="5">
        <f t="shared" si="265"/>
        <v>0</v>
      </c>
      <c r="AG109" s="215">
        <f t="shared" si="265"/>
        <v>0.13403719063269751</v>
      </c>
      <c r="AH109" s="214">
        <f>AH104*AH115</f>
        <v>1.1973923873730001</v>
      </c>
      <c r="AI109" s="5">
        <f t="shared" ref="AI109:AK109" si="266">AI104*AI115</f>
        <v>1.1157180148461532E-2</v>
      </c>
      <c r="AJ109" s="5">
        <f t="shared" si="266"/>
        <v>6.5749784435266454</v>
      </c>
      <c r="AK109" s="215">
        <f t="shared" si="266"/>
        <v>0.46780593618164396</v>
      </c>
      <c r="AL109" s="214">
        <f>AL104*AL115</f>
        <v>4.8867399083888152E-2</v>
      </c>
      <c r="AM109" s="5">
        <f t="shared" ref="AM109:AO109" si="267">AM104*AM115</f>
        <v>5.9178144456876601E-4</v>
      </c>
      <c r="AN109" s="5">
        <f t="shared" si="267"/>
        <v>0.31643651944367579</v>
      </c>
      <c r="AO109" s="5">
        <f t="shared" si="267"/>
        <v>2.2558228873141892E-2</v>
      </c>
      <c r="AP109" s="214">
        <f>AP104*AP115</f>
        <v>0.65122785000000027</v>
      </c>
      <c r="AQ109" s="5">
        <f t="shared" ref="AQ109:AS109" si="268">AQ104*AQ115</f>
        <v>2.9477358384310524E-3</v>
      </c>
      <c r="AR109" s="5">
        <f t="shared" si="268"/>
        <v>0</v>
      </c>
      <c r="AS109" s="215">
        <f t="shared" si="268"/>
        <v>0.11680131983384891</v>
      </c>
    </row>
    <row r="110" spans="1:47" x14ac:dyDescent="0.25">
      <c r="A110" s="243" t="s">
        <v>335</v>
      </c>
      <c r="B110" s="214">
        <f>B105*B116</f>
        <v>1.311387912179814</v>
      </c>
      <c r="C110" s="5">
        <f t="shared" ref="C110:E110" si="269">C105*C116</f>
        <v>1.875811945672794E-2</v>
      </c>
      <c r="D110" s="5">
        <f t="shared" si="269"/>
        <v>18.992382247833358</v>
      </c>
      <c r="E110" s="215">
        <f t="shared" si="269"/>
        <v>0.88786087716959883</v>
      </c>
      <c r="F110" s="214">
        <f>F105*F116</f>
        <v>1.7012148509961331</v>
      </c>
      <c r="G110" s="5">
        <f t="shared" ref="G110:I110" si="270">G105*G116</f>
        <v>1.8257069446303082E-2</v>
      </c>
      <c r="H110" s="5">
        <f t="shared" si="270"/>
        <v>16.570951287855006</v>
      </c>
      <c r="I110" s="215">
        <f t="shared" si="270"/>
        <v>0.77617904629627565</v>
      </c>
      <c r="J110" s="214">
        <f>J105*J116</f>
        <v>8.6415104298097664E-2</v>
      </c>
      <c r="K110" s="5">
        <f t="shared" ref="K110:M110" si="271">K105*K116</f>
        <v>1.847300484550567E-2</v>
      </c>
      <c r="L110" s="5">
        <f t="shared" si="271"/>
        <v>16.821156753189381</v>
      </c>
      <c r="M110" s="215">
        <f t="shared" si="271"/>
        <v>0.7878507131463921</v>
      </c>
      <c r="N110" s="214">
        <f>N105*N116</f>
        <v>2.3244454745032499</v>
      </c>
      <c r="O110" s="5">
        <f t="shared" ref="O110:Q110" si="272">O105*O116</f>
        <v>1.7522744512853995E-2</v>
      </c>
      <c r="P110" s="5">
        <f t="shared" si="272"/>
        <v>15.681312289253306</v>
      </c>
      <c r="Q110" s="215">
        <f t="shared" si="272"/>
        <v>0.73470570450883543</v>
      </c>
      <c r="R110" s="214">
        <f>R105*R116</f>
        <v>1.2296097647270998</v>
      </c>
      <c r="S110" s="5">
        <f t="shared" ref="S110:U110" si="273">S105*S116</f>
        <v>1.345103606308159E-2</v>
      </c>
      <c r="T110" s="5">
        <f t="shared" si="273"/>
        <v>12.662139424019319</v>
      </c>
      <c r="U110" s="215">
        <f t="shared" si="273"/>
        <v>0.59269080899800519</v>
      </c>
      <c r="V110" s="214">
        <f>V105*V116</f>
        <v>3.8234155350000001</v>
      </c>
      <c r="W110" s="5">
        <f t="shared" ref="W110:Y110" si="274">W105*W116</f>
        <v>1.9469716125393322E-2</v>
      </c>
      <c r="X110" s="5">
        <f t="shared" si="274"/>
        <v>17.386385383430138</v>
      </c>
      <c r="Y110" s="215">
        <f t="shared" si="274"/>
        <v>0.81462573325479426</v>
      </c>
      <c r="Z110" s="214">
        <f>Z105*Z116</f>
        <v>2.3208132297449993</v>
      </c>
      <c r="AA110" s="5">
        <f t="shared" ref="AA110:AC110" si="275">AA105*AA116</f>
        <v>1.9469716125393322E-2</v>
      </c>
      <c r="AB110" s="5">
        <f t="shared" si="275"/>
        <v>26.920950554074643</v>
      </c>
      <c r="AC110" s="215">
        <f t="shared" si="275"/>
        <v>0.69606472101369865</v>
      </c>
      <c r="AD110" s="214">
        <f>AD105*AD116</f>
        <v>0.76184902332293913</v>
      </c>
      <c r="AE110" s="5">
        <f t="shared" ref="AE110:AG110" si="276">AE105*AE116</f>
        <v>1.2265921158997797E-2</v>
      </c>
      <c r="AF110" s="5">
        <f t="shared" si="276"/>
        <v>18.92450465718213</v>
      </c>
      <c r="AG110" s="215">
        <f t="shared" si="276"/>
        <v>0.55774659019286499</v>
      </c>
      <c r="AH110" s="214">
        <f>AH105*AH116</f>
        <v>0.50774767134023246</v>
      </c>
      <c r="AI110" s="5">
        <f t="shared" ref="AI110:AK110" si="277">AI105*AI116</f>
        <v>4.7311410184705778E-3</v>
      </c>
      <c r="AJ110" s="5">
        <f t="shared" si="277"/>
        <v>4.2339543180983936</v>
      </c>
      <c r="AK110" s="215">
        <f t="shared" si="277"/>
        <v>0.19837054021738559</v>
      </c>
      <c r="AL110" s="214">
        <f>AL105*AL116</f>
        <v>0.38139304254785722</v>
      </c>
      <c r="AM110" s="5">
        <f t="shared" ref="AM110:AO110" si="278">AM105*AM116</f>
        <v>4.6186482173933164E-3</v>
      </c>
      <c r="AN110" s="5">
        <f t="shared" si="278"/>
        <v>3.7504253673851049</v>
      </c>
      <c r="AO110" s="5">
        <f t="shared" si="278"/>
        <v>0.17605912542325475</v>
      </c>
      <c r="AP110" s="214">
        <f>AP105*AP116</f>
        <v>2.70984576043125</v>
      </c>
      <c r="AQ110" s="5">
        <f t="shared" ref="AQ110:AS110" si="279">AQ105*AQ116</f>
        <v>1.2265921158997797E-2</v>
      </c>
      <c r="AR110" s="5">
        <f>AR105*AR116</f>
        <v>16.44731668723005</v>
      </c>
      <c r="AS110" s="215">
        <f t="shared" si="279"/>
        <v>0.48602583775329916</v>
      </c>
    </row>
    <row r="111" spans="1:47" x14ac:dyDescent="0.25">
      <c r="A111" s="243" t="s">
        <v>336</v>
      </c>
      <c r="B111" s="214">
        <f>B106*B115</f>
        <v>3.6518318343116626E-2</v>
      </c>
      <c r="C111" s="5">
        <f t="shared" ref="C111:E111" si="280">C106*C115</f>
        <v>5.2235877079296548E-4</v>
      </c>
      <c r="D111" s="5">
        <f t="shared" si="280"/>
        <v>0.34827207177865516</v>
      </c>
      <c r="E111" s="215">
        <f t="shared" si="280"/>
        <v>2.4724328976758483E-2</v>
      </c>
      <c r="F111" s="214">
        <f>F106*F115</f>
        <v>0</v>
      </c>
      <c r="G111" s="5">
        <f t="shared" ref="G111:I111" si="281">G106*G115</f>
        <v>0</v>
      </c>
      <c r="H111" s="5">
        <f t="shared" si="281"/>
        <v>0</v>
      </c>
      <c r="I111" s="215">
        <f t="shared" si="281"/>
        <v>0</v>
      </c>
      <c r="J111" s="214">
        <f>J106*J115</f>
        <v>2.8004471835990898E-2</v>
      </c>
      <c r="K111" s="5">
        <f t="shared" ref="K111:M111" si="282">K106*K115</f>
        <v>2.2617802860518807E-4</v>
      </c>
      <c r="L111" s="5">
        <f t="shared" si="282"/>
        <v>0.13562143682319855</v>
      </c>
      <c r="M111" s="215">
        <f t="shared" si="282"/>
        <v>9.6462120063805327E-3</v>
      </c>
      <c r="N111" s="214">
        <f>N106*N115</f>
        <v>0</v>
      </c>
      <c r="O111" s="5">
        <f t="shared" ref="O111:Q111" si="283">O106*O115</f>
        <v>0</v>
      </c>
      <c r="P111" s="5">
        <f t="shared" si="283"/>
        <v>0</v>
      </c>
      <c r="Q111" s="215">
        <f t="shared" si="283"/>
        <v>0</v>
      </c>
      <c r="R111" s="214">
        <f>R106*R115</f>
        <v>0.12371057198998138</v>
      </c>
      <c r="S111" s="5">
        <f t="shared" ref="S111:U111" si="284">S106*S115</f>
        <v>1.3533036358010766E-3</v>
      </c>
      <c r="T111" s="5">
        <f t="shared" si="284"/>
        <v>0.83889231475499204</v>
      </c>
      <c r="U111" s="215">
        <f t="shared" si="284"/>
        <v>5.9630397462418626E-2</v>
      </c>
      <c r="V111" s="214">
        <f>V106*V115</f>
        <v>0</v>
      </c>
      <c r="W111" s="5">
        <f t="shared" ref="W111:Y111" si="285">W106*W115</f>
        <v>0</v>
      </c>
      <c r="X111" s="5">
        <f t="shared" si="285"/>
        <v>0</v>
      </c>
      <c r="Y111" s="215">
        <f t="shared" si="285"/>
        <v>0</v>
      </c>
      <c r="Z111" s="214">
        <f>Z106*Z115</f>
        <v>0</v>
      </c>
      <c r="AA111" s="5">
        <f t="shared" ref="AA111:AC111" si="286">AA106*AA115</f>
        <v>0</v>
      </c>
      <c r="AB111" s="5">
        <f t="shared" si="286"/>
        <v>0</v>
      </c>
      <c r="AC111" s="215">
        <f t="shared" si="286"/>
        <v>0</v>
      </c>
      <c r="AD111" s="214">
        <f>AD106*AD115</f>
        <v>0.54587417993804344</v>
      </c>
      <c r="AE111" s="5">
        <f t="shared" ref="AE111:AG111" si="287">AE106*AE115</f>
        <v>2.5055754626663947E-3</v>
      </c>
      <c r="AF111" s="5">
        <f t="shared" si="287"/>
        <v>0</v>
      </c>
      <c r="AG111" s="215">
        <f t="shared" si="287"/>
        <v>0.11393161203779291</v>
      </c>
      <c r="AH111" s="214">
        <f>AH106*AH115</f>
        <v>0</v>
      </c>
      <c r="AI111" s="5">
        <f t="shared" ref="AI111:AK111" si="288">AI106*AI115</f>
        <v>0</v>
      </c>
      <c r="AJ111" s="5">
        <f t="shared" si="288"/>
        <v>0</v>
      </c>
      <c r="AK111" s="215">
        <f t="shared" si="288"/>
        <v>0</v>
      </c>
      <c r="AL111" s="214">
        <f>AL106*AL115</f>
        <v>0.87948852177762993</v>
      </c>
      <c r="AM111" s="5">
        <f t="shared" ref="AM111:AO111" si="289">AM106*AM115</f>
        <v>1.0650556355695522E-2</v>
      </c>
      <c r="AN111" s="5">
        <f t="shared" si="289"/>
        <v>5.6950501139671772</v>
      </c>
      <c r="AO111" s="5">
        <f t="shared" si="289"/>
        <v>0.40599057321432669</v>
      </c>
      <c r="AP111" s="214">
        <f>AP106*AP115</f>
        <v>0.55354367250000003</v>
      </c>
      <c r="AQ111" s="5">
        <f t="shared" ref="AQ111:AS111" si="290">AQ106*AQ115</f>
        <v>2.5055754626663947E-3</v>
      </c>
      <c r="AR111" s="5">
        <f t="shared" si="290"/>
        <v>0</v>
      </c>
      <c r="AS111" s="215">
        <f t="shared" si="290"/>
        <v>9.9281121858771582E-2</v>
      </c>
    </row>
    <row r="112" spans="1:47" x14ac:dyDescent="0.25">
      <c r="A112" s="243" t="s">
        <v>339</v>
      </c>
      <c r="B112" s="214"/>
      <c r="C112" s="5"/>
      <c r="D112" s="5"/>
      <c r="E112" s="215">
        <f>SUM(B109:E111)</f>
        <v>21.63323989319224</v>
      </c>
      <c r="F112" s="214"/>
      <c r="G112" s="5"/>
      <c r="H112" s="5"/>
      <c r="I112" s="215">
        <f>SUM(F109:I111)</f>
        <v>19.740753049404098</v>
      </c>
      <c r="J112" s="214"/>
      <c r="K112" s="5"/>
      <c r="L112" s="5"/>
      <c r="M112" s="215">
        <f>SUM(J109:M111)</f>
        <v>19.958722345584718</v>
      </c>
      <c r="N112" s="214"/>
      <c r="O112" s="5"/>
      <c r="P112" s="5"/>
      <c r="Q112" s="215">
        <f>SUM(N109:Q111)</f>
        <v>19.885327760620751</v>
      </c>
      <c r="R112" s="214"/>
      <c r="S112" s="5"/>
      <c r="T112" s="5"/>
      <c r="U112" s="215">
        <f>SUM(R109:U111)</f>
        <v>17.944004259245837</v>
      </c>
      <c r="V112" s="214"/>
      <c r="W112" s="5"/>
      <c r="X112" s="5"/>
      <c r="Y112" s="215">
        <f>SUM(V109:Y111)</f>
        <v>22.043896367810326</v>
      </c>
      <c r="Z112" s="214"/>
      <c r="AA112" s="5"/>
      <c r="AB112" s="5"/>
      <c r="AC112" s="215">
        <f>SUM(Z109:AC111)</f>
        <v>29.957298220958734</v>
      </c>
      <c r="AD112" s="214"/>
      <c r="AE112" s="5"/>
      <c r="AF112" s="5"/>
      <c r="AG112" s="215">
        <f>SUM(AD109:AG111)</f>
        <v>21.063306635323084</v>
      </c>
      <c r="AH112" s="214"/>
      <c r="AI112" s="5"/>
      <c r="AJ112" s="5"/>
      <c r="AK112" s="215">
        <f>SUM(AH109:AK111)</f>
        <v>13.196137617904235</v>
      </c>
      <c r="AL112" s="214"/>
      <c r="AM112" s="5"/>
      <c r="AN112" s="5"/>
      <c r="AO112" s="5">
        <f>SUM(AL109:AO111)</f>
        <v>11.692129877733715</v>
      </c>
      <c r="AP112" s="214"/>
      <c r="AQ112" s="5"/>
      <c r="AR112" s="5"/>
      <c r="AS112" s="215">
        <f>SUM(AP109:AS111)</f>
        <v>21.081761482067318</v>
      </c>
    </row>
    <row r="113" spans="1:50" x14ac:dyDescent="0.25">
      <c r="A113" s="243" t="s">
        <v>380</v>
      </c>
      <c r="B113" s="214"/>
      <c r="C113" s="5"/>
      <c r="D113" s="5"/>
      <c r="E113" s="211">
        <f>E112/Production!B35</f>
        <v>1.2315802084589716E-2</v>
      </c>
      <c r="F113" s="214"/>
      <c r="G113" s="5"/>
      <c r="H113" s="5"/>
      <c r="I113" s="211">
        <f>I112/Production!C35</f>
        <v>1.2499805769774138E-2</v>
      </c>
      <c r="J113" s="214"/>
      <c r="K113" s="5"/>
      <c r="L113" s="5"/>
      <c r="M113" s="211">
        <f>M112/Production!D35</f>
        <v>1.2469586038074545E-2</v>
      </c>
      <c r="N113" s="214"/>
      <c r="O113" s="5"/>
      <c r="P113" s="5"/>
      <c r="Q113" s="211">
        <f>Q112/Production!E35</f>
        <v>1.2663156877156643E-2</v>
      </c>
      <c r="R113" s="214"/>
      <c r="S113" s="5"/>
      <c r="T113" s="5"/>
      <c r="U113" s="211">
        <f>U112/Production!F35</f>
        <v>1.0884090872238517E-2</v>
      </c>
      <c r="V113" s="214"/>
      <c r="W113" s="5"/>
      <c r="X113" s="5"/>
      <c r="Y113" s="211">
        <f>Y112/Production!G35</f>
        <v>1.3993321440061273E-2</v>
      </c>
      <c r="Z113" s="214"/>
      <c r="AA113" s="5"/>
      <c r="AB113" s="5"/>
      <c r="AC113" s="211">
        <f>AC112/Production!H35</f>
        <v>1.7373451643802339E-2</v>
      </c>
      <c r="AD113" s="214"/>
      <c r="AE113" s="5"/>
      <c r="AF113" s="5"/>
      <c r="AG113" s="211">
        <f>AG112/Production!I35</f>
        <v>1.2297103569363161E-2</v>
      </c>
      <c r="AH113" s="214"/>
      <c r="AI113" s="5"/>
      <c r="AJ113" s="5"/>
      <c r="AK113" s="211">
        <f>AK112/Production!J35</f>
        <v>8.4034199908431893E-3</v>
      </c>
      <c r="AL113" s="214"/>
      <c r="AM113" s="5"/>
      <c r="AN113" s="5"/>
      <c r="AO113" s="4">
        <f>AO112/Production!K35</f>
        <v>8.3053945722475226E-3</v>
      </c>
      <c r="AP113" s="214"/>
      <c r="AQ113" s="5"/>
      <c r="AR113" s="5"/>
      <c r="AS113" s="211">
        <f>AS112/Production!L35</f>
        <v>1.4034320306547816E-2</v>
      </c>
    </row>
    <row r="114" spans="1:50" x14ac:dyDescent="0.25">
      <c r="A114" s="237"/>
      <c r="B114" s="197"/>
      <c r="E114" s="198"/>
      <c r="F114" s="197"/>
      <c r="I114" s="198"/>
      <c r="J114" s="197"/>
      <c r="M114" s="198"/>
      <c r="N114" s="197"/>
      <c r="Q114" s="198"/>
      <c r="R114" s="197"/>
      <c r="U114" s="198"/>
      <c r="V114" s="197"/>
      <c r="Y114" s="198"/>
      <c r="Z114" s="197"/>
      <c r="AC114" s="198"/>
      <c r="AD114" s="197"/>
      <c r="AG114" s="198"/>
      <c r="AH114" s="197"/>
      <c r="AK114" s="198"/>
      <c r="AL114" s="197"/>
      <c r="AP114" s="197"/>
      <c r="AS114" s="198"/>
    </row>
    <row r="115" spans="1:50" x14ac:dyDescent="0.25">
      <c r="A115" s="246" t="s">
        <v>381</v>
      </c>
      <c r="B115" s="217">
        <v>0.45</v>
      </c>
      <c r="C115" s="15">
        <v>0.45</v>
      </c>
      <c r="D115" s="15">
        <v>0.45</v>
      </c>
      <c r="E115" s="218">
        <v>0.45</v>
      </c>
      <c r="F115" s="217">
        <v>0.45</v>
      </c>
      <c r="G115" s="15">
        <v>0.45</v>
      </c>
      <c r="H115" s="15">
        <v>0.45</v>
      </c>
      <c r="I115" s="218">
        <v>0.45</v>
      </c>
      <c r="J115" s="217">
        <v>0.45</v>
      </c>
      <c r="K115" s="15">
        <v>0.45</v>
      </c>
      <c r="L115" s="15">
        <v>0.45</v>
      </c>
      <c r="M115" s="218">
        <v>0.45</v>
      </c>
      <c r="N115" s="217">
        <v>0.45</v>
      </c>
      <c r="O115" s="15">
        <v>0.45</v>
      </c>
      <c r="P115" s="15">
        <v>0.45</v>
      </c>
      <c r="Q115" s="218">
        <v>0.45</v>
      </c>
      <c r="R115" s="217">
        <v>0.45</v>
      </c>
      <c r="S115" s="15">
        <v>0.45</v>
      </c>
      <c r="T115" s="15">
        <v>0.45</v>
      </c>
      <c r="U115" s="218">
        <v>0.45</v>
      </c>
      <c r="V115" s="217">
        <v>0.45</v>
      </c>
      <c r="W115" s="15">
        <v>0.45</v>
      </c>
      <c r="X115" s="15">
        <v>0.45</v>
      </c>
      <c r="Y115" s="218">
        <v>0.45</v>
      </c>
      <c r="Z115" s="217">
        <v>0.45</v>
      </c>
      <c r="AA115" s="15">
        <v>0.45</v>
      </c>
      <c r="AB115" s="15">
        <v>0.45</v>
      </c>
      <c r="AC115" s="218">
        <v>0.45</v>
      </c>
      <c r="AD115" s="217">
        <v>0.45</v>
      </c>
      <c r="AE115" s="15">
        <v>0.45</v>
      </c>
      <c r="AF115" s="15">
        <v>0.45</v>
      </c>
      <c r="AG115" s="218">
        <v>0.45</v>
      </c>
      <c r="AH115" s="217">
        <v>0.45</v>
      </c>
      <c r="AI115" s="15">
        <v>0.45</v>
      </c>
      <c r="AJ115" s="15">
        <v>0.45</v>
      </c>
      <c r="AK115" s="218">
        <v>0.45</v>
      </c>
      <c r="AL115" s="217">
        <v>0.45</v>
      </c>
      <c r="AM115" s="15">
        <v>0.45</v>
      </c>
      <c r="AN115" s="15">
        <v>0.45</v>
      </c>
      <c r="AO115" s="15">
        <v>0.45</v>
      </c>
      <c r="AP115" s="217">
        <v>0.45</v>
      </c>
      <c r="AQ115" s="15">
        <v>0.45</v>
      </c>
      <c r="AR115" s="15">
        <v>0.45</v>
      </c>
      <c r="AS115" s="218">
        <v>0.45</v>
      </c>
      <c r="AU115" s="180" t="s">
        <v>346</v>
      </c>
    </row>
    <row r="116" spans="1:50" x14ac:dyDescent="0.25">
      <c r="A116" s="246" t="s">
        <v>382</v>
      </c>
      <c r="B116" s="217">
        <v>0.28999999999999998</v>
      </c>
      <c r="C116" s="15">
        <v>0.28999999999999998</v>
      </c>
      <c r="D116" s="15">
        <v>0.4</v>
      </c>
      <c r="E116" s="218">
        <v>0.28999999999999998</v>
      </c>
      <c r="F116" s="217">
        <v>0.28999999999999998</v>
      </c>
      <c r="G116" s="15">
        <v>0.28999999999999998</v>
      </c>
      <c r="H116" s="15">
        <v>0.4</v>
      </c>
      <c r="I116" s="218">
        <v>0.28999999999999998</v>
      </c>
      <c r="J116" s="217">
        <v>0.28999999999999998</v>
      </c>
      <c r="K116" s="15">
        <v>0.28999999999999998</v>
      </c>
      <c r="L116" s="15">
        <v>0.4</v>
      </c>
      <c r="M116" s="218">
        <v>0.28999999999999998</v>
      </c>
      <c r="N116" s="217">
        <v>0.28999999999999998</v>
      </c>
      <c r="O116" s="15">
        <v>0.28999999999999998</v>
      </c>
      <c r="P116" s="15">
        <v>0.4</v>
      </c>
      <c r="Q116" s="218">
        <v>0.28999999999999998</v>
      </c>
      <c r="R116" s="217">
        <v>0.28999999999999998</v>
      </c>
      <c r="S116" s="15">
        <v>0.28999999999999998</v>
      </c>
      <c r="T116" s="15">
        <v>0.4</v>
      </c>
      <c r="U116" s="218">
        <v>0.28999999999999998</v>
      </c>
      <c r="V116" s="217">
        <v>0.28999999999999998</v>
      </c>
      <c r="W116" s="15">
        <v>0.28999999999999998</v>
      </c>
      <c r="X116" s="15">
        <v>0.4</v>
      </c>
      <c r="Y116" s="218">
        <v>0.28999999999999998</v>
      </c>
      <c r="Z116" s="217">
        <v>0.28999999999999998</v>
      </c>
      <c r="AA116" s="15">
        <v>0.28999999999999998</v>
      </c>
      <c r="AB116" s="15">
        <v>0.4</v>
      </c>
      <c r="AC116" s="218">
        <v>0.28999999999999998</v>
      </c>
      <c r="AD116" s="217">
        <v>0.28999999999999998</v>
      </c>
      <c r="AE116" s="15">
        <v>0.28999999999999998</v>
      </c>
      <c r="AF116" s="15">
        <v>0.4</v>
      </c>
      <c r="AG116" s="218">
        <v>0.28999999999999998</v>
      </c>
      <c r="AH116" s="217">
        <v>0.28999999999999998</v>
      </c>
      <c r="AI116" s="15">
        <v>0.28999999999999998</v>
      </c>
      <c r="AJ116" s="15">
        <v>0.4</v>
      </c>
      <c r="AK116" s="218">
        <v>0.28999999999999998</v>
      </c>
      <c r="AL116" s="217">
        <v>0.28999999999999998</v>
      </c>
      <c r="AM116" s="15">
        <v>0.28999999999999998</v>
      </c>
      <c r="AN116" s="15">
        <v>0.4</v>
      </c>
      <c r="AO116" s="15">
        <v>0.28999999999999998</v>
      </c>
      <c r="AP116" s="217">
        <v>0.28999999999999998</v>
      </c>
      <c r="AQ116" s="15">
        <v>0.28999999999999998</v>
      </c>
      <c r="AR116" s="15">
        <v>0.4</v>
      </c>
      <c r="AS116" s="218">
        <v>0.28999999999999998</v>
      </c>
      <c r="AU116" s="176" t="s">
        <v>346</v>
      </c>
      <c r="AX116" t="s">
        <v>518</v>
      </c>
    </row>
    <row r="117" spans="1:50" x14ac:dyDescent="0.25">
      <c r="A117" s="243" t="s">
        <v>383</v>
      </c>
      <c r="B117" s="203">
        <v>0.01</v>
      </c>
      <c r="E117" s="198"/>
      <c r="F117" s="203">
        <v>0.01</v>
      </c>
      <c r="I117" s="198"/>
      <c r="J117" s="203">
        <v>0.01</v>
      </c>
      <c r="M117" s="198"/>
      <c r="N117" s="203">
        <v>0.01</v>
      </c>
      <c r="Q117" s="198"/>
      <c r="R117" s="203">
        <v>0.01</v>
      </c>
      <c r="U117" s="198"/>
      <c r="V117" s="203">
        <v>0.01</v>
      </c>
      <c r="Y117" s="198"/>
      <c r="Z117" s="203">
        <v>0.01</v>
      </c>
      <c r="AC117" s="198"/>
      <c r="AD117" s="203">
        <v>0.01</v>
      </c>
      <c r="AG117" s="198"/>
      <c r="AH117" s="203">
        <v>0.01</v>
      </c>
      <c r="AK117" s="198"/>
      <c r="AL117" s="203">
        <v>0.01</v>
      </c>
      <c r="AP117" s="203">
        <v>0.01</v>
      </c>
      <c r="AS117" s="198"/>
      <c r="AU117" s="180" t="s">
        <v>384</v>
      </c>
    </row>
    <row r="118" spans="1:50" x14ac:dyDescent="0.25">
      <c r="A118" s="237"/>
      <c r="B118" s="197"/>
      <c r="E118" s="198"/>
      <c r="F118" s="197"/>
      <c r="I118" s="198"/>
      <c r="J118" s="197"/>
      <c r="M118" s="198"/>
      <c r="N118" s="197"/>
      <c r="Q118" s="198"/>
      <c r="R118" s="197"/>
      <c r="U118" s="198"/>
      <c r="V118" s="197"/>
      <c r="Y118" s="198"/>
      <c r="Z118" s="197"/>
      <c r="AC118" s="198"/>
      <c r="AD118" s="197"/>
      <c r="AG118" s="198"/>
      <c r="AH118" s="197"/>
      <c r="AK118" s="198"/>
      <c r="AL118" s="197"/>
      <c r="AP118" s="197"/>
      <c r="AS118" s="198"/>
    </row>
    <row r="119" spans="1:50" x14ac:dyDescent="0.25">
      <c r="A119" s="245" t="s">
        <v>385</v>
      </c>
      <c r="B119" s="205"/>
      <c r="C119" s="114"/>
      <c r="D119" s="114"/>
      <c r="E119" s="206"/>
      <c r="F119" s="205"/>
      <c r="G119" s="114"/>
      <c r="H119" s="114"/>
      <c r="I119" s="206"/>
      <c r="J119" s="205"/>
      <c r="K119" s="114"/>
      <c r="L119" s="114"/>
      <c r="M119" s="206"/>
      <c r="N119" s="205"/>
      <c r="O119" s="114"/>
      <c r="P119" s="114"/>
      <c r="Q119" s="206"/>
      <c r="R119" s="205"/>
      <c r="S119" s="114"/>
      <c r="T119" s="114"/>
      <c r="U119" s="206"/>
      <c r="V119" s="205"/>
      <c r="W119" s="114"/>
      <c r="X119" s="114"/>
      <c r="Y119" s="206"/>
      <c r="Z119" s="205"/>
      <c r="AA119" s="114"/>
      <c r="AB119" s="114"/>
      <c r="AC119" s="206"/>
      <c r="AD119" s="205"/>
      <c r="AE119" s="114"/>
      <c r="AF119" s="114"/>
      <c r="AG119" s="206"/>
      <c r="AH119" s="205"/>
      <c r="AI119" s="114"/>
      <c r="AJ119" s="114"/>
      <c r="AK119" s="206"/>
      <c r="AL119" s="205"/>
      <c r="AM119" s="114"/>
      <c r="AN119" s="114"/>
      <c r="AO119" s="114"/>
      <c r="AP119" s="205"/>
      <c r="AQ119" s="114"/>
      <c r="AR119" s="114"/>
      <c r="AS119" s="206"/>
    </row>
    <row r="120" spans="1:50" x14ac:dyDescent="0.25">
      <c r="A120" s="243" t="s">
        <v>334</v>
      </c>
      <c r="B120" s="214">
        <f>B104-B109</f>
        <v>1.3947968811607045E-3</v>
      </c>
      <c r="C120" s="5">
        <f t="shared" ref="C120:E120" si="291">C104-C109</f>
        <v>1.9951203051120205E-5</v>
      </c>
      <c r="D120" s="5">
        <f t="shared" si="291"/>
        <v>1.3302058297101411E-2</v>
      </c>
      <c r="E120" s="215">
        <f t="shared" si="291"/>
        <v>9.4433200952896983E-4</v>
      </c>
      <c r="F120" s="214">
        <f>F104-F109</f>
        <v>0.10454698233217985</v>
      </c>
      <c r="G120" s="5">
        <f t="shared" ref="G120:I120" si="292">G104-G109</f>
        <v>1.1219755786415768E-3</v>
      </c>
      <c r="H120" s="5">
        <f t="shared" si="292"/>
        <v>0.6705935780481076</v>
      </c>
      <c r="I120" s="215">
        <f t="shared" si="292"/>
        <v>4.7699546587093286E-2</v>
      </c>
      <c r="J120" s="214">
        <f>J104-J109</f>
        <v>2.1162337597312075</v>
      </c>
      <c r="K120" s="5">
        <f t="shared" ref="K120:M120" si="293">K104-K109</f>
        <v>6.4574612507158297E-4</v>
      </c>
      <c r="L120" s="5">
        <f t="shared" si="293"/>
        <v>0.38720391120789921</v>
      </c>
      <c r="M120" s="215">
        <f t="shared" si="293"/>
        <v>2.7540270216133297E-2</v>
      </c>
      <c r="N120" s="214">
        <f>N104-N109</f>
        <v>0.23896042170000001</v>
      </c>
      <c r="O120" s="5">
        <f t="shared" ref="O120:Q120" si="294">O104-O109</f>
        <v>1.8013941234856429E-3</v>
      </c>
      <c r="P120" s="5">
        <f t="shared" si="294"/>
        <v>1.0615699820753428</v>
      </c>
      <c r="Q120" s="215">
        <f t="shared" si="294"/>
        <v>7.5530093908675794E-2</v>
      </c>
      <c r="R120" s="214">
        <f>R104-R109</f>
        <v>0.35784995352282584</v>
      </c>
      <c r="S120" s="5">
        <f t="shared" ref="S120:U120" si="295">S104-S109</f>
        <v>3.9146180911111272E-3</v>
      </c>
      <c r="T120" s="5">
        <f t="shared" si="295"/>
        <v>2.4266121400686842</v>
      </c>
      <c r="U120" s="215">
        <f t="shared" si="295"/>
        <v>0.17248917871143812</v>
      </c>
      <c r="V120" s="214">
        <f>V104-V109</f>
        <v>0</v>
      </c>
      <c r="W120" s="5">
        <f t="shared" ref="W120:Y120" si="296">W104-W109</f>
        <v>0</v>
      </c>
      <c r="X120" s="5">
        <f t="shared" si="296"/>
        <v>0</v>
      </c>
      <c r="Y120" s="215">
        <f t="shared" si="296"/>
        <v>0</v>
      </c>
      <c r="Z120" s="214">
        <f>Z104-Z109</f>
        <v>0</v>
      </c>
      <c r="AA120" s="5">
        <f t="shared" ref="AA120:AC120" si="297">AA104-AA109</f>
        <v>0</v>
      </c>
      <c r="AB120" s="5">
        <f t="shared" si="297"/>
        <v>0</v>
      </c>
      <c r="AC120" s="215">
        <f t="shared" si="297"/>
        <v>0</v>
      </c>
      <c r="AD120" s="214">
        <f>AD104-AD109</f>
        <v>9.3428494579710121E-3</v>
      </c>
      <c r="AE120" s="5">
        <f t="shared" ref="AE120:AG120" si="298">AE104-AE109</f>
        <v>3.6027882469712859E-3</v>
      </c>
      <c r="AF120" s="5">
        <f t="shared" si="298"/>
        <v>0</v>
      </c>
      <c r="AG120" s="215">
        <f t="shared" si="298"/>
        <v>0.16382323299551918</v>
      </c>
      <c r="AH120" s="214">
        <f>AH104-AH109</f>
        <v>1.4634795845670001</v>
      </c>
      <c r="AI120" s="5">
        <f t="shared" ref="AI120:AK120" si="299">AI104-AI109</f>
        <v>1.3636553514786315E-2</v>
      </c>
      <c r="AJ120" s="5">
        <f t="shared" si="299"/>
        <v>8.0360847643103455</v>
      </c>
      <c r="AK120" s="215">
        <f t="shared" si="299"/>
        <v>0.57176281088867587</v>
      </c>
      <c r="AL120" s="214">
        <f>AL104-AL109</f>
        <v>5.9726821102529956E-2</v>
      </c>
      <c r="AM120" s="5">
        <f t="shared" ref="AM120:AO120" si="300">AM104-AM109</f>
        <v>7.2328843225071395E-4</v>
      </c>
      <c r="AN120" s="5">
        <f t="shared" si="300"/>
        <v>0.38675574598671481</v>
      </c>
      <c r="AO120" s="5">
        <f t="shared" si="300"/>
        <v>2.757116862272898E-2</v>
      </c>
      <c r="AP120" s="214">
        <f>AP104-AP109</f>
        <v>0.79594515000000021</v>
      </c>
      <c r="AQ120" s="5">
        <f t="shared" ref="AQ120:AS120" si="301">AQ104-AQ109</f>
        <v>3.6027882469712859E-3</v>
      </c>
      <c r="AR120" s="5">
        <f t="shared" si="301"/>
        <v>0</v>
      </c>
      <c r="AS120" s="215">
        <f t="shared" si="301"/>
        <v>0.14275716868581534</v>
      </c>
    </row>
    <row r="121" spans="1:50" x14ac:dyDescent="0.25">
      <c r="A121" s="243" t="s">
        <v>335</v>
      </c>
      <c r="B121" s="214">
        <f t="shared" ref="B121:E121" si="302">B105-B110</f>
        <v>3.2106393711988552</v>
      </c>
      <c r="C121" s="5">
        <f t="shared" si="302"/>
        <v>4.5925051083713239E-2</v>
      </c>
      <c r="D121" s="5">
        <f t="shared" si="302"/>
        <v>28.488573371750039</v>
      </c>
      <c r="E121" s="215">
        <f t="shared" si="302"/>
        <v>2.1737283544497075</v>
      </c>
      <c r="F121" s="214">
        <f t="shared" ref="F121:I121" si="303">F105-F110</f>
        <v>4.1650432558870847</v>
      </c>
      <c r="G121" s="5">
        <f t="shared" si="303"/>
        <v>4.4698342437500663E-2</v>
      </c>
      <c r="H121" s="5">
        <f t="shared" si="303"/>
        <v>24.856426931782512</v>
      </c>
      <c r="I121" s="215">
        <f t="shared" si="303"/>
        <v>1.900300423690882</v>
      </c>
      <c r="J121" s="214">
        <f t="shared" ref="J121:M121" si="304">J105-J110</f>
        <v>0.21156801397120462</v>
      </c>
      <c r="K121" s="5">
        <f t="shared" si="304"/>
        <v>4.5227011863134575E-2</v>
      </c>
      <c r="L121" s="5">
        <f t="shared" si="304"/>
        <v>25.231735129784067</v>
      </c>
      <c r="M121" s="215">
        <f t="shared" si="304"/>
        <v>1.9288758839101325</v>
      </c>
      <c r="N121" s="214">
        <f t="shared" ref="N121:AO121" si="305">N105-N110</f>
        <v>5.6908837479217507</v>
      </c>
      <c r="O121" s="5">
        <f t="shared" si="305"/>
        <v>4.2900512428021856E-2</v>
      </c>
      <c r="P121" s="5">
        <f t="shared" si="305"/>
        <v>23.521968433879955</v>
      </c>
      <c r="Q121" s="215">
        <f t="shared" si="305"/>
        <v>1.7987622420733558</v>
      </c>
      <c r="R121" s="214">
        <f t="shared" si="305"/>
        <v>3.0104239067456589</v>
      </c>
      <c r="S121" s="5">
        <f t="shared" si="305"/>
        <v>3.2931846913061828E-2</v>
      </c>
      <c r="T121" s="5">
        <f t="shared" si="305"/>
        <v>18.993209136028977</v>
      </c>
      <c r="U121" s="215">
        <f t="shared" si="305"/>
        <v>1.4510706013399437</v>
      </c>
      <c r="V121" s="214">
        <f t="shared" si="305"/>
        <v>9.3607759650000002</v>
      </c>
      <c r="W121" s="5">
        <f t="shared" si="305"/>
        <v>4.7667236031135388E-2</v>
      </c>
      <c r="X121" s="5">
        <f t="shared" si="305"/>
        <v>26.079578075145207</v>
      </c>
      <c r="Y121" s="215">
        <f t="shared" si="305"/>
        <v>1.9944285193479447</v>
      </c>
      <c r="Z121" s="214">
        <f t="shared" si="305"/>
        <v>5.6819910107549987</v>
      </c>
      <c r="AA121" s="5">
        <f t="shared" si="305"/>
        <v>4.7667236031135388E-2</v>
      </c>
      <c r="AB121" s="5">
        <f t="shared" si="305"/>
        <v>40.381425831111962</v>
      </c>
      <c r="AC121" s="215">
        <f t="shared" si="305"/>
        <v>1.704158454895607</v>
      </c>
      <c r="AD121" s="214">
        <f t="shared" si="305"/>
        <v>1.8652165743423683</v>
      </c>
      <c r="AE121" s="5">
        <f t="shared" si="305"/>
        <v>3.00303586996153E-2</v>
      </c>
      <c r="AF121" s="5">
        <f t="shared" si="305"/>
        <v>28.386756985773193</v>
      </c>
      <c r="AG121" s="215">
        <f t="shared" si="305"/>
        <v>1.3655175139204627</v>
      </c>
      <c r="AH121" s="214">
        <f t="shared" si="305"/>
        <v>1.2431063677640175</v>
      </c>
      <c r="AI121" s="5">
        <f t="shared" si="305"/>
        <v>1.1583138355565899E-2</v>
      </c>
      <c r="AJ121" s="5">
        <f t="shared" si="305"/>
        <v>6.3509314771475891</v>
      </c>
      <c r="AK121" s="215">
        <f t="shared" si="305"/>
        <v>0.48566580535980614</v>
      </c>
      <c r="AL121" s="214">
        <f t="shared" si="305"/>
        <v>0.93375538003096092</v>
      </c>
      <c r="AM121" s="5">
        <f t="shared" si="305"/>
        <v>1.1307724946031912E-2</v>
      </c>
      <c r="AN121" s="5">
        <f t="shared" si="305"/>
        <v>5.6256380510776562</v>
      </c>
      <c r="AO121" s="5">
        <f t="shared" si="305"/>
        <v>0.43104130707072719</v>
      </c>
      <c r="AP121" s="214">
        <f t="shared" ref="AP121:AS121" si="306">AP105-AP110</f>
        <v>6.6344499651937507</v>
      </c>
      <c r="AQ121" s="5">
        <f t="shared" si="306"/>
        <v>3.00303586996153E-2</v>
      </c>
      <c r="AR121" s="5">
        <f>AR105-AR110</f>
        <v>24.670975030845071</v>
      </c>
      <c r="AS121" s="215">
        <f t="shared" si="306"/>
        <v>1.1899253269132499</v>
      </c>
    </row>
    <row r="122" spans="1:50" x14ac:dyDescent="0.25">
      <c r="A122" s="243" t="s">
        <v>336</v>
      </c>
      <c r="B122" s="214">
        <f t="shared" ref="B122:E122" si="307">B106-B111</f>
        <v>4.4633500197142545E-2</v>
      </c>
      <c r="C122" s="5">
        <f t="shared" si="307"/>
        <v>6.3843849763584655E-4</v>
      </c>
      <c r="D122" s="5">
        <f t="shared" si="307"/>
        <v>0.42566586550724517</v>
      </c>
      <c r="E122" s="215">
        <f t="shared" si="307"/>
        <v>3.0218624304927034E-2</v>
      </c>
      <c r="F122" s="214">
        <f t="shared" ref="F122:I122" si="308">F106-F111</f>
        <v>0</v>
      </c>
      <c r="G122" s="5">
        <f t="shared" si="308"/>
        <v>0</v>
      </c>
      <c r="H122" s="5">
        <f t="shared" si="308"/>
        <v>0</v>
      </c>
      <c r="I122" s="215">
        <f t="shared" si="308"/>
        <v>0</v>
      </c>
      <c r="J122" s="214">
        <f t="shared" ref="J122:M122" si="309">J106-J111</f>
        <v>3.422768779954443E-2</v>
      </c>
      <c r="K122" s="5">
        <f t="shared" si="309"/>
        <v>2.7643981273967435E-4</v>
      </c>
      <c r="L122" s="5">
        <f t="shared" si="309"/>
        <v>0.16575953389502046</v>
      </c>
      <c r="M122" s="215">
        <f t="shared" si="309"/>
        <v>1.1789814674465094E-2</v>
      </c>
      <c r="N122" s="214">
        <f t="shared" ref="N122:AO122" si="310">N106-N111</f>
        <v>0</v>
      </c>
      <c r="O122" s="5">
        <f t="shared" si="310"/>
        <v>0</v>
      </c>
      <c r="P122" s="5">
        <f t="shared" si="310"/>
        <v>0</v>
      </c>
      <c r="Q122" s="215">
        <f t="shared" si="310"/>
        <v>0</v>
      </c>
      <c r="R122" s="214">
        <f t="shared" si="310"/>
        <v>0.15120181020997725</v>
      </c>
      <c r="S122" s="5">
        <f t="shared" si="310"/>
        <v>1.6540377770902046E-3</v>
      </c>
      <c r="T122" s="5">
        <f t="shared" si="310"/>
        <v>1.0253128291449902</v>
      </c>
      <c r="U122" s="215">
        <f t="shared" si="310"/>
        <v>7.2881596898511647E-2</v>
      </c>
      <c r="V122" s="214">
        <f t="shared" si="310"/>
        <v>0</v>
      </c>
      <c r="W122" s="5">
        <f t="shared" si="310"/>
        <v>0</v>
      </c>
      <c r="X122" s="5">
        <f t="shared" si="310"/>
        <v>0</v>
      </c>
      <c r="Y122" s="215">
        <f t="shared" si="310"/>
        <v>0</v>
      </c>
      <c r="Z122" s="214">
        <f t="shared" si="310"/>
        <v>0</v>
      </c>
      <c r="AA122" s="5">
        <f t="shared" si="310"/>
        <v>0</v>
      </c>
      <c r="AB122" s="5">
        <f t="shared" si="310"/>
        <v>0</v>
      </c>
      <c r="AC122" s="215">
        <f t="shared" si="310"/>
        <v>0</v>
      </c>
      <c r="AD122" s="214">
        <f t="shared" si="310"/>
        <v>0.66717955325760869</v>
      </c>
      <c r="AE122" s="5">
        <f t="shared" si="310"/>
        <v>3.0623700099255938E-3</v>
      </c>
      <c r="AF122" s="5">
        <f t="shared" si="310"/>
        <v>0</v>
      </c>
      <c r="AG122" s="215">
        <f t="shared" si="310"/>
        <v>0.13924974804619134</v>
      </c>
      <c r="AH122" s="214">
        <f t="shared" si="310"/>
        <v>0</v>
      </c>
      <c r="AI122" s="5">
        <f t="shared" si="310"/>
        <v>0</v>
      </c>
      <c r="AJ122" s="5">
        <f t="shared" si="310"/>
        <v>0</v>
      </c>
      <c r="AK122" s="215">
        <f t="shared" si="310"/>
        <v>0</v>
      </c>
      <c r="AL122" s="214">
        <f t="shared" si="310"/>
        <v>1.074930415505992</v>
      </c>
      <c r="AM122" s="5">
        <f t="shared" si="310"/>
        <v>1.3017346656961191E-2</v>
      </c>
      <c r="AN122" s="5">
        <f t="shared" si="310"/>
        <v>6.9606168059598836</v>
      </c>
      <c r="AO122" s="5">
        <f t="shared" si="310"/>
        <v>0.4962107005952881</v>
      </c>
      <c r="AP122" s="214">
        <f t="shared" ref="AP122:AS122" si="311">AP106-AP111</f>
        <v>0.67655337749999989</v>
      </c>
      <c r="AQ122" s="5">
        <f t="shared" si="311"/>
        <v>3.0623700099255938E-3</v>
      </c>
      <c r="AR122" s="5">
        <f t="shared" si="311"/>
        <v>0</v>
      </c>
      <c r="AS122" s="215">
        <f t="shared" si="311"/>
        <v>0.12134359338294304</v>
      </c>
    </row>
    <row r="123" spans="1:50" x14ac:dyDescent="0.25">
      <c r="A123" s="237"/>
      <c r="B123" s="214"/>
      <c r="C123" s="5"/>
      <c r="D123" s="5"/>
      <c r="E123" s="215"/>
      <c r="F123" s="214"/>
      <c r="G123" s="5"/>
      <c r="H123" s="5"/>
      <c r="I123" s="215"/>
      <c r="J123" s="214"/>
      <c r="K123" s="5"/>
      <c r="L123" s="5"/>
      <c r="M123" s="215"/>
      <c r="N123" s="214"/>
      <c r="O123" s="5"/>
      <c r="P123" s="5"/>
      <c r="Q123" s="215"/>
      <c r="R123" s="214"/>
      <c r="S123" s="5"/>
      <c r="T123" s="5"/>
      <c r="U123" s="215"/>
      <c r="V123" s="214"/>
      <c r="W123" s="5"/>
      <c r="X123" s="5"/>
      <c r="Y123" s="215"/>
      <c r="Z123" s="214"/>
      <c r="AA123" s="5"/>
      <c r="AB123" s="5"/>
      <c r="AC123" s="215"/>
      <c r="AD123" s="214"/>
      <c r="AE123" s="5"/>
      <c r="AF123" s="5"/>
      <c r="AG123" s="215"/>
      <c r="AH123" s="214"/>
      <c r="AI123" s="5"/>
      <c r="AJ123" s="5"/>
      <c r="AK123" s="215"/>
      <c r="AL123" s="214"/>
      <c r="AM123" s="5"/>
      <c r="AN123" s="5"/>
      <c r="AO123" s="5"/>
      <c r="AP123" s="214"/>
      <c r="AQ123" s="5"/>
      <c r="AR123" s="5"/>
      <c r="AS123" s="215"/>
    </row>
    <row r="124" spans="1:50" x14ac:dyDescent="0.25">
      <c r="A124" s="245" t="s">
        <v>386</v>
      </c>
      <c r="B124" s="228"/>
      <c r="C124" s="229"/>
      <c r="D124" s="229"/>
      <c r="E124" s="230"/>
      <c r="F124" s="228"/>
      <c r="G124" s="229"/>
      <c r="H124" s="229"/>
      <c r="I124" s="230"/>
      <c r="J124" s="228"/>
      <c r="K124" s="229"/>
      <c r="L124" s="229"/>
      <c r="M124" s="230"/>
      <c r="N124" s="228"/>
      <c r="O124" s="229"/>
      <c r="P124" s="229"/>
      <c r="Q124" s="230"/>
      <c r="R124" s="228"/>
      <c r="S124" s="229"/>
      <c r="T124" s="229"/>
      <c r="U124" s="230"/>
      <c r="V124" s="228"/>
      <c r="W124" s="229"/>
      <c r="X124" s="229"/>
      <c r="Y124" s="230"/>
      <c r="Z124" s="228"/>
      <c r="AA124" s="229"/>
      <c r="AB124" s="229"/>
      <c r="AC124" s="230"/>
      <c r="AD124" s="228"/>
      <c r="AE124" s="229"/>
      <c r="AF124" s="229"/>
      <c r="AG124" s="230"/>
      <c r="AH124" s="228"/>
      <c r="AI124" s="229"/>
      <c r="AJ124" s="229"/>
      <c r="AK124" s="230"/>
      <c r="AL124" s="228"/>
      <c r="AM124" s="229"/>
      <c r="AN124" s="229"/>
      <c r="AO124" s="229"/>
      <c r="AP124" s="228"/>
      <c r="AQ124" s="229"/>
      <c r="AR124" s="229"/>
      <c r="AS124" s="230"/>
    </row>
    <row r="125" spans="1:50" x14ac:dyDescent="0.25">
      <c r="A125" s="243" t="s">
        <v>334</v>
      </c>
      <c r="B125" s="214">
        <f>B50+B74+B84+B94+B109</f>
        <v>7.1611893853139891E-3</v>
      </c>
      <c r="C125" s="5">
        <f t="shared" ref="C125:E125" si="312">C50+C74+C84+C94+C109</f>
        <v>1.0243379910272719E-4</v>
      </c>
      <c r="D125" s="5">
        <f t="shared" si="312"/>
        <v>6.7235938839709714E-2</v>
      </c>
      <c r="E125" s="215">
        <f t="shared" si="312"/>
        <v>4.8484051363977248E-3</v>
      </c>
      <c r="F125" s="214">
        <f>F50+F74+F84+F94+F109</f>
        <v>0.53676685849826944</v>
      </c>
      <c r="G125" s="5">
        <f t="shared" ref="G125:I125" si="313">G50+G74+G84+G94+G109</f>
        <v>5.7604657085721205E-3</v>
      </c>
      <c r="H125" s="5">
        <f t="shared" si="313"/>
        <v>3.3895497819137956</v>
      </c>
      <c r="I125" s="215">
        <f t="shared" si="313"/>
        <v>0.24489980678729806</v>
      </c>
      <c r="J125" s="214">
        <f>J50+J74+J84+J94+J109</f>
        <v>10.865202626793192</v>
      </c>
      <c r="K125" s="5">
        <f t="shared" ref="K125:M125" si="314">K50+K74+K84+K94+K109</f>
        <v>3.3154005138167921E-3</v>
      </c>
      <c r="L125" s="5">
        <f t="shared" si="314"/>
        <v>1.9571421137241334</v>
      </c>
      <c r="M125" s="215">
        <f t="shared" si="314"/>
        <v>0.14139771417923719</v>
      </c>
      <c r="N125" s="214">
        <f>N50+N74+N84+N94+N109</f>
        <v>1.2268745783000001</v>
      </c>
      <c r="O125" s="5">
        <f t="shared" ref="O125:Q125" si="315">O50+O74+O84+O94+O109</f>
        <v>9.2487477209852384E-3</v>
      </c>
      <c r="P125" s="5">
        <f t="shared" si="315"/>
        <v>5.3657601549109586</v>
      </c>
      <c r="Q125" s="215">
        <f t="shared" si="315"/>
        <v>0.3877878665175038</v>
      </c>
      <c r="R125" s="214">
        <f>R50+R74+R84+R94+R109</f>
        <v>1.8372791933476555</v>
      </c>
      <c r="S125" s="5">
        <f t="shared" ref="S125:U125" si="316">S50+S74+S84+S94+S109</f>
        <v>2.0098497423004479E-2</v>
      </c>
      <c r="T125" s="5">
        <f t="shared" si="316"/>
        <v>12.265436054577178</v>
      </c>
      <c r="U125" s="215">
        <f t="shared" si="316"/>
        <v>0.88559681510182475</v>
      </c>
      <c r="V125" s="214">
        <f>V50+V74+V84+V94+V109</f>
        <v>0</v>
      </c>
      <c r="W125" s="5">
        <f t="shared" ref="W125:Y125" si="317">W50+W74+W84+W94+W109</f>
        <v>0</v>
      </c>
      <c r="X125" s="5">
        <f t="shared" si="317"/>
        <v>0</v>
      </c>
      <c r="Y125" s="215">
        <f t="shared" si="317"/>
        <v>0</v>
      </c>
      <c r="Z125" s="214">
        <f>Z50+Z74+Z84+Z94+Z109</f>
        <v>0</v>
      </c>
      <c r="AA125" s="5">
        <f t="shared" ref="AA125:AC125" si="318">AA50+AA74+AA84+AA94+AA109</f>
        <v>0</v>
      </c>
      <c r="AB125" s="5">
        <f t="shared" si="318"/>
        <v>0</v>
      </c>
      <c r="AC125" s="215">
        <f t="shared" si="318"/>
        <v>0</v>
      </c>
      <c r="AD125" s="214">
        <f>AD50+AD74+AD84+AD94+AD109</f>
        <v>4.7968213343961341E-2</v>
      </c>
      <c r="AE125" s="5">
        <f t="shared" ref="AE125:AG125" si="319">AE50+AE74+AE84+AE94+AE109</f>
        <v>1.8497495441970477E-2</v>
      </c>
      <c r="AF125" s="5">
        <f t="shared" si="319"/>
        <v>0</v>
      </c>
      <c r="AG125" s="215">
        <f t="shared" si="319"/>
        <v>0.8411039722278838</v>
      </c>
      <c r="AH125" s="214">
        <f>AH50+AH74+AH84+AH94+AH109</f>
        <v>7.5138212654330001</v>
      </c>
      <c r="AI125" s="5">
        <f t="shared" ref="AI125:AK125" si="320">AI50+AI74+AI84+AI94+AI109</f>
        <v>7.0013020247858257E-2</v>
      </c>
      <c r="AJ125" s="5">
        <f t="shared" si="320"/>
        <v>40.618804372675967</v>
      </c>
      <c r="AK125" s="215">
        <f t="shared" si="320"/>
        <v>2.9355541495375035</v>
      </c>
      <c r="AL125" s="214">
        <f>AL50+AL74+AL84+AL94+AL109</f>
        <v>0.30665043998525043</v>
      </c>
      <c r="AM125" s="5">
        <f t="shared" ref="AM125:AO125" si="321">AM50+AM74+AM84+AM94+AM109</f>
        <v>3.7135195192320109E-3</v>
      </c>
      <c r="AN125" s="5">
        <f t="shared" si="321"/>
        <v>1.9548768395290719</v>
      </c>
      <c r="AO125" s="5">
        <f t="shared" si="321"/>
        <v>0.14155635329316463</v>
      </c>
      <c r="AP125" s="214">
        <f>AP50+AP74+AP84+AP94+AP109</f>
        <v>4.0865548500000006</v>
      </c>
      <c r="AQ125" s="5">
        <f t="shared" ref="AQ125:AS125" si="322">AQ50+AQ74+AQ84+AQ94+AQ109</f>
        <v>1.8497495441970477E-2</v>
      </c>
      <c r="AR125" s="5">
        <f t="shared" si="322"/>
        <v>0</v>
      </c>
      <c r="AS125" s="215">
        <f t="shared" si="322"/>
        <v>0.7329462338771543</v>
      </c>
    </row>
    <row r="126" spans="1:50" x14ac:dyDescent="0.25">
      <c r="A126" s="243" t="s">
        <v>335</v>
      </c>
      <c r="B126" s="214">
        <f t="shared" ref="B126:E126" si="323">B51+B75+B85+B95+B110</f>
        <v>4.5511924728591806</v>
      </c>
      <c r="C126" s="5">
        <f t="shared" si="323"/>
        <v>6.5100350005931423E-2</v>
      </c>
      <c r="D126" s="5">
        <f>D51+D75+D85+D95+D110</f>
        <v>44.574001925103921</v>
      </c>
      <c r="E126" s="215">
        <f t="shared" si="323"/>
        <v>3.0813352049308511</v>
      </c>
      <c r="F126" s="214">
        <f t="shared" ref="F126:I126" si="324">F51+F75+F85+F95+F110</f>
        <v>5.9040930243897325</v>
      </c>
      <c r="G126" s="5">
        <f t="shared" si="324"/>
        <v>6.3361448026744246E-2</v>
      </c>
      <c r="H126" s="5">
        <f t="shared" si="324"/>
        <v>38.891046155619335</v>
      </c>
      <c r="I126" s="215">
        <f t="shared" si="324"/>
        <v>2.6937416459960897</v>
      </c>
      <c r="J126" s="214">
        <f t="shared" ref="J126:M126" si="325">J51+J75+J85+J95+J110</f>
        <v>0.29990498506967778</v>
      </c>
      <c r="K126" s="5">
        <f t="shared" si="325"/>
        <v>6.4110855242067027E-2</v>
      </c>
      <c r="L126" s="5">
        <f t="shared" si="325"/>
        <v>39.47826363828969</v>
      </c>
      <c r="M126" s="215">
        <f t="shared" si="325"/>
        <v>2.7342483502447754</v>
      </c>
      <c r="N126" s="214">
        <f t="shared" ref="N126:AO126" si="326">N51+N75+N85+N95+N110</f>
        <v>8.0670247520782503</v>
      </c>
      <c r="O126" s="5">
        <f t="shared" si="326"/>
        <v>6.0812961740797707E-2</v>
      </c>
      <c r="P126" s="5">
        <f t="shared" si="326"/>
        <v>36.80311585183432</v>
      </c>
      <c r="Q126" s="215">
        <f t="shared" si="326"/>
        <v>2.5498077579266432</v>
      </c>
      <c r="R126" s="214">
        <f t="shared" si="326"/>
        <v>4.2673801197984425</v>
      </c>
      <c r="S126" s="5">
        <f t="shared" si="326"/>
        <v>4.6682033221349561E-2</v>
      </c>
      <c r="T126" s="5">
        <f t="shared" si="326"/>
        <v>29.717295055313986</v>
      </c>
      <c r="U126" s="215">
        <f t="shared" si="326"/>
        <v>2.0569428188191745</v>
      </c>
      <c r="V126" s="214">
        <f>V51+V75+V85+V95+V110</f>
        <v>13.269224034999999</v>
      </c>
      <c r="W126" s="5">
        <f t="shared" si="326"/>
        <v>6.756995748977522E-2</v>
      </c>
      <c r="X126" s="5">
        <f t="shared" si="326"/>
        <v>40.804821924854792</v>
      </c>
      <c r="Y126" s="215">
        <f t="shared" si="326"/>
        <v>2.827171480652054</v>
      </c>
      <c r="Z126" s="214">
        <f t="shared" si="326"/>
        <v>8.0544189892449989</v>
      </c>
      <c r="AA126" s="5">
        <f t="shared" si="326"/>
        <v>6.756995748977522E-2</v>
      </c>
      <c r="AB126" s="5">
        <f t="shared" si="326"/>
        <v>63.181884513715659</v>
      </c>
      <c r="AC126" s="215">
        <f t="shared" si="326"/>
        <v>2.4157036140699102</v>
      </c>
      <c r="AD126" s="214">
        <f t="shared" si="326"/>
        <v>2.64400907481222</v>
      </c>
      <c r="AE126" s="5">
        <f t="shared" si="326"/>
        <v>4.2569073218558393E-2</v>
      </c>
      <c r="AF126" s="5">
        <f t="shared" si="326"/>
        <v>44.414697219834295</v>
      </c>
      <c r="AG126" s="215">
        <f t="shared" si="326"/>
        <v>1.9356683552384162</v>
      </c>
      <c r="AH126" s="214">
        <f t="shared" si="326"/>
        <v>1.7621463172359821</v>
      </c>
      <c r="AI126" s="5">
        <f t="shared" si="326"/>
        <v>1.6419499670015377E-2</v>
      </c>
      <c r="AJ126" s="5">
        <f t="shared" si="326"/>
        <v>9.9368412799952708</v>
      </c>
      <c r="AK126" s="215">
        <f t="shared" si="326"/>
        <v>0.68844809464019374</v>
      </c>
      <c r="AL126" s="214">
        <f t="shared" si="326"/>
        <v>1.323630581251432</v>
      </c>
      <c r="AM126" s="5">
        <f t="shared" si="326"/>
        <v>1.6029091626172224E-2</v>
      </c>
      <c r="AN126" s="5">
        <f t="shared" si="326"/>
        <v>8.8020273267642928</v>
      </c>
      <c r="AO126" s="5">
        <f t="shared" si="326"/>
        <v>0.61101597701368626</v>
      </c>
      <c r="AP126" s="214">
        <f>AP51+AP75+AP85+AP95+AP110</f>
        <v>9.4045625348062494</v>
      </c>
      <c r="AQ126" s="5">
        <f t="shared" ref="AQ126:AS126" si="327">AQ51+AQ75+AQ85+AQ95+AQ110</f>
        <v>4.2569073218558393E-2</v>
      </c>
      <c r="AR126" s="5">
        <f t="shared" si="327"/>
        <v>38.60088303367106</v>
      </c>
      <c r="AS126" s="215">
        <f t="shared" si="327"/>
        <v>1.6867603505061048</v>
      </c>
    </row>
    <row r="127" spans="1:50" x14ac:dyDescent="0.25">
      <c r="A127" s="243" t="s">
        <v>336</v>
      </c>
      <c r="B127" s="214">
        <f t="shared" ref="B127:E127" si="328">B52+B76+B86+B96+B111</f>
        <v>0.22915806033004765</v>
      </c>
      <c r="C127" s="5">
        <f t="shared" si="328"/>
        <v>3.2778815712872699E-3</v>
      </c>
      <c r="D127" s="5">
        <f t="shared" si="328"/>
        <v>2.1515500428707108</v>
      </c>
      <c r="E127" s="215">
        <f t="shared" si="328"/>
        <v>0.15514896436472719</v>
      </c>
      <c r="F127" s="214">
        <f t="shared" ref="F127:I127" si="329">F52+F76+F86+F96+F111</f>
        <v>0</v>
      </c>
      <c r="G127" s="5">
        <f t="shared" si="329"/>
        <v>0</v>
      </c>
      <c r="H127" s="5">
        <f t="shared" si="329"/>
        <v>0</v>
      </c>
      <c r="I127" s="215">
        <f t="shared" si="329"/>
        <v>0</v>
      </c>
      <c r="J127" s="214">
        <f t="shared" ref="J127:M127" si="330">J52+J76+J86+J96+J111</f>
        <v>0.17573236495192421</v>
      </c>
      <c r="K127" s="5">
        <f t="shared" si="330"/>
        <v>1.4193018922025063E-3</v>
      </c>
      <c r="L127" s="5">
        <f t="shared" si="330"/>
        <v>0.83784010219628469</v>
      </c>
      <c r="M127" s="215">
        <f t="shared" si="330"/>
        <v>6.053146292622863E-2</v>
      </c>
      <c r="N127" s="214">
        <f t="shared" ref="N127:AO127" si="331">N52+N76+N86+N96+N111</f>
        <v>0</v>
      </c>
      <c r="O127" s="5">
        <f t="shared" si="331"/>
        <v>0</v>
      </c>
      <c r="P127" s="5">
        <f t="shared" si="331"/>
        <v>0</v>
      </c>
      <c r="Q127" s="215">
        <f t="shared" si="331"/>
        <v>0</v>
      </c>
      <c r="R127" s="214">
        <f t="shared" si="331"/>
        <v>0.77630285308273073</v>
      </c>
      <c r="S127" s="5">
        <f t="shared" si="331"/>
        <v>8.4921883122865884E-3</v>
      </c>
      <c r="T127" s="5">
        <f t="shared" si="331"/>
        <v>5.1824965078512895</v>
      </c>
      <c r="U127" s="215">
        <f t="shared" si="331"/>
        <v>0.37418990904254862</v>
      </c>
      <c r="V127" s="214">
        <f t="shared" si="331"/>
        <v>0</v>
      </c>
      <c r="W127" s="5">
        <f t="shared" si="331"/>
        <v>0</v>
      </c>
      <c r="X127" s="5">
        <f t="shared" si="331"/>
        <v>0</v>
      </c>
      <c r="Y127" s="215">
        <f t="shared" si="331"/>
        <v>0</v>
      </c>
      <c r="Z127" s="214">
        <f t="shared" si="331"/>
        <v>0</v>
      </c>
      <c r="AA127" s="5">
        <f t="shared" si="331"/>
        <v>0</v>
      </c>
      <c r="AB127" s="5">
        <f t="shared" si="331"/>
        <v>0</v>
      </c>
      <c r="AC127" s="215">
        <f t="shared" si="331"/>
        <v>0</v>
      </c>
      <c r="AD127" s="214">
        <f t="shared" si="331"/>
        <v>3.4254443779018109</v>
      </c>
      <c r="AE127" s="5">
        <f t="shared" si="331"/>
        <v>1.5722871125674904E-2</v>
      </c>
      <c r="AF127" s="5">
        <f t="shared" si="331"/>
        <v>0</v>
      </c>
      <c r="AG127" s="215">
        <f t="shared" si="331"/>
        <v>0.71493837639370139</v>
      </c>
      <c r="AH127" s="214">
        <f t="shared" si="331"/>
        <v>0</v>
      </c>
      <c r="AI127" s="5">
        <f t="shared" si="331"/>
        <v>0</v>
      </c>
      <c r="AJ127" s="5">
        <f t="shared" si="331"/>
        <v>0</v>
      </c>
      <c r="AK127" s="215">
        <f t="shared" si="331"/>
        <v>0</v>
      </c>
      <c r="AL127" s="214">
        <f t="shared" si="331"/>
        <v>5.5189256482039335</v>
      </c>
      <c r="AM127" s="5">
        <f t="shared" si="331"/>
        <v>6.6833878082096537E-2</v>
      </c>
      <c r="AN127" s="5">
        <f t="shared" si="331"/>
        <v>35.182796180810215</v>
      </c>
      <c r="AO127" s="5">
        <f t="shared" si="331"/>
        <v>2.5476532461308077</v>
      </c>
      <c r="AP127" s="214">
        <f t="shared" ref="AP127:AS127" si="332">AP52+AP76+AP86+AP96+AP111</f>
        <v>3.4735716224999997</v>
      </c>
      <c r="AQ127" s="5">
        <f t="shared" si="332"/>
        <v>1.5722871125674904E-2</v>
      </c>
      <c r="AR127" s="5">
        <f t="shared" si="332"/>
        <v>0</v>
      </c>
      <c r="AS127" s="215">
        <f t="shared" si="332"/>
        <v>0.62300429879558117</v>
      </c>
    </row>
    <row r="128" spans="1:50" x14ac:dyDescent="0.25">
      <c r="A128" s="243" t="s">
        <v>387</v>
      </c>
      <c r="B128" s="231">
        <f>B125/B40</f>
        <v>0.58588600000000002</v>
      </c>
      <c r="C128" s="269">
        <f>C125/C40</f>
        <v>0.58588600000000002</v>
      </c>
      <c r="D128" s="269"/>
      <c r="E128" s="232">
        <f t="shared" ref="E128" si="333">E125/E40</f>
        <v>0.58588599999999991</v>
      </c>
      <c r="F128" s="231">
        <f>F125/F40</f>
        <v>0.58588600000000002</v>
      </c>
      <c r="G128" s="269">
        <f>G125/G40</f>
        <v>0.58588600000000002</v>
      </c>
      <c r="H128" s="269"/>
      <c r="I128" s="232">
        <f t="shared" ref="I128" si="334">I125/I40</f>
        <v>0.58588599999999991</v>
      </c>
      <c r="J128" s="231">
        <f>J125/J40</f>
        <v>0.58588600000000002</v>
      </c>
      <c r="K128" s="269">
        <f>K125/K40</f>
        <v>0.58588599999999991</v>
      </c>
      <c r="L128" s="269"/>
      <c r="M128" s="232">
        <f t="shared" ref="M128" si="335">M125/M40</f>
        <v>0.58588600000000002</v>
      </c>
      <c r="N128" s="231">
        <f>N125/N40</f>
        <v>0.58588600000000002</v>
      </c>
      <c r="O128" s="269">
        <f>O125/O40</f>
        <v>0.58588600000000002</v>
      </c>
      <c r="P128" s="269"/>
      <c r="Q128" s="232">
        <f t="shared" ref="Q128" si="336">Q125/Q40</f>
        <v>0.58588600000000002</v>
      </c>
      <c r="R128" s="231">
        <f>R125/R40</f>
        <v>0.58588600000000002</v>
      </c>
      <c r="S128" s="269">
        <f>S125/S40</f>
        <v>0.58588599999999991</v>
      </c>
      <c r="T128" s="269"/>
      <c r="U128" s="232">
        <f t="shared" ref="U128" si="337">U125/U40</f>
        <v>0.58588600000000002</v>
      </c>
      <c r="V128" s="231" t="str">
        <f>IF(V40=0,"",V125/V40)</f>
        <v/>
      </c>
      <c r="W128" s="269" t="str">
        <f>IF(W40=0,"",W125/W40)</f>
        <v/>
      </c>
      <c r="X128" s="269"/>
      <c r="Y128" s="269" t="str">
        <f>IF(Y40=0,"",Y125/Y40)</f>
        <v/>
      </c>
      <c r="Z128" s="231" t="str">
        <f>IF(Z40=0,"",Z125/Z40)</f>
        <v/>
      </c>
      <c r="AA128" s="269" t="str">
        <f>IF(AA40=0,"",AA125/AA40)</f>
        <v/>
      </c>
      <c r="AB128" s="269"/>
      <c r="AC128" s="269" t="str">
        <f>IF(AC40=0,"",AC125/AC40)</f>
        <v/>
      </c>
      <c r="AD128" s="231">
        <f>IF(AD40=0,"",AD125/AD40)</f>
        <v>0.58588599999999991</v>
      </c>
      <c r="AE128" s="269">
        <f>IF(AE40=0,"",AE125/AE40)</f>
        <v>0.58588600000000002</v>
      </c>
      <c r="AF128" s="269"/>
      <c r="AG128" s="269">
        <f>IF(AG40=0,"",AG125/AG40)</f>
        <v>0.58588599999999991</v>
      </c>
      <c r="AH128" s="231">
        <f>IF(AH40=0,"",AH125/AH40)</f>
        <v>0.58588599999999991</v>
      </c>
      <c r="AI128" s="269">
        <f>IF(AI40=0,"",AI125/AI40)</f>
        <v>0.58588600000000002</v>
      </c>
      <c r="AJ128" s="269"/>
      <c r="AK128" s="269">
        <f>IF(AK40=0,"",AK125/AK40)</f>
        <v>0.58588599999999991</v>
      </c>
      <c r="AL128" s="231">
        <f>IF(AL40=0,"",AL125/AL40)</f>
        <v>0.58588600000000002</v>
      </c>
      <c r="AM128" s="269">
        <f>IF(AM40=0,"",AM125/AM40)</f>
        <v>0.58588599999999991</v>
      </c>
      <c r="AN128" s="269"/>
      <c r="AO128" s="269">
        <f>IF(AO40=0,"",AO125/AO40)</f>
        <v>0.58588600000000002</v>
      </c>
      <c r="AP128" s="231">
        <f>IF(AP40=0,"",AP125/AP40)</f>
        <v>0.58588600000000002</v>
      </c>
      <c r="AQ128" s="269">
        <f>IF(AQ40=0,"",AQ125/AQ40)</f>
        <v>0.58588600000000002</v>
      </c>
      <c r="AR128" s="269"/>
      <c r="AS128" s="269">
        <f>IF(AS40=0,"",AS125/AS40)</f>
        <v>0.58588600000000002</v>
      </c>
      <c r="AT128" s="197"/>
    </row>
    <row r="129" spans="1:46" x14ac:dyDescent="0.25">
      <c r="A129" s="243"/>
      <c r="B129" s="231">
        <f>IF(B41=0,"",B126/B41)</f>
        <v>0.428039485</v>
      </c>
      <c r="C129" s="269">
        <f>IF(C41=0,"",C126/C41)</f>
        <v>0.42803948500000005</v>
      </c>
      <c r="D129" s="269"/>
      <c r="E129" s="269">
        <f t="shared" ref="E129:G130" si="338">IF(E41=0,"",E126/E41)</f>
        <v>0.428039485</v>
      </c>
      <c r="F129" s="231">
        <f t="shared" si="338"/>
        <v>0.42803948500000005</v>
      </c>
      <c r="G129" s="269">
        <f t="shared" si="338"/>
        <v>0.428039485</v>
      </c>
      <c r="H129" s="269"/>
      <c r="I129" s="269">
        <f t="shared" ref="I129:K130" si="339">IF(I41=0,"",I126/I41)</f>
        <v>0.428039485</v>
      </c>
      <c r="J129" s="231">
        <f t="shared" si="339"/>
        <v>0.42803948499999994</v>
      </c>
      <c r="K129" s="269">
        <f t="shared" si="339"/>
        <v>0.42803948499999994</v>
      </c>
      <c r="L129" s="269"/>
      <c r="M129" s="269">
        <f t="shared" ref="M129:O130" si="340">IF(M41=0,"",M126/M41)</f>
        <v>0.428039485</v>
      </c>
      <c r="N129" s="231">
        <f t="shared" si="340"/>
        <v>0.428039485</v>
      </c>
      <c r="O129" s="269">
        <f t="shared" si="340"/>
        <v>0.428039485</v>
      </c>
      <c r="P129" s="269"/>
      <c r="Q129" s="269">
        <f t="shared" ref="Q129:S130" si="341">IF(Q41=0,"",Q126/Q41)</f>
        <v>0.42803948499999989</v>
      </c>
      <c r="R129" s="231">
        <f t="shared" si="341"/>
        <v>0.42803948499999994</v>
      </c>
      <c r="S129" s="269">
        <f t="shared" si="341"/>
        <v>0.42803948499999994</v>
      </c>
      <c r="T129" s="269"/>
      <c r="U129" s="269">
        <f>IF(U41=0,"",U126/U41)</f>
        <v>0.428039485</v>
      </c>
      <c r="V129" s="231">
        <f t="shared" ref="V129:AO129" si="342">V126/V41</f>
        <v>0.42803948499999994</v>
      </c>
      <c r="W129" s="269">
        <f t="shared" si="342"/>
        <v>0.42803948499999994</v>
      </c>
      <c r="X129" s="269">
        <f t="shared" si="342"/>
        <v>0.44535825999999995</v>
      </c>
      <c r="Y129" s="232">
        <f t="shared" si="342"/>
        <v>0.42803948499999994</v>
      </c>
      <c r="Z129" s="231">
        <f t="shared" si="342"/>
        <v>0.42803948499999994</v>
      </c>
      <c r="AA129" s="269">
        <f t="shared" si="342"/>
        <v>0.42803948499999994</v>
      </c>
      <c r="AB129" s="269">
        <f t="shared" si="342"/>
        <v>0.44535826000000006</v>
      </c>
      <c r="AC129" s="232">
        <f t="shared" si="342"/>
        <v>0.42803948499999994</v>
      </c>
      <c r="AD129" s="231">
        <f t="shared" si="342"/>
        <v>0.42803948499999994</v>
      </c>
      <c r="AE129" s="269">
        <f t="shared" si="342"/>
        <v>0.42803948499999994</v>
      </c>
      <c r="AF129" s="269">
        <f t="shared" si="342"/>
        <v>0.44535825999999995</v>
      </c>
      <c r="AG129" s="232">
        <f t="shared" si="342"/>
        <v>0.42803948499999994</v>
      </c>
      <c r="AH129" s="231">
        <f t="shared" si="342"/>
        <v>0.42803948499999994</v>
      </c>
      <c r="AI129" s="269">
        <f t="shared" si="342"/>
        <v>0.42803948499999994</v>
      </c>
      <c r="AJ129" s="269">
        <f t="shared" si="342"/>
        <v>0.44535826000000001</v>
      </c>
      <c r="AK129" s="232">
        <f t="shared" si="342"/>
        <v>0.42803948499999994</v>
      </c>
      <c r="AL129" s="231">
        <f t="shared" si="342"/>
        <v>0.42803948499999994</v>
      </c>
      <c r="AM129" s="269">
        <f t="shared" si="342"/>
        <v>0.42803948499999994</v>
      </c>
      <c r="AN129" s="269">
        <f t="shared" si="342"/>
        <v>0.44535826000000001</v>
      </c>
      <c r="AO129" s="269">
        <f t="shared" si="342"/>
        <v>0.42803948499999994</v>
      </c>
      <c r="AP129" s="231">
        <f t="shared" ref="AP129:AS129" si="343">AP126/AP41</f>
        <v>0.42803948499999994</v>
      </c>
      <c r="AQ129" s="269">
        <f t="shared" si="343"/>
        <v>0.42803948499999994</v>
      </c>
      <c r="AR129" s="269">
        <f t="shared" si="343"/>
        <v>0.44535825999999995</v>
      </c>
      <c r="AS129" s="269">
        <f t="shared" si="343"/>
        <v>0.42803948499999994</v>
      </c>
      <c r="AT129" s="197"/>
    </row>
    <row r="130" spans="1:46" x14ac:dyDescent="0.25">
      <c r="A130" s="243"/>
      <c r="B130" s="231">
        <f>IF(B42=0,"",B127/B42)</f>
        <v>0.58588600000000002</v>
      </c>
      <c r="C130" s="269">
        <f>IF(C42=0,"",C127/C42)</f>
        <v>0.58588600000000002</v>
      </c>
      <c r="D130" s="269"/>
      <c r="E130" s="269">
        <f t="shared" si="338"/>
        <v>0.58588599999999991</v>
      </c>
      <c r="F130" s="231" t="str">
        <f t="shared" si="338"/>
        <v/>
      </c>
      <c r="G130" s="269" t="str">
        <f t="shared" si="338"/>
        <v/>
      </c>
      <c r="H130" s="269"/>
      <c r="I130" s="269" t="str">
        <f t="shared" si="339"/>
        <v/>
      </c>
      <c r="J130" s="231">
        <f t="shared" si="339"/>
        <v>0.58588599999999991</v>
      </c>
      <c r="K130" s="269">
        <f t="shared" si="339"/>
        <v>0.58588600000000002</v>
      </c>
      <c r="L130" s="269"/>
      <c r="M130" s="269">
        <f t="shared" si="340"/>
        <v>0.58588600000000002</v>
      </c>
      <c r="N130" s="231" t="str">
        <f t="shared" si="340"/>
        <v/>
      </c>
      <c r="O130" s="269" t="str">
        <f t="shared" si="340"/>
        <v/>
      </c>
      <c r="P130" s="269"/>
      <c r="Q130" s="269" t="str">
        <f t="shared" si="341"/>
        <v/>
      </c>
      <c r="R130" s="231">
        <f t="shared" si="341"/>
        <v>0.58588599999999991</v>
      </c>
      <c r="S130" s="269">
        <f t="shared" si="341"/>
        <v>0.58588599999999991</v>
      </c>
      <c r="T130" s="269"/>
      <c r="U130" s="269">
        <f>IF(U42=0,"",U127/U42)</f>
        <v>0.58588599999999991</v>
      </c>
      <c r="V130" s="231" t="str">
        <f>IF(V42=0,"",V127/V42)</f>
        <v/>
      </c>
      <c r="W130" s="269" t="str">
        <f>IF(W42=0,"",W127/W42)</f>
        <v/>
      </c>
      <c r="X130" s="269"/>
      <c r="Y130" s="269" t="str">
        <f>IF(Y42=0,"",Y127/Y42)</f>
        <v/>
      </c>
      <c r="Z130" s="231" t="str">
        <f>IF(Z42=0,"",Z127/Z42)</f>
        <v/>
      </c>
      <c r="AA130" s="269" t="str">
        <f>IF(AA42=0,"",AA127/AA42)</f>
        <v/>
      </c>
      <c r="AB130" s="269"/>
      <c r="AC130" s="269" t="str">
        <f>IF(AC42=0,"",AC127/AC42)</f>
        <v/>
      </c>
      <c r="AD130" s="231">
        <f>IF(AD42=0,"",AD127/AD42)</f>
        <v>0.58588599999999991</v>
      </c>
      <c r="AE130" s="269">
        <f>IF(AE42=0,"",AE127/AE42)</f>
        <v>0.58588599999999991</v>
      </c>
      <c r="AF130" s="269"/>
      <c r="AG130" s="269">
        <f>IF(AG42=0,"",AG127/AG42)</f>
        <v>0.58588600000000002</v>
      </c>
      <c r="AH130" s="231" t="str">
        <f>IF(AH42=0,"",AH127/AH42)</f>
        <v/>
      </c>
      <c r="AI130" s="269" t="str">
        <f>IF(AI42=0,"",AI127/AI42)</f>
        <v/>
      </c>
      <c r="AJ130" s="269"/>
      <c r="AK130" s="269" t="str">
        <f>IF(AK42=0,"",AK127/AK42)</f>
        <v/>
      </c>
      <c r="AL130" s="231">
        <f>IF(AL42=0,"",AL127/AL42)</f>
        <v>0.58588600000000002</v>
      </c>
      <c r="AM130" s="269">
        <f>IF(AM42=0,"",AM127/AM42)</f>
        <v>0.58588599999999991</v>
      </c>
      <c r="AN130" s="269"/>
      <c r="AO130" s="269">
        <f>IF(AO42=0,"",AO127/AO42)</f>
        <v>0.58588600000000002</v>
      </c>
      <c r="AP130" s="231">
        <f>IF(AP42=0,"",AP127/AP42)</f>
        <v>0.58588599999999991</v>
      </c>
      <c r="AQ130" s="269">
        <f>IF(AQ42=0,"",AQ127/AQ42)</f>
        <v>0.58588599999999991</v>
      </c>
      <c r="AR130" s="269"/>
      <c r="AS130" s="269">
        <f>IF(AS42=0,"",AS127/AS42)</f>
        <v>0.58588600000000002</v>
      </c>
      <c r="AT130" s="197"/>
    </row>
    <row r="131" spans="1:46" x14ac:dyDescent="0.25">
      <c r="A131" s="243"/>
      <c r="B131" s="197"/>
      <c r="E131" s="198"/>
      <c r="F131" s="197"/>
      <c r="I131" s="198"/>
      <c r="J131" s="197"/>
      <c r="M131" s="198"/>
      <c r="N131" s="197"/>
      <c r="Q131" s="198"/>
      <c r="R131" s="197"/>
      <c r="U131" s="198"/>
      <c r="V131" s="197"/>
      <c r="Y131" s="198"/>
      <c r="Z131" s="197"/>
      <c r="AC131" s="198"/>
      <c r="AD131" s="197"/>
      <c r="AG131" s="198"/>
      <c r="AH131" s="197"/>
      <c r="AK131" s="198"/>
      <c r="AL131" s="197"/>
      <c r="AP131" s="197"/>
      <c r="AT131" s="197"/>
    </row>
    <row r="132" spans="1:46" x14ac:dyDescent="0.25">
      <c r="A132" s="245" t="s">
        <v>388</v>
      </c>
      <c r="B132" s="205"/>
      <c r="C132" s="114"/>
      <c r="D132" s="114"/>
      <c r="E132" s="206"/>
      <c r="F132" s="205"/>
      <c r="G132" s="114"/>
      <c r="H132" s="114"/>
      <c r="I132" s="206"/>
      <c r="J132" s="205"/>
      <c r="K132" s="114"/>
      <c r="L132" s="114"/>
      <c r="M132" s="206"/>
      <c r="N132" s="205"/>
      <c r="O132" s="114"/>
      <c r="P132" s="114"/>
      <c r="Q132" s="206"/>
      <c r="R132" s="205"/>
      <c r="S132" s="114"/>
      <c r="T132" s="114"/>
      <c r="U132" s="206"/>
      <c r="V132" s="205"/>
      <c r="W132" s="114"/>
      <c r="X132" s="114"/>
      <c r="Y132" s="206"/>
      <c r="Z132" s="205"/>
      <c r="AA132" s="114"/>
      <c r="AB132" s="114"/>
      <c r="AC132" s="206"/>
      <c r="AD132" s="205"/>
      <c r="AE132" s="114"/>
      <c r="AF132" s="114"/>
      <c r="AG132" s="206"/>
      <c r="AH132" s="205"/>
      <c r="AI132" s="114"/>
      <c r="AJ132" s="114"/>
      <c r="AK132" s="206"/>
      <c r="AL132" s="205"/>
      <c r="AM132" s="114"/>
      <c r="AN132" s="114"/>
      <c r="AO132" s="114"/>
      <c r="AP132" s="205"/>
      <c r="AQ132" s="114"/>
      <c r="AR132" s="114"/>
      <c r="AS132" s="206"/>
    </row>
    <row r="133" spans="1:46" x14ac:dyDescent="0.25">
      <c r="A133" s="243" t="s">
        <v>334</v>
      </c>
      <c r="B133" s="214">
        <f>B40-B125</f>
        <v>5.061648138221287E-3</v>
      </c>
      <c r="C133" s="5">
        <f t="shared" ref="C133:E133" si="344">C40-C125</f>
        <v>7.2401918259911943E-5</v>
      </c>
      <c r="D133" s="5">
        <f t="shared" si="344"/>
        <v>4.7818342784306189E-2</v>
      </c>
      <c r="E133" s="215">
        <f t="shared" si="344"/>
        <v>3.4269336434975539E-3</v>
      </c>
      <c r="F133" s="214">
        <f>F40-F125</f>
        <v>0.37939577125951529</v>
      </c>
      <c r="G133" s="5">
        <f t="shared" ref="G133:I133" si="345">G40-G125</f>
        <v>4.0715932731617329E-3</v>
      </c>
      <c r="H133" s="5">
        <f t="shared" si="345"/>
        <v>2.4106550180317816</v>
      </c>
      <c r="I133" s="215">
        <f t="shared" si="345"/>
        <v>0.17309926946183246</v>
      </c>
      <c r="J133" s="214">
        <f>J40-J125</f>
        <v>7.6797064968130933</v>
      </c>
      <c r="K133" s="5">
        <f t="shared" ref="K133:M133" si="346">K40-K125</f>
        <v>2.343380398880887E-3</v>
      </c>
      <c r="L133" s="5">
        <f t="shared" si="346"/>
        <v>1.3919236361787708</v>
      </c>
      <c r="M133" s="215">
        <f t="shared" si="346"/>
        <v>9.9942263528434938E-2</v>
      </c>
      <c r="N133" s="214">
        <f>N40-N125</f>
        <v>0.86717542170000006</v>
      </c>
      <c r="O133" s="5">
        <f t="shared" ref="O133:Q133" si="347">O40-O125</f>
        <v>6.5371691996874495E-3</v>
      </c>
      <c r="P133" s="5">
        <f t="shared" si="347"/>
        <v>3.8161400407837576</v>
      </c>
      <c r="Q133" s="215">
        <f t="shared" si="347"/>
        <v>0.27409493409132418</v>
      </c>
      <c r="R133" s="214">
        <f>R40-R125</f>
        <v>1.298619587895889</v>
      </c>
      <c r="S133" s="5">
        <f t="shared" ref="S133:U133" si="348">S40-S125</f>
        <v>1.420595331144639E-2</v>
      </c>
      <c r="T133" s="5">
        <f t="shared" si="348"/>
        <v>8.7232042234883398</v>
      </c>
      <c r="U133" s="215">
        <f t="shared" si="348"/>
        <v>0.62595460463140795</v>
      </c>
      <c r="V133" s="214">
        <f>V40-V125</f>
        <v>0</v>
      </c>
      <c r="W133" s="5">
        <f t="shared" ref="W133:Y133" si="349">W40-W125</f>
        <v>0</v>
      </c>
      <c r="X133" s="5">
        <f t="shared" si="349"/>
        <v>0</v>
      </c>
      <c r="Y133" s="215">
        <f t="shared" si="349"/>
        <v>0</v>
      </c>
      <c r="Z133" s="214">
        <f>Z40-Z125</f>
        <v>0</v>
      </c>
      <c r="AA133" s="5">
        <f t="shared" ref="AA133:AC133" si="350">AA40-AA125</f>
        <v>0</v>
      </c>
      <c r="AB133" s="5">
        <f t="shared" si="350"/>
        <v>0</v>
      </c>
      <c r="AC133" s="215">
        <f t="shared" si="350"/>
        <v>0</v>
      </c>
      <c r="AD133" s="214">
        <f>AD40-AD125</f>
        <v>3.3904733515942032E-2</v>
      </c>
      <c r="AE133" s="5">
        <f t="shared" ref="AE133:AG133" si="351">AE40-AE125</f>
        <v>1.3074338399374899E-2</v>
      </c>
      <c r="AF133" s="5">
        <f t="shared" si="351"/>
        <v>0</v>
      </c>
      <c r="AG133" s="215">
        <f t="shared" si="351"/>
        <v>0.59450632094840639</v>
      </c>
      <c r="AH133" s="214">
        <f>AH40-AH125</f>
        <v>5.3108942345670016</v>
      </c>
      <c r="AI133" s="5">
        <f t="shared" ref="AI133:AK133" si="352">AI40-AI125</f>
        <v>4.9486370841633986E-2</v>
      </c>
      <c r="AJ133" s="5">
        <f t="shared" si="352"/>
        <v>28.888180108733053</v>
      </c>
      <c r="AK133" s="215">
        <f t="shared" si="352"/>
        <v>2.0748986510713245</v>
      </c>
      <c r="AL133" s="214">
        <f>AL40-AL125</f>
        <v>0.21674564728300727</v>
      </c>
      <c r="AM133" s="5">
        <f t="shared" ref="AM133:AO133" si="353">AM40-AM125</f>
        <v>2.62477755431474E-3</v>
      </c>
      <c r="AN133" s="5">
        <f t="shared" si="353"/>
        <v>1.3903125683506239</v>
      </c>
      <c r="AO133" s="5">
        <f t="shared" si="353"/>
        <v>0.1000543923009691</v>
      </c>
      <c r="AP133" s="214">
        <f>AP40-AP125</f>
        <v>2.8884451500000008</v>
      </c>
      <c r="AQ133" s="5">
        <f t="shared" ref="AQ133:AS133" si="354">AQ40-AQ125</f>
        <v>1.3074338399374899E-2</v>
      </c>
      <c r="AR133" s="5">
        <f t="shared" si="354"/>
        <v>0</v>
      </c>
      <c r="AS133" s="215">
        <f t="shared" si="354"/>
        <v>0.51805862692708804</v>
      </c>
    </row>
    <row r="134" spans="1:46" x14ac:dyDescent="0.25">
      <c r="A134" s="243" t="s">
        <v>335</v>
      </c>
      <c r="B134" s="214">
        <f t="shared" ref="B134:E134" si="355">B41-B126</f>
        <v>6.0814538888641563</v>
      </c>
      <c r="C134" s="5">
        <f t="shared" si="355"/>
        <v>8.698924052782836E-2</v>
      </c>
      <c r="D134" s="5">
        <f>D41-D126</f>
        <v>55.511717659627529</v>
      </c>
      <c r="E134" s="215">
        <f t="shared" si="355"/>
        <v>4.1173819997000516</v>
      </c>
      <c r="F134" s="214">
        <f t="shared" ref="F134:I134" si="356">F41-F126</f>
        <v>7.8892443458524824</v>
      </c>
      <c r="G134" s="5">
        <f t="shared" si="356"/>
        <v>8.4665662198248767E-2</v>
      </c>
      <c r="H134" s="5">
        <f t="shared" si="356"/>
        <v>48.434259443561288</v>
      </c>
      <c r="I134" s="215">
        <f t="shared" si="356"/>
        <v>3.5994666686435979</v>
      </c>
      <c r="J134" s="214">
        <f t="shared" ref="J134:M134" si="357">J41-J126</f>
        <v>0.400742958821942</v>
      </c>
      <c r="K134" s="5">
        <f t="shared" si="357"/>
        <v>8.566704490204477E-2</v>
      </c>
      <c r="L134" s="5">
        <f t="shared" si="357"/>
        <v>49.165570290578486</v>
      </c>
      <c r="M134" s="215">
        <f t="shared" si="357"/>
        <v>3.653593066405783</v>
      </c>
      <c r="N134" s="214">
        <f t="shared" ref="N134:AO134" si="358">N41-N126</f>
        <v>10.77942524792175</v>
      </c>
      <c r="O134" s="5">
        <f t="shared" si="358"/>
        <v>8.1260290545256492E-2</v>
      </c>
      <c r="P134" s="5">
        <f t="shared" si="358"/>
        <v>45.833985909418118</v>
      </c>
      <c r="Q134" s="215">
        <f t="shared" si="358"/>
        <v>3.4071374475528091</v>
      </c>
      <c r="R134" s="214">
        <f t="shared" si="358"/>
        <v>5.7022144371112855</v>
      </c>
      <c r="S134" s="5">
        <f t="shared" si="358"/>
        <v>6.2378076551816736E-2</v>
      </c>
      <c r="T134" s="5">
        <f t="shared" si="358"/>
        <v>37.009423015018839</v>
      </c>
      <c r="U134" s="215">
        <f t="shared" si="358"/>
        <v>2.7485550170152333</v>
      </c>
      <c r="V134" s="214">
        <f t="shared" si="358"/>
        <v>17.730775964999999</v>
      </c>
      <c r="W134" s="5">
        <f t="shared" si="358"/>
        <v>9.0289211716951659E-2</v>
      </c>
      <c r="X134" s="5">
        <f t="shared" si="358"/>
        <v>50.817643828569871</v>
      </c>
      <c r="Y134" s="215">
        <f t="shared" si="358"/>
        <v>3.7777600261972601</v>
      </c>
      <c r="Z134" s="214">
        <f t="shared" si="358"/>
        <v>10.762581010755001</v>
      </c>
      <c r="AA134" s="5">
        <f t="shared" si="358"/>
        <v>9.0289211716951659E-2</v>
      </c>
      <c r="AB134" s="5">
        <f t="shared" si="358"/>
        <v>78.685663903856408</v>
      </c>
      <c r="AC134" s="215">
        <f t="shared" si="358"/>
        <v>3.2279430557458673</v>
      </c>
      <c r="AD134" s="214">
        <f t="shared" si="358"/>
        <v>3.5330123623858469</v>
      </c>
      <c r="AE134" s="5">
        <f t="shared" si="358"/>
        <v>5.6882203381679541E-2</v>
      </c>
      <c r="AF134" s="5">
        <f t="shared" si="358"/>
        <v>55.313322239902007</v>
      </c>
      <c r="AG134" s="215">
        <f t="shared" si="358"/>
        <v>2.5865040682668976</v>
      </c>
      <c r="AH134" s="214">
        <f t="shared" si="358"/>
        <v>2.3546381827640177</v>
      </c>
      <c r="AI134" s="5">
        <f t="shared" si="358"/>
        <v>2.1940278447219252E-2</v>
      </c>
      <c r="AJ134" s="5">
        <f t="shared" si="358"/>
        <v>12.375176195542895</v>
      </c>
      <c r="AK134" s="215">
        <f t="shared" si="358"/>
        <v>0.91992711083925827</v>
      </c>
      <c r="AL134" s="214">
        <f t="shared" si="358"/>
        <v>1.768678954751846</v>
      </c>
      <c r="AM134" s="5">
        <f t="shared" si="358"/>
        <v>2.1418602308353994E-2</v>
      </c>
      <c r="AN134" s="5">
        <f t="shared" si="358"/>
        <v>10.961897848361666</v>
      </c>
      <c r="AO134" s="5">
        <f t="shared" si="358"/>
        <v>0.81645975460879794</v>
      </c>
      <c r="AP134" s="214">
        <f t="shared" ref="AP134:AS134" si="359">AP41-AP126</f>
        <v>12.566687465193752</v>
      </c>
      <c r="AQ134" s="5">
        <f t="shared" si="359"/>
        <v>5.6882203381679541E-2</v>
      </c>
      <c r="AR134" s="5">
        <f>AR41-AR126</f>
        <v>48.072895136899</v>
      </c>
      <c r="AS134" s="215">
        <f t="shared" si="359"/>
        <v>2.2539049610272581</v>
      </c>
    </row>
    <row r="135" spans="1:46" x14ac:dyDescent="0.25">
      <c r="A135" s="243" t="s">
        <v>336</v>
      </c>
      <c r="B135" s="214">
        <f t="shared" ref="B135:E135" si="360">B42-B127</f>
        <v>0.16197274042308119</v>
      </c>
      <c r="C135" s="5">
        <f t="shared" si="360"/>
        <v>2.3168613843171822E-3</v>
      </c>
      <c r="D135" s="5">
        <f t="shared" si="360"/>
        <v>1.5301869690977981</v>
      </c>
      <c r="E135" s="215">
        <f t="shared" si="360"/>
        <v>0.10966187659192173</v>
      </c>
      <c r="F135" s="214">
        <f t="shared" ref="F135:I135" si="361">F42-F127</f>
        <v>0</v>
      </c>
      <c r="G135" s="5">
        <f t="shared" si="361"/>
        <v>0</v>
      </c>
      <c r="H135" s="5">
        <f t="shared" si="361"/>
        <v>0</v>
      </c>
      <c r="I135" s="215">
        <f t="shared" si="361"/>
        <v>0</v>
      </c>
      <c r="J135" s="214">
        <f t="shared" ref="J135:M135" si="362">J42-J127</f>
        <v>0.12421056755017387</v>
      </c>
      <c r="K135" s="5">
        <f t="shared" si="362"/>
        <v>1.0031862577148947E-3</v>
      </c>
      <c r="L135" s="5">
        <f t="shared" si="362"/>
        <v>0.59587366364843697</v>
      </c>
      <c r="M135" s="215">
        <f t="shared" si="362"/>
        <v>4.2784647931905256E-2</v>
      </c>
      <c r="N135" s="214">
        <f t="shared" ref="N135:AO135" si="363">N42-N127</f>
        <v>0</v>
      </c>
      <c r="O135" s="5">
        <f t="shared" si="363"/>
        <v>0</v>
      </c>
      <c r="P135" s="5">
        <f t="shared" si="363"/>
        <v>0</v>
      </c>
      <c r="Q135" s="215">
        <f t="shared" si="363"/>
        <v>0</v>
      </c>
      <c r="R135" s="214">
        <f t="shared" si="363"/>
        <v>0.54870380876399505</v>
      </c>
      <c r="S135" s="5">
        <f t="shared" si="363"/>
        <v>6.0024203868231183E-3</v>
      </c>
      <c r="T135" s="5">
        <f t="shared" si="363"/>
        <v>3.6858025450005387</v>
      </c>
      <c r="U135" s="215">
        <f t="shared" si="363"/>
        <v>0.26448367087325181</v>
      </c>
      <c r="V135" s="214">
        <f t="shared" si="363"/>
        <v>0</v>
      </c>
      <c r="W135" s="5">
        <f t="shared" si="363"/>
        <v>0</v>
      </c>
      <c r="X135" s="5">
        <f t="shared" si="363"/>
        <v>0</v>
      </c>
      <c r="Y135" s="215">
        <f t="shared" si="363"/>
        <v>0</v>
      </c>
      <c r="Z135" s="214">
        <f t="shared" si="363"/>
        <v>0</v>
      </c>
      <c r="AA135" s="5">
        <f t="shared" si="363"/>
        <v>0</v>
      </c>
      <c r="AB135" s="5">
        <f t="shared" si="363"/>
        <v>0</v>
      </c>
      <c r="AC135" s="215">
        <f t="shared" si="363"/>
        <v>0</v>
      </c>
      <c r="AD135" s="214">
        <f t="shared" si="363"/>
        <v>2.4211612380402174</v>
      </c>
      <c r="AE135" s="5">
        <f t="shared" si="363"/>
        <v>1.1113187639468666E-2</v>
      </c>
      <c r="AF135" s="5">
        <f t="shared" si="363"/>
        <v>0</v>
      </c>
      <c r="AG135" s="215">
        <f t="shared" si="363"/>
        <v>0.50533037280614534</v>
      </c>
      <c r="AH135" s="214">
        <f t="shared" si="363"/>
        <v>0</v>
      </c>
      <c r="AI135" s="5">
        <f t="shared" si="363"/>
        <v>0</v>
      </c>
      <c r="AJ135" s="5">
        <f t="shared" si="363"/>
        <v>0</v>
      </c>
      <c r="AK135" s="215">
        <f t="shared" si="363"/>
        <v>0</v>
      </c>
      <c r="AL135" s="214">
        <f t="shared" si="363"/>
        <v>3.9008687285245314</v>
      </c>
      <c r="AM135" s="5">
        <f t="shared" si="363"/>
        <v>4.7239300116557373E-2</v>
      </c>
      <c r="AN135" s="5">
        <f t="shared" si="363"/>
        <v>25.022079514575644</v>
      </c>
      <c r="AO135" s="5">
        <f t="shared" si="363"/>
        <v>1.8007238206207576</v>
      </c>
      <c r="AP135" s="214">
        <f t="shared" ref="AP135:AS135" si="364">AP42-AP127</f>
        <v>2.4551783775000002</v>
      </c>
      <c r="AQ135" s="5">
        <f t="shared" si="364"/>
        <v>1.1113187639468666E-2</v>
      </c>
      <c r="AR135" s="5">
        <f t="shared" si="364"/>
        <v>0</v>
      </c>
      <c r="AS135" s="215">
        <f t="shared" si="364"/>
        <v>0.44034983288802476</v>
      </c>
    </row>
    <row r="136" spans="1:46" x14ac:dyDescent="0.25">
      <c r="A136" s="246" t="s">
        <v>389</v>
      </c>
      <c r="B136" s="233"/>
      <c r="E136" s="208">
        <f>SUM(B133:E135)</f>
        <v>67.658060562700967</v>
      </c>
      <c r="F136" s="233"/>
      <c r="I136" s="208">
        <f>SUM(F133:I135)</f>
        <v>62.974857772281908</v>
      </c>
      <c r="J136" s="233"/>
      <c r="M136" s="208">
        <f>SUM(J133:M135)</f>
        <v>63.243361203015667</v>
      </c>
      <c r="N136" s="233"/>
      <c r="Q136" s="208">
        <f>SUM(N133:Q135)</f>
        <v>65.0657564612127</v>
      </c>
      <c r="R136" s="233"/>
      <c r="U136" s="208">
        <f>SUM(R133:U135)</f>
        <v>60.68954736004887</v>
      </c>
      <c r="V136" s="233"/>
      <c r="Y136" s="208">
        <f>SUM(V133:Y135)</f>
        <v>72.41646903148407</v>
      </c>
      <c r="Z136" s="233"/>
      <c r="AC136" s="208">
        <f>SUM(Z133:AC135)</f>
        <v>92.766477182074226</v>
      </c>
      <c r="AD136" s="233"/>
      <c r="AG136" s="208">
        <f>SUM(AD133:AG135)</f>
        <v>65.068811065285985</v>
      </c>
      <c r="AH136" s="233"/>
      <c r="AK136" s="208">
        <f>SUM(AH133:AK135)</f>
        <v>51.995141132806403</v>
      </c>
      <c r="AL136" s="233"/>
      <c r="AO136" s="123">
        <f>SUM(AL133:AO135)</f>
        <v>46.049103909357072</v>
      </c>
      <c r="AP136" s="233"/>
      <c r="AS136" s="208">
        <f>SUM(AP133:AS135)</f>
        <v>69.276589279855656</v>
      </c>
    </row>
    <row r="137" spans="1:46" x14ac:dyDescent="0.25">
      <c r="A137" s="237"/>
      <c r="B137" s="197"/>
      <c r="E137" s="198"/>
      <c r="F137" s="197"/>
      <c r="I137" s="198"/>
      <c r="J137" s="197"/>
      <c r="M137" s="198"/>
      <c r="N137" s="197"/>
      <c r="Q137" s="198"/>
      <c r="R137" s="197"/>
      <c r="U137" s="198"/>
      <c r="V137" s="197"/>
      <c r="Y137" s="198"/>
      <c r="Z137" s="197"/>
      <c r="AC137" s="198"/>
      <c r="AD137" s="197"/>
      <c r="AG137" s="198"/>
      <c r="AH137" s="197"/>
      <c r="AK137" s="198"/>
      <c r="AL137" s="197"/>
      <c r="AP137" s="197"/>
      <c r="AS137" s="198"/>
    </row>
    <row r="138" spans="1:46" x14ac:dyDescent="0.25">
      <c r="A138" s="245" t="s">
        <v>390</v>
      </c>
      <c r="B138" s="197"/>
      <c r="E138" s="198"/>
      <c r="F138" s="197"/>
      <c r="I138" s="198"/>
      <c r="J138" s="197"/>
      <c r="M138" s="198"/>
      <c r="N138" s="197"/>
      <c r="Q138" s="198"/>
      <c r="R138" s="197"/>
      <c r="U138" s="198"/>
      <c r="V138" s="197"/>
      <c r="Y138" s="198"/>
      <c r="Z138" s="197"/>
      <c r="AC138" s="198"/>
      <c r="AD138" s="197"/>
      <c r="AG138" s="198"/>
      <c r="AH138" s="197"/>
      <c r="AK138" s="198"/>
      <c r="AL138" s="197"/>
      <c r="AP138" s="197"/>
      <c r="AS138" s="198"/>
    </row>
    <row r="139" spans="1:46" x14ac:dyDescent="0.25">
      <c r="A139" s="243" t="s">
        <v>391</v>
      </c>
      <c r="B139" s="224">
        <f>E136/Production!B35</f>
        <v>3.8517729541733103E-2</v>
      </c>
      <c r="E139" s="198"/>
      <c r="F139" s="224">
        <f>I136/Production!C35</f>
        <v>3.9875555332801099E-2</v>
      </c>
      <c r="I139" s="198"/>
      <c r="J139" s="224">
        <f>M136/Production!D35</f>
        <v>3.951247580897823E-2</v>
      </c>
      <c r="M139" s="198"/>
      <c r="N139" s="224">
        <f>Q136/Production!E35</f>
        <v>4.1434463204114889E-2</v>
      </c>
      <c r="Q139" s="198"/>
      <c r="R139" s="224">
        <f>U136/Production!F35</f>
        <v>3.6811769486815603E-2</v>
      </c>
      <c r="U139" s="198"/>
      <c r="V139" s="224">
        <f>Y136/Production!G35</f>
        <v>4.5969501571035444E-2</v>
      </c>
      <c r="Y139" s="198"/>
      <c r="Z139" s="224">
        <f>AC136/Production!H35</f>
        <v>5.3799040674539202E-2</v>
      </c>
      <c r="AC139" s="198"/>
      <c r="AD139" s="224">
        <f>AG136/Production!I35</f>
        <v>3.798823815550801E-2</v>
      </c>
      <c r="AG139" s="198"/>
      <c r="AH139" s="224">
        <f>AK136/Production!J35</f>
        <v>3.3110976944444079E-2</v>
      </c>
      <c r="AK139" s="198"/>
      <c r="AL139" s="224">
        <f>AO136/Production!K35</f>
        <v>3.2710548177708736E-2</v>
      </c>
      <c r="AP139" s="224">
        <f>AS136/Production!L35</f>
        <v>4.6118055387623633E-2</v>
      </c>
      <c r="AS139" s="198"/>
    </row>
    <row r="140" spans="1:46" x14ac:dyDescent="0.25">
      <c r="A140" s="243"/>
      <c r="B140" s="224"/>
      <c r="E140" s="198"/>
      <c r="F140" s="224"/>
      <c r="I140" s="198"/>
      <c r="J140" s="224"/>
      <c r="M140" s="198"/>
      <c r="N140" s="224"/>
      <c r="Q140" s="198"/>
      <c r="R140" s="224"/>
      <c r="U140" s="198"/>
      <c r="V140" s="224"/>
      <c r="Y140" s="198"/>
      <c r="Z140" s="224"/>
      <c r="AC140" s="198"/>
      <c r="AD140" s="224"/>
      <c r="AG140" s="198"/>
      <c r="AH140" s="224"/>
      <c r="AK140" s="198"/>
      <c r="AL140" s="224"/>
      <c r="AP140" s="224"/>
      <c r="AS140" s="198"/>
    </row>
    <row r="141" spans="1:46" x14ac:dyDescent="0.25">
      <c r="A141" s="245" t="s">
        <v>392</v>
      </c>
      <c r="B141" s="224"/>
      <c r="E141" s="198"/>
      <c r="F141" s="224"/>
      <c r="I141" s="198"/>
      <c r="J141" s="224"/>
      <c r="M141" s="198"/>
      <c r="N141" s="224"/>
      <c r="Q141" s="198"/>
      <c r="R141" s="224"/>
      <c r="U141" s="198"/>
      <c r="V141" s="224"/>
      <c r="Y141" s="198"/>
      <c r="Z141" s="224"/>
      <c r="AC141" s="198"/>
      <c r="AD141" s="224"/>
      <c r="AG141" s="198"/>
      <c r="AH141" s="224"/>
      <c r="AK141" s="198"/>
      <c r="AL141" s="224"/>
      <c r="AP141" s="224"/>
      <c r="AS141" s="198"/>
    </row>
    <row r="142" spans="1:46" x14ac:dyDescent="0.25">
      <c r="A142" s="243" t="s">
        <v>393</v>
      </c>
      <c r="B142" s="224"/>
      <c r="E142" s="211">
        <f>(E54+E78+E113)*17/14</f>
        <v>3.6842813403846916E-2</v>
      </c>
      <c r="F142" s="224"/>
      <c r="I142" s="211">
        <f>(I54+I78+I113)*17/14</f>
        <v>3.8253909119189758E-2</v>
      </c>
      <c r="J142" s="224"/>
      <c r="M142" s="211">
        <f>(M54+M78+M113)*17/14</f>
        <v>3.9337223157543323E-2</v>
      </c>
      <c r="N142" s="224"/>
      <c r="Q142" s="211">
        <f>(Q54+Q78+Q113)*17/14</f>
        <v>3.9955331577529986E-2</v>
      </c>
      <c r="R142" s="224"/>
      <c r="U142" s="211">
        <f>(U54+U78+U113)*17/14</f>
        <v>3.7259279708976391E-2</v>
      </c>
      <c r="V142" s="224"/>
      <c r="Y142" s="211">
        <f>(Y54+Y78+Y113)*17/14</f>
        <v>4.322725456189018E-2</v>
      </c>
      <c r="Z142" s="224"/>
      <c r="AC142" s="211">
        <f>(AC54+AC78+AC113)*17/14</f>
        <v>5.1096136484883467E-2</v>
      </c>
      <c r="AD142" s="224"/>
      <c r="AG142" s="211">
        <f>(AG54+AG78+AG113)*17/14</f>
        <v>3.67602494418071E-2</v>
      </c>
      <c r="AH142" s="224"/>
      <c r="AK142" s="211">
        <f>(AK54+AK78+AK113)*17/14</f>
        <v>3.7350502034351162E-2</v>
      </c>
      <c r="AL142" s="224"/>
      <c r="AO142" s="211">
        <f>(AO54+AO78+AO113)*17/14</f>
        <v>3.6961357434126853E-2</v>
      </c>
      <c r="AP142" s="224"/>
      <c r="AS142" s="211">
        <f>(AS54+AS78+AS113)*17/14</f>
        <v>4.470630162203524E-2</v>
      </c>
    </row>
    <row r="143" spans="1:46" x14ac:dyDescent="0.25">
      <c r="A143" s="249"/>
      <c r="B143" s="234"/>
      <c r="C143" s="235"/>
      <c r="D143" s="235"/>
      <c r="E143" s="236"/>
      <c r="F143" s="234"/>
      <c r="G143" s="235"/>
      <c r="H143" s="235"/>
      <c r="I143" s="236"/>
      <c r="J143" s="234"/>
      <c r="K143" s="235"/>
      <c r="L143" s="235"/>
      <c r="M143" s="236"/>
      <c r="N143" s="234"/>
      <c r="O143" s="235"/>
      <c r="P143" s="235"/>
      <c r="Q143" s="236"/>
      <c r="R143" s="234"/>
      <c r="S143" s="235"/>
      <c r="T143" s="235"/>
      <c r="U143" s="236"/>
      <c r="V143" s="234"/>
      <c r="W143" s="235"/>
      <c r="X143" s="235"/>
      <c r="Y143" s="236"/>
      <c r="Z143" s="234"/>
      <c r="AA143" s="235"/>
      <c r="AB143" s="235"/>
      <c r="AC143" s="236"/>
      <c r="AD143" s="234"/>
      <c r="AE143" s="235"/>
      <c r="AF143" s="235"/>
      <c r="AG143" s="236"/>
      <c r="AH143" s="234"/>
      <c r="AI143" s="235"/>
      <c r="AJ143" s="235"/>
      <c r="AK143" s="236"/>
      <c r="AL143" s="234"/>
      <c r="AM143" s="235"/>
      <c r="AN143" s="235"/>
      <c r="AO143" s="235"/>
      <c r="AP143" s="234"/>
      <c r="AQ143" s="235"/>
      <c r="AR143" s="235"/>
      <c r="AS143" s="236"/>
    </row>
    <row r="144" spans="1:46" x14ac:dyDescent="0.25">
      <c r="A144" s="179"/>
      <c r="AP144" s="17"/>
    </row>
    <row r="145" spans="2:25" x14ac:dyDescent="0.25">
      <c r="B145" s="172"/>
      <c r="C145" s="172"/>
      <c r="D145" s="172"/>
      <c r="E145" s="172"/>
      <c r="V145" s="180"/>
      <c r="W145" s="180"/>
      <c r="X145" s="180"/>
      <c r="Y145" s="180"/>
    </row>
  </sheetData>
  <phoneticPr fontId="80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4">
    <tabColor theme="4" tint="0.79998168889431442"/>
  </sheetPr>
  <dimension ref="A2:S137"/>
  <sheetViews>
    <sheetView zoomScale="80" zoomScaleNormal="90" workbookViewId="0">
      <selection activeCell="A6" sqref="A6:A12"/>
    </sheetView>
  </sheetViews>
  <sheetFormatPr defaultColWidth="8.7109375" defaultRowHeight="15" x14ac:dyDescent="0.25"/>
  <cols>
    <col min="1" max="1" width="8.5703125" customWidth="1"/>
    <col min="2" max="2" width="30.42578125" customWidth="1"/>
    <col min="3" max="3" width="19" customWidth="1"/>
    <col min="4" max="4" width="12.5703125" customWidth="1"/>
    <col min="5" max="5" width="10.42578125" customWidth="1"/>
    <col min="6" max="6" width="12.5703125" style="16" customWidth="1"/>
    <col min="7" max="11" width="12.5703125" customWidth="1"/>
    <col min="12" max="12" width="14.42578125" customWidth="1"/>
    <col min="13" max="18" width="12.5703125" customWidth="1"/>
  </cols>
  <sheetData>
    <row r="2" spans="1:18" ht="21" x14ac:dyDescent="0.35">
      <c r="A2" s="2" t="s">
        <v>394</v>
      </c>
      <c r="G2" t="s">
        <v>395</v>
      </c>
    </row>
    <row r="3" spans="1:18" x14ac:dyDescent="0.25">
      <c r="I3" s="8"/>
      <c r="J3" s="8"/>
      <c r="K3" s="8"/>
      <c r="L3" s="8"/>
      <c r="M3" s="8"/>
      <c r="N3" s="8"/>
      <c r="O3" s="8"/>
      <c r="P3" s="8"/>
    </row>
    <row r="4" spans="1:18" ht="30" x14ac:dyDescent="0.25">
      <c r="A4" s="147" t="s">
        <v>396</v>
      </c>
      <c r="B4" s="139"/>
      <c r="C4" s="139"/>
      <c r="D4" s="139"/>
      <c r="E4" s="139"/>
      <c r="F4" s="313" t="s">
        <v>102</v>
      </c>
      <c r="G4" s="140" t="s">
        <v>103</v>
      </c>
      <c r="H4" s="141"/>
      <c r="I4" s="140" t="s">
        <v>104</v>
      </c>
      <c r="J4" s="100"/>
      <c r="K4" s="140" t="s">
        <v>105</v>
      </c>
      <c r="L4" s="100"/>
      <c r="M4" s="100"/>
      <c r="N4" s="100"/>
      <c r="O4" s="101" t="s">
        <v>106</v>
      </c>
      <c r="P4" s="101" t="s">
        <v>397</v>
      </c>
      <c r="Q4" s="142" t="s">
        <v>107</v>
      </c>
      <c r="R4" s="140" t="s">
        <v>398</v>
      </c>
    </row>
    <row r="5" spans="1:18" ht="47.25" customHeight="1" x14ac:dyDescent="0.25">
      <c r="A5" s="94" t="s">
        <v>59</v>
      </c>
      <c r="B5" s="94" t="s">
        <v>396</v>
      </c>
      <c r="C5" s="94" t="s">
        <v>399</v>
      </c>
      <c r="D5" s="94" t="s">
        <v>62</v>
      </c>
      <c r="E5" s="143" t="s">
        <v>63</v>
      </c>
      <c r="F5" s="314"/>
      <c r="G5" s="95" t="s">
        <v>11</v>
      </c>
      <c r="H5" s="95" t="s">
        <v>12</v>
      </c>
      <c r="I5" s="95" t="s">
        <v>400</v>
      </c>
      <c r="J5" s="95" t="s">
        <v>401</v>
      </c>
      <c r="K5" s="95" t="s">
        <v>116</v>
      </c>
      <c r="L5" s="95" t="s">
        <v>117</v>
      </c>
      <c r="M5" s="95" t="s">
        <v>118</v>
      </c>
      <c r="N5" s="95" t="s">
        <v>119</v>
      </c>
      <c r="O5" s="95" t="s">
        <v>120</v>
      </c>
      <c r="P5" s="95"/>
      <c r="Q5" s="143" t="s">
        <v>402</v>
      </c>
      <c r="R5" s="95"/>
    </row>
    <row r="6" spans="1:18" x14ac:dyDescent="0.25">
      <c r="A6" s="21" t="s">
        <v>403</v>
      </c>
      <c r="B6" s="16" t="s">
        <v>187</v>
      </c>
      <c r="C6" s="16" t="s">
        <v>404</v>
      </c>
      <c r="D6" s="22" t="s">
        <v>36</v>
      </c>
      <c r="E6" s="22" t="s">
        <v>83</v>
      </c>
      <c r="F6" s="115">
        <f>SUM(G6:Q6)</f>
        <v>0.16400000000000001</v>
      </c>
      <c r="G6" s="259">
        <v>6.4000000000000001E-2</v>
      </c>
      <c r="H6" s="259">
        <v>2.7E-2</v>
      </c>
      <c r="I6" s="259">
        <v>0</v>
      </c>
      <c r="J6" s="259"/>
      <c r="K6" s="259">
        <v>3.3000000000000002E-2</v>
      </c>
      <c r="L6" s="259"/>
      <c r="M6" s="259">
        <v>0</v>
      </c>
      <c r="N6" s="259">
        <v>0.04</v>
      </c>
      <c r="O6" s="259"/>
      <c r="P6" s="259"/>
      <c r="R6" s="145">
        <f>'Parameters, country spec'!B21</f>
        <v>0.35358045392897253</v>
      </c>
    </row>
    <row r="7" spans="1:18" x14ac:dyDescent="0.25">
      <c r="A7" s="21" t="s">
        <v>405</v>
      </c>
      <c r="B7" s="16" t="s">
        <v>189</v>
      </c>
      <c r="C7" s="16" t="s">
        <v>404</v>
      </c>
      <c r="D7" s="22" t="s">
        <v>36</v>
      </c>
      <c r="E7" s="22" t="s">
        <v>83</v>
      </c>
      <c r="F7" s="115">
        <f>SUM(G7:Q7)</f>
        <v>0.161</v>
      </c>
      <c r="G7" s="259">
        <v>6.3E-2</v>
      </c>
      <c r="H7" s="259">
        <v>2.7E-2</v>
      </c>
      <c r="I7" s="259">
        <v>0</v>
      </c>
      <c r="J7" s="259"/>
      <c r="K7" s="259">
        <v>2.7E-2</v>
      </c>
      <c r="L7" s="259"/>
      <c r="M7" s="259">
        <v>4.0000000000000001E-3</v>
      </c>
      <c r="N7" s="259">
        <v>0.04</v>
      </c>
      <c r="O7" s="259"/>
      <c r="P7" s="259"/>
      <c r="R7" s="145">
        <f>'Parameters, country spec'!B22</f>
        <v>2.127816529490071E-2</v>
      </c>
    </row>
    <row r="8" spans="1:18" x14ac:dyDescent="0.25">
      <c r="A8" s="21" t="s">
        <v>406</v>
      </c>
      <c r="B8" s="16" t="s">
        <v>191</v>
      </c>
      <c r="C8" s="16" t="s">
        <v>404</v>
      </c>
      <c r="D8" s="22" t="s">
        <v>36</v>
      </c>
      <c r="E8" s="22" t="s">
        <v>83</v>
      </c>
      <c r="F8" s="115">
        <f t="shared" ref="F8:F16" si="0">SUM(G8:Q8)</f>
        <v>0.16200000000000001</v>
      </c>
      <c r="G8" s="259">
        <v>5.7000000000000002E-2</v>
      </c>
      <c r="H8" s="259">
        <v>2.7E-2</v>
      </c>
      <c r="I8" s="259">
        <v>0</v>
      </c>
      <c r="J8" s="259"/>
      <c r="K8" s="259">
        <v>3.7999999999999999E-2</v>
      </c>
      <c r="L8" s="259"/>
      <c r="M8" s="259">
        <v>0</v>
      </c>
      <c r="N8" s="259">
        <v>0.04</v>
      </c>
      <c r="O8" s="259"/>
      <c r="P8" s="259"/>
      <c r="R8" s="145">
        <f>'Parameters, country spec'!B23</f>
        <v>5.9387582525533989E-3</v>
      </c>
    </row>
    <row r="9" spans="1:18" x14ac:dyDescent="0.25">
      <c r="A9" s="21" t="s">
        <v>407</v>
      </c>
      <c r="B9" s="16" t="s">
        <v>192</v>
      </c>
      <c r="C9" s="16" t="s">
        <v>404</v>
      </c>
      <c r="D9" s="22" t="s">
        <v>36</v>
      </c>
      <c r="E9" s="22" t="s">
        <v>83</v>
      </c>
      <c r="F9" s="115">
        <f t="shared" si="0"/>
        <v>0.14799999999999999</v>
      </c>
      <c r="G9" s="259">
        <v>0.05</v>
      </c>
      <c r="H9" s="259">
        <v>2.7E-2</v>
      </c>
      <c r="I9" s="259">
        <v>0</v>
      </c>
      <c r="J9" s="259"/>
      <c r="K9" s="259">
        <v>3.1E-2</v>
      </c>
      <c r="L9" s="259"/>
      <c r="M9" s="259">
        <v>0</v>
      </c>
      <c r="N9" s="259">
        <v>0.04</v>
      </c>
      <c r="O9" s="259"/>
      <c r="P9" s="259"/>
      <c r="R9" s="145">
        <f>'Parameters, country spec'!B24</f>
        <v>4.3085020093106188E-3</v>
      </c>
    </row>
    <row r="10" spans="1:18" x14ac:dyDescent="0.25">
      <c r="A10" s="21" t="s">
        <v>408</v>
      </c>
      <c r="B10" s="16" t="s">
        <v>193</v>
      </c>
      <c r="C10" s="16" t="s">
        <v>404</v>
      </c>
      <c r="D10" s="22" t="s">
        <v>36</v>
      </c>
      <c r="E10" s="22" t="s">
        <v>83</v>
      </c>
      <c r="F10" s="115">
        <f t="shared" si="0"/>
        <v>0.16600000000000001</v>
      </c>
      <c r="G10" s="259">
        <v>7.3999999999999996E-2</v>
      </c>
      <c r="H10" s="259">
        <v>2.7E-2</v>
      </c>
      <c r="I10" s="259">
        <v>0</v>
      </c>
      <c r="J10" s="259"/>
      <c r="K10" s="259">
        <v>2.5000000000000001E-2</v>
      </c>
      <c r="L10" s="259"/>
      <c r="M10" s="259">
        <v>0</v>
      </c>
      <c r="N10" s="259">
        <v>0.04</v>
      </c>
      <c r="O10" s="259"/>
      <c r="P10" s="259"/>
      <c r="R10" s="145">
        <f>'Parameters, country spec'!B25</f>
        <v>0.36499405608086982</v>
      </c>
    </row>
    <row r="11" spans="1:18" x14ac:dyDescent="0.25">
      <c r="A11" s="21" t="s">
        <v>409</v>
      </c>
      <c r="B11" s="16" t="s">
        <v>194</v>
      </c>
      <c r="C11" s="16" t="s">
        <v>410</v>
      </c>
      <c r="D11" s="22" t="s">
        <v>36</v>
      </c>
      <c r="E11" s="22" t="s">
        <v>83</v>
      </c>
      <c r="F11" s="115">
        <f t="shared" si="0"/>
        <v>0.11199999999999999</v>
      </c>
      <c r="G11" s="289">
        <v>0</v>
      </c>
      <c r="H11" s="259">
        <v>2.7E-2</v>
      </c>
      <c r="I11" s="259">
        <v>0</v>
      </c>
      <c r="J11" s="259"/>
      <c r="K11" s="259">
        <v>4.4999999999999998E-2</v>
      </c>
      <c r="L11" s="259"/>
      <c r="M11" s="259">
        <v>0</v>
      </c>
      <c r="N11" s="259">
        <v>0.04</v>
      </c>
      <c r="O11" s="259"/>
      <c r="P11" s="259"/>
      <c r="R11" s="145">
        <f>'Parameters, country spec'!B26</f>
        <v>8.6328274294382738E-4</v>
      </c>
    </row>
    <row r="12" spans="1:18" x14ac:dyDescent="0.25">
      <c r="A12" s="21" t="s">
        <v>411</v>
      </c>
      <c r="B12" s="16" t="s">
        <v>195</v>
      </c>
      <c r="C12" s="16" t="s">
        <v>410</v>
      </c>
      <c r="D12" s="22" t="s">
        <v>36</v>
      </c>
      <c r="E12" s="22" t="s">
        <v>83</v>
      </c>
      <c r="F12" s="115">
        <f t="shared" si="0"/>
        <v>0.126</v>
      </c>
      <c r="G12" s="259">
        <v>3.0000000000000001E-3</v>
      </c>
      <c r="H12" s="259">
        <v>2.7E-2</v>
      </c>
      <c r="I12" s="259">
        <v>0</v>
      </c>
      <c r="J12" s="259"/>
      <c r="K12" s="259">
        <v>4.7E-2</v>
      </c>
      <c r="L12" s="259"/>
      <c r="M12" s="259">
        <v>8.9999999999999993E-3</v>
      </c>
      <c r="N12" s="259">
        <v>0.04</v>
      </c>
      <c r="O12" s="259"/>
      <c r="P12" s="259"/>
      <c r="R12" s="145">
        <f>'Parameters, country spec'!B27</f>
        <v>8.4802813940235893E-4</v>
      </c>
    </row>
    <row r="13" spans="1:18" x14ac:dyDescent="0.25">
      <c r="B13" s="17" t="s">
        <v>196</v>
      </c>
      <c r="C13" s="16" t="s">
        <v>412</v>
      </c>
      <c r="D13" s="22" t="s">
        <v>460</v>
      </c>
      <c r="E13" s="22"/>
      <c r="F13" s="115">
        <f>SUM(G13:Q13)</f>
        <v>0.27085685084992916</v>
      </c>
      <c r="G13" s="19">
        <f>'Off-farm feed'!$F$74</f>
        <v>0.11176753125767681</v>
      </c>
      <c r="H13" s="19">
        <f>'Off-farm feed'!$G$74</f>
        <v>1.3034482758620692E-2</v>
      </c>
      <c r="I13" s="19">
        <f>'Off-farm feed'!$H$74</f>
        <v>0</v>
      </c>
      <c r="J13" s="19"/>
      <c r="K13" s="19">
        <f>'Off-farm feed'!$J$74</f>
        <v>2.4688740026345454E-2</v>
      </c>
      <c r="L13" s="19"/>
      <c r="M13" s="288">
        <f>'Off-farm feed'!$L$74</f>
        <v>1.931759303794134E-4</v>
      </c>
      <c r="N13" s="19">
        <f>'Off-farm feed'!$M$74</f>
        <v>3.6802128767029069E-2</v>
      </c>
      <c r="O13" s="19">
        <f>'Off-farm feed'!$N$74</f>
        <v>0</v>
      </c>
      <c r="P13" s="19">
        <f>'Off-farm feed'!$O$74</f>
        <v>2.1170792109877701E-2</v>
      </c>
      <c r="Q13" s="19">
        <f>'Off-farm feed'!$P$74</f>
        <v>6.3200000000000006E-2</v>
      </c>
      <c r="R13" s="145">
        <f>'Parameters, country spec'!B28</f>
        <v>5.419738399660614E-2</v>
      </c>
    </row>
    <row r="14" spans="1:18" x14ac:dyDescent="0.25">
      <c r="B14" s="17" t="s">
        <v>413</v>
      </c>
      <c r="C14" s="16" t="s">
        <v>412</v>
      </c>
      <c r="D14" s="22" t="s">
        <v>437</v>
      </c>
      <c r="E14" s="22"/>
      <c r="F14" s="115">
        <f>SUM(G14:Q14)</f>
        <v>0.7061171705997602</v>
      </c>
      <c r="G14" s="19">
        <f>'Off-farm feed'!$F$23</f>
        <v>7.2632670993098931E-3</v>
      </c>
      <c r="H14" s="19">
        <f>'Off-farm feed'!$G$23</f>
        <v>2.1402439024390246E-2</v>
      </c>
      <c r="I14" s="19">
        <f>'Off-farm feed'!$H$23</f>
        <v>0</v>
      </c>
      <c r="J14" s="19"/>
      <c r="K14" s="19">
        <f>'Off-farm feed'!$J$23</f>
        <v>4.308361966433235E-2</v>
      </c>
      <c r="L14" s="19"/>
      <c r="M14" s="288">
        <f>'Off-farm feed'!$L$23</f>
        <v>1.7842060425123844E-4</v>
      </c>
      <c r="N14" s="19">
        <f>'Off-farm feed'!$M$23</f>
        <v>3.0432604948959403E-2</v>
      </c>
      <c r="O14" s="19">
        <f>'Off-farm feed'!$N$23</f>
        <v>0.31761120248475611</v>
      </c>
      <c r="P14" s="19">
        <f>'Off-farm feed'!$O$23</f>
        <v>3.5145616773760872E-2</v>
      </c>
      <c r="Q14" s="19">
        <f>'Off-farm feed'!$P$23</f>
        <v>0.251</v>
      </c>
      <c r="R14" s="145">
        <f>'Parameters, country spec'!B29</f>
        <v>0.1335329470959849</v>
      </c>
    </row>
    <row r="15" spans="1:18" x14ac:dyDescent="0.25">
      <c r="B15" s="16" t="s">
        <v>198</v>
      </c>
      <c r="C15" s="16" t="s">
        <v>414</v>
      </c>
      <c r="D15" s="22" t="s">
        <v>36</v>
      </c>
      <c r="E15" s="22" t="s">
        <v>83</v>
      </c>
      <c r="F15" s="115"/>
      <c r="G15" s="103"/>
      <c r="H15" s="7"/>
      <c r="I15" s="102"/>
      <c r="J15" s="7"/>
      <c r="K15" s="103"/>
      <c r="L15" s="7"/>
      <c r="M15" s="7"/>
      <c r="N15" s="103"/>
      <c r="O15" s="7"/>
      <c r="P15" s="7"/>
      <c r="Q15" s="7"/>
      <c r="R15" s="145">
        <f>'Parameters, country spec'!B30</f>
        <v>2.191861120973471E-2</v>
      </c>
    </row>
    <row r="16" spans="1:18" x14ac:dyDescent="0.25">
      <c r="A16" s="80"/>
      <c r="B16" s="16" t="s">
        <v>415</v>
      </c>
      <c r="C16" s="81" t="s">
        <v>416</v>
      </c>
      <c r="D16" s="22" t="s">
        <v>36</v>
      </c>
      <c r="E16" s="22" t="s">
        <v>83</v>
      </c>
      <c r="F16" s="115">
        <f t="shared" si="0"/>
        <v>0.12624510491744986</v>
      </c>
      <c r="G16" s="78">
        <f t="shared" ref="G16:N16" si="1">SUMPRODUCT(G6:G14,$R$126:$R$134)</f>
        <v>4.8862925982375315E-2</v>
      </c>
      <c r="H16" s="78">
        <f t="shared" si="1"/>
        <v>2.0813743455718021E-2</v>
      </c>
      <c r="I16" s="78">
        <f t="shared" si="1"/>
        <v>0</v>
      </c>
      <c r="J16" s="78">
        <f t="shared" si="1"/>
        <v>0</v>
      </c>
      <c r="K16" s="78">
        <f t="shared" si="1"/>
        <v>2.4733756256956972E-2</v>
      </c>
      <c r="L16" s="78">
        <f t="shared" si="1"/>
        <v>0</v>
      </c>
      <c r="M16" s="78">
        <f t="shared" si="1"/>
        <v>5.3095741927641782E-4</v>
      </c>
      <c r="N16" s="78">
        <f t="shared" si="1"/>
        <v>3.130372180312313E-2</v>
      </c>
      <c r="O16" s="78"/>
      <c r="P16" s="78"/>
      <c r="Q16" s="78"/>
      <c r="R16" s="145">
        <f>'Parameters, country spec'!B31</f>
        <v>3.8539811248720843E-2</v>
      </c>
    </row>
    <row r="17" spans="1:18" x14ac:dyDescent="0.25">
      <c r="A17" s="144"/>
      <c r="B17" s="24" t="s">
        <v>417</v>
      </c>
      <c r="C17" s="25"/>
      <c r="D17" s="99"/>
      <c r="E17" s="99"/>
      <c r="F17" s="26">
        <f>SUMPRODUCT(F6:F16,$R$6:$R$16)</f>
        <v>0.23764037076680378</v>
      </c>
      <c r="G17" s="26">
        <f t="shared" ref="G17:Q17" si="2">SUMPRODUCT(G6:G16,$R$126:$R$136)</f>
        <v>5.3449978891173616E-2</v>
      </c>
      <c r="H17" s="26">
        <f t="shared" si="2"/>
        <v>2.2767653102798303E-2</v>
      </c>
      <c r="I17" s="26">
        <f t="shared" si="2"/>
        <v>0</v>
      </c>
      <c r="J17" s="26">
        <f t="shared" si="2"/>
        <v>0</v>
      </c>
      <c r="K17" s="26">
        <f t="shared" si="2"/>
        <v>2.7055660774605087E-2</v>
      </c>
      <c r="L17" s="26">
        <f t="shared" si="2"/>
        <v>0</v>
      </c>
      <c r="M17" s="26">
        <f t="shared" si="2"/>
        <v>5.8080154394914857E-4</v>
      </c>
      <c r="N17" s="26">
        <f t="shared" si="2"/>
        <v>3.4242387985435295E-2</v>
      </c>
      <c r="O17" s="26">
        <f t="shared" si="2"/>
        <v>1.2294062579901991E-2</v>
      </c>
      <c r="P17" s="26">
        <f t="shared" si="2"/>
        <v>1.9872269340731373E-3</v>
      </c>
      <c r="Q17" s="26">
        <f t="shared" si="2"/>
        <v>1.1586875927121197E-2</v>
      </c>
      <c r="R17" s="146"/>
    </row>
    <row r="18" spans="1:18" x14ac:dyDescent="0.25">
      <c r="A18" s="21" t="s">
        <v>403</v>
      </c>
      <c r="B18" s="16" t="s">
        <v>187</v>
      </c>
      <c r="C18" s="16" t="s">
        <v>404</v>
      </c>
      <c r="D18" s="22" t="s">
        <v>27</v>
      </c>
      <c r="E18" s="22" t="s">
        <v>84</v>
      </c>
      <c r="F18" s="115">
        <f>SUM(G18:Q18)</f>
        <v>0.17100000000000001</v>
      </c>
      <c r="G18" s="77">
        <v>7.9000000000000001E-2</v>
      </c>
      <c r="H18" s="13">
        <v>2.7E-2</v>
      </c>
      <c r="I18" s="15">
        <v>0</v>
      </c>
      <c r="J18" s="13"/>
      <c r="K18" s="77">
        <v>0.03</v>
      </c>
      <c r="L18" s="13"/>
      <c r="M18" s="13">
        <v>0</v>
      </c>
      <c r="N18" s="77">
        <v>3.5000000000000003E-2</v>
      </c>
      <c r="O18" s="13"/>
      <c r="P18" s="13"/>
      <c r="R18" s="145">
        <f>'Parameters, country spec'!C21</f>
        <v>0.12973292757166538</v>
      </c>
    </row>
    <row r="19" spans="1:18" x14ac:dyDescent="0.25">
      <c r="A19" s="21" t="s">
        <v>405</v>
      </c>
      <c r="B19" s="16" t="s">
        <v>189</v>
      </c>
      <c r="C19" s="16" t="s">
        <v>404</v>
      </c>
      <c r="D19" s="22" t="s">
        <v>27</v>
      </c>
      <c r="E19" s="22" t="s">
        <v>84</v>
      </c>
      <c r="F19" s="115">
        <f t="shared" ref="F19:F28" si="3">SUM(G19:Q19)</f>
        <v>0.16600000000000001</v>
      </c>
      <c r="G19" s="77">
        <v>7.6999999999999999E-2</v>
      </c>
      <c r="H19" s="13">
        <v>2.7E-2</v>
      </c>
      <c r="I19" s="15">
        <v>0</v>
      </c>
      <c r="J19" s="13"/>
      <c r="K19" s="77">
        <v>0.02</v>
      </c>
      <c r="L19" s="13"/>
      <c r="M19" s="13">
        <v>7.0000000000000001E-3</v>
      </c>
      <c r="N19" s="77">
        <v>3.5000000000000003E-2</v>
      </c>
      <c r="O19" s="13"/>
      <c r="P19" s="13"/>
      <c r="R19" s="145">
        <f>'Parameters, country spec'!C22</f>
        <v>0.21338006498227882</v>
      </c>
    </row>
    <row r="20" spans="1:18" x14ac:dyDescent="0.25">
      <c r="A20" s="21" t="s">
        <v>406</v>
      </c>
      <c r="B20" s="16" t="s">
        <v>191</v>
      </c>
      <c r="C20" s="16" t="s">
        <v>404</v>
      </c>
      <c r="D20" s="22" t="s">
        <v>27</v>
      </c>
      <c r="E20" s="22" t="s">
        <v>84</v>
      </c>
      <c r="F20" s="115">
        <f t="shared" si="3"/>
        <v>0.17700000000000002</v>
      </c>
      <c r="G20" s="77">
        <v>7.0000000000000007E-2</v>
      </c>
      <c r="H20" s="13">
        <v>2.7E-2</v>
      </c>
      <c r="I20" s="15">
        <v>0</v>
      </c>
      <c r="J20" s="13"/>
      <c r="K20" s="77">
        <v>4.1000000000000002E-2</v>
      </c>
      <c r="L20" s="13"/>
      <c r="M20" s="13">
        <v>4.0000000000000001E-3</v>
      </c>
      <c r="N20" s="77">
        <v>3.5000000000000003E-2</v>
      </c>
      <c r="O20" s="13"/>
      <c r="P20" s="13"/>
      <c r="R20" s="145">
        <f>'Parameters, country spec'!C23</f>
        <v>1.4700955750111657E-2</v>
      </c>
    </row>
    <row r="21" spans="1:18" x14ac:dyDescent="0.25">
      <c r="A21" s="21" t="s">
        <v>407</v>
      </c>
      <c r="B21" s="16" t="s">
        <v>192</v>
      </c>
      <c r="C21" s="16" t="s">
        <v>404</v>
      </c>
      <c r="D21" s="22" t="s">
        <v>27</v>
      </c>
      <c r="E21" s="22" t="s">
        <v>84</v>
      </c>
      <c r="F21" s="115">
        <f t="shared" si="3"/>
        <v>0.16500000000000001</v>
      </c>
      <c r="G21" s="77">
        <v>6.2E-2</v>
      </c>
      <c r="H21" s="13">
        <v>2.7E-2</v>
      </c>
      <c r="I21" s="13">
        <v>0</v>
      </c>
      <c r="J21" s="13"/>
      <c r="K21" s="77">
        <v>4.1000000000000002E-2</v>
      </c>
      <c r="L21" s="13"/>
      <c r="M21" s="13">
        <v>0</v>
      </c>
      <c r="N21" s="77">
        <v>3.5000000000000003E-2</v>
      </c>
      <c r="O21" s="13"/>
      <c r="P21" s="13"/>
      <c r="R21" s="145">
        <f>'Parameters, country spec'!C24</f>
        <v>2.2576295256694127E-3</v>
      </c>
    </row>
    <row r="22" spans="1:18" x14ac:dyDescent="0.25">
      <c r="A22" s="21" t="s">
        <v>408</v>
      </c>
      <c r="B22" s="16" t="s">
        <v>193</v>
      </c>
      <c r="C22" s="16" t="s">
        <v>404</v>
      </c>
      <c r="D22" s="22" t="s">
        <v>27</v>
      </c>
      <c r="E22" s="22" t="s">
        <v>84</v>
      </c>
      <c r="F22" s="115">
        <f t="shared" si="3"/>
        <v>0.18</v>
      </c>
      <c r="G22" s="77">
        <v>9.0999999999999998E-2</v>
      </c>
      <c r="H22" s="13">
        <v>2.7E-2</v>
      </c>
      <c r="I22" s="13">
        <v>0</v>
      </c>
      <c r="J22" s="13"/>
      <c r="K22" s="77">
        <v>2.7E-2</v>
      </c>
      <c r="L22" s="13"/>
      <c r="M22" s="13">
        <v>0</v>
      </c>
      <c r="N22" s="77">
        <v>3.5000000000000003E-2</v>
      </c>
      <c r="O22" s="13"/>
      <c r="P22" s="13"/>
      <c r="R22" s="145">
        <f>'Parameters, country spec'!C25</f>
        <v>0.31605527388288979</v>
      </c>
    </row>
    <row r="23" spans="1:18" x14ac:dyDescent="0.25">
      <c r="A23" s="21" t="s">
        <v>409</v>
      </c>
      <c r="B23" s="16" t="s">
        <v>194</v>
      </c>
      <c r="C23" s="16" t="s">
        <v>410</v>
      </c>
      <c r="D23" s="22" t="s">
        <v>27</v>
      </c>
      <c r="E23" s="22" t="s">
        <v>84</v>
      </c>
      <c r="F23" s="115">
        <f t="shared" si="3"/>
        <v>0.115</v>
      </c>
      <c r="G23" s="77">
        <v>0</v>
      </c>
      <c r="H23" s="13">
        <v>2.7E-2</v>
      </c>
      <c r="I23" s="15">
        <v>0</v>
      </c>
      <c r="J23" s="13"/>
      <c r="K23" s="77">
        <v>5.0999999999999997E-2</v>
      </c>
      <c r="L23" s="15"/>
      <c r="M23" s="13">
        <v>2E-3</v>
      </c>
      <c r="N23" s="77">
        <v>3.5000000000000003E-2</v>
      </c>
      <c r="O23" s="13"/>
      <c r="P23" s="13"/>
      <c r="R23" s="145">
        <f>'Parameters, country spec'!C26</f>
        <v>0</v>
      </c>
    </row>
    <row r="24" spans="1:18" x14ac:dyDescent="0.25">
      <c r="A24" s="21" t="s">
        <v>411</v>
      </c>
      <c r="B24" s="16" t="s">
        <v>195</v>
      </c>
      <c r="C24" s="16" t="s">
        <v>410</v>
      </c>
      <c r="D24" s="22" t="s">
        <v>27</v>
      </c>
      <c r="E24" s="22" t="s">
        <v>84</v>
      </c>
      <c r="F24" s="115">
        <f t="shared" si="3"/>
        <v>0.13800000000000001</v>
      </c>
      <c r="G24" s="77">
        <v>4.0000000000000001E-3</v>
      </c>
      <c r="H24" s="13">
        <v>2.7E-2</v>
      </c>
      <c r="I24" s="15">
        <v>0</v>
      </c>
      <c r="J24" s="13"/>
      <c r="K24" s="77">
        <v>6.9000000000000006E-2</v>
      </c>
      <c r="L24" s="13"/>
      <c r="M24" s="13">
        <v>3.0000000000000001E-3</v>
      </c>
      <c r="N24" s="77">
        <v>3.5000000000000003E-2</v>
      </c>
      <c r="O24" s="13"/>
      <c r="P24" s="13"/>
      <c r="R24" s="145">
        <f>'Parameters, country spec'!C27</f>
        <v>0</v>
      </c>
    </row>
    <row r="25" spans="1:18" x14ac:dyDescent="0.25">
      <c r="B25" s="17" t="s">
        <v>196</v>
      </c>
      <c r="C25" s="16" t="s">
        <v>412</v>
      </c>
      <c r="D25" s="22" t="s">
        <v>460</v>
      </c>
      <c r="E25" s="22"/>
      <c r="F25" s="115">
        <f t="shared" si="3"/>
        <v>0.27085685084992916</v>
      </c>
      <c r="G25" s="19">
        <f>'Off-farm feed'!$F$74</f>
        <v>0.11176753125767681</v>
      </c>
      <c r="H25" s="19">
        <f>'Off-farm feed'!$G$74</f>
        <v>1.3034482758620692E-2</v>
      </c>
      <c r="I25" s="19">
        <f>'Off-farm feed'!$H$74</f>
        <v>0</v>
      </c>
      <c r="J25" s="19"/>
      <c r="K25" s="19">
        <f>'Off-farm feed'!$J$74</f>
        <v>2.4688740026345454E-2</v>
      </c>
      <c r="L25" s="19"/>
      <c r="M25" s="288">
        <f>'Off-farm feed'!$L$74</f>
        <v>1.931759303794134E-4</v>
      </c>
      <c r="N25" s="19">
        <f>'Off-farm feed'!$M$74</f>
        <v>3.6802128767029069E-2</v>
      </c>
      <c r="O25" s="19">
        <f>'Off-farm feed'!$N$74</f>
        <v>0</v>
      </c>
      <c r="P25" s="19">
        <f>'Off-farm feed'!$O$74</f>
        <v>2.1170792109877701E-2</v>
      </c>
      <c r="Q25" s="19">
        <f>'Off-farm feed'!$P$74</f>
        <v>6.3200000000000006E-2</v>
      </c>
      <c r="R25" s="145">
        <f>'Parameters, country spec'!C28</f>
        <v>9.4127517207749589E-2</v>
      </c>
    </row>
    <row r="26" spans="1:18" x14ac:dyDescent="0.25">
      <c r="B26" s="17" t="s">
        <v>413</v>
      </c>
      <c r="C26" s="16" t="s">
        <v>412</v>
      </c>
      <c r="D26" s="22" t="s">
        <v>437</v>
      </c>
      <c r="E26" s="22"/>
      <c r="F26" s="115">
        <f t="shared" si="3"/>
        <v>0.7061171705997602</v>
      </c>
      <c r="G26" s="19">
        <f>'Off-farm feed'!$F$23</f>
        <v>7.2632670993098931E-3</v>
      </c>
      <c r="H26" s="19">
        <f>'Off-farm feed'!$G$23</f>
        <v>2.1402439024390246E-2</v>
      </c>
      <c r="I26" s="19">
        <f>'Off-farm feed'!$H$23</f>
        <v>0</v>
      </c>
      <c r="J26" s="19"/>
      <c r="K26" s="19">
        <f>'Off-farm feed'!$J$23</f>
        <v>4.308361966433235E-2</v>
      </c>
      <c r="L26" s="19"/>
      <c r="M26" s="288">
        <f>'Off-farm feed'!$L$23</f>
        <v>1.7842060425123844E-4</v>
      </c>
      <c r="N26" s="19">
        <f>'Off-farm feed'!$M$23</f>
        <v>3.0432604948959403E-2</v>
      </c>
      <c r="O26" s="19">
        <f>'Off-farm feed'!$N$23</f>
        <v>0.31761120248475611</v>
      </c>
      <c r="P26" s="19">
        <f>'Off-farm feed'!$O$23</f>
        <v>3.5145616773760872E-2</v>
      </c>
      <c r="Q26" s="19">
        <f>'Off-farm feed'!$P$23</f>
        <v>0.251</v>
      </c>
      <c r="R26" s="145">
        <f>'Parameters, country spec'!C29</f>
        <v>8.4804995412120512E-2</v>
      </c>
    </row>
    <row r="27" spans="1:18" x14ac:dyDescent="0.25">
      <c r="B27" s="16" t="s">
        <v>198</v>
      </c>
      <c r="C27" s="16" t="s">
        <v>414</v>
      </c>
      <c r="D27" s="22" t="s">
        <v>27</v>
      </c>
      <c r="E27" s="22" t="s">
        <v>84</v>
      </c>
      <c r="F27" s="115"/>
      <c r="G27" s="103"/>
      <c r="H27" s="7"/>
      <c r="I27" s="102"/>
      <c r="J27" s="7"/>
      <c r="K27" s="103"/>
      <c r="L27" s="7"/>
      <c r="M27" s="7"/>
      <c r="N27" s="103"/>
      <c r="O27" s="7"/>
      <c r="P27" s="7"/>
      <c r="Q27" s="7"/>
      <c r="R27" s="145">
        <f>'Parameters, country spec'!C30</f>
        <v>7.7718083682440264E-2</v>
      </c>
    </row>
    <row r="28" spans="1:18" x14ac:dyDescent="0.25">
      <c r="A28" s="80"/>
      <c r="B28" s="16" t="s">
        <v>415</v>
      </c>
      <c r="C28" s="81" t="s">
        <v>416</v>
      </c>
      <c r="D28" s="22" t="s">
        <v>27</v>
      </c>
      <c r="E28" s="22" t="s">
        <v>84</v>
      </c>
      <c r="F28" s="115">
        <f t="shared" si="3"/>
        <v>0.15564960112014387</v>
      </c>
      <c r="G28" s="78">
        <f t="shared" ref="G28:N28" si="4">AVERAGE(G18:G26)</f>
        <v>5.5781199817442971E-2</v>
      </c>
      <c r="H28" s="78">
        <f t="shared" si="4"/>
        <v>2.4826324642556769E-2</v>
      </c>
      <c r="I28" s="78">
        <f t="shared" si="4"/>
        <v>0</v>
      </c>
      <c r="J28" s="78"/>
      <c r="K28" s="78">
        <f t="shared" si="4"/>
        <v>3.853026218785309E-2</v>
      </c>
      <c r="L28" s="78"/>
      <c r="M28" s="78">
        <f t="shared" si="4"/>
        <v>1.8190662816256278E-3</v>
      </c>
      <c r="N28" s="78">
        <f t="shared" si="4"/>
        <v>3.4692748190665389E-2</v>
      </c>
      <c r="O28" s="78"/>
      <c r="P28" s="78"/>
      <c r="Q28" s="78"/>
      <c r="R28" s="145">
        <f>'Parameters, country spec'!C31</f>
        <v>6.7222551985074513E-2</v>
      </c>
    </row>
    <row r="29" spans="1:18" x14ac:dyDescent="0.25">
      <c r="A29" s="144"/>
      <c r="B29" s="24" t="s">
        <v>417</v>
      </c>
      <c r="C29" s="25"/>
      <c r="D29" s="99"/>
      <c r="E29" s="99"/>
      <c r="F29" s="26">
        <f>SUMPRODUCT(F18:F28,$R$18:$R$28)</f>
        <v>0.21331045844533919</v>
      </c>
      <c r="G29" s="26">
        <f>SUMPRODUCT(G18:G28,$R$18:$R$28)</f>
        <v>7.1495352297515857E-2</v>
      </c>
      <c r="H29" s="26">
        <f>SUMPRODUCT(H18:H28,$R$18:$R$28)</f>
        <v>2.2966251138551004E-2</v>
      </c>
      <c r="I29" s="26">
        <f>SUMPRODUCT(I18:I28,$R$18:$R$28)</f>
        <v>0</v>
      </c>
      <c r="J29" s="26"/>
      <c r="K29" s="26">
        <f>SUMPRODUCT(K18:K28,$R$18:$R$28)</f>
        <v>2.595608204050083E-2</v>
      </c>
      <c r="L29" s="26"/>
      <c r="M29" s="26">
        <f>SUMPRODUCT(M18:M28,$R$18:$R$28)</f>
        <v>1.7080606847931388E-3</v>
      </c>
      <c r="N29" s="26">
        <f>SUMPRODUCT(N18:N28,$R$18:$R$28)</f>
        <v>3.204150481056936E-2</v>
      </c>
      <c r="O29" s="26">
        <f>SUMPRODUCT(O18:O28,$R$18:$R$28)</f>
        <v>2.693501656955782E-2</v>
      </c>
      <c r="P29" s="26">
        <f>SUMPRODUCT(P18:P28,$R$18:$R$28)</f>
        <v>4.9732779678791396E-3</v>
      </c>
      <c r="Q29" s="26">
        <f>SUMPRODUCT(Q18:Q28,$R$18:$R$28)</f>
        <v>2.7234912935972026E-2</v>
      </c>
      <c r="R29" s="146"/>
    </row>
    <row r="30" spans="1:18" x14ac:dyDescent="0.25">
      <c r="A30" s="21" t="s">
        <v>403</v>
      </c>
      <c r="B30" s="16" t="s">
        <v>187</v>
      </c>
      <c r="C30" s="16" t="s">
        <v>404</v>
      </c>
      <c r="D30" s="22" t="s">
        <v>30</v>
      </c>
      <c r="E30" s="22" t="s">
        <v>85</v>
      </c>
      <c r="F30" s="115">
        <f>SUM(G30:Q30)</f>
        <v>0.17700000000000002</v>
      </c>
      <c r="G30" s="77">
        <v>7.9000000000000001E-2</v>
      </c>
      <c r="H30" s="13">
        <v>2.7E-2</v>
      </c>
      <c r="I30" s="15">
        <v>0</v>
      </c>
      <c r="J30" s="13"/>
      <c r="K30" s="77">
        <v>2.9000000000000001E-2</v>
      </c>
      <c r="L30" s="13"/>
      <c r="M30" s="13">
        <v>0</v>
      </c>
      <c r="N30" s="77">
        <v>4.2000000000000003E-2</v>
      </c>
      <c r="O30" s="13"/>
      <c r="P30" s="13"/>
      <c r="R30" s="145">
        <f>'Parameters, country spec'!D21</f>
        <v>0.11526313251585651</v>
      </c>
    </row>
    <row r="31" spans="1:18" x14ac:dyDescent="0.25">
      <c r="A31" s="21" t="s">
        <v>405</v>
      </c>
      <c r="B31" s="16" t="s">
        <v>189</v>
      </c>
      <c r="C31" s="16" t="s">
        <v>404</v>
      </c>
      <c r="D31" s="22" t="s">
        <v>30</v>
      </c>
      <c r="E31" s="22" t="s">
        <v>85</v>
      </c>
      <c r="F31" s="115">
        <f t="shared" ref="F31:F40" si="5">SUM(G31:Q31)</f>
        <v>0.16700000000000001</v>
      </c>
      <c r="G31" s="77">
        <v>7.6999999999999999E-2</v>
      </c>
      <c r="H31" s="13">
        <v>2.7E-2</v>
      </c>
      <c r="I31" s="15">
        <v>0</v>
      </c>
      <c r="J31" s="13"/>
      <c r="K31" s="77">
        <v>1.9E-2</v>
      </c>
      <c r="L31" s="13"/>
      <c r="M31" s="13">
        <v>2E-3</v>
      </c>
      <c r="N31" s="77">
        <v>4.2000000000000003E-2</v>
      </c>
      <c r="O31" s="13"/>
      <c r="P31" s="13"/>
      <c r="R31" s="145">
        <f>'Parameters, country spec'!D22</f>
        <v>0.17160602278973394</v>
      </c>
    </row>
    <row r="32" spans="1:18" x14ac:dyDescent="0.25">
      <c r="A32" s="21" t="s">
        <v>406</v>
      </c>
      <c r="B32" s="16" t="s">
        <v>191</v>
      </c>
      <c r="C32" s="16" t="s">
        <v>404</v>
      </c>
      <c r="D32" s="22" t="s">
        <v>30</v>
      </c>
      <c r="E32" s="22" t="s">
        <v>85</v>
      </c>
      <c r="F32" s="115">
        <f t="shared" si="5"/>
        <v>0.18100000000000002</v>
      </c>
      <c r="G32" s="77">
        <v>7.0000000000000007E-2</v>
      </c>
      <c r="H32" s="13">
        <v>2.7E-2</v>
      </c>
      <c r="I32" s="15">
        <v>0</v>
      </c>
      <c r="J32" s="13"/>
      <c r="K32" s="77">
        <v>4.2000000000000003E-2</v>
      </c>
      <c r="L32" s="13"/>
      <c r="M32" s="13">
        <v>0</v>
      </c>
      <c r="N32" s="77">
        <v>4.2000000000000003E-2</v>
      </c>
      <c r="O32" s="13"/>
      <c r="P32" s="13"/>
      <c r="R32" s="145">
        <f>'Parameters, country spec'!D23</f>
        <v>2.2943563284883134E-5</v>
      </c>
    </row>
    <row r="33" spans="1:18" x14ac:dyDescent="0.25">
      <c r="A33" s="21" t="s">
        <v>407</v>
      </c>
      <c r="B33" s="16" t="s">
        <v>192</v>
      </c>
      <c r="C33" s="16" t="s">
        <v>404</v>
      </c>
      <c r="D33" s="22" t="s">
        <v>30</v>
      </c>
      <c r="E33" s="22" t="s">
        <v>85</v>
      </c>
      <c r="F33" s="115">
        <f t="shared" si="5"/>
        <v>0.16700000000000001</v>
      </c>
      <c r="G33" s="77">
        <v>6.2E-2</v>
      </c>
      <c r="H33" s="13">
        <v>2.7E-2</v>
      </c>
      <c r="I33" s="13">
        <v>0</v>
      </c>
      <c r="J33" s="13"/>
      <c r="K33" s="77">
        <v>3.5999999999999997E-2</v>
      </c>
      <c r="L33" s="13"/>
      <c r="M33" s="13">
        <v>0</v>
      </c>
      <c r="N33" s="77">
        <v>4.2000000000000003E-2</v>
      </c>
      <c r="O33" s="13"/>
      <c r="P33" s="13"/>
      <c r="R33" s="145">
        <f>'Parameters, country spec'!D24</f>
        <v>1.8828087929403461E-2</v>
      </c>
    </row>
    <row r="34" spans="1:18" x14ac:dyDescent="0.25">
      <c r="A34" s="21" t="s">
        <v>408</v>
      </c>
      <c r="B34" s="16" t="s">
        <v>193</v>
      </c>
      <c r="C34" s="16" t="s">
        <v>404</v>
      </c>
      <c r="D34" s="22" t="s">
        <v>30</v>
      </c>
      <c r="E34" s="22" t="s">
        <v>85</v>
      </c>
      <c r="F34" s="115">
        <f t="shared" si="5"/>
        <v>0.186</v>
      </c>
      <c r="G34" s="77">
        <v>9.0999999999999998E-2</v>
      </c>
      <c r="H34" s="13">
        <v>2.7E-2</v>
      </c>
      <c r="I34" s="13">
        <v>0</v>
      </c>
      <c r="J34" s="13"/>
      <c r="K34" s="77">
        <v>2.5999999999999999E-2</v>
      </c>
      <c r="L34" s="13"/>
      <c r="M34" s="13">
        <v>0</v>
      </c>
      <c r="N34" s="77">
        <v>4.2000000000000003E-2</v>
      </c>
      <c r="O34" s="13"/>
      <c r="P34" s="13"/>
      <c r="R34" s="145">
        <f>'Parameters, country spec'!D25</f>
        <v>0.38499846835384366</v>
      </c>
    </row>
    <row r="35" spans="1:18" x14ac:dyDescent="0.25">
      <c r="A35" s="21" t="s">
        <v>409</v>
      </c>
      <c r="B35" s="16" t="s">
        <v>194</v>
      </c>
      <c r="C35" s="16" t="s">
        <v>410</v>
      </c>
      <c r="D35" s="22" t="s">
        <v>30</v>
      </c>
      <c r="E35" s="22" t="s">
        <v>85</v>
      </c>
      <c r="F35" s="115">
        <f t="shared" si="5"/>
        <v>0.122</v>
      </c>
      <c r="G35" s="77">
        <v>0</v>
      </c>
      <c r="H35" s="13">
        <v>2.7E-2</v>
      </c>
      <c r="I35" s="15">
        <v>0</v>
      </c>
      <c r="J35" s="13"/>
      <c r="K35" s="77">
        <v>5.2999999999999999E-2</v>
      </c>
      <c r="L35" s="15"/>
      <c r="M35" s="13">
        <v>0</v>
      </c>
      <c r="N35" s="77">
        <v>4.2000000000000003E-2</v>
      </c>
      <c r="O35" s="13"/>
      <c r="P35" s="13"/>
      <c r="R35" s="145">
        <f>'Parameters, country spec'!D26</f>
        <v>1.3290604571676279E-3</v>
      </c>
    </row>
    <row r="36" spans="1:18" x14ac:dyDescent="0.25">
      <c r="A36" s="21" t="s">
        <v>411</v>
      </c>
      <c r="B36" s="16" t="s">
        <v>195</v>
      </c>
      <c r="C36" s="16" t="s">
        <v>410</v>
      </c>
      <c r="D36" s="22" t="s">
        <v>30</v>
      </c>
      <c r="E36" s="22" t="s">
        <v>85</v>
      </c>
      <c r="F36" s="115">
        <f t="shared" si="5"/>
        <v>0.125</v>
      </c>
      <c r="G36" s="77">
        <v>4.0000000000000001E-3</v>
      </c>
      <c r="H36" s="13">
        <v>2.7E-2</v>
      </c>
      <c r="I36" s="15">
        <v>0</v>
      </c>
      <c r="J36" s="13"/>
      <c r="K36" s="77">
        <v>4.5999999999999999E-2</v>
      </c>
      <c r="L36" s="13"/>
      <c r="M36" s="13">
        <v>6.0000000000000001E-3</v>
      </c>
      <c r="N36" s="77">
        <v>4.2000000000000003E-2</v>
      </c>
      <c r="O36" s="13"/>
      <c r="P36" s="13"/>
      <c r="R36" s="145">
        <f>'Parameters, country spec'!D27</f>
        <v>1.3055753467122256E-3</v>
      </c>
    </row>
    <row r="37" spans="1:18" x14ac:dyDescent="0.25">
      <c r="B37" s="17" t="s">
        <v>196</v>
      </c>
      <c r="C37" s="16" t="s">
        <v>412</v>
      </c>
      <c r="D37" s="22" t="s">
        <v>460</v>
      </c>
      <c r="E37" s="22"/>
      <c r="F37" s="115">
        <f t="shared" si="5"/>
        <v>0.27085685084992916</v>
      </c>
      <c r="G37" s="19">
        <f>'Off-farm feed'!$F$74</f>
        <v>0.11176753125767681</v>
      </c>
      <c r="H37" s="19">
        <f>'Off-farm feed'!$G$74</f>
        <v>1.3034482758620692E-2</v>
      </c>
      <c r="I37" s="19">
        <f>'Off-farm feed'!$H$74</f>
        <v>0</v>
      </c>
      <c r="J37" s="19"/>
      <c r="K37" s="19">
        <f>'Off-farm feed'!$J$74</f>
        <v>2.4688740026345454E-2</v>
      </c>
      <c r="L37" s="19"/>
      <c r="M37" s="288">
        <f>'Off-farm feed'!$L$74</f>
        <v>1.931759303794134E-4</v>
      </c>
      <c r="N37" s="19">
        <f>'Off-farm feed'!$M$74</f>
        <v>3.6802128767029069E-2</v>
      </c>
      <c r="O37" s="19">
        <f>'Off-farm feed'!$N$74</f>
        <v>0</v>
      </c>
      <c r="P37" s="19">
        <f>'Off-farm feed'!$O$74</f>
        <v>2.1170792109877701E-2</v>
      </c>
      <c r="Q37" s="19">
        <f>'Off-farm feed'!$P$74</f>
        <v>6.3200000000000006E-2</v>
      </c>
      <c r="R37" s="145">
        <f>'Parameters, country spec'!D28</f>
        <v>0.13439854710458843</v>
      </c>
    </row>
    <row r="38" spans="1:18" x14ac:dyDescent="0.25">
      <c r="B38" s="17" t="s">
        <v>413</v>
      </c>
      <c r="C38" s="16" t="s">
        <v>412</v>
      </c>
      <c r="D38" s="22" t="s">
        <v>437</v>
      </c>
      <c r="E38" s="22"/>
      <c r="F38" s="115">
        <f t="shared" si="5"/>
        <v>0.7061171705997602</v>
      </c>
      <c r="G38" s="19">
        <f>'Off-farm feed'!$F$23</f>
        <v>7.2632670993098931E-3</v>
      </c>
      <c r="H38" s="19">
        <f>'Off-farm feed'!$G$23</f>
        <v>2.1402439024390246E-2</v>
      </c>
      <c r="I38" s="19">
        <f>'Off-farm feed'!$H$23</f>
        <v>0</v>
      </c>
      <c r="J38" s="19"/>
      <c r="K38" s="19">
        <f>'Off-farm feed'!$J$23</f>
        <v>4.308361966433235E-2</v>
      </c>
      <c r="L38" s="19"/>
      <c r="M38" s="288">
        <f>'Off-farm feed'!$L$23</f>
        <v>1.7842060425123844E-4</v>
      </c>
      <c r="N38" s="19">
        <f>'Off-farm feed'!$M$23</f>
        <v>3.0432604948959403E-2</v>
      </c>
      <c r="O38" s="19">
        <f>'Off-farm feed'!$N$23</f>
        <v>0.31761120248475611</v>
      </c>
      <c r="P38" s="19">
        <f>'Off-farm feed'!$O$23</f>
        <v>3.5145616773760872E-2</v>
      </c>
      <c r="Q38" s="19">
        <f>'Off-farm feed'!$P$23</f>
        <v>0.251</v>
      </c>
      <c r="R38" s="145">
        <f>'Parameters, country spec'!D29</f>
        <v>0.12913839280171097</v>
      </c>
    </row>
    <row r="39" spans="1:18" x14ac:dyDescent="0.25">
      <c r="B39" s="16" t="s">
        <v>198</v>
      </c>
      <c r="C39" s="16" t="s">
        <v>414</v>
      </c>
      <c r="D39" s="22" t="s">
        <v>30</v>
      </c>
      <c r="E39" s="22" t="s">
        <v>85</v>
      </c>
      <c r="F39" s="115"/>
      <c r="G39" s="103"/>
      <c r="H39" s="7"/>
      <c r="I39" s="102"/>
      <c r="J39" s="7"/>
      <c r="K39" s="103"/>
      <c r="L39" s="7"/>
      <c r="M39" s="7"/>
      <c r="N39" s="103"/>
      <c r="O39" s="7"/>
      <c r="P39" s="7"/>
      <c r="Q39" s="7"/>
      <c r="R39" s="145">
        <f>'Parameters, country spec'!D30</f>
        <v>2.5759825634764286E-2</v>
      </c>
    </row>
    <row r="40" spans="1:18" x14ac:dyDescent="0.25">
      <c r="A40" s="80"/>
      <c r="B40" s="16" t="s">
        <v>415</v>
      </c>
      <c r="C40" s="81" t="s">
        <v>416</v>
      </c>
      <c r="D40" s="22" t="s">
        <v>30</v>
      </c>
      <c r="E40" s="22" t="s">
        <v>85</v>
      </c>
      <c r="F40" s="115">
        <f t="shared" si="5"/>
        <v>0.15709404556458828</v>
      </c>
      <c r="G40" s="78">
        <f t="shared" ref="G40:N40" si="6">AVERAGE(G30:G38)</f>
        <v>5.5781199817442971E-2</v>
      </c>
      <c r="H40" s="78">
        <f t="shared" si="6"/>
        <v>2.4826324642556769E-2</v>
      </c>
      <c r="I40" s="78">
        <f t="shared" si="6"/>
        <v>0</v>
      </c>
      <c r="J40" s="78"/>
      <c r="K40" s="78">
        <f t="shared" si="6"/>
        <v>3.5419151076741977E-2</v>
      </c>
      <c r="L40" s="78"/>
      <c r="M40" s="78">
        <f t="shared" si="6"/>
        <v>9.3017739273673899E-4</v>
      </c>
      <c r="N40" s="78">
        <f t="shared" si="6"/>
        <v>4.0137192635109828E-2</v>
      </c>
      <c r="O40" s="78"/>
      <c r="P40" s="78"/>
      <c r="Q40" s="78"/>
      <c r="R40" s="145">
        <f>'Parameters, country spec'!D31</f>
        <v>1.7349943502934249E-2</v>
      </c>
    </row>
    <row r="41" spans="1:18" x14ac:dyDescent="0.25">
      <c r="A41" s="144"/>
      <c r="B41" s="24" t="s">
        <v>417</v>
      </c>
      <c r="C41" s="25"/>
      <c r="D41" s="99"/>
      <c r="E41" s="99"/>
      <c r="F41" s="26">
        <f>SUMPRODUCT(F30:F40,$R$30:$R$40)</f>
        <v>0.25445845772197778</v>
      </c>
      <c r="G41" s="26">
        <f>SUMPRODUCT(G30:G40,$R$30:$R$40)</f>
        <v>7.5455642765753145E-2</v>
      </c>
      <c r="H41" s="26">
        <f>SUMPRODUCT(H30:H40,$R$30:$R$40)</f>
        <v>2.3666966308410729E-2</v>
      </c>
      <c r="I41" s="26">
        <f>SUMPRODUCT(I30:I40,$R$30:$R$40)</f>
        <v>0</v>
      </c>
      <c r="J41" s="26"/>
      <c r="K41" s="26">
        <f>SUMPRODUCT(K30:K40,$R$30:$R$40)</f>
        <v>2.6918777377479022E-2</v>
      </c>
      <c r="L41" s="26"/>
      <c r="M41" s="26">
        <f>SUMPRODUCT(M30:M40,$R$30:$R$40)</f>
        <v>4.1618753732571565E-4</v>
      </c>
      <c r="N41" s="26">
        <f>SUMPRODUCT(N30:N40,$R$30:$R$40)</f>
        <v>3.8693386573260345E-2</v>
      </c>
      <c r="O41" s="26">
        <f>SUMPRODUCT(O30:O40,$R$30:$R$40)</f>
        <v>4.1015800224700194E-2</v>
      </c>
      <c r="P41" s="26">
        <f>SUMPRODUCT(P30:P40,$R$30:$R$40)</f>
        <v>7.3839721648091801E-3</v>
      </c>
      <c r="Q41" s="26">
        <f>SUMPRODUCT(Q30:Q40,$R$30:$R$40)</f>
        <v>4.0907724770239441E-2</v>
      </c>
      <c r="R41" s="146"/>
    </row>
    <row r="42" spans="1:18" x14ac:dyDescent="0.25">
      <c r="A42" s="21" t="s">
        <v>403</v>
      </c>
      <c r="B42" s="16" t="s">
        <v>187</v>
      </c>
      <c r="C42" s="16" t="s">
        <v>404</v>
      </c>
      <c r="D42" s="22" t="s">
        <v>25</v>
      </c>
      <c r="E42" s="22" t="s">
        <v>86</v>
      </c>
      <c r="F42" s="115">
        <f>SUM(G42:Q42)</f>
        <v>0.21899999999999997</v>
      </c>
      <c r="G42" s="77">
        <v>7.9000000000000001E-2</v>
      </c>
      <c r="H42" s="13">
        <v>2.7E-2</v>
      </c>
      <c r="I42" s="15">
        <v>0</v>
      </c>
      <c r="J42" s="13"/>
      <c r="K42" s="77">
        <v>6.6000000000000003E-2</v>
      </c>
      <c r="L42" s="13"/>
      <c r="M42" s="13">
        <v>1E-3</v>
      </c>
      <c r="N42" s="77">
        <v>4.5999999999999999E-2</v>
      </c>
      <c r="O42" s="13"/>
      <c r="P42" s="13"/>
      <c r="R42" s="145">
        <f>'Parameters, country spec'!E21</f>
        <v>0.14058778141858874</v>
      </c>
    </row>
    <row r="43" spans="1:18" x14ac:dyDescent="0.25">
      <c r="A43" s="21" t="s">
        <v>405</v>
      </c>
      <c r="B43" s="16" t="s">
        <v>189</v>
      </c>
      <c r="C43" s="16" t="s">
        <v>404</v>
      </c>
      <c r="D43" s="22" t="s">
        <v>25</v>
      </c>
      <c r="E43" s="22" t="s">
        <v>86</v>
      </c>
      <c r="F43" s="115">
        <f t="shared" ref="F43:F52" si="7">SUM(G43:Q43)</f>
        <v>0.182</v>
      </c>
      <c r="G43" s="77">
        <v>7.6999999999999999E-2</v>
      </c>
      <c r="H43" s="13">
        <v>2.7E-2</v>
      </c>
      <c r="I43" s="15">
        <v>0</v>
      </c>
      <c r="J43" s="13"/>
      <c r="K43" s="77">
        <v>1.7000000000000001E-2</v>
      </c>
      <c r="L43" s="13"/>
      <c r="M43" s="13">
        <v>1.4999999999999999E-2</v>
      </c>
      <c r="N43" s="77">
        <v>4.5999999999999999E-2</v>
      </c>
      <c r="O43" s="13"/>
      <c r="P43" s="13"/>
      <c r="R43" s="145">
        <f>'Parameters, country spec'!E22</f>
        <v>0.42048559354051435</v>
      </c>
    </row>
    <row r="44" spans="1:18" x14ac:dyDescent="0.25">
      <c r="A44" s="21" t="s">
        <v>406</v>
      </c>
      <c r="B44" s="16" t="s">
        <v>191</v>
      </c>
      <c r="C44" s="16" t="s">
        <v>404</v>
      </c>
      <c r="D44" s="22" t="s">
        <v>25</v>
      </c>
      <c r="E44" s="22" t="s">
        <v>86</v>
      </c>
      <c r="F44" s="115">
        <f t="shared" si="7"/>
        <v>0.29500000000000004</v>
      </c>
      <c r="G44" s="77">
        <v>7.0000000000000007E-2</v>
      </c>
      <c r="H44" s="13">
        <v>2.7E-2</v>
      </c>
      <c r="I44" s="15">
        <v>0</v>
      </c>
      <c r="J44" s="13"/>
      <c r="K44" s="77">
        <v>0.13900000000000001</v>
      </c>
      <c r="L44" s="13"/>
      <c r="M44" s="13">
        <v>1.2999999999999999E-2</v>
      </c>
      <c r="N44" s="77">
        <v>4.5999999999999999E-2</v>
      </c>
      <c r="O44" s="13"/>
      <c r="P44" s="13"/>
      <c r="R44" s="145">
        <f>'Parameters, country spec'!E23</f>
        <v>3.8207301246899875E-2</v>
      </c>
    </row>
    <row r="45" spans="1:18" x14ac:dyDescent="0.25">
      <c r="A45" s="21" t="s">
        <v>407</v>
      </c>
      <c r="B45" s="16" t="s">
        <v>192</v>
      </c>
      <c r="C45" s="16" t="s">
        <v>404</v>
      </c>
      <c r="D45" s="22" t="s">
        <v>25</v>
      </c>
      <c r="E45" s="22" t="s">
        <v>86</v>
      </c>
      <c r="F45" s="115">
        <f t="shared" si="7"/>
        <v>0.22499999999999998</v>
      </c>
      <c r="G45" s="77">
        <v>6.2E-2</v>
      </c>
      <c r="H45" s="13">
        <v>2.7E-2</v>
      </c>
      <c r="I45" s="13">
        <v>0</v>
      </c>
      <c r="J45" s="13"/>
      <c r="K45" s="77">
        <v>0.09</v>
      </c>
      <c r="L45" s="13"/>
      <c r="M45" s="13">
        <v>0</v>
      </c>
      <c r="N45" s="77">
        <v>4.5999999999999999E-2</v>
      </c>
      <c r="O45" s="13"/>
      <c r="P45" s="13"/>
      <c r="R45" s="145">
        <f>'Parameters, country spec'!E24</f>
        <v>8.4271833798069493E-3</v>
      </c>
    </row>
    <row r="46" spans="1:18" x14ac:dyDescent="0.25">
      <c r="A46" s="21" t="s">
        <v>408</v>
      </c>
      <c r="B46" s="16" t="s">
        <v>193</v>
      </c>
      <c r="C46" s="16" t="s">
        <v>404</v>
      </c>
      <c r="D46" s="22" t="s">
        <v>25</v>
      </c>
      <c r="E46" s="22" t="s">
        <v>86</v>
      </c>
      <c r="F46" s="115">
        <f t="shared" si="7"/>
        <v>0.23199999999999998</v>
      </c>
      <c r="G46" s="77">
        <v>9.0999999999999998E-2</v>
      </c>
      <c r="H46" s="13">
        <v>2.7E-2</v>
      </c>
      <c r="I46" s="13">
        <v>0</v>
      </c>
      <c r="J46" s="13"/>
      <c r="K46" s="77">
        <v>6.6000000000000003E-2</v>
      </c>
      <c r="L46" s="13"/>
      <c r="M46" s="13">
        <v>2E-3</v>
      </c>
      <c r="N46" s="77">
        <v>4.5999999999999999E-2</v>
      </c>
      <c r="O46" s="13"/>
      <c r="P46" s="13"/>
      <c r="R46" s="145">
        <f>'Parameters, country spec'!E25</f>
        <v>6.0433584669897823E-3</v>
      </c>
    </row>
    <row r="47" spans="1:18" x14ac:dyDescent="0.25">
      <c r="A47" s="21" t="s">
        <v>409</v>
      </c>
      <c r="B47" s="16" t="s">
        <v>194</v>
      </c>
      <c r="C47" s="16" t="s">
        <v>410</v>
      </c>
      <c r="D47" s="22" t="s">
        <v>25</v>
      </c>
      <c r="E47" s="22" t="s">
        <v>86</v>
      </c>
      <c r="F47" s="115">
        <f t="shared" si="7"/>
        <v>0.18</v>
      </c>
      <c r="G47" s="77">
        <v>0</v>
      </c>
      <c r="H47" s="13">
        <v>2.7E-2</v>
      </c>
      <c r="I47" s="15">
        <v>0</v>
      </c>
      <c r="J47" s="13"/>
      <c r="K47" s="77">
        <v>0.104</v>
      </c>
      <c r="L47" s="15"/>
      <c r="M47" s="13">
        <v>3.0000000000000001E-3</v>
      </c>
      <c r="N47" s="77">
        <v>4.5999999999999999E-2</v>
      </c>
      <c r="O47" s="13"/>
      <c r="P47" s="13"/>
      <c r="R47" s="145">
        <f>'Parameters, country spec'!E26</f>
        <v>8.3484845362647169E-4</v>
      </c>
    </row>
    <row r="48" spans="1:18" x14ac:dyDescent="0.25">
      <c r="A48" s="21" t="s">
        <v>411</v>
      </c>
      <c r="B48" s="16" t="s">
        <v>195</v>
      </c>
      <c r="C48" s="16" t="s">
        <v>410</v>
      </c>
      <c r="D48" s="22" t="s">
        <v>25</v>
      </c>
      <c r="E48" s="22" t="s">
        <v>86</v>
      </c>
      <c r="F48" s="115">
        <f t="shared" si="7"/>
        <v>0.16499999999999998</v>
      </c>
      <c r="G48" s="77">
        <v>4.0000000000000001E-3</v>
      </c>
      <c r="H48" s="13">
        <v>2.7E-2</v>
      </c>
      <c r="I48" s="15">
        <v>0</v>
      </c>
      <c r="J48" s="13"/>
      <c r="K48" s="77">
        <v>6.5000000000000002E-2</v>
      </c>
      <c r="L48" s="13"/>
      <c r="M48" s="13">
        <v>2.3E-2</v>
      </c>
      <c r="N48" s="77">
        <v>4.5999999999999999E-2</v>
      </c>
      <c r="O48" s="13"/>
      <c r="P48" s="13"/>
      <c r="R48" s="145">
        <f>'Parameters, country spec'!E27</f>
        <v>8.2009629650373257E-4</v>
      </c>
    </row>
    <row r="49" spans="1:18" x14ac:dyDescent="0.25">
      <c r="B49" s="17" t="s">
        <v>196</v>
      </c>
      <c r="C49" s="16" t="s">
        <v>412</v>
      </c>
      <c r="D49" s="22" t="s">
        <v>460</v>
      </c>
      <c r="E49" s="22"/>
      <c r="F49" s="115">
        <f t="shared" si="7"/>
        <v>0.27085685084992916</v>
      </c>
      <c r="G49" s="19">
        <f>'Off-farm feed'!$F$74</f>
        <v>0.11176753125767681</v>
      </c>
      <c r="H49" s="19">
        <f>'Off-farm feed'!$G$74</f>
        <v>1.3034482758620692E-2</v>
      </c>
      <c r="I49" s="19">
        <f>'Off-farm feed'!$H$74</f>
        <v>0</v>
      </c>
      <c r="J49" s="19"/>
      <c r="K49" s="19">
        <f>'Off-farm feed'!$J$74</f>
        <v>2.4688740026345454E-2</v>
      </c>
      <c r="L49" s="19"/>
      <c r="M49" s="288">
        <f>'Off-farm feed'!$L$74</f>
        <v>1.931759303794134E-4</v>
      </c>
      <c r="N49" s="19">
        <f>'Off-farm feed'!$M$74</f>
        <v>3.6802128767029069E-2</v>
      </c>
      <c r="O49" s="19">
        <f>'Off-farm feed'!$N$74</f>
        <v>0</v>
      </c>
      <c r="P49" s="19">
        <f>'Off-farm feed'!$O$74</f>
        <v>2.1170792109877701E-2</v>
      </c>
      <c r="Q49" s="19">
        <f>'Off-farm feed'!$P$74</f>
        <v>6.3200000000000006E-2</v>
      </c>
      <c r="R49" s="145">
        <f>'Parameters, country spec'!E28</f>
        <v>9.11078407125663E-4</v>
      </c>
    </row>
    <row r="50" spans="1:18" x14ac:dyDescent="0.25">
      <c r="B50" s="17" t="s">
        <v>413</v>
      </c>
      <c r="C50" s="16" t="s">
        <v>412</v>
      </c>
      <c r="D50" s="22" t="s">
        <v>437</v>
      </c>
      <c r="E50" s="22"/>
      <c r="F50" s="115">
        <f t="shared" si="7"/>
        <v>0.7061171705997602</v>
      </c>
      <c r="G50" s="19">
        <f>'Off-farm feed'!$F$23</f>
        <v>7.2632670993098931E-3</v>
      </c>
      <c r="H50" s="19">
        <f>'Off-farm feed'!$G$23</f>
        <v>2.1402439024390246E-2</v>
      </c>
      <c r="I50" s="19">
        <f>'Off-farm feed'!$H$23</f>
        <v>0</v>
      </c>
      <c r="J50" s="19"/>
      <c r="K50" s="19">
        <f>'Off-farm feed'!$J$23</f>
        <v>4.308361966433235E-2</v>
      </c>
      <c r="L50" s="19"/>
      <c r="M50" s="288">
        <f>'Off-farm feed'!$L$23</f>
        <v>1.7842060425123844E-4</v>
      </c>
      <c r="N50" s="19">
        <f>'Off-farm feed'!$M$23</f>
        <v>3.0432604948959403E-2</v>
      </c>
      <c r="O50" s="19">
        <f>'Off-farm feed'!$N$23</f>
        <v>0.31761120248475611</v>
      </c>
      <c r="P50" s="19">
        <f>'Off-farm feed'!$O$23</f>
        <v>3.5145616773760872E-2</v>
      </c>
      <c r="Q50" s="19">
        <f>'Off-farm feed'!$P$23</f>
        <v>0.251</v>
      </c>
      <c r="R50" s="145">
        <f>'Parameters, country spec'!E29</f>
        <v>0.16053788194639729</v>
      </c>
    </row>
    <row r="51" spans="1:18" x14ac:dyDescent="0.25">
      <c r="B51" s="16" t="s">
        <v>198</v>
      </c>
      <c r="C51" s="16" t="s">
        <v>414</v>
      </c>
      <c r="D51" s="22" t="s">
        <v>25</v>
      </c>
      <c r="E51" s="22" t="s">
        <v>86</v>
      </c>
      <c r="F51" s="115"/>
      <c r="G51" s="103"/>
      <c r="H51" s="7"/>
      <c r="I51" s="102"/>
      <c r="J51" s="7"/>
      <c r="K51" s="103"/>
      <c r="L51" s="7"/>
      <c r="M51" s="7"/>
      <c r="N51" s="103"/>
      <c r="O51" s="7"/>
      <c r="P51" s="7"/>
      <c r="Q51" s="7"/>
      <c r="R51" s="145">
        <f>'Parameters, country spec'!E30</f>
        <v>0.10119467109899569</v>
      </c>
    </row>
    <row r="52" spans="1:18" x14ac:dyDescent="0.25">
      <c r="A52" s="80"/>
      <c r="B52" s="16" t="s">
        <v>415</v>
      </c>
      <c r="C52" s="81" t="s">
        <v>416</v>
      </c>
      <c r="D52" s="22" t="s">
        <v>25</v>
      </c>
      <c r="E52" s="22" t="s">
        <v>86</v>
      </c>
      <c r="F52" s="115">
        <f t="shared" si="7"/>
        <v>0.19853849000903276</v>
      </c>
      <c r="G52" s="78">
        <f t="shared" ref="G52:N52" si="8">AVERAGE(G42:G50)</f>
        <v>5.5781199817442971E-2</v>
      </c>
      <c r="H52" s="78">
        <f t="shared" si="8"/>
        <v>2.4826324642556769E-2</v>
      </c>
      <c r="I52" s="78">
        <f t="shared" si="8"/>
        <v>0</v>
      </c>
      <c r="J52" s="78"/>
      <c r="K52" s="78">
        <f t="shared" si="8"/>
        <v>6.8308039965630882E-2</v>
      </c>
      <c r="L52" s="78"/>
      <c r="M52" s="78">
        <f t="shared" si="8"/>
        <v>6.3746218371811842E-3</v>
      </c>
      <c r="N52" s="78">
        <f t="shared" si="8"/>
        <v>4.3248303746220934E-2</v>
      </c>
      <c r="O52" s="78"/>
      <c r="P52" s="78"/>
      <c r="Q52" s="78"/>
      <c r="R52" s="145">
        <f>'Parameters, country spec'!E31</f>
        <v>0.1219502057445514</v>
      </c>
    </row>
    <row r="53" spans="1:18" x14ac:dyDescent="0.25">
      <c r="A53" s="144"/>
      <c r="B53" s="24" t="s">
        <v>417</v>
      </c>
      <c r="C53" s="25"/>
      <c r="D53" s="99"/>
      <c r="E53" s="99"/>
      <c r="F53" s="26">
        <f>SUMPRODUCT(F42:F52,$R$42:$R$52)</f>
        <v>0.25998915656536797</v>
      </c>
      <c r="G53" s="26">
        <f>SUMPRODUCT(G42:G52,$R$42:$R$52)</f>
        <v>5.5304435192097101E-2</v>
      </c>
      <c r="H53" s="26">
        <f>SUMPRODUCT(H42:H52,$R$42:$R$52)</f>
        <v>2.3091319458971891E-2</v>
      </c>
      <c r="I53" s="26">
        <f>SUMPRODUCT(I42:I52,$R$42:$R$52)</f>
        <v>0</v>
      </c>
      <c r="J53" s="26"/>
      <c r="K53" s="26">
        <f>SUMPRODUCT(K42:K52,$R$42:$R$52)</f>
        <v>3.8304528151837464E-2</v>
      </c>
      <c r="L53" s="26"/>
      <c r="M53" s="26">
        <f>SUMPRODUCT(M42:M52,$R$42:$R$52)</f>
        <v>7.7842257867594376E-3</v>
      </c>
      <c r="N53" s="26">
        <f>SUMPRODUCT(N42:N52,$R$42:$R$52)</f>
        <v>3.8501938594362559E-2</v>
      </c>
      <c r="O53" s="26">
        <f>SUMPRODUCT(O42:O52,$R$42:$R$52)</f>
        <v>5.0988629729351059E-2</v>
      </c>
      <c r="P53" s="26">
        <f>SUMPRODUCT(P42:P52,$R$30:$R$40)</f>
        <v>7.3839721648091801E-3</v>
      </c>
      <c r="Q53" s="26">
        <f>SUMPRODUCT(Q42:Q52,$R$42:$R$52)</f>
        <v>4.0352588523876062E-2</v>
      </c>
      <c r="R53" s="146"/>
    </row>
    <row r="54" spans="1:18" x14ac:dyDescent="0.25">
      <c r="A54" s="21" t="s">
        <v>403</v>
      </c>
      <c r="B54" s="16" t="s">
        <v>187</v>
      </c>
      <c r="C54" s="16" t="s">
        <v>404</v>
      </c>
      <c r="D54" s="22" t="s">
        <v>28</v>
      </c>
      <c r="E54" s="22" t="s">
        <v>87</v>
      </c>
      <c r="F54" s="115">
        <f>SUM(G54:Q54)</f>
        <v>0.18200000000000002</v>
      </c>
      <c r="G54" s="77">
        <v>7.9000000000000001E-2</v>
      </c>
      <c r="H54" s="13">
        <v>2.7E-2</v>
      </c>
      <c r="I54" s="15">
        <v>0</v>
      </c>
      <c r="J54" s="13"/>
      <c r="K54" s="77">
        <v>3.4000000000000002E-2</v>
      </c>
      <c r="L54" s="13"/>
      <c r="M54" s="13">
        <v>0</v>
      </c>
      <c r="N54" s="77">
        <v>4.2000000000000003E-2</v>
      </c>
      <c r="O54" s="13"/>
      <c r="P54" s="13"/>
      <c r="R54" s="145">
        <f>'Parameters, country spec'!F21</f>
        <v>7.6814695206271766E-2</v>
      </c>
    </row>
    <row r="55" spans="1:18" x14ac:dyDescent="0.25">
      <c r="A55" s="21" t="s">
        <v>405</v>
      </c>
      <c r="B55" s="16" t="s">
        <v>189</v>
      </c>
      <c r="C55" s="16" t="s">
        <v>404</v>
      </c>
      <c r="D55" s="22" t="s">
        <v>28</v>
      </c>
      <c r="E55" s="22" t="s">
        <v>87</v>
      </c>
      <c r="F55" s="115">
        <f t="shared" ref="F55:F64" si="9">SUM(G55:Q55)</f>
        <v>0.17</v>
      </c>
      <c r="G55" s="77">
        <v>7.6999999999999999E-2</v>
      </c>
      <c r="H55" s="13">
        <v>2.7E-2</v>
      </c>
      <c r="I55" s="15">
        <v>0</v>
      </c>
      <c r="J55" s="13"/>
      <c r="K55" s="77">
        <v>2.4E-2</v>
      </c>
      <c r="L55" s="13"/>
      <c r="M55" s="13">
        <v>0</v>
      </c>
      <c r="N55" s="77">
        <v>4.2000000000000003E-2</v>
      </c>
      <c r="O55" s="13"/>
      <c r="P55" s="13"/>
      <c r="R55" s="145">
        <f>'Parameters, country spec'!F22</f>
        <v>0.45561964069086464</v>
      </c>
    </row>
    <row r="56" spans="1:18" x14ac:dyDescent="0.25">
      <c r="A56" s="21" t="s">
        <v>406</v>
      </c>
      <c r="B56" s="16" t="s">
        <v>191</v>
      </c>
      <c r="C56" s="16" t="s">
        <v>404</v>
      </c>
      <c r="D56" s="22" t="s">
        <v>28</v>
      </c>
      <c r="E56" s="22" t="s">
        <v>87</v>
      </c>
      <c r="F56" s="115">
        <f t="shared" si="9"/>
        <v>0.20300000000000001</v>
      </c>
      <c r="G56" s="77">
        <v>7.0000000000000007E-2</v>
      </c>
      <c r="H56" s="13">
        <v>2.7E-2</v>
      </c>
      <c r="I56" s="15">
        <v>0</v>
      </c>
      <c r="J56" s="13"/>
      <c r="K56" s="77">
        <v>6.3E-2</v>
      </c>
      <c r="L56" s="13"/>
      <c r="M56" s="13">
        <v>1E-3</v>
      </c>
      <c r="N56" s="77">
        <v>4.2000000000000003E-2</v>
      </c>
      <c r="O56" s="13"/>
      <c r="P56" s="13"/>
      <c r="R56" s="145">
        <f>'Parameters, country spec'!F23</f>
        <v>4.1142483484800152E-2</v>
      </c>
    </row>
    <row r="57" spans="1:18" x14ac:dyDescent="0.25">
      <c r="A57" s="21" t="s">
        <v>407</v>
      </c>
      <c r="B57" s="16" t="s">
        <v>192</v>
      </c>
      <c r="C57" s="16" t="s">
        <v>404</v>
      </c>
      <c r="D57" s="22" t="s">
        <v>28</v>
      </c>
      <c r="E57" s="22" t="s">
        <v>87</v>
      </c>
      <c r="F57" s="115">
        <f t="shared" si="9"/>
        <v>0.186</v>
      </c>
      <c r="G57" s="77">
        <v>6.2E-2</v>
      </c>
      <c r="H57" s="13">
        <v>2.7E-2</v>
      </c>
      <c r="I57" s="13">
        <v>0</v>
      </c>
      <c r="J57" s="13"/>
      <c r="K57" s="77">
        <v>5.5E-2</v>
      </c>
      <c r="L57" s="13"/>
      <c r="M57" s="13">
        <v>0</v>
      </c>
      <c r="N57" s="77">
        <v>4.2000000000000003E-2</v>
      </c>
      <c r="O57" s="13"/>
      <c r="P57" s="13"/>
      <c r="R57" s="145">
        <f>'Parameters, country spec'!F24</f>
        <v>1.5990662090106512E-2</v>
      </c>
    </row>
    <row r="58" spans="1:18" x14ac:dyDescent="0.25">
      <c r="A58" s="21" t="s">
        <v>408</v>
      </c>
      <c r="B58" s="16" t="s">
        <v>193</v>
      </c>
      <c r="C58" s="16" t="s">
        <v>404</v>
      </c>
      <c r="D58" s="22" t="s">
        <v>28</v>
      </c>
      <c r="E58" s="22" t="s">
        <v>87</v>
      </c>
      <c r="F58" s="115">
        <f t="shared" si="9"/>
        <v>0.19500000000000001</v>
      </c>
      <c r="G58" s="77">
        <v>9.0999999999999998E-2</v>
      </c>
      <c r="H58" s="13">
        <v>2.7E-2</v>
      </c>
      <c r="I58" s="13">
        <v>0</v>
      </c>
      <c r="J58" s="13"/>
      <c r="K58" s="77">
        <v>3.5000000000000003E-2</v>
      </c>
      <c r="L58" s="13"/>
      <c r="M58" s="13">
        <v>0</v>
      </c>
      <c r="N58" s="77">
        <v>4.2000000000000003E-2</v>
      </c>
      <c r="O58" s="13"/>
      <c r="P58" s="13"/>
      <c r="R58" s="145">
        <f>'Parameters, country spec'!F25</f>
        <v>7.1936556132033619E-2</v>
      </c>
    </row>
    <row r="59" spans="1:18" x14ac:dyDescent="0.25">
      <c r="A59" s="21" t="s">
        <v>409</v>
      </c>
      <c r="B59" s="16" t="s">
        <v>194</v>
      </c>
      <c r="C59" s="16" t="s">
        <v>410</v>
      </c>
      <c r="D59" s="22" t="s">
        <v>28</v>
      </c>
      <c r="E59" s="22" t="s">
        <v>87</v>
      </c>
      <c r="F59" s="115">
        <f t="shared" si="9"/>
        <v>0.14599999999999999</v>
      </c>
      <c r="G59" s="77">
        <v>0</v>
      </c>
      <c r="H59" s="13">
        <v>2.7E-2</v>
      </c>
      <c r="I59" s="15">
        <v>0</v>
      </c>
      <c r="J59" s="13"/>
      <c r="K59" s="77">
        <v>7.0999999999999994E-2</v>
      </c>
      <c r="L59" s="15"/>
      <c r="M59" s="13">
        <v>6.0000000000000001E-3</v>
      </c>
      <c r="N59" s="77">
        <v>4.2000000000000003E-2</v>
      </c>
      <c r="O59" s="13"/>
      <c r="P59" s="13"/>
      <c r="R59" s="145">
        <f>'Parameters, country spec'!F26</f>
        <v>1.6050102986641154E-3</v>
      </c>
    </row>
    <row r="60" spans="1:18" x14ac:dyDescent="0.25">
      <c r="A60" s="21" t="s">
        <v>411</v>
      </c>
      <c r="B60" s="16" t="s">
        <v>195</v>
      </c>
      <c r="C60" s="16" t="s">
        <v>410</v>
      </c>
      <c r="D60" s="22" t="s">
        <v>28</v>
      </c>
      <c r="E60" s="22" t="s">
        <v>87</v>
      </c>
      <c r="F60" s="115">
        <f t="shared" si="9"/>
        <v>0.17</v>
      </c>
      <c r="G60" s="77">
        <v>4.0000000000000001E-3</v>
      </c>
      <c r="H60" s="13">
        <v>2.7E-2</v>
      </c>
      <c r="I60" s="15">
        <v>0</v>
      </c>
      <c r="J60" s="13"/>
      <c r="K60" s="77">
        <v>8.8999999999999996E-2</v>
      </c>
      <c r="L60" s="13"/>
      <c r="M60" s="13">
        <v>8.0000000000000002E-3</v>
      </c>
      <c r="N60" s="77">
        <v>4.2000000000000003E-2</v>
      </c>
      <c r="O60" s="13"/>
      <c r="P60" s="13"/>
      <c r="R60" s="145">
        <f>'Parameters, country spec'!F27</f>
        <v>1.5766490275233829E-3</v>
      </c>
    </row>
    <row r="61" spans="1:18" x14ac:dyDescent="0.25">
      <c r="B61" s="17" t="s">
        <v>196</v>
      </c>
      <c r="C61" s="16" t="s">
        <v>412</v>
      </c>
      <c r="D61" s="22" t="s">
        <v>460</v>
      </c>
      <c r="E61" s="22"/>
      <c r="F61" s="115">
        <f t="shared" si="9"/>
        <v>0.27085685084992916</v>
      </c>
      <c r="G61" s="19">
        <f>'Off-farm feed'!$F$74</f>
        <v>0.11176753125767681</v>
      </c>
      <c r="H61" s="19">
        <f>'Off-farm feed'!$G$74</f>
        <v>1.3034482758620692E-2</v>
      </c>
      <c r="I61" s="19">
        <f>'Off-farm feed'!$H$74</f>
        <v>0</v>
      </c>
      <c r="J61" s="19"/>
      <c r="K61" s="19">
        <f>'Off-farm feed'!$J$74</f>
        <v>2.4688740026345454E-2</v>
      </c>
      <c r="L61" s="19"/>
      <c r="M61" s="288">
        <f>'Off-farm feed'!$L$74</f>
        <v>1.931759303794134E-4</v>
      </c>
      <c r="N61" s="19">
        <f>'Off-farm feed'!$M$74</f>
        <v>3.6802128767029069E-2</v>
      </c>
      <c r="O61" s="19">
        <f>'Off-farm feed'!$N$74</f>
        <v>0</v>
      </c>
      <c r="P61" s="19">
        <f>'Off-farm feed'!$O$74</f>
        <v>2.1170792109877701E-2</v>
      </c>
      <c r="Q61" s="19">
        <f>'Off-farm feed'!$P$74</f>
        <v>6.3200000000000006E-2</v>
      </c>
      <c r="R61" s="145">
        <f>'Parameters, country spec'!F28</f>
        <v>6.9270869900852153E-4</v>
      </c>
    </row>
    <row r="62" spans="1:18" x14ac:dyDescent="0.25">
      <c r="B62" s="17" t="s">
        <v>413</v>
      </c>
      <c r="C62" s="16" t="s">
        <v>412</v>
      </c>
      <c r="D62" s="22" t="s">
        <v>437</v>
      </c>
      <c r="E62" s="22"/>
      <c r="F62" s="115">
        <f t="shared" si="9"/>
        <v>0.7061171705997602</v>
      </c>
      <c r="G62" s="19">
        <f>'Off-farm feed'!$F$23</f>
        <v>7.2632670993098931E-3</v>
      </c>
      <c r="H62" s="19">
        <f>'Off-farm feed'!$G$23</f>
        <v>2.1402439024390246E-2</v>
      </c>
      <c r="I62" s="19">
        <f>'Off-farm feed'!$H$23</f>
        <v>0</v>
      </c>
      <c r="J62" s="19"/>
      <c r="K62" s="19">
        <f>'Off-farm feed'!$J$23</f>
        <v>4.308361966433235E-2</v>
      </c>
      <c r="L62" s="19"/>
      <c r="M62" s="288">
        <f>'Off-farm feed'!$L$23</f>
        <v>1.7842060425123844E-4</v>
      </c>
      <c r="N62" s="19">
        <f>'Off-farm feed'!$M$23</f>
        <v>3.0432604948959403E-2</v>
      </c>
      <c r="O62" s="19">
        <f>'Off-farm feed'!$N$23</f>
        <v>0.31761120248475611</v>
      </c>
      <c r="P62" s="19">
        <f>'Off-farm feed'!$O$23</f>
        <v>3.5145616773760872E-2</v>
      </c>
      <c r="Q62" s="19">
        <f>'Off-farm feed'!$P$23</f>
        <v>0.251</v>
      </c>
      <c r="R62" s="145">
        <f>'Parameters, country spec'!F29</f>
        <v>0.13208602451248805</v>
      </c>
    </row>
    <row r="63" spans="1:18" x14ac:dyDescent="0.25">
      <c r="B63" s="16" t="s">
        <v>198</v>
      </c>
      <c r="C63" s="16" t="s">
        <v>414</v>
      </c>
      <c r="D63" s="22" t="s">
        <v>28</v>
      </c>
      <c r="E63" s="22" t="s">
        <v>87</v>
      </c>
      <c r="F63" s="115"/>
      <c r="G63" s="103"/>
      <c r="H63" s="7"/>
      <c r="I63" s="102"/>
      <c r="J63" s="7"/>
      <c r="K63" s="103"/>
      <c r="L63" s="7"/>
      <c r="M63" s="7"/>
      <c r="N63" s="103"/>
      <c r="O63" s="7"/>
      <c r="P63" s="7"/>
      <c r="Q63" s="7"/>
      <c r="R63" s="145">
        <f>'Parameters, country spec'!F30</f>
        <v>0.10416150013335602</v>
      </c>
    </row>
    <row r="64" spans="1:18" x14ac:dyDescent="0.25">
      <c r="A64" s="80"/>
      <c r="B64" s="16" t="s">
        <v>415</v>
      </c>
      <c r="C64" s="81" t="s">
        <v>416</v>
      </c>
      <c r="D64" s="22" t="s">
        <v>28</v>
      </c>
      <c r="E64" s="22" t="s">
        <v>87</v>
      </c>
      <c r="F64" s="115">
        <f t="shared" si="9"/>
        <v>0.17120515667569941</v>
      </c>
      <c r="G64" s="78">
        <f t="shared" ref="G64:N64" si="10">AVERAGE(G54:G62)</f>
        <v>5.5781199817442971E-2</v>
      </c>
      <c r="H64" s="78">
        <f t="shared" si="10"/>
        <v>2.4826324642556769E-2</v>
      </c>
      <c r="I64" s="78">
        <f t="shared" si="10"/>
        <v>0</v>
      </c>
      <c r="J64" s="78"/>
      <c r="K64" s="78">
        <f t="shared" si="10"/>
        <v>4.8752484410075313E-2</v>
      </c>
      <c r="L64" s="78"/>
      <c r="M64" s="78">
        <f t="shared" si="10"/>
        <v>1.7079551705145167E-3</v>
      </c>
      <c r="N64" s="78">
        <f t="shared" si="10"/>
        <v>4.0137192635109828E-2</v>
      </c>
      <c r="O64" s="78"/>
      <c r="P64" s="78"/>
      <c r="Q64" s="78"/>
      <c r="R64" s="145">
        <f>'Parameters, country spec'!F31</f>
        <v>9.8374069724883342E-2</v>
      </c>
    </row>
    <row r="65" spans="1:19" x14ac:dyDescent="0.25">
      <c r="A65" s="144"/>
      <c r="B65" s="24" t="s">
        <v>417</v>
      </c>
      <c r="C65" s="25"/>
      <c r="D65" s="99"/>
      <c r="E65" s="99"/>
      <c r="F65" s="26">
        <f>SUMPRODUCT(F54:F64,$R$54:$R$64)</f>
        <v>0.22758977384656648</v>
      </c>
      <c r="G65" s="26">
        <f>SUMPRODUCT(G54:G64,$R$54:$R$64)</f>
        <v>5.8099223409607693E-2</v>
      </c>
      <c r="H65" s="26">
        <f>SUMPRODUCT(H54:H64,$R$54:$R$64)</f>
        <v>2.3224772593713219E-2</v>
      </c>
      <c r="I65" s="26">
        <f>SUMPRODUCT(I54:I64,$R$54:$R$64)</f>
        <v>0</v>
      </c>
      <c r="J65" s="26"/>
      <c r="K65" s="26">
        <f>SUMPRODUCT(K54:K64,$R$54:$R$64)</f>
        <v>3.0293917296039724E-2</v>
      </c>
      <c r="L65" s="26"/>
      <c r="M65" s="26">
        <f>SUMPRODUCT(M54:M64,$R$54:$R$64)</f>
        <v>2.551049214822169E-4</v>
      </c>
      <c r="N65" s="26">
        <f>SUMPRODUCT(N54:N64,$R$54:$R$64)</f>
        <v>3.591047321592454E-2</v>
      </c>
      <c r="O65" s="26">
        <f>SUMPRODUCT(O54:O64,$R$54:$R$64)</f>
        <v>4.1952001076842299E-2</v>
      </c>
      <c r="P65" s="26">
        <f>SUMPRODUCT(P54:P64,$R$30:$R$40)</f>
        <v>7.3839721648091801E-3</v>
      </c>
      <c r="Q65" s="26">
        <f>SUMPRODUCT(Q54:Q64,$R$54:$R$64)</f>
        <v>3.3197371342411838E-2</v>
      </c>
      <c r="R65" s="146"/>
    </row>
    <row r="66" spans="1:19" x14ac:dyDescent="0.25">
      <c r="A66" s="21" t="s">
        <v>403</v>
      </c>
      <c r="B66" s="16" t="s">
        <v>187</v>
      </c>
      <c r="C66" s="16" t="s">
        <v>404</v>
      </c>
      <c r="D66" s="22" t="s">
        <v>32</v>
      </c>
      <c r="E66" s="22" t="s">
        <v>88</v>
      </c>
      <c r="F66" s="115">
        <f>SUM(G66:Q66)</f>
        <v>0.17200000000000001</v>
      </c>
      <c r="G66" s="77">
        <v>7.9000000000000001E-2</v>
      </c>
      <c r="H66" s="13">
        <v>2.7E-2</v>
      </c>
      <c r="I66" s="15">
        <v>0</v>
      </c>
      <c r="J66" s="13"/>
      <c r="K66" s="77">
        <v>2.5000000000000001E-2</v>
      </c>
      <c r="L66" s="13"/>
      <c r="M66" s="13">
        <v>0</v>
      </c>
      <c r="N66" s="77">
        <v>4.1000000000000002E-2</v>
      </c>
      <c r="O66" s="13"/>
      <c r="P66" s="13"/>
      <c r="R66" s="145">
        <f>'Parameters, country spec'!G21</f>
        <v>0.30784418386466139</v>
      </c>
    </row>
    <row r="67" spans="1:19" x14ac:dyDescent="0.25">
      <c r="A67" s="21" t="s">
        <v>405</v>
      </c>
      <c r="B67" s="16" t="s">
        <v>189</v>
      </c>
      <c r="C67" s="16" t="s">
        <v>404</v>
      </c>
      <c r="D67" s="22" t="s">
        <v>32</v>
      </c>
      <c r="E67" s="22" t="s">
        <v>88</v>
      </c>
      <c r="F67" s="115">
        <f t="shared" ref="F67" si="11">SUM(G67:Q67)</f>
        <v>0.17</v>
      </c>
      <c r="G67" s="77">
        <v>7.6999999999999999E-2</v>
      </c>
      <c r="H67" s="13">
        <v>2.7E-2</v>
      </c>
      <c r="I67" s="15">
        <v>0</v>
      </c>
      <c r="J67" s="13"/>
      <c r="K67" s="77">
        <v>2.4E-2</v>
      </c>
      <c r="L67" s="13"/>
      <c r="M67" s="13">
        <v>0</v>
      </c>
      <c r="N67" s="77">
        <v>4.2000000000000003E-2</v>
      </c>
      <c r="O67" s="13"/>
      <c r="P67" s="13"/>
      <c r="R67" s="145">
        <f>'Parameters, country spec'!G22</f>
        <v>8.4847862288086023E-2</v>
      </c>
      <c r="S67" s="7" t="s">
        <v>536</v>
      </c>
    </row>
    <row r="68" spans="1:19" x14ac:dyDescent="0.25">
      <c r="A68" s="21" t="s">
        <v>406</v>
      </c>
      <c r="B68" s="16" t="s">
        <v>191</v>
      </c>
      <c r="C68" s="16" t="s">
        <v>404</v>
      </c>
      <c r="D68" s="22" t="s">
        <v>32</v>
      </c>
      <c r="E68" s="22" t="s">
        <v>88</v>
      </c>
      <c r="F68" s="115">
        <f t="shared" ref="F68:F76" si="12">SUM(G68:Q68)</f>
        <v>0.16200000000000001</v>
      </c>
      <c r="G68" s="77">
        <v>7.0000000000000007E-2</v>
      </c>
      <c r="H68" s="13">
        <v>2.7E-2</v>
      </c>
      <c r="I68" s="15">
        <v>0</v>
      </c>
      <c r="J68" s="13"/>
      <c r="K68" s="77">
        <v>2.4E-2</v>
      </c>
      <c r="L68" s="13"/>
      <c r="M68" s="13">
        <v>0</v>
      </c>
      <c r="N68" s="77">
        <v>4.1000000000000002E-2</v>
      </c>
      <c r="O68" s="13"/>
      <c r="P68" s="13"/>
      <c r="R68" s="145">
        <f>'Parameters, country spec'!G23</f>
        <v>1.7744137138731981E-2</v>
      </c>
    </row>
    <row r="69" spans="1:19" x14ac:dyDescent="0.25">
      <c r="A69" s="21" t="s">
        <v>407</v>
      </c>
      <c r="B69" s="16" t="s">
        <v>192</v>
      </c>
      <c r="C69" s="16" t="s">
        <v>404</v>
      </c>
      <c r="D69" s="22" t="s">
        <v>32</v>
      </c>
      <c r="E69" s="22" t="s">
        <v>88</v>
      </c>
      <c r="F69" s="115">
        <f t="shared" si="12"/>
        <v>0.185</v>
      </c>
      <c r="G69" s="77">
        <v>6.2E-2</v>
      </c>
      <c r="H69" s="13">
        <v>2.7E-2</v>
      </c>
      <c r="I69" s="13">
        <v>0</v>
      </c>
      <c r="J69" s="13"/>
      <c r="K69" s="77">
        <v>5.5E-2</v>
      </c>
      <c r="L69" s="13"/>
      <c r="M69" s="13">
        <v>0</v>
      </c>
      <c r="N69" s="77">
        <v>4.1000000000000002E-2</v>
      </c>
      <c r="O69" s="13"/>
      <c r="P69" s="13"/>
      <c r="R69" s="145">
        <f>'Parameters, country spec'!G24</f>
        <v>0</v>
      </c>
    </row>
    <row r="70" spans="1:19" x14ac:dyDescent="0.25">
      <c r="A70" s="21" t="s">
        <v>408</v>
      </c>
      <c r="B70" s="16" t="s">
        <v>193</v>
      </c>
      <c r="C70" s="16" t="s">
        <v>404</v>
      </c>
      <c r="D70" s="22" t="s">
        <v>32</v>
      </c>
      <c r="E70" s="22" t="s">
        <v>88</v>
      </c>
      <c r="F70" s="115">
        <f t="shared" si="12"/>
        <v>0.18</v>
      </c>
      <c r="G70" s="77">
        <v>9.0999999999999998E-2</v>
      </c>
      <c r="H70" s="13">
        <v>2.7E-2</v>
      </c>
      <c r="I70" s="13">
        <v>0</v>
      </c>
      <c r="J70" s="13"/>
      <c r="K70" s="77">
        <v>2.1000000000000001E-2</v>
      </c>
      <c r="L70" s="13"/>
      <c r="M70" s="13">
        <v>0</v>
      </c>
      <c r="N70" s="77">
        <v>4.1000000000000002E-2</v>
      </c>
      <c r="O70" s="13"/>
      <c r="P70" s="13"/>
      <c r="R70" s="145">
        <f>'Parameters, country spec'!G25</f>
        <v>0.13221920344294855</v>
      </c>
    </row>
    <row r="71" spans="1:19" x14ac:dyDescent="0.25">
      <c r="A71" s="21" t="s">
        <v>409</v>
      </c>
      <c r="B71" s="16" t="s">
        <v>194</v>
      </c>
      <c r="C71" s="16" t="s">
        <v>410</v>
      </c>
      <c r="D71" s="22" t="s">
        <v>32</v>
      </c>
      <c r="E71" s="22" t="s">
        <v>88</v>
      </c>
      <c r="F71" s="115">
        <f t="shared" si="12"/>
        <v>0.11399999999999999</v>
      </c>
      <c r="G71" s="77">
        <v>0</v>
      </c>
      <c r="H71" s="13">
        <v>2.7E-2</v>
      </c>
      <c r="I71" s="15">
        <v>0</v>
      </c>
      <c r="J71" s="13"/>
      <c r="K71" s="77">
        <v>4.4999999999999998E-2</v>
      </c>
      <c r="L71" s="15"/>
      <c r="M71" s="13">
        <v>1E-3</v>
      </c>
      <c r="N71" s="77">
        <v>4.1000000000000002E-2</v>
      </c>
      <c r="O71" s="13"/>
      <c r="P71" s="13"/>
      <c r="R71" s="145">
        <f>'Parameters, country spec'!G26</f>
        <v>1.343960411791802E-3</v>
      </c>
    </row>
    <row r="72" spans="1:19" x14ac:dyDescent="0.25">
      <c r="A72" s="21" t="s">
        <v>411</v>
      </c>
      <c r="B72" s="16" t="s">
        <v>195</v>
      </c>
      <c r="C72" s="16" t="s">
        <v>410</v>
      </c>
      <c r="D72" s="22" t="s">
        <v>32</v>
      </c>
      <c r="E72" s="22" t="s">
        <v>88</v>
      </c>
      <c r="F72" s="115">
        <f t="shared" si="12"/>
        <v>0.10700000000000001</v>
      </c>
      <c r="G72" s="77">
        <v>4.0000000000000001E-3</v>
      </c>
      <c r="H72" s="13">
        <v>2.7E-2</v>
      </c>
      <c r="I72" s="15">
        <v>0</v>
      </c>
      <c r="J72" s="13"/>
      <c r="K72" s="77">
        <v>3.5000000000000003E-2</v>
      </c>
      <c r="L72" s="13"/>
      <c r="M72" s="13">
        <v>0</v>
      </c>
      <c r="N72" s="77">
        <v>4.1000000000000002E-2</v>
      </c>
      <c r="O72" s="13"/>
      <c r="P72" s="13"/>
      <c r="R72" s="145">
        <f>'Parameters, country spec'!G27</f>
        <v>1.3202120121893659E-3</v>
      </c>
    </row>
    <row r="73" spans="1:19" x14ac:dyDescent="0.25">
      <c r="B73" s="17" t="s">
        <v>196</v>
      </c>
      <c r="C73" s="16" t="s">
        <v>412</v>
      </c>
      <c r="D73" s="22" t="s">
        <v>460</v>
      </c>
      <c r="E73" s="22"/>
      <c r="F73" s="115">
        <f t="shared" si="12"/>
        <v>0.27085685084992916</v>
      </c>
      <c r="G73" s="19">
        <f>'Off-farm feed'!$F$74</f>
        <v>0.11176753125767681</v>
      </c>
      <c r="H73" s="19">
        <f>'Off-farm feed'!$G$74</f>
        <v>1.3034482758620692E-2</v>
      </c>
      <c r="I73" s="19">
        <f>'Off-farm feed'!$H$74</f>
        <v>0</v>
      </c>
      <c r="J73" s="19"/>
      <c r="K73" s="19">
        <f>'Off-farm feed'!$J$74</f>
        <v>2.4688740026345454E-2</v>
      </c>
      <c r="L73" s="19"/>
      <c r="M73" s="288">
        <f>'Off-farm feed'!$L$74</f>
        <v>1.931759303794134E-4</v>
      </c>
      <c r="N73" s="19">
        <f>'Off-farm feed'!$M$74</f>
        <v>3.6802128767029069E-2</v>
      </c>
      <c r="O73" s="19">
        <f>'Off-farm feed'!$N$74</f>
        <v>0</v>
      </c>
      <c r="P73" s="19">
        <f>'Off-farm feed'!$O$74</f>
        <v>2.1170792109877701E-2</v>
      </c>
      <c r="Q73" s="19">
        <f>'Off-farm feed'!$P$74</f>
        <v>6.3200000000000006E-2</v>
      </c>
      <c r="R73" s="145">
        <f>'Parameters, country spec'!G28</f>
        <v>7.1952686054860826E-2</v>
      </c>
    </row>
    <row r="74" spans="1:19" x14ac:dyDescent="0.25">
      <c r="B74" s="17" t="s">
        <v>413</v>
      </c>
      <c r="C74" s="16" t="s">
        <v>412</v>
      </c>
      <c r="D74" s="22" t="s">
        <v>437</v>
      </c>
      <c r="E74" s="22"/>
      <c r="F74" s="115">
        <f t="shared" si="12"/>
        <v>0.7061171705997602</v>
      </c>
      <c r="G74" s="19">
        <f>'Off-farm feed'!$F$23</f>
        <v>7.2632670993098931E-3</v>
      </c>
      <c r="H74" s="19">
        <f>'Off-farm feed'!$G$23</f>
        <v>2.1402439024390246E-2</v>
      </c>
      <c r="I74" s="19">
        <f>'Off-farm feed'!$H$23</f>
        <v>0</v>
      </c>
      <c r="J74" s="19"/>
      <c r="K74" s="19">
        <f>'Off-farm feed'!$J$23</f>
        <v>4.308361966433235E-2</v>
      </c>
      <c r="L74" s="19"/>
      <c r="M74" s="288">
        <f>'Off-farm feed'!$L$23</f>
        <v>1.7842060425123844E-4</v>
      </c>
      <c r="N74" s="19">
        <f>'Off-farm feed'!$M$23</f>
        <v>3.0432604948959403E-2</v>
      </c>
      <c r="O74" s="19">
        <f>'Off-farm feed'!$N$23</f>
        <v>0.31761120248475611</v>
      </c>
      <c r="P74" s="19">
        <f>'Off-farm feed'!$O$23</f>
        <v>3.5145616773760872E-2</v>
      </c>
      <c r="Q74" s="19">
        <f>'Off-farm feed'!$P$23</f>
        <v>0.251</v>
      </c>
      <c r="R74" s="145">
        <f>'Parameters, country spec'!G29</f>
        <v>0.13691957563671808</v>
      </c>
    </row>
    <row r="75" spans="1:19" x14ac:dyDescent="0.25">
      <c r="B75" s="16" t="s">
        <v>198</v>
      </c>
      <c r="C75" s="16" t="s">
        <v>414</v>
      </c>
      <c r="D75" s="22" t="s">
        <v>32</v>
      </c>
      <c r="E75" s="22" t="s">
        <v>88</v>
      </c>
      <c r="F75" s="115"/>
      <c r="G75" s="103"/>
      <c r="H75" s="7"/>
      <c r="I75" s="102"/>
      <c r="J75" s="7"/>
      <c r="K75" s="103"/>
      <c r="L75" s="7"/>
      <c r="M75" s="7"/>
      <c r="N75" s="103"/>
      <c r="O75" s="7"/>
      <c r="P75" s="7"/>
      <c r="Q75" s="7"/>
      <c r="R75" s="145">
        <f>'Parameters, country spec'!G30</f>
        <v>0.13523038514369462</v>
      </c>
    </row>
    <row r="76" spans="1:19" x14ac:dyDescent="0.25">
      <c r="A76" s="80"/>
      <c r="B76" s="16" t="s">
        <v>415</v>
      </c>
      <c r="C76" s="81" t="s">
        <v>416</v>
      </c>
      <c r="D76" s="22" t="s">
        <v>32</v>
      </c>
      <c r="E76" s="22" t="s">
        <v>88</v>
      </c>
      <c r="F76" s="115">
        <f t="shared" si="12"/>
        <v>0.15320515667569939</v>
      </c>
      <c r="G76" s="78">
        <f t="shared" ref="G76:N76" si="13">AVERAGE(G66:G74)</f>
        <v>5.5781199817442971E-2</v>
      </c>
      <c r="H76" s="78">
        <f t="shared" si="13"/>
        <v>2.4826324642556769E-2</v>
      </c>
      <c r="I76" s="78">
        <f t="shared" si="13"/>
        <v>0</v>
      </c>
      <c r="J76" s="78"/>
      <c r="K76" s="78">
        <f t="shared" si="13"/>
        <v>3.2974706632297533E-2</v>
      </c>
      <c r="L76" s="78"/>
      <c r="M76" s="78">
        <f t="shared" si="13"/>
        <v>1.5239961495896133E-4</v>
      </c>
      <c r="N76" s="78">
        <f t="shared" si="13"/>
        <v>3.9470525968443165E-2</v>
      </c>
      <c r="O76" s="78"/>
      <c r="P76" s="78"/>
      <c r="Q76" s="78"/>
      <c r="R76" s="145">
        <f>'Parameters, country spec'!G31</f>
        <v>0.11057779400631759</v>
      </c>
    </row>
    <row r="77" spans="1:19" x14ac:dyDescent="0.25">
      <c r="A77" s="144"/>
      <c r="B77" s="24" t="s">
        <v>417</v>
      </c>
      <c r="C77" s="25"/>
      <c r="D77" s="99"/>
      <c r="E77" s="99"/>
      <c r="F77" s="26">
        <f>SUMPRODUCT(F66:F76,$R$66:$R$76)</f>
        <v>0.22745304678107375</v>
      </c>
      <c r="G77" s="26">
        <f>SUMPRODUCT(G66:G76,$R$66:$R$76)</f>
        <v>5.9336913442081751E-2</v>
      </c>
      <c r="H77" s="26">
        <f>SUMPRODUCT(H66:H76,$R$66:$R$76)</f>
        <v>2.1337147224164431E-2</v>
      </c>
      <c r="I77" s="26">
        <f>SUMPRODUCT(I66:I76,$R$66:$R$76)</f>
        <v>0</v>
      </c>
      <c r="J77" s="26"/>
      <c r="K77" s="26">
        <f>SUMPRODUCT(K66:K76,$R$66:$R$76)</f>
        <v>2.4363283893064157E-2</v>
      </c>
      <c r="L77" s="26"/>
      <c r="M77" s="26">
        <f>SUMPRODUCT(M66:M76,$R$66:$R$76)</f>
        <v>5.6524774132237917E-5</v>
      </c>
      <c r="N77" s="26">
        <f>SUMPRODUCT(N66:N76,$R$66:$R$76)</f>
        <v>3.3622344850098386E-2</v>
      </c>
      <c r="O77" s="26">
        <f>SUMPRODUCT(O66:O76,$R$66:$R$76)</f>
        <v>4.3487191061680544E-2</v>
      </c>
      <c r="P77" s="26">
        <f>SUMPRODUCT(P66:P76,$R$30:$R$40)</f>
        <v>7.3839721648091801E-3</v>
      </c>
      <c r="Q77" s="26">
        <f>SUMPRODUCT(Q66:Q76,$R$66:$R$76)</f>
        <v>3.891422324348344E-2</v>
      </c>
      <c r="R77" s="146"/>
    </row>
    <row r="78" spans="1:19" x14ac:dyDescent="0.25">
      <c r="A78" s="21" t="s">
        <v>403</v>
      </c>
      <c r="B78" s="16" t="s">
        <v>187</v>
      </c>
      <c r="C78" s="16" t="s">
        <v>404</v>
      </c>
      <c r="D78" s="22" t="s">
        <v>31</v>
      </c>
      <c r="E78" s="22" t="s">
        <v>89</v>
      </c>
      <c r="F78" s="115">
        <f>SUM(G78:Q78)</f>
        <v>0.192</v>
      </c>
      <c r="G78" s="77">
        <v>7.9000000000000001E-2</v>
      </c>
      <c r="H78" s="13">
        <v>2.7E-2</v>
      </c>
      <c r="I78" s="15">
        <v>0</v>
      </c>
      <c r="J78" s="13"/>
      <c r="K78" s="77">
        <v>4.4999999999999998E-2</v>
      </c>
      <c r="L78" s="13"/>
      <c r="M78" s="13">
        <v>0</v>
      </c>
      <c r="N78" s="77">
        <v>4.1000000000000002E-2</v>
      </c>
      <c r="O78" s="13"/>
      <c r="P78" s="13"/>
      <c r="R78" s="145">
        <f>'Parameters, country spec'!H21</f>
        <v>6.7331149351278818E-2</v>
      </c>
    </row>
    <row r="79" spans="1:19" x14ac:dyDescent="0.25">
      <c r="A79" s="21" t="s">
        <v>405</v>
      </c>
      <c r="B79" s="16" t="s">
        <v>189</v>
      </c>
      <c r="C79" s="16" t="s">
        <v>404</v>
      </c>
      <c r="D79" s="22" t="s">
        <v>31</v>
      </c>
      <c r="E79" s="22" t="s">
        <v>89</v>
      </c>
      <c r="F79" s="115">
        <f t="shared" ref="F79:F88" si="14">SUM(G79:Q79)</f>
        <v>0.17100000000000001</v>
      </c>
      <c r="G79" s="77">
        <v>7.6999999999999999E-2</v>
      </c>
      <c r="H79" s="13">
        <v>2.7E-2</v>
      </c>
      <c r="I79" s="15">
        <v>0</v>
      </c>
      <c r="J79" s="13"/>
      <c r="K79" s="77">
        <v>1.7999999999999999E-2</v>
      </c>
      <c r="L79" s="13"/>
      <c r="M79" s="13">
        <v>8.0000000000000002E-3</v>
      </c>
      <c r="N79" s="77">
        <v>4.1000000000000002E-2</v>
      </c>
      <c r="O79" s="13"/>
      <c r="P79" s="13"/>
      <c r="R79" s="145">
        <f>'Parameters, country spec'!H22</f>
        <v>0.44026970650157493</v>
      </c>
    </row>
    <row r="80" spans="1:19" x14ac:dyDescent="0.25">
      <c r="A80" s="21" t="s">
        <v>406</v>
      </c>
      <c r="B80" s="16" t="s">
        <v>191</v>
      </c>
      <c r="C80" s="16" t="s">
        <v>404</v>
      </c>
      <c r="D80" s="22" t="s">
        <v>31</v>
      </c>
      <c r="E80" s="22" t="s">
        <v>89</v>
      </c>
      <c r="F80" s="115">
        <f t="shared" si="14"/>
        <v>0.22500000000000001</v>
      </c>
      <c r="G80" s="77">
        <v>7.0000000000000007E-2</v>
      </c>
      <c r="H80" s="13">
        <v>2.7E-2</v>
      </c>
      <c r="I80" s="15">
        <v>0</v>
      </c>
      <c r="J80" s="13"/>
      <c r="K80" s="77">
        <v>7.9000000000000001E-2</v>
      </c>
      <c r="L80" s="13"/>
      <c r="M80" s="13">
        <v>8.0000000000000002E-3</v>
      </c>
      <c r="N80" s="77">
        <v>4.1000000000000002E-2</v>
      </c>
      <c r="O80" s="13"/>
      <c r="P80" s="13"/>
      <c r="R80" s="145">
        <f>'Parameters, country spec'!H23</f>
        <v>1.3982897878135709E-2</v>
      </c>
    </row>
    <row r="81" spans="1:18" x14ac:dyDescent="0.25">
      <c r="A81" s="21" t="s">
        <v>407</v>
      </c>
      <c r="B81" s="16" t="s">
        <v>192</v>
      </c>
      <c r="C81" s="16" t="s">
        <v>404</v>
      </c>
      <c r="D81" s="22" t="s">
        <v>31</v>
      </c>
      <c r="E81" s="22" t="s">
        <v>89</v>
      </c>
      <c r="F81" s="115">
        <f t="shared" si="14"/>
        <v>0.187</v>
      </c>
      <c r="G81" s="77">
        <v>6.2E-2</v>
      </c>
      <c r="H81" s="13">
        <v>2.7E-2</v>
      </c>
      <c r="I81" s="13">
        <v>0</v>
      </c>
      <c r="J81" s="13"/>
      <c r="K81" s="77">
        <v>5.7000000000000002E-2</v>
      </c>
      <c r="L81" s="13"/>
      <c r="M81" s="13">
        <v>0</v>
      </c>
      <c r="N81" s="77">
        <v>4.1000000000000002E-2</v>
      </c>
      <c r="O81" s="13"/>
      <c r="P81" s="13"/>
      <c r="R81" s="145">
        <f>'Parameters, country spec'!H24</f>
        <v>1.1141062374852339E-3</v>
      </c>
    </row>
    <row r="82" spans="1:18" x14ac:dyDescent="0.25">
      <c r="A82" s="21" t="s">
        <v>408</v>
      </c>
      <c r="B82" s="16" t="s">
        <v>193</v>
      </c>
      <c r="C82" s="16" t="s">
        <v>404</v>
      </c>
      <c r="D82" s="22" t="s">
        <v>31</v>
      </c>
      <c r="E82" s="22" t="s">
        <v>89</v>
      </c>
      <c r="F82" s="115">
        <f t="shared" si="14"/>
        <v>0.20899999999999999</v>
      </c>
      <c r="G82" s="77">
        <v>9.0999999999999998E-2</v>
      </c>
      <c r="H82" s="13">
        <v>2.7E-2</v>
      </c>
      <c r="I82" s="13">
        <v>0</v>
      </c>
      <c r="J82" s="13"/>
      <c r="K82" s="77">
        <v>4.8000000000000001E-2</v>
      </c>
      <c r="L82" s="13"/>
      <c r="M82" s="13">
        <v>2E-3</v>
      </c>
      <c r="N82" s="77">
        <v>4.1000000000000002E-2</v>
      </c>
      <c r="O82" s="13"/>
      <c r="P82" s="13"/>
      <c r="R82" s="145">
        <f>'Parameters, country spec'!H25</f>
        <v>6.3776792034317548E-2</v>
      </c>
    </row>
    <row r="83" spans="1:18" x14ac:dyDescent="0.25">
      <c r="A83" s="21" t="s">
        <v>409</v>
      </c>
      <c r="B83" s="16" t="s">
        <v>194</v>
      </c>
      <c r="C83" s="16" t="s">
        <v>410</v>
      </c>
      <c r="D83" s="22" t="s">
        <v>31</v>
      </c>
      <c r="E83" s="22" t="s">
        <v>89</v>
      </c>
      <c r="F83" s="115">
        <f t="shared" si="14"/>
        <v>0.127</v>
      </c>
      <c r="G83" s="77">
        <v>0</v>
      </c>
      <c r="H83" s="13">
        <v>2.7E-2</v>
      </c>
      <c r="I83" s="15">
        <v>0</v>
      </c>
      <c r="J83" s="13"/>
      <c r="K83" s="77">
        <v>5.8000000000000003E-2</v>
      </c>
      <c r="L83" s="15"/>
      <c r="M83" s="13">
        <v>1E-3</v>
      </c>
      <c r="N83" s="77">
        <v>4.1000000000000002E-2</v>
      </c>
      <c r="O83" s="13"/>
      <c r="P83" s="13"/>
      <c r="R83" s="145">
        <f>'Parameters, country spec'!H26</f>
        <v>3.3307304103593416E-3</v>
      </c>
    </row>
    <row r="84" spans="1:18" x14ac:dyDescent="0.25">
      <c r="A84" s="21" t="s">
        <v>411</v>
      </c>
      <c r="B84" s="16" t="s">
        <v>195</v>
      </c>
      <c r="C84" s="16" t="s">
        <v>410</v>
      </c>
      <c r="D84" s="22" t="s">
        <v>31</v>
      </c>
      <c r="E84" s="22" t="s">
        <v>89</v>
      </c>
      <c r="F84" s="115">
        <f t="shared" si="14"/>
        <v>0.159</v>
      </c>
      <c r="G84" s="77">
        <v>4.0000000000000001E-3</v>
      </c>
      <c r="H84" s="13">
        <v>2.7E-2</v>
      </c>
      <c r="I84" s="15">
        <v>0</v>
      </c>
      <c r="J84" s="13"/>
      <c r="K84" s="77">
        <v>8.6999999999999994E-2</v>
      </c>
      <c r="L84" s="13"/>
      <c r="M84" s="13">
        <v>0</v>
      </c>
      <c r="N84" s="77">
        <v>4.1000000000000002E-2</v>
      </c>
      <c r="O84" s="13"/>
      <c r="P84" s="13"/>
      <c r="R84" s="145">
        <f>'Parameters, country spec'!H27</f>
        <v>3.2718748699923465E-3</v>
      </c>
    </row>
    <row r="85" spans="1:18" x14ac:dyDescent="0.25">
      <c r="B85" s="17" t="s">
        <v>196</v>
      </c>
      <c r="C85" s="16" t="s">
        <v>412</v>
      </c>
      <c r="D85" s="22" t="s">
        <v>460</v>
      </c>
      <c r="E85" s="22"/>
      <c r="F85" s="115">
        <f t="shared" si="14"/>
        <v>0.27085685084992916</v>
      </c>
      <c r="G85" s="19">
        <f>'Off-farm feed'!$F$74</f>
        <v>0.11176753125767681</v>
      </c>
      <c r="H85" s="19">
        <f>'Off-farm feed'!$G$74</f>
        <v>1.3034482758620692E-2</v>
      </c>
      <c r="I85" s="19">
        <f>'Off-farm feed'!$H$74</f>
        <v>0</v>
      </c>
      <c r="J85" s="19"/>
      <c r="K85" s="19">
        <f>'Off-farm feed'!$J$74</f>
        <v>2.4688740026345454E-2</v>
      </c>
      <c r="L85" s="19"/>
      <c r="M85" s="288">
        <f>'Off-farm feed'!$L$74</f>
        <v>1.931759303794134E-4</v>
      </c>
      <c r="N85" s="19">
        <f>'Off-farm feed'!$M$74</f>
        <v>3.6802128767029069E-2</v>
      </c>
      <c r="O85" s="19">
        <f>'Off-farm feed'!$N$74</f>
        <v>0</v>
      </c>
      <c r="P85" s="19">
        <f>'Off-farm feed'!$O$74</f>
        <v>2.1170792109877701E-2</v>
      </c>
      <c r="Q85" s="19">
        <f>'Off-farm feed'!$P$74</f>
        <v>6.3200000000000006E-2</v>
      </c>
      <c r="R85" s="145">
        <f>'Parameters, country spec'!H28</f>
        <v>5.6103860515759841E-3</v>
      </c>
    </row>
    <row r="86" spans="1:18" x14ac:dyDescent="0.25">
      <c r="B86" s="17" t="s">
        <v>413</v>
      </c>
      <c r="C86" s="16" t="s">
        <v>412</v>
      </c>
      <c r="D86" s="22" t="s">
        <v>437</v>
      </c>
      <c r="E86" s="22"/>
      <c r="F86" s="115">
        <f t="shared" si="14"/>
        <v>0.7061171705997602</v>
      </c>
      <c r="G86" s="19">
        <f>'Off-farm feed'!$F$23</f>
        <v>7.2632670993098931E-3</v>
      </c>
      <c r="H86" s="19">
        <f>'Off-farm feed'!$G$23</f>
        <v>2.1402439024390246E-2</v>
      </c>
      <c r="I86" s="19">
        <f>'Off-farm feed'!$H$23</f>
        <v>0</v>
      </c>
      <c r="J86" s="19"/>
      <c r="K86" s="19">
        <f>'Off-farm feed'!$J$23</f>
        <v>4.308361966433235E-2</v>
      </c>
      <c r="L86" s="19"/>
      <c r="M86" s="288">
        <f>'Off-farm feed'!$L$23</f>
        <v>1.7842060425123844E-4</v>
      </c>
      <c r="N86" s="19">
        <f>'Off-farm feed'!$M$23</f>
        <v>3.0432604948959403E-2</v>
      </c>
      <c r="O86" s="19">
        <f>'Off-farm feed'!$N$23</f>
        <v>0.31761120248475611</v>
      </c>
      <c r="P86" s="19">
        <f>'Off-farm feed'!$O$23</f>
        <v>3.5145616773760872E-2</v>
      </c>
      <c r="Q86" s="19">
        <f>'Off-farm feed'!$P$23</f>
        <v>0.251</v>
      </c>
      <c r="R86" s="145">
        <f>'Parameters, country spec'!H29</f>
        <v>0.13851395632807983</v>
      </c>
    </row>
    <row r="87" spans="1:18" x14ac:dyDescent="0.25">
      <c r="B87" s="16" t="s">
        <v>198</v>
      </c>
      <c r="C87" s="16" t="s">
        <v>414</v>
      </c>
      <c r="D87" s="22" t="s">
        <v>31</v>
      </c>
      <c r="E87" s="22" t="s">
        <v>89</v>
      </c>
      <c r="F87" s="115"/>
      <c r="G87" s="103"/>
      <c r="H87" s="7"/>
      <c r="I87" s="102"/>
      <c r="J87" s="7"/>
      <c r="K87" s="103"/>
      <c r="L87" s="7"/>
      <c r="M87" s="7"/>
      <c r="N87" s="103"/>
      <c r="O87" s="7"/>
      <c r="P87" s="7"/>
      <c r="Q87" s="7"/>
      <c r="R87" s="145">
        <f>'Parameters, country spec'!H30</f>
        <v>0.14622390087159998</v>
      </c>
    </row>
    <row r="88" spans="1:18" x14ac:dyDescent="0.25">
      <c r="A88" s="80"/>
      <c r="B88" s="16" t="s">
        <v>415</v>
      </c>
      <c r="C88" s="81" t="s">
        <v>416</v>
      </c>
      <c r="D88" s="22" t="s">
        <v>31</v>
      </c>
      <c r="E88" s="22" t="s">
        <v>89</v>
      </c>
      <c r="F88" s="115">
        <f t="shared" si="14"/>
        <v>0.17320515667569941</v>
      </c>
      <c r="G88" s="78">
        <f t="shared" ref="G88:N88" si="15">AVERAGE(G78:G86)</f>
        <v>5.5781199817442971E-2</v>
      </c>
      <c r="H88" s="78">
        <f t="shared" si="15"/>
        <v>2.4826324642556769E-2</v>
      </c>
      <c r="I88" s="78">
        <f t="shared" si="15"/>
        <v>0</v>
      </c>
      <c r="J88" s="78"/>
      <c r="K88" s="78">
        <f t="shared" si="15"/>
        <v>5.1085817743408646E-2</v>
      </c>
      <c r="L88" s="78"/>
      <c r="M88" s="78">
        <f t="shared" si="15"/>
        <v>2.1523996149589615E-3</v>
      </c>
      <c r="N88" s="78">
        <f t="shared" si="15"/>
        <v>3.9359414857332048E-2</v>
      </c>
      <c r="O88" s="78"/>
      <c r="P88" s="78"/>
      <c r="Q88" s="78"/>
      <c r="R88" s="145">
        <f>'Parameters, country spec'!H31</f>
        <v>0.11657449946560031</v>
      </c>
    </row>
    <row r="89" spans="1:18" x14ac:dyDescent="0.25">
      <c r="A89" s="144"/>
      <c r="B89" s="24" t="s">
        <v>417</v>
      </c>
      <c r="C89" s="25"/>
      <c r="D89" s="99"/>
      <c r="E89" s="99"/>
      <c r="F89" s="26">
        <f>SUMPRODUCT(F78:F88,$R$78:$R$88)</f>
        <v>0.22535876965109719</v>
      </c>
      <c r="G89" s="26">
        <f>SUMPRODUCT(G78:G88,$R$78:$R$88)</f>
        <v>5.4220369520657931E-2</v>
      </c>
      <c r="H89" s="26">
        <f>SUMPRODUCT(H78:H88,$R$78:$R$88)</f>
        <v>2.1944867300018694E-2</v>
      </c>
      <c r="I89" s="26">
        <f>SUMPRODUCT(I78:I88,$R$78:$R$88)</f>
        <v>0</v>
      </c>
      <c r="J89" s="26"/>
      <c r="K89" s="26">
        <f>SUMPRODUCT(K78:K88,$R$78:$R$88)</f>
        <v>2.7723530529427165E-2</v>
      </c>
      <c r="L89" s="26"/>
      <c r="M89" s="26">
        <f>SUMPRODUCT(M78:M88,$R$78:$R$88)</f>
        <v>4.0416175926110583E-3</v>
      </c>
      <c r="N89" s="26">
        <f>SUMPRODUCT(N78:N88,$R$78:$R$88)</f>
        <v>3.3326286297614013E-2</v>
      </c>
      <c r="O89" s="26">
        <f>SUMPRODUCT(O78:O88,$R$78:$R$88)</f>
        <v>4.3993584230282427E-2</v>
      </c>
      <c r="P89" s="26">
        <f>SUMPRODUCT(P78:P88,$R$30:$R$40)</f>
        <v>7.3839721648091801E-3</v>
      </c>
      <c r="Q89" s="26">
        <f>SUMPRODUCT(Q78:Q88,$R$78:$R$88)</f>
        <v>3.5121579436807639E-2</v>
      </c>
      <c r="R89" s="146"/>
    </row>
    <row r="90" spans="1:18" x14ac:dyDescent="0.25">
      <c r="A90" s="21" t="s">
        <v>403</v>
      </c>
      <c r="B90" s="16" t="s">
        <v>187</v>
      </c>
      <c r="C90" s="16" t="s">
        <v>404</v>
      </c>
      <c r="D90" s="22" t="s">
        <v>26</v>
      </c>
      <c r="E90" s="22" t="s">
        <v>90</v>
      </c>
      <c r="F90" s="115">
        <f>SUM(G90:Q90)</f>
        <v>0.17699999999999999</v>
      </c>
      <c r="G90" s="77">
        <v>7.9000000000000001E-2</v>
      </c>
      <c r="H90" s="13">
        <v>2.7E-2</v>
      </c>
      <c r="I90" s="15">
        <v>0</v>
      </c>
      <c r="J90" s="13"/>
      <c r="K90" s="77">
        <v>2.7E-2</v>
      </c>
      <c r="L90" s="13"/>
      <c r="M90" s="13">
        <v>1E-3</v>
      </c>
      <c r="N90" s="77">
        <v>4.2999999999999997E-2</v>
      </c>
      <c r="O90" s="13"/>
      <c r="P90" s="13"/>
      <c r="R90" s="145">
        <f>'Parameters, country spec'!I21</f>
        <v>8.7412023715897388E-2</v>
      </c>
    </row>
    <row r="91" spans="1:18" x14ac:dyDescent="0.25">
      <c r="A91" s="21" t="s">
        <v>405</v>
      </c>
      <c r="B91" s="16" t="s">
        <v>189</v>
      </c>
      <c r="C91" s="16" t="s">
        <v>404</v>
      </c>
      <c r="D91" s="22" t="s">
        <v>26</v>
      </c>
      <c r="E91" s="22" t="s">
        <v>90</v>
      </c>
      <c r="F91" s="115">
        <f t="shared" ref="F91:F100" si="16">SUM(G91:Q91)</f>
        <v>0.17199999999999999</v>
      </c>
      <c r="G91" s="77">
        <v>7.6999999999999999E-2</v>
      </c>
      <c r="H91" s="13">
        <v>2.7E-2</v>
      </c>
      <c r="I91" s="15">
        <v>0</v>
      </c>
      <c r="J91" s="13"/>
      <c r="K91" s="77">
        <v>0.02</v>
      </c>
      <c r="L91" s="13"/>
      <c r="M91" s="13">
        <v>5.0000000000000001E-3</v>
      </c>
      <c r="N91" s="77">
        <v>4.2999999999999997E-2</v>
      </c>
      <c r="O91" s="13"/>
      <c r="P91" s="13"/>
      <c r="R91" s="145">
        <f>'Parameters, country spec'!I22</f>
        <v>0.26251561737967866</v>
      </c>
    </row>
    <row r="92" spans="1:18" x14ac:dyDescent="0.25">
      <c r="A92" s="21" t="s">
        <v>406</v>
      </c>
      <c r="B92" s="16" t="s">
        <v>191</v>
      </c>
      <c r="C92" s="16" t="s">
        <v>404</v>
      </c>
      <c r="D92" s="22" t="s">
        <v>26</v>
      </c>
      <c r="E92" s="22" t="s">
        <v>90</v>
      </c>
      <c r="F92" s="115">
        <f t="shared" si="16"/>
        <v>0.17899999999999999</v>
      </c>
      <c r="G92" s="77">
        <v>7.0000000000000007E-2</v>
      </c>
      <c r="H92" s="13">
        <v>2.7E-2</v>
      </c>
      <c r="I92" s="15">
        <v>0</v>
      </c>
      <c r="J92" s="13"/>
      <c r="K92" s="77">
        <v>3.5999999999999997E-2</v>
      </c>
      <c r="L92" s="13"/>
      <c r="M92" s="13">
        <v>3.0000000000000001E-3</v>
      </c>
      <c r="N92" s="77">
        <v>4.2999999999999997E-2</v>
      </c>
      <c r="O92" s="13"/>
      <c r="P92" s="13"/>
      <c r="R92" s="145">
        <f>'Parameters, country spec'!I23</f>
        <v>2.8712859930884239E-3</v>
      </c>
    </row>
    <row r="93" spans="1:18" x14ac:dyDescent="0.25">
      <c r="A93" s="21" t="s">
        <v>407</v>
      </c>
      <c r="B93" s="16" t="s">
        <v>192</v>
      </c>
      <c r="C93" s="16" t="s">
        <v>404</v>
      </c>
      <c r="D93" s="22" t="s">
        <v>26</v>
      </c>
      <c r="E93" s="22" t="s">
        <v>90</v>
      </c>
      <c r="F93" s="115">
        <f t="shared" si="16"/>
        <v>0.184</v>
      </c>
      <c r="G93" s="77">
        <v>6.2E-2</v>
      </c>
      <c r="H93" s="13">
        <v>2.7E-2</v>
      </c>
      <c r="I93" s="13">
        <v>0</v>
      </c>
      <c r="J93" s="13"/>
      <c r="K93" s="77">
        <v>5.1999999999999998E-2</v>
      </c>
      <c r="L93" s="13"/>
      <c r="M93" s="13">
        <v>0</v>
      </c>
      <c r="N93" s="77">
        <v>4.2999999999999997E-2</v>
      </c>
      <c r="O93" s="13"/>
      <c r="P93" s="13"/>
      <c r="R93" s="145">
        <f>'Parameters, country spec'!I24</f>
        <v>1.0804608698251197E-2</v>
      </c>
    </row>
    <row r="94" spans="1:18" x14ac:dyDescent="0.25">
      <c r="A94" s="21" t="s">
        <v>408</v>
      </c>
      <c r="B94" s="16" t="s">
        <v>193</v>
      </c>
      <c r="C94" s="16" t="s">
        <v>404</v>
      </c>
      <c r="D94" s="22" t="s">
        <v>26</v>
      </c>
      <c r="E94" s="22" t="s">
        <v>90</v>
      </c>
      <c r="F94" s="115">
        <f t="shared" si="16"/>
        <v>0.184</v>
      </c>
      <c r="G94" s="77">
        <v>9.0999999999999998E-2</v>
      </c>
      <c r="H94" s="13">
        <v>2.7E-2</v>
      </c>
      <c r="I94" s="13">
        <v>0</v>
      </c>
      <c r="J94" s="13"/>
      <c r="K94" s="77">
        <v>2.1999999999999999E-2</v>
      </c>
      <c r="L94" s="13"/>
      <c r="M94" s="13">
        <v>1E-3</v>
      </c>
      <c r="N94" s="77">
        <v>4.2999999999999997E-2</v>
      </c>
      <c r="O94" s="13"/>
      <c r="P94" s="13"/>
      <c r="R94" s="145">
        <f>'Parameters, country spec'!I25</f>
        <v>0.295775529852283</v>
      </c>
    </row>
    <row r="95" spans="1:18" x14ac:dyDescent="0.25">
      <c r="A95" s="21" t="s">
        <v>409</v>
      </c>
      <c r="B95" s="16" t="s">
        <v>194</v>
      </c>
      <c r="C95" s="16" t="s">
        <v>410</v>
      </c>
      <c r="D95" s="22" t="s">
        <v>26</v>
      </c>
      <c r="E95" s="22" t="s">
        <v>90</v>
      </c>
      <c r="F95" s="115">
        <f t="shared" si="16"/>
        <v>0.105</v>
      </c>
      <c r="G95" s="77">
        <v>0</v>
      </c>
      <c r="H95" s="13">
        <v>2.7E-2</v>
      </c>
      <c r="I95" s="15">
        <v>0</v>
      </c>
      <c r="J95" s="13"/>
      <c r="K95" s="77">
        <v>3.4000000000000002E-2</v>
      </c>
      <c r="L95" s="15"/>
      <c r="M95" s="13">
        <v>1E-3</v>
      </c>
      <c r="N95" s="77">
        <v>4.2999999999999997E-2</v>
      </c>
      <c r="O95" s="13"/>
      <c r="P95" s="13"/>
      <c r="R95" s="145">
        <f>'Parameters, country spec'!I26</f>
        <v>0</v>
      </c>
    </row>
    <row r="96" spans="1:18" x14ac:dyDescent="0.25">
      <c r="A96" s="21" t="s">
        <v>411</v>
      </c>
      <c r="B96" s="16" t="s">
        <v>195</v>
      </c>
      <c r="C96" s="16" t="s">
        <v>410</v>
      </c>
      <c r="D96" s="22" t="s">
        <v>26</v>
      </c>
      <c r="E96" s="22" t="s">
        <v>90</v>
      </c>
      <c r="F96" s="115">
        <f t="shared" si="16"/>
        <v>0.109</v>
      </c>
      <c r="G96" s="77">
        <v>4.0000000000000001E-3</v>
      </c>
      <c r="H96" s="13">
        <v>2.7E-2</v>
      </c>
      <c r="I96" s="15">
        <v>0</v>
      </c>
      <c r="J96" s="13"/>
      <c r="K96" s="77">
        <v>3.4000000000000002E-2</v>
      </c>
      <c r="L96" s="13"/>
      <c r="M96" s="13">
        <v>1E-3</v>
      </c>
      <c r="N96" s="77">
        <v>4.2999999999999997E-2</v>
      </c>
      <c r="O96" s="13"/>
      <c r="P96" s="13"/>
      <c r="R96" s="145">
        <f>'Parameters, country spec'!I27</f>
        <v>0</v>
      </c>
    </row>
    <row r="97" spans="1:18" x14ac:dyDescent="0.25">
      <c r="B97" s="17" t="s">
        <v>196</v>
      </c>
      <c r="C97" s="16" t="s">
        <v>412</v>
      </c>
      <c r="D97" s="22" t="s">
        <v>460</v>
      </c>
      <c r="E97" s="22"/>
      <c r="F97" s="115">
        <f t="shared" si="16"/>
        <v>0.27085685084992916</v>
      </c>
      <c r="G97" s="19">
        <f>'Off-farm feed'!$F$74</f>
        <v>0.11176753125767681</v>
      </c>
      <c r="H97" s="19">
        <f>'Off-farm feed'!$G$74</f>
        <v>1.3034482758620692E-2</v>
      </c>
      <c r="I97" s="19">
        <f>'Off-farm feed'!$H$74</f>
        <v>0</v>
      </c>
      <c r="J97" s="19"/>
      <c r="K97" s="19">
        <f>'Off-farm feed'!$J$74</f>
        <v>2.4688740026345454E-2</v>
      </c>
      <c r="L97" s="19"/>
      <c r="M97" s="288">
        <f>'Off-farm feed'!$L$74</f>
        <v>1.931759303794134E-4</v>
      </c>
      <c r="N97" s="19">
        <f>'Off-farm feed'!$M$74</f>
        <v>3.6802128767029069E-2</v>
      </c>
      <c r="O97" s="19">
        <f>'Off-farm feed'!$N$74</f>
        <v>0</v>
      </c>
      <c r="P97" s="19">
        <f>'Off-farm feed'!$O$74</f>
        <v>2.1170792109877701E-2</v>
      </c>
      <c r="Q97" s="19">
        <f>'Off-farm feed'!$P$74</f>
        <v>6.3200000000000006E-2</v>
      </c>
      <c r="R97" s="145">
        <f>'Parameters, country spec'!I28</f>
        <v>0.12265283909261471</v>
      </c>
    </row>
    <row r="98" spans="1:18" x14ac:dyDescent="0.25">
      <c r="B98" s="17" t="s">
        <v>413</v>
      </c>
      <c r="C98" s="16" t="s">
        <v>412</v>
      </c>
      <c r="D98" s="22" t="s">
        <v>437</v>
      </c>
      <c r="E98" s="22"/>
      <c r="F98" s="115">
        <f t="shared" si="16"/>
        <v>0.7061171705997602</v>
      </c>
      <c r="G98" s="19">
        <f>'Off-farm feed'!$F$23</f>
        <v>7.2632670993098931E-3</v>
      </c>
      <c r="H98" s="19">
        <f>'Off-farm feed'!$G$23</f>
        <v>2.1402439024390246E-2</v>
      </c>
      <c r="I98" s="19">
        <f>'Off-farm feed'!$H$23</f>
        <v>0</v>
      </c>
      <c r="J98" s="19"/>
      <c r="K98" s="19">
        <f>'Off-farm feed'!$J$23</f>
        <v>4.308361966433235E-2</v>
      </c>
      <c r="L98" s="19"/>
      <c r="M98" s="288">
        <f>'Off-farm feed'!$L$23</f>
        <v>1.7842060425123844E-4</v>
      </c>
      <c r="N98" s="19">
        <f>'Off-farm feed'!$M$23</f>
        <v>3.0432604948959403E-2</v>
      </c>
      <c r="O98" s="19">
        <f>'Off-farm feed'!$N$23</f>
        <v>0.31761120248475611</v>
      </c>
      <c r="P98" s="19">
        <f>'Off-farm feed'!$O$23</f>
        <v>3.5145616773760872E-2</v>
      </c>
      <c r="Q98" s="19">
        <f>'Off-farm feed'!$P$23</f>
        <v>0.251</v>
      </c>
      <c r="R98" s="145">
        <f>'Parameters, country spec'!I29</f>
        <v>0.15840014745626804</v>
      </c>
    </row>
    <row r="99" spans="1:18" x14ac:dyDescent="0.25">
      <c r="B99" s="16" t="s">
        <v>198</v>
      </c>
      <c r="C99" s="16" t="s">
        <v>414</v>
      </c>
      <c r="D99" s="22" t="s">
        <v>26</v>
      </c>
      <c r="E99" s="22" t="s">
        <v>90</v>
      </c>
      <c r="F99" s="115"/>
      <c r="G99" s="103"/>
      <c r="H99" s="7"/>
      <c r="I99" s="102"/>
      <c r="J99" s="7"/>
      <c r="K99" s="103"/>
      <c r="L99" s="7"/>
      <c r="M99" s="7"/>
      <c r="N99" s="103"/>
      <c r="O99" s="7"/>
      <c r="P99" s="7"/>
      <c r="Q99" s="7"/>
      <c r="R99" s="145">
        <f>'Parameters, country spec'!I30</f>
        <v>1.7258350982780408E-2</v>
      </c>
    </row>
    <row r="100" spans="1:18" x14ac:dyDescent="0.25">
      <c r="A100" s="80"/>
      <c r="B100" s="16" t="s">
        <v>415</v>
      </c>
      <c r="C100" s="81" t="s">
        <v>416</v>
      </c>
      <c r="D100" s="22" t="s">
        <v>26</v>
      </c>
      <c r="E100" s="22" t="s">
        <v>90</v>
      </c>
      <c r="F100" s="115">
        <f t="shared" si="16"/>
        <v>0.1554273788979216</v>
      </c>
      <c r="G100" s="78">
        <f t="shared" ref="G100:N100" si="17">AVERAGE(G90:G98)</f>
        <v>5.5781199817442971E-2</v>
      </c>
      <c r="H100" s="78">
        <f t="shared" si="17"/>
        <v>2.4826324642556769E-2</v>
      </c>
      <c r="I100" s="78">
        <f t="shared" si="17"/>
        <v>0</v>
      </c>
      <c r="J100" s="78"/>
      <c r="K100" s="78">
        <f t="shared" si="17"/>
        <v>3.2530262187853085E-2</v>
      </c>
      <c r="L100" s="78"/>
      <c r="M100" s="78">
        <f t="shared" si="17"/>
        <v>1.3746218371811839E-3</v>
      </c>
      <c r="N100" s="78">
        <f t="shared" si="17"/>
        <v>4.0914970412887594E-2</v>
      </c>
      <c r="O100" s="78"/>
      <c r="P100" s="78"/>
      <c r="Q100" s="78"/>
      <c r="R100" s="145">
        <f>'Parameters, country spec'!I31</f>
        <v>4.230959682913802E-2</v>
      </c>
    </row>
    <row r="101" spans="1:18" x14ac:dyDescent="0.25">
      <c r="A101" s="144"/>
      <c r="B101" s="24" t="s">
        <v>417</v>
      </c>
      <c r="C101" s="25"/>
      <c r="D101" s="99"/>
      <c r="E101" s="99"/>
      <c r="F101" s="26">
        <f>SUMPRODUCT(F90:F100,$R$90:$R$100)</f>
        <v>0.26919581549929389</v>
      </c>
      <c r="G101" s="26">
        <f>SUMPRODUCT(G90:G100,$R$90:$R$100)</f>
        <v>7.2124889068749837E-2</v>
      </c>
      <c r="H101" s="26">
        <f>SUMPRODUCT(H90:H100,$R$90:$R$100)</f>
        <v>2.3842492372469999E-2</v>
      </c>
      <c r="I101" s="26">
        <f>SUMPRODUCT(I90:I100,$R$90:$R$100)</f>
        <v>0</v>
      </c>
      <c r="J101" s="26"/>
      <c r="K101" s="26">
        <f>SUMPRODUCT(K90:K100,$R$90:$R$100)</f>
        <v>2.601164263627825E-2</v>
      </c>
      <c r="L101" s="26"/>
      <c r="M101" s="26">
        <f t="shared" ref="M101" si="18">SUMPRODUCT(M90:M100,$R$90:$R$100)</f>
        <v>1.8144946204975288E-3</v>
      </c>
      <c r="N101" s="26">
        <f>SUMPRODUCT(N90:N100,$R$90:$R$100)</f>
        <v>3.9418810414252548E-2</v>
      </c>
      <c r="O101" s="26">
        <f>SUMPRODUCT(O90:O100,$R$90:$R$100)</f>
        <v>5.0309661307347972E-2</v>
      </c>
      <c r="P101" s="26">
        <f>SUMPRODUCT(P90:P100,$R$30:$R$40)</f>
        <v>7.3839721648091801E-3</v>
      </c>
      <c r="Q101" s="26">
        <f>SUMPRODUCT(Q90:Q100,$R$90:$R$100)</f>
        <v>4.7510096442176526E-2</v>
      </c>
      <c r="R101" s="146"/>
    </row>
    <row r="102" spans="1:18" x14ac:dyDescent="0.25">
      <c r="A102" s="21" t="s">
        <v>403</v>
      </c>
      <c r="B102" s="16" t="s">
        <v>187</v>
      </c>
      <c r="C102" s="16" t="s">
        <v>404</v>
      </c>
      <c r="D102" s="22" t="s">
        <v>29</v>
      </c>
      <c r="E102" s="22" t="s">
        <v>91</v>
      </c>
      <c r="F102" s="115">
        <f>SUM(G102:Q102)</f>
        <v>0.20799999999999999</v>
      </c>
      <c r="G102" s="77">
        <v>7.9000000000000001E-2</v>
      </c>
      <c r="H102" s="13">
        <v>2.7E-2</v>
      </c>
      <c r="I102" s="15">
        <v>0</v>
      </c>
      <c r="J102" s="13"/>
      <c r="K102" s="77">
        <v>4.9000000000000002E-2</v>
      </c>
      <c r="L102" s="13"/>
      <c r="M102" s="13">
        <v>0</v>
      </c>
      <c r="N102" s="77">
        <v>5.2999999999999999E-2</v>
      </c>
      <c r="O102" s="13"/>
      <c r="P102" s="13"/>
      <c r="R102" s="145">
        <f>'Parameters, country spec'!J21</f>
        <v>0.16330174178855722</v>
      </c>
    </row>
    <row r="103" spans="1:18" x14ac:dyDescent="0.25">
      <c r="A103" s="21" t="s">
        <v>405</v>
      </c>
      <c r="B103" s="16" t="s">
        <v>189</v>
      </c>
      <c r="C103" s="16" t="s">
        <v>404</v>
      </c>
      <c r="D103" s="22" t="s">
        <v>29</v>
      </c>
      <c r="E103" s="22" t="s">
        <v>91</v>
      </c>
      <c r="F103" s="115">
        <f t="shared" ref="F103:F112" si="19">SUM(G103:Q103)</f>
        <v>0.186</v>
      </c>
      <c r="G103" s="77">
        <v>7.6999999999999999E-2</v>
      </c>
      <c r="H103" s="13">
        <v>2.7E-2</v>
      </c>
      <c r="I103" s="15">
        <v>0</v>
      </c>
      <c r="J103" s="13"/>
      <c r="K103" s="77">
        <v>2.8000000000000001E-2</v>
      </c>
      <c r="L103" s="13"/>
      <c r="M103" s="13">
        <v>1E-3</v>
      </c>
      <c r="N103" s="77">
        <v>5.2999999999999999E-2</v>
      </c>
      <c r="O103" s="13"/>
      <c r="P103" s="13"/>
      <c r="R103" s="145">
        <f>'Parameters, country spec'!J22</f>
        <v>0.22370545528493602</v>
      </c>
    </row>
    <row r="104" spans="1:18" x14ac:dyDescent="0.25">
      <c r="A104" s="21" t="s">
        <v>406</v>
      </c>
      <c r="B104" s="16" t="s">
        <v>191</v>
      </c>
      <c r="C104" s="16" t="s">
        <v>404</v>
      </c>
      <c r="D104" s="22" t="s">
        <v>29</v>
      </c>
      <c r="E104" s="22" t="s">
        <v>91</v>
      </c>
      <c r="F104" s="115">
        <f t="shared" si="19"/>
        <v>0.215</v>
      </c>
      <c r="G104" s="77">
        <v>7.0000000000000007E-2</v>
      </c>
      <c r="H104" s="13">
        <v>2.7E-2</v>
      </c>
      <c r="I104" s="15">
        <v>0</v>
      </c>
      <c r="J104" s="13"/>
      <c r="K104" s="77">
        <v>6.5000000000000002E-2</v>
      </c>
      <c r="L104" s="13"/>
      <c r="M104" s="13">
        <v>0</v>
      </c>
      <c r="N104" s="77">
        <v>5.2999999999999999E-2</v>
      </c>
      <c r="O104" s="13"/>
      <c r="P104" s="13"/>
      <c r="R104" s="145">
        <f>'Parameters, country spec'!J23</f>
        <v>4.8907896416157566E-3</v>
      </c>
    </row>
    <row r="105" spans="1:18" x14ac:dyDescent="0.25">
      <c r="A105" s="21" t="s">
        <v>407</v>
      </c>
      <c r="B105" s="16" t="s">
        <v>192</v>
      </c>
      <c r="C105" s="16" t="s">
        <v>404</v>
      </c>
      <c r="D105" s="22" t="s">
        <v>29</v>
      </c>
      <c r="E105" s="22" t="s">
        <v>91</v>
      </c>
      <c r="F105" s="115">
        <f t="shared" si="19"/>
        <v>0.20399999999999999</v>
      </c>
      <c r="G105" s="77">
        <v>6.2E-2</v>
      </c>
      <c r="H105" s="13">
        <v>2.7E-2</v>
      </c>
      <c r="I105" s="13">
        <v>0</v>
      </c>
      <c r="J105" s="13"/>
      <c r="K105" s="77">
        <v>6.2E-2</v>
      </c>
      <c r="L105" s="13"/>
      <c r="M105" s="13">
        <v>0</v>
      </c>
      <c r="N105" s="77">
        <v>5.2999999999999999E-2</v>
      </c>
      <c r="O105" s="13"/>
      <c r="P105" s="13"/>
      <c r="R105" s="145">
        <f>'Parameters, country spec'!J24</f>
        <v>6.3855774971504811E-2</v>
      </c>
    </row>
    <row r="106" spans="1:18" x14ac:dyDescent="0.25">
      <c r="A106" s="21" t="s">
        <v>408</v>
      </c>
      <c r="B106" s="16" t="s">
        <v>193</v>
      </c>
      <c r="C106" s="16" t="s">
        <v>404</v>
      </c>
      <c r="D106" s="22" t="s">
        <v>29</v>
      </c>
      <c r="E106" s="22" t="s">
        <v>91</v>
      </c>
      <c r="F106" s="115">
        <f t="shared" si="19"/>
        <v>0.21199999999999999</v>
      </c>
      <c r="G106" s="77">
        <v>9.0999999999999998E-2</v>
      </c>
      <c r="H106" s="13">
        <v>2.7E-2</v>
      </c>
      <c r="I106" s="13">
        <v>0</v>
      </c>
      <c r="J106" s="13"/>
      <c r="K106" s="77">
        <v>4.1000000000000002E-2</v>
      </c>
      <c r="L106" s="13"/>
      <c r="M106" s="13">
        <v>0</v>
      </c>
      <c r="N106" s="77">
        <v>5.2999999999999999E-2</v>
      </c>
      <c r="O106" s="13"/>
      <c r="P106" s="13"/>
      <c r="R106" s="145">
        <f>'Parameters, country spec'!J25</f>
        <v>0.25675160576024147</v>
      </c>
    </row>
    <row r="107" spans="1:18" x14ac:dyDescent="0.25">
      <c r="A107" s="21" t="s">
        <v>409</v>
      </c>
      <c r="B107" s="16" t="s">
        <v>194</v>
      </c>
      <c r="C107" s="16" t="s">
        <v>410</v>
      </c>
      <c r="D107" s="22" t="s">
        <v>29</v>
      </c>
      <c r="E107" s="22" t="s">
        <v>91</v>
      </c>
      <c r="F107" s="115">
        <f t="shared" si="19"/>
        <v>0.16200000000000001</v>
      </c>
      <c r="G107" s="77">
        <v>0</v>
      </c>
      <c r="H107" s="13">
        <v>2.7E-2</v>
      </c>
      <c r="I107" s="15">
        <v>0</v>
      </c>
      <c r="J107" s="13"/>
      <c r="K107" s="77">
        <v>8.2000000000000003E-2</v>
      </c>
      <c r="L107" s="15"/>
      <c r="M107" s="13">
        <v>0</v>
      </c>
      <c r="N107" s="77">
        <v>5.2999999999999999E-2</v>
      </c>
      <c r="O107" s="13"/>
      <c r="P107" s="13"/>
      <c r="R107" s="145">
        <f>'Parameters, country spec'!J26</f>
        <v>4.3260384773615755E-3</v>
      </c>
    </row>
    <row r="108" spans="1:18" x14ac:dyDescent="0.25">
      <c r="A108" s="21" t="s">
        <v>411</v>
      </c>
      <c r="B108" s="16" t="s">
        <v>195</v>
      </c>
      <c r="C108" s="16" t="s">
        <v>410</v>
      </c>
      <c r="D108" s="22" t="s">
        <v>29</v>
      </c>
      <c r="E108" s="22" t="s">
        <v>91</v>
      </c>
      <c r="F108" s="115">
        <f t="shared" si="19"/>
        <v>0.15</v>
      </c>
      <c r="G108" s="77">
        <v>4.0000000000000001E-3</v>
      </c>
      <c r="H108" s="13">
        <v>2.7E-2</v>
      </c>
      <c r="I108" s="15">
        <v>0</v>
      </c>
      <c r="J108" s="13"/>
      <c r="K108" s="77">
        <v>6.6000000000000003E-2</v>
      </c>
      <c r="L108" s="13"/>
      <c r="M108" s="13">
        <v>0</v>
      </c>
      <c r="N108" s="77">
        <v>5.2999999999999999E-2</v>
      </c>
      <c r="O108" s="13"/>
      <c r="P108" s="13"/>
      <c r="R108" s="145">
        <f>'Parameters, country spec'!J27</f>
        <v>4.2495953847608006E-3</v>
      </c>
    </row>
    <row r="109" spans="1:18" x14ac:dyDescent="0.25">
      <c r="B109" s="17" t="s">
        <v>196</v>
      </c>
      <c r="C109" s="16" t="s">
        <v>412</v>
      </c>
      <c r="D109" s="22" t="s">
        <v>460</v>
      </c>
      <c r="E109" s="22"/>
      <c r="F109" s="115">
        <f t="shared" si="19"/>
        <v>0.27085685084992916</v>
      </c>
      <c r="G109" s="19">
        <f>'Off-farm feed'!$F$74</f>
        <v>0.11176753125767681</v>
      </c>
      <c r="H109" s="19">
        <f>'Off-farm feed'!$G$74</f>
        <v>1.3034482758620692E-2</v>
      </c>
      <c r="I109" s="19">
        <f>'Off-farm feed'!$H$74</f>
        <v>0</v>
      </c>
      <c r="J109" s="19"/>
      <c r="K109" s="19">
        <f>'Off-farm feed'!$J$74</f>
        <v>2.4688740026345454E-2</v>
      </c>
      <c r="L109" s="19"/>
      <c r="M109" s="288">
        <f>'Off-farm feed'!$L$74</f>
        <v>1.931759303794134E-4</v>
      </c>
      <c r="N109" s="19">
        <f>'Off-farm feed'!$M$74</f>
        <v>3.6802128767029069E-2</v>
      </c>
      <c r="O109" s="19">
        <f>'Off-farm feed'!$N$74</f>
        <v>0</v>
      </c>
      <c r="P109" s="19">
        <f>'Off-farm feed'!$O$74</f>
        <v>2.1170792109877701E-2</v>
      </c>
      <c r="Q109" s="19">
        <f>'Off-farm feed'!$P$74</f>
        <v>6.3200000000000006E-2</v>
      </c>
      <c r="R109" s="145">
        <f>'Parameters, country spec'!J28</f>
        <v>3.1180103544946641E-2</v>
      </c>
    </row>
    <row r="110" spans="1:18" x14ac:dyDescent="0.25">
      <c r="B110" s="17" t="s">
        <v>413</v>
      </c>
      <c r="C110" s="16" t="s">
        <v>412</v>
      </c>
      <c r="D110" s="22" t="s">
        <v>437</v>
      </c>
      <c r="E110" s="22"/>
      <c r="F110" s="115">
        <f t="shared" si="19"/>
        <v>0.7061171705997602</v>
      </c>
      <c r="G110" s="19">
        <f>'Off-farm feed'!$F$23</f>
        <v>7.2632670993098931E-3</v>
      </c>
      <c r="H110" s="19">
        <f>'Off-farm feed'!$G$23</f>
        <v>2.1402439024390246E-2</v>
      </c>
      <c r="I110" s="19">
        <f>'Off-farm feed'!$H$23</f>
        <v>0</v>
      </c>
      <c r="J110" s="19"/>
      <c r="K110" s="19">
        <f>'Off-farm feed'!$J$23</f>
        <v>4.308361966433235E-2</v>
      </c>
      <c r="L110" s="19"/>
      <c r="M110" s="288">
        <f>'Off-farm feed'!$L$23</f>
        <v>1.7842060425123844E-4</v>
      </c>
      <c r="N110" s="19">
        <f>'Off-farm feed'!$M$23</f>
        <v>3.0432604948959403E-2</v>
      </c>
      <c r="O110" s="19">
        <f>'Off-farm feed'!$N$23</f>
        <v>0.31761120248475611</v>
      </c>
      <c r="P110" s="19">
        <f>'Off-farm feed'!$O$23</f>
        <v>3.5145616773760872E-2</v>
      </c>
      <c r="Q110" s="19">
        <f>'Off-farm feed'!$P$23</f>
        <v>0.251</v>
      </c>
      <c r="R110" s="145">
        <f>'Parameters, country spec'!J29</f>
        <v>0.10875512574448185</v>
      </c>
    </row>
    <row r="111" spans="1:18" x14ac:dyDescent="0.25">
      <c r="B111" s="16" t="s">
        <v>198</v>
      </c>
      <c r="C111" s="16" t="s">
        <v>414</v>
      </c>
      <c r="D111" s="22" t="s">
        <v>29</v>
      </c>
      <c r="E111" s="22" t="s">
        <v>91</v>
      </c>
      <c r="F111" s="115"/>
      <c r="G111" s="103"/>
      <c r="H111" s="7"/>
      <c r="I111" s="102"/>
      <c r="J111" s="7"/>
      <c r="K111" s="103"/>
      <c r="L111" s="7"/>
      <c r="M111" s="7"/>
      <c r="N111" s="103"/>
      <c r="O111" s="7"/>
      <c r="P111" s="7"/>
      <c r="Q111" s="7"/>
      <c r="R111" s="145">
        <f>'Parameters, country spec'!J30</f>
        <v>5.3222180084939459E-2</v>
      </c>
    </row>
    <row r="112" spans="1:18" x14ac:dyDescent="0.25">
      <c r="A112" s="80"/>
      <c r="B112" s="16" t="s">
        <v>415</v>
      </c>
      <c r="C112" s="81" t="s">
        <v>416</v>
      </c>
      <c r="D112" s="22" t="s">
        <v>29</v>
      </c>
      <c r="E112" s="22" t="s">
        <v>91</v>
      </c>
      <c r="F112" s="115">
        <f t="shared" si="19"/>
        <v>0.18064960112014386</v>
      </c>
      <c r="G112" s="78">
        <f t="shared" ref="G112:N112" si="20">AVERAGE(G102:G110)</f>
        <v>5.5781199817442971E-2</v>
      </c>
      <c r="H112" s="78">
        <f t="shared" si="20"/>
        <v>2.4826324642556769E-2</v>
      </c>
      <c r="I112" s="78">
        <f t="shared" si="20"/>
        <v>0</v>
      </c>
      <c r="J112" s="78"/>
      <c r="K112" s="78">
        <f t="shared" si="20"/>
        <v>5.1196928854519756E-2</v>
      </c>
      <c r="L112" s="78"/>
      <c r="M112" s="78">
        <f t="shared" si="20"/>
        <v>1.5239961495896133E-4</v>
      </c>
      <c r="N112" s="78">
        <f t="shared" si="20"/>
        <v>4.869274819066538E-2</v>
      </c>
      <c r="O112" s="78"/>
      <c r="P112" s="78"/>
      <c r="Q112" s="78"/>
      <c r="R112" s="145">
        <f>'Parameters, country spec'!J31</f>
        <v>8.5761589316654452E-2</v>
      </c>
    </row>
    <row r="113" spans="1:18" x14ac:dyDescent="0.25">
      <c r="A113" s="144"/>
      <c r="B113" s="24" t="s">
        <v>417</v>
      </c>
      <c r="C113" s="25"/>
      <c r="D113" s="99"/>
      <c r="E113" s="99"/>
      <c r="F113" s="26">
        <f>SUMPRODUCT(F102:F112,$R$102:$R$112)</f>
        <v>0.24615567604012709</v>
      </c>
      <c r="G113" s="26">
        <f>SUMPRODUCT(G102:G112,$R$102:$R$112)</f>
        <v>6.6867690561715917E-2</v>
      </c>
      <c r="H113" s="26">
        <f>SUMPRODUCT(H102:H112,$R$102:$R$112)</f>
        <v>2.4332373562984067E-2</v>
      </c>
      <c r="I113" s="26">
        <f>SUMPRODUCT(I102:I112,$R$102:$R$112)</f>
        <v>0</v>
      </c>
      <c r="J113" s="26"/>
      <c r="K113" s="26">
        <f>SUMPRODUCT(K102:K112,$R$102:$R$112)</f>
        <v>3.9550613688496508E-2</v>
      </c>
      <c r="L113" s="26"/>
      <c r="M113" s="26">
        <f>SUMPRODUCT(M102:M112,$R$102:$R$112)</f>
        <v>2.6220288923743413E-4</v>
      </c>
      <c r="N113" s="26">
        <f>SUMPRODUCT(N102:N112,$R$102:$R$112)</f>
        <v>4.6850456505989575E-2</v>
      </c>
      <c r="O113" s="26">
        <f>SUMPRODUCT(O102:O112,$R$102:$R$112)</f>
        <v>3.4541846264085733E-2</v>
      </c>
      <c r="P113" s="26">
        <f>SUMPRODUCT(P102:P112,$R$30:$R$40)</f>
        <v>7.3839721648091801E-3</v>
      </c>
      <c r="Q113" s="26">
        <f>SUMPRODUCT(Q102:Q112,$R$102:$R$112)</f>
        <v>2.9268119105905571E-2</v>
      </c>
      <c r="R113" s="146"/>
    </row>
    <row r="114" spans="1:18" x14ac:dyDescent="0.25">
      <c r="A114" s="21" t="s">
        <v>403</v>
      </c>
      <c r="B114" s="16" t="s">
        <v>187</v>
      </c>
      <c r="C114" s="16" t="s">
        <v>404</v>
      </c>
      <c r="D114" s="22" t="s">
        <v>33</v>
      </c>
      <c r="E114" s="22" t="s">
        <v>92</v>
      </c>
      <c r="F114" s="115">
        <f>SUM(G114:Q114)</f>
        <v>0.20600000000000002</v>
      </c>
      <c r="G114" s="77">
        <v>7.9000000000000001E-2</v>
      </c>
      <c r="H114" s="13">
        <v>2.7E-2</v>
      </c>
      <c r="I114" s="15">
        <v>0</v>
      </c>
      <c r="J114" s="13"/>
      <c r="K114" s="77">
        <v>5.6000000000000001E-2</v>
      </c>
      <c r="L114" s="13"/>
      <c r="M114" s="13">
        <v>6.0000000000000001E-3</v>
      </c>
      <c r="N114" s="77">
        <v>3.7999999999999999E-2</v>
      </c>
      <c r="O114" s="13"/>
      <c r="P114" s="13"/>
      <c r="R114" s="145">
        <f>'Parameters, country spec'!K21</f>
        <v>0.22020467449872944</v>
      </c>
    </row>
    <row r="115" spans="1:18" x14ac:dyDescent="0.25">
      <c r="A115" s="21" t="s">
        <v>405</v>
      </c>
      <c r="B115" s="16" t="s">
        <v>189</v>
      </c>
      <c r="C115" s="16" t="s">
        <v>404</v>
      </c>
      <c r="D115" s="22" t="s">
        <v>33</v>
      </c>
      <c r="E115" s="22" t="s">
        <v>92</v>
      </c>
      <c r="F115" s="115">
        <f t="shared" ref="F115:F124" si="21">SUM(G115:Q115)</f>
        <v>0.17499999999999999</v>
      </c>
      <c r="G115" s="77">
        <v>7.6999999999999999E-2</v>
      </c>
      <c r="H115" s="13">
        <v>2.7E-2</v>
      </c>
      <c r="I115" s="15">
        <v>0</v>
      </c>
      <c r="J115" s="13"/>
      <c r="K115" s="77">
        <v>1.4999999999999999E-2</v>
      </c>
      <c r="L115" s="13"/>
      <c r="M115" s="13">
        <v>1.7999999999999999E-2</v>
      </c>
      <c r="N115" s="77">
        <v>3.7999999999999999E-2</v>
      </c>
      <c r="O115" s="13"/>
      <c r="P115" s="13"/>
      <c r="R115" s="145">
        <f>'Parameters, country spec'!K22</f>
        <v>0.29043024005341855</v>
      </c>
    </row>
    <row r="116" spans="1:18" x14ac:dyDescent="0.25">
      <c r="A116" s="21" t="s">
        <v>406</v>
      </c>
      <c r="B116" s="16" t="s">
        <v>191</v>
      </c>
      <c r="C116" s="16" t="s">
        <v>404</v>
      </c>
      <c r="D116" s="22" t="s">
        <v>33</v>
      </c>
      <c r="E116" s="22" t="s">
        <v>92</v>
      </c>
      <c r="F116" s="115">
        <f t="shared" si="21"/>
        <v>0.30299999999999999</v>
      </c>
      <c r="G116" s="77">
        <v>7.0000000000000007E-2</v>
      </c>
      <c r="H116" s="13">
        <v>2.7E-2</v>
      </c>
      <c r="I116" s="15">
        <v>0</v>
      </c>
      <c r="J116" s="13"/>
      <c r="K116" s="77">
        <v>8.2000000000000003E-2</v>
      </c>
      <c r="L116" s="13"/>
      <c r="M116" s="13">
        <v>8.5999999999999993E-2</v>
      </c>
      <c r="N116" s="77">
        <v>3.7999999999999999E-2</v>
      </c>
      <c r="O116" s="13"/>
      <c r="P116" s="13"/>
      <c r="R116" s="145">
        <f>'Parameters, country spec'!K23</f>
        <v>3.4333767030039916E-2</v>
      </c>
    </row>
    <row r="117" spans="1:18" x14ac:dyDescent="0.25">
      <c r="A117" s="21" t="s">
        <v>407</v>
      </c>
      <c r="B117" s="16" t="s">
        <v>192</v>
      </c>
      <c r="C117" s="16" t="s">
        <v>404</v>
      </c>
      <c r="D117" s="22" t="s">
        <v>33</v>
      </c>
      <c r="E117" s="22" t="s">
        <v>92</v>
      </c>
      <c r="F117" s="115">
        <f t="shared" si="21"/>
        <v>0.20499999999999999</v>
      </c>
      <c r="G117" s="77">
        <v>6.2E-2</v>
      </c>
      <c r="H117" s="13">
        <v>2.7E-2</v>
      </c>
      <c r="I117" s="13">
        <v>0</v>
      </c>
      <c r="J117" s="13"/>
      <c r="K117" s="77">
        <v>7.8E-2</v>
      </c>
      <c r="L117" s="13"/>
      <c r="M117" s="13">
        <v>0</v>
      </c>
      <c r="N117" s="77">
        <v>3.7999999999999999E-2</v>
      </c>
      <c r="O117" s="13"/>
      <c r="P117" s="13"/>
      <c r="R117" s="145">
        <f>'Parameters, country spec'!K24</f>
        <v>9.062638357287928E-3</v>
      </c>
    </row>
    <row r="118" spans="1:18" x14ac:dyDescent="0.25">
      <c r="A118" s="21" t="s">
        <v>408</v>
      </c>
      <c r="B118" s="16" t="s">
        <v>193</v>
      </c>
      <c r="C118" s="16" t="s">
        <v>404</v>
      </c>
      <c r="D118" s="22" t="s">
        <v>33</v>
      </c>
      <c r="E118" s="22" t="s">
        <v>92</v>
      </c>
      <c r="F118" s="115">
        <f t="shared" si="21"/>
        <v>0.21199999999999999</v>
      </c>
      <c r="G118" s="77">
        <v>9.0999999999999998E-2</v>
      </c>
      <c r="H118" s="13">
        <v>2.7E-2</v>
      </c>
      <c r="I118" s="13">
        <v>0</v>
      </c>
      <c r="J118" s="13"/>
      <c r="K118" s="77">
        <v>5.2999999999999999E-2</v>
      </c>
      <c r="L118" s="13"/>
      <c r="M118" s="13">
        <v>3.0000000000000001E-3</v>
      </c>
      <c r="N118" s="77">
        <v>3.7999999999999999E-2</v>
      </c>
      <c r="O118" s="13"/>
      <c r="P118" s="13"/>
      <c r="R118" s="145">
        <f>'Parameters, country spec'!K25</f>
        <v>0.18653591098002148</v>
      </c>
    </row>
    <row r="119" spans="1:18" x14ac:dyDescent="0.25">
      <c r="A119" s="21" t="s">
        <v>409</v>
      </c>
      <c r="B119" s="16" t="s">
        <v>194</v>
      </c>
      <c r="C119" s="16" t="s">
        <v>410</v>
      </c>
      <c r="D119" s="22" t="s">
        <v>33</v>
      </c>
      <c r="E119" s="22" t="s">
        <v>92</v>
      </c>
      <c r="F119" s="115">
        <f t="shared" si="21"/>
        <v>0.17900000000000002</v>
      </c>
      <c r="G119" s="77">
        <v>0</v>
      </c>
      <c r="H119" s="13">
        <v>2.7E-2</v>
      </c>
      <c r="I119" s="15">
        <v>0</v>
      </c>
      <c r="J119" s="13"/>
      <c r="K119" s="77">
        <v>0.113</v>
      </c>
      <c r="L119" s="15"/>
      <c r="M119" s="13">
        <v>1E-3</v>
      </c>
      <c r="N119" s="77">
        <v>3.7999999999999999E-2</v>
      </c>
      <c r="O119" s="13"/>
      <c r="P119" s="13"/>
      <c r="R119" s="145">
        <f>'Parameters, country spec'!K26</f>
        <v>6.7614174404510841E-3</v>
      </c>
    </row>
    <row r="120" spans="1:18" x14ac:dyDescent="0.25">
      <c r="A120" s="21" t="s">
        <v>411</v>
      </c>
      <c r="B120" s="16" t="s">
        <v>195</v>
      </c>
      <c r="C120" s="16" t="s">
        <v>410</v>
      </c>
      <c r="D120" s="22" t="s">
        <v>33</v>
      </c>
      <c r="E120" s="22" t="s">
        <v>92</v>
      </c>
      <c r="F120" s="115">
        <f t="shared" si="21"/>
        <v>0.216</v>
      </c>
      <c r="G120" s="77">
        <v>4.0000000000000001E-3</v>
      </c>
      <c r="H120" s="13">
        <v>2.7E-2</v>
      </c>
      <c r="I120" s="15">
        <v>0</v>
      </c>
      <c r="J120" s="13"/>
      <c r="K120" s="77">
        <v>0.13100000000000001</v>
      </c>
      <c r="L120" s="13"/>
      <c r="M120" s="13">
        <v>1.6E-2</v>
      </c>
      <c r="N120" s="77">
        <v>3.7999999999999999E-2</v>
      </c>
      <c r="O120" s="13"/>
      <c r="P120" s="13"/>
      <c r="R120" s="145">
        <f>'Parameters, country spec'!K27</f>
        <v>6.6419400786463401E-3</v>
      </c>
    </row>
    <row r="121" spans="1:18" x14ac:dyDescent="0.25">
      <c r="B121" s="17" t="s">
        <v>196</v>
      </c>
      <c r="C121" s="16" t="s">
        <v>412</v>
      </c>
      <c r="D121" s="22" t="s">
        <v>460</v>
      </c>
      <c r="E121" s="22"/>
      <c r="F121" s="115">
        <f t="shared" si="21"/>
        <v>0.27085685084992916</v>
      </c>
      <c r="G121" s="19">
        <f>'Off-farm feed'!$F$74</f>
        <v>0.11176753125767681</v>
      </c>
      <c r="H121" s="19">
        <f>'Off-farm feed'!$G$74</f>
        <v>1.3034482758620692E-2</v>
      </c>
      <c r="I121" s="19">
        <f>'Off-farm feed'!$H$74</f>
        <v>0</v>
      </c>
      <c r="J121" s="19"/>
      <c r="K121" s="19">
        <f>'Off-farm feed'!$J$74</f>
        <v>2.4688740026345454E-2</v>
      </c>
      <c r="L121" s="19"/>
      <c r="M121" s="288">
        <f>'Off-farm feed'!$L$74</f>
        <v>1.931759303794134E-4</v>
      </c>
      <c r="N121" s="19">
        <f>'Off-farm feed'!$M$74</f>
        <v>3.6802128767029069E-2</v>
      </c>
      <c r="O121" s="19">
        <f>'Off-farm feed'!$N$74</f>
        <v>0</v>
      </c>
      <c r="P121" s="19">
        <f>'Off-farm feed'!$O$74</f>
        <v>2.1170792109877701E-2</v>
      </c>
      <c r="Q121" s="19">
        <f>'Off-farm feed'!$P$74</f>
        <v>6.3200000000000006E-2</v>
      </c>
      <c r="R121" s="145">
        <f>'Parameters, country spec'!K28</f>
        <v>1.9581705928834556E-2</v>
      </c>
    </row>
    <row r="122" spans="1:18" x14ac:dyDescent="0.25">
      <c r="B122" s="17" t="s">
        <v>413</v>
      </c>
      <c r="C122" s="16" t="s">
        <v>412</v>
      </c>
      <c r="D122" s="22" t="s">
        <v>437</v>
      </c>
      <c r="E122" s="22"/>
      <c r="F122" s="115">
        <f t="shared" si="21"/>
        <v>0.7061171705997602</v>
      </c>
      <c r="G122" s="19">
        <f>'Off-farm feed'!$F$23</f>
        <v>7.2632670993098931E-3</v>
      </c>
      <c r="H122" s="19">
        <f>'Off-farm feed'!$G$23</f>
        <v>2.1402439024390246E-2</v>
      </c>
      <c r="I122" s="19">
        <f>'Off-farm feed'!$H$23</f>
        <v>0</v>
      </c>
      <c r="J122" s="19"/>
      <c r="K122" s="19">
        <f>'Off-farm feed'!$J$23</f>
        <v>4.308361966433235E-2</v>
      </c>
      <c r="L122" s="19"/>
      <c r="M122" s="288">
        <f>'Off-farm feed'!$L$23</f>
        <v>1.7842060425123844E-4</v>
      </c>
      <c r="N122" s="19">
        <f>'Off-farm feed'!$M$23</f>
        <v>3.0432604948959403E-2</v>
      </c>
      <c r="O122" s="19">
        <f>'Off-farm feed'!$N$23</f>
        <v>0.31761120248475611</v>
      </c>
      <c r="P122" s="19">
        <f>'Off-farm feed'!$O$23</f>
        <v>3.5145616773760872E-2</v>
      </c>
      <c r="Q122" s="19">
        <f>'Off-farm feed'!$P$23</f>
        <v>0.251</v>
      </c>
      <c r="R122" s="145">
        <f>'Parameters, country spec'!K29</f>
        <v>0.16739124532505686</v>
      </c>
    </row>
    <row r="123" spans="1:18" x14ac:dyDescent="0.25">
      <c r="B123" s="16" t="s">
        <v>198</v>
      </c>
      <c r="C123" s="16" t="s">
        <v>414</v>
      </c>
      <c r="D123" s="22" t="s">
        <v>33</v>
      </c>
      <c r="E123" s="22" t="s">
        <v>92</v>
      </c>
      <c r="F123" s="115"/>
      <c r="G123" s="103"/>
      <c r="H123" s="7"/>
      <c r="I123" s="102"/>
      <c r="J123" s="7"/>
      <c r="K123" s="103"/>
      <c r="L123" s="7"/>
      <c r="M123" s="7"/>
      <c r="N123" s="103"/>
      <c r="O123" s="7"/>
      <c r="P123" s="7"/>
      <c r="Q123" s="7"/>
      <c r="R123" s="145">
        <f>'Parameters, country spec'!K30</f>
        <v>2.5717267166106915E-2</v>
      </c>
    </row>
    <row r="124" spans="1:18" x14ac:dyDescent="0.25">
      <c r="A124" s="80"/>
      <c r="B124" s="16" t="s">
        <v>415</v>
      </c>
      <c r="C124" s="81" t="s">
        <v>416</v>
      </c>
      <c r="D124" s="22" t="s">
        <v>33</v>
      </c>
      <c r="E124" s="22" t="s">
        <v>92</v>
      </c>
      <c r="F124" s="115">
        <f t="shared" si="21"/>
        <v>0.19831626778681055</v>
      </c>
      <c r="G124" s="78">
        <f t="shared" ref="G124:N124" si="22">AVERAGE(G114:G122)</f>
        <v>5.5781199817442971E-2</v>
      </c>
      <c r="H124" s="78">
        <f t="shared" si="22"/>
        <v>2.4826324642556769E-2</v>
      </c>
      <c r="I124" s="78">
        <f t="shared" si="22"/>
        <v>0</v>
      </c>
      <c r="J124" s="78"/>
      <c r="K124" s="78">
        <f t="shared" si="22"/>
        <v>6.6196928854519763E-2</v>
      </c>
      <c r="L124" s="78"/>
      <c r="M124" s="78">
        <f t="shared" si="22"/>
        <v>1.4485732948292295E-2</v>
      </c>
      <c r="N124" s="78">
        <f t="shared" si="22"/>
        <v>3.7026081523998715E-2</v>
      </c>
      <c r="O124" s="78"/>
      <c r="P124" s="78"/>
      <c r="Q124" s="78"/>
      <c r="R124" s="145">
        <f>'Parameters, country spec'!K31</f>
        <v>3.3339193141406827E-2</v>
      </c>
    </row>
    <row r="125" spans="1:18" x14ac:dyDescent="0.25">
      <c r="A125" s="144"/>
      <c r="B125" s="24" t="s">
        <v>417</v>
      </c>
      <c r="C125" s="25"/>
      <c r="D125" s="99"/>
      <c r="E125" s="99"/>
      <c r="F125" s="26">
        <f>SUMPRODUCT(F114:F124,$R$114:$R$124)</f>
        <v>0.28075236922510605</v>
      </c>
      <c r="G125" s="26">
        <f>SUMPRODUCT(G114:G124,$R$114:$R$124)</f>
        <v>6.4989987147998834E-2</v>
      </c>
      <c r="H125" s="26">
        <f>SUMPRODUCT(H114:H124,$R$114:$R$124)</f>
        <v>2.5022713849691576E-2</v>
      </c>
      <c r="I125" s="26">
        <f>SUMPRODUCT(I114:I124,$R$114:$R$124)</f>
        <v>0</v>
      </c>
      <c r="J125" s="26"/>
      <c r="K125" s="26">
        <f>SUMPRODUCT(K114:K124,$R$114:$R$124)</f>
        <v>4.1632928256198486E-2</v>
      </c>
      <c r="L125" s="26"/>
      <c r="M125" s="26">
        <f>SUMPRODUCT(M114:M124,$R$114:$R$124)</f>
        <v>1.0690907934132642E-2</v>
      </c>
      <c r="N125" s="26">
        <f>SUMPRODUCT(N114:N124,$R$114:$R$124)</f>
        <v>3.5700102147827532E-2</v>
      </c>
      <c r="O125" s="26">
        <f>SUMPRODUCT(O114:O124,$R$114:$R$124)</f>
        <v>5.316533471311212E-2</v>
      </c>
      <c r="P125" s="26">
        <f>SUMPRODUCT(P114:P124,$R$30:$R$40)</f>
        <v>7.3839721648091801E-3</v>
      </c>
      <c r="Q125" s="26">
        <f>SUMPRODUCT(Q114:Q124,$R$114:$R$124)</f>
        <v>4.3252766391291615E-2</v>
      </c>
      <c r="R125" s="146"/>
    </row>
    <row r="126" spans="1:18" x14ac:dyDescent="0.25">
      <c r="A126" s="21" t="s">
        <v>403</v>
      </c>
      <c r="B126" s="16" t="s">
        <v>187</v>
      </c>
      <c r="C126" s="16" t="s">
        <v>404</v>
      </c>
      <c r="D126" s="22" t="s">
        <v>37</v>
      </c>
      <c r="E126" s="22" t="s">
        <v>93</v>
      </c>
      <c r="F126" s="115">
        <f>SUM(G126:Q126)</f>
        <v>0.16700000000000001</v>
      </c>
      <c r="G126" s="77">
        <v>6.4000000000000001E-2</v>
      </c>
      <c r="H126" s="13">
        <v>2.7E-2</v>
      </c>
      <c r="I126" s="15">
        <v>0</v>
      </c>
      <c r="J126" s="13"/>
      <c r="K126" s="77">
        <v>4.1000000000000002E-2</v>
      </c>
      <c r="L126" s="13"/>
      <c r="M126" s="13">
        <v>0</v>
      </c>
      <c r="N126" s="77">
        <v>3.5000000000000003E-2</v>
      </c>
      <c r="O126" s="13"/>
      <c r="P126" s="13"/>
      <c r="R126" s="145">
        <f>'Parameters, country spec'!L21</f>
        <v>0.26218798715146852</v>
      </c>
    </row>
    <row r="127" spans="1:18" x14ac:dyDescent="0.25">
      <c r="A127" s="21" t="s">
        <v>405</v>
      </c>
      <c r="B127" s="16" t="s">
        <v>189</v>
      </c>
      <c r="C127" s="16" t="s">
        <v>404</v>
      </c>
      <c r="D127" s="22" t="s">
        <v>37</v>
      </c>
      <c r="E127" s="22" t="s">
        <v>93</v>
      </c>
      <c r="F127" s="115">
        <f t="shared" ref="F127:F134" si="23">SUM(G127:Q127)</f>
        <v>0.157</v>
      </c>
      <c r="G127" s="77">
        <v>6.3E-2</v>
      </c>
      <c r="H127" s="13">
        <v>2.7E-2</v>
      </c>
      <c r="I127" s="15">
        <v>0</v>
      </c>
      <c r="J127" s="13"/>
      <c r="K127" s="77">
        <v>2.8000000000000001E-2</v>
      </c>
      <c r="L127" s="13"/>
      <c r="M127" s="13">
        <v>4.0000000000000001E-3</v>
      </c>
      <c r="N127" s="77">
        <v>3.5000000000000003E-2</v>
      </c>
      <c r="O127" s="13"/>
      <c r="P127" s="13"/>
      <c r="R127" s="145">
        <f>'Parameters, country spec'!L22</f>
        <v>2.7145227912969191E-3</v>
      </c>
    </row>
    <row r="128" spans="1:18" x14ac:dyDescent="0.25">
      <c r="A128" s="21" t="s">
        <v>406</v>
      </c>
      <c r="B128" s="16" t="s">
        <v>191</v>
      </c>
      <c r="C128" s="16" t="s">
        <v>404</v>
      </c>
      <c r="D128" s="22" t="s">
        <v>37</v>
      </c>
      <c r="E128" s="22" t="s">
        <v>93</v>
      </c>
      <c r="F128" s="115">
        <f t="shared" si="23"/>
        <v>0.16600000000000001</v>
      </c>
      <c r="G128" s="77">
        <v>5.7000000000000002E-2</v>
      </c>
      <c r="H128" s="13">
        <v>2.7E-2</v>
      </c>
      <c r="I128" s="15">
        <v>0</v>
      </c>
      <c r="J128" s="13"/>
      <c r="K128" s="77">
        <v>4.7E-2</v>
      </c>
      <c r="L128" s="13"/>
      <c r="M128" s="13">
        <v>0</v>
      </c>
      <c r="N128" s="77">
        <v>3.5000000000000003E-2</v>
      </c>
      <c r="O128" s="13"/>
      <c r="P128" s="13"/>
      <c r="R128" s="145">
        <f>'Parameters, country spec'!L23</f>
        <v>4.4514084693111092E-2</v>
      </c>
    </row>
    <row r="129" spans="1:18" x14ac:dyDescent="0.25">
      <c r="A129" s="21" t="s">
        <v>407</v>
      </c>
      <c r="B129" s="16" t="s">
        <v>192</v>
      </c>
      <c r="C129" s="16" t="s">
        <v>404</v>
      </c>
      <c r="D129" s="22" t="s">
        <v>37</v>
      </c>
      <c r="E129" s="22" t="s">
        <v>93</v>
      </c>
      <c r="F129" s="115">
        <f t="shared" si="23"/>
        <v>0.14300000000000002</v>
      </c>
      <c r="G129" s="77">
        <v>0.05</v>
      </c>
      <c r="H129" s="13">
        <v>2.7E-2</v>
      </c>
      <c r="I129" s="13">
        <v>0</v>
      </c>
      <c r="J129" s="13"/>
      <c r="K129" s="77">
        <v>3.1E-2</v>
      </c>
      <c r="L129" s="13"/>
      <c r="M129" s="13">
        <v>0</v>
      </c>
      <c r="N129" s="77">
        <v>3.5000000000000003E-2</v>
      </c>
      <c r="O129" s="13"/>
      <c r="P129" s="13"/>
      <c r="R129" s="145">
        <f>'Parameters, country spec'!L24</f>
        <v>2.791271755500447E-2</v>
      </c>
    </row>
    <row r="130" spans="1:18" x14ac:dyDescent="0.25">
      <c r="A130" s="21" t="s">
        <v>408</v>
      </c>
      <c r="B130" s="16" t="s">
        <v>193</v>
      </c>
      <c r="C130" s="16" t="s">
        <v>404</v>
      </c>
      <c r="D130" s="22" t="s">
        <v>37</v>
      </c>
      <c r="E130" s="22" t="s">
        <v>93</v>
      </c>
      <c r="F130" s="115">
        <f t="shared" si="23"/>
        <v>0.16500000000000001</v>
      </c>
      <c r="G130" s="77">
        <v>7.3999999999999996E-2</v>
      </c>
      <c r="H130" s="13">
        <v>2.7E-2</v>
      </c>
      <c r="I130" s="13">
        <v>0</v>
      </c>
      <c r="J130" s="13"/>
      <c r="K130" s="77">
        <v>2.9000000000000001E-2</v>
      </c>
      <c r="L130" s="13"/>
      <c r="M130" s="13">
        <v>0</v>
      </c>
      <c r="N130" s="77">
        <v>3.5000000000000003E-2</v>
      </c>
      <c r="O130" s="13"/>
      <c r="P130" s="13"/>
      <c r="R130" s="145">
        <f>'Parameters, country spec'!L25</f>
        <v>0.32729029603711124</v>
      </c>
    </row>
    <row r="131" spans="1:18" x14ac:dyDescent="0.25">
      <c r="A131" s="21" t="s">
        <v>409</v>
      </c>
      <c r="B131" s="16" t="s">
        <v>194</v>
      </c>
      <c r="C131" s="16" t="s">
        <v>410</v>
      </c>
      <c r="D131" s="22" t="s">
        <v>37</v>
      </c>
      <c r="E131" s="22" t="s">
        <v>93</v>
      </c>
      <c r="F131" s="115">
        <f t="shared" si="23"/>
        <v>0.11900000000000001</v>
      </c>
      <c r="G131" s="77">
        <v>0</v>
      </c>
      <c r="H131" s="13">
        <v>2.7E-2</v>
      </c>
      <c r="I131" s="15">
        <v>0</v>
      </c>
      <c r="J131" s="13"/>
      <c r="K131" s="77">
        <v>5.7000000000000002E-2</v>
      </c>
      <c r="L131" s="15"/>
      <c r="M131" s="13">
        <v>0</v>
      </c>
      <c r="N131" s="77">
        <v>3.5000000000000003E-2</v>
      </c>
      <c r="O131" s="13"/>
      <c r="P131" s="13"/>
      <c r="R131" s="145">
        <f>'Parameters, country spec'!L26</f>
        <v>4.8974646420038275E-3</v>
      </c>
    </row>
    <row r="132" spans="1:18" x14ac:dyDescent="0.25">
      <c r="A132" s="21" t="s">
        <v>411</v>
      </c>
      <c r="B132" s="16" t="s">
        <v>195</v>
      </c>
      <c r="C132" s="16" t="s">
        <v>410</v>
      </c>
      <c r="D132" s="22" t="s">
        <v>37</v>
      </c>
      <c r="E132" s="22" t="s">
        <v>93</v>
      </c>
      <c r="F132" s="115">
        <f t="shared" si="23"/>
        <v>0.15000000000000002</v>
      </c>
      <c r="G132" s="77">
        <v>3.0000000000000001E-3</v>
      </c>
      <c r="H132" s="13">
        <v>2.7E-2</v>
      </c>
      <c r="I132" s="15">
        <v>0</v>
      </c>
      <c r="J132" s="13"/>
      <c r="K132" s="77">
        <v>8.5000000000000006E-2</v>
      </c>
      <c r="L132" s="13"/>
      <c r="M132" s="13">
        <v>0</v>
      </c>
      <c r="N132" s="77">
        <v>3.5000000000000003E-2</v>
      </c>
      <c r="O132" s="13"/>
      <c r="P132" s="13"/>
      <c r="R132" s="145">
        <f>'Parameters, country spec'!L27</f>
        <v>5.63859541846429E-2</v>
      </c>
    </row>
    <row r="133" spans="1:18" x14ac:dyDescent="0.25">
      <c r="B133" s="17" t="s">
        <v>196</v>
      </c>
      <c r="C133" s="16" t="s">
        <v>412</v>
      </c>
      <c r="D133" s="22" t="s">
        <v>460</v>
      </c>
      <c r="E133" s="22"/>
      <c r="F133" s="115">
        <f t="shared" si="23"/>
        <v>0.27085685084992916</v>
      </c>
      <c r="G133" s="19">
        <f>'Off-farm feed'!$F$74</f>
        <v>0.11176753125767681</v>
      </c>
      <c r="H133" s="19">
        <f>'Off-farm feed'!$G$74</f>
        <v>1.3034482758620692E-2</v>
      </c>
      <c r="I133" s="19">
        <f>'Off-farm feed'!$H$74</f>
        <v>0</v>
      </c>
      <c r="J133" s="19"/>
      <c r="K133" s="19">
        <f>'Off-farm feed'!$J$74</f>
        <v>2.4688740026345454E-2</v>
      </c>
      <c r="L133" s="19"/>
      <c r="M133" s="288">
        <f>'Off-farm feed'!$L$74</f>
        <v>1.931759303794134E-4</v>
      </c>
      <c r="N133" s="19">
        <f>'Off-farm feed'!$M$74</f>
        <v>3.6802128767029069E-2</v>
      </c>
      <c r="O133" s="19">
        <f>'Off-farm feed'!$N$74</f>
        <v>0</v>
      </c>
      <c r="P133" s="19">
        <f>'Off-farm feed'!$O$74</f>
        <v>2.1170792109877701E-2</v>
      </c>
      <c r="Q133" s="19">
        <f>'Off-farm feed'!$P$74</f>
        <v>6.3200000000000006E-2</v>
      </c>
      <c r="R133" s="145">
        <f>'Parameters, country spec'!L28</f>
        <v>2.9607485666187296E-2</v>
      </c>
    </row>
    <row r="134" spans="1:18" x14ac:dyDescent="0.25">
      <c r="B134" s="17" t="s">
        <v>413</v>
      </c>
      <c r="C134" s="16" t="s">
        <v>412</v>
      </c>
      <c r="D134" s="22" t="s">
        <v>437</v>
      </c>
      <c r="E134" s="22"/>
      <c r="F134" s="115">
        <f t="shared" si="23"/>
        <v>0.7061171705997602</v>
      </c>
      <c r="G134" s="19">
        <f>'Off-farm feed'!$F$23</f>
        <v>7.2632670993098931E-3</v>
      </c>
      <c r="H134" s="19">
        <f>'Off-farm feed'!$G$23</f>
        <v>2.1402439024390246E-2</v>
      </c>
      <c r="I134" s="19">
        <f>'Off-farm feed'!$H$23</f>
        <v>0</v>
      </c>
      <c r="J134" s="19"/>
      <c r="K134" s="19">
        <f>'Off-farm feed'!$J$23</f>
        <v>4.308361966433235E-2</v>
      </c>
      <c r="L134" s="19"/>
      <c r="M134" s="288">
        <f>'Off-farm feed'!$L$23</f>
        <v>1.7842060425123844E-4</v>
      </c>
      <c r="N134" s="19">
        <f>'Off-farm feed'!$M$23</f>
        <v>3.0432604948959403E-2</v>
      </c>
      <c r="O134" s="19">
        <f>'Off-farm feed'!$N$23</f>
        <v>0.31761120248475611</v>
      </c>
      <c r="P134" s="19">
        <f>'Off-farm feed'!$O$23</f>
        <v>3.5145616773760872E-2</v>
      </c>
      <c r="Q134" s="19">
        <f>'Off-farm feed'!$P$23</f>
        <v>0.251</v>
      </c>
      <c r="R134" s="145">
        <f>'Parameters, country spec'!L29</f>
        <v>3.870789973314008E-2</v>
      </c>
    </row>
    <row r="135" spans="1:18" x14ac:dyDescent="0.25">
      <c r="B135" s="16" t="s">
        <v>198</v>
      </c>
      <c r="C135" s="16" t="s">
        <v>414</v>
      </c>
      <c r="D135" s="22" t="s">
        <v>37</v>
      </c>
      <c r="E135" s="22" t="s">
        <v>93</v>
      </c>
      <c r="F135" s="115"/>
      <c r="G135" s="103"/>
      <c r="H135" s="7"/>
      <c r="I135" s="102"/>
      <c r="J135" s="7"/>
      <c r="K135" s="103"/>
      <c r="L135" s="7"/>
      <c r="M135" s="7"/>
      <c r="N135" s="103"/>
      <c r="O135" s="7"/>
      <c r="P135" s="7"/>
      <c r="Q135" s="7"/>
      <c r="R135" s="145">
        <f>'Parameters, country spec'!L30</f>
        <v>0.11190565161757877</v>
      </c>
    </row>
    <row r="136" spans="1:18" x14ac:dyDescent="0.25">
      <c r="A136" s="80"/>
      <c r="B136" s="16" t="s">
        <v>415</v>
      </c>
      <c r="C136" s="81" t="s">
        <v>416</v>
      </c>
      <c r="D136" s="22" t="s">
        <v>37</v>
      </c>
      <c r="E136" s="22" t="s">
        <v>93</v>
      </c>
      <c r="F136" s="115">
        <f>SUM(G136:Q136)</f>
        <v>0.15064960112014386</v>
      </c>
      <c r="G136" s="78">
        <f>AVERAGE(G126:G134)</f>
        <v>4.7781199817442971E-2</v>
      </c>
      <c r="H136" s="78">
        <f>AVERAGE(H126:H134)</f>
        <v>2.4826324642556769E-2</v>
      </c>
      <c r="I136" s="78">
        <f t="shared" ref="I136:N136" si="24">AVERAGE(I126:I134)</f>
        <v>0</v>
      </c>
      <c r="J136" s="78"/>
      <c r="K136" s="78">
        <f t="shared" si="24"/>
        <v>4.2863595521186425E-2</v>
      </c>
      <c r="L136" s="78"/>
      <c r="M136" s="78">
        <f t="shared" si="24"/>
        <v>4.8573294829229474E-4</v>
      </c>
      <c r="N136" s="78">
        <f t="shared" si="24"/>
        <v>3.4692748190665389E-2</v>
      </c>
      <c r="O136" s="78"/>
      <c r="P136" s="78"/>
      <c r="Q136" s="78"/>
      <c r="R136" s="145">
        <f>'Parameters, country spec'!L31</f>
        <v>9.3875935928454946E-2</v>
      </c>
    </row>
    <row r="137" spans="1:18" x14ac:dyDescent="0.25">
      <c r="A137" s="144"/>
      <c r="B137" s="24" t="s">
        <v>417</v>
      </c>
      <c r="C137" s="25"/>
      <c r="D137" s="99"/>
      <c r="E137" s="99"/>
      <c r="F137" s="26">
        <f>SUMPRODUCT(F126:F136,$R$126:$R$136)</f>
        <v>0.16813009613912314</v>
      </c>
      <c r="G137" s="26">
        <f t="shared" ref="G137:Q137" si="25">SUMPRODUCT(G126:G136,$R$126:$R$136)</f>
        <v>5.3348430835022297E-2</v>
      </c>
      <c r="H137" s="26">
        <f t="shared" si="25"/>
        <v>2.3144337917201704E-2</v>
      </c>
      <c r="I137" s="26">
        <f t="shared" si="25"/>
        <v>0</v>
      </c>
      <c r="J137" s="26"/>
      <c r="K137" s="26">
        <f t="shared" si="25"/>
        <v>3.476905860487705E-2</v>
      </c>
      <c r="L137" s="26"/>
      <c r="M137" s="26">
        <f t="shared" si="25"/>
        <v>6.9082466746858747E-5</v>
      </c>
      <c r="N137" s="26">
        <f t="shared" si="25"/>
        <v>3.0931020874178868E-2</v>
      </c>
      <c r="O137" s="26">
        <f t="shared" si="25"/>
        <v>1.2294062579901991E-2</v>
      </c>
      <c r="P137" s="26">
        <f>SUMPRODUCT(P126:P136,$R$30:$R$40)</f>
        <v>7.3839721648091801E-3</v>
      </c>
      <c r="Q137" s="26">
        <f t="shared" si="25"/>
        <v>1.1586875927121197E-2</v>
      </c>
      <c r="R137" s="146"/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6">
    <tabColor theme="4" tint="0.79998168889431442"/>
  </sheetPr>
  <dimension ref="A1:S137"/>
  <sheetViews>
    <sheetView topLeftCell="A117" zoomScale="74" zoomScaleNormal="80" workbookViewId="0">
      <selection activeCell="P139" sqref="P139"/>
    </sheetView>
  </sheetViews>
  <sheetFormatPr defaultColWidth="8.7109375" defaultRowHeight="15" x14ac:dyDescent="0.25"/>
  <cols>
    <col min="1" max="1" width="8.5703125" customWidth="1"/>
    <col min="2" max="2" width="30.42578125" customWidth="1"/>
    <col min="3" max="3" width="19" customWidth="1"/>
    <col min="4" max="4" width="12.5703125" customWidth="1"/>
    <col min="5" max="5" width="11.42578125" customWidth="1"/>
    <col min="6" max="6" width="12.5703125" style="16" customWidth="1"/>
    <col min="7" max="10" width="12.5703125" customWidth="1"/>
    <col min="11" max="11" width="14.42578125" customWidth="1"/>
    <col min="12" max="17" width="12.5703125" customWidth="1"/>
  </cols>
  <sheetData>
    <row r="1" spans="1:19" x14ac:dyDescent="0.25"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</row>
    <row r="2" spans="1:19" ht="21" x14ac:dyDescent="0.35">
      <c r="A2" s="2" t="s">
        <v>418</v>
      </c>
      <c r="F2" s="16" t="s">
        <v>395</v>
      </c>
    </row>
    <row r="3" spans="1:19" x14ac:dyDescent="0.25">
      <c r="H3" s="8"/>
      <c r="I3" s="8"/>
      <c r="J3" s="8"/>
      <c r="K3" s="8"/>
      <c r="L3" s="8"/>
      <c r="M3" s="8"/>
      <c r="N3" s="8"/>
    </row>
    <row r="4" spans="1:19" ht="30" x14ac:dyDescent="0.25">
      <c r="A4" s="147" t="s">
        <v>396</v>
      </c>
      <c r="B4" s="139"/>
      <c r="C4" s="139"/>
      <c r="D4" s="139"/>
      <c r="E4" s="139"/>
      <c r="F4" s="313" t="s">
        <v>102</v>
      </c>
      <c r="G4" s="140" t="s">
        <v>103</v>
      </c>
      <c r="H4" s="141"/>
      <c r="I4" s="140" t="s">
        <v>104</v>
      </c>
      <c r="J4" s="100"/>
      <c r="K4" s="140" t="s">
        <v>105</v>
      </c>
      <c r="L4" s="100"/>
      <c r="M4" s="100"/>
      <c r="N4" s="100"/>
      <c r="O4" s="101" t="s">
        <v>106</v>
      </c>
      <c r="P4" s="101" t="s">
        <v>397</v>
      </c>
      <c r="Q4" s="142" t="s">
        <v>107</v>
      </c>
      <c r="R4" s="140" t="s">
        <v>398</v>
      </c>
    </row>
    <row r="5" spans="1:19" ht="57" customHeight="1" x14ac:dyDescent="0.25">
      <c r="A5" s="94" t="s">
        <v>59</v>
      </c>
      <c r="B5" s="94" t="s">
        <v>396</v>
      </c>
      <c r="C5" s="94" t="s">
        <v>399</v>
      </c>
      <c r="D5" s="94" t="s">
        <v>62</v>
      </c>
      <c r="E5" s="143" t="s">
        <v>63</v>
      </c>
      <c r="F5" s="314"/>
      <c r="G5" s="95" t="s">
        <v>11</v>
      </c>
      <c r="H5" s="95" t="s">
        <v>12</v>
      </c>
      <c r="I5" s="95" t="s">
        <v>400</v>
      </c>
      <c r="J5" s="95" t="s">
        <v>401</v>
      </c>
      <c r="K5" s="95" t="s">
        <v>116</v>
      </c>
      <c r="L5" s="95" t="s">
        <v>117</v>
      </c>
      <c r="M5" s="95" t="s">
        <v>118</v>
      </c>
      <c r="N5" s="95" t="s">
        <v>119</v>
      </c>
      <c r="O5" s="95" t="s">
        <v>120</v>
      </c>
      <c r="P5" s="95" t="s">
        <v>397</v>
      </c>
      <c r="Q5" s="143" t="s">
        <v>402</v>
      </c>
      <c r="R5" s="95"/>
    </row>
    <row r="6" spans="1:19" x14ac:dyDescent="0.25">
      <c r="A6" s="21" t="s">
        <v>403</v>
      </c>
      <c r="B6" s="16" t="s">
        <v>187</v>
      </c>
      <c r="C6" s="16" t="s">
        <v>404</v>
      </c>
      <c r="D6" s="22" t="s">
        <v>36</v>
      </c>
      <c r="E6" s="22" t="s">
        <v>83</v>
      </c>
      <c r="F6" s="125">
        <f t="shared" ref="F6:F14" si="0">SUM(G6:Q6)</f>
        <v>2.1829999999999999E-4</v>
      </c>
      <c r="G6" s="96">
        <v>8.1000000000000004E-5</v>
      </c>
      <c r="H6" s="97">
        <v>1E-4</v>
      </c>
      <c r="I6" s="15"/>
      <c r="J6" s="13"/>
      <c r="K6" s="98">
        <v>1.45E-5</v>
      </c>
      <c r="L6" s="98"/>
      <c r="M6" s="98">
        <v>0</v>
      </c>
      <c r="N6" s="98">
        <v>2.2799999999999999E-5</v>
      </c>
      <c r="O6" s="98"/>
      <c r="P6" s="98"/>
      <c r="Q6" s="13"/>
      <c r="R6" s="145">
        <f>'Parameters, country spec'!B21</f>
        <v>0.35358045392897253</v>
      </c>
    </row>
    <row r="7" spans="1:19" x14ac:dyDescent="0.25">
      <c r="A7" s="21" t="s">
        <v>405</v>
      </c>
      <c r="B7" s="16" t="s">
        <v>189</v>
      </c>
      <c r="C7" s="16" t="s">
        <v>404</v>
      </c>
      <c r="D7" s="22" t="s">
        <v>36</v>
      </c>
      <c r="E7" s="22" t="s">
        <v>83</v>
      </c>
      <c r="F7" s="125">
        <f t="shared" si="0"/>
        <v>2.2610000000000002E-4</v>
      </c>
      <c r="G7" s="96">
        <v>7.8999999999999996E-5</v>
      </c>
      <c r="H7" s="97">
        <v>1E-4</v>
      </c>
      <c r="I7" s="15"/>
      <c r="J7" s="13"/>
      <c r="K7" s="98">
        <v>1.2E-5</v>
      </c>
      <c r="L7" s="98"/>
      <c r="M7" s="98">
        <v>1.2300000000000001E-5</v>
      </c>
      <c r="N7" s="98">
        <v>2.2799999999999999E-5</v>
      </c>
      <c r="O7" s="98"/>
      <c r="P7" s="98"/>
      <c r="Q7" s="13"/>
      <c r="R7" s="145">
        <f>'Parameters, country spec'!B22</f>
        <v>2.127816529490071E-2</v>
      </c>
    </row>
    <row r="8" spans="1:19" x14ac:dyDescent="0.25">
      <c r="A8" s="21" t="s">
        <v>406</v>
      </c>
      <c r="B8" s="16" t="s">
        <v>191</v>
      </c>
      <c r="C8" s="16" t="s">
        <v>404</v>
      </c>
      <c r="D8" s="22" t="s">
        <v>36</v>
      </c>
      <c r="E8" s="22" t="s">
        <v>83</v>
      </c>
      <c r="F8" s="125">
        <f t="shared" si="0"/>
        <v>2.1040000000000002E-4</v>
      </c>
      <c r="G8" s="96">
        <v>7.1000000000000005E-5</v>
      </c>
      <c r="H8" s="97">
        <v>1E-4</v>
      </c>
      <c r="I8" s="15"/>
      <c r="J8" s="13"/>
      <c r="K8" s="98">
        <v>1.66E-5</v>
      </c>
      <c r="L8" s="98"/>
      <c r="M8" s="98">
        <v>0</v>
      </c>
      <c r="N8" s="98">
        <v>2.2799999999999999E-5</v>
      </c>
      <c r="O8" s="98"/>
      <c r="P8" s="98"/>
      <c r="Q8" s="13"/>
      <c r="R8" s="145">
        <f>'Parameters, country spec'!B23</f>
        <v>5.9387582525533989E-3</v>
      </c>
    </row>
    <row r="9" spans="1:19" x14ac:dyDescent="0.25">
      <c r="A9" s="21" t="s">
        <v>407</v>
      </c>
      <c r="B9" s="16" t="s">
        <v>192</v>
      </c>
      <c r="C9" s="16" t="s">
        <v>404</v>
      </c>
      <c r="D9" s="22" t="s">
        <v>36</v>
      </c>
      <c r="E9" s="22" t="s">
        <v>83</v>
      </c>
      <c r="F9" s="125">
        <f t="shared" si="0"/>
        <v>1.9940000000000002E-4</v>
      </c>
      <c r="G9" s="96">
        <v>6.3E-5</v>
      </c>
      <c r="H9" s="97">
        <v>1E-4</v>
      </c>
      <c r="I9" s="13"/>
      <c r="J9" s="13"/>
      <c r="K9" s="98">
        <v>1.36E-5</v>
      </c>
      <c r="L9" s="98"/>
      <c r="M9" s="98">
        <v>0</v>
      </c>
      <c r="N9" s="98">
        <v>2.2799999999999999E-5</v>
      </c>
      <c r="O9" s="98"/>
      <c r="P9" s="98"/>
      <c r="Q9" s="13"/>
      <c r="R9" s="145">
        <f>'Parameters, country spec'!B24</f>
        <v>4.3085020093106188E-3</v>
      </c>
    </row>
    <row r="10" spans="1:19" x14ac:dyDescent="0.25">
      <c r="A10" s="21" t="s">
        <v>408</v>
      </c>
      <c r="B10" s="16" t="s">
        <v>193</v>
      </c>
      <c r="C10" s="16" t="s">
        <v>404</v>
      </c>
      <c r="D10" s="22" t="s">
        <v>36</v>
      </c>
      <c r="E10" s="22" t="s">
        <v>83</v>
      </c>
      <c r="F10" s="125">
        <f t="shared" si="0"/>
        <v>2.2831000000000001E-4</v>
      </c>
      <c r="G10" s="96">
        <v>9.2999999999999997E-5</v>
      </c>
      <c r="H10" s="97">
        <v>1E-4</v>
      </c>
      <c r="I10" s="13"/>
      <c r="J10" s="13"/>
      <c r="K10" s="98">
        <v>1.1E-5</v>
      </c>
      <c r="L10" s="98"/>
      <c r="M10" s="98">
        <v>1.5099999999999999E-6</v>
      </c>
      <c r="N10" s="98">
        <v>2.2799999999999999E-5</v>
      </c>
      <c r="O10" s="98"/>
      <c r="P10" s="98"/>
      <c r="Q10" s="13"/>
      <c r="R10" s="145">
        <f>'Parameters, country spec'!B25</f>
        <v>0.36499405608086982</v>
      </c>
    </row>
    <row r="11" spans="1:19" x14ac:dyDescent="0.25">
      <c r="A11" s="21" t="s">
        <v>409</v>
      </c>
      <c r="B11" s="16" t="s">
        <v>194</v>
      </c>
      <c r="C11" s="16" t="s">
        <v>410</v>
      </c>
      <c r="D11" s="22" t="s">
        <v>36</v>
      </c>
      <c r="E11" s="22" t="s">
        <v>83</v>
      </c>
      <c r="F11" s="125">
        <f t="shared" si="0"/>
        <v>1.4275099999999999E-4</v>
      </c>
      <c r="G11" s="96">
        <v>0</v>
      </c>
      <c r="H11" s="97">
        <v>1E-4</v>
      </c>
      <c r="I11" s="15"/>
      <c r="J11" s="13"/>
      <c r="K11" s="98">
        <v>1.9700000000000001E-5</v>
      </c>
      <c r="L11" s="98"/>
      <c r="M11" s="98">
        <v>2.5100000000000001E-7</v>
      </c>
      <c r="N11" s="98">
        <v>2.2799999999999999E-5</v>
      </c>
      <c r="O11" s="98"/>
      <c r="P11" s="98"/>
      <c r="Q11" s="13"/>
      <c r="R11" s="145">
        <f>'Parameters, country spec'!B26</f>
        <v>8.6328274294382738E-4</v>
      </c>
    </row>
    <row r="12" spans="1:19" x14ac:dyDescent="0.25">
      <c r="A12" s="21" t="s">
        <v>411</v>
      </c>
      <c r="B12" s="16" t="s">
        <v>195</v>
      </c>
      <c r="C12" s="16" t="s">
        <v>410</v>
      </c>
      <c r="D12" s="22" t="s">
        <v>36</v>
      </c>
      <c r="E12" s="22" t="s">
        <v>83</v>
      </c>
      <c r="F12" s="125">
        <f t="shared" si="0"/>
        <v>1.7640000000000001E-4</v>
      </c>
      <c r="G12" s="96">
        <v>3.9999999999999998E-6</v>
      </c>
      <c r="H12" s="97">
        <v>1E-4</v>
      </c>
      <c r="I12" s="15"/>
      <c r="J12" s="13"/>
      <c r="K12" s="98">
        <v>2.0999999999999999E-5</v>
      </c>
      <c r="L12" s="98"/>
      <c r="M12" s="98">
        <v>2.8600000000000001E-5</v>
      </c>
      <c r="N12" s="98">
        <v>2.2799999999999999E-5</v>
      </c>
      <c r="O12" s="98"/>
      <c r="P12" s="98"/>
      <c r="Q12" s="13"/>
      <c r="R12" s="145">
        <f>'Parameters, country spec'!B27</f>
        <v>8.4802813940235893E-4</v>
      </c>
    </row>
    <row r="13" spans="1:19" x14ac:dyDescent="0.25">
      <c r="B13" s="17" t="s">
        <v>196</v>
      </c>
      <c r="C13" s="16" t="s">
        <v>412</v>
      </c>
      <c r="D13" s="22" t="s">
        <v>460</v>
      </c>
      <c r="E13" s="22"/>
      <c r="F13" s="125">
        <f t="shared" si="0"/>
        <v>3.8246443678729497E-4</v>
      </c>
      <c r="G13" s="33">
        <f>'Off-farm feed'!$F$75</f>
        <v>1.684774766302073E-4</v>
      </c>
      <c r="H13" s="33">
        <f>'Off-farm feed'!$G$75</f>
        <v>4.5862068965517246E-5</v>
      </c>
      <c r="I13" s="33"/>
      <c r="J13" s="33"/>
      <c r="K13" s="33">
        <f>'Off-farm feed'!$J$75</f>
        <v>1.0936279334641699E-5</v>
      </c>
      <c r="L13" s="33"/>
      <c r="M13" s="33">
        <f>'Off-farm feed'!$L$75</f>
        <v>6.4606960551724142E-7</v>
      </c>
      <c r="N13" s="33">
        <f>'Off-farm feed'!$M$75</f>
        <v>2.1884761697575221E-5</v>
      </c>
      <c r="O13" s="33"/>
      <c r="P13" s="33">
        <f>'Off-farm feed'!$O$75</f>
        <v>4.5962128379923281E-5</v>
      </c>
      <c r="Q13" s="33">
        <f>'Off-farm feed'!$P$75</f>
        <v>8.8695652173913049E-5</v>
      </c>
      <c r="R13" s="145">
        <f>'Parameters, country spec'!B28</f>
        <v>5.419738399660614E-2</v>
      </c>
    </row>
    <row r="14" spans="1:19" x14ac:dyDescent="0.25">
      <c r="B14" s="17" t="s">
        <v>413</v>
      </c>
      <c r="C14" s="16" t="s">
        <v>412</v>
      </c>
      <c r="D14" s="22" t="s">
        <v>437</v>
      </c>
      <c r="E14" s="22"/>
      <c r="F14" s="125">
        <f t="shared" si="0"/>
        <v>4.7266553697523981E-4</v>
      </c>
      <c r="G14" s="33">
        <f>'Off-farm feed'!$F$24</f>
        <v>1.5603516238625262E-5</v>
      </c>
      <c r="H14" s="33">
        <f>'Off-farm feed'!$G$24</f>
        <v>7.5304878048780503E-5</v>
      </c>
      <c r="I14" s="33"/>
      <c r="J14" s="33"/>
      <c r="K14" s="33">
        <f>'Off-farm feed'!$J$24</f>
        <v>1.908459074435586E-5</v>
      </c>
      <c r="L14" s="33"/>
      <c r="M14" s="33">
        <f>'Off-farm feed'!$L$24</f>
        <v>5.9672097439024396E-7</v>
      </c>
      <c r="N14" s="33">
        <f>'Off-farm feed'!$M$24</f>
        <v>2.3084271612619523E-5</v>
      </c>
      <c r="O14" s="33"/>
      <c r="P14" s="33">
        <f>'Off-farm feed'!$O$24</f>
        <v>1.2899155935646844E-4</v>
      </c>
      <c r="Q14" s="33">
        <f>'Off-farm feed'!$P$24</f>
        <v>2.1000000000000001E-4</v>
      </c>
      <c r="R14" s="145">
        <f>'Parameters, country spec'!B29</f>
        <v>0.1335329470959849</v>
      </c>
    </row>
    <row r="15" spans="1:19" x14ac:dyDescent="0.25">
      <c r="B15" s="16" t="s">
        <v>198</v>
      </c>
      <c r="C15" s="16" t="s">
        <v>414</v>
      </c>
      <c r="D15" s="22" t="s">
        <v>36</v>
      </c>
      <c r="E15" s="22" t="s">
        <v>83</v>
      </c>
      <c r="F15" s="125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45">
        <f>'Parameters, country spec'!B30</f>
        <v>2.191861120973471E-2</v>
      </c>
    </row>
    <row r="16" spans="1:19" x14ac:dyDescent="0.25">
      <c r="A16" s="80"/>
      <c r="B16" s="16" t="s">
        <v>415</v>
      </c>
      <c r="C16" s="81" t="s">
        <v>416</v>
      </c>
      <c r="D16" s="22" t="s">
        <v>36</v>
      </c>
      <c r="E16" s="22" t="s">
        <v>83</v>
      </c>
      <c r="F16" s="125">
        <f>SUM(G16:Q16)</f>
        <v>1.981268482058033E-4</v>
      </c>
      <c r="G16" s="79">
        <f t="shared" ref="G16:N16" si="1">AVERAGE(G6:G14)</f>
        <v>6.3897888096536945E-5</v>
      </c>
      <c r="H16" s="79">
        <f t="shared" si="1"/>
        <v>9.1240771890477534E-5</v>
      </c>
      <c r="I16" s="79"/>
      <c r="J16" s="79"/>
      <c r="K16" s="79">
        <f t="shared" si="1"/>
        <v>1.5380096675444172E-5</v>
      </c>
      <c r="L16" s="79"/>
      <c r="M16" s="79">
        <f t="shared" si="1"/>
        <v>4.8781989533230542E-6</v>
      </c>
      <c r="N16" s="79">
        <f t="shared" si="1"/>
        <v>2.2729892590021635E-5</v>
      </c>
      <c r="O16" s="79"/>
      <c r="P16" s="79"/>
      <c r="Q16" s="79"/>
      <c r="R16" s="145">
        <f>'Parameters, country spec'!B31</f>
        <v>3.8539811248720843E-2</v>
      </c>
    </row>
    <row r="17" spans="1:18" x14ac:dyDescent="0.25">
      <c r="A17" s="144"/>
      <c r="B17" s="24" t="s">
        <v>417</v>
      </c>
      <c r="C17" s="25"/>
      <c r="D17" s="99"/>
      <c r="E17" s="99"/>
      <c r="F17" s="45">
        <f t="shared" ref="F17:Q17" si="2">SUMPRODUCT(F6:F16,$R$6:$R$16)</f>
        <v>2.5919162130708985E-4</v>
      </c>
      <c r="G17" s="45">
        <f t="shared" si="2"/>
        <v>7.8639153167682995E-5</v>
      </c>
      <c r="H17" s="45">
        <f t="shared" si="2"/>
        <v>9.1238813230902306E-5</v>
      </c>
      <c r="I17" s="45">
        <f t="shared" si="2"/>
        <v>0</v>
      </c>
      <c r="J17" s="45">
        <f t="shared" si="2"/>
        <v>0</v>
      </c>
      <c r="K17" s="45">
        <f t="shared" si="2"/>
        <v>1.3323068857347951E-5</v>
      </c>
      <c r="L17" s="45">
        <f t="shared" si="2"/>
        <v>0</v>
      </c>
      <c r="M17" s="45">
        <f t="shared" si="2"/>
        <v>1.1400348062626274E-6</v>
      </c>
      <c r="N17" s="45">
        <f t="shared" si="2"/>
        <v>2.2285909842554238E-5</v>
      </c>
      <c r="O17" s="45">
        <f t="shared" si="2"/>
        <v>0</v>
      </c>
      <c r="P17" s="45">
        <f t="shared" si="2"/>
        <v>1.9715650192483909E-5</v>
      </c>
      <c r="Q17" s="45">
        <f t="shared" si="2"/>
        <v>3.2848991209855806E-5</v>
      </c>
      <c r="R17" s="148"/>
    </row>
    <row r="18" spans="1:18" x14ac:dyDescent="0.25">
      <c r="A18" s="21" t="s">
        <v>403</v>
      </c>
      <c r="B18" s="16" t="s">
        <v>187</v>
      </c>
      <c r="C18" s="16" t="s">
        <v>404</v>
      </c>
      <c r="D18" s="22" t="s">
        <v>27</v>
      </c>
      <c r="E18" s="22" t="s">
        <v>84</v>
      </c>
      <c r="F18" s="315">
        <f>SUM(G18:Q18)</f>
        <v>2.8210000000000003E-4</v>
      </c>
      <c r="G18" s="305">
        <v>1.4999999999999999E-4</v>
      </c>
      <c r="H18" s="306">
        <v>1E-4</v>
      </c>
      <c r="I18" s="307"/>
      <c r="J18" s="308"/>
      <c r="K18" s="309">
        <v>1.3200000000000001E-5</v>
      </c>
      <c r="L18" s="309"/>
      <c r="M18" s="309">
        <v>9.9999999999999995E-7</v>
      </c>
      <c r="N18" s="309">
        <v>1.7900000000000001E-5</v>
      </c>
      <c r="O18" s="309"/>
      <c r="P18" s="309"/>
      <c r="Q18" s="308"/>
      <c r="R18" s="310">
        <f>'Parameters, country spec'!C21</f>
        <v>0.12973292757166538</v>
      </c>
    </row>
    <row r="19" spans="1:18" x14ac:dyDescent="0.25">
      <c r="A19" s="21" t="s">
        <v>405</v>
      </c>
      <c r="B19" s="16" t="s">
        <v>189</v>
      </c>
      <c r="C19" s="16" t="s">
        <v>404</v>
      </c>
      <c r="D19" s="22" t="s">
        <v>27</v>
      </c>
      <c r="E19" s="22" t="s">
        <v>84</v>
      </c>
      <c r="F19" s="125">
        <f t="shared" ref="F19:F28" si="3">SUM(G19:Q19)</f>
        <v>2.9971000000000002E-4</v>
      </c>
      <c r="G19" s="96">
        <v>1.4999999999999999E-4</v>
      </c>
      <c r="H19" s="97">
        <v>1E-4</v>
      </c>
      <c r="I19" s="15"/>
      <c r="J19" s="13"/>
      <c r="K19" s="98">
        <v>9.0100000000000001E-6</v>
      </c>
      <c r="L19" s="98"/>
      <c r="M19" s="98">
        <v>2.2799999999999999E-5</v>
      </c>
      <c r="N19" s="98">
        <v>1.7900000000000001E-5</v>
      </c>
      <c r="O19" s="98"/>
      <c r="P19" s="98"/>
      <c r="Q19" s="13"/>
      <c r="R19" s="145">
        <f>'Parameters, country spec'!C22</f>
        <v>0.21338006498227882</v>
      </c>
    </row>
    <row r="20" spans="1:18" x14ac:dyDescent="0.25">
      <c r="A20" s="21" t="s">
        <v>406</v>
      </c>
      <c r="B20" s="16" t="s">
        <v>191</v>
      </c>
      <c r="C20" s="16" t="s">
        <v>404</v>
      </c>
      <c r="D20" s="22" t="s">
        <v>27</v>
      </c>
      <c r="E20" s="22" t="s">
        <v>84</v>
      </c>
      <c r="F20" s="125">
        <f t="shared" si="3"/>
        <v>2.7940000000000002E-4</v>
      </c>
      <c r="G20" s="96">
        <v>1.2999999999999999E-4</v>
      </c>
      <c r="H20" s="97">
        <v>1E-4</v>
      </c>
      <c r="I20" s="15"/>
      <c r="J20" s="13"/>
      <c r="K20" s="98">
        <v>1.8199999999999999E-5</v>
      </c>
      <c r="L20" s="98"/>
      <c r="M20" s="98">
        <v>1.33E-5</v>
      </c>
      <c r="N20" s="98">
        <v>1.7900000000000001E-5</v>
      </c>
      <c r="O20" s="98"/>
      <c r="P20" s="98"/>
      <c r="Q20" s="13"/>
      <c r="R20" s="145">
        <f>'Parameters, country spec'!C23</f>
        <v>1.4700955750111657E-2</v>
      </c>
    </row>
    <row r="21" spans="1:18" x14ac:dyDescent="0.25">
      <c r="A21" s="21" t="s">
        <v>407</v>
      </c>
      <c r="B21" s="16" t="s">
        <v>192</v>
      </c>
      <c r="C21" s="16" t="s">
        <v>404</v>
      </c>
      <c r="D21" s="22" t="s">
        <v>27</v>
      </c>
      <c r="E21" s="22" t="s">
        <v>84</v>
      </c>
      <c r="F21" s="125">
        <f t="shared" si="3"/>
        <v>2.5635100000000004E-4</v>
      </c>
      <c r="G21" s="96">
        <v>1.2E-4</v>
      </c>
      <c r="H21" s="97">
        <v>1E-4</v>
      </c>
      <c r="I21" s="13"/>
      <c r="J21" s="13"/>
      <c r="K21" s="98">
        <v>1.8199999999999999E-5</v>
      </c>
      <c r="L21" s="98"/>
      <c r="M21" s="98">
        <v>2.5100000000000001E-7</v>
      </c>
      <c r="N21" s="98">
        <v>1.7900000000000001E-5</v>
      </c>
      <c r="O21" s="98"/>
      <c r="P21" s="98"/>
      <c r="Q21" s="13"/>
      <c r="R21" s="145">
        <f>'Parameters, country spec'!C24</f>
        <v>2.2576295256694127E-3</v>
      </c>
    </row>
    <row r="22" spans="1:18" x14ac:dyDescent="0.25">
      <c r="A22" s="21" t="s">
        <v>408</v>
      </c>
      <c r="B22" s="16" t="s">
        <v>193</v>
      </c>
      <c r="C22" s="16" t="s">
        <v>404</v>
      </c>
      <c r="D22" s="22" t="s">
        <v>27</v>
      </c>
      <c r="E22" s="22" t="s">
        <v>84</v>
      </c>
      <c r="F22" s="125">
        <f t="shared" si="3"/>
        <v>3.0055300000000001E-4</v>
      </c>
      <c r="G22" s="96">
        <v>1.7000000000000001E-4</v>
      </c>
      <c r="H22" s="97">
        <v>1E-4</v>
      </c>
      <c r="I22" s="13"/>
      <c r="J22" s="13"/>
      <c r="K22" s="98">
        <v>1.19E-5</v>
      </c>
      <c r="L22" s="98"/>
      <c r="M22" s="98">
        <v>7.5300000000000003E-7</v>
      </c>
      <c r="N22" s="98">
        <v>1.7900000000000001E-5</v>
      </c>
      <c r="O22" s="98"/>
      <c r="P22" s="98"/>
      <c r="Q22" s="13"/>
      <c r="R22" s="145">
        <f>'Parameters, country spec'!C25</f>
        <v>0.31605527388288979</v>
      </c>
    </row>
    <row r="23" spans="1:18" x14ac:dyDescent="0.25">
      <c r="A23" s="21" t="s">
        <v>409</v>
      </c>
      <c r="B23" s="16" t="s">
        <v>194</v>
      </c>
      <c r="C23" s="16" t="s">
        <v>410</v>
      </c>
      <c r="D23" s="22" t="s">
        <v>27</v>
      </c>
      <c r="E23" s="22" t="s">
        <v>84</v>
      </c>
      <c r="F23" s="125">
        <f t="shared" si="3"/>
        <v>1.4692000000000001E-4</v>
      </c>
      <c r="G23" s="96">
        <v>0</v>
      </c>
      <c r="H23" s="97">
        <v>1E-4</v>
      </c>
      <c r="I23" s="15"/>
      <c r="J23" s="13"/>
      <c r="K23" s="98">
        <v>2.2500000000000001E-5</v>
      </c>
      <c r="L23" s="98"/>
      <c r="M23" s="98">
        <v>6.5200000000000003E-6</v>
      </c>
      <c r="N23" s="98">
        <v>1.7900000000000001E-5</v>
      </c>
      <c r="O23" s="98"/>
      <c r="P23" s="98"/>
      <c r="Q23" s="13"/>
      <c r="R23" s="145">
        <f>'Parameters, country spec'!C26</f>
        <v>0</v>
      </c>
    </row>
    <row r="24" spans="1:18" x14ac:dyDescent="0.25">
      <c r="A24" s="21" t="s">
        <v>411</v>
      </c>
      <c r="B24" s="16" t="s">
        <v>195</v>
      </c>
      <c r="C24" s="16" t="s">
        <v>410</v>
      </c>
      <c r="D24" s="22" t="s">
        <v>27</v>
      </c>
      <c r="E24" s="22" t="s">
        <v>84</v>
      </c>
      <c r="F24" s="125">
        <f t="shared" si="3"/>
        <v>1.674E-4</v>
      </c>
      <c r="G24" s="96">
        <v>7.5000000000000002E-6</v>
      </c>
      <c r="H24" s="97">
        <v>1E-4</v>
      </c>
      <c r="I24" s="15"/>
      <c r="J24" s="13"/>
      <c r="K24" s="98">
        <v>3.0700000000000001E-5</v>
      </c>
      <c r="L24" s="98"/>
      <c r="M24" s="98">
        <v>1.13E-5</v>
      </c>
      <c r="N24" s="98">
        <v>1.7900000000000001E-5</v>
      </c>
      <c r="O24" s="98"/>
      <c r="P24" s="98"/>
      <c r="Q24" s="13"/>
      <c r="R24" s="145">
        <f>'Parameters, country spec'!C27</f>
        <v>0</v>
      </c>
    </row>
    <row r="25" spans="1:18" x14ac:dyDescent="0.25">
      <c r="B25" s="17" t="s">
        <v>196</v>
      </c>
      <c r="C25" s="16" t="s">
        <v>412</v>
      </c>
      <c r="D25" s="22" t="s">
        <v>460</v>
      </c>
      <c r="E25" s="22"/>
      <c r="F25" s="125">
        <f t="shared" si="3"/>
        <v>3.8246443678729497E-4</v>
      </c>
      <c r="G25" s="33">
        <f>'Off-farm feed'!$F$75</f>
        <v>1.684774766302073E-4</v>
      </c>
      <c r="H25" s="33">
        <f>'Off-farm feed'!$G$75</f>
        <v>4.5862068965517246E-5</v>
      </c>
      <c r="I25" s="33"/>
      <c r="J25" s="33"/>
      <c r="K25" s="33">
        <f>'Off-farm feed'!$J$75</f>
        <v>1.0936279334641699E-5</v>
      </c>
      <c r="L25" s="33"/>
      <c r="M25" s="33">
        <f>'Off-farm feed'!$L$75</f>
        <v>6.4606960551724142E-7</v>
      </c>
      <c r="N25" s="33">
        <f>'Off-farm feed'!$M$75</f>
        <v>2.1884761697575221E-5</v>
      </c>
      <c r="O25" s="33"/>
      <c r="P25" s="33">
        <f>'Off-farm feed'!$O$75</f>
        <v>4.5962128379923281E-5</v>
      </c>
      <c r="Q25" s="33">
        <f>'Off-farm feed'!$P$75</f>
        <v>8.8695652173913049E-5</v>
      </c>
      <c r="R25" s="145">
        <f>'Parameters, country spec'!C28</f>
        <v>9.4127517207749589E-2</v>
      </c>
    </row>
    <row r="26" spans="1:18" x14ac:dyDescent="0.25">
      <c r="B26" s="17" t="s">
        <v>413</v>
      </c>
      <c r="C26" s="16" t="s">
        <v>412</v>
      </c>
      <c r="D26" s="22" t="s">
        <v>437</v>
      </c>
      <c r="E26" s="22"/>
      <c r="F26" s="125">
        <f t="shared" si="3"/>
        <v>4.7266553697523981E-4</v>
      </c>
      <c r="G26" s="33">
        <f>'Off-farm feed'!$F$24</f>
        <v>1.5603516238625262E-5</v>
      </c>
      <c r="H26" s="33">
        <f>'Off-farm feed'!$G$24</f>
        <v>7.5304878048780503E-5</v>
      </c>
      <c r="I26" s="33"/>
      <c r="J26" s="33"/>
      <c r="K26" s="33">
        <f>'Off-farm feed'!$J$24</f>
        <v>1.908459074435586E-5</v>
      </c>
      <c r="L26" s="33"/>
      <c r="M26" s="33">
        <f>'Off-farm feed'!$L$24</f>
        <v>5.9672097439024396E-7</v>
      </c>
      <c r="N26" s="33">
        <f>'Off-farm feed'!$M$24</f>
        <v>2.3084271612619523E-5</v>
      </c>
      <c r="O26" s="33"/>
      <c r="P26" s="33">
        <f>'Off-farm feed'!$O$24</f>
        <v>1.2899155935646844E-4</v>
      </c>
      <c r="Q26" s="33">
        <f>'Off-farm feed'!$P$24</f>
        <v>2.1000000000000001E-4</v>
      </c>
      <c r="R26" s="145">
        <f>'Parameters, country spec'!C29</f>
        <v>8.4804995412120512E-2</v>
      </c>
    </row>
    <row r="27" spans="1:18" x14ac:dyDescent="0.25">
      <c r="B27" s="16" t="s">
        <v>198</v>
      </c>
      <c r="C27" s="16" t="s">
        <v>414</v>
      </c>
      <c r="D27" s="22" t="s">
        <v>27</v>
      </c>
      <c r="E27" s="22" t="s">
        <v>84</v>
      </c>
      <c r="F27" s="125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45">
        <f>'Parameters, country spec'!C30</f>
        <v>7.7718083682440264E-2</v>
      </c>
    </row>
    <row r="28" spans="1:18" x14ac:dyDescent="0.25">
      <c r="A28" s="80"/>
      <c r="B28" s="16" t="s">
        <v>415</v>
      </c>
      <c r="C28" s="81" t="s">
        <v>416</v>
      </c>
      <c r="D28" s="22" t="s">
        <v>27</v>
      </c>
      <c r="E28" s="22" t="s">
        <v>84</v>
      </c>
      <c r="F28" s="125">
        <f t="shared" si="3"/>
        <v>2.3487940376135891E-4</v>
      </c>
      <c r="G28" s="79">
        <f t="shared" ref="G28:N28" si="4">AVERAGE(G18:G26)</f>
        <v>1.0128677698542583E-4</v>
      </c>
      <c r="H28" s="79">
        <f t="shared" si="4"/>
        <v>9.1240771890477534E-5</v>
      </c>
      <c r="I28" s="79"/>
      <c r="J28" s="79"/>
      <c r="K28" s="79">
        <f t="shared" si="4"/>
        <v>1.7081207786555287E-5</v>
      </c>
      <c r="L28" s="79"/>
      <c r="M28" s="79">
        <f t="shared" si="4"/>
        <v>6.3518656199897199E-6</v>
      </c>
      <c r="N28" s="79">
        <f t="shared" si="4"/>
        <v>1.8918781478910528E-5</v>
      </c>
      <c r="O28" s="79"/>
      <c r="P28" s="79"/>
      <c r="Q28" s="79"/>
      <c r="R28" s="145">
        <f>'Parameters, country spec'!C31</f>
        <v>6.7222551985074513E-2</v>
      </c>
    </row>
    <row r="29" spans="1:18" x14ac:dyDescent="0.25">
      <c r="A29" s="144"/>
      <c r="B29" s="24" t="s">
        <v>417</v>
      </c>
      <c r="C29" s="25"/>
      <c r="D29" s="99"/>
      <c r="E29" s="99"/>
      <c r="F29" s="45">
        <f>SUMPRODUCT(F18:F28,$R$18:$R$28)</f>
        <v>2.9210137097751814E-4</v>
      </c>
      <c r="G29" s="45">
        <f>SUMPRODUCT(G18:G28,$R$18:$R$28)</f>
        <v>1.3136876356873882E-4</v>
      </c>
      <c r="H29" s="45">
        <f t="shared" ref="H29:Q29" si="5">SUMPRODUCT(H18:H28,$R$18:$R$28)</f>
        <v>8.4449235225999327E-5</v>
      </c>
      <c r="I29" s="45">
        <f>SUMPRODUCT(I18:I28,$R$6:$R$16)</f>
        <v>0</v>
      </c>
      <c r="J29" s="45">
        <f>SUMPRODUCT(J18:J28,$R$6:$R$16)</f>
        <v>0</v>
      </c>
      <c r="K29" s="45">
        <f t="shared" si="5"/>
        <v>1.1500848870839032E-5</v>
      </c>
      <c r="L29" s="45">
        <f t="shared" si="5"/>
        <v>0</v>
      </c>
      <c r="M29" s="45">
        <f t="shared" si="5"/>
        <v>5.9672838711370424E-6</v>
      </c>
      <c r="N29" s="45">
        <f t="shared" si="5"/>
        <v>1.7392059248592491E-5</v>
      </c>
      <c r="O29" s="45">
        <f t="shared" si="5"/>
        <v>0</v>
      </c>
      <c r="P29" s="45">
        <f>SUMPRODUCT(P18:P28,$R$18:$R$28)</f>
        <v>1.5265429629413599E-5</v>
      </c>
      <c r="Q29" s="45">
        <f t="shared" si="5"/>
        <v>2.6157750562797881E-5</v>
      </c>
      <c r="R29" s="146"/>
    </row>
    <row r="30" spans="1:18" x14ac:dyDescent="0.25">
      <c r="A30" s="21" t="s">
        <v>403</v>
      </c>
      <c r="B30" s="16" t="s">
        <v>187</v>
      </c>
      <c r="C30" s="16" t="s">
        <v>404</v>
      </c>
      <c r="D30" s="22" t="s">
        <v>30</v>
      </c>
      <c r="E30" s="22" t="s">
        <v>85</v>
      </c>
      <c r="F30" s="315">
        <f>SUM(G30:Q30)</f>
        <v>2.9299999999999997E-4</v>
      </c>
      <c r="G30" s="305">
        <v>1.4999999999999999E-4</v>
      </c>
      <c r="H30" s="306">
        <v>1E-4</v>
      </c>
      <c r="I30" s="307"/>
      <c r="J30" s="308"/>
      <c r="K30" s="309">
        <v>1.27E-5</v>
      </c>
      <c r="L30" s="309"/>
      <c r="M30" s="309">
        <v>0</v>
      </c>
      <c r="N30" s="309">
        <v>3.0300000000000001E-5</v>
      </c>
      <c r="O30" s="309"/>
      <c r="P30" s="309"/>
      <c r="Q30" s="308"/>
      <c r="R30" s="145">
        <f>'Parameters, country spec'!D21</f>
        <v>0.11526313251585651</v>
      </c>
    </row>
    <row r="31" spans="1:18" x14ac:dyDescent="0.25">
      <c r="A31" s="21" t="s">
        <v>405</v>
      </c>
      <c r="B31" s="16" t="s">
        <v>189</v>
      </c>
      <c r="C31" s="16" t="s">
        <v>404</v>
      </c>
      <c r="D31" s="22" t="s">
        <v>30</v>
      </c>
      <c r="E31" s="22" t="s">
        <v>85</v>
      </c>
      <c r="F31" s="125">
        <f t="shared" ref="F31:F38" si="6">SUM(G31:Q31)</f>
        <v>2.9417999999999995E-4</v>
      </c>
      <c r="G31" s="96">
        <v>1.4999999999999999E-4</v>
      </c>
      <c r="H31" s="97">
        <v>1E-4</v>
      </c>
      <c r="I31" s="15"/>
      <c r="J31" s="13"/>
      <c r="K31" s="98">
        <v>8.6100000000000006E-6</v>
      </c>
      <c r="L31" s="98"/>
      <c r="M31" s="98">
        <v>5.2700000000000004E-6</v>
      </c>
      <c r="N31" s="98">
        <v>3.0300000000000001E-5</v>
      </c>
      <c r="O31" s="98"/>
      <c r="P31" s="98"/>
      <c r="Q31" s="13"/>
      <c r="R31" s="145">
        <f>'Parameters, country spec'!D22</f>
        <v>0.17160602278973394</v>
      </c>
    </row>
    <row r="32" spans="1:18" x14ac:dyDescent="0.25">
      <c r="A32" s="21" t="s">
        <v>406</v>
      </c>
      <c r="B32" s="16" t="s">
        <v>191</v>
      </c>
      <c r="C32" s="16" t="s">
        <v>404</v>
      </c>
      <c r="D32" s="22" t="s">
        <v>30</v>
      </c>
      <c r="E32" s="22" t="s">
        <v>85</v>
      </c>
      <c r="F32" s="125">
        <f t="shared" si="6"/>
        <v>2.8010000000000003E-4</v>
      </c>
      <c r="G32" s="96">
        <v>1.2999999999999999E-4</v>
      </c>
      <c r="H32" s="97">
        <v>1E-4</v>
      </c>
      <c r="I32" s="15"/>
      <c r="J32" s="13"/>
      <c r="K32" s="98">
        <v>1.88E-5</v>
      </c>
      <c r="L32" s="98"/>
      <c r="M32" s="98">
        <v>9.9999999999999995E-7</v>
      </c>
      <c r="N32" s="98">
        <v>3.0300000000000001E-5</v>
      </c>
      <c r="O32" s="98"/>
      <c r="P32" s="98"/>
      <c r="Q32" s="13"/>
      <c r="R32" s="145">
        <f>'Parameters, country spec'!D23</f>
        <v>2.2943563284883134E-5</v>
      </c>
    </row>
    <row r="33" spans="1:18" x14ac:dyDescent="0.25">
      <c r="A33" s="21" t="s">
        <v>407</v>
      </c>
      <c r="B33" s="16" t="s">
        <v>192</v>
      </c>
      <c r="C33" s="16" t="s">
        <v>404</v>
      </c>
      <c r="D33" s="22" t="s">
        <v>30</v>
      </c>
      <c r="E33" s="22" t="s">
        <v>85</v>
      </c>
      <c r="F33" s="125">
        <f t="shared" si="6"/>
        <v>2.6639999999999997E-4</v>
      </c>
      <c r="G33" s="96">
        <v>1.2E-4</v>
      </c>
      <c r="H33" s="97">
        <v>1E-4</v>
      </c>
      <c r="I33" s="13"/>
      <c r="J33" s="13"/>
      <c r="K33" s="98">
        <v>1.6099999999999998E-5</v>
      </c>
      <c r="L33" s="98"/>
      <c r="M33" s="98">
        <v>0</v>
      </c>
      <c r="N33" s="98">
        <v>3.0300000000000001E-5</v>
      </c>
      <c r="O33" s="98"/>
      <c r="P33" s="98"/>
      <c r="Q33" s="13"/>
      <c r="R33" s="145">
        <f>'Parameters, country spec'!D24</f>
        <v>1.8828087929403461E-2</v>
      </c>
    </row>
    <row r="34" spans="1:18" x14ac:dyDescent="0.25">
      <c r="A34" s="21" t="s">
        <v>408</v>
      </c>
      <c r="B34" s="16" t="s">
        <v>193</v>
      </c>
      <c r="C34" s="16" t="s">
        <v>404</v>
      </c>
      <c r="D34" s="22" t="s">
        <v>30</v>
      </c>
      <c r="E34" s="22" t="s">
        <v>85</v>
      </c>
      <c r="F34" s="125">
        <f t="shared" si="6"/>
        <v>3.1195099999999998E-4</v>
      </c>
      <c r="G34" s="96">
        <v>1.7000000000000001E-4</v>
      </c>
      <c r="H34" s="97">
        <v>1E-4</v>
      </c>
      <c r="I34" s="13"/>
      <c r="J34" s="13"/>
      <c r="K34" s="98">
        <v>1.1399999999999999E-5</v>
      </c>
      <c r="L34" s="98"/>
      <c r="M34" s="98">
        <v>2.5100000000000001E-7</v>
      </c>
      <c r="N34" s="98">
        <v>3.0300000000000001E-5</v>
      </c>
      <c r="O34" s="98"/>
      <c r="P34" s="98"/>
      <c r="Q34" s="13"/>
      <c r="R34" s="145">
        <f>'Parameters, country spec'!D25</f>
        <v>0.38499846835384366</v>
      </c>
    </row>
    <row r="35" spans="1:18" x14ac:dyDescent="0.25">
      <c r="A35" s="21" t="s">
        <v>409</v>
      </c>
      <c r="B35" s="16" t="s">
        <v>194</v>
      </c>
      <c r="C35" s="16" t="s">
        <v>410</v>
      </c>
      <c r="D35" s="22" t="s">
        <v>30</v>
      </c>
      <c r="E35" s="22" t="s">
        <v>85</v>
      </c>
      <c r="F35" s="125">
        <f t="shared" si="6"/>
        <v>1.5420200000000001E-4</v>
      </c>
      <c r="G35" s="96">
        <v>0</v>
      </c>
      <c r="H35" s="97">
        <v>1E-4</v>
      </c>
      <c r="I35" s="15"/>
      <c r="J35" s="13"/>
      <c r="K35" s="98">
        <v>2.34E-5</v>
      </c>
      <c r="L35" s="98"/>
      <c r="M35" s="98">
        <v>5.0200000000000002E-7</v>
      </c>
      <c r="N35" s="98">
        <v>3.0300000000000001E-5</v>
      </c>
      <c r="O35" s="98"/>
      <c r="P35" s="98"/>
      <c r="Q35" s="13"/>
      <c r="R35" s="145">
        <f>'Parameters, country spec'!D26</f>
        <v>1.3290604571676279E-3</v>
      </c>
    </row>
    <row r="36" spans="1:18" x14ac:dyDescent="0.25">
      <c r="A36" s="21" t="s">
        <v>411</v>
      </c>
      <c r="B36" s="16" t="s">
        <v>195</v>
      </c>
      <c r="C36" s="16" t="s">
        <v>410</v>
      </c>
      <c r="D36" s="22" t="s">
        <v>30</v>
      </c>
      <c r="E36" s="22" t="s">
        <v>85</v>
      </c>
      <c r="F36" s="125">
        <f t="shared" si="6"/>
        <v>1.7880000000000004E-4</v>
      </c>
      <c r="G36" s="96">
        <v>7.5000000000000002E-6</v>
      </c>
      <c r="H36" s="97">
        <v>1E-4</v>
      </c>
      <c r="I36" s="15"/>
      <c r="J36" s="13"/>
      <c r="K36" s="98">
        <v>2.0400000000000001E-5</v>
      </c>
      <c r="L36" s="98"/>
      <c r="M36" s="98">
        <v>2.0599999999999999E-5</v>
      </c>
      <c r="N36" s="98">
        <v>3.0300000000000001E-5</v>
      </c>
      <c r="O36" s="98"/>
      <c r="P36" s="98"/>
      <c r="Q36" s="13"/>
      <c r="R36" s="145">
        <f>'Parameters, country spec'!D27</f>
        <v>1.3055753467122256E-3</v>
      </c>
    </row>
    <row r="37" spans="1:18" x14ac:dyDescent="0.25">
      <c r="B37" s="17" t="s">
        <v>196</v>
      </c>
      <c r="C37" s="16" t="s">
        <v>412</v>
      </c>
      <c r="D37" s="22" t="s">
        <v>460</v>
      </c>
      <c r="E37" s="22"/>
      <c r="F37" s="125">
        <f t="shared" si="6"/>
        <v>3.8246443678729497E-4</v>
      </c>
      <c r="G37" s="33">
        <f>'Off-farm feed'!$F$75</f>
        <v>1.684774766302073E-4</v>
      </c>
      <c r="H37" s="33">
        <f>'Off-farm feed'!$G$75</f>
        <v>4.5862068965517246E-5</v>
      </c>
      <c r="I37" s="33"/>
      <c r="J37" s="33"/>
      <c r="K37" s="33">
        <f>'Off-farm feed'!$J$75</f>
        <v>1.0936279334641699E-5</v>
      </c>
      <c r="L37" s="33"/>
      <c r="M37" s="33">
        <f>'Off-farm feed'!$L$75</f>
        <v>6.4606960551724142E-7</v>
      </c>
      <c r="N37" s="33">
        <f>'Off-farm feed'!$M$75</f>
        <v>2.1884761697575221E-5</v>
      </c>
      <c r="O37" s="33"/>
      <c r="P37" s="33">
        <f>'Off-farm feed'!$O$75</f>
        <v>4.5962128379923281E-5</v>
      </c>
      <c r="Q37" s="33">
        <f>'Off-farm feed'!$P$75</f>
        <v>8.8695652173913049E-5</v>
      </c>
      <c r="R37" s="145">
        <f>'Parameters, country spec'!D28</f>
        <v>0.13439854710458843</v>
      </c>
    </row>
    <row r="38" spans="1:18" x14ac:dyDescent="0.25">
      <c r="B38" s="17" t="s">
        <v>413</v>
      </c>
      <c r="C38" s="16" t="s">
        <v>412</v>
      </c>
      <c r="D38" s="22" t="s">
        <v>437</v>
      </c>
      <c r="E38" s="22"/>
      <c r="F38" s="125">
        <f t="shared" si="6"/>
        <v>4.7266553697523981E-4</v>
      </c>
      <c r="G38" s="33">
        <f>'Off-farm feed'!$F$24</f>
        <v>1.5603516238625262E-5</v>
      </c>
      <c r="H38" s="33">
        <f>'Off-farm feed'!$G$24</f>
        <v>7.5304878048780503E-5</v>
      </c>
      <c r="I38" s="33"/>
      <c r="J38" s="33"/>
      <c r="K38" s="33">
        <f>'Off-farm feed'!$J$24</f>
        <v>1.908459074435586E-5</v>
      </c>
      <c r="L38" s="33"/>
      <c r="M38" s="33">
        <f>'Off-farm feed'!$L$24</f>
        <v>5.9672097439024396E-7</v>
      </c>
      <c r="N38" s="33">
        <f>'Off-farm feed'!$M$24</f>
        <v>2.3084271612619523E-5</v>
      </c>
      <c r="O38" s="33"/>
      <c r="P38" s="33">
        <f>'Off-farm feed'!$O$24</f>
        <v>1.2899155935646844E-4</v>
      </c>
      <c r="Q38" s="33">
        <f>'Off-farm feed'!$P$24</f>
        <v>2.1000000000000001E-4</v>
      </c>
      <c r="R38" s="145">
        <f>'Parameters, country spec'!D29</f>
        <v>0.12913839280171097</v>
      </c>
    </row>
    <row r="39" spans="1:18" x14ac:dyDescent="0.25">
      <c r="B39" s="16" t="s">
        <v>198</v>
      </c>
      <c r="C39" s="16" t="s">
        <v>414</v>
      </c>
      <c r="D39" s="22" t="s">
        <v>30</v>
      </c>
      <c r="E39" s="22" t="s">
        <v>85</v>
      </c>
      <c r="F39" s="125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45">
        <f>'Parameters, country spec'!D30</f>
        <v>2.5759825634764286E-2</v>
      </c>
    </row>
    <row r="40" spans="1:18" x14ac:dyDescent="0.25">
      <c r="A40" s="80"/>
      <c r="B40" s="16" t="s">
        <v>415</v>
      </c>
      <c r="C40" s="81" t="s">
        <v>416</v>
      </c>
      <c r="D40" s="22" t="s">
        <v>30</v>
      </c>
      <c r="E40" s="22" t="s">
        <v>85</v>
      </c>
      <c r="F40" s="125">
        <f>SUM(G40:Q40)</f>
        <v>2.4001262598358114E-4</v>
      </c>
      <c r="G40" s="79">
        <f>AVERAGE(G30:G38)</f>
        <v>1.0128677698542583E-4</v>
      </c>
      <c r="H40" s="79">
        <f t="shared" ref="H40:N40" si="7">AVERAGE(H30:H38)</f>
        <v>9.1240771890477534E-5</v>
      </c>
      <c r="I40" s="79"/>
      <c r="J40" s="79"/>
      <c r="K40" s="79">
        <f t="shared" si="7"/>
        <v>1.5714541119888615E-5</v>
      </c>
      <c r="L40" s="79"/>
      <c r="M40" s="79">
        <f t="shared" si="7"/>
        <v>3.2073100644341652E-6</v>
      </c>
      <c r="N40" s="79">
        <f t="shared" si="7"/>
        <v>2.8563225923354969E-5</v>
      </c>
      <c r="O40" s="79"/>
      <c r="P40" s="79"/>
      <c r="Q40" s="79"/>
      <c r="R40" s="145">
        <f>'Parameters, country spec'!D31</f>
        <v>1.7349943502934249E-2</v>
      </c>
    </row>
    <row r="41" spans="1:18" x14ac:dyDescent="0.25">
      <c r="A41" s="144"/>
      <c r="B41" s="24" t="s">
        <v>417</v>
      </c>
      <c r="C41" s="25"/>
      <c r="D41" s="99"/>
      <c r="E41" s="99"/>
      <c r="F41" s="45">
        <f t="shared" ref="F41:O41" si="8">SUMPRODUCT(F30:F40,$R$30:$R$40)</f>
        <v>3.2642256248389061E-4</v>
      </c>
      <c r="G41" s="45">
        <f t="shared" si="8"/>
        <v>1.3716771889219777E-4</v>
      </c>
      <c r="H41" s="45">
        <f t="shared" si="8"/>
        <v>8.6806897690588431E-5</v>
      </c>
      <c r="I41" s="45">
        <f t="shared" si="8"/>
        <v>0</v>
      </c>
      <c r="J41" s="45">
        <f t="shared" si="8"/>
        <v>0</v>
      </c>
      <c r="K41" s="45">
        <f t="shared" si="8"/>
        <v>1.1898669314743517E-5</v>
      </c>
      <c r="L41" s="45">
        <f t="shared" si="8"/>
        <v>0</v>
      </c>
      <c r="M41" s="45">
        <f t="shared" si="8"/>
        <v>1.2481203920218715E-6</v>
      </c>
      <c r="N41" s="45">
        <f t="shared" si="8"/>
        <v>2.7426520982934729E-5</v>
      </c>
      <c r="O41" s="45">
        <f t="shared" si="8"/>
        <v>0</v>
      </c>
      <c r="P41" s="45">
        <f>SUMPRODUCT(P30:P40,R30:R40)</f>
        <v>2.2835005936377096E-5</v>
      </c>
      <c r="Q41" s="45">
        <f>SUMPRODUCT(Q30:Q40,$R$30:$R$40)</f>
        <v>3.903962927502715E-5</v>
      </c>
      <c r="R41" s="146"/>
    </row>
    <row r="42" spans="1:18" x14ac:dyDescent="0.25">
      <c r="A42" s="21" t="s">
        <v>403</v>
      </c>
      <c r="B42" s="16" t="s">
        <v>187</v>
      </c>
      <c r="C42" s="16" t="s">
        <v>404</v>
      </c>
      <c r="D42" s="22" t="s">
        <v>25</v>
      </c>
      <c r="E42" s="22" t="s">
        <v>86</v>
      </c>
      <c r="F42" s="315">
        <f>SUM(G42:Q42)</f>
        <v>3.1946000000000003E-4</v>
      </c>
      <c r="G42" s="305">
        <v>1.4999999999999999E-4</v>
      </c>
      <c r="H42" s="306">
        <v>1E-4</v>
      </c>
      <c r="I42" s="307"/>
      <c r="J42" s="308"/>
      <c r="K42" s="309">
        <v>2.9200000000000002E-5</v>
      </c>
      <c r="L42" s="309"/>
      <c r="M42" s="309">
        <v>2.26E-6</v>
      </c>
      <c r="N42" s="309">
        <v>3.8000000000000002E-5</v>
      </c>
      <c r="O42" s="309"/>
      <c r="P42" s="309"/>
      <c r="Q42" s="308"/>
      <c r="R42" s="310">
        <f>'Parameters, country spec'!E21</f>
        <v>0.14058778141858874</v>
      </c>
    </row>
    <row r="43" spans="1:18" x14ac:dyDescent="0.25">
      <c r="A43" s="21" t="s">
        <v>405</v>
      </c>
      <c r="B43" s="16" t="s">
        <v>189</v>
      </c>
      <c r="C43" s="16" t="s">
        <v>404</v>
      </c>
      <c r="D43" s="22" t="s">
        <v>25</v>
      </c>
      <c r="E43" s="22" t="s">
        <v>86</v>
      </c>
      <c r="F43" s="125">
        <f t="shared" ref="F43:F50" si="9">SUM(G43:Q43)</f>
        <v>3.4726000000000001E-4</v>
      </c>
      <c r="G43" s="96">
        <v>1.4999999999999999E-4</v>
      </c>
      <c r="H43" s="97">
        <v>1E-4</v>
      </c>
      <c r="I43" s="15"/>
      <c r="J43" s="13"/>
      <c r="K43" s="98">
        <v>7.5599999999999996E-6</v>
      </c>
      <c r="L43" s="98"/>
      <c r="M43" s="98">
        <v>5.1700000000000003E-5</v>
      </c>
      <c r="N43" s="98">
        <v>3.8000000000000002E-5</v>
      </c>
      <c r="O43" s="98"/>
      <c r="P43" s="98"/>
      <c r="Q43" s="13"/>
      <c r="R43" s="145">
        <f>'Parameters, country spec'!E22</f>
        <v>0.42048559354051435</v>
      </c>
    </row>
    <row r="44" spans="1:18" x14ac:dyDescent="0.25">
      <c r="A44" s="21" t="s">
        <v>406</v>
      </c>
      <c r="B44" s="16" t="s">
        <v>191</v>
      </c>
      <c r="C44" s="16" t="s">
        <v>404</v>
      </c>
      <c r="D44" s="22" t="s">
        <v>25</v>
      </c>
      <c r="E44" s="22" t="s">
        <v>86</v>
      </c>
      <c r="F44" s="125">
        <f t="shared" si="9"/>
        <v>3.7189999999999999E-4</v>
      </c>
      <c r="G44" s="96">
        <v>1.2999999999999999E-4</v>
      </c>
      <c r="H44" s="97">
        <v>1E-4</v>
      </c>
      <c r="I44" s="15"/>
      <c r="J44" s="13"/>
      <c r="K44" s="98">
        <v>6.1500000000000004E-5</v>
      </c>
      <c r="L44" s="98"/>
      <c r="M44" s="98">
        <v>4.2400000000000001E-5</v>
      </c>
      <c r="N44" s="98">
        <v>3.8000000000000002E-5</v>
      </c>
      <c r="O44" s="98"/>
      <c r="P44" s="98"/>
      <c r="Q44" s="13"/>
      <c r="R44" s="145">
        <f>'Parameters, country spec'!E23</f>
        <v>3.8207301246899875E-2</v>
      </c>
    </row>
    <row r="45" spans="1:18" x14ac:dyDescent="0.25">
      <c r="A45" s="21" t="s">
        <v>407</v>
      </c>
      <c r="B45" s="16" t="s">
        <v>192</v>
      </c>
      <c r="C45" s="16" t="s">
        <v>404</v>
      </c>
      <c r="D45" s="22" t="s">
        <v>25</v>
      </c>
      <c r="E45" s="22" t="s">
        <v>86</v>
      </c>
      <c r="F45" s="125">
        <f t="shared" si="9"/>
        <v>2.9825100000000003E-4</v>
      </c>
      <c r="G45" s="96">
        <v>1.2E-4</v>
      </c>
      <c r="H45" s="97">
        <v>1E-4</v>
      </c>
      <c r="I45" s="13"/>
      <c r="J45" s="13"/>
      <c r="K45" s="98">
        <v>4.0000000000000003E-5</v>
      </c>
      <c r="L45" s="98"/>
      <c r="M45" s="98">
        <v>2.5100000000000001E-7</v>
      </c>
      <c r="N45" s="98">
        <v>3.8000000000000002E-5</v>
      </c>
      <c r="O45" s="98"/>
      <c r="P45" s="98"/>
      <c r="Q45" s="13"/>
      <c r="R45" s="145">
        <f>'Parameters, country spec'!E24</f>
        <v>8.4271833798069493E-3</v>
      </c>
    </row>
    <row r="46" spans="1:18" x14ac:dyDescent="0.25">
      <c r="A46" s="21" t="s">
        <v>408</v>
      </c>
      <c r="B46" s="16" t="s">
        <v>193</v>
      </c>
      <c r="C46" s="16" t="s">
        <v>404</v>
      </c>
      <c r="D46" s="22" t="s">
        <v>25</v>
      </c>
      <c r="E46" s="22" t="s">
        <v>86</v>
      </c>
      <c r="F46" s="125">
        <f t="shared" si="9"/>
        <v>3.4382E-4</v>
      </c>
      <c r="G46" s="96">
        <v>1.7000000000000001E-4</v>
      </c>
      <c r="H46" s="97">
        <v>1E-4</v>
      </c>
      <c r="I46" s="13"/>
      <c r="J46" s="13"/>
      <c r="K46" s="98">
        <v>2.9300000000000001E-5</v>
      </c>
      <c r="L46" s="98"/>
      <c r="M46" s="98">
        <v>6.5200000000000003E-6</v>
      </c>
      <c r="N46" s="98">
        <v>3.8000000000000002E-5</v>
      </c>
      <c r="O46" s="98"/>
      <c r="P46" s="98"/>
      <c r="Q46" s="13"/>
      <c r="R46" s="145">
        <f>'Parameters, country spec'!E25</f>
        <v>6.0433584669897823E-3</v>
      </c>
    </row>
    <row r="47" spans="1:18" x14ac:dyDescent="0.25">
      <c r="A47" s="21" t="s">
        <v>409</v>
      </c>
      <c r="B47" s="16" t="s">
        <v>194</v>
      </c>
      <c r="C47" s="16" t="s">
        <v>410</v>
      </c>
      <c r="D47" s="22" t="s">
        <v>25</v>
      </c>
      <c r="E47" s="22" t="s">
        <v>86</v>
      </c>
      <c r="F47" s="125">
        <f t="shared" si="9"/>
        <v>1.9450000000000001E-4</v>
      </c>
      <c r="G47" s="96">
        <v>0</v>
      </c>
      <c r="H47" s="97">
        <v>1E-4</v>
      </c>
      <c r="I47" s="15"/>
      <c r="J47" s="13"/>
      <c r="K47" s="98">
        <v>4.6199999999999998E-5</v>
      </c>
      <c r="L47" s="98"/>
      <c r="M47" s="98">
        <v>1.03E-5</v>
      </c>
      <c r="N47" s="98">
        <v>3.8000000000000002E-5</v>
      </c>
      <c r="O47" s="98"/>
      <c r="P47" s="98"/>
      <c r="Q47" s="13"/>
      <c r="R47" s="145">
        <f>'Parameters, country spec'!E26</f>
        <v>8.3484845362647169E-4</v>
      </c>
    </row>
    <row r="48" spans="1:18" x14ac:dyDescent="0.25">
      <c r="A48" s="21" t="s">
        <v>411</v>
      </c>
      <c r="B48" s="16" t="s">
        <v>195</v>
      </c>
      <c r="C48" s="16" t="s">
        <v>410</v>
      </c>
      <c r="D48" s="22" t="s">
        <v>25</v>
      </c>
      <c r="E48" s="22" t="s">
        <v>86</v>
      </c>
      <c r="F48" s="125">
        <f t="shared" si="9"/>
        <v>2.496E-4</v>
      </c>
      <c r="G48" s="96">
        <v>7.5000000000000002E-6</v>
      </c>
      <c r="H48" s="97">
        <v>1E-4</v>
      </c>
      <c r="I48" s="15"/>
      <c r="J48" s="13"/>
      <c r="K48" s="98">
        <v>2.8600000000000001E-5</v>
      </c>
      <c r="L48" s="98"/>
      <c r="M48" s="98">
        <v>7.5500000000000006E-5</v>
      </c>
      <c r="N48" s="98">
        <v>3.8000000000000002E-5</v>
      </c>
      <c r="O48" s="98"/>
      <c r="P48" s="98"/>
      <c r="Q48" s="13"/>
      <c r="R48" s="145">
        <f>'Parameters, country spec'!E27</f>
        <v>8.2009629650373257E-4</v>
      </c>
    </row>
    <row r="49" spans="1:18" x14ac:dyDescent="0.25">
      <c r="B49" s="17" t="s">
        <v>196</v>
      </c>
      <c r="C49" s="16" t="s">
        <v>412</v>
      </c>
      <c r="D49" s="22" t="s">
        <v>460</v>
      </c>
      <c r="E49" s="22"/>
      <c r="F49" s="125">
        <f t="shared" si="9"/>
        <v>3.8246443678729497E-4</v>
      </c>
      <c r="G49" s="33">
        <f>'Off-farm feed'!$F$75</f>
        <v>1.684774766302073E-4</v>
      </c>
      <c r="H49" s="33">
        <f>'Off-farm feed'!$G$75</f>
        <v>4.5862068965517246E-5</v>
      </c>
      <c r="I49" s="33"/>
      <c r="J49" s="33"/>
      <c r="K49" s="33">
        <f>'Off-farm feed'!$J$75</f>
        <v>1.0936279334641699E-5</v>
      </c>
      <c r="L49" s="33"/>
      <c r="M49" s="33">
        <f>'Off-farm feed'!$L$75</f>
        <v>6.4606960551724142E-7</v>
      </c>
      <c r="N49" s="33">
        <f>'Off-farm feed'!$M$75</f>
        <v>2.1884761697575221E-5</v>
      </c>
      <c r="O49" s="33"/>
      <c r="P49" s="33">
        <f>'Off-farm feed'!$O$75</f>
        <v>4.5962128379923281E-5</v>
      </c>
      <c r="Q49" s="33">
        <f>'Off-farm feed'!$P$75</f>
        <v>8.8695652173913049E-5</v>
      </c>
      <c r="R49" s="145">
        <f>'Parameters, country spec'!E28</f>
        <v>9.11078407125663E-4</v>
      </c>
    </row>
    <row r="50" spans="1:18" x14ac:dyDescent="0.25">
      <c r="B50" s="17" t="s">
        <v>413</v>
      </c>
      <c r="C50" s="16" t="s">
        <v>412</v>
      </c>
      <c r="D50" s="22" t="s">
        <v>437</v>
      </c>
      <c r="E50" s="22"/>
      <c r="F50" s="125">
        <f t="shared" si="9"/>
        <v>4.7266553697523981E-4</v>
      </c>
      <c r="G50" s="33">
        <f>'Off-farm feed'!$F$24</f>
        <v>1.5603516238625262E-5</v>
      </c>
      <c r="H50" s="33">
        <f>'Off-farm feed'!$G$24</f>
        <v>7.5304878048780503E-5</v>
      </c>
      <c r="I50" s="33"/>
      <c r="J50" s="33"/>
      <c r="K50" s="33">
        <f>'Off-farm feed'!$J$24</f>
        <v>1.908459074435586E-5</v>
      </c>
      <c r="L50" s="33"/>
      <c r="M50" s="33">
        <f>'Off-farm feed'!$L$24</f>
        <v>5.9672097439024396E-7</v>
      </c>
      <c r="N50" s="33">
        <f>'Off-farm feed'!$M$24</f>
        <v>2.3084271612619523E-5</v>
      </c>
      <c r="O50" s="33"/>
      <c r="P50" s="33">
        <f>'Off-farm feed'!$O$24</f>
        <v>1.2899155935646844E-4</v>
      </c>
      <c r="Q50" s="33">
        <f>'Off-farm feed'!$P$24</f>
        <v>2.1000000000000001E-4</v>
      </c>
      <c r="R50" s="145">
        <f>'Parameters, country spec'!E29</f>
        <v>0.16053788194639729</v>
      </c>
    </row>
    <row r="51" spans="1:18" x14ac:dyDescent="0.25">
      <c r="B51" s="16" t="s">
        <v>198</v>
      </c>
      <c r="C51" s="16" t="s">
        <v>414</v>
      </c>
      <c r="D51" s="22" t="s">
        <v>25</v>
      </c>
      <c r="E51" s="22" t="s">
        <v>86</v>
      </c>
      <c r="F51" s="125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45">
        <f>'Parameters, country spec'!E30</f>
        <v>0.10119467109899569</v>
      </c>
    </row>
    <row r="52" spans="1:18" x14ac:dyDescent="0.25">
      <c r="A52" s="80"/>
      <c r="B52" s="16" t="s">
        <v>415</v>
      </c>
      <c r="C52" s="81" t="s">
        <v>416</v>
      </c>
      <c r="D52" s="22" t="s">
        <v>25</v>
      </c>
      <c r="E52" s="22" t="s">
        <v>86</v>
      </c>
      <c r="F52" s="125">
        <f>SUM(G52:Q52)</f>
        <v>2.7847462598358112E-4</v>
      </c>
      <c r="G52" s="79">
        <f t="shared" ref="G52:N52" si="10">AVERAGE(G42:G50)</f>
        <v>1.0128677698542583E-4</v>
      </c>
      <c r="H52" s="79">
        <f t="shared" si="10"/>
        <v>9.1240771890477534E-5</v>
      </c>
      <c r="I52" s="79"/>
      <c r="J52" s="79"/>
      <c r="K52" s="79">
        <f t="shared" si="10"/>
        <v>3.026454111988862E-5</v>
      </c>
      <c r="L52" s="79"/>
      <c r="M52" s="79">
        <f t="shared" si="10"/>
        <v>2.1130421175545275E-5</v>
      </c>
      <c r="N52" s="79">
        <f t="shared" si="10"/>
        <v>3.4552114812243863E-5</v>
      </c>
      <c r="O52" s="79"/>
      <c r="P52" s="79"/>
      <c r="Q52" s="79"/>
      <c r="R52" s="145">
        <f>'Parameters, country spec'!E31</f>
        <v>0.1219502057445514</v>
      </c>
    </row>
    <row r="53" spans="1:18" x14ac:dyDescent="0.25">
      <c r="A53" s="144"/>
      <c r="B53" s="24" t="s">
        <v>417</v>
      </c>
      <c r="C53" s="25"/>
      <c r="D53" s="99"/>
      <c r="E53" s="99"/>
      <c r="F53" s="45">
        <f t="shared" ref="F53:O53" si="11">SUMPRODUCT(F42:F52,$R$42:$R$52)</f>
        <v>3.2028682983499903E-4</v>
      </c>
      <c r="G53" s="45">
        <f t="shared" si="11"/>
        <v>1.0618313400463639E-4</v>
      </c>
      <c r="H53" s="45">
        <f t="shared" si="11"/>
        <v>8.4798516747551985E-5</v>
      </c>
      <c r="I53" s="45">
        <f t="shared" si="11"/>
        <v>0</v>
      </c>
      <c r="J53" s="45">
        <f t="shared" si="11"/>
        <v>0</v>
      </c>
      <c r="K53" s="45">
        <f t="shared" si="11"/>
        <v>1.6974496422389697E-5</v>
      </c>
      <c r="L53" s="45">
        <f t="shared" si="11"/>
        <v>0</v>
      </c>
      <c r="M53" s="45">
        <f t="shared" si="11"/>
        <v>2.6462101425846104E-5</v>
      </c>
      <c r="N53" s="45">
        <f t="shared" si="11"/>
        <v>3.1324910501566876E-5</v>
      </c>
      <c r="O53" s="45">
        <f t="shared" si="11"/>
        <v>0</v>
      </c>
      <c r="P53" s="45">
        <f>SUMPRODUCT(P42:P52,R42:R52)</f>
        <v>2.0749906830762914E-5</v>
      </c>
      <c r="Q53" s="45">
        <f>SUMPRODUCT(Q42:Q52,$R$42:$R$52)</f>
        <v>3.3793763902245015E-5</v>
      </c>
      <c r="R53" s="146"/>
    </row>
    <row r="54" spans="1:18" x14ac:dyDescent="0.25">
      <c r="A54" s="21" t="s">
        <v>403</v>
      </c>
      <c r="B54" s="16" t="s">
        <v>187</v>
      </c>
      <c r="C54" s="16" t="s">
        <v>404</v>
      </c>
      <c r="D54" s="22" t="s">
        <v>28</v>
      </c>
      <c r="E54" s="22" t="s">
        <v>87</v>
      </c>
      <c r="F54" s="315">
        <f>SUM(G54:Q54)</f>
        <v>2.9985099999999996E-4</v>
      </c>
      <c r="G54" s="305">
        <v>1.4999999999999999E-4</v>
      </c>
      <c r="H54" s="306">
        <v>1E-4</v>
      </c>
      <c r="I54" s="307"/>
      <c r="J54" s="308"/>
      <c r="K54" s="309">
        <v>1.5E-5</v>
      </c>
      <c r="L54" s="309"/>
      <c r="M54" s="309">
        <v>2.5100000000000001E-7</v>
      </c>
      <c r="N54" s="309">
        <v>3.4600000000000001E-5</v>
      </c>
      <c r="O54" s="309"/>
      <c r="P54" s="309"/>
      <c r="Q54" s="308"/>
      <c r="R54" s="310">
        <f>'Parameters, country spec'!F21</f>
        <v>7.6814695206271766E-2</v>
      </c>
    </row>
    <row r="55" spans="1:18" x14ac:dyDescent="0.25">
      <c r="A55" s="21" t="s">
        <v>405</v>
      </c>
      <c r="B55" s="16" t="s">
        <v>189</v>
      </c>
      <c r="C55" s="16" t="s">
        <v>404</v>
      </c>
      <c r="D55" s="22" t="s">
        <v>28</v>
      </c>
      <c r="E55" s="22" t="s">
        <v>87</v>
      </c>
      <c r="F55" s="125">
        <f t="shared" ref="F55:F64" si="12">SUM(G55:Q55)</f>
        <v>2.9590200000000001E-4</v>
      </c>
      <c r="G55" s="96">
        <v>1.4999999999999999E-4</v>
      </c>
      <c r="H55" s="97">
        <v>1E-4</v>
      </c>
      <c r="I55" s="15"/>
      <c r="J55" s="13"/>
      <c r="K55" s="98">
        <v>1.08E-5</v>
      </c>
      <c r="L55" s="98"/>
      <c r="M55" s="98">
        <v>5.0200000000000002E-7</v>
      </c>
      <c r="N55" s="98">
        <v>3.4600000000000001E-5</v>
      </c>
      <c r="O55" s="98"/>
      <c r="P55" s="98"/>
      <c r="Q55" s="13"/>
      <c r="R55" s="145">
        <f>'Parameters, country spec'!F22</f>
        <v>0.45561964069086464</v>
      </c>
    </row>
    <row r="56" spans="1:18" x14ac:dyDescent="0.25">
      <c r="A56" s="21" t="s">
        <v>406</v>
      </c>
      <c r="B56" s="16" t="s">
        <v>191</v>
      </c>
      <c r="C56" s="16" t="s">
        <v>404</v>
      </c>
      <c r="D56" s="22" t="s">
        <v>28</v>
      </c>
      <c r="E56" s="22" t="s">
        <v>87</v>
      </c>
      <c r="F56" s="125">
        <f t="shared" si="12"/>
        <v>2.9496000000000004E-4</v>
      </c>
      <c r="G56" s="96">
        <v>1.2999999999999999E-4</v>
      </c>
      <c r="H56" s="97">
        <v>1E-4</v>
      </c>
      <c r="I56" s="15"/>
      <c r="J56" s="13"/>
      <c r="K56" s="98">
        <v>2.8099999999999999E-5</v>
      </c>
      <c r="L56" s="98"/>
      <c r="M56" s="98">
        <v>2.26E-6</v>
      </c>
      <c r="N56" s="98">
        <v>3.4600000000000001E-5</v>
      </c>
      <c r="O56" s="98"/>
      <c r="P56" s="98"/>
      <c r="Q56" s="13"/>
      <c r="R56" s="145">
        <f>'Parameters, country spec'!F23</f>
        <v>4.1142483484800152E-2</v>
      </c>
    </row>
    <row r="57" spans="1:18" x14ac:dyDescent="0.25">
      <c r="A57" s="21" t="s">
        <v>407</v>
      </c>
      <c r="B57" s="16" t="s">
        <v>192</v>
      </c>
      <c r="C57" s="16" t="s">
        <v>404</v>
      </c>
      <c r="D57" s="22" t="s">
        <v>28</v>
      </c>
      <c r="E57" s="22" t="s">
        <v>87</v>
      </c>
      <c r="F57" s="125">
        <f t="shared" si="12"/>
        <v>2.7900000000000006E-4</v>
      </c>
      <c r="G57" s="96">
        <v>1.2E-4</v>
      </c>
      <c r="H57" s="97">
        <v>1E-4</v>
      </c>
      <c r="I57" s="13"/>
      <c r="J57" s="13"/>
      <c r="K57" s="98">
        <v>2.44E-5</v>
      </c>
      <c r="L57" s="98"/>
      <c r="M57" s="98">
        <v>0</v>
      </c>
      <c r="N57" s="98">
        <v>3.4600000000000001E-5</v>
      </c>
      <c r="O57" s="98"/>
      <c r="P57" s="98"/>
      <c r="Q57" s="13"/>
      <c r="R57" s="145">
        <f>'Parameters, country spec'!F24</f>
        <v>1.5990662090106512E-2</v>
      </c>
    </row>
    <row r="58" spans="1:18" x14ac:dyDescent="0.25">
      <c r="A58" s="21" t="s">
        <v>408</v>
      </c>
      <c r="B58" s="16" t="s">
        <v>193</v>
      </c>
      <c r="C58" s="16" t="s">
        <v>404</v>
      </c>
      <c r="D58" s="22" t="s">
        <v>28</v>
      </c>
      <c r="E58" s="22" t="s">
        <v>87</v>
      </c>
      <c r="F58" s="125">
        <f t="shared" si="12"/>
        <v>3.2050199999999996E-4</v>
      </c>
      <c r="G58" s="96">
        <v>1.7000000000000001E-4</v>
      </c>
      <c r="H58" s="97">
        <v>1E-4</v>
      </c>
      <c r="I58" s="13"/>
      <c r="J58" s="13"/>
      <c r="K58" s="98">
        <v>1.5400000000000002E-5</v>
      </c>
      <c r="L58" s="98"/>
      <c r="M58" s="98">
        <v>5.0200000000000002E-7</v>
      </c>
      <c r="N58" s="98">
        <v>3.4600000000000001E-5</v>
      </c>
      <c r="O58" s="98"/>
      <c r="P58" s="98"/>
      <c r="Q58" s="13"/>
      <c r="R58" s="145">
        <f>'Parameters, country spec'!F25</f>
        <v>7.1936556132033619E-2</v>
      </c>
    </row>
    <row r="59" spans="1:18" x14ac:dyDescent="0.25">
      <c r="A59" s="21" t="s">
        <v>409</v>
      </c>
      <c r="B59" s="16" t="s">
        <v>194</v>
      </c>
      <c r="C59" s="16" t="s">
        <v>410</v>
      </c>
      <c r="D59" s="22" t="s">
        <v>28</v>
      </c>
      <c r="E59" s="22" t="s">
        <v>87</v>
      </c>
      <c r="F59" s="125">
        <f t="shared" si="12"/>
        <v>1.8469999999999999E-4</v>
      </c>
      <c r="G59" s="96">
        <v>0</v>
      </c>
      <c r="H59" s="97">
        <v>1E-4</v>
      </c>
      <c r="I59" s="15"/>
      <c r="J59" s="13"/>
      <c r="K59" s="98">
        <v>3.15E-5</v>
      </c>
      <c r="L59" s="98"/>
      <c r="M59" s="98">
        <v>1.8600000000000001E-5</v>
      </c>
      <c r="N59" s="98">
        <v>3.4600000000000001E-5</v>
      </c>
      <c r="O59" s="98"/>
      <c r="P59" s="98"/>
      <c r="Q59" s="13"/>
      <c r="R59" s="145">
        <f>'Parameters, country spec'!F26</f>
        <v>1.6050102986641154E-3</v>
      </c>
    </row>
    <row r="60" spans="1:18" x14ac:dyDescent="0.25">
      <c r="A60" s="21" t="s">
        <v>411</v>
      </c>
      <c r="B60" s="16" t="s">
        <v>195</v>
      </c>
      <c r="C60" s="16" t="s">
        <v>410</v>
      </c>
      <c r="D60" s="22" t="s">
        <v>28</v>
      </c>
      <c r="E60" s="22" t="s">
        <v>87</v>
      </c>
      <c r="F60" s="125">
        <f t="shared" si="12"/>
        <v>2.0880000000000001E-4</v>
      </c>
      <c r="G60" s="96">
        <v>7.5000000000000002E-6</v>
      </c>
      <c r="H60" s="97">
        <v>1E-4</v>
      </c>
      <c r="I60" s="15"/>
      <c r="J60" s="13"/>
      <c r="K60" s="98">
        <v>3.93E-5</v>
      </c>
      <c r="L60" s="98"/>
      <c r="M60" s="98">
        <v>2.7399999999999999E-5</v>
      </c>
      <c r="N60" s="98">
        <v>3.4600000000000001E-5</v>
      </c>
      <c r="O60" s="98"/>
      <c r="P60" s="98"/>
      <c r="Q60" s="13"/>
      <c r="R60" s="145">
        <f>'Parameters, country spec'!F27</f>
        <v>1.5766490275233829E-3</v>
      </c>
    </row>
    <row r="61" spans="1:18" x14ac:dyDescent="0.25">
      <c r="B61" s="17" t="s">
        <v>196</v>
      </c>
      <c r="C61" s="16" t="s">
        <v>412</v>
      </c>
      <c r="D61" s="22" t="s">
        <v>460</v>
      </c>
      <c r="E61" s="22"/>
      <c r="F61" s="125">
        <f t="shared" si="12"/>
        <v>3.8246443678729497E-4</v>
      </c>
      <c r="G61" s="33">
        <f>'Off-farm feed'!$F$75</f>
        <v>1.684774766302073E-4</v>
      </c>
      <c r="H61" s="33">
        <f>'Off-farm feed'!$G$75</f>
        <v>4.5862068965517246E-5</v>
      </c>
      <c r="I61" s="33"/>
      <c r="J61" s="33"/>
      <c r="K61" s="33">
        <f>'Off-farm feed'!$J$75</f>
        <v>1.0936279334641699E-5</v>
      </c>
      <c r="L61" s="33"/>
      <c r="M61" s="33">
        <f>'Off-farm feed'!$L$75</f>
        <v>6.4606960551724142E-7</v>
      </c>
      <c r="N61" s="33">
        <f>'Off-farm feed'!$M$75</f>
        <v>2.1884761697575221E-5</v>
      </c>
      <c r="O61" s="33"/>
      <c r="P61" s="33">
        <f>'Off-farm feed'!$O$75</f>
        <v>4.5962128379923281E-5</v>
      </c>
      <c r="Q61" s="33">
        <f>'Off-farm feed'!$P$75</f>
        <v>8.8695652173913049E-5</v>
      </c>
      <c r="R61" s="145">
        <f>'Parameters, country spec'!F28</f>
        <v>6.9270869900852153E-4</v>
      </c>
    </row>
    <row r="62" spans="1:18" x14ac:dyDescent="0.25">
      <c r="B62" s="17" t="s">
        <v>413</v>
      </c>
      <c r="C62" s="16" t="s">
        <v>412</v>
      </c>
      <c r="D62" s="22" t="s">
        <v>437</v>
      </c>
      <c r="E62" s="22"/>
      <c r="F62" s="125">
        <f t="shared" si="12"/>
        <v>4.7266553697523981E-4</v>
      </c>
      <c r="G62" s="33">
        <f>'Off-farm feed'!$F$24</f>
        <v>1.5603516238625262E-5</v>
      </c>
      <c r="H62" s="33">
        <f>'Off-farm feed'!$G$24</f>
        <v>7.5304878048780503E-5</v>
      </c>
      <c r="I62" s="33"/>
      <c r="J62" s="33"/>
      <c r="K62" s="33">
        <f>'Off-farm feed'!$J$24</f>
        <v>1.908459074435586E-5</v>
      </c>
      <c r="L62" s="33"/>
      <c r="M62" s="33">
        <f>'Off-farm feed'!$L$24</f>
        <v>5.9672097439024396E-7</v>
      </c>
      <c r="N62" s="33">
        <f>'Off-farm feed'!$M$24</f>
        <v>2.3084271612619523E-5</v>
      </c>
      <c r="O62" s="33"/>
      <c r="P62" s="33">
        <f>'Off-farm feed'!$O$24</f>
        <v>1.2899155935646844E-4</v>
      </c>
      <c r="Q62" s="33">
        <f>'Off-farm feed'!$P$24</f>
        <v>2.1000000000000001E-4</v>
      </c>
      <c r="R62" s="145">
        <f>'Parameters, country spec'!F29</f>
        <v>0.13208602451248805</v>
      </c>
    </row>
    <row r="63" spans="1:18" x14ac:dyDescent="0.25">
      <c r="B63" s="16" t="s">
        <v>198</v>
      </c>
      <c r="C63" s="16" t="s">
        <v>414</v>
      </c>
      <c r="D63" s="22" t="s">
        <v>28</v>
      </c>
      <c r="E63" s="22" t="s">
        <v>87</v>
      </c>
      <c r="F63" s="125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45">
        <f>'Parameters, country spec'!F30</f>
        <v>0.10416150013335602</v>
      </c>
    </row>
    <row r="64" spans="1:18" x14ac:dyDescent="0.25">
      <c r="A64" s="80"/>
      <c r="B64" s="16" t="s">
        <v>415</v>
      </c>
      <c r="C64" s="81" t="s">
        <v>416</v>
      </c>
      <c r="D64" s="22" t="s">
        <v>28</v>
      </c>
      <c r="E64" s="22" t="s">
        <v>87</v>
      </c>
      <c r="F64" s="125">
        <f t="shared" si="12"/>
        <v>2.5168840376135889E-4</v>
      </c>
      <c r="G64" s="79">
        <f t="shared" ref="G64:N64" si="13">AVERAGE(G54:G62)</f>
        <v>1.0128677698542583E-4</v>
      </c>
      <c r="H64" s="79">
        <f t="shared" si="13"/>
        <v>9.1240771890477534E-5</v>
      </c>
      <c r="I64" s="79"/>
      <c r="J64" s="79"/>
      <c r="K64" s="79">
        <f t="shared" si="13"/>
        <v>2.1613430008777509E-5</v>
      </c>
      <c r="L64" s="79"/>
      <c r="M64" s="79">
        <f t="shared" si="13"/>
        <v>5.639754508878609E-6</v>
      </c>
      <c r="N64" s="79">
        <f t="shared" si="13"/>
        <v>3.1907670367799416E-5</v>
      </c>
      <c r="O64" s="79"/>
      <c r="P64" s="79"/>
      <c r="Q64" s="79"/>
      <c r="R64" s="145">
        <f>'Parameters, country spec'!F31</f>
        <v>9.8374069724883342E-2</v>
      </c>
    </row>
    <row r="65" spans="1:19" x14ac:dyDescent="0.25">
      <c r="A65" s="144"/>
      <c r="B65" s="24" t="s">
        <v>417</v>
      </c>
      <c r="C65" s="25"/>
      <c r="D65" s="99"/>
      <c r="E65" s="99"/>
      <c r="F65" s="45">
        <f t="shared" ref="F65:O65" si="14">SUMPRODUCT(F54:F64,$R$54:$R$64)</f>
        <v>2.8558702830246792E-4</v>
      </c>
      <c r="G65" s="45">
        <f t="shared" si="14"/>
        <v>1.115152968019572E-4</v>
      </c>
      <c r="H65" s="45">
        <f t="shared" si="14"/>
        <v>8.5422786770720523E-5</v>
      </c>
      <c r="I65" s="45">
        <f t="shared" si="14"/>
        <v>0</v>
      </c>
      <c r="J65" s="45">
        <f t="shared" si="14"/>
        <v>0</v>
      </c>
      <c r="K65" s="45">
        <f t="shared" si="14"/>
        <v>1.3494116031476853E-5</v>
      </c>
      <c r="L65" s="45">
        <f t="shared" si="14"/>
        <v>0</v>
      </c>
      <c r="M65" s="45">
        <f t="shared" si="14"/>
        <v>1.0842207294607925E-6</v>
      </c>
      <c r="N65" s="45">
        <f t="shared" si="14"/>
        <v>2.9201281934188669E-5</v>
      </c>
      <c r="O65" s="45">
        <f t="shared" si="14"/>
        <v>0</v>
      </c>
      <c r="P65" s="45">
        <f>SUMPRODUCT(P54:P64,R54:R64)</f>
        <v>1.7069820637216264E-5</v>
      </c>
      <c r="Q65" s="45">
        <f>SUMPRODUCT(Q54:Q64,$R$54:$R$64)</f>
        <v>2.7799505397447592E-5</v>
      </c>
      <c r="R65" s="146"/>
    </row>
    <row r="66" spans="1:19" x14ac:dyDescent="0.25">
      <c r="A66" s="21" t="s">
        <v>403</v>
      </c>
      <c r="B66" s="16" t="s">
        <v>187</v>
      </c>
      <c r="C66" s="16" t="s">
        <v>404</v>
      </c>
      <c r="D66" s="22" t="s">
        <v>32</v>
      </c>
      <c r="E66" s="22" t="s">
        <v>88</v>
      </c>
      <c r="F66" s="315">
        <f>SUM(G66:Q66)</f>
        <v>2.8265300000000001E-4</v>
      </c>
      <c r="G66" s="305">
        <v>1.4999999999999999E-4</v>
      </c>
      <c r="H66" s="306">
        <v>1E-4</v>
      </c>
      <c r="I66" s="307"/>
      <c r="J66" s="308"/>
      <c r="K66" s="309">
        <v>1.0900000000000001E-5</v>
      </c>
      <c r="L66" s="309"/>
      <c r="M66" s="309">
        <v>7.5300000000000003E-7</v>
      </c>
      <c r="N66" s="309">
        <v>2.0999999999999999E-5</v>
      </c>
      <c r="O66" s="309"/>
      <c r="P66" s="309"/>
      <c r="Q66" s="308"/>
      <c r="R66" s="310">
        <f>'Parameters, country spec'!G21</f>
        <v>0.30784418386466139</v>
      </c>
    </row>
    <row r="67" spans="1:19" x14ac:dyDescent="0.25">
      <c r="A67" s="21" t="s">
        <v>405</v>
      </c>
      <c r="B67" s="16" t="s">
        <v>189</v>
      </c>
      <c r="C67" s="16" t="s">
        <v>404</v>
      </c>
      <c r="D67" s="22" t="s">
        <v>32</v>
      </c>
      <c r="E67" s="22" t="s">
        <v>88</v>
      </c>
      <c r="F67" s="125">
        <f t="shared" ref="F67" si="15">SUM(G67:Q67)</f>
        <v>2.9590200000000001E-4</v>
      </c>
      <c r="G67" s="96">
        <v>1.4999999999999999E-4</v>
      </c>
      <c r="H67" s="97">
        <v>1E-4</v>
      </c>
      <c r="I67" s="15"/>
      <c r="J67" s="13"/>
      <c r="K67" s="98">
        <v>1.08E-5</v>
      </c>
      <c r="L67" s="98"/>
      <c r="M67" s="98">
        <v>5.0200000000000002E-7</v>
      </c>
      <c r="N67" s="98">
        <v>3.4600000000000001E-5</v>
      </c>
      <c r="O67" s="98"/>
      <c r="P67" s="98"/>
      <c r="Q67" s="13"/>
      <c r="R67" s="145">
        <f>'Parameters, country spec'!G22</f>
        <v>8.4847862288086023E-2</v>
      </c>
      <c r="S67" s="7" t="s">
        <v>536</v>
      </c>
    </row>
    <row r="68" spans="1:19" x14ac:dyDescent="0.25">
      <c r="A68" s="21" t="s">
        <v>406</v>
      </c>
      <c r="B68" s="16" t="s">
        <v>191</v>
      </c>
      <c r="C68" s="16" t="s">
        <v>404</v>
      </c>
      <c r="D68" s="22" t="s">
        <v>32</v>
      </c>
      <c r="E68" s="22" t="s">
        <v>88</v>
      </c>
      <c r="F68" s="125">
        <f t="shared" ref="F68:F76" si="16">SUM(G68:Q68)</f>
        <v>2.6160000000000002E-4</v>
      </c>
      <c r="G68" s="96">
        <v>1.2999999999999999E-4</v>
      </c>
      <c r="H68" s="97">
        <v>1E-4</v>
      </c>
      <c r="I68" s="15"/>
      <c r="J68" s="13"/>
      <c r="K68" s="98">
        <v>1.06E-5</v>
      </c>
      <c r="L68" s="98"/>
      <c r="M68" s="98">
        <v>0</v>
      </c>
      <c r="N68" s="98">
        <v>2.0999999999999999E-5</v>
      </c>
      <c r="O68" s="98"/>
      <c r="P68" s="98"/>
      <c r="Q68" s="13"/>
      <c r="R68" s="145">
        <f>'Parameters, country spec'!G23</f>
        <v>1.7744137138731981E-2</v>
      </c>
    </row>
    <row r="69" spans="1:19" x14ac:dyDescent="0.25">
      <c r="A69" s="21" t="s">
        <v>407</v>
      </c>
      <c r="B69" s="16" t="s">
        <v>192</v>
      </c>
      <c r="C69" s="16" t="s">
        <v>404</v>
      </c>
      <c r="D69" s="22" t="s">
        <v>32</v>
      </c>
      <c r="E69" s="22" t="s">
        <v>88</v>
      </c>
      <c r="F69" s="125">
        <f t="shared" si="16"/>
        <v>2.6615300000000004E-4</v>
      </c>
      <c r="G69" s="96">
        <v>1.2E-4</v>
      </c>
      <c r="H69" s="97">
        <v>1E-4</v>
      </c>
      <c r="I69" s="13"/>
      <c r="J69" s="13"/>
      <c r="K69" s="98">
        <v>2.44E-5</v>
      </c>
      <c r="L69" s="98"/>
      <c r="M69" s="98">
        <v>7.5300000000000003E-7</v>
      </c>
      <c r="N69" s="98">
        <v>2.0999999999999999E-5</v>
      </c>
      <c r="O69" s="98"/>
      <c r="P69" s="98"/>
      <c r="Q69" s="13"/>
      <c r="R69" s="145">
        <f>'Parameters, country spec'!G24</f>
        <v>0</v>
      </c>
    </row>
    <row r="70" spans="1:19" x14ac:dyDescent="0.25">
      <c r="A70" s="21" t="s">
        <v>408</v>
      </c>
      <c r="B70" s="16" t="s">
        <v>193</v>
      </c>
      <c r="C70" s="16" t="s">
        <v>404</v>
      </c>
      <c r="D70" s="22" t="s">
        <v>32</v>
      </c>
      <c r="E70" s="22" t="s">
        <v>88</v>
      </c>
      <c r="F70" s="125">
        <f t="shared" si="16"/>
        <v>3.0043100000000004E-4</v>
      </c>
      <c r="G70" s="96">
        <v>1.7000000000000001E-4</v>
      </c>
      <c r="H70" s="97">
        <v>1E-4</v>
      </c>
      <c r="I70" s="13"/>
      <c r="J70" s="13"/>
      <c r="K70" s="98">
        <v>9.1800000000000002E-6</v>
      </c>
      <c r="L70" s="98"/>
      <c r="M70" s="98">
        <v>2.5100000000000001E-7</v>
      </c>
      <c r="N70" s="98">
        <v>2.0999999999999999E-5</v>
      </c>
      <c r="O70" s="98"/>
      <c r="P70" s="98"/>
      <c r="Q70" s="13"/>
      <c r="R70" s="145">
        <f>'Parameters, country spec'!G25</f>
        <v>0.13221920344294855</v>
      </c>
    </row>
    <row r="71" spans="1:19" x14ac:dyDescent="0.25">
      <c r="A71" s="21" t="s">
        <v>409</v>
      </c>
      <c r="B71" s="16" t="s">
        <v>194</v>
      </c>
      <c r="C71" s="16" t="s">
        <v>410</v>
      </c>
      <c r="D71" s="22" t="s">
        <v>32</v>
      </c>
      <c r="E71" s="22" t="s">
        <v>88</v>
      </c>
      <c r="F71" s="125">
        <f t="shared" si="16"/>
        <v>1.4256000000000002E-4</v>
      </c>
      <c r="G71" s="96">
        <v>0</v>
      </c>
      <c r="H71" s="97">
        <v>1E-4</v>
      </c>
      <c r="I71" s="15"/>
      <c r="J71" s="13"/>
      <c r="K71" s="98">
        <v>1.98E-5</v>
      </c>
      <c r="L71" s="98"/>
      <c r="M71" s="98">
        <v>1.7600000000000001E-6</v>
      </c>
      <c r="N71" s="98">
        <v>2.0999999999999999E-5</v>
      </c>
      <c r="O71" s="98"/>
      <c r="P71" s="98"/>
      <c r="Q71" s="13"/>
      <c r="R71" s="145">
        <f>'Parameters, country spec'!G26</f>
        <v>1.343960411791802E-3</v>
      </c>
    </row>
    <row r="72" spans="1:19" x14ac:dyDescent="0.25">
      <c r="A72" s="21" t="s">
        <v>411</v>
      </c>
      <c r="B72" s="16" t="s">
        <v>195</v>
      </c>
      <c r="C72" s="16" t="s">
        <v>410</v>
      </c>
      <c r="D72" s="22" t="s">
        <v>32</v>
      </c>
      <c r="E72" s="22" t="s">
        <v>88</v>
      </c>
      <c r="F72" s="125">
        <f t="shared" si="16"/>
        <v>1.4410000000000001E-4</v>
      </c>
      <c r="G72" s="96">
        <v>7.5000000000000002E-6</v>
      </c>
      <c r="H72" s="97">
        <v>1E-4</v>
      </c>
      <c r="I72" s="15"/>
      <c r="J72" s="13"/>
      <c r="K72" s="98">
        <v>1.56E-5</v>
      </c>
      <c r="L72" s="98"/>
      <c r="M72" s="98">
        <v>0</v>
      </c>
      <c r="N72" s="98">
        <v>2.0999999999999999E-5</v>
      </c>
      <c r="O72" s="98"/>
      <c r="P72" s="98"/>
      <c r="Q72" s="13"/>
      <c r="R72" s="145">
        <f>'Parameters, country spec'!G27</f>
        <v>1.3202120121893659E-3</v>
      </c>
    </row>
    <row r="73" spans="1:19" x14ac:dyDescent="0.25">
      <c r="B73" s="17" t="s">
        <v>196</v>
      </c>
      <c r="C73" s="16" t="s">
        <v>412</v>
      </c>
      <c r="D73" s="22" t="s">
        <v>460</v>
      </c>
      <c r="E73" s="22"/>
      <c r="F73" s="125">
        <f t="shared" si="16"/>
        <v>3.8246443678729497E-4</v>
      </c>
      <c r="G73" s="33">
        <f>'Off-farm feed'!$F$75</f>
        <v>1.684774766302073E-4</v>
      </c>
      <c r="H73" s="33">
        <f>'Off-farm feed'!$G$75</f>
        <v>4.5862068965517246E-5</v>
      </c>
      <c r="I73" s="33"/>
      <c r="J73" s="33"/>
      <c r="K73" s="33">
        <f>'Off-farm feed'!$J$75</f>
        <v>1.0936279334641699E-5</v>
      </c>
      <c r="L73" s="33"/>
      <c r="M73" s="33">
        <f>'Off-farm feed'!$L$75</f>
        <v>6.4606960551724142E-7</v>
      </c>
      <c r="N73" s="33">
        <f>'Off-farm feed'!$M$75</f>
        <v>2.1884761697575221E-5</v>
      </c>
      <c r="O73" s="33"/>
      <c r="P73" s="33">
        <f>'Off-farm feed'!$O$75</f>
        <v>4.5962128379923281E-5</v>
      </c>
      <c r="Q73" s="33">
        <f>'Off-farm feed'!$P$75</f>
        <v>8.8695652173913049E-5</v>
      </c>
      <c r="R73" s="145">
        <f>'Parameters, country spec'!G28</f>
        <v>7.1952686054860826E-2</v>
      </c>
    </row>
    <row r="74" spans="1:19" x14ac:dyDescent="0.25">
      <c r="B74" s="17" t="s">
        <v>413</v>
      </c>
      <c r="C74" s="16" t="s">
        <v>412</v>
      </c>
      <c r="D74" s="22" t="s">
        <v>437</v>
      </c>
      <c r="E74" s="22"/>
      <c r="F74" s="125">
        <f t="shared" si="16"/>
        <v>4.7266553697523981E-4</v>
      </c>
      <c r="G74" s="33">
        <f>'Off-farm feed'!$F$24</f>
        <v>1.5603516238625262E-5</v>
      </c>
      <c r="H74" s="33">
        <f>'Off-farm feed'!$G$24</f>
        <v>7.5304878048780503E-5</v>
      </c>
      <c r="I74" s="33"/>
      <c r="J74" s="33"/>
      <c r="K74" s="33">
        <f>'Off-farm feed'!$J$24</f>
        <v>1.908459074435586E-5</v>
      </c>
      <c r="L74" s="33"/>
      <c r="M74" s="33">
        <f>'Off-farm feed'!$L$24</f>
        <v>5.9672097439024396E-7</v>
      </c>
      <c r="N74" s="33">
        <f>'Off-farm feed'!$M$24</f>
        <v>2.3084271612619523E-5</v>
      </c>
      <c r="O74" s="33"/>
      <c r="P74" s="33">
        <f>'Off-farm feed'!$O$24</f>
        <v>1.2899155935646844E-4</v>
      </c>
      <c r="Q74" s="33">
        <f>'Off-farm feed'!$P$24</f>
        <v>2.1000000000000001E-4</v>
      </c>
      <c r="R74" s="145">
        <f>'Parameters, country spec'!G29</f>
        <v>0.13691957563671808</v>
      </c>
    </row>
    <row r="75" spans="1:19" x14ac:dyDescent="0.25">
      <c r="B75" s="16" t="s">
        <v>198</v>
      </c>
      <c r="C75" s="16" t="s">
        <v>414</v>
      </c>
      <c r="D75" s="22" t="s">
        <v>32</v>
      </c>
      <c r="E75" s="22" t="s">
        <v>88</v>
      </c>
      <c r="F75" s="125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45">
        <f>'Parameters, country spec'!G30</f>
        <v>0.13523038514369462</v>
      </c>
    </row>
    <row r="76" spans="1:19" x14ac:dyDescent="0.25">
      <c r="A76" s="80"/>
      <c r="B76" s="16" t="s">
        <v>415</v>
      </c>
      <c r="C76" s="81" t="s">
        <v>416</v>
      </c>
      <c r="D76" s="22" t="s">
        <v>32</v>
      </c>
      <c r="E76" s="22" t="s">
        <v>88</v>
      </c>
      <c r="F76" s="125">
        <f t="shared" si="16"/>
        <v>2.3054218153913667E-4</v>
      </c>
      <c r="G76" s="79">
        <f t="shared" ref="G76:N76" si="17">AVERAGE(G66:G74)</f>
        <v>1.0128677698542583E-4</v>
      </c>
      <c r="H76" s="79">
        <f t="shared" si="17"/>
        <v>9.1240771890477534E-5</v>
      </c>
      <c r="I76" s="79"/>
      <c r="J76" s="79"/>
      <c r="K76" s="79">
        <f t="shared" si="17"/>
        <v>1.4588985564333063E-5</v>
      </c>
      <c r="L76" s="79"/>
      <c r="M76" s="79">
        <f t="shared" si="17"/>
        <v>5.8464339776749842E-7</v>
      </c>
      <c r="N76" s="79">
        <f t="shared" si="17"/>
        <v>2.2841003701132747E-5</v>
      </c>
      <c r="O76" s="79"/>
      <c r="P76" s="79"/>
      <c r="Q76" s="79"/>
      <c r="R76" s="145">
        <f>'Parameters, country spec'!G31</f>
        <v>0.11057779400631759</v>
      </c>
    </row>
    <row r="77" spans="1:19" x14ac:dyDescent="0.25">
      <c r="A77" s="144"/>
      <c r="B77" s="24" t="s">
        <v>417</v>
      </c>
      <c r="C77" s="25"/>
      <c r="D77" s="99"/>
      <c r="E77" s="99"/>
      <c r="F77" s="45">
        <f>SUMPRODUCT(F66:F76,$R$66:$R$76)</f>
        <v>2.7459553972904811E-4</v>
      </c>
      <c r="G77" s="45">
        <f t="shared" ref="G77:O77" si="18">SUMPRODUCT(G66:G76,$R$66:$R$76)</f>
        <v>1.0915661309251985E-4</v>
      </c>
      <c r="H77" s="45">
        <f t="shared" si="18"/>
        <v>7.823177019083963E-5</v>
      </c>
      <c r="I77" s="45">
        <f t="shared" si="18"/>
        <v>0</v>
      </c>
      <c r="J77" s="45">
        <f t="shared" si="18"/>
        <v>0</v>
      </c>
      <c r="K77" s="45">
        <f t="shared" si="18"/>
        <v>1.0734090961641938E-5</v>
      </c>
      <c r="L77" s="45">
        <f t="shared" si="18"/>
        <v>0</v>
      </c>
      <c r="M77" s="45">
        <f t="shared" si="18"/>
        <v>5.0279049099554185E-7</v>
      </c>
      <c r="N77" s="45">
        <f t="shared" si="18"/>
        <v>1.9866705532499633E-5</v>
      </c>
      <c r="O77" s="45">
        <f t="shared" si="18"/>
        <v>0</v>
      </c>
      <c r="P77" s="45">
        <f>SUMPRODUCT(P66:P76,R66:R76)</f>
        <v>2.0968568161540019E-5</v>
      </c>
      <c r="Q77" s="45">
        <f>SUMPRODUCT(Q66:Q76,$R$66:$R$76)</f>
        <v>3.5135001299011498E-5</v>
      </c>
      <c r="R77" s="146"/>
    </row>
    <row r="78" spans="1:19" x14ac:dyDescent="0.25">
      <c r="A78" s="21" t="s">
        <v>403</v>
      </c>
      <c r="B78" s="16" t="s">
        <v>187</v>
      </c>
      <c r="C78" s="16" t="s">
        <v>404</v>
      </c>
      <c r="D78" s="22" t="s">
        <v>31</v>
      </c>
      <c r="E78" s="22" t="s">
        <v>89</v>
      </c>
      <c r="F78" s="315">
        <f>SUM(G78:Q78)</f>
        <v>3.1615300000000001E-4</v>
      </c>
      <c r="G78" s="305">
        <v>1.4999999999999999E-4</v>
      </c>
      <c r="H78" s="306">
        <v>1E-4</v>
      </c>
      <c r="I78" s="307"/>
      <c r="J78" s="308"/>
      <c r="K78" s="309">
        <v>2.0000000000000002E-5</v>
      </c>
      <c r="L78" s="309"/>
      <c r="M78" s="309">
        <v>7.5300000000000003E-7</v>
      </c>
      <c r="N78" s="309">
        <v>4.5399999999999999E-5</v>
      </c>
      <c r="O78" s="309"/>
      <c r="P78" s="309"/>
      <c r="Q78" s="308"/>
      <c r="R78" s="310">
        <f>'Parameters, country spec'!H21</f>
        <v>6.7331149351278818E-2</v>
      </c>
    </row>
    <row r="79" spans="1:19" x14ac:dyDescent="0.25">
      <c r="A79" s="21" t="s">
        <v>405</v>
      </c>
      <c r="B79" s="16" t="s">
        <v>189</v>
      </c>
      <c r="C79" s="16" t="s">
        <v>404</v>
      </c>
      <c r="D79" s="22" t="s">
        <v>31</v>
      </c>
      <c r="E79" s="22" t="s">
        <v>89</v>
      </c>
      <c r="F79" s="125">
        <f t="shared" ref="F79:F88" si="19">SUM(G79:Q79)</f>
        <v>3.2844000000000005E-4</v>
      </c>
      <c r="G79" s="96">
        <v>1.4999999999999999E-4</v>
      </c>
      <c r="H79" s="97">
        <v>1E-4</v>
      </c>
      <c r="I79" s="15"/>
      <c r="J79" s="13"/>
      <c r="K79" s="98">
        <v>7.9400000000000002E-6</v>
      </c>
      <c r="L79" s="98"/>
      <c r="M79" s="98">
        <v>2.51E-5</v>
      </c>
      <c r="N79" s="98">
        <v>4.5399999999999999E-5</v>
      </c>
      <c r="O79" s="98"/>
      <c r="P79" s="98"/>
      <c r="Q79" s="13"/>
      <c r="R79" s="145">
        <f>'Parameters, country spec'!H22</f>
        <v>0.44026970650157493</v>
      </c>
    </row>
    <row r="80" spans="1:19" x14ac:dyDescent="0.25">
      <c r="A80" s="21" t="s">
        <v>406</v>
      </c>
      <c r="B80" s="16" t="s">
        <v>191</v>
      </c>
      <c r="C80" s="16" t="s">
        <v>404</v>
      </c>
      <c r="D80" s="22" t="s">
        <v>31</v>
      </c>
      <c r="E80" s="22" t="s">
        <v>89</v>
      </c>
      <c r="F80" s="125">
        <f t="shared" si="19"/>
        <v>3.3830000000000004E-4</v>
      </c>
      <c r="G80" s="96">
        <v>1.2999999999999999E-4</v>
      </c>
      <c r="H80" s="97">
        <v>1E-4</v>
      </c>
      <c r="I80" s="15"/>
      <c r="J80" s="13"/>
      <c r="K80" s="98">
        <v>3.4999999999999997E-5</v>
      </c>
      <c r="L80" s="98"/>
      <c r="M80" s="98">
        <v>2.7900000000000001E-5</v>
      </c>
      <c r="N80" s="98">
        <v>4.5399999999999999E-5</v>
      </c>
      <c r="O80" s="98"/>
      <c r="P80" s="98"/>
      <c r="Q80" s="13"/>
      <c r="R80" s="145">
        <f>'Parameters, country spec'!H23</f>
        <v>1.3982897878135709E-2</v>
      </c>
    </row>
    <row r="81" spans="1:18" x14ac:dyDescent="0.25">
      <c r="A81" s="21" t="s">
        <v>407</v>
      </c>
      <c r="B81" s="16" t="s">
        <v>192</v>
      </c>
      <c r="C81" s="16" t="s">
        <v>404</v>
      </c>
      <c r="D81" s="22" t="s">
        <v>31</v>
      </c>
      <c r="E81" s="22" t="s">
        <v>89</v>
      </c>
      <c r="F81" s="125">
        <f t="shared" si="19"/>
        <v>2.9170000000000004E-4</v>
      </c>
      <c r="G81" s="96">
        <v>1.2E-4</v>
      </c>
      <c r="H81" s="97">
        <v>1E-4</v>
      </c>
      <c r="I81" s="13"/>
      <c r="J81" s="13"/>
      <c r="K81" s="98">
        <v>2.5299999999999998E-5</v>
      </c>
      <c r="L81" s="98"/>
      <c r="M81" s="98">
        <v>9.9999999999999995E-7</v>
      </c>
      <c r="N81" s="98">
        <v>4.5399999999999999E-5</v>
      </c>
      <c r="O81" s="98"/>
      <c r="P81" s="98"/>
      <c r="Q81" s="13"/>
      <c r="R81" s="145">
        <f>'Parameters, country spec'!H24</f>
        <v>1.1141062374852339E-3</v>
      </c>
    </row>
    <row r="82" spans="1:18" x14ac:dyDescent="0.25">
      <c r="A82" s="21" t="s">
        <v>408</v>
      </c>
      <c r="B82" s="16" t="s">
        <v>193</v>
      </c>
      <c r="C82" s="16" t="s">
        <v>404</v>
      </c>
      <c r="D82" s="22" t="s">
        <v>31</v>
      </c>
      <c r="E82" s="22" t="s">
        <v>89</v>
      </c>
      <c r="F82" s="125">
        <f t="shared" si="19"/>
        <v>3.4172E-4</v>
      </c>
      <c r="G82" s="96">
        <v>1.7000000000000001E-4</v>
      </c>
      <c r="H82" s="97">
        <v>1E-4</v>
      </c>
      <c r="I82" s="13"/>
      <c r="J82" s="13"/>
      <c r="K82" s="98">
        <v>2.1299999999999999E-5</v>
      </c>
      <c r="L82" s="98"/>
      <c r="M82" s="98">
        <v>5.0200000000000002E-6</v>
      </c>
      <c r="N82" s="98">
        <v>4.5399999999999999E-5</v>
      </c>
      <c r="O82" s="98"/>
      <c r="P82" s="98"/>
      <c r="Q82" s="13"/>
      <c r="R82" s="145">
        <f>'Parameters, country spec'!H25</f>
        <v>6.3776792034317548E-2</v>
      </c>
    </row>
    <row r="83" spans="1:18" x14ac:dyDescent="0.25">
      <c r="A83" s="21" t="s">
        <v>409</v>
      </c>
      <c r="B83" s="16" t="s">
        <v>194</v>
      </c>
      <c r="C83" s="16" t="s">
        <v>410</v>
      </c>
      <c r="D83" s="22" t="s">
        <v>31</v>
      </c>
      <c r="E83" s="22" t="s">
        <v>89</v>
      </c>
      <c r="F83" s="125">
        <f t="shared" si="19"/>
        <v>1.7426E-4</v>
      </c>
      <c r="G83" s="96">
        <v>0</v>
      </c>
      <c r="H83" s="97">
        <v>1E-4</v>
      </c>
      <c r="I83" s="15"/>
      <c r="J83" s="13"/>
      <c r="K83" s="98">
        <v>2.5599999999999999E-5</v>
      </c>
      <c r="L83" s="98"/>
      <c r="M83" s="98">
        <v>3.2600000000000001E-6</v>
      </c>
      <c r="N83" s="98">
        <v>4.5399999999999999E-5</v>
      </c>
      <c r="O83" s="98"/>
      <c r="P83" s="98"/>
      <c r="Q83" s="13"/>
      <c r="R83" s="145">
        <f>'Parameters, country spec'!H26</f>
        <v>3.3307304103593416E-3</v>
      </c>
    </row>
    <row r="84" spans="1:18" x14ac:dyDescent="0.25">
      <c r="A84" s="21" t="s">
        <v>411</v>
      </c>
      <c r="B84" s="16" t="s">
        <v>195</v>
      </c>
      <c r="C84" s="16" t="s">
        <v>410</v>
      </c>
      <c r="D84" s="22" t="s">
        <v>31</v>
      </c>
      <c r="E84" s="22" t="s">
        <v>89</v>
      </c>
      <c r="F84" s="125">
        <f t="shared" si="19"/>
        <v>1.9220000000000001E-4</v>
      </c>
      <c r="G84" s="96">
        <v>7.5000000000000002E-6</v>
      </c>
      <c r="H84" s="97">
        <v>1E-4</v>
      </c>
      <c r="I84" s="15"/>
      <c r="J84" s="13"/>
      <c r="K84" s="98">
        <v>3.8300000000000003E-5</v>
      </c>
      <c r="L84" s="98"/>
      <c r="M84" s="98">
        <v>9.9999999999999995E-7</v>
      </c>
      <c r="N84" s="98">
        <v>4.5399999999999999E-5</v>
      </c>
      <c r="O84" s="98"/>
      <c r="P84" s="98"/>
      <c r="Q84" s="13"/>
      <c r="R84" s="145">
        <f>'Parameters, country spec'!H27</f>
        <v>3.2718748699923465E-3</v>
      </c>
    </row>
    <row r="85" spans="1:18" x14ac:dyDescent="0.25">
      <c r="B85" s="17" t="s">
        <v>196</v>
      </c>
      <c r="C85" s="16" t="s">
        <v>412</v>
      </c>
      <c r="D85" s="22" t="s">
        <v>460</v>
      </c>
      <c r="E85" s="22"/>
      <c r="F85" s="125">
        <f t="shared" si="19"/>
        <v>3.8246443678729497E-4</v>
      </c>
      <c r="G85" s="33">
        <f>'Off-farm feed'!$F$75</f>
        <v>1.684774766302073E-4</v>
      </c>
      <c r="H85" s="33">
        <f>'Off-farm feed'!$G$75</f>
        <v>4.5862068965517246E-5</v>
      </c>
      <c r="I85" s="33"/>
      <c r="J85" s="33"/>
      <c r="K85" s="33">
        <f>'Off-farm feed'!$J$75</f>
        <v>1.0936279334641699E-5</v>
      </c>
      <c r="L85" s="33"/>
      <c r="M85" s="33">
        <f>'Off-farm feed'!$L$75</f>
        <v>6.4606960551724142E-7</v>
      </c>
      <c r="N85" s="33">
        <f>'Off-farm feed'!$M$75</f>
        <v>2.1884761697575221E-5</v>
      </c>
      <c r="O85" s="33"/>
      <c r="P85" s="33">
        <f>'Off-farm feed'!$O$75</f>
        <v>4.5962128379923281E-5</v>
      </c>
      <c r="Q85" s="33">
        <f>'Off-farm feed'!$P$75</f>
        <v>8.8695652173913049E-5</v>
      </c>
      <c r="R85" s="145">
        <f>'Parameters, country spec'!H28</f>
        <v>5.6103860515759841E-3</v>
      </c>
    </row>
    <row r="86" spans="1:18" x14ac:dyDescent="0.25">
      <c r="B86" s="17" t="s">
        <v>413</v>
      </c>
      <c r="C86" s="16" t="s">
        <v>412</v>
      </c>
      <c r="D86" s="22" t="s">
        <v>437</v>
      </c>
      <c r="E86" s="22"/>
      <c r="F86" s="125">
        <f t="shared" si="19"/>
        <v>4.7266553697523981E-4</v>
      </c>
      <c r="G86" s="33">
        <f>'Off-farm feed'!$F$24</f>
        <v>1.5603516238625262E-5</v>
      </c>
      <c r="H86" s="33">
        <f>'Off-farm feed'!$G$24</f>
        <v>7.5304878048780503E-5</v>
      </c>
      <c r="I86" s="33"/>
      <c r="J86" s="33"/>
      <c r="K86" s="33">
        <f>'Off-farm feed'!$J$24</f>
        <v>1.908459074435586E-5</v>
      </c>
      <c r="L86" s="33"/>
      <c r="M86" s="33">
        <f>'Off-farm feed'!$L$24</f>
        <v>5.9672097439024396E-7</v>
      </c>
      <c r="N86" s="33">
        <f>'Off-farm feed'!$M$24</f>
        <v>2.3084271612619523E-5</v>
      </c>
      <c r="O86" s="33"/>
      <c r="P86" s="33">
        <f>'Off-farm feed'!$O$24</f>
        <v>1.2899155935646844E-4</v>
      </c>
      <c r="Q86" s="33">
        <f>'Off-farm feed'!$P$24</f>
        <v>2.1000000000000001E-4</v>
      </c>
      <c r="R86" s="145">
        <f>'Parameters, country spec'!H29</f>
        <v>0.13851395632807983</v>
      </c>
    </row>
    <row r="87" spans="1:18" x14ac:dyDescent="0.25">
      <c r="B87" s="16" t="s">
        <v>198</v>
      </c>
      <c r="C87" s="16" t="s">
        <v>414</v>
      </c>
      <c r="D87" s="22" t="s">
        <v>31</v>
      </c>
      <c r="E87" s="22" t="s">
        <v>89</v>
      </c>
      <c r="F87" s="125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45">
        <f>'Parameters, country spec'!H30</f>
        <v>0.14622390087159998</v>
      </c>
    </row>
    <row r="88" spans="1:18" x14ac:dyDescent="0.25">
      <c r="A88" s="80"/>
      <c r="B88" s="16" t="s">
        <v>415</v>
      </c>
      <c r="C88" s="81" t="s">
        <v>416</v>
      </c>
      <c r="D88" s="22" t="s">
        <v>31</v>
      </c>
      <c r="E88" s="22" t="s">
        <v>89</v>
      </c>
      <c r="F88" s="125">
        <f t="shared" si="19"/>
        <v>2.6269484820580334E-4</v>
      </c>
      <c r="G88" s="79">
        <f t="shared" ref="G88:N88" si="20">AVERAGE(G78:G86)</f>
        <v>1.0128677698542583E-4</v>
      </c>
      <c r="H88" s="79">
        <f t="shared" si="20"/>
        <v>9.1240771890477534E-5</v>
      </c>
      <c r="I88" s="79"/>
      <c r="J88" s="79"/>
      <c r="K88" s="79">
        <f t="shared" si="20"/>
        <v>2.2606763342110838E-5</v>
      </c>
      <c r="L88" s="79"/>
      <c r="M88" s="79">
        <f t="shared" si="20"/>
        <v>7.2528656199897211E-6</v>
      </c>
      <c r="N88" s="79">
        <f t="shared" si="20"/>
        <v>4.0307670367799424E-5</v>
      </c>
      <c r="O88" s="79"/>
      <c r="P88" s="79"/>
      <c r="Q88" s="79"/>
      <c r="R88" s="145">
        <f>'Parameters, country spec'!H31</f>
        <v>0.11657449946560031</v>
      </c>
    </row>
    <row r="89" spans="1:18" x14ac:dyDescent="0.25">
      <c r="A89" s="144"/>
      <c r="B89" s="24" t="s">
        <v>417</v>
      </c>
      <c r="C89" s="25"/>
      <c r="D89" s="99"/>
      <c r="E89" s="99"/>
      <c r="F89" s="45">
        <f t="shared" ref="F89:O89" si="21">SUMPRODUCT(F78:F88,$R$78:$R$88)</f>
        <v>2.9218766634070409E-4</v>
      </c>
      <c r="G89" s="45">
        <f t="shared" si="21"/>
        <v>1.0387217533923504E-4</v>
      </c>
      <c r="H89" s="45">
        <f t="shared" si="21"/>
        <v>8.0632153543662536E-5</v>
      </c>
      <c r="I89" s="45">
        <f t="shared" si="21"/>
        <v>0</v>
      </c>
      <c r="J89" s="45">
        <f t="shared" si="21"/>
        <v>0</v>
      </c>
      <c r="K89" s="45">
        <f t="shared" si="21"/>
        <v>1.2269188985630128E-5</v>
      </c>
      <c r="L89" s="45">
        <f t="shared" si="21"/>
        <v>0</v>
      </c>
      <c r="M89" s="45">
        <f t="shared" si="21"/>
        <v>1.2758774559939994E-5</v>
      </c>
      <c r="N89" s="45">
        <f t="shared" si="21"/>
        <v>3.494482973019141E-5</v>
      </c>
      <c r="O89" s="45">
        <f t="shared" si="21"/>
        <v>0</v>
      </c>
      <c r="P89" s="45">
        <f>SUMPRODUCT(P78:P88,R78:R88)</f>
        <v>1.8124996503356253E-5</v>
      </c>
      <c r="Q89" s="45">
        <f>SUMPRODUCT(Q78:Q88,$R$78:$R$88)</f>
        <v>2.9585547678688725E-5</v>
      </c>
      <c r="R89" s="148"/>
    </row>
    <row r="90" spans="1:18" x14ac:dyDescent="0.25">
      <c r="A90" s="21" t="s">
        <v>403</v>
      </c>
      <c r="B90" s="16" t="s">
        <v>187</v>
      </c>
      <c r="C90" s="16" t="s">
        <v>404</v>
      </c>
      <c r="D90" s="22" t="s">
        <v>26</v>
      </c>
      <c r="E90" s="22" t="s">
        <v>90</v>
      </c>
      <c r="F90" s="315">
        <f>SUM(G90:Q90)</f>
        <v>2.9616000000000006E-4</v>
      </c>
      <c r="G90" s="305">
        <v>1.4999999999999999E-4</v>
      </c>
      <c r="H90" s="306">
        <v>1E-4</v>
      </c>
      <c r="I90" s="307"/>
      <c r="J90" s="308"/>
      <c r="K90" s="309">
        <v>1.22E-5</v>
      </c>
      <c r="L90" s="309"/>
      <c r="M90" s="309">
        <v>1.7600000000000001E-6</v>
      </c>
      <c r="N90" s="309">
        <v>3.2199999999999997E-5</v>
      </c>
      <c r="O90" s="309"/>
      <c r="P90" s="309"/>
      <c r="Q90" s="308"/>
      <c r="R90" s="310">
        <f>'Parameters, country spec'!I21</f>
        <v>8.7412023715897388E-2</v>
      </c>
    </row>
    <row r="91" spans="1:18" x14ac:dyDescent="0.25">
      <c r="A91" s="21" t="s">
        <v>405</v>
      </c>
      <c r="B91" s="16" t="s">
        <v>189</v>
      </c>
      <c r="C91" s="16" t="s">
        <v>404</v>
      </c>
      <c r="D91" s="22" t="s">
        <v>26</v>
      </c>
      <c r="E91" s="22" t="s">
        <v>90</v>
      </c>
      <c r="F91" s="125">
        <f t="shared" ref="F91:F100" si="22">SUM(G91:Q91)</f>
        <v>3.0712999999999997E-4</v>
      </c>
      <c r="G91" s="96">
        <v>1.4999999999999999E-4</v>
      </c>
      <c r="H91" s="97">
        <v>1E-4</v>
      </c>
      <c r="I91" s="15"/>
      <c r="J91" s="13"/>
      <c r="K91" s="98">
        <v>8.8300000000000002E-6</v>
      </c>
      <c r="L91" s="98"/>
      <c r="M91" s="98">
        <v>1.6099999999999998E-5</v>
      </c>
      <c r="N91" s="98">
        <v>3.2199999999999997E-5</v>
      </c>
      <c r="O91" s="98"/>
      <c r="P91" s="98"/>
      <c r="Q91" s="13"/>
      <c r="R91" s="145">
        <f>'Parameters, country spec'!I22</f>
        <v>0.26251561737967866</v>
      </c>
    </row>
    <row r="92" spans="1:18" x14ac:dyDescent="0.25">
      <c r="A92" s="21" t="s">
        <v>406</v>
      </c>
      <c r="B92" s="16" t="s">
        <v>191</v>
      </c>
      <c r="C92" s="16" t="s">
        <v>404</v>
      </c>
      <c r="D92" s="22" t="s">
        <v>26</v>
      </c>
      <c r="E92" s="22" t="s">
        <v>90</v>
      </c>
      <c r="F92" s="125">
        <f t="shared" si="22"/>
        <v>2.8722999999999997E-4</v>
      </c>
      <c r="G92" s="96">
        <v>1.2999999999999999E-4</v>
      </c>
      <c r="H92" s="97">
        <v>1E-4</v>
      </c>
      <c r="I92" s="15"/>
      <c r="J92" s="13"/>
      <c r="K92" s="98">
        <v>1.5999999999999999E-5</v>
      </c>
      <c r="L92" s="98"/>
      <c r="M92" s="98">
        <v>9.0299999999999999E-6</v>
      </c>
      <c r="N92" s="98">
        <v>3.2199999999999997E-5</v>
      </c>
      <c r="O92" s="98"/>
      <c r="P92" s="98"/>
      <c r="Q92" s="13"/>
      <c r="R92" s="145">
        <f>'Parameters, country spec'!I23</f>
        <v>2.8712859930884239E-3</v>
      </c>
    </row>
    <row r="93" spans="1:18" x14ac:dyDescent="0.25">
      <c r="A93" s="21" t="s">
        <v>407</v>
      </c>
      <c r="B93" s="16" t="s">
        <v>192</v>
      </c>
      <c r="C93" s="16" t="s">
        <v>404</v>
      </c>
      <c r="D93" s="22" t="s">
        <v>26</v>
      </c>
      <c r="E93" s="22" t="s">
        <v>90</v>
      </c>
      <c r="F93" s="125">
        <f t="shared" si="22"/>
        <v>2.7539999999999997E-4</v>
      </c>
      <c r="G93" s="96">
        <v>1.2E-4</v>
      </c>
      <c r="H93" s="97">
        <v>1E-4</v>
      </c>
      <c r="I93" s="13"/>
      <c r="J93" s="13"/>
      <c r="K93" s="98">
        <v>2.3200000000000001E-5</v>
      </c>
      <c r="L93" s="98"/>
      <c r="M93" s="98">
        <v>0</v>
      </c>
      <c r="N93" s="98">
        <v>3.2199999999999997E-5</v>
      </c>
      <c r="O93" s="98"/>
      <c r="P93" s="98"/>
      <c r="Q93" s="13"/>
      <c r="R93" s="145">
        <f>'Parameters, country spec'!I24</f>
        <v>1.0804608698251197E-2</v>
      </c>
    </row>
    <row r="94" spans="1:18" x14ac:dyDescent="0.25">
      <c r="A94" s="21" t="s">
        <v>408</v>
      </c>
      <c r="B94" s="16" t="s">
        <v>193</v>
      </c>
      <c r="C94" s="16" t="s">
        <v>404</v>
      </c>
      <c r="D94" s="22" t="s">
        <v>26</v>
      </c>
      <c r="E94" s="22" t="s">
        <v>90</v>
      </c>
      <c r="F94" s="125">
        <f t="shared" si="22"/>
        <v>3.1559000000000003E-4</v>
      </c>
      <c r="G94" s="96">
        <v>1.7000000000000001E-4</v>
      </c>
      <c r="H94" s="97">
        <v>1E-4</v>
      </c>
      <c r="I94" s="13"/>
      <c r="J94" s="13"/>
      <c r="K94" s="98">
        <v>9.6299999999999993E-6</v>
      </c>
      <c r="L94" s="98"/>
      <c r="M94" s="98">
        <v>3.76E-6</v>
      </c>
      <c r="N94" s="98">
        <v>3.2199999999999997E-5</v>
      </c>
      <c r="O94" s="98"/>
      <c r="P94" s="98"/>
      <c r="Q94" s="13"/>
      <c r="R94" s="145">
        <f>'Parameters, country spec'!I25</f>
        <v>0.295775529852283</v>
      </c>
    </row>
    <row r="95" spans="1:18" x14ac:dyDescent="0.25">
      <c r="A95" s="21" t="s">
        <v>409</v>
      </c>
      <c r="B95" s="16" t="s">
        <v>194</v>
      </c>
      <c r="C95" s="16" t="s">
        <v>410</v>
      </c>
      <c r="D95" s="22" t="s">
        <v>26</v>
      </c>
      <c r="E95" s="22" t="s">
        <v>90</v>
      </c>
      <c r="F95" s="125">
        <f t="shared" si="22"/>
        <v>1.5197E-4</v>
      </c>
      <c r="G95" s="96">
        <v>0</v>
      </c>
      <c r="H95" s="97">
        <v>1E-4</v>
      </c>
      <c r="I95" s="15"/>
      <c r="J95" s="13"/>
      <c r="K95" s="98">
        <v>1.5E-5</v>
      </c>
      <c r="L95" s="98"/>
      <c r="M95" s="98">
        <v>4.7700000000000001E-6</v>
      </c>
      <c r="N95" s="98">
        <v>3.2199999999999997E-5</v>
      </c>
      <c r="O95" s="98"/>
      <c r="P95" s="98"/>
      <c r="Q95" s="13"/>
      <c r="R95" s="145">
        <f>'Parameters, country spec'!I26</f>
        <v>0</v>
      </c>
    </row>
    <row r="96" spans="1:18" x14ac:dyDescent="0.25">
      <c r="A96" s="21" t="s">
        <v>411</v>
      </c>
      <c r="B96" s="16" t="s">
        <v>195</v>
      </c>
      <c r="C96" s="16" t="s">
        <v>410</v>
      </c>
      <c r="D96" s="22" t="s">
        <v>26</v>
      </c>
      <c r="E96" s="22" t="s">
        <v>90</v>
      </c>
      <c r="F96" s="125">
        <f t="shared" si="22"/>
        <v>1.5696000000000002E-4</v>
      </c>
      <c r="G96" s="96">
        <v>7.5000000000000002E-6</v>
      </c>
      <c r="H96" s="97">
        <v>1E-4</v>
      </c>
      <c r="I96" s="15"/>
      <c r="J96" s="13"/>
      <c r="K96" s="98">
        <v>1.5E-5</v>
      </c>
      <c r="L96" s="98"/>
      <c r="M96" s="98">
        <v>2.26E-6</v>
      </c>
      <c r="N96" s="98">
        <v>3.2199999999999997E-5</v>
      </c>
      <c r="O96" s="98"/>
      <c r="P96" s="98"/>
      <c r="Q96" s="13"/>
      <c r="R96" s="145">
        <f>'Parameters, country spec'!I27</f>
        <v>0</v>
      </c>
    </row>
    <row r="97" spans="1:18" x14ac:dyDescent="0.25">
      <c r="B97" s="17" t="s">
        <v>196</v>
      </c>
      <c r="C97" s="16" t="s">
        <v>412</v>
      </c>
      <c r="D97" s="22" t="s">
        <v>460</v>
      </c>
      <c r="E97" s="22"/>
      <c r="F97" s="125">
        <f t="shared" si="22"/>
        <v>3.8246443678729497E-4</v>
      </c>
      <c r="G97" s="33">
        <f>'Off-farm feed'!$F$75</f>
        <v>1.684774766302073E-4</v>
      </c>
      <c r="H97" s="33">
        <f>'Off-farm feed'!$G$75</f>
        <v>4.5862068965517246E-5</v>
      </c>
      <c r="I97" s="33"/>
      <c r="J97" s="33"/>
      <c r="K97" s="33">
        <f>'Off-farm feed'!$J$75</f>
        <v>1.0936279334641699E-5</v>
      </c>
      <c r="L97" s="33"/>
      <c r="M97" s="33">
        <f>'Off-farm feed'!$L$75</f>
        <v>6.4606960551724142E-7</v>
      </c>
      <c r="N97" s="33">
        <f>'Off-farm feed'!$M$75</f>
        <v>2.1884761697575221E-5</v>
      </c>
      <c r="O97" s="33"/>
      <c r="P97" s="33">
        <f>'Off-farm feed'!$O$75</f>
        <v>4.5962128379923281E-5</v>
      </c>
      <c r="Q97" s="33">
        <f>'Off-farm feed'!$P$75</f>
        <v>8.8695652173913049E-5</v>
      </c>
      <c r="R97" s="145">
        <f>'Parameters, country spec'!I28</f>
        <v>0.12265283909261471</v>
      </c>
    </row>
    <row r="98" spans="1:18" x14ac:dyDescent="0.25">
      <c r="B98" s="17" t="s">
        <v>413</v>
      </c>
      <c r="C98" s="16" t="s">
        <v>412</v>
      </c>
      <c r="D98" s="22" t="s">
        <v>437</v>
      </c>
      <c r="E98" s="22"/>
      <c r="F98" s="125">
        <f t="shared" si="22"/>
        <v>4.7266553697523981E-4</v>
      </c>
      <c r="G98" s="33">
        <f>'Off-farm feed'!$F$24</f>
        <v>1.5603516238625262E-5</v>
      </c>
      <c r="H98" s="33">
        <f>'Off-farm feed'!$G$24</f>
        <v>7.5304878048780503E-5</v>
      </c>
      <c r="I98" s="33"/>
      <c r="J98" s="33"/>
      <c r="K98" s="33">
        <f>'Off-farm feed'!$J$24</f>
        <v>1.908459074435586E-5</v>
      </c>
      <c r="L98" s="33"/>
      <c r="M98" s="33">
        <f>'Off-farm feed'!$L$24</f>
        <v>5.9672097439024396E-7</v>
      </c>
      <c r="N98" s="33">
        <f>'Off-farm feed'!$M$24</f>
        <v>2.3084271612619523E-5</v>
      </c>
      <c r="O98" s="33"/>
      <c r="P98" s="33">
        <f>'Off-farm feed'!$O$24</f>
        <v>1.2899155935646844E-4</v>
      </c>
      <c r="Q98" s="33">
        <f>'Off-farm feed'!$P$24</f>
        <v>2.1000000000000001E-4</v>
      </c>
      <c r="R98" s="145">
        <f>'Parameters, country spec'!I29</f>
        <v>0.15840014745626804</v>
      </c>
    </row>
    <row r="99" spans="1:18" x14ac:dyDescent="0.25">
      <c r="B99" s="16" t="s">
        <v>198</v>
      </c>
      <c r="C99" s="16" t="s">
        <v>414</v>
      </c>
      <c r="D99" s="22" t="s">
        <v>26</v>
      </c>
      <c r="E99" s="22" t="s">
        <v>90</v>
      </c>
      <c r="F99" s="125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45">
        <f>'Parameters, country spec'!I30</f>
        <v>1.7258350982780408E-2</v>
      </c>
    </row>
    <row r="100" spans="1:18" x14ac:dyDescent="0.25">
      <c r="A100" s="80"/>
      <c r="B100" s="16" t="s">
        <v>415</v>
      </c>
      <c r="C100" s="81" t="s">
        <v>416</v>
      </c>
      <c r="D100" s="22" t="s">
        <v>26</v>
      </c>
      <c r="E100" s="22" t="s">
        <v>90</v>
      </c>
      <c r="F100" s="125">
        <f t="shared" si="22"/>
        <v>2.4132451487247003E-4</v>
      </c>
      <c r="G100" s="79">
        <f t="shared" ref="G100:N100" si="23">AVERAGE(G90:G98)</f>
        <v>1.0128677698542583E-4</v>
      </c>
      <c r="H100" s="79">
        <f t="shared" si="23"/>
        <v>9.1240771890477534E-5</v>
      </c>
      <c r="I100" s="79"/>
      <c r="J100" s="79"/>
      <c r="K100" s="79">
        <f t="shared" si="23"/>
        <v>1.4431207786555285E-5</v>
      </c>
      <c r="L100" s="79"/>
      <c r="M100" s="79">
        <f t="shared" si="23"/>
        <v>4.3247545088786089E-6</v>
      </c>
      <c r="N100" s="79">
        <f t="shared" si="23"/>
        <v>3.0041003701132749E-5</v>
      </c>
      <c r="O100" s="79"/>
      <c r="P100" s="79"/>
      <c r="Q100" s="79"/>
      <c r="R100" s="145">
        <f>'Parameters, country spec'!I31</f>
        <v>4.230959682913802E-2</v>
      </c>
    </row>
    <row r="101" spans="1:18" x14ac:dyDescent="0.25">
      <c r="A101" s="144"/>
      <c r="B101" s="24" t="s">
        <v>417</v>
      </c>
      <c r="C101" s="25"/>
      <c r="D101" s="99"/>
      <c r="E101" s="99"/>
      <c r="F101" s="45">
        <f t="shared" ref="F101:O101" si="24">SUMPRODUCT(F90:F100,$R$90:$R$100)</f>
        <v>3.3564945739443129E-4</v>
      </c>
      <c r="G101" s="45">
        <f t="shared" si="24"/>
        <v>1.3186204926538147E-4</v>
      </c>
      <c r="H101" s="45">
        <f t="shared" si="24"/>
        <v>8.7351683589370423E-5</v>
      </c>
      <c r="I101" s="45">
        <f t="shared" si="24"/>
        <v>0</v>
      </c>
      <c r="J101" s="45">
        <f t="shared" si="24"/>
        <v>0</v>
      </c>
      <c r="K101" s="45">
        <f t="shared" si="24"/>
        <v>1.1504311721721701E-5</v>
      </c>
      <c r="L101" s="45">
        <f t="shared" si="24"/>
        <v>0</v>
      </c>
      <c r="M101" s="45">
        <f t="shared" si="24"/>
        <v>5.8751318876724265E-6</v>
      </c>
      <c r="N101" s="45">
        <f t="shared" si="24"/>
        <v>2.8843808850952154E-5</v>
      </c>
      <c r="O101" s="45">
        <f t="shared" si="24"/>
        <v>0</v>
      </c>
      <c r="P101" s="45">
        <f>SUMPRODUCT(P90:P100,R90:R100)</f>
        <v>2.6069667559215382E-5</v>
      </c>
      <c r="Q101" s="45">
        <f>SUMPRODUCT(Q90:Q100,$R$90:$R$100)</f>
        <v>4.4142804520117767E-5</v>
      </c>
      <c r="R101" s="146"/>
    </row>
    <row r="102" spans="1:18" x14ac:dyDescent="0.25">
      <c r="A102" s="21" t="s">
        <v>403</v>
      </c>
      <c r="B102" s="16" t="s">
        <v>187</v>
      </c>
      <c r="C102" s="16" t="s">
        <v>404</v>
      </c>
      <c r="D102" s="22" t="s">
        <v>29</v>
      </c>
      <c r="E102" s="22" t="s">
        <v>91</v>
      </c>
      <c r="F102" s="315">
        <f>SUM(G102:Q102)</f>
        <v>3.2225099999999996E-4</v>
      </c>
      <c r="G102" s="305">
        <v>1.4999999999999999E-4</v>
      </c>
      <c r="H102" s="306">
        <v>1E-4</v>
      </c>
      <c r="I102" s="307"/>
      <c r="J102" s="308"/>
      <c r="K102" s="309">
        <v>2.19E-5</v>
      </c>
      <c r="L102" s="309"/>
      <c r="M102" s="309">
        <v>2.5100000000000001E-7</v>
      </c>
      <c r="N102" s="309">
        <v>5.0099999999999998E-5</v>
      </c>
      <c r="O102" s="309"/>
      <c r="P102" s="309"/>
      <c r="Q102" s="308"/>
      <c r="R102" s="310">
        <f>'Parameters, country spec'!J21</f>
        <v>0.16330174178855722</v>
      </c>
    </row>
    <row r="103" spans="1:18" x14ac:dyDescent="0.25">
      <c r="A103" s="21" t="s">
        <v>405</v>
      </c>
      <c r="B103" s="16" t="s">
        <v>189</v>
      </c>
      <c r="C103" s="16" t="s">
        <v>404</v>
      </c>
      <c r="D103" s="22" t="s">
        <v>29</v>
      </c>
      <c r="E103" s="22" t="s">
        <v>91</v>
      </c>
      <c r="F103" s="125">
        <f t="shared" ref="F103:F112" si="25">SUM(G103:Q103)</f>
        <v>3.1550999999999997E-4</v>
      </c>
      <c r="G103" s="96">
        <v>1.4999999999999999E-4</v>
      </c>
      <c r="H103" s="97">
        <v>1E-4</v>
      </c>
      <c r="I103" s="15"/>
      <c r="J103" s="13"/>
      <c r="K103" s="98">
        <v>1.24E-5</v>
      </c>
      <c r="L103" s="98"/>
      <c r="M103" s="98">
        <v>3.01E-6</v>
      </c>
      <c r="N103" s="98">
        <v>5.0099999999999998E-5</v>
      </c>
      <c r="O103" s="98"/>
      <c r="P103" s="98"/>
      <c r="Q103" s="13"/>
      <c r="R103" s="145">
        <f>'Parameters, country spec'!J22</f>
        <v>0.22370545528493602</v>
      </c>
    </row>
    <row r="104" spans="1:18" x14ac:dyDescent="0.25">
      <c r="A104" s="21" t="s">
        <v>406</v>
      </c>
      <c r="B104" s="16" t="s">
        <v>191</v>
      </c>
      <c r="C104" s="16" t="s">
        <v>404</v>
      </c>
      <c r="D104" s="22" t="s">
        <v>29</v>
      </c>
      <c r="E104" s="22" t="s">
        <v>91</v>
      </c>
      <c r="F104" s="125">
        <f t="shared" si="25"/>
        <v>3.0925099999999997E-4</v>
      </c>
      <c r="G104" s="96">
        <v>1.2999999999999999E-4</v>
      </c>
      <c r="H104" s="97">
        <v>1E-4</v>
      </c>
      <c r="I104" s="15"/>
      <c r="J104" s="13"/>
      <c r="K104" s="98">
        <v>2.8900000000000001E-5</v>
      </c>
      <c r="L104" s="98"/>
      <c r="M104" s="98">
        <v>2.5100000000000001E-7</v>
      </c>
      <c r="N104" s="98">
        <v>5.0099999999999998E-5</v>
      </c>
      <c r="O104" s="98"/>
      <c r="P104" s="98"/>
      <c r="Q104" s="13"/>
      <c r="R104" s="145">
        <f>'Parameters, country spec'!J23</f>
        <v>4.8907896416157566E-3</v>
      </c>
    </row>
    <row r="105" spans="1:18" x14ac:dyDescent="0.25">
      <c r="A105" s="21" t="s">
        <v>407</v>
      </c>
      <c r="B105" s="16" t="s">
        <v>192</v>
      </c>
      <c r="C105" s="16" t="s">
        <v>404</v>
      </c>
      <c r="D105" s="22" t="s">
        <v>29</v>
      </c>
      <c r="E105" s="22" t="s">
        <v>91</v>
      </c>
      <c r="F105" s="125">
        <f t="shared" si="25"/>
        <v>2.9759999999999997E-4</v>
      </c>
      <c r="G105" s="96">
        <v>1.2E-4</v>
      </c>
      <c r="H105" s="97">
        <v>1E-4</v>
      </c>
      <c r="I105" s="13"/>
      <c r="J105" s="13"/>
      <c r="K105" s="98">
        <v>2.7500000000000001E-5</v>
      </c>
      <c r="L105" s="98"/>
      <c r="M105" s="98">
        <v>0</v>
      </c>
      <c r="N105" s="98">
        <v>5.0099999999999998E-5</v>
      </c>
      <c r="O105" s="98"/>
      <c r="P105" s="98"/>
      <c r="Q105" s="13"/>
      <c r="R105" s="145">
        <f>'Parameters, country spec'!J24</f>
        <v>6.3855774971504811E-2</v>
      </c>
    </row>
    <row r="106" spans="1:18" x14ac:dyDescent="0.25">
      <c r="A106" s="21" t="s">
        <v>408</v>
      </c>
      <c r="B106" s="16" t="s">
        <v>193</v>
      </c>
      <c r="C106" s="16" t="s">
        <v>404</v>
      </c>
      <c r="D106" s="22" t="s">
        <v>29</v>
      </c>
      <c r="E106" s="22" t="s">
        <v>91</v>
      </c>
      <c r="F106" s="125">
        <f t="shared" si="25"/>
        <v>3.3835099999999997E-4</v>
      </c>
      <c r="G106" s="96">
        <v>1.7000000000000001E-4</v>
      </c>
      <c r="H106" s="97">
        <v>1E-4</v>
      </c>
      <c r="I106" s="13"/>
      <c r="J106" s="13"/>
      <c r="K106" s="98">
        <v>1.8E-5</v>
      </c>
      <c r="L106" s="98"/>
      <c r="M106" s="98">
        <v>2.5100000000000001E-7</v>
      </c>
      <c r="N106" s="98">
        <v>5.0099999999999998E-5</v>
      </c>
      <c r="O106" s="98"/>
      <c r="P106" s="98"/>
      <c r="Q106" s="13"/>
      <c r="R106" s="145">
        <f>'Parameters, country spec'!J25</f>
        <v>0.25675160576024147</v>
      </c>
    </row>
    <row r="107" spans="1:18" x14ac:dyDescent="0.25">
      <c r="A107" s="21" t="s">
        <v>409</v>
      </c>
      <c r="B107" s="16" t="s">
        <v>194</v>
      </c>
      <c r="C107" s="16" t="s">
        <v>410</v>
      </c>
      <c r="D107" s="22" t="s">
        <v>29</v>
      </c>
      <c r="E107" s="22" t="s">
        <v>91</v>
      </c>
      <c r="F107" s="125">
        <f t="shared" si="25"/>
        <v>1.8650000000000001E-4</v>
      </c>
      <c r="G107" s="96">
        <v>0</v>
      </c>
      <c r="H107" s="97">
        <v>1E-4</v>
      </c>
      <c r="I107" s="15"/>
      <c r="J107" s="13"/>
      <c r="K107" s="98">
        <v>3.6399999999999997E-5</v>
      </c>
      <c r="L107" s="98"/>
      <c r="M107" s="98">
        <v>0</v>
      </c>
      <c r="N107" s="98">
        <v>5.0099999999999998E-5</v>
      </c>
      <c r="O107" s="98"/>
      <c r="P107" s="98"/>
      <c r="Q107" s="13"/>
      <c r="R107" s="145">
        <f>'Parameters, country spec'!J26</f>
        <v>4.3260384773615755E-3</v>
      </c>
    </row>
    <row r="108" spans="1:18" x14ac:dyDescent="0.25">
      <c r="A108" s="21" t="s">
        <v>411</v>
      </c>
      <c r="B108" s="16" t="s">
        <v>195</v>
      </c>
      <c r="C108" s="16" t="s">
        <v>410</v>
      </c>
      <c r="D108" s="22" t="s">
        <v>29</v>
      </c>
      <c r="E108" s="22" t="s">
        <v>91</v>
      </c>
      <c r="F108" s="125">
        <f t="shared" si="25"/>
        <v>1.8700000000000002E-4</v>
      </c>
      <c r="G108" s="96">
        <v>7.5000000000000002E-6</v>
      </c>
      <c r="H108" s="97">
        <v>1E-4</v>
      </c>
      <c r="I108" s="15"/>
      <c r="J108" s="13"/>
      <c r="K108" s="98">
        <v>2.94E-5</v>
      </c>
      <c r="L108" s="98"/>
      <c r="M108" s="98">
        <v>0</v>
      </c>
      <c r="N108" s="98">
        <v>5.0099999999999998E-5</v>
      </c>
      <c r="O108" s="98"/>
      <c r="P108" s="98"/>
      <c r="Q108" s="13"/>
      <c r="R108" s="145">
        <f>'Parameters, country spec'!J27</f>
        <v>4.2495953847608006E-3</v>
      </c>
    </row>
    <row r="109" spans="1:18" x14ac:dyDescent="0.25">
      <c r="B109" s="17" t="s">
        <v>196</v>
      </c>
      <c r="C109" s="16" t="s">
        <v>412</v>
      </c>
      <c r="D109" s="22" t="s">
        <v>460</v>
      </c>
      <c r="E109" s="22"/>
      <c r="F109" s="125">
        <f t="shared" si="25"/>
        <v>3.8246443678729497E-4</v>
      </c>
      <c r="G109" s="33">
        <f>'Off-farm feed'!$F$75</f>
        <v>1.684774766302073E-4</v>
      </c>
      <c r="H109" s="33">
        <f>'Off-farm feed'!$G$75</f>
        <v>4.5862068965517246E-5</v>
      </c>
      <c r="I109" s="33"/>
      <c r="J109" s="33"/>
      <c r="K109" s="33">
        <f>'Off-farm feed'!$J$75</f>
        <v>1.0936279334641699E-5</v>
      </c>
      <c r="L109" s="33"/>
      <c r="M109" s="33">
        <f>'Off-farm feed'!$L$75</f>
        <v>6.4606960551724142E-7</v>
      </c>
      <c r="N109" s="33">
        <f>'Off-farm feed'!$M$75</f>
        <v>2.1884761697575221E-5</v>
      </c>
      <c r="O109" s="33"/>
      <c r="P109" s="33">
        <f>'Off-farm feed'!$O$75</f>
        <v>4.5962128379923281E-5</v>
      </c>
      <c r="Q109" s="33">
        <f>'Off-farm feed'!$P$75</f>
        <v>8.8695652173913049E-5</v>
      </c>
      <c r="R109" s="145">
        <f>'Parameters, country spec'!J28</f>
        <v>3.1180103544946641E-2</v>
      </c>
    </row>
    <row r="110" spans="1:18" x14ac:dyDescent="0.25">
      <c r="B110" s="17" t="s">
        <v>413</v>
      </c>
      <c r="C110" s="16" t="s">
        <v>412</v>
      </c>
      <c r="D110" s="22" t="s">
        <v>437</v>
      </c>
      <c r="E110" s="22"/>
      <c r="F110" s="125">
        <f t="shared" si="25"/>
        <v>4.7266553697523981E-4</v>
      </c>
      <c r="G110" s="33">
        <f>'Off-farm feed'!$F$24</f>
        <v>1.5603516238625262E-5</v>
      </c>
      <c r="H110" s="33">
        <f>'Off-farm feed'!$G$24</f>
        <v>7.5304878048780503E-5</v>
      </c>
      <c r="I110" s="33"/>
      <c r="J110" s="33"/>
      <c r="K110" s="33">
        <f>'Off-farm feed'!$J$24</f>
        <v>1.908459074435586E-5</v>
      </c>
      <c r="L110" s="33"/>
      <c r="M110" s="33">
        <f>'Off-farm feed'!$L$24</f>
        <v>5.9672097439024396E-7</v>
      </c>
      <c r="N110" s="33">
        <f>'Off-farm feed'!$M$24</f>
        <v>2.3084271612619523E-5</v>
      </c>
      <c r="O110" s="33"/>
      <c r="P110" s="33">
        <f>'Off-farm feed'!$O$24</f>
        <v>1.2899155935646844E-4</v>
      </c>
      <c r="Q110" s="33">
        <f>'Off-farm feed'!$P$24</f>
        <v>2.1000000000000001E-4</v>
      </c>
      <c r="R110" s="145">
        <f>'Parameters, country spec'!J29</f>
        <v>0.10875512574448185</v>
      </c>
    </row>
    <row r="111" spans="1:18" x14ac:dyDescent="0.25">
      <c r="B111" s="16" t="s">
        <v>198</v>
      </c>
      <c r="C111" s="16" t="s">
        <v>414</v>
      </c>
      <c r="D111" s="22" t="s">
        <v>29</v>
      </c>
      <c r="E111" s="22" t="s">
        <v>91</v>
      </c>
      <c r="F111" s="125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45">
        <f>'Parameters, country spec'!J30</f>
        <v>5.3222180084939459E-2</v>
      </c>
    </row>
    <row r="112" spans="1:18" x14ac:dyDescent="0.25">
      <c r="A112" s="80"/>
      <c r="B112" s="16" t="s">
        <v>415</v>
      </c>
      <c r="C112" s="81" t="s">
        <v>416</v>
      </c>
      <c r="D112" s="22" t="s">
        <v>29</v>
      </c>
      <c r="E112" s="22" t="s">
        <v>91</v>
      </c>
      <c r="F112" s="125">
        <f t="shared" si="25"/>
        <v>2.5977151487247002E-4</v>
      </c>
      <c r="G112" s="79">
        <f t="shared" ref="G112:N112" si="26">AVERAGE(G102:G110)</f>
        <v>1.0128677698542583E-4</v>
      </c>
      <c r="H112" s="79">
        <f t="shared" si="26"/>
        <v>9.1240771890477534E-5</v>
      </c>
      <c r="I112" s="79"/>
      <c r="J112" s="79"/>
      <c r="K112" s="79">
        <f t="shared" si="26"/>
        <v>2.2724541119888618E-5</v>
      </c>
      <c r="L112" s="79"/>
      <c r="M112" s="79">
        <f t="shared" si="26"/>
        <v>5.561989533230539E-7</v>
      </c>
      <c r="N112" s="79">
        <f t="shared" si="26"/>
        <v>4.3963225923354967E-5</v>
      </c>
      <c r="O112" s="79"/>
      <c r="P112" s="79"/>
      <c r="Q112" s="79"/>
      <c r="R112" s="145">
        <f>'Parameters, country spec'!J31</f>
        <v>8.5761589316654452E-2</v>
      </c>
    </row>
    <row r="113" spans="1:18" x14ac:dyDescent="0.25">
      <c r="A113" s="144"/>
      <c r="B113" s="24" t="s">
        <v>417</v>
      </c>
      <c r="C113" s="25"/>
      <c r="D113" s="99"/>
      <c r="E113" s="99"/>
      <c r="F113" s="45">
        <f t="shared" ref="F113:O113" si="27">SUMPRODUCT(F102:F112,$R$102:$R$112)</f>
        <v>3.1780355970736603E-4</v>
      </c>
      <c r="G113" s="45">
        <f t="shared" si="27"/>
        <v>1.2566584266358196E-4</v>
      </c>
      <c r="H113" s="45">
        <f t="shared" si="27"/>
        <v>8.9552829279201772E-5</v>
      </c>
      <c r="I113" s="45">
        <f t="shared" si="27"/>
        <v>0</v>
      </c>
      <c r="J113" s="45">
        <f t="shared" si="27"/>
        <v>0</v>
      </c>
      <c r="K113" s="45">
        <f t="shared" si="27"/>
        <v>1.751700238280226E-5</v>
      </c>
      <c r="L113" s="45">
        <f t="shared" si="27"/>
        <v>0</v>
      </c>
      <c r="M113" s="45">
        <f t="shared" si="27"/>
        <v>9.127558868571474E-7</v>
      </c>
      <c r="N113" s="45">
        <f t="shared" si="27"/>
        <v>4.3089416289990943E-5</v>
      </c>
      <c r="O113" s="45">
        <f t="shared" si="27"/>
        <v>0</v>
      </c>
      <c r="P113" s="45">
        <f>SUMPRODUCT(P102:P112,R102:R112)</f>
        <v>1.5461597179821655E-5</v>
      </c>
      <c r="Q113" s="45">
        <f>SUMPRODUCT(Q102:Q112,$R$102:$R$112)</f>
        <v>2.5604116025110371E-5</v>
      </c>
      <c r="R113" s="146"/>
    </row>
    <row r="114" spans="1:18" x14ac:dyDescent="0.25">
      <c r="A114" s="21" t="s">
        <v>403</v>
      </c>
      <c r="B114" s="16" t="s">
        <v>187</v>
      </c>
      <c r="C114" s="16" t="s">
        <v>404</v>
      </c>
      <c r="D114" s="22" t="s">
        <v>33</v>
      </c>
      <c r="E114" s="22" t="s">
        <v>92</v>
      </c>
      <c r="F114" s="315">
        <f>SUM(G114:Q114)</f>
        <v>3.232E-4</v>
      </c>
      <c r="G114" s="305">
        <v>1.4999999999999999E-4</v>
      </c>
      <c r="H114" s="306">
        <v>1E-4</v>
      </c>
      <c r="I114" s="307"/>
      <c r="J114" s="308"/>
      <c r="K114" s="309">
        <v>2.48E-5</v>
      </c>
      <c r="L114" s="309"/>
      <c r="M114" s="309">
        <v>1.9300000000000002E-5</v>
      </c>
      <c r="N114" s="309">
        <v>2.9099999999999999E-5</v>
      </c>
      <c r="O114" s="309"/>
      <c r="P114" s="309"/>
      <c r="Q114" s="308"/>
      <c r="R114" s="310">
        <f>'Parameters, country spec'!K21</f>
        <v>0.22020467449872944</v>
      </c>
    </row>
    <row r="115" spans="1:18" x14ac:dyDescent="0.25">
      <c r="A115" s="21" t="s">
        <v>405</v>
      </c>
      <c r="B115" s="16" t="s">
        <v>189</v>
      </c>
      <c r="C115" s="16" t="s">
        <v>404</v>
      </c>
      <c r="D115" s="22" t="s">
        <v>33</v>
      </c>
      <c r="E115" s="22" t="s">
        <v>92</v>
      </c>
      <c r="F115" s="125">
        <f t="shared" ref="F115:F124" si="28">SUM(G115:Q115)</f>
        <v>3.4489999999999998E-4</v>
      </c>
      <c r="G115" s="96">
        <v>1.4999999999999999E-4</v>
      </c>
      <c r="H115" s="97">
        <v>1E-4</v>
      </c>
      <c r="I115" s="15"/>
      <c r="J115" s="13"/>
      <c r="K115" s="98">
        <v>6.8000000000000001E-6</v>
      </c>
      <c r="L115" s="98"/>
      <c r="M115" s="98">
        <v>5.8999999999999998E-5</v>
      </c>
      <c r="N115" s="98">
        <v>2.9099999999999999E-5</v>
      </c>
      <c r="O115" s="98"/>
      <c r="P115" s="98"/>
      <c r="Q115" s="13"/>
      <c r="R115" s="145">
        <f>'Parameters, country spec'!K22</f>
        <v>0.29043024005341855</v>
      </c>
    </row>
    <row r="116" spans="1:18" x14ac:dyDescent="0.25">
      <c r="A116" s="21" t="s">
        <v>406</v>
      </c>
      <c r="B116" s="16" t="s">
        <v>191</v>
      </c>
      <c r="C116" s="16" t="s">
        <v>404</v>
      </c>
      <c r="D116" s="22" t="s">
        <v>33</v>
      </c>
      <c r="E116" s="22" t="s">
        <v>92</v>
      </c>
      <c r="F116" s="125">
        <f t="shared" si="28"/>
        <v>5.8219999999999995E-4</v>
      </c>
      <c r="G116" s="96">
        <v>1.2999999999999999E-4</v>
      </c>
      <c r="H116" s="97">
        <v>1E-4</v>
      </c>
      <c r="I116" s="15"/>
      <c r="J116" s="13"/>
      <c r="K116" s="98">
        <v>3.6100000000000003E-5</v>
      </c>
      <c r="L116" s="98"/>
      <c r="M116" s="98">
        <v>2.8699999999999998E-4</v>
      </c>
      <c r="N116" s="98">
        <v>2.9099999999999999E-5</v>
      </c>
      <c r="O116" s="98"/>
      <c r="P116" s="98"/>
      <c r="Q116" s="13"/>
      <c r="R116" s="145">
        <f>'Parameters, country spec'!K23</f>
        <v>3.4333767030039916E-2</v>
      </c>
    </row>
    <row r="117" spans="1:18" x14ac:dyDescent="0.25">
      <c r="A117" s="21" t="s">
        <v>407</v>
      </c>
      <c r="B117" s="16" t="s">
        <v>192</v>
      </c>
      <c r="C117" s="16" t="s">
        <v>404</v>
      </c>
      <c r="D117" s="22" t="s">
        <v>33</v>
      </c>
      <c r="E117" s="22" t="s">
        <v>92</v>
      </c>
      <c r="F117" s="125">
        <f t="shared" si="28"/>
        <v>2.8435299999999999E-4</v>
      </c>
      <c r="G117" s="96">
        <v>1.2E-4</v>
      </c>
      <c r="H117" s="97">
        <v>1E-4</v>
      </c>
      <c r="I117" s="13"/>
      <c r="J117" s="13"/>
      <c r="K117" s="98">
        <v>3.4499999999999998E-5</v>
      </c>
      <c r="L117" s="98"/>
      <c r="M117" s="98">
        <v>7.5300000000000003E-7</v>
      </c>
      <c r="N117" s="98">
        <v>2.9099999999999999E-5</v>
      </c>
      <c r="O117" s="98"/>
      <c r="P117" s="98"/>
      <c r="Q117" s="13"/>
      <c r="R117" s="145">
        <f>'Parameters, country spec'!K24</f>
        <v>9.062638357287928E-3</v>
      </c>
    </row>
    <row r="118" spans="1:18" x14ac:dyDescent="0.25">
      <c r="A118" s="21" t="s">
        <v>408</v>
      </c>
      <c r="B118" s="16" t="s">
        <v>193</v>
      </c>
      <c r="C118" s="16" t="s">
        <v>404</v>
      </c>
      <c r="D118" s="22" t="s">
        <v>33</v>
      </c>
      <c r="E118" s="22" t="s">
        <v>92</v>
      </c>
      <c r="F118" s="125">
        <f t="shared" si="28"/>
        <v>3.3172999999999997E-4</v>
      </c>
      <c r="G118" s="96">
        <v>1.7000000000000001E-4</v>
      </c>
      <c r="H118" s="97">
        <v>1E-4</v>
      </c>
      <c r="I118" s="13"/>
      <c r="J118" s="13"/>
      <c r="K118" s="98">
        <v>2.3600000000000001E-5</v>
      </c>
      <c r="L118" s="98"/>
      <c r="M118" s="98">
        <v>9.0299999999999999E-6</v>
      </c>
      <c r="N118" s="98">
        <v>2.9099999999999999E-5</v>
      </c>
      <c r="O118" s="98"/>
      <c r="P118" s="98"/>
      <c r="Q118" s="13"/>
      <c r="R118" s="145">
        <f>'Parameters, country spec'!K25</f>
        <v>0.18653591098002148</v>
      </c>
    </row>
    <row r="119" spans="1:18" x14ac:dyDescent="0.25">
      <c r="A119" s="21" t="s">
        <v>409</v>
      </c>
      <c r="B119" s="16" t="s">
        <v>194</v>
      </c>
      <c r="C119" s="16" t="s">
        <v>410</v>
      </c>
      <c r="D119" s="22" t="s">
        <v>33</v>
      </c>
      <c r="E119" s="22" t="s">
        <v>92</v>
      </c>
      <c r="F119" s="125">
        <f t="shared" si="28"/>
        <v>1.8352E-4</v>
      </c>
      <c r="G119" s="96">
        <v>0</v>
      </c>
      <c r="H119" s="97">
        <v>1E-4</v>
      </c>
      <c r="I119" s="15"/>
      <c r="J119" s="13"/>
      <c r="K119" s="98">
        <v>4.99E-5</v>
      </c>
      <c r="L119" s="98"/>
      <c r="M119" s="98">
        <v>4.5199999999999999E-6</v>
      </c>
      <c r="N119" s="98">
        <v>2.9099999999999999E-5</v>
      </c>
      <c r="O119" s="98"/>
      <c r="P119" s="98"/>
      <c r="Q119" s="13"/>
      <c r="R119" s="145">
        <f>'Parameters, country spec'!K26</f>
        <v>6.7614174404510841E-3</v>
      </c>
    </row>
    <row r="120" spans="1:18" x14ac:dyDescent="0.25">
      <c r="A120" s="21" t="s">
        <v>411</v>
      </c>
      <c r="B120" s="16" t="s">
        <v>195</v>
      </c>
      <c r="C120" s="16" t="s">
        <v>410</v>
      </c>
      <c r="D120" s="22" t="s">
        <v>33</v>
      </c>
      <c r="E120" s="22" t="s">
        <v>92</v>
      </c>
      <c r="F120" s="125">
        <f t="shared" si="28"/>
        <v>2.4729999999999999E-4</v>
      </c>
      <c r="G120" s="96">
        <v>7.5000000000000002E-6</v>
      </c>
      <c r="H120" s="97">
        <v>1E-4</v>
      </c>
      <c r="I120" s="15"/>
      <c r="J120" s="13"/>
      <c r="K120" s="98">
        <v>5.7800000000000002E-5</v>
      </c>
      <c r="L120" s="98"/>
      <c r="M120" s="98">
        <v>5.2899999999999998E-5</v>
      </c>
      <c r="N120" s="98">
        <v>2.9099999999999999E-5</v>
      </c>
      <c r="O120" s="98"/>
      <c r="P120" s="98"/>
      <c r="Q120" s="13"/>
      <c r="R120" s="145">
        <f>'Parameters, country spec'!K27</f>
        <v>6.6419400786463401E-3</v>
      </c>
    </row>
    <row r="121" spans="1:18" x14ac:dyDescent="0.25">
      <c r="B121" s="17" t="s">
        <v>196</v>
      </c>
      <c r="C121" s="16" t="s">
        <v>412</v>
      </c>
      <c r="D121" s="22" t="s">
        <v>460</v>
      </c>
      <c r="E121" s="22"/>
      <c r="F121" s="125">
        <f t="shared" si="28"/>
        <v>3.8246443678729497E-4</v>
      </c>
      <c r="G121" s="33">
        <f>'Off-farm feed'!$F$75</f>
        <v>1.684774766302073E-4</v>
      </c>
      <c r="H121" s="33">
        <f>'Off-farm feed'!$G$75</f>
        <v>4.5862068965517246E-5</v>
      </c>
      <c r="I121" s="33"/>
      <c r="J121" s="33"/>
      <c r="K121" s="33">
        <f>'Off-farm feed'!$J$75</f>
        <v>1.0936279334641699E-5</v>
      </c>
      <c r="L121" s="33"/>
      <c r="M121" s="33">
        <f>'Off-farm feed'!$L$75</f>
        <v>6.4606960551724142E-7</v>
      </c>
      <c r="N121" s="33">
        <f>'Off-farm feed'!$M$75</f>
        <v>2.1884761697575221E-5</v>
      </c>
      <c r="O121" s="33"/>
      <c r="P121" s="33">
        <f>'Off-farm feed'!$O$75</f>
        <v>4.5962128379923281E-5</v>
      </c>
      <c r="Q121" s="33">
        <f>'Off-farm feed'!$P$75</f>
        <v>8.8695652173913049E-5</v>
      </c>
      <c r="R121" s="145">
        <f>'Parameters, country spec'!K28</f>
        <v>1.9581705928834556E-2</v>
      </c>
    </row>
    <row r="122" spans="1:18" x14ac:dyDescent="0.25">
      <c r="B122" s="17" t="s">
        <v>413</v>
      </c>
      <c r="C122" s="16" t="s">
        <v>412</v>
      </c>
      <c r="D122" s="22" t="s">
        <v>437</v>
      </c>
      <c r="E122" s="22"/>
      <c r="F122" s="125">
        <f t="shared" si="28"/>
        <v>4.7266553697523981E-4</v>
      </c>
      <c r="G122" s="33">
        <f>'Off-farm feed'!$F$24</f>
        <v>1.5603516238625262E-5</v>
      </c>
      <c r="H122" s="33">
        <f>'Off-farm feed'!$G$24</f>
        <v>7.5304878048780503E-5</v>
      </c>
      <c r="I122" s="33"/>
      <c r="J122" s="33"/>
      <c r="K122" s="33">
        <f>'Off-farm feed'!$J$24</f>
        <v>1.908459074435586E-5</v>
      </c>
      <c r="L122" s="33"/>
      <c r="M122" s="33">
        <f>'Off-farm feed'!$L$24</f>
        <v>5.9672097439024396E-7</v>
      </c>
      <c r="N122" s="33">
        <f>'Off-farm feed'!$M$24</f>
        <v>2.3084271612619523E-5</v>
      </c>
      <c r="O122" s="33"/>
      <c r="P122" s="33">
        <f>'Off-farm feed'!$O$24</f>
        <v>1.2899155935646844E-4</v>
      </c>
      <c r="Q122" s="33">
        <f>'Off-farm feed'!$P$24</f>
        <v>2.1000000000000001E-4</v>
      </c>
      <c r="R122" s="145">
        <f>'Parameters, country spec'!K29</f>
        <v>0.16739124532505686</v>
      </c>
    </row>
    <row r="123" spans="1:18" x14ac:dyDescent="0.25">
      <c r="B123" s="16" t="s">
        <v>198</v>
      </c>
      <c r="C123" s="16" t="s">
        <v>414</v>
      </c>
      <c r="D123" s="22" t="s">
        <v>33</v>
      </c>
      <c r="E123" s="22" t="s">
        <v>92</v>
      </c>
      <c r="F123" s="125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45">
        <f>'Parameters, country spec'!K30</f>
        <v>2.5717267166106915E-2</v>
      </c>
    </row>
    <row r="124" spans="1:18" x14ac:dyDescent="0.25">
      <c r="A124" s="80"/>
      <c r="B124" s="16" t="s">
        <v>415</v>
      </c>
      <c r="C124" s="81" t="s">
        <v>416</v>
      </c>
      <c r="D124" s="22" t="s">
        <v>33</v>
      </c>
      <c r="E124" s="22" t="s">
        <v>92</v>
      </c>
      <c r="F124" s="125">
        <f t="shared" si="28"/>
        <v>2.9763151487246999E-4</v>
      </c>
      <c r="G124" s="79">
        <f t="shared" ref="G124:N124" si="29">AVERAGE(G114:G122)</f>
        <v>1.0128677698542583E-4</v>
      </c>
      <c r="H124" s="79">
        <f t="shared" si="29"/>
        <v>9.1240771890477534E-5</v>
      </c>
      <c r="I124" s="79"/>
      <c r="J124" s="79"/>
      <c r="K124" s="79">
        <f t="shared" si="29"/>
        <v>2.9280096675444174E-5</v>
      </c>
      <c r="L124" s="79"/>
      <c r="M124" s="79">
        <f t="shared" si="29"/>
        <v>4.8193976731100822E-5</v>
      </c>
      <c r="N124" s="79">
        <f t="shared" si="29"/>
        <v>2.7629892590021639E-5</v>
      </c>
      <c r="O124" s="79"/>
      <c r="P124" s="79"/>
      <c r="Q124" s="79"/>
      <c r="R124" s="145">
        <f>'Parameters, country spec'!K31</f>
        <v>3.3339193141406827E-2</v>
      </c>
    </row>
    <row r="125" spans="1:18" x14ac:dyDescent="0.25">
      <c r="A125" s="42"/>
      <c r="B125" s="43" t="s">
        <v>417</v>
      </c>
      <c r="C125" s="44"/>
      <c r="D125" s="99"/>
      <c r="E125" s="99"/>
      <c r="F125" s="45">
        <f t="shared" ref="F125:O125" si="30">SUMPRODUCT(F114:F124,$R$114:$R$124)</f>
        <v>3.5520078656686688E-4</v>
      </c>
      <c r="G125" s="45">
        <f t="shared" si="30"/>
        <v>1.2319485075502117E-4</v>
      </c>
      <c r="H125" s="45">
        <f t="shared" si="30"/>
        <v>9.1942387423694737E-5</v>
      </c>
      <c r="I125" s="45">
        <f t="shared" si="30"/>
        <v>0</v>
      </c>
      <c r="J125" s="45">
        <f t="shared" si="30"/>
        <v>0</v>
      </c>
      <c r="K125" s="45">
        <f t="shared" si="30"/>
        <v>1.8496577154360407E-5</v>
      </c>
      <c r="L125" s="45">
        <f t="shared" si="30"/>
        <v>0</v>
      </c>
      <c r="M125" s="45">
        <f t="shared" si="30"/>
        <v>3.5031574508952683E-5</v>
      </c>
      <c r="N125" s="45">
        <f t="shared" si="30"/>
        <v>2.7154348389640936E-5</v>
      </c>
      <c r="O125" s="45">
        <f t="shared" si="30"/>
        <v>0</v>
      </c>
      <c r="P125" s="45">
        <f>SUMPRODUCT(P114:P124,R114:R124)</f>
        <v>2.2492074638899242E-5</v>
      </c>
      <c r="Q125" s="45">
        <f>SUMPRODUCT(Q114:Q124,$R$114:$R$124)</f>
        <v>3.6888973696297706E-5</v>
      </c>
      <c r="R125" s="146"/>
    </row>
    <row r="126" spans="1:18" x14ac:dyDescent="0.25">
      <c r="A126" s="311" t="s">
        <v>403</v>
      </c>
      <c r="B126" s="293" t="s">
        <v>187</v>
      </c>
      <c r="C126" s="293" t="s">
        <v>404</v>
      </c>
      <c r="D126" s="22" t="s">
        <v>37</v>
      </c>
      <c r="E126" s="22" t="s">
        <v>93</v>
      </c>
      <c r="F126" s="315">
        <f>SUM(G126:Q126)</f>
        <v>2.0655355021385218E-4</v>
      </c>
      <c r="G126" s="305">
        <v>8.0930691575108743E-5</v>
      </c>
      <c r="H126" s="306">
        <v>9.5000000000000005E-5</v>
      </c>
      <c r="I126" s="307"/>
      <c r="J126" s="308"/>
      <c r="K126" s="309">
        <v>1.8076858638743458E-5</v>
      </c>
      <c r="L126" s="309"/>
      <c r="M126" s="309">
        <v>0</v>
      </c>
      <c r="N126" s="309">
        <v>1.2546000000000003E-5</v>
      </c>
      <c r="O126" s="309"/>
      <c r="P126" s="309"/>
      <c r="Q126" s="308"/>
      <c r="R126" s="310">
        <f>'Parameters, country spec'!L21</f>
        <v>0.26218798715146852</v>
      </c>
    </row>
    <row r="127" spans="1:18" x14ac:dyDescent="0.25">
      <c r="A127" s="21" t="s">
        <v>405</v>
      </c>
      <c r="B127" s="16" t="s">
        <v>189</v>
      </c>
      <c r="C127" s="16" t="s">
        <v>404</v>
      </c>
      <c r="D127" s="22" t="s">
        <v>37</v>
      </c>
      <c r="E127" s="22" t="s">
        <v>93</v>
      </c>
      <c r="F127" s="125">
        <f t="shared" ref="F127:F136" si="31">SUM(G127:Q127)</f>
        <v>1.9871902439798405E-4</v>
      </c>
      <c r="G127" s="96">
        <v>7.8815626877616721E-5</v>
      </c>
      <c r="H127" s="97">
        <v>9.5000000000000005E-5</v>
      </c>
      <c r="I127" s="15"/>
      <c r="J127" s="13"/>
      <c r="K127" s="98">
        <v>1.2357397520367332E-5</v>
      </c>
      <c r="L127" s="98"/>
      <c r="M127" s="98">
        <v>0</v>
      </c>
      <c r="N127" s="98">
        <v>1.2546000000000003E-5</v>
      </c>
      <c r="O127" s="98"/>
      <c r="P127" s="98"/>
      <c r="Q127" s="13"/>
      <c r="R127" s="145">
        <f>'Parameters, country spec'!L22</f>
        <v>2.7145227912969191E-3</v>
      </c>
    </row>
    <row r="128" spans="1:18" x14ac:dyDescent="0.25">
      <c r="A128" s="21" t="s">
        <v>406</v>
      </c>
      <c r="B128" s="16" t="s">
        <v>191</v>
      </c>
      <c r="C128" s="16" t="s">
        <v>404</v>
      </c>
      <c r="D128" s="22" t="s">
        <v>37</v>
      </c>
      <c r="E128" s="22" t="s">
        <v>93</v>
      </c>
      <c r="F128" s="125">
        <f t="shared" si="31"/>
        <v>1.9956753055993292E-4</v>
      </c>
      <c r="G128" s="96">
        <v>7.134532609711123E-5</v>
      </c>
      <c r="H128" s="97">
        <v>9.5000000000000005E-5</v>
      </c>
      <c r="I128" s="15"/>
      <c r="J128" s="13"/>
      <c r="K128" s="98">
        <v>2.0676204462821701E-5</v>
      </c>
      <c r="L128" s="98"/>
      <c r="M128" s="98">
        <v>0</v>
      </c>
      <c r="N128" s="98">
        <v>1.2546000000000003E-5</v>
      </c>
      <c r="O128" s="98"/>
      <c r="P128" s="98"/>
      <c r="Q128" s="13"/>
      <c r="R128" s="145">
        <f>'Parameters, country spec'!L23</f>
        <v>4.4514084693111092E-2</v>
      </c>
    </row>
    <row r="129" spans="1:18" x14ac:dyDescent="0.25">
      <c r="A129" s="21" t="s">
        <v>407</v>
      </c>
      <c r="B129" s="16" t="s">
        <v>192</v>
      </c>
      <c r="C129" s="16" t="s">
        <v>404</v>
      </c>
      <c r="D129" s="22" t="s">
        <v>37</v>
      </c>
      <c r="E129" s="22" t="s">
        <v>93</v>
      </c>
      <c r="F129" s="125">
        <f t="shared" si="31"/>
        <v>1.840193507270561E-4</v>
      </c>
      <c r="G129" s="96">
        <v>6.2842418816841267E-5</v>
      </c>
      <c r="H129" s="97">
        <v>9.5000000000000005E-5</v>
      </c>
      <c r="I129" s="13"/>
      <c r="J129" s="13"/>
      <c r="K129" s="98">
        <v>1.3630931910214812E-5</v>
      </c>
      <c r="L129" s="98"/>
      <c r="M129" s="98">
        <v>0</v>
      </c>
      <c r="N129" s="98">
        <v>1.2546000000000003E-5</v>
      </c>
      <c r="O129" s="98"/>
      <c r="P129" s="98"/>
      <c r="Q129" s="13"/>
      <c r="R129" s="145">
        <f>'Parameters, country spec'!L24</f>
        <v>2.791271755500447E-2</v>
      </c>
    </row>
    <row r="130" spans="1:18" x14ac:dyDescent="0.25">
      <c r="A130" s="21" t="s">
        <v>408</v>
      </c>
      <c r="B130" s="16" t="s">
        <v>193</v>
      </c>
      <c r="C130" s="16" t="s">
        <v>404</v>
      </c>
      <c r="D130" s="22" t="s">
        <v>37</v>
      </c>
      <c r="E130" s="22" t="s">
        <v>93</v>
      </c>
      <c r="F130" s="125">
        <f>SUM(G130:Q130)</f>
        <v>2.1322851393583626E-4</v>
      </c>
      <c r="G130" s="96">
        <v>9.2769916609057948E-5</v>
      </c>
      <c r="H130" s="97">
        <v>9.5000000000000005E-5</v>
      </c>
      <c r="I130" s="13"/>
      <c r="J130" s="13"/>
      <c r="K130" s="98">
        <v>1.291259732677831E-5</v>
      </c>
      <c r="L130" s="98"/>
      <c r="M130" s="98">
        <v>0</v>
      </c>
      <c r="N130" s="98">
        <v>1.2546000000000003E-5</v>
      </c>
      <c r="O130" s="98"/>
      <c r="P130" s="98"/>
      <c r="Q130" s="13"/>
      <c r="R130" s="145">
        <f>'Parameters, country spec'!L25</f>
        <v>0.32729029603711124</v>
      </c>
    </row>
    <row r="131" spans="1:18" x14ac:dyDescent="0.25">
      <c r="A131" s="21" t="s">
        <v>409</v>
      </c>
      <c r="B131" s="16" t="s">
        <v>194</v>
      </c>
      <c r="C131" s="16" t="s">
        <v>410</v>
      </c>
      <c r="D131" s="22" t="s">
        <v>37</v>
      </c>
      <c r="E131" s="22" t="s">
        <v>93</v>
      </c>
      <c r="F131" s="125">
        <f t="shared" si="31"/>
        <v>1.3280125199673234E-4</v>
      </c>
      <c r="G131" s="96">
        <v>0</v>
      </c>
      <c r="H131" s="97">
        <v>9.5000000000000005E-5</v>
      </c>
      <c r="I131" s="15"/>
      <c r="J131" s="13"/>
      <c r="K131" s="98">
        <v>2.5255251996732317E-5</v>
      </c>
      <c r="L131" s="98"/>
      <c r="M131" s="98">
        <v>0</v>
      </c>
      <c r="N131" s="98">
        <v>1.2546000000000003E-5</v>
      </c>
      <c r="O131" s="98"/>
      <c r="P131" s="98"/>
      <c r="Q131" s="13"/>
      <c r="R131" s="145">
        <f>'Parameters, country spec'!L26</f>
        <v>4.8974646420038275E-3</v>
      </c>
    </row>
    <row r="132" spans="1:18" x14ac:dyDescent="0.25">
      <c r="A132" s="21" t="s">
        <v>411</v>
      </c>
      <c r="B132" s="16" t="s">
        <v>195</v>
      </c>
      <c r="C132" s="16" t="s">
        <v>410</v>
      </c>
      <c r="D132" s="22" t="s">
        <v>37</v>
      </c>
      <c r="E132" s="22" t="s">
        <v>93</v>
      </c>
      <c r="F132" s="125">
        <f t="shared" si="31"/>
        <v>1.4931770127423491E-4</v>
      </c>
      <c r="G132" s="96">
        <v>3.9865279409015522E-6</v>
      </c>
      <c r="H132" s="97">
        <v>9.5000000000000005E-5</v>
      </c>
      <c r="I132" s="15"/>
      <c r="J132" s="13"/>
      <c r="K132" s="98">
        <v>3.7785173333333341E-5</v>
      </c>
      <c r="L132" s="98"/>
      <c r="M132" s="98">
        <v>0</v>
      </c>
      <c r="N132" s="98">
        <v>1.2546000000000003E-5</v>
      </c>
      <c r="O132" s="98"/>
      <c r="P132" s="98"/>
      <c r="Q132" s="13"/>
      <c r="R132" s="145">
        <f>'Parameters, country spec'!L27</f>
        <v>5.63859541846429E-2</v>
      </c>
    </row>
    <row r="133" spans="1:18" x14ac:dyDescent="0.25">
      <c r="B133" s="17" t="s">
        <v>196</v>
      </c>
      <c r="C133" s="16" t="s">
        <v>412</v>
      </c>
      <c r="D133" s="22" t="s">
        <v>460</v>
      </c>
      <c r="E133" s="22"/>
      <c r="F133" s="125">
        <f t="shared" si="31"/>
        <v>3.8246443678729497E-4</v>
      </c>
      <c r="G133" s="33">
        <f>'Off-farm feed'!$F$75</f>
        <v>1.684774766302073E-4</v>
      </c>
      <c r="H133" s="33">
        <f>'Off-farm feed'!$G$75</f>
        <v>4.5862068965517246E-5</v>
      </c>
      <c r="I133" s="33"/>
      <c r="J133" s="33"/>
      <c r="K133" s="33">
        <f>'Off-farm feed'!$J$75</f>
        <v>1.0936279334641699E-5</v>
      </c>
      <c r="L133" s="33"/>
      <c r="M133" s="33">
        <f>'Off-farm feed'!$L$75</f>
        <v>6.4606960551724142E-7</v>
      </c>
      <c r="N133" s="33">
        <f>'Off-farm feed'!$M$75</f>
        <v>2.1884761697575221E-5</v>
      </c>
      <c r="O133" s="33"/>
      <c r="P133" s="33">
        <f>'Off-farm feed'!$O$75</f>
        <v>4.5962128379923281E-5</v>
      </c>
      <c r="Q133" s="33">
        <f>'Off-farm feed'!$P$75</f>
        <v>8.8695652173913049E-5</v>
      </c>
      <c r="R133" s="145">
        <f>'Parameters, country spec'!L28</f>
        <v>2.9607485666187296E-2</v>
      </c>
    </row>
    <row r="134" spans="1:18" x14ac:dyDescent="0.25">
      <c r="B134" s="17" t="s">
        <v>413</v>
      </c>
      <c r="C134" s="16" t="s">
        <v>412</v>
      </c>
      <c r="D134" s="22" t="s">
        <v>437</v>
      </c>
      <c r="E134" s="22"/>
      <c r="F134" s="125">
        <f t="shared" si="31"/>
        <v>4.7266553697523981E-4</v>
      </c>
      <c r="G134" s="33">
        <f>'Off-farm feed'!$F$24</f>
        <v>1.5603516238625262E-5</v>
      </c>
      <c r="H134" s="33">
        <f>'Off-farm feed'!$G$24</f>
        <v>7.5304878048780503E-5</v>
      </c>
      <c r="I134" s="33"/>
      <c r="J134" s="33"/>
      <c r="K134" s="33">
        <f>'Off-farm feed'!$J$24</f>
        <v>1.908459074435586E-5</v>
      </c>
      <c r="L134" s="33"/>
      <c r="M134" s="33">
        <f>'Off-farm feed'!$L$24</f>
        <v>5.9672097439024396E-7</v>
      </c>
      <c r="N134" s="33">
        <f>'Off-farm feed'!$M$24</f>
        <v>2.3084271612619523E-5</v>
      </c>
      <c r="O134" s="33"/>
      <c r="P134" s="33">
        <f>'Off-farm feed'!$O$24</f>
        <v>1.2899155935646844E-4</v>
      </c>
      <c r="Q134" s="33">
        <f>'Off-farm feed'!$P$24</f>
        <v>2.1000000000000001E-4</v>
      </c>
      <c r="R134" s="145">
        <f>'Parameters, country spec'!L29</f>
        <v>3.870789973314008E-2</v>
      </c>
    </row>
    <row r="135" spans="1:18" x14ac:dyDescent="0.25">
      <c r="B135" s="16" t="s">
        <v>198</v>
      </c>
      <c r="C135" s="16" t="s">
        <v>414</v>
      </c>
      <c r="D135" s="22" t="s">
        <v>37</v>
      </c>
      <c r="E135" s="22" t="s">
        <v>93</v>
      </c>
      <c r="F135" s="125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45">
        <f>'Parameters, country spec'!L30</f>
        <v>0.11190565161757877</v>
      </c>
    </row>
    <row r="136" spans="1:18" x14ac:dyDescent="0.25">
      <c r="A136" s="80"/>
      <c r="B136" s="16" t="s">
        <v>415</v>
      </c>
      <c r="C136" s="81" t="s">
        <v>416</v>
      </c>
      <c r="D136" s="22" t="s">
        <v>37</v>
      </c>
      <c r="E136" s="22" t="s">
        <v>93</v>
      </c>
      <c r="F136" s="125">
        <f t="shared" si="31"/>
        <v>1.850763952175399E-4</v>
      </c>
      <c r="G136" s="79">
        <f t="shared" ref="G136:N136" si="32">AVERAGE(G126:G134)</f>
        <v>6.3863500087274442E-5</v>
      </c>
      <c r="H136" s="79">
        <f t="shared" si="32"/>
        <v>8.7351883001588647E-5</v>
      </c>
      <c r="I136" s="79"/>
      <c r="J136" s="79"/>
      <c r="K136" s="79">
        <f t="shared" si="32"/>
        <v>1.8968365029776536E-5</v>
      </c>
      <c r="L136" s="79"/>
      <c r="M136" s="79">
        <f t="shared" si="32"/>
        <v>1.3808784221194281E-7</v>
      </c>
      <c r="N136" s="79">
        <f t="shared" si="32"/>
        <v>1.4754559256688307E-5</v>
      </c>
      <c r="O136" s="79"/>
      <c r="P136" s="79"/>
      <c r="Q136" s="79"/>
      <c r="R136" s="145">
        <f>'Parameters, country spec'!L31</f>
        <v>9.3875935928454946E-2</v>
      </c>
    </row>
    <row r="137" spans="1:18" x14ac:dyDescent="0.25">
      <c r="A137" s="144"/>
      <c r="B137" s="24" t="s">
        <v>417</v>
      </c>
      <c r="C137" s="25"/>
      <c r="D137" s="99"/>
      <c r="E137" s="99"/>
      <c r="F137" s="29">
        <f>SUMPRODUCT(F126:F136,$R$126:$R$136)</f>
        <v>1.9456668731974376E-4</v>
      </c>
      <c r="G137" s="29">
        <f t="shared" ref="G137:Q137" si="33">SUMPRODUCT(G126:G136,$R$126:$R$136)</f>
        <v>6.8537873824537371E-5</v>
      </c>
      <c r="H137" s="29">
        <f t="shared" si="33"/>
        <v>8.1433781560524515E-5</v>
      </c>
      <c r="I137" s="29">
        <f t="shared" si="33"/>
        <v>0</v>
      </c>
      <c r="J137" s="29">
        <f t="shared" si="33"/>
        <v>0</v>
      </c>
      <c r="K137" s="29">
        <f t="shared" si="33"/>
        <v>1.5397539023360897E-5</v>
      </c>
      <c r="L137" s="29">
        <f t="shared" si="33"/>
        <v>0</v>
      </c>
      <c r="M137" s="29">
        <f t="shared" si="33"/>
        <v>5.5189437658057159E-8</v>
      </c>
      <c r="N137" s="29">
        <f t="shared" si="33"/>
        <v>1.2033773876123699E-5</v>
      </c>
      <c r="O137" s="29">
        <f t="shared" si="33"/>
        <v>0</v>
      </c>
      <c r="P137" s="45">
        <f>SUMPRODUCT(P126:P136,R126:R136)</f>
        <v>6.3538154031876061E-6</v>
      </c>
      <c r="Q137" s="29">
        <f t="shared" si="33"/>
        <v>1.0754714194351681E-5</v>
      </c>
      <c r="R137" s="146"/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5">
    <tabColor theme="4" tint="0.79998168889431442"/>
  </sheetPr>
  <dimension ref="A2:S137"/>
  <sheetViews>
    <sheetView topLeftCell="B126" zoomScale="80" zoomScaleNormal="80" workbookViewId="0">
      <selection activeCell="G144" sqref="G144"/>
    </sheetView>
  </sheetViews>
  <sheetFormatPr defaultColWidth="8.7109375" defaultRowHeight="15" x14ac:dyDescent="0.25"/>
  <cols>
    <col min="1" max="1" width="8.5703125" customWidth="1"/>
    <col min="2" max="2" width="30.42578125" customWidth="1"/>
    <col min="3" max="3" width="19" customWidth="1"/>
    <col min="4" max="5" width="12.5703125" customWidth="1"/>
    <col min="6" max="6" width="12.5703125" style="16" customWidth="1"/>
    <col min="7" max="10" width="12.5703125" customWidth="1"/>
    <col min="11" max="11" width="14.42578125" customWidth="1"/>
    <col min="12" max="12" width="15" customWidth="1"/>
    <col min="13" max="17" width="12.5703125" customWidth="1"/>
  </cols>
  <sheetData>
    <row r="2" spans="1:18" ht="21" x14ac:dyDescent="0.35">
      <c r="A2" s="2" t="s">
        <v>419</v>
      </c>
      <c r="F2" s="16" t="s">
        <v>395</v>
      </c>
    </row>
    <row r="3" spans="1:18" x14ac:dyDescent="0.25">
      <c r="H3" s="8"/>
      <c r="I3" s="8"/>
      <c r="J3" s="8"/>
      <c r="K3" s="8"/>
      <c r="L3" s="8"/>
      <c r="M3" s="8"/>
      <c r="N3" s="8"/>
    </row>
    <row r="4" spans="1:18" ht="30" x14ac:dyDescent="0.25">
      <c r="A4" s="147" t="s">
        <v>396</v>
      </c>
      <c r="B4" s="139"/>
      <c r="C4" s="139"/>
      <c r="D4" s="139"/>
      <c r="E4" s="139"/>
      <c r="F4" s="313" t="s">
        <v>102</v>
      </c>
      <c r="G4" s="140" t="s">
        <v>103</v>
      </c>
      <c r="H4" s="141"/>
      <c r="I4" s="140" t="s">
        <v>104</v>
      </c>
      <c r="J4" s="100"/>
      <c r="K4" s="140" t="s">
        <v>105</v>
      </c>
      <c r="L4" s="100"/>
      <c r="M4" s="100"/>
      <c r="N4" s="100"/>
      <c r="O4" s="101" t="s">
        <v>106</v>
      </c>
      <c r="P4" s="101" t="s">
        <v>397</v>
      </c>
      <c r="Q4" s="142" t="s">
        <v>107</v>
      </c>
      <c r="R4" s="140" t="s">
        <v>398</v>
      </c>
    </row>
    <row r="5" spans="1:18" ht="55.5" customHeight="1" x14ac:dyDescent="0.25">
      <c r="A5" s="94" t="s">
        <v>59</v>
      </c>
      <c r="B5" s="94" t="s">
        <v>396</v>
      </c>
      <c r="C5" s="94" t="s">
        <v>399</v>
      </c>
      <c r="D5" s="94" t="s">
        <v>62</v>
      </c>
      <c r="E5" s="143" t="s">
        <v>63</v>
      </c>
      <c r="F5" s="314"/>
      <c r="G5" s="95" t="s">
        <v>11</v>
      </c>
      <c r="H5" s="95" t="s">
        <v>12</v>
      </c>
      <c r="I5" s="95" t="s">
        <v>400</v>
      </c>
      <c r="J5" s="95" t="s">
        <v>401</v>
      </c>
      <c r="K5" s="95" t="s">
        <v>116</v>
      </c>
      <c r="L5" s="95" t="s">
        <v>117</v>
      </c>
      <c r="M5" s="95" t="s">
        <v>118</v>
      </c>
      <c r="N5" s="95" t="s">
        <v>119</v>
      </c>
      <c r="O5" s="95" t="s">
        <v>120</v>
      </c>
      <c r="P5" s="95" t="s">
        <v>397</v>
      </c>
      <c r="Q5" s="143" t="s">
        <v>402</v>
      </c>
      <c r="R5" s="95"/>
    </row>
    <row r="6" spans="1:18" x14ac:dyDescent="0.25">
      <c r="A6" s="311" t="s">
        <v>403</v>
      </c>
      <c r="B6" s="293" t="s">
        <v>187</v>
      </c>
      <c r="C6" s="293" t="s">
        <v>404</v>
      </c>
      <c r="D6" s="22" t="s">
        <v>36</v>
      </c>
      <c r="E6" s="22" t="s">
        <v>83</v>
      </c>
      <c r="F6" s="315">
        <f>SUM(G6:Q6)</f>
        <v>8.1663199999999997E-4</v>
      </c>
      <c r="G6" s="305">
        <v>1.3999999999999999E-4</v>
      </c>
      <c r="H6" s="306">
        <v>9.9999999999999995E-7</v>
      </c>
      <c r="I6" s="309">
        <v>6.1200000000000002E-4</v>
      </c>
      <c r="J6" s="309">
        <v>6.1199999999999997E-5</v>
      </c>
      <c r="K6" s="309">
        <v>8.8199999999999998E-7</v>
      </c>
      <c r="L6" s="309"/>
      <c r="M6" s="309">
        <v>0</v>
      </c>
      <c r="N6" s="309">
        <v>1.55E-6</v>
      </c>
      <c r="O6" s="309"/>
      <c r="P6" s="309"/>
      <c r="Q6" s="308"/>
      <c r="R6" s="310">
        <f>'Parameters, country spec'!B21</f>
        <v>0.35358045392897253</v>
      </c>
    </row>
    <row r="7" spans="1:18" x14ac:dyDescent="0.25">
      <c r="A7" s="21" t="s">
        <v>405</v>
      </c>
      <c r="B7" s="16" t="s">
        <v>189</v>
      </c>
      <c r="C7" s="16" t="s">
        <v>404</v>
      </c>
      <c r="D7" s="22" t="s">
        <v>36</v>
      </c>
      <c r="E7" s="22" t="s">
        <v>83</v>
      </c>
      <c r="F7" s="125">
        <f t="shared" ref="F7:F16" si="0">SUM(G7:Q7)</f>
        <v>7.6922700000000004E-4</v>
      </c>
      <c r="G7" s="96">
        <v>1.2999999999999999E-4</v>
      </c>
      <c r="H7" s="97">
        <v>9.9999999999999995E-7</v>
      </c>
      <c r="I7" s="98">
        <v>5.7799999999999995E-4</v>
      </c>
      <c r="J7" s="98">
        <v>5.7800000000000002E-5</v>
      </c>
      <c r="K7" s="98">
        <v>7.2600000000000002E-7</v>
      </c>
      <c r="L7" s="98"/>
      <c r="M7" s="98">
        <v>1.5099999999999999E-7</v>
      </c>
      <c r="N7" s="98">
        <v>1.55E-6</v>
      </c>
      <c r="O7" s="98"/>
      <c r="P7" s="98"/>
      <c r="Q7" s="13"/>
      <c r="R7" s="145">
        <f>'Parameters, country spec'!B22</f>
        <v>2.127816529490071E-2</v>
      </c>
    </row>
    <row r="8" spans="1:18" x14ac:dyDescent="0.25">
      <c r="A8" s="21" t="s">
        <v>406</v>
      </c>
      <c r="B8" s="16" t="s">
        <v>191</v>
      </c>
      <c r="C8" s="16" t="s">
        <v>404</v>
      </c>
      <c r="D8" s="22" t="s">
        <v>36</v>
      </c>
      <c r="E8" s="22" t="s">
        <v>83</v>
      </c>
      <c r="F8" s="125">
        <f t="shared" si="0"/>
        <v>7.4175999999999995E-4</v>
      </c>
      <c r="G8" s="96">
        <v>1.2E-4</v>
      </c>
      <c r="H8" s="97">
        <v>9.9999999999999995E-7</v>
      </c>
      <c r="I8" s="98">
        <v>5.62E-4</v>
      </c>
      <c r="J8" s="98">
        <v>5.6199999999999997E-5</v>
      </c>
      <c r="K8" s="98">
        <v>1.0100000000000001E-6</v>
      </c>
      <c r="L8" s="98"/>
      <c r="M8" s="98">
        <v>0</v>
      </c>
      <c r="N8" s="98">
        <v>1.55E-6</v>
      </c>
      <c r="O8" s="98"/>
      <c r="P8" s="98"/>
      <c r="Q8" s="13"/>
      <c r="R8" s="145">
        <f>'Parameters, country spec'!B23</f>
        <v>5.9387582525533989E-3</v>
      </c>
    </row>
    <row r="9" spans="1:18" x14ac:dyDescent="0.25">
      <c r="A9" s="21" t="s">
        <v>407</v>
      </c>
      <c r="B9" s="16" t="s">
        <v>192</v>
      </c>
      <c r="C9" s="16" t="s">
        <v>404</v>
      </c>
      <c r="D9" s="22" t="s">
        <v>36</v>
      </c>
      <c r="E9" s="22" t="s">
        <v>83</v>
      </c>
      <c r="F9" s="125">
        <f t="shared" si="0"/>
        <v>6.6777399999999999E-4</v>
      </c>
      <c r="G9" s="96">
        <v>1.1E-4</v>
      </c>
      <c r="H9" s="97">
        <v>9.9999999999999995E-7</v>
      </c>
      <c r="I9" s="98">
        <v>5.04E-4</v>
      </c>
      <c r="J9" s="98">
        <v>5.0399999999999999E-5</v>
      </c>
      <c r="K9" s="98">
        <v>8.2399999999999997E-7</v>
      </c>
      <c r="L9" s="98"/>
      <c r="M9" s="98">
        <v>0</v>
      </c>
      <c r="N9" s="98">
        <v>1.55E-6</v>
      </c>
      <c r="O9" s="98"/>
      <c r="P9" s="98"/>
      <c r="Q9" s="13"/>
      <c r="R9" s="145">
        <f>'Parameters, country spec'!B24</f>
        <v>4.3085020093106188E-3</v>
      </c>
    </row>
    <row r="10" spans="1:18" x14ac:dyDescent="0.25">
      <c r="A10" s="21" t="s">
        <v>408</v>
      </c>
      <c r="B10" s="16" t="s">
        <v>193</v>
      </c>
      <c r="C10" s="16" t="s">
        <v>404</v>
      </c>
      <c r="D10" s="22" t="s">
        <v>36</v>
      </c>
      <c r="E10" s="22" t="s">
        <v>83</v>
      </c>
      <c r="F10" s="125">
        <f t="shared" si="0"/>
        <v>9.2223750000000008E-4</v>
      </c>
      <c r="G10" s="96">
        <v>1.6000000000000001E-4</v>
      </c>
      <c r="H10" s="97">
        <v>9.9999999999999995E-7</v>
      </c>
      <c r="I10" s="98">
        <v>6.8999999999999997E-4</v>
      </c>
      <c r="J10" s="98">
        <v>6.8999999999999997E-5</v>
      </c>
      <c r="K10" s="98">
        <v>6.6899999999999997E-7</v>
      </c>
      <c r="L10" s="98"/>
      <c r="M10" s="98">
        <v>1.85E-8</v>
      </c>
      <c r="N10" s="98">
        <v>1.55E-6</v>
      </c>
      <c r="O10" s="98"/>
      <c r="P10" s="98"/>
      <c r="Q10" s="13"/>
      <c r="R10" s="145">
        <f>'Parameters, country spec'!B25</f>
        <v>0.36499405608086982</v>
      </c>
    </row>
    <row r="11" spans="1:18" x14ac:dyDescent="0.25">
      <c r="A11" s="21" t="s">
        <v>409</v>
      </c>
      <c r="B11" s="16" t="s">
        <v>194</v>
      </c>
      <c r="C11" s="16" t="s">
        <v>410</v>
      </c>
      <c r="D11" s="22" t="s">
        <v>36</v>
      </c>
      <c r="E11" s="22" t="s">
        <v>83</v>
      </c>
      <c r="F11" s="125">
        <f t="shared" si="0"/>
        <v>2.0725309000000001E-4</v>
      </c>
      <c r="G11" s="96">
        <v>0</v>
      </c>
      <c r="H11" s="97">
        <v>9.9999999999999995E-7</v>
      </c>
      <c r="I11" s="98">
        <v>1.85E-4</v>
      </c>
      <c r="J11" s="98">
        <v>1.8499999999999999E-5</v>
      </c>
      <c r="K11" s="98">
        <v>1.1999999999999999E-6</v>
      </c>
      <c r="L11" s="98"/>
      <c r="M11" s="98">
        <v>3.0899999999999999E-9</v>
      </c>
      <c r="N11" s="98">
        <v>1.55E-6</v>
      </c>
      <c r="O11" s="98"/>
      <c r="P11" s="98"/>
      <c r="Q11" s="13"/>
      <c r="R11" s="145">
        <f>'Parameters, country spec'!B26</f>
        <v>8.6328274294382738E-4</v>
      </c>
    </row>
    <row r="12" spans="1:18" x14ac:dyDescent="0.25">
      <c r="A12" s="21" t="s">
        <v>411</v>
      </c>
      <c r="B12" s="16" t="s">
        <v>195</v>
      </c>
      <c r="C12" s="16" t="s">
        <v>410</v>
      </c>
      <c r="D12" s="22" t="s">
        <v>36</v>
      </c>
      <c r="E12" s="22" t="s">
        <v>83</v>
      </c>
      <c r="F12" s="125">
        <f t="shared" si="0"/>
        <v>2.3858199999999999E-4</v>
      </c>
      <c r="G12" s="96">
        <v>6.7000000000000002E-6</v>
      </c>
      <c r="H12" s="97">
        <v>9.9999999999999995E-7</v>
      </c>
      <c r="I12" s="98">
        <v>2.0699999999999999E-4</v>
      </c>
      <c r="J12" s="98">
        <v>2.0699999999999998E-5</v>
      </c>
      <c r="K12" s="98">
        <v>1.28E-6</v>
      </c>
      <c r="L12" s="98"/>
      <c r="M12" s="98">
        <v>3.5199999999999998E-7</v>
      </c>
      <c r="N12" s="98">
        <v>1.55E-6</v>
      </c>
      <c r="O12" s="98"/>
      <c r="P12" s="98"/>
      <c r="Q12" s="13"/>
      <c r="R12" s="145">
        <f>'Parameters, country spec'!B27</f>
        <v>8.4802813940235893E-4</v>
      </c>
    </row>
    <row r="13" spans="1:18" x14ac:dyDescent="0.25">
      <c r="B13" s="17" t="s">
        <v>196</v>
      </c>
      <c r="C13" s="16" t="s">
        <v>412</v>
      </c>
      <c r="D13" s="22" t="s">
        <v>460</v>
      </c>
      <c r="E13" s="22"/>
      <c r="F13" s="125">
        <f>SUM(G13:P13)</f>
        <v>6.713768539130542E-4</v>
      </c>
      <c r="G13" s="33">
        <f>'Off-farm feed'!$F$77</f>
        <v>1.946970439026595E-4</v>
      </c>
      <c r="H13" s="33">
        <f>'Off-farm feed'!$G$77</f>
        <v>5.3103448275862083E-7</v>
      </c>
      <c r="I13" s="33">
        <f>'Off-farm feed'!$H$77</f>
        <v>4.2751561806777074E-4</v>
      </c>
      <c r="J13" s="33">
        <f>'Off-farm feed'!$I$77</f>
        <v>4.2751561806777089E-5</v>
      </c>
      <c r="K13" s="33">
        <f>'Off-farm feed'!$J$77</f>
        <v>6.6339607025480414E-7</v>
      </c>
      <c r="L13" s="33"/>
      <c r="M13" s="33">
        <f>'Off-farm feed'!$L$77</f>
        <v>7.9511067188965511E-9</v>
      </c>
      <c r="N13" s="33">
        <f>'Off-farm feed'!$M$77</f>
        <v>1.2789681892721844E-6</v>
      </c>
      <c r="O13" s="33"/>
      <c r="P13" s="33">
        <f>'Off-farm feed'!$O$77</f>
        <v>3.9312802868423834E-6</v>
      </c>
      <c r="Q13" s="33">
        <f>'Off-farm feed'!$P$77</f>
        <v>1.8277027027027027E-6</v>
      </c>
      <c r="R13" s="145">
        <f>'Parameters, country spec'!B28</f>
        <v>5.419738399660614E-2</v>
      </c>
    </row>
    <row r="14" spans="1:18" x14ac:dyDescent="0.25">
      <c r="B14" s="17" t="s">
        <v>413</v>
      </c>
      <c r="C14" s="16" t="s">
        <v>412</v>
      </c>
      <c r="D14" s="22" t="s">
        <v>437</v>
      </c>
      <c r="E14" s="22"/>
      <c r="F14" s="125">
        <f>SUM(G14:P14)</f>
        <v>1.7957562860818722E-4</v>
      </c>
      <c r="G14" s="33">
        <f>'Off-farm feed'!$F$26</f>
        <v>1.6332109719061441E-5</v>
      </c>
      <c r="H14" s="33">
        <f>'Off-farm feed'!$G$26</f>
        <v>8.7195121951219526E-7</v>
      </c>
      <c r="I14" s="33">
        <f>'Off-farm feed'!$H$26</f>
        <v>1.3333449845358202E-4</v>
      </c>
      <c r="J14" s="33">
        <f>'Off-farm feed'!$I$26</f>
        <v>1.3333449845358203E-5</v>
      </c>
      <c r="K14" s="33">
        <f>'Off-farm feed'!$J$26</f>
        <v>1.1576736579983931E-6</v>
      </c>
      <c r="L14" s="33"/>
      <c r="M14" s="33">
        <f>'Off-farm feed'!$L$26</f>
        <v>7.3437786087804866E-9</v>
      </c>
      <c r="N14" s="33">
        <f>'Off-farm feed'!$M$26</f>
        <v>1.1195281639512197E-6</v>
      </c>
      <c r="O14" s="33"/>
      <c r="P14" s="33">
        <f>'Off-farm feed'!$O$26</f>
        <v>1.3419073770114991E-5</v>
      </c>
      <c r="Q14" s="33">
        <f>'Off-farm feed'!$P$26</f>
        <v>9.087837837837838E-6</v>
      </c>
      <c r="R14" s="145">
        <f>'Parameters, country spec'!B29</f>
        <v>0.1335329470959849</v>
      </c>
    </row>
    <row r="15" spans="1:18" x14ac:dyDescent="0.25">
      <c r="B15" s="16" t="s">
        <v>198</v>
      </c>
      <c r="C15" s="16" t="s">
        <v>414</v>
      </c>
      <c r="D15" s="22" t="s">
        <v>36</v>
      </c>
      <c r="E15" s="22" t="s">
        <v>83</v>
      </c>
      <c r="F15" s="125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45">
        <f>'Parameters, country spec'!B30</f>
        <v>2.191861120973471E-2</v>
      </c>
    </row>
    <row r="16" spans="1:18" x14ac:dyDescent="0.25">
      <c r="A16" s="80"/>
      <c r="B16" s="16" t="s">
        <v>415</v>
      </c>
      <c r="C16" s="81" t="s">
        <v>416</v>
      </c>
      <c r="D16" s="22" t="s">
        <v>36</v>
      </c>
      <c r="E16" s="22" t="s">
        <v>83</v>
      </c>
      <c r="F16" s="125">
        <f t="shared" si="0"/>
        <v>5.7745196871825371E-4</v>
      </c>
      <c r="G16" s="79">
        <f t="shared" ref="G16:N16" si="1">AVERAGE(G6:G14)</f>
        <v>9.7525461513524526E-5</v>
      </c>
      <c r="H16" s="79">
        <f t="shared" si="1"/>
        <v>9.3366507803009054E-7</v>
      </c>
      <c r="I16" s="79">
        <f t="shared" si="1"/>
        <v>4.3320556850237255E-4</v>
      </c>
      <c r="J16" s="79">
        <f t="shared" si="1"/>
        <v>4.3320556850237259E-5</v>
      </c>
      <c r="K16" s="79">
        <f t="shared" si="1"/>
        <v>9.3467441425035527E-7</v>
      </c>
      <c r="L16" s="79"/>
      <c r="M16" s="79">
        <f t="shared" si="1"/>
        <v>5.9987209480852991E-8</v>
      </c>
      <c r="N16" s="79">
        <f t="shared" si="1"/>
        <v>1.4720551503581562E-6</v>
      </c>
      <c r="O16" s="79"/>
      <c r="P16" s="79"/>
      <c r="Q16" s="79"/>
      <c r="R16" s="145">
        <f>'Parameters, country spec'!B31</f>
        <v>3.8539811248720843E-2</v>
      </c>
    </row>
    <row r="17" spans="1:18" x14ac:dyDescent="0.25">
      <c r="A17" s="144"/>
      <c r="B17" s="24" t="s">
        <v>417</v>
      </c>
      <c r="C17" s="25"/>
      <c r="D17" s="99"/>
      <c r="E17" s="99"/>
      <c r="F17" s="45">
        <f t="shared" ref="F17:O17" si="2">SUMPRODUCT(F6:F16,$R$6:$R$16)</f>
        <v>7.3200856146308775E-4</v>
      </c>
      <c r="G17" s="45">
        <f t="shared" si="2"/>
        <v>1.2835030008435038E-4</v>
      </c>
      <c r="H17" s="45">
        <f t="shared" si="2"/>
        <v>9.3300941816866477E-7</v>
      </c>
      <c r="I17" s="45">
        <f t="shared" si="2"/>
        <v>5.4405066981072601E-4</v>
      </c>
      <c r="J17" s="45">
        <f t="shared" si="2"/>
        <v>5.4405066981072596E-5</v>
      </c>
      <c r="K17" s="45">
        <f t="shared" si="2"/>
        <v>8.0972078108184324E-7</v>
      </c>
      <c r="L17" s="45">
        <f t="shared" si="2"/>
        <v>0</v>
      </c>
      <c r="M17" s="45">
        <f t="shared" si="2"/>
        <v>1.399002776099392E-8</v>
      </c>
      <c r="N17" s="45">
        <f t="shared" si="2"/>
        <v>1.4408507848011801E-6</v>
      </c>
      <c r="O17" s="45">
        <f t="shared" si="2"/>
        <v>0</v>
      </c>
      <c r="P17" s="45">
        <f>SUMPRODUCT(P6:P16,R6:R16)</f>
        <v>2.0049535751261682E-6</v>
      </c>
      <c r="Q17" s="45">
        <f>SUMPRODUCT(Q6:Q16,$R$6:$R$16)</f>
        <v>1.312582474426903E-6</v>
      </c>
      <c r="R17" s="148"/>
    </row>
    <row r="18" spans="1:18" x14ac:dyDescent="0.25">
      <c r="A18" s="21" t="s">
        <v>403</v>
      </c>
      <c r="B18" s="16" t="s">
        <v>187</v>
      </c>
      <c r="C18" s="16" t="s">
        <v>404</v>
      </c>
      <c r="D18" s="22" t="s">
        <v>27</v>
      </c>
      <c r="E18" s="22" t="s">
        <v>84</v>
      </c>
      <c r="F18" s="315">
        <f>SUM(G18:Q18)</f>
        <v>6.9794440000000017E-4</v>
      </c>
      <c r="G18" s="305">
        <v>1.8000000000000001E-4</v>
      </c>
      <c r="H18" s="306">
        <v>9.9999999999999995E-7</v>
      </c>
      <c r="I18" s="309">
        <v>4.6799999999999999E-4</v>
      </c>
      <c r="J18" s="309">
        <v>4.6799999999999999E-5</v>
      </c>
      <c r="K18" s="309">
        <v>8.0200000000000001E-7</v>
      </c>
      <c r="L18" s="309"/>
      <c r="M18" s="309">
        <v>1.24E-8</v>
      </c>
      <c r="N18" s="309">
        <v>1.33E-6</v>
      </c>
      <c r="O18" s="309"/>
      <c r="P18" s="309"/>
      <c r="Q18" s="308"/>
      <c r="R18" s="310">
        <f>'Parameters, country spec'!C21</f>
        <v>0.12973292757166538</v>
      </c>
    </row>
    <row r="19" spans="1:18" x14ac:dyDescent="0.25">
      <c r="A19" s="21" t="s">
        <v>405</v>
      </c>
      <c r="B19" s="16" t="s">
        <v>189</v>
      </c>
      <c r="C19" s="16" t="s">
        <v>404</v>
      </c>
      <c r="D19" s="22" t="s">
        <v>27</v>
      </c>
      <c r="E19" s="22" t="s">
        <v>84</v>
      </c>
      <c r="F19" s="125">
        <f t="shared" ref="F19:F28" si="3">SUM(G19:Q19)</f>
        <v>6.5715800000000003E-4</v>
      </c>
      <c r="G19" s="96">
        <v>1.7000000000000001E-4</v>
      </c>
      <c r="H19" s="97">
        <v>9.9999999999999995E-7</v>
      </c>
      <c r="I19" s="98">
        <v>4.4000000000000002E-4</v>
      </c>
      <c r="J19" s="98">
        <v>4.3999999999999999E-5</v>
      </c>
      <c r="K19" s="98">
        <v>5.4700000000000001E-7</v>
      </c>
      <c r="L19" s="98"/>
      <c r="M19" s="98">
        <v>2.8099999999999999E-7</v>
      </c>
      <c r="N19" s="98">
        <v>1.33E-6</v>
      </c>
      <c r="O19" s="98"/>
      <c r="P19" s="98"/>
      <c r="Q19" s="13"/>
      <c r="R19" s="145">
        <f>'Parameters, country spec'!C22</f>
        <v>0.21338006498227882</v>
      </c>
    </row>
    <row r="20" spans="1:18" x14ac:dyDescent="0.25">
      <c r="A20" s="21" t="s">
        <v>406</v>
      </c>
      <c r="B20" s="16" t="s">
        <v>191</v>
      </c>
      <c r="C20" s="16" t="s">
        <v>404</v>
      </c>
      <c r="D20" s="22" t="s">
        <v>27</v>
      </c>
      <c r="E20" s="22" t="s">
        <v>84</v>
      </c>
      <c r="F20" s="125">
        <f t="shared" si="3"/>
        <v>6.6289399999999992E-4</v>
      </c>
      <c r="G20" s="96">
        <v>1.4999999999999999E-4</v>
      </c>
      <c r="H20" s="97">
        <v>9.9999999999999995E-7</v>
      </c>
      <c r="I20" s="98">
        <v>4.6299999999999998E-4</v>
      </c>
      <c r="J20" s="98">
        <v>4.6300000000000001E-5</v>
      </c>
      <c r="K20" s="98">
        <v>1.1000000000000001E-6</v>
      </c>
      <c r="L20" s="98"/>
      <c r="M20" s="98">
        <v>1.6400000000000001E-7</v>
      </c>
      <c r="N20" s="98">
        <v>1.33E-6</v>
      </c>
      <c r="O20" s="98"/>
      <c r="P20" s="98"/>
      <c r="Q20" s="13"/>
      <c r="R20" s="145">
        <f>'Parameters, country spec'!C23</f>
        <v>1.4700955750111657E-2</v>
      </c>
    </row>
    <row r="21" spans="1:18" x14ac:dyDescent="0.25">
      <c r="A21" s="21" t="s">
        <v>407</v>
      </c>
      <c r="B21" s="16" t="s">
        <v>192</v>
      </c>
      <c r="C21" s="16" t="s">
        <v>404</v>
      </c>
      <c r="D21" s="22" t="s">
        <v>27</v>
      </c>
      <c r="E21" s="22" t="s">
        <v>84</v>
      </c>
      <c r="F21" s="125">
        <f t="shared" si="3"/>
        <v>6.0983308999999991E-4</v>
      </c>
      <c r="G21" s="96">
        <v>1.3999999999999999E-4</v>
      </c>
      <c r="H21" s="97">
        <v>9.9999999999999995E-7</v>
      </c>
      <c r="I21" s="98">
        <v>4.2400000000000001E-4</v>
      </c>
      <c r="J21" s="98">
        <v>4.2400000000000001E-5</v>
      </c>
      <c r="K21" s="98">
        <v>1.1000000000000001E-6</v>
      </c>
      <c r="L21" s="98"/>
      <c r="M21" s="98">
        <v>3.0899999999999999E-9</v>
      </c>
      <c r="N21" s="98">
        <v>1.33E-6</v>
      </c>
      <c r="O21" s="98"/>
      <c r="P21" s="98"/>
      <c r="Q21" s="13"/>
      <c r="R21" s="145">
        <f>'Parameters, country spec'!C24</f>
        <v>2.2576295256694127E-3</v>
      </c>
    </row>
    <row r="22" spans="1:18" x14ac:dyDescent="0.25">
      <c r="A22" s="21" t="s">
        <v>408</v>
      </c>
      <c r="B22" s="16" t="s">
        <v>193</v>
      </c>
      <c r="C22" s="16" t="s">
        <v>404</v>
      </c>
      <c r="D22" s="22" t="s">
        <v>27</v>
      </c>
      <c r="E22" s="22" t="s">
        <v>84</v>
      </c>
      <c r="F22" s="125">
        <f t="shared" si="3"/>
        <v>7.9156026000000001E-4</v>
      </c>
      <c r="G22" s="96">
        <v>2.0000000000000001E-4</v>
      </c>
      <c r="H22" s="97">
        <v>9.9999999999999995E-7</v>
      </c>
      <c r="I22" s="98">
        <v>5.3499999999999999E-4</v>
      </c>
      <c r="J22" s="98">
        <v>5.3499999999999999E-5</v>
      </c>
      <c r="K22" s="98">
        <v>7.2099999999999996E-7</v>
      </c>
      <c r="L22" s="98"/>
      <c r="M22" s="98">
        <v>9.2599999999999999E-9</v>
      </c>
      <c r="N22" s="98">
        <v>1.33E-6</v>
      </c>
      <c r="O22" s="98"/>
      <c r="P22" s="98"/>
      <c r="Q22" s="13"/>
      <c r="R22" s="145">
        <f>'Parameters, country spec'!C25</f>
        <v>0.31605527388288979</v>
      </c>
    </row>
    <row r="23" spans="1:18" x14ac:dyDescent="0.25">
      <c r="A23" s="21" t="s">
        <v>409</v>
      </c>
      <c r="B23" s="16" t="s">
        <v>194</v>
      </c>
      <c r="C23" s="16" t="s">
        <v>410</v>
      </c>
      <c r="D23" s="22" t="s">
        <v>27</v>
      </c>
      <c r="E23" s="22" t="s">
        <v>84</v>
      </c>
      <c r="F23" s="125">
        <f t="shared" si="3"/>
        <v>3.4258030000000004E-4</v>
      </c>
      <c r="G23" s="96">
        <v>0</v>
      </c>
      <c r="H23" s="97">
        <v>9.9999999999999995E-7</v>
      </c>
      <c r="I23" s="98">
        <v>3.0800000000000001E-4</v>
      </c>
      <c r="J23" s="98">
        <v>3.0800000000000003E-5</v>
      </c>
      <c r="K23" s="98">
        <v>1.37E-6</v>
      </c>
      <c r="L23" s="98"/>
      <c r="M23" s="98">
        <v>8.0299999999999998E-8</v>
      </c>
      <c r="N23" s="98">
        <v>1.33E-6</v>
      </c>
      <c r="O23" s="98"/>
      <c r="P23" s="98"/>
      <c r="Q23" s="13"/>
      <c r="R23" s="145">
        <f>'Parameters, country spec'!C26</f>
        <v>0</v>
      </c>
    </row>
    <row r="24" spans="1:18" x14ac:dyDescent="0.25">
      <c r="A24" s="21" t="s">
        <v>411</v>
      </c>
      <c r="B24" s="16" t="s">
        <v>195</v>
      </c>
      <c r="C24" s="16" t="s">
        <v>410</v>
      </c>
      <c r="D24" s="22" t="s">
        <v>27</v>
      </c>
      <c r="E24" s="22" t="s">
        <v>84</v>
      </c>
      <c r="F24" s="125">
        <f t="shared" si="3"/>
        <v>3.6272900000000006E-4</v>
      </c>
      <c r="G24" s="96">
        <v>8.6000000000000007E-6</v>
      </c>
      <c r="H24" s="97">
        <v>9.9999999999999995E-7</v>
      </c>
      <c r="I24" s="98">
        <v>3.1799999999999998E-4</v>
      </c>
      <c r="J24" s="98">
        <v>3.18E-5</v>
      </c>
      <c r="K24" s="98">
        <v>1.86E-6</v>
      </c>
      <c r="L24" s="98"/>
      <c r="M24" s="98">
        <v>1.3899999999999999E-7</v>
      </c>
      <c r="N24" s="98">
        <v>1.33E-6</v>
      </c>
      <c r="O24" s="98"/>
      <c r="P24" s="98"/>
      <c r="Q24" s="13"/>
      <c r="R24" s="145">
        <f>'Parameters, country spec'!C27</f>
        <v>0</v>
      </c>
    </row>
    <row r="25" spans="1:18" x14ac:dyDescent="0.25">
      <c r="B25" s="17" t="s">
        <v>196</v>
      </c>
      <c r="C25" s="16" t="s">
        <v>412</v>
      </c>
      <c r="D25" s="22" t="s">
        <v>460</v>
      </c>
      <c r="E25" s="22"/>
      <c r="F25" s="125">
        <f t="shared" si="3"/>
        <v>6.732045566157569E-4</v>
      </c>
      <c r="G25" s="33">
        <f>'Off-farm feed'!$F$77</f>
        <v>1.946970439026595E-4</v>
      </c>
      <c r="H25" s="33">
        <f>'Off-farm feed'!$G$77</f>
        <v>5.3103448275862083E-7</v>
      </c>
      <c r="I25" s="33">
        <f>'Off-farm feed'!$H$77</f>
        <v>4.2751561806777074E-4</v>
      </c>
      <c r="J25" s="33">
        <f>'Off-farm feed'!$I$77</f>
        <v>4.2751561806777089E-5</v>
      </c>
      <c r="K25" s="33">
        <f>'Off-farm feed'!$J$77</f>
        <v>6.6339607025480414E-7</v>
      </c>
      <c r="L25" s="33"/>
      <c r="M25" s="33">
        <f>'Off-farm feed'!$L$77</f>
        <v>7.9511067188965511E-9</v>
      </c>
      <c r="N25" s="33">
        <f>'Off-farm feed'!$M$77</f>
        <v>1.2789681892721844E-6</v>
      </c>
      <c r="O25" s="33"/>
      <c r="P25" s="33">
        <f>'Off-farm feed'!$O$77</f>
        <v>3.9312802868423834E-6</v>
      </c>
      <c r="Q25" s="33">
        <f>'Off-farm feed'!$P$77</f>
        <v>1.8277027027027027E-6</v>
      </c>
      <c r="R25" s="145">
        <f>'Parameters, country spec'!C28</f>
        <v>9.4127517207749589E-2</v>
      </c>
    </row>
    <row r="26" spans="1:18" x14ac:dyDescent="0.25">
      <c r="B26" s="17" t="s">
        <v>413</v>
      </c>
      <c r="C26" s="16" t="s">
        <v>412</v>
      </c>
      <c r="D26" s="22" t="s">
        <v>437</v>
      </c>
      <c r="E26" s="22"/>
      <c r="F26" s="125">
        <f t="shared" si="3"/>
        <v>1.8866346644602505E-4</v>
      </c>
      <c r="G26" s="33">
        <f>'Off-farm feed'!$F$26</f>
        <v>1.6332109719061441E-5</v>
      </c>
      <c r="H26" s="33">
        <f>'Off-farm feed'!$G$26</f>
        <v>8.7195121951219526E-7</v>
      </c>
      <c r="I26" s="33">
        <f>'Off-farm feed'!$H$26</f>
        <v>1.3333449845358202E-4</v>
      </c>
      <c r="J26" s="33">
        <f>'Off-farm feed'!$I$26</f>
        <v>1.3333449845358203E-5</v>
      </c>
      <c r="K26" s="33">
        <f>'Off-farm feed'!$J$26</f>
        <v>1.1576736579983931E-6</v>
      </c>
      <c r="L26" s="33"/>
      <c r="M26" s="33">
        <f>'Off-farm feed'!$L$26</f>
        <v>7.3437786087804866E-9</v>
      </c>
      <c r="N26" s="33">
        <f>'Off-farm feed'!$M$26</f>
        <v>1.1195281639512197E-6</v>
      </c>
      <c r="O26" s="33"/>
      <c r="P26" s="33">
        <f>'Off-farm feed'!$O$26</f>
        <v>1.3419073770114991E-5</v>
      </c>
      <c r="Q26" s="33">
        <f>'Off-farm feed'!$P$26</f>
        <v>9.087837837837838E-6</v>
      </c>
      <c r="R26" s="145">
        <f>'Parameters, country spec'!C29</f>
        <v>8.4804995412120512E-2</v>
      </c>
    </row>
    <row r="27" spans="1:18" x14ac:dyDescent="0.25">
      <c r="B27" s="16" t="s">
        <v>198</v>
      </c>
      <c r="C27" s="16" t="s">
        <v>414</v>
      </c>
      <c r="D27" s="22" t="s">
        <v>27</v>
      </c>
      <c r="E27" s="22" t="s">
        <v>84</v>
      </c>
      <c r="F27" s="125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45">
        <f>'Parameters, country spec'!C30</f>
        <v>7.7718083682440264E-2</v>
      </c>
    </row>
    <row r="28" spans="1:18" x14ac:dyDescent="0.25">
      <c r="A28" s="80"/>
      <c r="B28" s="16" t="s">
        <v>415</v>
      </c>
      <c r="C28" s="81" t="s">
        <v>416</v>
      </c>
      <c r="D28" s="22" t="s">
        <v>27</v>
      </c>
      <c r="E28" s="22" t="s">
        <v>84</v>
      </c>
      <c r="F28" s="125">
        <f t="shared" si="3"/>
        <v>5.5092235316269822E-4</v>
      </c>
      <c r="G28" s="79">
        <f t="shared" ref="G28:N28" si="4">AVERAGE(G18:G26)</f>
        <v>1.1773657262463566E-4</v>
      </c>
      <c r="H28" s="79">
        <f t="shared" si="4"/>
        <v>9.3366507803009054E-7</v>
      </c>
      <c r="I28" s="79">
        <f t="shared" si="4"/>
        <v>3.907611240579281E-4</v>
      </c>
      <c r="J28" s="79">
        <f t="shared" si="4"/>
        <v>3.9076112405792814E-5</v>
      </c>
      <c r="K28" s="79">
        <f t="shared" si="4"/>
        <v>1.0356744142503554E-6</v>
      </c>
      <c r="L28" s="79"/>
      <c r="M28" s="79">
        <f t="shared" si="4"/>
        <v>7.8260542814186315E-8</v>
      </c>
      <c r="N28" s="79">
        <f t="shared" si="4"/>
        <v>1.3009440392470449E-6</v>
      </c>
      <c r="O28" s="79"/>
      <c r="P28" s="79"/>
      <c r="Q28" s="79"/>
      <c r="R28" s="145">
        <f>'Parameters, country spec'!C31</f>
        <v>6.7222551985074513E-2</v>
      </c>
    </row>
    <row r="29" spans="1:18" x14ac:dyDescent="0.25">
      <c r="A29" s="144"/>
      <c r="B29" s="24" t="s">
        <v>417</v>
      </c>
      <c r="C29" s="25"/>
      <c r="D29" s="99"/>
      <c r="E29" s="99"/>
      <c r="F29" s="45">
        <f t="shared" ref="F29:O29" si="5">SUMPRODUCT(F18:F28,$R$18:$R$28)</f>
        <v>6.0847061877650818E-4</v>
      </c>
      <c r="G29" s="45">
        <f t="shared" si="5"/>
        <v>1.5298475099642046E-4</v>
      </c>
      <c r="H29" s="45">
        <f t="shared" si="5"/>
        <v>8.6282097754123657E-7</v>
      </c>
      <c r="I29" s="45">
        <f t="shared" si="5"/>
        <v>4.0927196285589306E-4</v>
      </c>
      <c r="J29" s="45">
        <f t="shared" si="5"/>
        <v>4.0927196285589314E-5</v>
      </c>
      <c r="K29" s="45">
        <f t="shared" si="5"/>
        <v>6.9753601115600999E-7</v>
      </c>
      <c r="L29" s="45">
        <f t="shared" si="5"/>
        <v>0</v>
      </c>
      <c r="M29" s="45">
        <f t="shared" si="5"/>
        <v>7.3545171669752802E-8</v>
      </c>
      <c r="N29" s="45">
        <f t="shared" si="5"/>
        <v>1.2020291721372399E-6</v>
      </c>
      <c r="O29" s="45">
        <f t="shared" si="5"/>
        <v>0</v>
      </c>
      <c r="P29" s="45">
        <f>SUMPRODUCT(P18:P28,R18:R28)</f>
        <v>1.5080461423577517E-6</v>
      </c>
      <c r="Q29" s="45">
        <f>SUMPRODUCT(Q18:Q28,$R$18:$R$28)</f>
        <v>9.4273116374323209E-7</v>
      </c>
      <c r="R29" s="146"/>
    </row>
    <row r="30" spans="1:18" x14ac:dyDescent="0.25">
      <c r="A30" s="21" t="s">
        <v>403</v>
      </c>
      <c r="B30" s="16" t="s">
        <v>187</v>
      </c>
      <c r="C30" s="16" t="s">
        <v>404</v>
      </c>
      <c r="D30" s="22" t="s">
        <v>30</v>
      </c>
      <c r="E30" s="22" t="s">
        <v>85</v>
      </c>
      <c r="F30" s="315">
        <f>SUM(G30:Q30)</f>
        <v>6.9154900000000007E-4</v>
      </c>
      <c r="G30" s="305">
        <v>1.8000000000000001E-4</v>
      </c>
      <c r="H30" s="306">
        <v>9.9999999999999995E-7</v>
      </c>
      <c r="I30" s="309">
        <v>4.6200000000000001E-4</v>
      </c>
      <c r="J30" s="309">
        <v>4.6199999999999998E-5</v>
      </c>
      <c r="K30" s="309">
        <v>7.6899999999999996E-7</v>
      </c>
      <c r="L30" s="309"/>
      <c r="M30" s="309">
        <v>0</v>
      </c>
      <c r="N30" s="309">
        <v>1.5799999999999999E-6</v>
      </c>
      <c r="O30" s="309"/>
      <c r="P30" s="309"/>
      <c r="Q30" s="308"/>
      <c r="R30" s="310">
        <f>'Parameters, country spec'!D21</f>
        <v>0.11526313251585651</v>
      </c>
    </row>
    <row r="31" spans="1:18" x14ac:dyDescent="0.25">
      <c r="A31" s="21" t="s">
        <v>405</v>
      </c>
      <c r="B31" s="16" t="s">
        <v>189</v>
      </c>
      <c r="C31" s="16" t="s">
        <v>404</v>
      </c>
      <c r="D31" s="22" t="s">
        <v>30</v>
      </c>
      <c r="E31" s="22" t="s">
        <v>85</v>
      </c>
      <c r="F31" s="125">
        <f t="shared" ref="F31:F40" si="6">SUM(G31:Q31)</f>
        <v>6.5716690000000003E-4</v>
      </c>
      <c r="G31" s="96">
        <v>1.7000000000000001E-4</v>
      </c>
      <c r="H31" s="97">
        <v>9.9999999999999995E-7</v>
      </c>
      <c r="I31" s="98">
        <v>4.4000000000000002E-4</v>
      </c>
      <c r="J31" s="98">
        <v>4.3999999999999999E-5</v>
      </c>
      <c r="K31" s="98">
        <v>5.2200000000000004E-7</v>
      </c>
      <c r="L31" s="98"/>
      <c r="M31" s="98">
        <v>6.4900000000000005E-8</v>
      </c>
      <c r="N31" s="98">
        <v>1.5799999999999999E-6</v>
      </c>
      <c r="O31" s="98"/>
      <c r="P31" s="98"/>
      <c r="Q31" s="13"/>
      <c r="R31" s="145">
        <f>'Parameters, country spec'!D22</f>
        <v>0.17160602278973394</v>
      </c>
    </row>
    <row r="32" spans="1:18" x14ac:dyDescent="0.25">
      <c r="A32" s="21" t="s">
        <v>406</v>
      </c>
      <c r="B32" s="16" t="s">
        <v>191</v>
      </c>
      <c r="C32" s="16" t="s">
        <v>404</v>
      </c>
      <c r="D32" s="22" t="s">
        <v>30</v>
      </c>
      <c r="E32" s="22" t="s">
        <v>85</v>
      </c>
      <c r="F32" s="125">
        <f t="shared" si="6"/>
        <v>6.6303239999999995E-4</v>
      </c>
      <c r="G32" s="96">
        <v>1.4999999999999999E-4</v>
      </c>
      <c r="H32" s="97">
        <v>9.9999999999999995E-7</v>
      </c>
      <c r="I32" s="98">
        <v>4.6299999999999998E-4</v>
      </c>
      <c r="J32" s="98">
        <v>4.6300000000000001E-5</v>
      </c>
      <c r="K32" s="98">
        <v>1.1400000000000001E-6</v>
      </c>
      <c r="L32" s="98"/>
      <c r="M32" s="98">
        <v>1.24E-8</v>
      </c>
      <c r="N32" s="98">
        <v>1.5799999999999999E-6</v>
      </c>
      <c r="O32" s="98"/>
      <c r="P32" s="98"/>
      <c r="Q32" s="13"/>
      <c r="R32" s="145">
        <f>'Parameters, country spec'!D23</f>
        <v>2.2943563284883134E-5</v>
      </c>
    </row>
    <row r="33" spans="1:18" x14ac:dyDescent="0.25">
      <c r="A33" s="21" t="s">
        <v>407</v>
      </c>
      <c r="B33" s="16" t="s">
        <v>192</v>
      </c>
      <c r="C33" s="16" t="s">
        <v>404</v>
      </c>
      <c r="D33" s="22" t="s">
        <v>30</v>
      </c>
      <c r="E33" s="22" t="s">
        <v>85</v>
      </c>
      <c r="F33" s="125">
        <f t="shared" si="6"/>
        <v>6.0995899999999998E-4</v>
      </c>
      <c r="G33" s="96">
        <v>1.3999999999999999E-4</v>
      </c>
      <c r="H33" s="97">
        <v>9.9999999999999995E-7</v>
      </c>
      <c r="I33" s="98">
        <v>4.2400000000000001E-4</v>
      </c>
      <c r="J33" s="98">
        <v>4.2400000000000001E-5</v>
      </c>
      <c r="K33" s="98">
        <v>9.7900000000000007E-7</v>
      </c>
      <c r="L33" s="98"/>
      <c r="M33" s="98">
        <v>0</v>
      </c>
      <c r="N33" s="98">
        <v>1.5799999999999999E-6</v>
      </c>
      <c r="O33" s="98"/>
      <c r="P33" s="98"/>
      <c r="Q33" s="13"/>
      <c r="R33" s="145">
        <f>'Parameters, country spec'!D24</f>
        <v>1.8828087929403461E-2</v>
      </c>
    </row>
    <row r="34" spans="1:18" x14ac:dyDescent="0.25">
      <c r="A34" s="21" t="s">
        <v>408</v>
      </c>
      <c r="B34" s="16" t="s">
        <v>193</v>
      </c>
      <c r="C34" s="16" t="s">
        <v>404</v>
      </c>
      <c r="D34" s="22" t="s">
        <v>30</v>
      </c>
      <c r="E34" s="22" t="s">
        <v>85</v>
      </c>
      <c r="F34" s="125">
        <f t="shared" si="6"/>
        <v>7.9177509000000017E-4</v>
      </c>
      <c r="G34" s="96">
        <v>2.0000000000000001E-4</v>
      </c>
      <c r="H34" s="97">
        <v>9.9999999999999995E-7</v>
      </c>
      <c r="I34" s="98">
        <v>5.3499999999999999E-4</v>
      </c>
      <c r="J34" s="98">
        <v>5.3499999999999999E-5</v>
      </c>
      <c r="K34" s="98">
        <v>6.92E-7</v>
      </c>
      <c r="L34" s="98"/>
      <c r="M34" s="98">
        <v>3.0899999999999999E-9</v>
      </c>
      <c r="N34" s="98">
        <v>1.5799999999999999E-6</v>
      </c>
      <c r="O34" s="98"/>
      <c r="P34" s="98"/>
      <c r="Q34" s="13"/>
      <c r="R34" s="145">
        <f>'Parameters, country spec'!D25</f>
        <v>0.38499846835384366</v>
      </c>
    </row>
    <row r="35" spans="1:18" x14ac:dyDescent="0.25">
      <c r="A35" s="21" t="s">
        <v>409</v>
      </c>
      <c r="B35" s="16" t="s">
        <v>194</v>
      </c>
      <c r="C35" s="16" t="s">
        <v>410</v>
      </c>
      <c r="D35" s="22" t="s">
        <v>30</v>
      </c>
      <c r="E35" s="22" t="s">
        <v>85</v>
      </c>
      <c r="F35" s="125">
        <f t="shared" si="6"/>
        <v>3.4280618000000006E-4</v>
      </c>
      <c r="G35" s="96">
        <v>0</v>
      </c>
      <c r="H35" s="97">
        <v>9.9999999999999995E-7</v>
      </c>
      <c r="I35" s="98">
        <v>3.0800000000000001E-4</v>
      </c>
      <c r="J35" s="98">
        <v>3.0800000000000003E-5</v>
      </c>
      <c r="K35" s="98">
        <v>1.42E-6</v>
      </c>
      <c r="L35" s="98"/>
      <c r="M35" s="98">
        <v>6.1799999999999998E-9</v>
      </c>
      <c r="N35" s="98">
        <v>1.5799999999999999E-6</v>
      </c>
      <c r="O35" s="98"/>
      <c r="P35" s="98"/>
      <c r="Q35" s="13"/>
      <c r="R35" s="145">
        <f>'Parameters, country spec'!D26</f>
        <v>1.3290604571676279E-3</v>
      </c>
    </row>
    <row r="36" spans="1:18" x14ac:dyDescent="0.25">
      <c r="A36" s="21" t="s">
        <v>411</v>
      </c>
      <c r="B36" s="16" t="s">
        <v>195</v>
      </c>
      <c r="C36" s="16" t="s">
        <v>410</v>
      </c>
      <c r="D36" s="22" t="s">
        <v>30</v>
      </c>
      <c r="E36" s="22" t="s">
        <v>85</v>
      </c>
      <c r="F36" s="125">
        <f t="shared" si="6"/>
        <v>3.6247300000000004E-4</v>
      </c>
      <c r="G36" s="96">
        <v>8.6000000000000007E-6</v>
      </c>
      <c r="H36" s="97">
        <v>9.9999999999999995E-7</v>
      </c>
      <c r="I36" s="98">
        <v>3.1799999999999998E-4</v>
      </c>
      <c r="J36" s="98">
        <v>3.18E-5</v>
      </c>
      <c r="K36" s="98">
        <v>1.24E-6</v>
      </c>
      <c r="L36" s="98"/>
      <c r="M36" s="98">
        <v>2.53E-7</v>
      </c>
      <c r="N36" s="98">
        <v>1.5799999999999999E-6</v>
      </c>
      <c r="O36" s="98"/>
      <c r="P36" s="98"/>
      <c r="Q36" s="13"/>
      <c r="R36" s="145">
        <f>'Parameters, country spec'!D27</f>
        <v>1.3055753467122256E-3</v>
      </c>
    </row>
    <row r="37" spans="1:18" x14ac:dyDescent="0.25">
      <c r="B37" s="17" t="s">
        <v>196</v>
      </c>
      <c r="C37" s="16" t="s">
        <v>412</v>
      </c>
      <c r="D37" s="22" t="s">
        <v>460</v>
      </c>
      <c r="E37" s="22"/>
      <c r="F37" s="125">
        <f t="shared" si="6"/>
        <v>6.732045566157569E-4</v>
      </c>
      <c r="G37" s="33">
        <f>'Off-farm feed'!$F$77</f>
        <v>1.946970439026595E-4</v>
      </c>
      <c r="H37" s="33">
        <f>'Off-farm feed'!$G$77</f>
        <v>5.3103448275862083E-7</v>
      </c>
      <c r="I37" s="33">
        <f>'Off-farm feed'!$H$77</f>
        <v>4.2751561806777074E-4</v>
      </c>
      <c r="J37" s="33">
        <f>'Off-farm feed'!$I$77</f>
        <v>4.2751561806777089E-5</v>
      </c>
      <c r="K37" s="33">
        <f>'Off-farm feed'!$J$77</f>
        <v>6.6339607025480414E-7</v>
      </c>
      <c r="L37" s="33"/>
      <c r="M37" s="33">
        <f>'Off-farm feed'!$L$77</f>
        <v>7.9511067188965511E-9</v>
      </c>
      <c r="N37" s="33">
        <f>'Off-farm feed'!$M$77</f>
        <v>1.2789681892721844E-6</v>
      </c>
      <c r="O37" s="33"/>
      <c r="P37" s="33">
        <f>'Off-farm feed'!$O$77</f>
        <v>3.9312802868423834E-6</v>
      </c>
      <c r="Q37" s="33">
        <f>'Off-farm feed'!$P$77</f>
        <v>1.8277027027027027E-6</v>
      </c>
      <c r="R37" s="145">
        <f>'Parameters, country spec'!D28</f>
        <v>0.13439854710458843</v>
      </c>
    </row>
    <row r="38" spans="1:18" x14ac:dyDescent="0.25">
      <c r="B38" s="17" t="s">
        <v>413</v>
      </c>
      <c r="C38" s="16" t="s">
        <v>412</v>
      </c>
      <c r="D38" s="22" t="s">
        <v>437</v>
      </c>
      <c r="E38" s="22"/>
      <c r="F38" s="125">
        <f t="shared" si="6"/>
        <v>1.8866346644602505E-4</v>
      </c>
      <c r="G38" s="33">
        <f>'Off-farm feed'!$F$26</f>
        <v>1.6332109719061441E-5</v>
      </c>
      <c r="H38" s="33">
        <f>'Off-farm feed'!$G$26</f>
        <v>8.7195121951219526E-7</v>
      </c>
      <c r="I38" s="33">
        <f>'Off-farm feed'!$H$26</f>
        <v>1.3333449845358202E-4</v>
      </c>
      <c r="J38" s="33">
        <f>'Off-farm feed'!$I$26</f>
        <v>1.3333449845358203E-5</v>
      </c>
      <c r="K38" s="33">
        <f>'Off-farm feed'!$J$26</f>
        <v>1.1576736579983931E-6</v>
      </c>
      <c r="L38" s="33"/>
      <c r="M38" s="33">
        <f>'Off-farm feed'!$L$26</f>
        <v>7.3437786087804866E-9</v>
      </c>
      <c r="N38" s="33">
        <f>'Off-farm feed'!$M$26</f>
        <v>1.1195281639512197E-6</v>
      </c>
      <c r="O38" s="33"/>
      <c r="P38" s="33">
        <f>'Off-farm feed'!$O$26</f>
        <v>1.3419073770114991E-5</v>
      </c>
      <c r="Q38" s="33">
        <f>'Off-farm feed'!$P$26</f>
        <v>9.087837837837838E-6</v>
      </c>
      <c r="R38" s="145">
        <f>'Parameters, country spec'!D29</f>
        <v>0.12913839280171097</v>
      </c>
    </row>
    <row r="39" spans="1:18" x14ac:dyDescent="0.25">
      <c r="B39" s="16" t="s">
        <v>198</v>
      </c>
      <c r="C39" s="16" t="s">
        <v>414</v>
      </c>
      <c r="D39" s="22" t="s">
        <v>30</v>
      </c>
      <c r="E39" s="22" t="s">
        <v>85</v>
      </c>
      <c r="F39" s="125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45">
        <f>'Parameters, country spec'!D30</f>
        <v>2.5759825634764286E-2</v>
      </c>
    </row>
    <row r="40" spans="1:18" x14ac:dyDescent="0.25">
      <c r="A40" s="80"/>
      <c r="B40" s="16" t="s">
        <v>415</v>
      </c>
      <c r="C40" s="81" t="s">
        <v>416</v>
      </c>
      <c r="D40" s="22" t="s">
        <v>30</v>
      </c>
      <c r="E40" s="22" t="s">
        <v>85</v>
      </c>
      <c r="F40" s="125">
        <f t="shared" si="6"/>
        <v>5.5026263316269831E-4</v>
      </c>
      <c r="G40" s="79">
        <f t="shared" ref="G40:N40" si="7">AVERAGE(G30:G38)</f>
        <v>1.1773657262463566E-4</v>
      </c>
      <c r="H40" s="79">
        <f t="shared" si="7"/>
        <v>9.3366507803009054E-7</v>
      </c>
      <c r="I40" s="79">
        <f t="shared" si="7"/>
        <v>3.9009445739126143E-4</v>
      </c>
      <c r="J40" s="79">
        <f t="shared" si="7"/>
        <v>3.9009445739126143E-5</v>
      </c>
      <c r="K40" s="79">
        <f t="shared" si="7"/>
        <v>9.5367441425035542E-7</v>
      </c>
      <c r="L40" s="79"/>
      <c r="M40" s="79">
        <f t="shared" si="7"/>
        <v>3.9429431703075228E-8</v>
      </c>
      <c r="N40" s="79">
        <f t="shared" si="7"/>
        <v>1.4953884836914891E-6</v>
      </c>
      <c r="O40" s="79"/>
      <c r="P40" s="79"/>
      <c r="Q40" s="79"/>
      <c r="R40" s="145">
        <f>'Parameters, country spec'!D31</f>
        <v>1.7349943502934249E-2</v>
      </c>
    </row>
    <row r="41" spans="1:18" x14ac:dyDescent="0.25">
      <c r="A41" s="144"/>
      <c r="B41" s="24" t="s">
        <v>417</v>
      </c>
      <c r="C41" s="25"/>
      <c r="D41" s="99"/>
      <c r="E41" s="99"/>
      <c r="F41" s="45">
        <f t="shared" ref="F41:O41" si="8">SUMPRODUCT(F30:F40,$R$30:$R$40)</f>
        <v>6.3413295568684762E-4</v>
      </c>
      <c r="G41" s="45">
        <f t="shared" si="8"/>
        <v>1.5988950829999167E-4</v>
      </c>
      <c r="H41" s="45">
        <f t="shared" si="8"/>
        <v>8.935249693449792E-7</v>
      </c>
      <c r="I41" s="45">
        <f t="shared" si="8"/>
        <v>4.2499485111673757E-4</v>
      </c>
      <c r="J41" s="45">
        <f t="shared" si="8"/>
        <v>4.2499485111673767E-5</v>
      </c>
      <c r="K41" s="45">
        <f t="shared" si="8"/>
        <v>7.218054467132933E-7</v>
      </c>
      <c r="L41" s="45">
        <f t="shared" si="8"/>
        <v>0</v>
      </c>
      <c r="M41" s="45">
        <f t="shared" si="8"/>
        <v>1.5366764172719215E-8</v>
      </c>
      <c r="N41" s="45">
        <f t="shared" si="8"/>
        <v>1.4379086396375483E-6</v>
      </c>
      <c r="O41" s="45">
        <f t="shared" si="8"/>
        <v>0</v>
      </c>
      <c r="P41" s="45">
        <f>SUMPRODUCT(P30:P40,R30:R40)</f>
        <v>2.2612759783727722E-6</v>
      </c>
      <c r="Q41" s="45">
        <f>SUMPRODUCT(Q30:Q40,$R$30:$R$40)</f>
        <v>1.4192293602033272E-6</v>
      </c>
      <c r="R41" s="146"/>
    </row>
    <row r="42" spans="1:18" x14ac:dyDescent="0.25">
      <c r="A42" s="21" t="s">
        <v>403</v>
      </c>
      <c r="B42" s="16" t="s">
        <v>187</v>
      </c>
      <c r="C42" s="16" t="s">
        <v>404</v>
      </c>
      <c r="D42" s="22" t="s">
        <v>25</v>
      </c>
      <c r="E42" s="22" t="s">
        <v>86</v>
      </c>
      <c r="F42" s="315">
        <f>SUM(G42:Q42)</f>
        <v>5.3860780000000003E-4</v>
      </c>
      <c r="G42" s="305">
        <v>1.8000000000000001E-4</v>
      </c>
      <c r="H42" s="306">
        <v>9.9999999999999995E-7</v>
      </c>
      <c r="I42" s="309">
        <v>3.2200000000000002E-4</v>
      </c>
      <c r="J42" s="309">
        <v>3.2199999999999997E-5</v>
      </c>
      <c r="K42" s="309">
        <v>1.77E-6</v>
      </c>
      <c r="L42" s="309"/>
      <c r="M42" s="309">
        <v>2.7800000000000001E-8</v>
      </c>
      <c r="N42" s="309">
        <v>1.61E-6</v>
      </c>
      <c r="O42" s="309"/>
      <c r="P42" s="309"/>
      <c r="Q42" s="308"/>
      <c r="R42" s="310">
        <f>'Parameters, country spec'!E21</f>
        <v>0.14058778141858874</v>
      </c>
    </row>
    <row r="43" spans="1:18" x14ac:dyDescent="0.25">
      <c r="A43" s="21" t="s">
        <v>405</v>
      </c>
      <c r="B43" s="16" t="s">
        <v>189</v>
      </c>
      <c r="C43" s="16" t="s">
        <v>404</v>
      </c>
      <c r="D43" s="22" t="s">
        <v>25</v>
      </c>
      <c r="E43" s="22" t="s">
        <v>86</v>
      </c>
      <c r="F43" s="125">
        <f t="shared" ref="F43:F52" si="9">SUM(G43:Q43)</f>
        <v>4.1570499999999999E-4</v>
      </c>
      <c r="G43" s="96">
        <v>1.7000000000000001E-4</v>
      </c>
      <c r="H43" s="97">
        <v>9.9999999999999995E-7</v>
      </c>
      <c r="I43" s="98">
        <v>2.2000000000000001E-4</v>
      </c>
      <c r="J43" s="98">
        <v>2.1999999999999999E-5</v>
      </c>
      <c r="K43" s="98">
        <v>4.5900000000000002E-7</v>
      </c>
      <c r="L43" s="98"/>
      <c r="M43" s="98">
        <v>6.3600000000000003E-7</v>
      </c>
      <c r="N43" s="98">
        <v>1.61E-6</v>
      </c>
      <c r="O43" s="98"/>
      <c r="P43" s="98"/>
      <c r="Q43" s="13"/>
      <c r="R43" s="145">
        <f>'Parameters, country spec'!E22</f>
        <v>0.42048559354051435</v>
      </c>
    </row>
    <row r="44" spans="1:18" x14ac:dyDescent="0.25">
      <c r="A44" s="21" t="s">
        <v>406</v>
      </c>
      <c r="B44" s="16" t="s">
        <v>191</v>
      </c>
      <c r="C44" s="16" t="s">
        <v>404</v>
      </c>
      <c r="D44" s="22" t="s">
        <v>25</v>
      </c>
      <c r="E44" s="22" t="s">
        <v>86</v>
      </c>
      <c r="F44" s="125">
        <f t="shared" si="9"/>
        <v>4.1096199999999996E-4</v>
      </c>
      <c r="G44" s="96">
        <v>1.4999999999999999E-4</v>
      </c>
      <c r="H44" s="97">
        <v>9.9999999999999995E-7</v>
      </c>
      <c r="I44" s="98">
        <v>2.31E-4</v>
      </c>
      <c r="J44" s="98">
        <v>2.3099999999999999E-5</v>
      </c>
      <c r="K44" s="98">
        <v>3.7299999999999999E-6</v>
      </c>
      <c r="L44" s="98"/>
      <c r="M44" s="98">
        <v>5.2200000000000004E-7</v>
      </c>
      <c r="N44" s="98">
        <v>1.61E-6</v>
      </c>
      <c r="O44" s="98"/>
      <c r="P44" s="98"/>
      <c r="Q44" s="13"/>
      <c r="R44" s="145">
        <f>'Parameters, country spec'!E23</f>
        <v>3.8207301246899875E-2</v>
      </c>
    </row>
    <row r="45" spans="1:18" x14ac:dyDescent="0.25">
      <c r="A45" s="21" t="s">
        <v>407</v>
      </c>
      <c r="B45" s="16" t="s">
        <v>192</v>
      </c>
      <c r="C45" s="16" t="s">
        <v>404</v>
      </c>
      <c r="D45" s="22" t="s">
        <v>25</v>
      </c>
      <c r="E45" s="22" t="s">
        <v>86</v>
      </c>
      <c r="F45" s="125">
        <f t="shared" si="9"/>
        <v>3.7824308999999997E-4</v>
      </c>
      <c r="G45" s="96">
        <v>1.3999999999999999E-4</v>
      </c>
      <c r="H45" s="97">
        <v>9.9999999999999995E-7</v>
      </c>
      <c r="I45" s="98">
        <v>2.12E-4</v>
      </c>
      <c r="J45" s="98">
        <v>2.12E-5</v>
      </c>
      <c r="K45" s="98">
        <v>2.43E-6</v>
      </c>
      <c r="L45" s="98"/>
      <c r="M45" s="98">
        <v>3.0899999999999999E-9</v>
      </c>
      <c r="N45" s="98">
        <v>1.61E-6</v>
      </c>
      <c r="O45" s="98"/>
      <c r="P45" s="98"/>
      <c r="Q45" s="13"/>
      <c r="R45" s="145">
        <f>'Parameters, country spec'!E24</f>
        <v>8.4271833798069493E-3</v>
      </c>
    </row>
    <row r="46" spans="1:18" x14ac:dyDescent="0.25">
      <c r="A46" s="21" t="s">
        <v>408</v>
      </c>
      <c r="B46" s="16" t="s">
        <v>193</v>
      </c>
      <c r="C46" s="16" t="s">
        <v>404</v>
      </c>
      <c r="D46" s="22" t="s">
        <v>25</v>
      </c>
      <c r="E46" s="22" t="s">
        <v>86</v>
      </c>
      <c r="F46" s="125">
        <f t="shared" si="9"/>
        <v>4.992703E-4</v>
      </c>
      <c r="G46" s="96">
        <v>2.0000000000000001E-4</v>
      </c>
      <c r="H46" s="97">
        <v>9.9999999999999995E-7</v>
      </c>
      <c r="I46" s="98">
        <v>2.6800000000000001E-4</v>
      </c>
      <c r="J46" s="98">
        <v>2.6800000000000001E-5</v>
      </c>
      <c r="K46" s="98">
        <v>1.7799999999999999E-6</v>
      </c>
      <c r="L46" s="98"/>
      <c r="M46" s="98">
        <v>8.0299999999999998E-8</v>
      </c>
      <c r="N46" s="98">
        <v>1.61E-6</v>
      </c>
      <c r="O46" s="98"/>
      <c r="P46" s="98"/>
      <c r="Q46" s="13"/>
      <c r="R46" s="145">
        <f>'Parameters, country spec'!E25</f>
        <v>6.0433584669897823E-3</v>
      </c>
    </row>
    <row r="47" spans="1:18" x14ac:dyDescent="0.25">
      <c r="A47" s="21" t="s">
        <v>409</v>
      </c>
      <c r="B47" s="16" t="s">
        <v>194</v>
      </c>
      <c r="C47" s="16" t="s">
        <v>410</v>
      </c>
      <c r="D47" s="22" t="s">
        <v>25</v>
      </c>
      <c r="E47" s="22" t="s">
        <v>86</v>
      </c>
      <c r="F47" s="125">
        <f t="shared" si="9"/>
        <v>1.7493699999999998E-4</v>
      </c>
      <c r="G47" s="96">
        <v>0</v>
      </c>
      <c r="H47" s="97">
        <v>9.9999999999999995E-7</v>
      </c>
      <c r="I47" s="98">
        <v>1.54E-4</v>
      </c>
      <c r="J47" s="98">
        <v>1.5400000000000002E-5</v>
      </c>
      <c r="K47" s="98">
        <v>2.7999999999999999E-6</v>
      </c>
      <c r="L47" s="98"/>
      <c r="M47" s="98">
        <v>1.2700000000000001E-7</v>
      </c>
      <c r="N47" s="98">
        <v>1.61E-6</v>
      </c>
      <c r="O47" s="98"/>
      <c r="P47" s="98"/>
      <c r="Q47" s="13"/>
      <c r="R47" s="145">
        <f>'Parameters, country spec'!E26</f>
        <v>8.3484845362647169E-4</v>
      </c>
    </row>
    <row r="48" spans="1:18" x14ac:dyDescent="0.25">
      <c r="A48" s="21" t="s">
        <v>411</v>
      </c>
      <c r="B48" s="16" t="s">
        <v>195</v>
      </c>
      <c r="C48" s="16" t="s">
        <v>410</v>
      </c>
      <c r="D48" s="22" t="s">
        <v>25</v>
      </c>
      <c r="E48" s="22" t="s">
        <v>86</v>
      </c>
      <c r="F48" s="125">
        <f t="shared" si="9"/>
        <v>1.8877999999999999E-4</v>
      </c>
      <c r="G48" s="96">
        <v>8.6000000000000007E-6</v>
      </c>
      <c r="H48" s="97">
        <v>9.9999999999999995E-7</v>
      </c>
      <c r="I48" s="98">
        <v>1.5899999999999999E-4</v>
      </c>
      <c r="J48" s="98">
        <v>1.59E-5</v>
      </c>
      <c r="K48" s="98">
        <v>1.7400000000000001E-6</v>
      </c>
      <c r="L48" s="98"/>
      <c r="M48" s="98">
        <v>9.2999999999999999E-7</v>
      </c>
      <c r="N48" s="98">
        <v>1.61E-6</v>
      </c>
      <c r="O48" s="98"/>
      <c r="P48" s="98"/>
      <c r="Q48" s="13"/>
      <c r="R48" s="145">
        <f>'Parameters, country spec'!E27</f>
        <v>8.2009629650373257E-4</v>
      </c>
    </row>
    <row r="49" spans="1:18" x14ac:dyDescent="0.25">
      <c r="B49" s="17" t="s">
        <v>196</v>
      </c>
      <c r="C49" s="16" t="s">
        <v>412</v>
      </c>
      <c r="D49" s="22" t="s">
        <v>460</v>
      </c>
      <c r="E49" s="22"/>
      <c r="F49" s="125">
        <f t="shared" si="9"/>
        <v>6.732045566157569E-4</v>
      </c>
      <c r="G49" s="33">
        <f>'Off-farm feed'!$F$77</f>
        <v>1.946970439026595E-4</v>
      </c>
      <c r="H49" s="33">
        <f>'Off-farm feed'!$G$77</f>
        <v>5.3103448275862083E-7</v>
      </c>
      <c r="I49" s="33">
        <f>'Off-farm feed'!$H$77</f>
        <v>4.2751561806777074E-4</v>
      </c>
      <c r="J49" s="33">
        <f>'Off-farm feed'!$I$77</f>
        <v>4.2751561806777089E-5</v>
      </c>
      <c r="K49" s="33">
        <f>'Off-farm feed'!$J$77</f>
        <v>6.6339607025480414E-7</v>
      </c>
      <c r="L49" s="33"/>
      <c r="M49" s="33">
        <f>'Off-farm feed'!$L$77</f>
        <v>7.9511067188965511E-9</v>
      </c>
      <c r="N49" s="33">
        <f>'Off-farm feed'!$M$77</f>
        <v>1.2789681892721844E-6</v>
      </c>
      <c r="O49" s="33"/>
      <c r="P49" s="33">
        <f>'Off-farm feed'!$O$77</f>
        <v>3.9312802868423834E-6</v>
      </c>
      <c r="Q49" s="33">
        <f>'Off-farm feed'!$P$77</f>
        <v>1.8277027027027027E-6</v>
      </c>
      <c r="R49" s="145">
        <f>'Parameters, country spec'!E28</f>
        <v>9.11078407125663E-4</v>
      </c>
    </row>
    <row r="50" spans="1:18" x14ac:dyDescent="0.25">
      <c r="B50" s="17" t="s">
        <v>413</v>
      </c>
      <c r="C50" s="16" t="s">
        <v>412</v>
      </c>
      <c r="D50" s="22" t="s">
        <v>437</v>
      </c>
      <c r="E50" s="22"/>
      <c r="F50" s="125">
        <f t="shared" si="9"/>
        <v>1.8866346644602505E-4</v>
      </c>
      <c r="G50" s="33">
        <f>'Off-farm feed'!$F$26</f>
        <v>1.6332109719061441E-5</v>
      </c>
      <c r="H50" s="33">
        <f>'Off-farm feed'!$G$26</f>
        <v>8.7195121951219526E-7</v>
      </c>
      <c r="I50" s="33">
        <f>'Off-farm feed'!$H$26</f>
        <v>1.3333449845358202E-4</v>
      </c>
      <c r="J50" s="33">
        <f>'Off-farm feed'!$I$26</f>
        <v>1.3333449845358203E-5</v>
      </c>
      <c r="K50" s="33">
        <f>'Off-farm feed'!$J$26</f>
        <v>1.1576736579983931E-6</v>
      </c>
      <c r="L50" s="33"/>
      <c r="M50" s="33">
        <f>'Off-farm feed'!$L$26</f>
        <v>7.3437786087804866E-9</v>
      </c>
      <c r="N50" s="33">
        <f>'Off-farm feed'!$M$26</f>
        <v>1.1195281639512197E-6</v>
      </c>
      <c r="O50" s="33"/>
      <c r="P50" s="33">
        <f>'Off-farm feed'!$O$26</f>
        <v>1.3419073770114991E-5</v>
      </c>
      <c r="Q50" s="33">
        <f>'Off-farm feed'!$P$26</f>
        <v>9.087837837837838E-6</v>
      </c>
      <c r="R50" s="145">
        <f>'Parameters, country spec'!E29</f>
        <v>0.16053788194639729</v>
      </c>
    </row>
    <row r="51" spans="1:18" x14ac:dyDescent="0.25">
      <c r="B51" s="16" t="s">
        <v>198</v>
      </c>
      <c r="C51" s="16" t="s">
        <v>414</v>
      </c>
      <c r="D51" s="22" t="s">
        <v>25</v>
      </c>
      <c r="E51" s="22" t="s">
        <v>86</v>
      </c>
      <c r="F51" s="125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45">
        <f>'Parameters, country spec'!E30</f>
        <v>0.10119467109899569</v>
      </c>
    </row>
    <row r="52" spans="1:18" x14ac:dyDescent="0.25">
      <c r="A52" s="80"/>
      <c r="B52" s="16" t="s">
        <v>415</v>
      </c>
      <c r="C52" s="81" t="s">
        <v>416</v>
      </c>
      <c r="D52" s="22" t="s">
        <v>25</v>
      </c>
      <c r="E52" s="22" t="s">
        <v>86</v>
      </c>
      <c r="F52" s="125">
        <f t="shared" si="9"/>
        <v>3.8223414649603163E-4</v>
      </c>
      <c r="G52" s="79">
        <f t="shared" ref="G52:N52" si="10">AVERAGE(G42:G50)</f>
        <v>1.1773657262463566E-4</v>
      </c>
      <c r="H52" s="79">
        <f t="shared" si="10"/>
        <v>9.3366507803009054E-7</v>
      </c>
      <c r="I52" s="79">
        <f t="shared" si="10"/>
        <v>2.3631667961348366E-4</v>
      </c>
      <c r="J52" s="79">
        <f t="shared" si="10"/>
        <v>2.3631667961348367E-5</v>
      </c>
      <c r="K52" s="79">
        <f t="shared" si="10"/>
        <v>1.8366744142503553E-6</v>
      </c>
      <c r="L52" s="79"/>
      <c r="M52" s="79">
        <f t="shared" si="10"/>
        <v>2.6016498725863077E-7</v>
      </c>
      <c r="N52" s="79">
        <f t="shared" si="10"/>
        <v>1.5187218170248227E-6</v>
      </c>
      <c r="O52" s="79"/>
      <c r="P52" s="79"/>
      <c r="Q52" s="79"/>
      <c r="R52" s="145">
        <f>'Parameters, country spec'!E31</f>
        <v>0.1219502057445514</v>
      </c>
    </row>
    <row r="53" spans="1:18" x14ac:dyDescent="0.25">
      <c r="A53" s="144"/>
      <c r="B53" s="24" t="s">
        <v>417</v>
      </c>
      <c r="C53" s="25"/>
      <c r="D53" s="99"/>
      <c r="E53" s="99"/>
      <c r="F53" s="45">
        <f t="shared" ref="F53:O53" si="11">SUMPRODUCT(F42:F52,$R$42:$R$52)</f>
        <v>3.5024155344052257E-4</v>
      </c>
      <c r="G53" s="45">
        <f t="shared" si="11"/>
        <v>1.2207228276886708E-4</v>
      </c>
      <c r="H53" s="45">
        <f t="shared" si="11"/>
        <v>8.6973182715694838E-7</v>
      </c>
      <c r="I53" s="45">
        <f t="shared" si="11"/>
        <v>2.0088073362259484E-4</v>
      </c>
      <c r="J53" s="45">
        <f t="shared" si="11"/>
        <v>2.0088073362259486E-5</v>
      </c>
      <c r="K53" s="45">
        <f t="shared" si="11"/>
        <v>1.0297939766859434E-6</v>
      </c>
      <c r="L53" s="45">
        <f t="shared" si="11"/>
        <v>0</v>
      </c>
      <c r="M53" s="45">
        <f t="shared" si="11"/>
        <v>3.2557479852568735E-7</v>
      </c>
      <c r="N53" s="45">
        <f t="shared" si="11"/>
        <v>1.3569042806883474E-6</v>
      </c>
      <c r="O53" s="45">
        <f t="shared" si="11"/>
        <v>0</v>
      </c>
      <c r="P53" s="45">
        <f>SUMPRODUCT(P42:P52,R42:R52)</f>
        <v>2.1578513853184173E-6</v>
      </c>
      <c r="Q53" s="45">
        <f>SUMPRODUCT(Q42:Q52,$R$42:$R$52)</f>
        <v>1.460607418425891E-6</v>
      </c>
      <c r="R53" s="146"/>
    </row>
    <row r="54" spans="1:18" x14ac:dyDescent="0.25">
      <c r="A54" s="21" t="s">
        <v>403</v>
      </c>
      <c r="B54" s="16" t="s">
        <v>187</v>
      </c>
      <c r="C54" s="16" t="s">
        <v>404</v>
      </c>
      <c r="D54" s="22" t="s">
        <v>28</v>
      </c>
      <c r="E54" s="22" t="s">
        <v>87</v>
      </c>
      <c r="F54" s="315">
        <f>SUM(G54:Q54)</f>
        <v>4.5179309000000005E-4</v>
      </c>
      <c r="G54" s="305">
        <v>1.8000000000000001E-4</v>
      </c>
      <c r="H54" s="306">
        <v>9.9999999999999995E-7</v>
      </c>
      <c r="I54" s="309">
        <v>2.4399999999999999E-4</v>
      </c>
      <c r="J54" s="309">
        <v>2.44E-5</v>
      </c>
      <c r="K54" s="309">
        <v>9.0999999999999997E-7</v>
      </c>
      <c r="L54" s="309"/>
      <c r="M54" s="309">
        <v>3.0899999999999999E-9</v>
      </c>
      <c r="N54" s="309">
        <v>1.48E-6</v>
      </c>
      <c r="O54" s="309"/>
      <c r="P54" s="309"/>
      <c r="Q54" s="308"/>
      <c r="R54" s="310">
        <f>'Parameters, country spec'!F21</f>
        <v>7.6814695206271766E-2</v>
      </c>
    </row>
    <row r="55" spans="1:18" x14ac:dyDescent="0.25">
      <c r="A55" s="21" t="s">
        <v>405</v>
      </c>
      <c r="B55" s="16" t="s">
        <v>189</v>
      </c>
      <c r="C55" s="16" t="s">
        <v>404</v>
      </c>
      <c r="D55" s="22" t="s">
        <v>28</v>
      </c>
      <c r="E55" s="22" t="s">
        <v>87</v>
      </c>
      <c r="F55" s="125">
        <f t="shared" ref="F55:F64" si="12">SUM(G55:Q55)</f>
        <v>4.1514018000000003E-4</v>
      </c>
      <c r="G55" s="96">
        <v>1.7000000000000001E-4</v>
      </c>
      <c r="H55" s="97">
        <v>9.9999999999999995E-7</v>
      </c>
      <c r="I55" s="98">
        <v>2.2000000000000001E-4</v>
      </c>
      <c r="J55" s="98">
        <v>2.1999999999999999E-5</v>
      </c>
      <c r="K55" s="98">
        <v>6.5400000000000001E-7</v>
      </c>
      <c r="L55" s="98"/>
      <c r="M55" s="98">
        <v>6.1799999999999998E-9</v>
      </c>
      <c r="N55" s="98">
        <v>1.48E-6</v>
      </c>
      <c r="O55" s="98"/>
      <c r="P55" s="98"/>
      <c r="Q55" s="13"/>
      <c r="R55" s="145">
        <f>'Parameters, country spec'!F22</f>
        <v>0.45561964069086464</v>
      </c>
    </row>
    <row r="56" spans="1:18" x14ac:dyDescent="0.25">
      <c r="A56" s="21" t="s">
        <v>406</v>
      </c>
      <c r="B56" s="16" t="s">
        <v>191</v>
      </c>
      <c r="C56" s="16" t="s">
        <v>404</v>
      </c>
      <c r="D56" s="22" t="s">
        <v>28</v>
      </c>
      <c r="E56" s="22" t="s">
        <v>87</v>
      </c>
      <c r="F56" s="125">
        <f t="shared" si="12"/>
        <v>4.0830779999999995E-4</v>
      </c>
      <c r="G56" s="96">
        <v>1.4999999999999999E-4</v>
      </c>
      <c r="H56" s="97">
        <v>9.9999999999999995E-7</v>
      </c>
      <c r="I56" s="98">
        <v>2.31E-4</v>
      </c>
      <c r="J56" s="98">
        <v>2.3099999999999999E-5</v>
      </c>
      <c r="K56" s="98">
        <v>1.7E-6</v>
      </c>
      <c r="L56" s="98"/>
      <c r="M56" s="98">
        <v>2.7800000000000001E-8</v>
      </c>
      <c r="N56" s="98">
        <v>1.48E-6</v>
      </c>
      <c r="O56" s="98"/>
      <c r="P56" s="98"/>
      <c r="Q56" s="13"/>
      <c r="R56" s="145">
        <f>'Parameters, country spec'!F23</f>
        <v>4.1142483484800152E-2</v>
      </c>
    </row>
    <row r="57" spans="1:18" x14ac:dyDescent="0.25">
      <c r="A57" s="21" t="s">
        <v>407</v>
      </c>
      <c r="B57" s="16" t="s">
        <v>192</v>
      </c>
      <c r="C57" s="16" t="s">
        <v>404</v>
      </c>
      <c r="D57" s="22" t="s">
        <v>28</v>
      </c>
      <c r="E57" s="22" t="s">
        <v>87</v>
      </c>
      <c r="F57" s="125">
        <f t="shared" si="12"/>
        <v>3.7715999999999997E-4</v>
      </c>
      <c r="G57" s="96">
        <v>1.3999999999999999E-4</v>
      </c>
      <c r="H57" s="97">
        <v>9.9999999999999995E-7</v>
      </c>
      <c r="I57" s="98">
        <v>2.12E-4</v>
      </c>
      <c r="J57" s="98">
        <v>2.12E-5</v>
      </c>
      <c r="K57" s="98">
        <v>1.48E-6</v>
      </c>
      <c r="L57" s="98"/>
      <c r="M57" s="98">
        <v>0</v>
      </c>
      <c r="N57" s="98">
        <v>1.48E-6</v>
      </c>
      <c r="O57" s="98"/>
      <c r="P57" s="98"/>
      <c r="Q57" s="13"/>
      <c r="R57" s="145">
        <f>'Parameters, country spec'!F24</f>
        <v>1.5990662090106512E-2</v>
      </c>
    </row>
    <row r="58" spans="1:18" x14ac:dyDescent="0.25">
      <c r="A58" s="21" t="s">
        <v>408</v>
      </c>
      <c r="B58" s="16" t="s">
        <v>193</v>
      </c>
      <c r="C58" s="16" t="s">
        <v>404</v>
      </c>
      <c r="D58" s="22" t="s">
        <v>28</v>
      </c>
      <c r="E58" s="22" t="s">
        <v>87</v>
      </c>
      <c r="F58" s="125">
        <f t="shared" si="12"/>
        <v>4.9822218000000003E-4</v>
      </c>
      <c r="G58" s="96">
        <v>2.0000000000000001E-4</v>
      </c>
      <c r="H58" s="97">
        <v>9.9999999999999995E-7</v>
      </c>
      <c r="I58" s="98">
        <v>2.6800000000000001E-4</v>
      </c>
      <c r="J58" s="98">
        <v>2.6800000000000001E-5</v>
      </c>
      <c r="K58" s="98">
        <v>9.3600000000000002E-7</v>
      </c>
      <c r="L58" s="98"/>
      <c r="M58" s="98">
        <v>6.1799999999999998E-9</v>
      </c>
      <c r="N58" s="98">
        <v>1.48E-6</v>
      </c>
      <c r="O58" s="98"/>
      <c r="P58" s="98"/>
      <c r="Q58" s="13"/>
      <c r="R58" s="145">
        <f>'Parameters, country spec'!F25</f>
        <v>7.1936556132033619E-2</v>
      </c>
    </row>
    <row r="59" spans="1:18" x14ac:dyDescent="0.25">
      <c r="A59" s="21" t="s">
        <v>409</v>
      </c>
      <c r="B59" s="16" t="s">
        <v>194</v>
      </c>
      <c r="C59" s="16" t="s">
        <v>410</v>
      </c>
      <c r="D59" s="22" t="s">
        <v>28</v>
      </c>
      <c r="E59" s="22" t="s">
        <v>87</v>
      </c>
      <c r="F59" s="125">
        <f t="shared" si="12"/>
        <v>1.7401899999999997E-4</v>
      </c>
      <c r="G59" s="96">
        <v>0</v>
      </c>
      <c r="H59" s="97">
        <v>9.9999999999999995E-7</v>
      </c>
      <c r="I59" s="98">
        <v>1.54E-4</v>
      </c>
      <c r="J59" s="98">
        <v>1.5400000000000002E-5</v>
      </c>
      <c r="K59" s="98">
        <v>1.9099999999999999E-6</v>
      </c>
      <c r="L59" s="98"/>
      <c r="M59" s="98">
        <v>2.29E-7</v>
      </c>
      <c r="N59" s="98">
        <v>1.48E-6</v>
      </c>
      <c r="O59" s="98"/>
      <c r="P59" s="98"/>
      <c r="Q59" s="13"/>
      <c r="R59" s="145">
        <f>'Parameters, country spec'!F26</f>
        <v>1.6050102986641154E-3</v>
      </c>
    </row>
    <row r="60" spans="1:18" x14ac:dyDescent="0.25">
      <c r="A60" s="21" t="s">
        <v>411</v>
      </c>
      <c r="B60" s="16" t="s">
        <v>195</v>
      </c>
      <c r="C60" s="16" t="s">
        <v>410</v>
      </c>
      <c r="D60" s="22" t="s">
        <v>28</v>
      </c>
      <c r="E60" s="22" t="s">
        <v>87</v>
      </c>
      <c r="F60" s="125">
        <f t="shared" si="12"/>
        <v>1.8870699999999998E-4</v>
      </c>
      <c r="G60" s="96">
        <v>8.6000000000000007E-6</v>
      </c>
      <c r="H60" s="97">
        <v>9.9999999999999995E-7</v>
      </c>
      <c r="I60" s="98">
        <v>1.5899999999999999E-4</v>
      </c>
      <c r="J60" s="98">
        <v>1.59E-5</v>
      </c>
      <c r="K60" s="98">
        <v>2.39E-6</v>
      </c>
      <c r="L60" s="98"/>
      <c r="M60" s="98">
        <v>3.3700000000000001E-7</v>
      </c>
      <c r="N60" s="98">
        <v>1.48E-6</v>
      </c>
      <c r="O60" s="98"/>
      <c r="P60" s="98"/>
      <c r="Q60" s="13"/>
      <c r="R60" s="145">
        <f>'Parameters, country spec'!F27</f>
        <v>1.5766490275233829E-3</v>
      </c>
    </row>
    <row r="61" spans="1:18" x14ac:dyDescent="0.25">
      <c r="B61" s="17" t="s">
        <v>196</v>
      </c>
      <c r="C61" s="16" t="s">
        <v>412</v>
      </c>
      <c r="D61" s="22" t="s">
        <v>460</v>
      </c>
      <c r="E61" s="22"/>
      <c r="F61" s="125">
        <f t="shared" si="12"/>
        <v>6.732045566157569E-4</v>
      </c>
      <c r="G61" s="33">
        <f>'Off-farm feed'!$F$77</f>
        <v>1.946970439026595E-4</v>
      </c>
      <c r="H61" s="33">
        <f>'Off-farm feed'!$G$77</f>
        <v>5.3103448275862083E-7</v>
      </c>
      <c r="I61" s="33">
        <f>'Off-farm feed'!$H$77</f>
        <v>4.2751561806777074E-4</v>
      </c>
      <c r="J61" s="33">
        <f>'Off-farm feed'!$I$77</f>
        <v>4.2751561806777089E-5</v>
      </c>
      <c r="K61" s="33">
        <f>'Off-farm feed'!$J$77</f>
        <v>6.6339607025480414E-7</v>
      </c>
      <c r="L61" s="33"/>
      <c r="M61" s="33">
        <f>'Off-farm feed'!$L$77</f>
        <v>7.9511067188965511E-9</v>
      </c>
      <c r="N61" s="33">
        <f>'Off-farm feed'!$M$77</f>
        <v>1.2789681892721844E-6</v>
      </c>
      <c r="O61" s="33"/>
      <c r="P61" s="33">
        <f>'Off-farm feed'!$O$77</f>
        <v>3.9312802868423834E-6</v>
      </c>
      <c r="Q61" s="33">
        <f>'Off-farm feed'!$P$77</f>
        <v>1.8277027027027027E-6</v>
      </c>
      <c r="R61" s="145">
        <f>'Parameters, country spec'!F28</f>
        <v>6.9270869900852153E-4</v>
      </c>
    </row>
    <row r="62" spans="1:18" x14ac:dyDescent="0.25">
      <c r="B62" s="17" t="s">
        <v>413</v>
      </c>
      <c r="C62" s="16" t="s">
        <v>412</v>
      </c>
      <c r="D62" s="22" t="s">
        <v>437</v>
      </c>
      <c r="E62" s="22"/>
      <c r="F62" s="125">
        <f t="shared" si="12"/>
        <v>1.8866346644602505E-4</v>
      </c>
      <c r="G62" s="33">
        <f>'Off-farm feed'!$F$26</f>
        <v>1.6332109719061441E-5</v>
      </c>
      <c r="H62" s="33">
        <f>'Off-farm feed'!$G$26</f>
        <v>8.7195121951219526E-7</v>
      </c>
      <c r="I62" s="33">
        <f>'Off-farm feed'!$H$26</f>
        <v>1.3333449845358202E-4</v>
      </c>
      <c r="J62" s="33">
        <f>'Off-farm feed'!$I$26</f>
        <v>1.3333449845358203E-5</v>
      </c>
      <c r="K62" s="33">
        <f>'Off-farm feed'!$J$26</f>
        <v>1.1576736579983931E-6</v>
      </c>
      <c r="L62" s="33"/>
      <c r="M62" s="33">
        <f>'Off-farm feed'!$L$26</f>
        <v>7.3437786087804866E-9</v>
      </c>
      <c r="N62" s="33">
        <f>'Off-farm feed'!$M$26</f>
        <v>1.1195281639512197E-6</v>
      </c>
      <c r="O62" s="33"/>
      <c r="P62" s="33">
        <f>'Off-farm feed'!$O$26</f>
        <v>1.3419073770114991E-5</v>
      </c>
      <c r="Q62" s="33">
        <f>'Off-farm feed'!$P$26</f>
        <v>9.087837837837838E-6</v>
      </c>
      <c r="R62" s="145">
        <f>'Parameters, country spec'!F29</f>
        <v>0.13208602451248805</v>
      </c>
    </row>
    <row r="63" spans="1:18" x14ac:dyDescent="0.25">
      <c r="B63" s="16" t="s">
        <v>198</v>
      </c>
      <c r="C63" s="16" t="s">
        <v>414</v>
      </c>
      <c r="D63" s="22" t="s">
        <v>28</v>
      </c>
      <c r="E63" s="22" t="s">
        <v>87</v>
      </c>
      <c r="F63" s="125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45">
        <f>'Parameters, country spec'!F30</f>
        <v>0.10416150013335602</v>
      </c>
    </row>
    <row r="64" spans="1:18" x14ac:dyDescent="0.25">
      <c r="A64" s="80"/>
      <c r="B64" s="16" t="s">
        <v>415</v>
      </c>
      <c r="C64" s="81" t="s">
        <v>416</v>
      </c>
      <c r="D64" s="22" t="s">
        <v>28</v>
      </c>
      <c r="E64" s="22" t="s">
        <v>87</v>
      </c>
      <c r="F64" s="125">
        <f t="shared" si="12"/>
        <v>3.718834864960316E-4</v>
      </c>
      <c r="G64" s="79">
        <f t="shared" ref="G64:N64" si="13">AVERAGE(G54:G62)</f>
        <v>1.1773657262463566E-4</v>
      </c>
      <c r="H64" s="79">
        <f t="shared" si="13"/>
        <v>9.3366507803009054E-7</v>
      </c>
      <c r="I64" s="79">
        <f t="shared" si="13"/>
        <v>2.2765001294681699E-4</v>
      </c>
      <c r="J64" s="79">
        <f t="shared" si="13"/>
        <v>2.2765001294681701E-5</v>
      </c>
      <c r="K64" s="79">
        <f t="shared" si="13"/>
        <v>1.3112299698059106E-6</v>
      </c>
      <c r="L64" s="79"/>
      <c r="M64" s="79">
        <f t="shared" si="13"/>
        <v>6.9393876147519674E-8</v>
      </c>
      <c r="N64" s="79">
        <f t="shared" si="13"/>
        <v>1.4176107059137113E-6</v>
      </c>
      <c r="O64" s="79"/>
      <c r="P64" s="79"/>
      <c r="Q64" s="79"/>
      <c r="R64" s="145">
        <f>'Parameters, country spec'!F31</f>
        <v>9.8374069724883342E-2</v>
      </c>
    </row>
    <row r="65" spans="1:19" x14ac:dyDescent="0.25">
      <c r="A65" s="144"/>
      <c r="B65" s="24" t="s">
        <v>417</v>
      </c>
      <c r="C65" s="25"/>
      <c r="D65" s="99"/>
      <c r="E65" s="99"/>
      <c r="F65" s="45">
        <f t="shared" ref="F65:O65" si="14">SUMPRODUCT(F54:F64,$R$54:$R$64)</f>
        <v>3.4506725193397835E-4</v>
      </c>
      <c r="G65" s="45">
        <f t="shared" si="14"/>
        <v>1.2796725726317421E-4</v>
      </c>
      <c r="H65" s="45">
        <f t="shared" si="14"/>
        <v>8.7207455277594687E-7</v>
      </c>
      <c r="I65" s="45">
        <f t="shared" si="14"/>
        <v>1.9195252232036592E-4</v>
      </c>
      <c r="J65" s="45">
        <f t="shared" si="14"/>
        <v>1.9195252232036593E-5</v>
      </c>
      <c r="K65" s="45">
        <f t="shared" si="14"/>
        <v>8.1801447672449781E-7</v>
      </c>
      <c r="L65" s="45">
        <f t="shared" si="14"/>
        <v>0</v>
      </c>
      <c r="M65" s="45">
        <f t="shared" si="14"/>
        <v>1.3342370158840408E-8</v>
      </c>
      <c r="N65" s="45">
        <f t="shared" si="14"/>
        <v>1.2719509427796332E-6</v>
      </c>
      <c r="O65" s="45">
        <f t="shared" si="14"/>
        <v>0</v>
      </c>
      <c r="P65" s="45">
        <f>SUMPRODUCT(P54:P64,R54:R64)</f>
        <v>1.7751953389872304E-6</v>
      </c>
      <c r="Q65" s="45">
        <f>SUMPRODUCT(Q54:Q64,$R$54:$R$64)</f>
        <v>1.2016424369755287E-6</v>
      </c>
      <c r="R65" s="146"/>
    </row>
    <row r="66" spans="1:19" x14ac:dyDescent="0.25">
      <c r="A66" s="21" t="s">
        <v>403</v>
      </c>
      <c r="B66" s="16" t="s">
        <v>187</v>
      </c>
      <c r="C66" s="16" t="s">
        <v>404</v>
      </c>
      <c r="D66" s="22" t="s">
        <v>32</v>
      </c>
      <c r="E66" s="22" t="s">
        <v>88</v>
      </c>
      <c r="F66" s="315">
        <f>SUM(G66:Q66)</f>
        <v>8.2882825999999992E-4</v>
      </c>
      <c r="G66" s="305">
        <v>1.8000000000000001E-4</v>
      </c>
      <c r="H66" s="306">
        <v>9.9999999999999995E-7</v>
      </c>
      <c r="I66" s="309">
        <v>5.8699999999999996E-4</v>
      </c>
      <c r="J66" s="309">
        <v>5.8699999999999997E-5</v>
      </c>
      <c r="K66" s="309">
        <v>6.5899999999999996E-7</v>
      </c>
      <c r="L66" s="309"/>
      <c r="M66" s="309">
        <v>9.2599999999999999E-9</v>
      </c>
      <c r="N66" s="309">
        <v>1.46E-6</v>
      </c>
      <c r="O66" s="309"/>
      <c r="P66" s="309"/>
      <c r="Q66" s="308"/>
      <c r="R66" s="310">
        <f>'Parameters, country spec'!G21</f>
        <v>0.30784418386466139</v>
      </c>
    </row>
    <row r="67" spans="1:19" x14ac:dyDescent="0.25">
      <c r="A67" s="21" t="s">
        <v>405</v>
      </c>
      <c r="B67" s="16" t="s">
        <v>189</v>
      </c>
      <c r="C67" s="16" t="s">
        <v>404</v>
      </c>
      <c r="D67" s="22" t="s">
        <v>32</v>
      </c>
      <c r="E67" s="22" t="s">
        <v>88</v>
      </c>
      <c r="F67" s="125">
        <f t="shared" ref="F67" si="15">SUM(G67:Q67)</f>
        <v>4.1514018000000003E-4</v>
      </c>
      <c r="G67" s="96">
        <v>1.7000000000000001E-4</v>
      </c>
      <c r="H67" s="97">
        <v>9.9999999999999995E-7</v>
      </c>
      <c r="I67" s="98">
        <v>2.2000000000000001E-4</v>
      </c>
      <c r="J67" s="98">
        <v>2.1999999999999999E-5</v>
      </c>
      <c r="K67" s="98">
        <v>6.5400000000000001E-7</v>
      </c>
      <c r="L67" s="98"/>
      <c r="M67" s="98">
        <v>6.1799999999999998E-9</v>
      </c>
      <c r="N67" s="98">
        <v>1.48E-6</v>
      </c>
      <c r="O67" s="98"/>
      <c r="P67" s="98"/>
      <c r="Q67" s="13"/>
      <c r="R67" s="145">
        <f>'Parameters, country spec'!G22</f>
        <v>8.4847862288086023E-2</v>
      </c>
      <c r="S67" s="7" t="s">
        <v>536</v>
      </c>
    </row>
    <row r="68" spans="1:19" x14ac:dyDescent="0.25">
      <c r="A68" s="21" t="s">
        <v>406</v>
      </c>
      <c r="B68" s="16" t="s">
        <v>191</v>
      </c>
      <c r="C68" s="16" t="s">
        <v>404</v>
      </c>
      <c r="D68" s="22" t="s">
        <v>32</v>
      </c>
      <c r="E68" s="22" t="s">
        <v>88</v>
      </c>
      <c r="F68" s="125">
        <f t="shared" ref="F68:F76" si="16">SUM(G68:Q68)</f>
        <v>7.7130299999999998E-4</v>
      </c>
      <c r="G68" s="96">
        <v>1.4999999999999999E-4</v>
      </c>
      <c r="H68" s="97">
        <v>9.9999999999999995E-7</v>
      </c>
      <c r="I68" s="98">
        <v>5.62E-4</v>
      </c>
      <c r="J68" s="98">
        <v>5.6199999999999997E-5</v>
      </c>
      <c r="K68" s="98">
        <v>6.4300000000000003E-7</v>
      </c>
      <c r="L68" s="98"/>
      <c r="M68" s="98">
        <v>0</v>
      </c>
      <c r="N68" s="98">
        <v>1.46E-6</v>
      </c>
      <c r="O68" s="98"/>
      <c r="P68" s="98"/>
      <c r="Q68" s="13"/>
      <c r="R68" s="145">
        <f>'Parameters, country spec'!G23</f>
        <v>1.7744137138731981E-2</v>
      </c>
    </row>
    <row r="69" spans="1:19" x14ac:dyDescent="0.25">
      <c r="A69" s="21" t="s">
        <v>407</v>
      </c>
      <c r="B69" s="16" t="s">
        <v>192</v>
      </c>
      <c r="C69" s="16" t="s">
        <v>404</v>
      </c>
      <c r="D69" s="22" t="s">
        <v>32</v>
      </c>
      <c r="E69" s="22" t="s">
        <v>88</v>
      </c>
      <c r="F69" s="125">
        <f t="shared" si="16"/>
        <v>6.9834925999999996E-4</v>
      </c>
      <c r="G69" s="96">
        <v>1.3999999999999999E-4</v>
      </c>
      <c r="H69" s="97">
        <v>9.9999999999999995E-7</v>
      </c>
      <c r="I69" s="98">
        <v>5.04E-4</v>
      </c>
      <c r="J69" s="98">
        <v>5.0399999999999999E-5</v>
      </c>
      <c r="K69" s="98">
        <v>1.48E-6</v>
      </c>
      <c r="L69" s="98"/>
      <c r="M69" s="98">
        <v>9.2599999999999999E-9</v>
      </c>
      <c r="N69" s="98">
        <v>1.46E-6</v>
      </c>
      <c r="O69" s="98"/>
      <c r="P69" s="98"/>
      <c r="Q69" s="13"/>
      <c r="R69" s="145">
        <f>'Parameters, country spec'!G24</f>
        <v>0</v>
      </c>
    </row>
    <row r="70" spans="1:19" x14ac:dyDescent="0.25">
      <c r="A70" s="21" t="s">
        <v>408</v>
      </c>
      <c r="B70" s="16" t="s">
        <v>193</v>
      </c>
      <c r="C70" s="16" t="s">
        <v>404</v>
      </c>
      <c r="D70" s="22" t="s">
        <v>32</v>
      </c>
      <c r="E70" s="22" t="s">
        <v>88</v>
      </c>
      <c r="F70" s="125">
        <f t="shared" si="16"/>
        <v>9.6202008999999992E-4</v>
      </c>
      <c r="G70" s="96">
        <v>2.0000000000000001E-4</v>
      </c>
      <c r="H70" s="97">
        <v>9.9999999999999995E-7</v>
      </c>
      <c r="I70" s="98">
        <v>6.8999999999999997E-4</v>
      </c>
      <c r="J70" s="98">
        <v>6.8999999999999997E-5</v>
      </c>
      <c r="K70" s="98">
        <v>5.5700000000000002E-7</v>
      </c>
      <c r="L70" s="98"/>
      <c r="M70" s="98">
        <v>3.0899999999999999E-9</v>
      </c>
      <c r="N70" s="98">
        <v>1.46E-6</v>
      </c>
      <c r="O70" s="98"/>
      <c r="P70" s="98"/>
      <c r="Q70" s="13"/>
      <c r="R70" s="145">
        <f>'Parameters, country spec'!G25</f>
        <v>0.13221920344294855</v>
      </c>
    </row>
    <row r="71" spans="1:19" x14ac:dyDescent="0.25">
      <c r="A71" s="21" t="s">
        <v>409</v>
      </c>
      <c r="B71" s="16" t="s">
        <v>194</v>
      </c>
      <c r="C71" s="16" t="s">
        <v>410</v>
      </c>
      <c r="D71" s="22" t="s">
        <v>32</v>
      </c>
      <c r="E71" s="22" t="s">
        <v>88</v>
      </c>
      <c r="F71" s="125">
        <f t="shared" si="16"/>
        <v>2.0718159999999998E-4</v>
      </c>
      <c r="G71" s="96">
        <v>0</v>
      </c>
      <c r="H71" s="97">
        <v>9.9999999999999995E-7</v>
      </c>
      <c r="I71" s="98">
        <v>1.85E-4</v>
      </c>
      <c r="J71" s="98">
        <v>1.8499999999999999E-5</v>
      </c>
      <c r="K71" s="98">
        <v>1.1999999999999999E-6</v>
      </c>
      <c r="L71" s="98"/>
      <c r="M71" s="98">
        <v>2.1600000000000002E-8</v>
      </c>
      <c r="N71" s="98">
        <v>1.46E-6</v>
      </c>
      <c r="O71" s="98"/>
      <c r="P71" s="98"/>
      <c r="Q71" s="13"/>
      <c r="R71" s="145">
        <f>'Parameters, country spec'!G26</f>
        <v>1.343960411791802E-3</v>
      </c>
    </row>
    <row r="72" spans="1:19" x14ac:dyDescent="0.25">
      <c r="A72" s="21" t="s">
        <v>411</v>
      </c>
      <c r="B72" s="16" t="s">
        <v>195</v>
      </c>
      <c r="C72" s="16" t="s">
        <v>410</v>
      </c>
      <c r="D72" s="22" t="s">
        <v>32</v>
      </c>
      <c r="E72" s="22" t="s">
        <v>88</v>
      </c>
      <c r="F72" s="125">
        <f t="shared" si="16"/>
        <v>2.3970699999999997E-4</v>
      </c>
      <c r="G72" s="96">
        <v>8.6000000000000007E-6</v>
      </c>
      <c r="H72" s="97">
        <v>9.9999999999999995E-7</v>
      </c>
      <c r="I72" s="98">
        <v>2.0699999999999999E-4</v>
      </c>
      <c r="J72" s="98">
        <v>2.0699999999999998E-5</v>
      </c>
      <c r="K72" s="98">
        <v>9.47E-7</v>
      </c>
      <c r="L72" s="98"/>
      <c r="M72" s="98">
        <v>0</v>
      </c>
      <c r="N72" s="98">
        <v>1.46E-6</v>
      </c>
      <c r="O72" s="98"/>
      <c r="P72" s="98"/>
      <c r="Q72" s="13"/>
      <c r="R72" s="145">
        <f>'Parameters, country spec'!G27</f>
        <v>1.3202120121893659E-3</v>
      </c>
    </row>
    <row r="73" spans="1:19" x14ac:dyDescent="0.25">
      <c r="B73" s="17" t="s">
        <v>196</v>
      </c>
      <c r="C73" s="16" t="s">
        <v>412</v>
      </c>
      <c r="D73" s="22" t="s">
        <v>460</v>
      </c>
      <c r="E73" s="22"/>
      <c r="F73" s="125">
        <f t="shared" si="16"/>
        <v>6.732045566157569E-4</v>
      </c>
      <c r="G73" s="33">
        <f>'Off-farm feed'!$F$77</f>
        <v>1.946970439026595E-4</v>
      </c>
      <c r="H73" s="33">
        <f>'Off-farm feed'!$G$77</f>
        <v>5.3103448275862083E-7</v>
      </c>
      <c r="I73" s="33">
        <f>'Off-farm feed'!$H$77</f>
        <v>4.2751561806777074E-4</v>
      </c>
      <c r="J73" s="33">
        <f>'Off-farm feed'!$I$77</f>
        <v>4.2751561806777089E-5</v>
      </c>
      <c r="K73" s="33">
        <f>'Off-farm feed'!$J$77</f>
        <v>6.6339607025480414E-7</v>
      </c>
      <c r="L73" s="33"/>
      <c r="M73" s="33">
        <f>'Off-farm feed'!$L$77</f>
        <v>7.9511067188965511E-9</v>
      </c>
      <c r="N73" s="33">
        <f>'Off-farm feed'!$M$77</f>
        <v>1.2789681892721844E-6</v>
      </c>
      <c r="O73" s="33"/>
      <c r="P73" s="33">
        <f>'Off-farm feed'!$O$77</f>
        <v>3.9312802868423834E-6</v>
      </c>
      <c r="Q73" s="33">
        <f>'Off-farm feed'!$P$77</f>
        <v>1.8277027027027027E-6</v>
      </c>
      <c r="R73" s="145">
        <f>'Parameters, country spec'!G28</f>
        <v>7.1952686054860826E-2</v>
      </c>
    </row>
    <row r="74" spans="1:19" x14ac:dyDescent="0.25">
      <c r="B74" s="17" t="s">
        <v>413</v>
      </c>
      <c r="C74" s="16" t="s">
        <v>412</v>
      </c>
      <c r="D74" s="22" t="s">
        <v>437</v>
      </c>
      <c r="E74" s="22"/>
      <c r="F74" s="125">
        <f t="shared" si="16"/>
        <v>1.8866346644602505E-4</v>
      </c>
      <c r="G74" s="33">
        <f>'Off-farm feed'!$F$26</f>
        <v>1.6332109719061441E-5</v>
      </c>
      <c r="H74" s="33">
        <f>'Off-farm feed'!$G$26</f>
        <v>8.7195121951219526E-7</v>
      </c>
      <c r="I74" s="33">
        <f>'Off-farm feed'!$H$26</f>
        <v>1.3333449845358202E-4</v>
      </c>
      <c r="J74" s="33">
        <f>'Off-farm feed'!$I$26</f>
        <v>1.3333449845358203E-5</v>
      </c>
      <c r="K74" s="33">
        <f>'Off-farm feed'!$J$26</f>
        <v>1.1576736579983931E-6</v>
      </c>
      <c r="L74" s="33"/>
      <c r="M74" s="33">
        <f>'Off-farm feed'!$L$26</f>
        <v>7.3437786087804866E-9</v>
      </c>
      <c r="N74" s="33">
        <f>'Off-farm feed'!$M$26</f>
        <v>1.1195281639512197E-6</v>
      </c>
      <c r="O74" s="33"/>
      <c r="P74" s="33">
        <f>'Off-farm feed'!$O$26</f>
        <v>1.3419073770114991E-5</v>
      </c>
      <c r="Q74" s="33">
        <f>'Off-farm feed'!$P$26</f>
        <v>9.087837837837838E-6</v>
      </c>
      <c r="R74" s="145">
        <f>'Parameters, country spec'!G29</f>
        <v>0.13691957563671808</v>
      </c>
    </row>
    <row r="75" spans="1:19" x14ac:dyDescent="0.25">
      <c r="B75" s="16" t="s">
        <v>198</v>
      </c>
      <c r="C75" s="16" t="s">
        <v>414</v>
      </c>
      <c r="D75" s="22" t="s">
        <v>32</v>
      </c>
      <c r="E75" s="22" t="s">
        <v>88</v>
      </c>
      <c r="F75" s="125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45">
        <f>'Parameters, country spec'!G30</f>
        <v>0.13523038514369462</v>
      </c>
    </row>
    <row r="76" spans="1:19" x14ac:dyDescent="0.25">
      <c r="A76" s="80"/>
      <c r="B76" s="16" t="s">
        <v>415</v>
      </c>
      <c r="C76" s="81" t="s">
        <v>416</v>
      </c>
      <c r="D76" s="22" t="s">
        <v>32</v>
      </c>
      <c r="E76" s="22" t="s">
        <v>88</v>
      </c>
      <c r="F76" s="125">
        <f t="shared" si="16"/>
        <v>5.50681279829365E-4</v>
      </c>
      <c r="G76" s="79">
        <f t="shared" ref="G76:N76" si="17">AVERAGE(G66:G74)</f>
        <v>1.1773657262463566E-4</v>
      </c>
      <c r="H76" s="79">
        <f t="shared" si="17"/>
        <v>9.3366507803009054E-7</v>
      </c>
      <c r="I76" s="79">
        <f t="shared" si="17"/>
        <v>3.9065001294681699E-4</v>
      </c>
      <c r="J76" s="79">
        <f t="shared" si="17"/>
        <v>3.9065001294681701E-5</v>
      </c>
      <c r="K76" s="79">
        <f t="shared" si="17"/>
        <v>8.84563303139244E-7</v>
      </c>
      <c r="L76" s="79"/>
      <c r="M76" s="79">
        <f t="shared" si="17"/>
        <v>7.1872094808530037E-9</v>
      </c>
      <c r="N76" s="79">
        <f t="shared" si="17"/>
        <v>1.4042773725803782E-6</v>
      </c>
      <c r="O76" s="79"/>
      <c r="P76" s="79"/>
      <c r="Q76" s="79"/>
      <c r="R76" s="145">
        <f>'Parameters, country spec'!G31</f>
        <v>0.11057779400631759</v>
      </c>
    </row>
    <row r="77" spans="1:19" x14ac:dyDescent="0.25">
      <c r="A77" s="144"/>
      <c r="B77" s="24" t="s">
        <v>417</v>
      </c>
      <c r="C77" s="25"/>
      <c r="D77" s="99"/>
      <c r="E77" s="99"/>
      <c r="F77" s="45">
        <f t="shared" ref="F77:O77" si="18">SUMPRODUCT(F66:F76,$R$66:$R$76)</f>
        <v>5.6701597922016928E-4</v>
      </c>
      <c r="G77" s="45">
        <f t="shared" si="18"/>
        <v>1.2821711604973855E-4</v>
      </c>
      <c r="H77" s="45">
        <f t="shared" si="18"/>
        <v>8.0615873220147803E-7</v>
      </c>
      <c r="I77" s="45">
        <f t="shared" si="18"/>
        <v>3.9331065429881929E-4</v>
      </c>
      <c r="J77" s="45">
        <f t="shared" si="18"/>
        <v>3.9331065429881931E-5</v>
      </c>
      <c r="K77" s="45">
        <f t="shared" si="18"/>
        <v>6.5033276274293926E-7</v>
      </c>
      <c r="L77" s="45">
        <f t="shared" si="18"/>
        <v>0</v>
      </c>
      <c r="M77" s="45">
        <f t="shared" si="18"/>
        <v>6.1849401207322559E-9</v>
      </c>
      <c r="N77" s="45">
        <f t="shared" si="18"/>
        <v>1.1984559253683756E-6</v>
      </c>
      <c r="O77" s="45">
        <f t="shared" si="18"/>
        <v>0</v>
      </c>
      <c r="P77" s="45">
        <f>SUMPRODUCT(P66:P76,R66:R76)</f>
        <v>2.1202000623147922E-6</v>
      </c>
      <c r="Q77" s="45">
        <f>SUMPRODUCT(Q66:Q76,$R$66:$R$76)</f>
        <v>1.3758110189812546E-6</v>
      </c>
      <c r="R77" s="146"/>
    </row>
    <row r="78" spans="1:19" x14ac:dyDescent="0.25">
      <c r="A78" s="21" t="s">
        <v>403</v>
      </c>
      <c r="B78" s="16" t="s">
        <v>187</v>
      </c>
      <c r="C78" s="16" t="s">
        <v>404</v>
      </c>
      <c r="D78" s="22" t="s">
        <v>31</v>
      </c>
      <c r="E78" s="22" t="s">
        <v>89</v>
      </c>
      <c r="F78" s="315">
        <f>SUM(G78:Q78)</f>
        <v>4.8181926000000002E-4</v>
      </c>
      <c r="G78" s="305">
        <v>1.8000000000000001E-4</v>
      </c>
      <c r="H78" s="306">
        <v>9.9999999999999995E-7</v>
      </c>
      <c r="I78" s="309">
        <v>2.7099999999999997E-4</v>
      </c>
      <c r="J78" s="309">
        <v>2.7100000000000001E-5</v>
      </c>
      <c r="K78" s="309">
        <v>1.2100000000000001E-6</v>
      </c>
      <c r="L78" s="309"/>
      <c r="M78" s="309">
        <v>9.2599999999999999E-9</v>
      </c>
      <c r="N78" s="309">
        <v>1.5E-6</v>
      </c>
      <c r="O78" s="309"/>
      <c r="P78" s="309"/>
      <c r="Q78" s="308"/>
      <c r="R78" s="310">
        <f>'Parameters, country spec'!H21</f>
        <v>6.7331149351278818E-2</v>
      </c>
    </row>
    <row r="79" spans="1:19" x14ac:dyDescent="0.25">
      <c r="A79" s="21" t="s">
        <v>405</v>
      </c>
      <c r="B79" s="16" t="s">
        <v>189</v>
      </c>
      <c r="C79" s="16" t="s">
        <v>404</v>
      </c>
      <c r="D79" s="22" t="s">
        <v>31</v>
      </c>
      <c r="E79" s="22" t="s">
        <v>89</v>
      </c>
      <c r="F79" s="125">
        <f t="shared" ref="F79:F88" si="19">SUM(G79:Q79)</f>
        <v>4.1529099999999998E-4</v>
      </c>
      <c r="G79" s="96">
        <v>1.7000000000000001E-4</v>
      </c>
      <c r="H79" s="97">
        <v>9.9999999999999995E-7</v>
      </c>
      <c r="I79" s="98">
        <v>2.2000000000000001E-4</v>
      </c>
      <c r="J79" s="98">
        <v>2.1999999999999999E-5</v>
      </c>
      <c r="K79" s="98">
        <v>4.82E-7</v>
      </c>
      <c r="L79" s="98"/>
      <c r="M79" s="98">
        <v>3.0899999999999997E-7</v>
      </c>
      <c r="N79" s="98">
        <v>1.5E-6</v>
      </c>
      <c r="O79" s="98"/>
      <c r="P79" s="98"/>
      <c r="Q79" s="13"/>
      <c r="R79" s="145">
        <f>'Parameters, country spec'!H22</f>
        <v>0.44026970650157493</v>
      </c>
    </row>
    <row r="80" spans="1:19" x14ac:dyDescent="0.25">
      <c r="A80" s="21" t="s">
        <v>406</v>
      </c>
      <c r="B80" s="16" t="s">
        <v>191</v>
      </c>
      <c r="C80" s="16" t="s">
        <v>404</v>
      </c>
      <c r="D80" s="22" t="s">
        <v>31</v>
      </c>
      <c r="E80" s="22" t="s">
        <v>89</v>
      </c>
      <c r="F80" s="125">
        <f t="shared" si="19"/>
        <v>4.0906299999999993E-4</v>
      </c>
      <c r="G80" s="96">
        <v>1.4999999999999999E-4</v>
      </c>
      <c r="H80" s="97">
        <v>9.9999999999999995E-7</v>
      </c>
      <c r="I80" s="98">
        <v>2.31E-4</v>
      </c>
      <c r="J80" s="98">
        <v>2.3099999999999999E-5</v>
      </c>
      <c r="K80" s="98">
        <v>2.12E-6</v>
      </c>
      <c r="L80" s="98"/>
      <c r="M80" s="98">
        <v>3.4299999999999999E-7</v>
      </c>
      <c r="N80" s="98">
        <v>1.5E-6</v>
      </c>
      <c r="O80" s="98"/>
      <c r="P80" s="98"/>
      <c r="Q80" s="13"/>
      <c r="R80" s="145">
        <f>'Parameters, country spec'!H23</f>
        <v>1.3982897878135709E-2</v>
      </c>
    </row>
    <row r="81" spans="1:18" x14ac:dyDescent="0.25">
      <c r="A81" s="21" t="s">
        <v>407</v>
      </c>
      <c r="B81" s="16" t="s">
        <v>192</v>
      </c>
      <c r="C81" s="16" t="s">
        <v>404</v>
      </c>
      <c r="D81" s="22" t="s">
        <v>31</v>
      </c>
      <c r="E81" s="22" t="s">
        <v>89</v>
      </c>
      <c r="F81" s="125">
        <f t="shared" si="19"/>
        <v>3.7724239999999999E-4</v>
      </c>
      <c r="G81" s="96">
        <v>1.3999999999999999E-4</v>
      </c>
      <c r="H81" s="97">
        <v>9.9999999999999995E-7</v>
      </c>
      <c r="I81" s="98">
        <v>2.12E-4</v>
      </c>
      <c r="J81" s="98">
        <v>2.12E-5</v>
      </c>
      <c r="K81" s="98">
        <v>1.53E-6</v>
      </c>
      <c r="L81" s="98"/>
      <c r="M81" s="98">
        <v>1.24E-8</v>
      </c>
      <c r="N81" s="98">
        <v>1.5E-6</v>
      </c>
      <c r="O81" s="98"/>
      <c r="P81" s="98"/>
      <c r="Q81" s="13"/>
      <c r="R81" s="145">
        <f>'Parameters, country spec'!H24</f>
        <v>1.1141062374852339E-3</v>
      </c>
    </row>
    <row r="82" spans="1:18" x14ac:dyDescent="0.25">
      <c r="A82" s="21" t="s">
        <v>408</v>
      </c>
      <c r="B82" s="16" t="s">
        <v>193</v>
      </c>
      <c r="C82" s="16" t="s">
        <v>404</v>
      </c>
      <c r="D82" s="22" t="s">
        <v>31</v>
      </c>
      <c r="E82" s="22" t="s">
        <v>89</v>
      </c>
      <c r="F82" s="125">
        <f t="shared" si="19"/>
        <v>4.9865180000000008E-4</v>
      </c>
      <c r="G82" s="96">
        <v>2.0000000000000001E-4</v>
      </c>
      <c r="H82" s="97">
        <v>9.9999999999999995E-7</v>
      </c>
      <c r="I82" s="98">
        <v>2.6800000000000001E-4</v>
      </c>
      <c r="J82" s="98">
        <v>2.6800000000000001E-5</v>
      </c>
      <c r="K82" s="98">
        <v>1.2899999999999999E-6</v>
      </c>
      <c r="L82" s="98"/>
      <c r="M82" s="98">
        <v>6.1799999999999998E-8</v>
      </c>
      <c r="N82" s="98">
        <v>1.5E-6</v>
      </c>
      <c r="O82" s="98"/>
      <c r="P82" s="98"/>
      <c r="Q82" s="13"/>
      <c r="R82" s="145">
        <f>'Parameters, country spec'!H25</f>
        <v>6.3776792034317548E-2</v>
      </c>
    </row>
    <row r="83" spans="1:18" x14ac:dyDescent="0.25">
      <c r="A83" s="21" t="s">
        <v>409</v>
      </c>
      <c r="B83" s="16" t="s">
        <v>194</v>
      </c>
      <c r="C83" s="16" t="s">
        <v>410</v>
      </c>
      <c r="D83" s="22" t="s">
        <v>31</v>
      </c>
      <c r="E83" s="22" t="s">
        <v>89</v>
      </c>
      <c r="F83" s="125">
        <f t="shared" si="19"/>
        <v>1.7349010000000003E-4</v>
      </c>
      <c r="G83" s="96">
        <v>0</v>
      </c>
      <c r="H83" s="97">
        <v>9.9999999999999995E-7</v>
      </c>
      <c r="I83" s="98">
        <v>1.54E-4</v>
      </c>
      <c r="J83" s="98">
        <v>1.5400000000000002E-5</v>
      </c>
      <c r="K83" s="98">
        <v>1.55E-6</v>
      </c>
      <c r="L83" s="98"/>
      <c r="M83" s="98">
        <v>4.0100000000000002E-8</v>
      </c>
      <c r="N83" s="98">
        <v>1.5E-6</v>
      </c>
      <c r="O83" s="98"/>
      <c r="P83" s="98"/>
      <c r="Q83" s="13"/>
      <c r="R83" s="145">
        <f>'Parameters, country spec'!H26</f>
        <v>3.3307304103593416E-3</v>
      </c>
    </row>
    <row r="84" spans="1:18" x14ac:dyDescent="0.25">
      <c r="A84" s="21" t="s">
        <v>411</v>
      </c>
      <c r="B84" s="16" t="s">
        <v>195</v>
      </c>
      <c r="C84" s="16" t="s">
        <v>410</v>
      </c>
      <c r="D84" s="22" t="s">
        <v>31</v>
      </c>
      <c r="E84" s="22" t="s">
        <v>89</v>
      </c>
      <c r="F84" s="125">
        <f t="shared" si="19"/>
        <v>1.8834240000000001E-4</v>
      </c>
      <c r="G84" s="96">
        <v>8.6000000000000007E-6</v>
      </c>
      <c r="H84" s="97">
        <v>9.9999999999999995E-7</v>
      </c>
      <c r="I84" s="98">
        <v>1.5899999999999999E-4</v>
      </c>
      <c r="J84" s="98">
        <v>1.59E-5</v>
      </c>
      <c r="K84" s="98">
        <v>2.3300000000000001E-6</v>
      </c>
      <c r="L84" s="98"/>
      <c r="M84" s="98">
        <v>1.24E-8</v>
      </c>
      <c r="N84" s="98">
        <v>1.5E-6</v>
      </c>
      <c r="O84" s="98"/>
      <c r="P84" s="98"/>
      <c r="Q84" s="13"/>
      <c r="R84" s="145">
        <f>'Parameters, country spec'!H27</f>
        <v>3.2718748699923465E-3</v>
      </c>
    </row>
    <row r="85" spans="1:18" x14ac:dyDescent="0.25">
      <c r="B85" s="17" t="s">
        <v>196</v>
      </c>
      <c r="C85" s="16" t="s">
        <v>412</v>
      </c>
      <c r="D85" s="22" t="s">
        <v>460</v>
      </c>
      <c r="E85" s="22"/>
      <c r="F85" s="125">
        <f t="shared" si="19"/>
        <v>6.732045566157569E-4</v>
      </c>
      <c r="G85" s="33">
        <f>'Off-farm feed'!$F$77</f>
        <v>1.946970439026595E-4</v>
      </c>
      <c r="H85" s="33">
        <f>'Off-farm feed'!$G$77</f>
        <v>5.3103448275862083E-7</v>
      </c>
      <c r="I85" s="33">
        <f>'Off-farm feed'!$H$77</f>
        <v>4.2751561806777074E-4</v>
      </c>
      <c r="J85" s="33">
        <f>'Off-farm feed'!$I$77</f>
        <v>4.2751561806777089E-5</v>
      </c>
      <c r="K85" s="33">
        <f>'Off-farm feed'!$J$77</f>
        <v>6.6339607025480414E-7</v>
      </c>
      <c r="L85" s="33"/>
      <c r="M85" s="33">
        <f>'Off-farm feed'!$L$77</f>
        <v>7.9511067188965511E-9</v>
      </c>
      <c r="N85" s="33">
        <f>'Off-farm feed'!$M$77</f>
        <v>1.2789681892721844E-6</v>
      </c>
      <c r="O85" s="33"/>
      <c r="P85" s="33">
        <f>'Off-farm feed'!$O$77</f>
        <v>3.9312802868423834E-6</v>
      </c>
      <c r="Q85" s="33">
        <f>'Off-farm feed'!$P$77</f>
        <v>1.8277027027027027E-6</v>
      </c>
      <c r="R85" s="145">
        <f>'Parameters, country spec'!H28</f>
        <v>5.6103860515759841E-3</v>
      </c>
    </row>
    <row r="86" spans="1:18" x14ac:dyDescent="0.25">
      <c r="B86" s="17" t="s">
        <v>413</v>
      </c>
      <c r="C86" s="16" t="s">
        <v>412</v>
      </c>
      <c r="D86" s="22" t="s">
        <v>437</v>
      </c>
      <c r="E86" s="22"/>
      <c r="F86" s="125">
        <f t="shared" si="19"/>
        <v>1.8866346644602505E-4</v>
      </c>
      <c r="G86" s="33">
        <f>'Off-farm feed'!$F$26</f>
        <v>1.6332109719061441E-5</v>
      </c>
      <c r="H86" s="33">
        <f>'Off-farm feed'!$G$26</f>
        <v>8.7195121951219526E-7</v>
      </c>
      <c r="I86" s="33">
        <f>'Off-farm feed'!$H$26</f>
        <v>1.3333449845358202E-4</v>
      </c>
      <c r="J86" s="33">
        <f>'Off-farm feed'!$I$26</f>
        <v>1.3333449845358203E-5</v>
      </c>
      <c r="K86" s="33">
        <f>'Off-farm feed'!$J$26</f>
        <v>1.1576736579983931E-6</v>
      </c>
      <c r="L86" s="33"/>
      <c r="M86" s="33">
        <f>'Off-farm feed'!$L$26</f>
        <v>7.3437786087804866E-9</v>
      </c>
      <c r="N86" s="33">
        <f>'Off-farm feed'!$M$26</f>
        <v>1.1195281639512197E-6</v>
      </c>
      <c r="O86" s="33"/>
      <c r="P86" s="33">
        <f>'Off-farm feed'!$O$26</f>
        <v>1.3419073770114991E-5</v>
      </c>
      <c r="Q86" s="33">
        <f>'Off-farm feed'!$P$26</f>
        <v>9.087837837837838E-6</v>
      </c>
      <c r="R86" s="145">
        <f>'Parameters, country spec'!H29</f>
        <v>0.13851395632807983</v>
      </c>
    </row>
    <row r="87" spans="1:18" x14ac:dyDescent="0.25">
      <c r="B87" s="16" t="s">
        <v>198</v>
      </c>
      <c r="C87" s="16" t="s">
        <v>414</v>
      </c>
      <c r="D87" s="22" t="s">
        <v>31</v>
      </c>
      <c r="E87" s="22" t="s">
        <v>89</v>
      </c>
      <c r="F87" s="125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45">
        <f>'Parameters, country spec'!H30</f>
        <v>0.14622390087159998</v>
      </c>
    </row>
    <row r="88" spans="1:18" x14ac:dyDescent="0.25">
      <c r="A88" s="80"/>
      <c r="B88" s="16" t="s">
        <v>415</v>
      </c>
      <c r="C88" s="81" t="s">
        <v>416</v>
      </c>
      <c r="D88" s="22" t="s">
        <v>31</v>
      </c>
      <c r="E88" s="22" t="s">
        <v>89</v>
      </c>
      <c r="F88" s="125">
        <f t="shared" si="19"/>
        <v>3.7527800982936491E-4</v>
      </c>
      <c r="G88" s="79">
        <f t="shared" ref="G88:N88" si="20">AVERAGE(G78:G86)</f>
        <v>1.1773657262463566E-4</v>
      </c>
      <c r="H88" s="79">
        <f t="shared" si="20"/>
        <v>9.3366507803009054E-7</v>
      </c>
      <c r="I88" s="79">
        <f t="shared" si="20"/>
        <v>2.3065001294681695E-4</v>
      </c>
      <c r="J88" s="79">
        <f t="shared" si="20"/>
        <v>2.3065001294681698E-5</v>
      </c>
      <c r="K88" s="79">
        <f t="shared" si="20"/>
        <v>1.3703410809170218E-6</v>
      </c>
      <c r="L88" s="79"/>
      <c r="M88" s="79">
        <f t="shared" si="20"/>
        <v>8.9250542814186322E-8</v>
      </c>
      <c r="N88" s="79">
        <f t="shared" si="20"/>
        <v>1.4331662614692671E-6</v>
      </c>
      <c r="O88" s="79"/>
      <c r="P88" s="79"/>
      <c r="Q88" s="79"/>
      <c r="R88" s="145">
        <f>'Parameters, country spec'!H31</f>
        <v>0.11657449946560031</v>
      </c>
    </row>
    <row r="89" spans="1:18" x14ac:dyDescent="0.25">
      <c r="A89" s="144"/>
      <c r="B89" s="24" t="s">
        <v>417</v>
      </c>
      <c r="C89" s="25"/>
      <c r="D89" s="99"/>
      <c r="E89" s="99"/>
      <c r="F89" s="45">
        <f t="shared" ref="F89:O89" si="21">SUMPRODUCT(F78:F88,$R$78:$R$88)</f>
        <v>3.2807546592996252E-4</v>
      </c>
      <c r="G89" s="45">
        <f t="shared" si="21"/>
        <v>1.1908199580848991E-4</v>
      </c>
      <c r="H89" s="45">
        <f t="shared" si="21"/>
        <v>8.2567551801771539E-7</v>
      </c>
      <c r="I89" s="45">
        <f t="shared" si="21"/>
        <v>1.844527840567341E-4</v>
      </c>
      <c r="J89" s="45">
        <f t="shared" si="21"/>
        <v>1.844527840567341E-5</v>
      </c>
      <c r="K89" s="45">
        <f t="shared" si="21"/>
        <v>7.4390986977165262E-7</v>
      </c>
      <c r="L89" s="45">
        <f t="shared" si="21"/>
        <v>0</v>
      </c>
      <c r="M89" s="45">
        <f t="shared" si="21"/>
        <v>1.5705847589041589E-7</v>
      </c>
      <c r="N89" s="45">
        <f t="shared" si="21"/>
        <v>1.2189323060055781E-6</v>
      </c>
      <c r="O89" s="45">
        <f t="shared" si="21"/>
        <v>0</v>
      </c>
      <c r="P89" s="45">
        <f>SUMPRODUCT(P78:P88,R78:R88)</f>
        <v>1.8807849982431256E-6</v>
      </c>
      <c r="Q89" s="45">
        <f>SUMPRODUCT(Q78:Q88,$R$78:$R$88)</f>
        <v>1.2690464911366127E-6</v>
      </c>
      <c r="R89" s="148"/>
    </row>
    <row r="90" spans="1:18" x14ac:dyDescent="0.25">
      <c r="A90" s="21" t="s">
        <v>403</v>
      </c>
      <c r="B90" s="16" t="s">
        <v>187</v>
      </c>
      <c r="C90" s="16" t="s">
        <v>404</v>
      </c>
      <c r="D90" s="22" t="s">
        <v>26</v>
      </c>
      <c r="E90" s="22" t="s">
        <v>90</v>
      </c>
      <c r="F90" s="315">
        <f>SUM(G90:Q90)</f>
        <v>8.3892959999999996E-4</v>
      </c>
      <c r="G90" s="305">
        <v>1.8000000000000001E-4</v>
      </c>
      <c r="H90" s="306">
        <v>9.9999999999999995E-7</v>
      </c>
      <c r="I90" s="309">
        <v>5.9599999999999996E-4</v>
      </c>
      <c r="J90" s="309">
        <v>5.9599999999999999E-5</v>
      </c>
      <c r="K90" s="309">
        <v>7.3799999999999996E-7</v>
      </c>
      <c r="L90" s="309"/>
      <c r="M90" s="309">
        <v>2.1600000000000002E-8</v>
      </c>
      <c r="N90" s="309">
        <v>1.57E-6</v>
      </c>
      <c r="O90" s="309"/>
      <c r="P90" s="309"/>
      <c r="Q90" s="308"/>
      <c r="R90" s="310">
        <f>'Parameters, country spec'!I21</f>
        <v>8.7412023715897388E-2</v>
      </c>
    </row>
    <row r="91" spans="1:18" x14ac:dyDescent="0.25">
      <c r="A91" s="21" t="s">
        <v>405</v>
      </c>
      <c r="B91" s="16" t="s">
        <v>189</v>
      </c>
      <c r="C91" s="16" t="s">
        <v>404</v>
      </c>
      <c r="D91" s="22" t="s">
        <v>26</v>
      </c>
      <c r="E91" s="22" t="s">
        <v>90</v>
      </c>
      <c r="F91" s="125">
        <f t="shared" ref="F91:F100" si="22">SUM(G91:Q91)</f>
        <v>8.0910399999999994E-4</v>
      </c>
      <c r="G91" s="96">
        <v>1.7000000000000001E-4</v>
      </c>
      <c r="H91" s="97">
        <v>9.9999999999999995E-7</v>
      </c>
      <c r="I91" s="98">
        <v>5.7799999999999995E-4</v>
      </c>
      <c r="J91" s="98">
        <v>5.7800000000000002E-5</v>
      </c>
      <c r="K91" s="98">
        <v>5.3600000000000004E-7</v>
      </c>
      <c r="L91" s="98"/>
      <c r="M91" s="98">
        <v>1.98E-7</v>
      </c>
      <c r="N91" s="98">
        <v>1.57E-6</v>
      </c>
      <c r="O91" s="98"/>
      <c r="P91" s="98"/>
      <c r="Q91" s="13"/>
      <c r="R91" s="145">
        <f>'Parameters, country spec'!I22</f>
        <v>0.26251561737967866</v>
      </c>
    </row>
    <row r="92" spans="1:18" x14ac:dyDescent="0.25">
      <c r="A92" s="21" t="s">
        <v>406</v>
      </c>
      <c r="B92" s="16" t="s">
        <v>191</v>
      </c>
      <c r="C92" s="16" t="s">
        <v>404</v>
      </c>
      <c r="D92" s="22" t="s">
        <v>26</v>
      </c>
      <c r="E92" s="22" t="s">
        <v>90</v>
      </c>
      <c r="F92" s="125">
        <f t="shared" si="22"/>
        <v>7.7184899999999991E-4</v>
      </c>
      <c r="G92" s="96">
        <v>1.4999999999999999E-4</v>
      </c>
      <c r="H92" s="97">
        <v>9.9999999999999995E-7</v>
      </c>
      <c r="I92" s="98">
        <v>5.62E-4</v>
      </c>
      <c r="J92" s="98">
        <v>5.6199999999999997E-5</v>
      </c>
      <c r="K92" s="98">
        <v>9.6800000000000009E-7</v>
      </c>
      <c r="L92" s="98"/>
      <c r="M92" s="98">
        <v>1.11E-7</v>
      </c>
      <c r="N92" s="98">
        <v>1.57E-6</v>
      </c>
      <c r="O92" s="98"/>
      <c r="P92" s="98"/>
      <c r="Q92" s="13"/>
      <c r="R92" s="145">
        <f>'Parameters, country spec'!I23</f>
        <v>2.8712859930884239E-3</v>
      </c>
    </row>
    <row r="93" spans="1:18" x14ac:dyDescent="0.25">
      <c r="A93" s="21" t="s">
        <v>407</v>
      </c>
      <c r="B93" s="16" t="s">
        <v>192</v>
      </c>
      <c r="C93" s="16" t="s">
        <v>404</v>
      </c>
      <c r="D93" s="22" t="s">
        <v>26</v>
      </c>
      <c r="E93" s="22" t="s">
        <v>90</v>
      </c>
      <c r="F93" s="125">
        <f t="shared" si="22"/>
        <v>6.9837999999999996E-4</v>
      </c>
      <c r="G93" s="96">
        <v>1.3999999999999999E-4</v>
      </c>
      <c r="H93" s="97">
        <v>9.9999999999999995E-7</v>
      </c>
      <c r="I93" s="98">
        <v>5.04E-4</v>
      </c>
      <c r="J93" s="98">
        <v>5.0399999999999999E-5</v>
      </c>
      <c r="K93" s="98">
        <v>1.4100000000000001E-6</v>
      </c>
      <c r="L93" s="98"/>
      <c r="M93" s="98">
        <v>0</v>
      </c>
      <c r="N93" s="98">
        <v>1.57E-6</v>
      </c>
      <c r="O93" s="98"/>
      <c r="P93" s="98"/>
      <c r="Q93" s="13"/>
      <c r="R93" s="145">
        <f>'Parameters, country spec'!I24</f>
        <v>1.0804608698251197E-2</v>
      </c>
    </row>
    <row r="94" spans="1:18" x14ac:dyDescent="0.25">
      <c r="A94" s="21" t="s">
        <v>408</v>
      </c>
      <c r="B94" s="16" t="s">
        <v>193</v>
      </c>
      <c r="C94" s="16" t="s">
        <v>404</v>
      </c>
      <c r="D94" s="22" t="s">
        <v>26</v>
      </c>
      <c r="E94" s="22" t="s">
        <v>90</v>
      </c>
      <c r="F94" s="125">
        <f t="shared" si="22"/>
        <v>9.6220029999999985E-4</v>
      </c>
      <c r="G94" s="96">
        <v>2.0000000000000001E-4</v>
      </c>
      <c r="H94" s="97">
        <v>9.9999999999999995E-7</v>
      </c>
      <c r="I94" s="98">
        <v>6.8999999999999997E-4</v>
      </c>
      <c r="J94" s="98">
        <v>6.8999999999999997E-5</v>
      </c>
      <c r="K94" s="98">
        <v>5.8400000000000004E-7</v>
      </c>
      <c r="L94" s="98"/>
      <c r="M94" s="98">
        <v>4.6299999999999998E-8</v>
      </c>
      <c r="N94" s="98">
        <v>1.57E-6</v>
      </c>
      <c r="O94" s="98"/>
      <c r="P94" s="98"/>
      <c r="Q94" s="13"/>
      <c r="R94" s="145">
        <f>'Parameters, country spec'!I25</f>
        <v>0.295775529852283</v>
      </c>
    </row>
    <row r="95" spans="1:18" x14ac:dyDescent="0.25">
      <c r="A95" s="21" t="s">
        <v>409</v>
      </c>
      <c r="B95" s="16" t="s">
        <v>194</v>
      </c>
      <c r="C95" s="16" t="s">
        <v>410</v>
      </c>
      <c r="D95" s="22" t="s">
        <v>26</v>
      </c>
      <c r="E95" s="22" t="s">
        <v>90</v>
      </c>
      <c r="F95" s="125">
        <f t="shared" si="22"/>
        <v>2.0703569999999999E-4</v>
      </c>
      <c r="G95" s="96">
        <v>0</v>
      </c>
      <c r="H95" s="97">
        <v>9.9999999999999995E-7</v>
      </c>
      <c r="I95" s="98">
        <v>1.85E-4</v>
      </c>
      <c r="J95" s="98">
        <v>1.8499999999999999E-5</v>
      </c>
      <c r="K95" s="98">
        <v>9.0699999999999996E-7</v>
      </c>
      <c r="L95" s="98"/>
      <c r="M95" s="98">
        <v>5.8700000000000003E-8</v>
      </c>
      <c r="N95" s="98">
        <v>1.57E-6</v>
      </c>
      <c r="O95" s="98"/>
      <c r="P95" s="98"/>
      <c r="Q95" s="13"/>
      <c r="R95" s="145">
        <f>'Parameters, country spec'!I26</f>
        <v>0</v>
      </c>
    </row>
    <row r="96" spans="1:18" x14ac:dyDescent="0.25">
      <c r="A96" s="21" t="s">
        <v>411</v>
      </c>
      <c r="B96" s="16" t="s">
        <v>195</v>
      </c>
      <c r="C96" s="16" t="s">
        <v>410</v>
      </c>
      <c r="D96" s="22" t="s">
        <v>26</v>
      </c>
      <c r="E96" s="22" t="s">
        <v>90</v>
      </c>
      <c r="F96" s="125">
        <f t="shared" si="22"/>
        <v>2.3980779999999995E-4</v>
      </c>
      <c r="G96" s="96">
        <v>8.6000000000000007E-6</v>
      </c>
      <c r="H96" s="97">
        <v>9.9999999999999995E-7</v>
      </c>
      <c r="I96" s="98">
        <v>2.0699999999999999E-4</v>
      </c>
      <c r="J96" s="98">
        <v>2.0699999999999998E-5</v>
      </c>
      <c r="K96" s="98">
        <v>9.0999999999999997E-7</v>
      </c>
      <c r="L96" s="98"/>
      <c r="M96" s="98">
        <v>2.7800000000000001E-8</v>
      </c>
      <c r="N96" s="98">
        <v>1.57E-6</v>
      </c>
      <c r="O96" s="98"/>
      <c r="P96" s="98"/>
      <c r="Q96" s="13"/>
      <c r="R96" s="145">
        <f>'Parameters, country spec'!I27</f>
        <v>0</v>
      </c>
    </row>
    <row r="97" spans="1:18" x14ac:dyDescent="0.25">
      <c r="B97" s="17" t="s">
        <v>196</v>
      </c>
      <c r="C97" s="16" t="s">
        <v>412</v>
      </c>
      <c r="D97" s="22" t="s">
        <v>460</v>
      </c>
      <c r="E97" s="22"/>
      <c r="F97" s="125">
        <f t="shared" si="22"/>
        <v>6.732045566157569E-4</v>
      </c>
      <c r="G97" s="33">
        <f>'Off-farm feed'!$F$77</f>
        <v>1.946970439026595E-4</v>
      </c>
      <c r="H97" s="33">
        <f>'Off-farm feed'!$G$77</f>
        <v>5.3103448275862083E-7</v>
      </c>
      <c r="I97" s="33">
        <f>'Off-farm feed'!$H$77</f>
        <v>4.2751561806777074E-4</v>
      </c>
      <c r="J97" s="33">
        <f>'Off-farm feed'!$I$77</f>
        <v>4.2751561806777089E-5</v>
      </c>
      <c r="K97" s="33">
        <f>'Off-farm feed'!$J$77</f>
        <v>6.6339607025480414E-7</v>
      </c>
      <c r="L97" s="33"/>
      <c r="M97" s="33">
        <f>'Off-farm feed'!$L$77</f>
        <v>7.9511067188965511E-9</v>
      </c>
      <c r="N97" s="33">
        <f>'Off-farm feed'!$M$77</f>
        <v>1.2789681892721844E-6</v>
      </c>
      <c r="O97" s="33"/>
      <c r="P97" s="33">
        <f>'Off-farm feed'!$O$77</f>
        <v>3.9312802868423834E-6</v>
      </c>
      <c r="Q97" s="33">
        <f>'Off-farm feed'!$P$77</f>
        <v>1.8277027027027027E-6</v>
      </c>
      <c r="R97" s="145">
        <f>'Parameters, country spec'!I28</f>
        <v>0.12265283909261471</v>
      </c>
    </row>
    <row r="98" spans="1:18" x14ac:dyDescent="0.25">
      <c r="B98" s="17" t="s">
        <v>413</v>
      </c>
      <c r="C98" s="16" t="s">
        <v>412</v>
      </c>
      <c r="D98" s="22" t="s">
        <v>437</v>
      </c>
      <c r="E98" s="22"/>
      <c r="F98" s="125">
        <f t="shared" si="22"/>
        <v>1.8866346644602505E-4</v>
      </c>
      <c r="G98" s="33">
        <f>'Off-farm feed'!$F$26</f>
        <v>1.6332109719061441E-5</v>
      </c>
      <c r="H98" s="33">
        <f>'Off-farm feed'!$G$26</f>
        <v>8.7195121951219526E-7</v>
      </c>
      <c r="I98" s="33">
        <f>'Off-farm feed'!$H$26</f>
        <v>1.3333449845358202E-4</v>
      </c>
      <c r="J98" s="33">
        <f>'Off-farm feed'!$I$26</f>
        <v>1.3333449845358203E-5</v>
      </c>
      <c r="K98" s="33">
        <f>'Off-farm feed'!$J$26</f>
        <v>1.1576736579983931E-6</v>
      </c>
      <c r="L98" s="33"/>
      <c r="M98" s="33">
        <f>'Off-farm feed'!$L$26</f>
        <v>7.3437786087804866E-9</v>
      </c>
      <c r="N98" s="33">
        <f>'Off-farm feed'!$M$26</f>
        <v>1.1195281639512197E-6</v>
      </c>
      <c r="O98" s="33"/>
      <c r="P98" s="33">
        <f>'Off-farm feed'!$O$26</f>
        <v>1.3419073770114991E-5</v>
      </c>
      <c r="Q98" s="33">
        <f>'Off-farm feed'!$P$26</f>
        <v>9.087837837837838E-6</v>
      </c>
      <c r="R98" s="145">
        <f>'Parameters, country spec'!I29</f>
        <v>0.15840014745626804</v>
      </c>
    </row>
    <row r="99" spans="1:18" x14ac:dyDescent="0.25">
      <c r="B99" s="16" t="s">
        <v>198</v>
      </c>
      <c r="C99" s="16" t="s">
        <v>414</v>
      </c>
      <c r="D99" s="22" t="s">
        <v>26</v>
      </c>
      <c r="E99" s="22" t="s">
        <v>90</v>
      </c>
      <c r="F99" s="125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45">
        <f>'Parameters, country spec'!I30</f>
        <v>1.7258350982780408E-2</v>
      </c>
    </row>
    <row r="100" spans="1:18" x14ac:dyDescent="0.25">
      <c r="A100" s="80"/>
      <c r="B100" s="16" t="s">
        <v>415</v>
      </c>
      <c r="C100" s="81" t="s">
        <v>416</v>
      </c>
      <c r="D100" s="22" t="s">
        <v>26</v>
      </c>
      <c r="E100" s="22" t="s">
        <v>90</v>
      </c>
      <c r="F100" s="125">
        <f t="shared" si="22"/>
        <v>5.956565031626981E-4</v>
      </c>
      <c r="G100" s="79">
        <f t="shared" ref="G100:N100" si="23">AVERAGE(G90:G98)</f>
        <v>1.1773657262463566E-4</v>
      </c>
      <c r="H100" s="79">
        <f t="shared" si="23"/>
        <v>9.3366507803009054E-7</v>
      </c>
      <c r="I100" s="79">
        <f t="shared" si="23"/>
        <v>4.3142779072459476E-4</v>
      </c>
      <c r="J100" s="79">
        <f t="shared" si="23"/>
        <v>4.314277907245948E-5</v>
      </c>
      <c r="K100" s="79">
        <f t="shared" si="23"/>
        <v>8.7489663647257742E-7</v>
      </c>
      <c r="L100" s="79"/>
      <c r="M100" s="79">
        <f t="shared" si="23"/>
        <v>5.3188320591964118E-8</v>
      </c>
      <c r="N100" s="79">
        <f t="shared" si="23"/>
        <v>1.4876107059137115E-6</v>
      </c>
      <c r="O100" s="79"/>
      <c r="P100" s="79"/>
      <c r="Q100" s="79"/>
      <c r="R100" s="145">
        <f>'Parameters, country spec'!I31</f>
        <v>4.230959682913802E-2</v>
      </c>
    </row>
    <row r="101" spans="1:18" x14ac:dyDescent="0.25">
      <c r="A101" s="144"/>
      <c r="B101" s="24" t="s">
        <v>417</v>
      </c>
      <c r="C101" s="25"/>
      <c r="D101" s="99"/>
      <c r="E101" s="99"/>
      <c r="F101" s="45">
        <f>SUMPRODUCT(F90:F100,$R$90:$R$100)</f>
        <v>7.1774895313836168E-4</v>
      </c>
      <c r="G101" s="45">
        <f t="shared" ref="G101:O101" si="24">SUMPRODUCT(G90:G100,$R$90:$R$100)</f>
        <v>1.5290880401574671E-4</v>
      </c>
      <c r="H101" s="45">
        <f t="shared" si="24"/>
        <v>9.0213214737592492E-7</v>
      </c>
      <c r="I101" s="45">
        <f t="shared" si="24"/>
        <v>5.0678563850518291E-4</v>
      </c>
      <c r="J101" s="45">
        <f t="shared" si="24"/>
        <v>5.0678563850518303E-5</v>
      </c>
      <c r="K101" s="45">
        <f t="shared" si="24"/>
        <v>6.9772487050655886E-7</v>
      </c>
      <c r="L101" s="45">
        <f t="shared" si="24"/>
        <v>0</v>
      </c>
      <c r="M101" s="45">
        <f t="shared" si="24"/>
        <v>7.2268169558616257E-8</v>
      </c>
      <c r="N101" s="45">
        <f t="shared" si="24"/>
        <v>1.4323678480341527E-6</v>
      </c>
      <c r="O101" s="45">
        <f t="shared" si="24"/>
        <v>0</v>
      </c>
      <c r="P101" s="45">
        <f>SUMPRODUCT(P90:P100,R90:R100)</f>
        <v>2.6077659523628003E-6</v>
      </c>
      <c r="Q101" s="45">
        <f>SUMPRODUCT(Q90:Q100,$R$90:$R$100)</f>
        <v>1.6636877790758972E-6</v>
      </c>
      <c r="R101" s="146"/>
    </row>
    <row r="102" spans="1:18" x14ac:dyDescent="0.25">
      <c r="A102" s="21" t="s">
        <v>403</v>
      </c>
      <c r="B102" s="16" t="s">
        <v>187</v>
      </c>
      <c r="C102" s="16" t="s">
        <v>404</v>
      </c>
      <c r="D102" s="22" t="s">
        <v>29</v>
      </c>
      <c r="E102" s="22" t="s">
        <v>91</v>
      </c>
      <c r="F102" s="315">
        <f>SUM(G102:Q102)</f>
        <v>8.031530900000001E-4</v>
      </c>
      <c r="G102" s="305">
        <v>1.8000000000000001E-4</v>
      </c>
      <c r="H102" s="306">
        <v>9.9999999999999995E-7</v>
      </c>
      <c r="I102" s="309">
        <v>5.6300000000000002E-4</v>
      </c>
      <c r="J102" s="309">
        <v>5.63E-5</v>
      </c>
      <c r="K102" s="309">
        <v>1.33E-6</v>
      </c>
      <c r="L102" s="309"/>
      <c r="M102" s="309">
        <v>3.0899999999999999E-9</v>
      </c>
      <c r="N102" s="309">
        <v>1.5200000000000001E-6</v>
      </c>
      <c r="O102" s="309"/>
      <c r="P102" s="309"/>
      <c r="Q102" s="308"/>
      <c r="R102" s="310">
        <f>'Parameters, country spec'!J21</f>
        <v>0.16330174178855722</v>
      </c>
    </row>
    <row r="103" spans="1:18" x14ac:dyDescent="0.25">
      <c r="A103" s="21" t="s">
        <v>405</v>
      </c>
      <c r="B103" s="16" t="s">
        <v>189</v>
      </c>
      <c r="C103" s="16" t="s">
        <v>404</v>
      </c>
      <c r="D103" s="22" t="s">
        <v>29</v>
      </c>
      <c r="E103" s="22" t="s">
        <v>91</v>
      </c>
      <c r="F103" s="125">
        <f t="shared" ref="F103:F112" si="25">SUM(G103:Q103)</f>
        <v>6.5730909999999994E-4</v>
      </c>
      <c r="G103" s="96">
        <v>1.7000000000000001E-4</v>
      </c>
      <c r="H103" s="97">
        <v>9.9999999999999995E-7</v>
      </c>
      <c r="I103" s="98">
        <v>4.4000000000000002E-4</v>
      </c>
      <c r="J103" s="98">
        <v>4.3999999999999999E-5</v>
      </c>
      <c r="K103" s="98">
        <v>7.5199999999999996E-7</v>
      </c>
      <c r="L103" s="98"/>
      <c r="M103" s="98">
        <v>3.7100000000000001E-8</v>
      </c>
      <c r="N103" s="98">
        <v>1.5200000000000001E-6</v>
      </c>
      <c r="O103" s="98"/>
      <c r="P103" s="98"/>
      <c r="Q103" s="13"/>
      <c r="R103" s="145">
        <f>'Parameters, country spec'!J22</f>
        <v>0.22370545528493602</v>
      </c>
    </row>
    <row r="104" spans="1:18" x14ac:dyDescent="0.25">
      <c r="A104" s="21" t="s">
        <v>406</v>
      </c>
      <c r="B104" s="16" t="s">
        <v>191</v>
      </c>
      <c r="C104" s="16" t="s">
        <v>404</v>
      </c>
      <c r="D104" s="22" t="s">
        <v>29</v>
      </c>
      <c r="E104" s="22" t="s">
        <v>91</v>
      </c>
      <c r="F104" s="125">
        <f t="shared" si="25"/>
        <v>6.6357308999999995E-4</v>
      </c>
      <c r="G104" s="96">
        <v>1.4999999999999999E-4</v>
      </c>
      <c r="H104" s="97">
        <v>9.9999999999999995E-7</v>
      </c>
      <c r="I104" s="98">
        <v>4.6299999999999998E-4</v>
      </c>
      <c r="J104" s="98">
        <v>4.6300000000000001E-5</v>
      </c>
      <c r="K104" s="98">
        <v>1.75E-6</v>
      </c>
      <c r="L104" s="98"/>
      <c r="M104" s="98">
        <v>3.0899999999999999E-9</v>
      </c>
      <c r="N104" s="98">
        <v>1.5200000000000001E-6</v>
      </c>
      <c r="O104" s="98"/>
      <c r="P104" s="98"/>
      <c r="Q104" s="13"/>
      <c r="R104" s="145">
        <f>'Parameters, country spec'!J23</f>
        <v>4.8907896416157566E-3</v>
      </c>
    </row>
    <row r="105" spans="1:18" x14ac:dyDescent="0.25">
      <c r="A105" s="21" t="s">
        <v>407</v>
      </c>
      <c r="B105" s="16" t="s">
        <v>192</v>
      </c>
      <c r="C105" s="16" t="s">
        <v>404</v>
      </c>
      <c r="D105" s="22" t="s">
        <v>29</v>
      </c>
      <c r="E105" s="22" t="s">
        <v>91</v>
      </c>
      <c r="F105" s="125">
        <f t="shared" si="25"/>
        <v>6.1058999999999983E-4</v>
      </c>
      <c r="G105" s="96">
        <v>1.3999999999999999E-4</v>
      </c>
      <c r="H105" s="97">
        <v>9.9999999999999995E-7</v>
      </c>
      <c r="I105" s="98">
        <v>4.2400000000000001E-4</v>
      </c>
      <c r="J105" s="98">
        <v>4.2400000000000001E-5</v>
      </c>
      <c r="K105" s="98">
        <v>1.6700000000000001E-6</v>
      </c>
      <c r="L105" s="98"/>
      <c r="M105" s="98">
        <v>0</v>
      </c>
      <c r="N105" s="98">
        <v>1.5200000000000001E-6</v>
      </c>
      <c r="O105" s="98"/>
      <c r="P105" s="98"/>
      <c r="Q105" s="13"/>
      <c r="R105" s="145">
        <f>'Parameters, country spec'!J24</f>
        <v>6.3855774971504811E-2</v>
      </c>
    </row>
    <row r="106" spans="1:18" x14ac:dyDescent="0.25">
      <c r="A106" s="21" t="s">
        <v>408</v>
      </c>
      <c r="B106" s="16" t="s">
        <v>193</v>
      </c>
      <c r="C106" s="16" t="s">
        <v>404</v>
      </c>
      <c r="D106" s="22" t="s">
        <v>29</v>
      </c>
      <c r="E106" s="22" t="s">
        <v>91</v>
      </c>
      <c r="F106" s="125">
        <f t="shared" si="25"/>
        <v>7.9211309000000007E-4</v>
      </c>
      <c r="G106" s="96">
        <v>2.0000000000000001E-4</v>
      </c>
      <c r="H106" s="97">
        <v>9.9999999999999995E-7</v>
      </c>
      <c r="I106" s="98">
        <v>5.3499999999999999E-4</v>
      </c>
      <c r="J106" s="98">
        <v>5.3499999999999999E-5</v>
      </c>
      <c r="K106" s="98">
        <v>1.0899999999999999E-6</v>
      </c>
      <c r="L106" s="98"/>
      <c r="M106" s="98">
        <v>3.0899999999999999E-9</v>
      </c>
      <c r="N106" s="98">
        <v>1.5200000000000001E-6</v>
      </c>
      <c r="O106" s="98"/>
      <c r="P106" s="98"/>
      <c r="Q106" s="13"/>
      <c r="R106" s="145">
        <f>'Parameters, country spec'!J25</f>
        <v>0.25675160576024147</v>
      </c>
    </row>
    <row r="107" spans="1:18" x14ac:dyDescent="0.25">
      <c r="A107" s="21" t="s">
        <v>409</v>
      </c>
      <c r="B107" s="16" t="s">
        <v>194</v>
      </c>
      <c r="C107" s="16" t="s">
        <v>410</v>
      </c>
      <c r="D107" s="22" t="s">
        <v>29</v>
      </c>
      <c r="E107" s="22" t="s">
        <v>91</v>
      </c>
      <c r="F107" s="125">
        <f t="shared" si="25"/>
        <v>3.4353000000000004E-4</v>
      </c>
      <c r="G107" s="96">
        <v>0</v>
      </c>
      <c r="H107" s="97">
        <v>9.9999999999999995E-7</v>
      </c>
      <c r="I107" s="98">
        <v>3.0800000000000001E-4</v>
      </c>
      <c r="J107" s="98">
        <v>3.0800000000000003E-5</v>
      </c>
      <c r="K107" s="98">
        <v>2.21E-6</v>
      </c>
      <c r="L107" s="98"/>
      <c r="M107" s="98">
        <v>0</v>
      </c>
      <c r="N107" s="98">
        <v>1.5200000000000001E-6</v>
      </c>
      <c r="O107" s="98"/>
      <c r="P107" s="98"/>
      <c r="Q107" s="13"/>
      <c r="R107" s="145">
        <f>'Parameters, country spec'!J26</f>
        <v>4.3260384773615755E-3</v>
      </c>
    </row>
    <row r="108" spans="1:18" x14ac:dyDescent="0.25">
      <c r="A108" s="21" t="s">
        <v>411</v>
      </c>
      <c r="B108" s="16" t="s">
        <v>195</v>
      </c>
      <c r="C108" s="16" t="s">
        <v>410</v>
      </c>
      <c r="D108" s="22" t="s">
        <v>29</v>
      </c>
      <c r="E108" s="22" t="s">
        <v>91</v>
      </c>
      <c r="F108" s="125">
        <f t="shared" si="25"/>
        <v>3.6270000000000003E-4</v>
      </c>
      <c r="G108" s="96">
        <v>8.6000000000000007E-6</v>
      </c>
      <c r="H108" s="97">
        <v>9.9999999999999995E-7</v>
      </c>
      <c r="I108" s="98">
        <v>3.1799999999999998E-4</v>
      </c>
      <c r="J108" s="98">
        <v>3.18E-5</v>
      </c>
      <c r="K108" s="98">
        <v>1.7799999999999999E-6</v>
      </c>
      <c r="L108" s="98"/>
      <c r="M108" s="98">
        <v>0</v>
      </c>
      <c r="N108" s="98">
        <v>1.5200000000000001E-6</v>
      </c>
      <c r="O108" s="98"/>
      <c r="P108" s="98"/>
      <c r="Q108" s="13"/>
      <c r="R108" s="145">
        <f>'Parameters, country spec'!J27</f>
        <v>4.2495953847608006E-3</v>
      </c>
    </row>
    <row r="109" spans="1:18" x14ac:dyDescent="0.25">
      <c r="B109" s="17" t="s">
        <v>196</v>
      </c>
      <c r="C109" s="16" t="s">
        <v>412</v>
      </c>
      <c r="D109" s="22" t="s">
        <v>460</v>
      </c>
      <c r="E109" s="22"/>
      <c r="F109" s="125">
        <f t="shared" si="25"/>
        <v>6.732045566157569E-4</v>
      </c>
      <c r="G109" s="33">
        <f>'Off-farm feed'!$F$77</f>
        <v>1.946970439026595E-4</v>
      </c>
      <c r="H109" s="33">
        <f>'Off-farm feed'!$G$77</f>
        <v>5.3103448275862083E-7</v>
      </c>
      <c r="I109" s="33">
        <f>'Off-farm feed'!$H$77</f>
        <v>4.2751561806777074E-4</v>
      </c>
      <c r="J109" s="33">
        <f>'Off-farm feed'!$I$77</f>
        <v>4.2751561806777089E-5</v>
      </c>
      <c r="K109" s="33">
        <f>'Off-farm feed'!$J$77</f>
        <v>6.6339607025480414E-7</v>
      </c>
      <c r="L109" s="33"/>
      <c r="M109" s="33">
        <f>'Off-farm feed'!$L$77</f>
        <v>7.9511067188965511E-9</v>
      </c>
      <c r="N109" s="33">
        <f>'Off-farm feed'!$M$77</f>
        <v>1.2789681892721844E-6</v>
      </c>
      <c r="O109" s="33"/>
      <c r="P109" s="33">
        <f>'Off-farm feed'!$O$77</f>
        <v>3.9312802868423834E-6</v>
      </c>
      <c r="Q109" s="33">
        <f>'Off-farm feed'!$P$77</f>
        <v>1.8277027027027027E-6</v>
      </c>
      <c r="R109" s="145">
        <f>'Parameters, country spec'!J28</f>
        <v>3.1180103544946641E-2</v>
      </c>
    </row>
    <row r="110" spans="1:18" x14ac:dyDescent="0.25">
      <c r="B110" s="17" t="s">
        <v>413</v>
      </c>
      <c r="C110" s="16" t="s">
        <v>412</v>
      </c>
      <c r="D110" s="22" t="s">
        <v>437</v>
      </c>
      <c r="E110" s="22"/>
      <c r="F110" s="125">
        <f t="shared" si="25"/>
        <v>1.8866346644602505E-4</v>
      </c>
      <c r="G110" s="33">
        <f>'Off-farm feed'!$F$26</f>
        <v>1.6332109719061441E-5</v>
      </c>
      <c r="H110" s="33">
        <f>'Off-farm feed'!$G$26</f>
        <v>8.7195121951219526E-7</v>
      </c>
      <c r="I110" s="33">
        <f>'Off-farm feed'!$H$26</f>
        <v>1.3333449845358202E-4</v>
      </c>
      <c r="J110" s="33">
        <f>'Off-farm feed'!$I$26</f>
        <v>1.3333449845358203E-5</v>
      </c>
      <c r="K110" s="33">
        <f>'Off-farm feed'!$J$26</f>
        <v>1.1576736579983931E-6</v>
      </c>
      <c r="L110" s="33"/>
      <c r="M110" s="33">
        <f>'Off-farm feed'!$L$26</f>
        <v>7.3437786087804866E-9</v>
      </c>
      <c r="N110" s="33">
        <f>'Off-farm feed'!$M$26</f>
        <v>1.1195281639512197E-6</v>
      </c>
      <c r="O110" s="33"/>
      <c r="P110" s="33">
        <f>'Off-farm feed'!$O$26</f>
        <v>1.3419073770114991E-5</v>
      </c>
      <c r="Q110" s="33">
        <f>'Off-farm feed'!$P$26</f>
        <v>9.087837837837838E-6</v>
      </c>
      <c r="R110" s="145">
        <f>'Parameters, country spec'!J29</f>
        <v>0.10875512574448185</v>
      </c>
    </row>
    <row r="111" spans="1:18" x14ac:dyDescent="0.25">
      <c r="B111" s="16" t="s">
        <v>198</v>
      </c>
      <c r="C111" s="16" t="s">
        <v>414</v>
      </c>
      <c r="D111" s="22" t="s">
        <v>29</v>
      </c>
      <c r="E111" s="22" t="s">
        <v>91</v>
      </c>
      <c r="F111" s="125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45">
        <f>'Parameters, country spec'!J30</f>
        <v>5.3222180084939459E-2</v>
      </c>
    </row>
    <row r="112" spans="1:18" x14ac:dyDescent="0.25">
      <c r="A112" s="80"/>
      <c r="B112" s="16" t="s">
        <v>415</v>
      </c>
      <c r="C112" s="81" t="s">
        <v>416</v>
      </c>
      <c r="D112" s="22" t="s">
        <v>29</v>
      </c>
      <c r="E112" s="22" t="s">
        <v>91</v>
      </c>
      <c r="F112" s="125">
        <f t="shared" si="25"/>
        <v>5.629522776071427E-4</v>
      </c>
      <c r="G112" s="79">
        <f t="shared" ref="G112:N112" si="26">AVERAGE(G102:G110)</f>
        <v>1.1773657262463566E-4</v>
      </c>
      <c r="H112" s="79">
        <f t="shared" si="26"/>
        <v>9.3366507803009054E-7</v>
      </c>
      <c r="I112" s="79">
        <f t="shared" si="26"/>
        <v>4.0131667961348363E-4</v>
      </c>
      <c r="J112" s="79">
        <f t="shared" si="26"/>
        <v>4.0131667961348369E-5</v>
      </c>
      <c r="K112" s="79">
        <f t="shared" si="26"/>
        <v>1.3781188586947997E-6</v>
      </c>
      <c r="L112" s="79"/>
      <c r="M112" s="79">
        <f t="shared" si="26"/>
        <v>6.8516539252974484E-9</v>
      </c>
      <c r="N112" s="79">
        <f t="shared" si="26"/>
        <v>1.448721817024823E-6</v>
      </c>
      <c r="O112" s="79"/>
      <c r="P112" s="79"/>
      <c r="Q112" s="79"/>
      <c r="R112" s="145">
        <f>'Parameters, country spec'!J31</f>
        <v>8.5761589316654452E-2</v>
      </c>
    </row>
    <row r="113" spans="1:18" x14ac:dyDescent="0.25">
      <c r="A113" s="144"/>
      <c r="B113" s="24" t="s">
        <v>417</v>
      </c>
      <c r="C113" s="25"/>
      <c r="D113" s="99"/>
      <c r="E113" s="99"/>
      <c r="F113" s="45">
        <f t="shared" ref="F113:O113" si="27">SUMPRODUCT(F102:F112,$R$102:$R$112)</f>
        <v>6.1662717291451454E-4</v>
      </c>
      <c r="G113" s="45">
        <f t="shared" si="27"/>
        <v>1.4642868575892332E-4</v>
      </c>
      <c r="H113" s="45">
        <f t="shared" si="27"/>
        <v>9.1254047696975047E-7</v>
      </c>
      <c r="I113" s="45">
        <f t="shared" si="27"/>
        <v>4.2200281305619289E-4</v>
      </c>
      <c r="J113" s="45">
        <f t="shared" si="27"/>
        <v>4.2200281305619297E-5</v>
      </c>
      <c r="K113" s="45">
        <f t="shared" si="27"/>
        <v>1.062377286124265E-6</v>
      </c>
      <c r="L113" s="45">
        <f t="shared" si="27"/>
        <v>0</v>
      </c>
      <c r="M113" s="45">
        <f t="shared" si="27"/>
        <v>1.1246748401900384E-8</v>
      </c>
      <c r="N113" s="45">
        <f t="shared" si="27"/>
        <v>1.3819205943126096E-6</v>
      </c>
      <c r="O113" s="45">
        <f t="shared" si="27"/>
        <v>0</v>
      </c>
      <c r="P113" s="45">
        <f>SUMPRODUCT(P102:P112,R102:R112)</f>
        <v>1.5819707816512871E-6</v>
      </c>
      <c r="Q113" s="45">
        <f>SUMPRODUCT(Q102:Q112,$R$102:$R$112)</f>
        <v>1.0453369063191631E-6</v>
      </c>
      <c r="R113" s="146"/>
    </row>
    <row r="114" spans="1:18" x14ac:dyDescent="0.25">
      <c r="A114" s="21" t="s">
        <v>403</v>
      </c>
      <c r="B114" s="16" t="s">
        <v>187</v>
      </c>
      <c r="C114" s="16" t="s">
        <v>404</v>
      </c>
      <c r="D114" s="22" t="s">
        <v>33</v>
      </c>
      <c r="E114" s="22" t="s">
        <v>92</v>
      </c>
      <c r="F114" s="315">
        <f>SUM(G114:Q114)</f>
        <v>5.1195799999999997E-4</v>
      </c>
      <c r="G114" s="305">
        <v>1.8000000000000001E-4</v>
      </c>
      <c r="H114" s="306">
        <v>9.9999999999999995E-7</v>
      </c>
      <c r="I114" s="309">
        <v>2.9799999999999998E-4</v>
      </c>
      <c r="J114" s="309">
        <v>2.9799999999999999E-5</v>
      </c>
      <c r="K114" s="309">
        <v>1.5099999999999999E-6</v>
      </c>
      <c r="L114" s="309"/>
      <c r="M114" s="309">
        <v>2.3799999999999999E-7</v>
      </c>
      <c r="N114" s="309">
        <v>1.4100000000000001E-6</v>
      </c>
      <c r="O114" s="309"/>
      <c r="P114" s="309"/>
      <c r="Q114" s="308"/>
      <c r="R114" s="310">
        <f>'Parameters, country spec'!K21</f>
        <v>0.22020467449872944</v>
      </c>
    </row>
    <row r="115" spans="1:18" x14ac:dyDescent="0.25">
      <c r="A115" s="21" t="s">
        <v>405</v>
      </c>
      <c r="B115" s="16" t="s">
        <v>189</v>
      </c>
      <c r="C115" s="16" t="s">
        <v>404</v>
      </c>
      <c r="D115" s="22" t="s">
        <v>33</v>
      </c>
      <c r="E115" s="22" t="s">
        <v>92</v>
      </c>
      <c r="F115" s="125">
        <f t="shared" ref="F115:F124" si="28">SUM(G115:Q115)</f>
        <v>4.1554899999999997E-4</v>
      </c>
      <c r="G115" s="96">
        <v>1.7000000000000001E-4</v>
      </c>
      <c r="H115" s="97">
        <v>9.9999999999999995E-7</v>
      </c>
      <c r="I115" s="98">
        <v>2.2000000000000001E-4</v>
      </c>
      <c r="J115" s="98">
        <v>2.1999999999999999E-5</v>
      </c>
      <c r="K115" s="98">
        <v>4.1300000000000001E-7</v>
      </c>
      <c r="L115" s="98"/>
      <c r="M115" s="98">
        <v>7.2600000000000002E-7</v>
      </c>
      <c r="N115" s="98">
        <v>1.4100000000000001E-6</v>
      </c>
      <c r="O115" s="98"/>
      <c r="P115" s="98"/>
      <c r="Q115" s="13"/>
      <c r="R115" s="145">
        <f>'Parameters, country spec'!K22</f>
        <v>0.29043024005341855</v>
      </c>
    </row>
    <row r="116" spans="1:18" x14ac:dyDescent="0.25">
      <c r="A116" s="21" t="s">
        <v>406</v>
      </c>
      <c r="B116" s="16" t="s">
        <v>191</v>
      </c>
      <c r="C116" s="16" t="s">
        <v>404</v>
      </c>
      <c r="D116" s="22" t="s">
        <v>33</v>
      </c>
      <c r="E116" s="22" t="s">
        <v>92</v>
      </c>
      <c r="F116" s="125">
        <f t="shared" si="28"/>
        <v>4.1222999999999997E-4</v>
      </c>
      <c r="G116" s="96">
        <v>1.4999999999999999E-4</v>
      </c>
      <c r="H116" s="97">
        <v>9.9999999999999995E-7</v>
      </c>
      <c r="I116" s="98">
        <v>2.31E-4</v>
      </c>
      <c r="J116" s="98">
        <v>2.3099999999999999E-5</v>
      </c>
      <c r="K116" s="98">
        <v>2.1900000000000002E-6</v>
      </c>
      <c r="L116" s="98"/>
      <c r="M116" s="98">
        <v>3.5300000000000001E-6</v>
      </c>
      <c r="N116" s="98">
        <v>1.4100000000000001E-6</v>
      </c>
      <c r="O116" s="98"/>
      <c r="P116" s="98"/>
      <c r="Q116" s="13"/>
      <c r="R116" s="145">
        <f>'Parameters, country spec'!K23</f>
        <v>3.4333767030039916E-2</v>
      </c>
    </row>
    <row r="117" spans="1:18" x14ac:dyDescent="0.25">
      <c r="A117" s="21" t="s">
        <v>407</v>
      </c>
      <c r="B117" s="16" t="s">
        <v>192</v>
      </c>
      <c r="C117" s="16" t="s">
        <v>404</v>
      </c>
      <c r="D117" s="22" t="s">
        <v>33</v>
      </c>
      <c r="E117" s="22" t="s">
        <v>92</v>
      </c>
      <c r="F117" s="125">
        <f t="shared" si="28"/>
        <v>3.7770925999999999E-4</v>
      </c>
      <c r="G117" s="96">
        <v>1.3999999999999999E-4</v>
      </c>
      <c r="H117" s="97">
        <v>9.9999999999999995E-7</v>
      </c>
      <c r="I117" s="98">
        <v>2.12E-4</v>
      </c>
      <c r="J117" s="98">
        <v>2.12E-5</v>
      </c>
      <c r="K117" s="98">
        <v>2.0899999999999999E-6</v>
      </c>
      <c r="L117" s="98"/>
      <c r="M117" s="98">
        <v>9.2599999999999999E-9</v>
      </c>
      <c r="N117" s="98">
        <v>1.4100000000000001E-6</v>
      </c>
      <c r="O117" s="98"/>
      <c r="P117" s="98"/>
      <c r="Q117" s="13"/>
      <c r="R117" s="145">
        <f>'Parameters, country spec'!K24</f>
        <v>9.062638357287928E-3</v>
      </c>
    </row>
    <row r="118" spans="1:18" x14ac:dyDescent="0.25">
      <c r="A118" s="21" t="s">
        <v>408</v>
      </c>
      <c r="B118" s="16" t="s">
        <v>193</v>
      </c>
      <c r="C118" s="16" t="s">
        <v>404</v>
      </c>
      <c r="D118" s="22" t="s">
        <v>33</v>
      </c>
      <c r="E118" s="22" t="s">
        <v>92</v>
      </c>
      <c r="F118" s="125">
        <f t="shared" si="28"/>
        <v>4.9875099999999997E-4</v>
      </c>
      <c r="G118" s="96">
        <v>2.0000000000000001E-4</v>
      </c>
      <c r="H118" s="97">
        <v>9.9999999999999995E-7</v>
      </c>
      <c r="I118" s="98">
        <v>2.6800000000000001E-4</v>
      </c>
      <c r="J118" s="98">
        <v>2.6800000000000001E-5</v>
      </c>
      <c r="K118" s="98">
        <v>1.4300000000000001E-6</v>
      </c>
      <c r="L118" s="98"/>
      <c r="M118" s="98">
        <v>1.11E-7</v>
      </c>
      <c r="N118" s="98">
        <v>1.4100000000000001E-6</v>
      </c>
      <c r="O118" s="98"/>
      <c r="P118" s="98"/>
      <c r="Q118" s="13"/>
      <c r="R118" s="145">
        <f>'Parameters, country spec'!K25</f>
        <v>0.18653591098002148</v>
      </c>
    </row>
    <row r="119" spans="1:18" x14ac:dyDescent="0.25">
      <c r="A119" s="21" t="s">
        <v>409</v>
      </c>
      <c r="B119" s="16" t="s">
        <v>194</v>
      </c>
      <c r="C119" s="16" t="s">
        <v>410</v>
      </c>
      <c r="D119" s="22" t="s">
        <v>33</v>
      </c>
      <c r="E119" s="22" t="s">
        <v>92</v>
      </c>
      <c r="F119" s="125">
        <f t="shared" si="28"/>
        <v>1.7489560000000001E-4</v>
      </c>
      <c r="G119" s="96">
        <v>0</v>
      </c>
      <c r="H119" s="97">
        <v>9.9999999999999995E-7</v>
      </c>
      <c r="I119" s="98">
        <v>1.54E-4</v>
      </c>
      <c r="J119" s="98">
        <v>1.5400000000000002E-5</v>
      </c>
      <c r="K119" s="98">
        <v>3.0299999999999998E-6</v>
      </c>
      <c r="L119" s="98"/>
      <c r="M119" s="98">
        <v>5.5600000000000002E-8</v>
      </c>
      <c r="N119" s="98">
        <v>1.4100000000000001E-6</v>
      </c>
      <c r="O119" s="98"/>
      <c r="P119" s="98"/>
      <c r="Q119" s="13"/>
      <c r="R119" s="145">
        <f>'Parameters, country spec'!K26</f>
        <v>6.7614174404510841E-3</v>
      </c>
    </row>
    <row r="120" spans="1:18" x14ac:dyDescent="0.25">
      <c r="A120" s="21" t="s">
        <v>411</v>
      </c>
      <c r="B120" s="16" t="s">
        <v>195</v>
      </c>
      <c r="C120" s="16" t="s">
        <v>410</v>
      </c>
      <c r="D120" s="22" t="s">
        <v>33</v>
      </c>
      <c r="E120" s="22" t="s">
        <v>92</v>
      </c>
      <c r="F120" s="125">
        <f t="shared" si="28"/>
        <v>1.9007199999999998E-4</v>
      </c>
      <c r="G120" s="96">
        <v>8.6000000000000007E-6</v>
      </c>
      <c r="H120" s="97">
        <v>9.9999999999999995E-7</v>
      </c>
      <c r="I120" s="98">
        <v>1.5899999999999999E-4</v>
      </c>
      <c r="J120" s="98">
        <v>1.59E-5</v>
      </c>
      <c r="K120" s="98">
        <v>3.5099999999999999E-6</v>
      </c>
      <c r="L120" s="98"/>
      <c r="M120" s="98">
        <v>6.5199999999999996E-7</v>
      </c>
      <c r="N120" s="98">
        <v>1.4100000000000001E-6</v>
      </c>
      <c r="O120" s="98"/>
      <c r="P120" s="98"/>
      <c r="Q120" s="13"/>
      <c r="R120" s="145">
        <f>'Parameters, country spec'!K27</f>
        <v>6.6419400786463401E-3</v>
      </c>
    </row>
    <row r="121" spans="1:18" x14ac:dyDescent="0.25">
      <c r="B121" s="17" t="s">
        <v>196</v>
      </c>
      <c r="C121" s="16" t="s">
        <v>412</v>
      </c>
      <c r="D121" s="22" t="s">
        <v>460</v>
      </c>
      <c r="E121" s="22"/>
      <c r="F121" s="125">
        <f t="shared" si="28"/>
        <v>6.732045566157569E-4</v>
      </c>
      <c r="G121" s="33">
        <f>'Off-farm feed'!$F$77</f>
        <v>1.946970439026595E-4</v>
      </c>
      <c r="H121" s="33">
        <f>'Off-farm feed'!$G$77</f>
        <v>5.3103448275862083E-7</v>
      </c>
      <c r="I121" s="33">
        <f>'Off-farm feed'!$H$77</f>
        <v>4.2751561806777074E-4</v>
      </c>
      <c r="J121" s="33">
        <f>'Off-farm feed'!$I$77</f>
        <v>4.2751561806777089E-5</v>
      </c>
      <c r="K121" s="33">
        <f>'Off-farm feed'!$J$77</f>
        <v>6.6339607025480414E-7</v>
      </c>
      <c r="L121" s="33"/>
      <c r="M121" s="33">
        <f>'Off-farm feed'!$L$77</f>
        <v>7.9511067188965511E-9</v>
      </c>
      <c r="N121" s="33">
        <f>'Off-farm feed'!$M$77</f>
        <v>1.2789681892721844E-6</v>
      </c>
      <c r="O121" s="33"/>
      <c r="P121" s="33">
        <f>'Off-farm feed'!$O$77</f>
        <v>3.9312802868423834E-6</v>
      </c>
      <c r="Q121" s="33">
        <f>'Off-farm feed'!$P$77</f>
        <v>1.8277027027027027E-6</v>
      </c>
      <c r="R121" s="145">
        <f>'Parameters, country spec'!K28</f>
        <v>1.9581705928834556E-2</v>
      </c>
    </row>
    <row r="122" spans="1:18" x14ac:dyDescent="0.25">
      <c r="B122" s="17" t="s">
        <v>413</v>
      </c>
      <c r="C122" s="16" t="s">
        <v>412</v>
      </c>
      <c r="D122" s="22" t="s">
        <v>437</v>
      </c>
      <c r="E122" s="22"/>
      <c r="F122" s="125">
        <f t="shared" si="28"/>
        <v>1.8866346644602505E-4</v>
      </c>
      <c r="G122" s="33">
        <f>'Off-farm feed'!$F$26</f>
        <v>1.6332109719061441E-5</v>
      </c>
      <c r="H122" s="33">
        <f>'Off-farm feed'!$G$26</f>
        <v>8.7195121951219526E-7</v>
      </c>
      <c r="I122" s="33">
        <f>'Off-farm feed'!$H$26</f>
        <v>1.3333449845358202E-4</v>
      </c>
      <c r="J122" s="33">
        <f>'Off-farm feed'!$I$26</f>
        <v>1.3333449845358203E-5</v>
      </c>
      <c r="K122" s="33">
        <f>'Off-farm feed'!$J$26</f>
        <v>1.1576736579983931E-6</v>
      </c>
      <c r="L122" s="33"/>
      <c r="M122" s="33">
        <f>'Off-farm feed'!$L$26</f>
        <v>7.3437786087804866E-9</v>
      </c>
      <c r="N122" s="33">
        <f>'Off-farm feed'!$M$26</f>
        <v>1.1195281639512197E-6</v>
      </c>
      <c r="O122" s="33"/>
      <c r="P122" s="33">
        <f>'Off-farm feed'!$O$26</f>
        <v>1.3419073770114991E-5</v>
      </c>
      <c r="Q122" s="33">
        <f>'Off-farm feed'!$P$26</f>
        <v>9.087837837837838E-6</v>
      </c>
      <c r="R122" s="145">
        <f>'Parameters, country spec'!K29</f>
        <v>0.16739124532505686</v>
      </c>
    </row>
    <row r="123" spans="1:18" x14ac:dyDescent="0.25">
      <c r="B123" s="16" t="s">
        <v>198</v>
      </c>
      <c r="C123" s="16" t="s">
        <v>414</v>
      </c>
      <c r="D123" s="22" t="s">
        <v>33</v>
      </c>
      <c r="E123" s="22" t="s">
        <v>92</v>
      </c>
      <c r="F123" s="125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45">
        <f>'Parameters, country spec'!K30</f>
        <v>2.5717267166106915E-2</v>
      </c>
    </row>
    <row r="124" spans="1:18" x14ac:dyDescent="0.25">
      <c r="A124" s="80"/>
      <c r="B124" s="16" t="s">
        <v>415</v>
      </c>
      <c r="C124" s="81" t="s">
        <v>416</v>
      </c>
      <c r="D124" s="22" t="s">
        <v>33</v>
      </c>
      <c r="E124" s="22" t="s">
        <v>92</v>
      </c>
      <c r="F124" s="125">
        <f t="shared" si="28"/>
        <v>3.7941855427380938E-4</v>
      </c>
      <c r="G124" s="79">
        <f t="shared" ref="G124:N124" si="29">AVERAGE(G114:G122)</f>
        <v>1.1773657262463566E-4</v>
      </c>
      <c r="H124" s="79">
        <f t="shared" si="29"/>
        <v>9.3366507803009054E-7</v>
      </c>
      <c r="I124" s="79">
        <f t="shared" si="29"/>
        <v>2.3365001294681697E-4</v>
      </c>
      <c r="J124" s="79">
        <f t="shared" si="29"/>
        <v>2.3365001294681702E-5</v>
      </c>
      <c r="K124" s="79">
        <f t="shared" si="29"/>
        <v>1.7771188586947996E-6</v>
      </c>
      <c r="L124" s="79"/>
      <c r="M124" s="79">
        <f t="shared" si="29"/>
        <v>5.9301720948085291E-7</v>
      </c>
      <c r="N124" s="79">
        <f t="shared" si="29"/>
        <v>1.3631662614692673E-6</v>
      </c>
      <c r="O124" s="79"/>
      <c r="P124" s="79"/>
      <c r="Q124" s="79"/>
      <c r="R124" s="145">
        <f>'Parameters, country spec'!K31</f>
        <v>3.3339193141406827E-2</v>
      </c>
    </row>
    <row r="125" spans="1:18" x14ac:dyDescent="0.25">
      <c r="A125" s="42"/>
      <c r="B125" s="43" t="s">
        <v>417</v>
      </c>
      <c r="C125" s="44"/>
      <c r="D125" s="99"/>
      <c r="E125" s="99"/>
      <c r="F125" s="45">
        <f t="shared" ref="F125:O125" si="30">SUMPRODUCT(F114:F124,$R$114:$R$124)</f>
        <v>4.0389256762898536E-4</v>
      </c>
      <c r="G125" s="45">
        <f t="shared" si="30"/>
        <v>1.4326471430217385E-4</v>
      </c>
      <c r="H125" s="45">
        <f t="shared" si="30"/>
        <v>9.414537903807251E-7</v>
      </c>
      <c r="I125" s="45">
        <f t="shared" si="30"/>
        <v>2.2993719199208783E-4</v>
      </c>
      <c r="J125" s="45">
        <f t="shared" si="30"/>
        <v>2.2993719199208785E-5</v>
      </c>
      <c r="K125" s="45">
        <f t="shared" si="30"/>
        <v>1.1231578397394099E-6</v>
      </c>
      <c r="L125" s="45">
        <f t="shared" si="30"/>
        <v>0</v>
      </c>
      <c r="M125" s="45">
        <f t="shared" si="30"/>
        <v>4.3111084607981152E-7</v>
      </c>
      <c r="N125" s="45">
        <f t="shared" si="30"/>
        <v>1.3209889854883231E-6</v>
      </c>
      <c r="O125" s="45">
        <f t="shared" si="30"/>
        <v>0</v>
      </c>
      <c r="P125" s="45">
        <f>SUMPRODUCT(P114:P124,R114:R124)</f>
        <v>2.3232166439891261E-6</v>
      </c>
      <c r="Q125" s="45">
        <f>SUMPRODUCT(Q114:Q124,$R$114:$R$124)</f>
        <v>1.5570140298375083E-6</v>
      </c>
      <c r="R125" s="146"/>
    </row>
    <row r="126" spans="1:18" x14ac:dyDescent="0.25">
      <c r="A126" s="311" t="s">
        <v>403</v>
      </c>
      <c r="B126" s="293" t="s">
        <v>187</v>
      </c>
      <c r="C126" s="293" t="s">
        <v>404</v>
      </c>
      <c r="D126" s="22" t="s">
        <v>37</v>
      </c>
      <c r="E126" s="22" t="s">
        <v>93</v>
      </c>
      <c r="F126" s="315">
        <f>SUM(G126:Q126)</f>
        <v>8.4192999999999996E-4</v>
      </c>
      <c r="G126" s="305">
        <v>1.3999999999999999E-4</v>
      </c>
      <c r="H126" s="306">
        <v>9.9999999999999995E-7</v>
      </c>
      <c r="I126" s="309">
        <v>6.3500000000000004E-4</v>
      </c>
      <c r="J126" s="309">
        <v>6.3499999999999999E-5</v>
      </c>
      <c r="K126" s="309">
        <v>1.1000000000000001E-6</v>
      </c>
      <c r="L126" s="309"/>
      <c r="M126" s="309">
        <v>0</v>
      </c>
      <c r="N126" s="309">
        <v>1.33E-6</v>
      </c>
      <c r="O126" s="309"/>
      <c r="P126" s="309"/>
      <c r="Q126" s="308"/>
      <c r="R126" s="310">
        <f>'Parameters, country spec'!L21</f>
        <v>0.26218798715146852</v>
      </c>
    </row>
    <row r="127" spans="1:18" x14ac:dyDescent="0.25">
      <c r="A127" s="21" t="s">
        <v>405</v>
      </c>
      <c r="B127" s="16" t="s">
        <v>189</v>
      </c>
      <c r="C127" s="16" t="s">
        <v>404</v>
      </c>
      <c r="D127" s="22" t="s">
        <v>37</v>
      </c>
      <c r="E127" s="22" t="s">
        <v>93</v>
      </c>
      <c r="F127" s="125">
        <f t="shared" ref="F127:F136" si="31">SUM(G127:Q127)</f>
        <v>7.6903400000000004E-4</v>
      </c>
      <c r="G127" s="96">
        <v>1.2999999999999999E-4</v>
      </c>
      <c r="H127" s="97">
        <v>9.9999999999999995E-7</v>
      </c>
      <c r="I127" s="98">
        <v>5.7799999999999995E-4</v>
      </c>
      <c r="J127" s="98">
        <v>5.7800000000000002E-5</v>
      </c>
      <c r="K127" s="98">
        <v>7.5000000000000002E-7</v>
      </c>
      <c r="L127" s="98"/>
      <c r="M127" s="98">
        <v>1.54E-7</v>
      </c>
      <c r="N127" s="98">
        <v>1.33E-6</v>
      </c>
      <c r="O127" s="98"/>
      <c r="P127" s="98"/>
      <c r="Q127" s="13"/>
      <c r="R127" s="145">
        <f>'Parameters, country spec'!L22</f>
        <v>2.7145227912969191E-3</v>
      </c>
    </row>
    <row r="128" spans="1:18" x14ac:dyDescent="0.25">
      <c r="A128" s="21" t="s">
        <v>406</v>
      </c>
      <c r="B128" s="16" t="s">
        <v>191</v>
      </c>
      <c r="C128" s="16" t="s">
        <v>404</v>
      </c>
      <c r="D128" s="22" t="s">
        <v>37</v>
      </c>
      <c r="E128" s="22" t="s">
        <v>93</v>
      </c>
      <c r="F128" s="125">
        <f t="shared" si="31"/>
        <v>7.4177999999999994E-4</v>
      </c>
      <c r="G128" s="96">
        <v>1.2E-4</v>
      </c>
      <c r="H128" s="97">
        <v>9.9999999999999995E-7</v>
      </c>
      <c r="I128" s="98">
        <v>5.62E-4</v>
      </c>
      <c r="J128" s="98">
        <v>5.6199999999999997E-5</v>
      </c>
      <c r="K128" s="98">
        <v>1.2500000000000001E-6</v>
      </c>
      <c r="L128" s="98"/>
      <c r="M128" s="98">
        <v>0</v>
      </c>
      <c r="N128" s="98">
        <v>1.33E-6</v>
      </c>
      <c r="O128" s="98"/>
      <c r="P128" s="98"/>
      <c r="Q128" s="13"/>
      <c r="R128" s="145">
        <f>'Parameters, country spec'!L23</f>
        <v>4.4514084693111092E-2</v>
      </c>
    </row>
    <row r="129" spans="1:18" x14ac:dyDescent="0.25">
      <c r="A129" s="21" t="s">
        <v>407</v>
      </c>
      <c r="B129" s="16" t="s">
        <v>192</v>
      </c>
      <c r="C129" s="16" t="s">
        <v>404</v>
      </c>
      <c r="D129" s="22" t="s">
        <v>37</v>
      </c>
      <c r="E129" s="22" t="s">
        <v>93</v>
      </c>
      <c r="F129" s="125">
        <f t="shared" si="31"/>
        <v>6.6755700000000005E-4</v>
      </c>
      <c r="G129" s="96">
        <v>1.1E-4</v>
      </c>
      <c r="H129" s="97">
        <v>9.9999999999999995E-7</v>
      </c>
      <c r="I129" s="98">
        <v>5.04E-4</v>
      </c>
      <c r="J129" s="98">
        <v>5.0399999999999999E-5</v>
      </c>
      <c r="K129" s="98">
        <v>8.2699999999999998E-7</v>
      </c>
      <c r="L129" s="98"/>
      <c r="M129" s="98">
        <v>0</v>
      </c>
      <c r="N129" s="98">
        <v>1.33E-6</v>
      </c>
      <c r="O129" s="98"/>
      <c r="P129" s="98"/>
      <c r="Q129" s="13"/>
      <c r="R129" s="145">
        <f>'Parameters, country spec'!L24</f>
        <v>2.791271755500447E-2</v>
      </c>
    </row>
    <row r="130" spans="1:18" x14ac:dyDescent="0.25">
      <c r="A130" s="21" t="s">
        <v>408</v>
      </c>
      <c r="B130" s="16" t="s">
        <v>193</v>
      </c>
      <c r="C130" s="16" t="s">
        <v>404</v>
      </c>
      <c r="D130" s="22" t="s">
        <v>37</v>
      </c>
      <c r="E130" s="22" t="s">
        <v>93</v>
      </c>
      <c r="F130" s="125">
        <f t="shared" si="31"/>
        <v>9.2211918000000004E-4</v>
      </c>
      <c r="G130" s="96">
        <v>1.6000000000000001E-4</v>
      </c>
      <c r="H130" s="97">
        <v>9.9999999999999995E-7</v>
      </c>
      <c r="I130" s="98">
        <v>6.8999999999999997E-4</v>
      </c>
      <c r="J130" s="98">
        <v>6.8999999999999997E-5</v>
      </c>
      <c r="K130" s="98">
        <v>7.8299999999999996E-7</v>
      </c>
      <c r="L130" s="98"/>
      <c r="M130" s="98">
        <v>6.1799999999999998E-9</v>
      </c>
      <c r="N130" s="98">
        <v>1.33E-6</v>
      </c>
      <c r="O130" s="98"/>
      <c r="P130" s="98"/>
      <c r="Q130" s="13"/>
      <c r="R130" s="145">
        <f>'Parameters, country spec'!L25</f>
        <v>0.32729029603711124</v>
      </c>
    </row>
    <row r="131" spans="1:18" x14ac:dyDescent="0.25">
      <c r="A131" s="21" t="s">
        <v>409</v>
      </c>
      <c r="B131" s="16" t="s">
        <v>194</v>
      </c>
      <c r="C131" s="16" t="s">
        <v>410</v>
      </c>
      <c r="D131" s="22" t="s">
        <v>37</v>
      </c>
      <c r="E131" s="22" t="s">
        <v>93</v>
      </c>
      <c r="F131" s="125">
        <f t="shared" si="31"/>
        <v>2.0736308999999998E-4</v>
      </c>
      <c r="G131" s="96">
        <v>0</v>
      </c>
      <c r="H131" s="97">
        <v>9.9999999999999995E-7</v>
      </c>
      <c r="I131" s="98">
        <v>1.85E-4</v>
      </c>
      <c r="J131" s="98">
        <v>1.8499999999999999E-5</v>
      </c>
      <c r="K131" s="98">
        <v>1.53E-6</v>
      </c>
      <c r="L131" s="98"/>
      <c r="M131" s="98">
        <v>3.0899999999999999E-9</v>
      </c>
      <c r="N131" s="98">
        <v>1.33E-6</v>
      </c>
      <c r="O131" s="98"/>
      <c r="P131" s="98"/>
      <c r="Q131" s="13"/>
      <c r="R131" s="145">
        <f>'Parameters, country spec'!L26</f>
        <v>4.8974646420038275E-3</v>
      </c>
    </row>
    <row r="132" spans="1:18" x14ac:dyDescent="0.25">
      <c r="A132" s="21" t="s">
        <v>411</v>
      </c>
      <c r="B132" s="16" t="s">
        <v>195</v>
      </c>
      <c r="C132" s="16" t="s">
        <v>410</v>
      </c>
      <c r="D132" s="22" t="s">
        <v>37</v>
      </c>
      <c r="E132" s="22" t="s">
        <v>93</v>
      </c>
      <c r="F132" s="125">
        <f t="shared" si="31"/>
        <v>2.3902308999999998E-4</v>
      </c>
      <c r="G132" s="96">
        <v>6.7000000000000002E-6</v>
      </c>
      <c r="H132" s="97">
        <v>9.9999999999999995E-7</v>
      </c>
      <c r="I132" s="98">
        <v>2.0699999999999999E-4</v>
      </c>
      <c r="J132" s="98">
        <v>2.0699999999999998E-5</v>
      </c>
      <c r="K132" s="98">
        <v>2.2900000000000001E-6</v>
      </c>
      <c r="L132" s="98"/>
      <c r="M132" s="98">
        <v>3.0899999999999999E-9</v>
      </c>
      <c r="N132" s="98">
        <v>1.33E-6</v>
      </c>
      <c r="O132" s="98"/>
      <c r="P132" s="98"/>
      <c r="Q132" s="13"/>
      <c r="R132" s="145">
        <f>'Parameters, country spec'!L27</f>
        <v>5.63859541846429E-2</v>
      </c>
    </row>
    <row r="133" spans="1:18" x14ac:dyDescent="0.25">
      <c r="B133" s="17" t="s">
        <v>196</v>
      </c>
      <c r="C133" s="16" t="s">
        <v>412</v>
      </c>
      <c r="D133" s="22" t="s">
        <v>460</v>
      </c>
      <c r="E133" s="22"/>
      <c r="F133" s="125">
        <f t="shared" si="31"/>
        <v>6.732045566157569E-4</v>
      </c>
      <c r="G133" s="33">
        <f>'Off-farm feed'!$F$77</f>
        <v>1.946970439026595E-4</v>
      </c>
      <c r="H133" s="33">
        <f>'Off-farm feed'!$G$77</f>
        <v>5.3103448275862083E-7</v>
      </c>
      <c r="I133" s="33">
        <f>'Off-farm feed'!$H$77</f>
        <v>4.2751561806777074E-4</v>
      </c>
      <c r="J133" s="33">
        <f>'Off-farm feed'!$I$77</f>
        <v>4.2751561806777089E-5</v>
      </c>
      <c r="K133" s="33">
        <f>'Off-farm feed'!$J$77</f>
        <v>6.6339607025480414E-7</v>
      </c>
      <c r="L133" s="33"/>
      <c r="M133" s="33">
        <f>'Off-farm feed'!$L$77</f>
        <v>7.9511067188965511E-9</v>
      </c>
      <c r="N133" s="33">
        <f>'Off-farm feed'!$M$77</f>
        <v>1.2789681892721844E-6</v>
      </c>
      <c r="O133" s="33"/>
      <c r="P133" s="33">
        <f>'Off-farm feed'!$O$77</f>
        <v>3.9312802868423834E-6</v>
      </c>
      <c r="Q133" s="33">
        <f>'Off-farm feed'!$P$77</f>
        <v>1.8277027027027027E-6</v>
      </c>
      <c r="R133" s="145">
        <f>'Parameters, country spec'!L28</f>
        <v>2.9607485666187296E-2</v>
      </c>
    </row>
    <row r="134" spans="1:18" x14ac:dyDescent="0.25">
      <c r="B134" s="17" t="s">
        <v>413</v>
      </c>
      <c r="C134" s="16" t="s">
        <v>412</v>
      </c>
      <c r="D134" s="22" t="s">
        <v>437</v>
      </c>
      <c r="E134" s="22"/>
      <c r="F134" s="125">
        <f t="shared" si="31"/>
        <v>1.8866346644602505E-4</v>
      </c>
      <c r="G134" s="33">
        <f>'Off-farm feed'!$F$26</f>
        <v>1.6332109719061441E-5</v>
      </c>
      <c r="H134" s="33">
        <f>'Off-farm feed'!$G$26</f>
        <v>8.7195121951219526E-7</v>
      </c>
      <c r="I134" s="33">
        <f>'Off-farm feed'!$H$26</f>
        <v>1.3333449845358202E-4</v>
      </c>
      <c r="J134" s="33">
        <f>'Off-farm feed'!$I$26</f>
        <v>1.3333449845358203E-5</v>
      </c>
      <c r="K134" s="33">
        <f>'Off-farm feed'!$J$26</f>
        <v>1.1576736579983931E-6</v>
      </c>
      <c r="L134" s="33"/>
      <c r="M134" s="33">
        <f>'Off-farm feed'!$L$26</f>
        <v>7.3437786087804866E-9</v>
      </c>
      <c r="N134" s="33">
        <f>'Off-farm feed'!$M$26</f>
        <v>1.1195281639512197E-6</v>
      </c>
      <c r="O134" s="33"/>
      <c r="P134" s="33">
        <f>'Off-farm feed'!$O$26</f>
        <v>1.3419073770114991E-5</v>
      </c>
      <c r="Q134" s="33">
        <f>'Off-farm feed'!$P$26</f>
        <v>9.087837837837838E-6</v>
      </c>
      <c r="R134" s="145">
        <f>'Parameters, country spec'!L29</f>
        <v>3.870789973314008E-2</v>
      </c>
    </row>
    <row r="135" spans="1:18" x14ac:dyDescent="0.25">
      <c r="B135" s="16" t="s">
        <v>198</v>
      </c>
      <c r="C135" s="16" t="s">
        <v>414</v>
      </c>
      <c r="D135" s="22" t="s">
        <v>37</v>
      </c>
      <c r="E135" s="22" t="s">
        <v>93</v>
      </c>
      <c r="F135" s="125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45">
        <f>'Parameters, country spec'!L30</f>
        <v>0.11190565161757877</v>
      </c>
    </row>
    <row r="136" spans="1:18" x14ac:dyDescent="0.25">
      <c r="A136" s="80"/>
      <c r="B136" s="16" t="s">
        <v>415</v>
      </c>
      <c r="C136" s="81" t="s">
        <v>416</v>
      </c>
      <c r="D136" s="22" t="s">
        <v>37</v>
      </c>
      <c r="E136" s="22" t="s">
        <v>93</v>
      </c>
      <c r="F136" s="125">
        <f t="shared" si="31"/>
        <v>5.8026760982936494E-4</v>
      </c>
      <c r="G136" s="79">
        <f t="shared" ref="G136:N136" si="32">AVERAGE(G126:G134)</f>
        <v>9.7525461513524526E-5</v>
      </c>
      <c r="H136" s="79">
        <f t="shared" si="32"/>
        <v>9.3366507803009054E-7</v>
      </c>
      <c r="I136" s="79">
        <f t="shared" si="32"/>
        <v>4.3576112405792816E-4</v>
      </c>
      <c r="J136" s="79">
        <f t="shared" si="32"/>
        <v>4.3576112405792815E-5</v>
      </c>
      <c r="K136" s="79">
        <f t="shared" si="32"/>
        <v>1.1501188586947998E-6</v>
      </c>
      <c r="L136" s="79"/>
      <c r="M136" s="79">
        <f t="shared" si="32"/>
        <v>2.0183876147519672E-8</v>
      </c>
      <c r="N136" s="79">
        <f t="shared" si="32"/>
        <v>1.3009440392470449E-6</v>
      </c>
      <c r="O136" s="79"/>
      <c r="P136" s="79"/>
      <c r="Q136" s="79"/>
      <c r="R136" s="145">
        <f>'Parameters, country spec'!L31</f>
        <v>9.3875935928454946E-2</v>
      </c>
    </row>
    <row r="137" spans="1:18" x14ac:dyDescent="0.25">
      <c r="A137" s="144"/>
      <c r="B137" s="24" t="s">
        <v>417</v>
      </c>
      <c r="C137" s="25"/>
      <c r="D137" s="99"/>
      <c r="E137" s="99"/>
      <c r="F137" s="29">
        <f>SUMPRODUCT(F126:F136,$R$126:$R$136)</f>
        <v>6.7248606365069336E-4</v>
      </c>
      <c r="G137" s="29">
        <f t="shared" ref="G137:Q137" si="33">SUMPRODUCT(G126:G136,$R$126:$R$136)</f>
        <v>1.1376749409574264E-4</v>
      </c>
      <c r="H137" s="29">
        <f t="shared" si="33"/>
        <v>8.6302570631202185E-7</v>
      </c>
      <c r="I137" s="29">
        <f t="shared" si="33"/>
        <v>5.0427776329369748E-4</v>
      </c>
      <c r="J137" s="29">
        <f t="shared" si="33"/>
        <v>5.0427776329369744E-5</v>
      </c>
      <c r="K137" s="29">
        <f t="shared" si="33"/>
        <v>9.344754488341358E-7</v>
      </c>
      <c r="L137" s="29">
        <f t="shared" si="33"/>
        <v>0</v>
      </c>
      <c r="M137" s="29">
        <f t="shared" si="33"/>
        <v>5.0445110918169466E-9</v>
      </c>
      <c r="N137" s="29">
        <f t="shared" si="33"/>
        <v>1.1687799815075668E-6</v>
      </c>
      <c r="O137" s="29">
        <f t="shared" si="33"/>
        <v>0</v>
      </c>
      <c r="P137" s="29">
        <f>SUMPRODUCT(P126:P136,R126:R136)</f>
        <v>6.3581948674767172E-7</v>
      </c>
      <c r="Q137" s="29">
        <f t="shared" si="33"/>
        <v>4.0588479739038564E-7</v>
      </c>
      <c r="R137" s="146"/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9">
    <tabColor theme="4" tint="0.39997558519241921"/>
  </sheetPr>
  <dimension ref="A2:N137"/>
  <sheetViews>
    <sheetView tabSelected="1" topLeftCell="B1" zoomScale="80" zoomScaleNormal="80" workbookViewId="0">
      <selection activeCell="O15" sqref="O15"/>
    </sheetView>
  </sheetViews>
  <sheetFormatPr defaultColWidth="8.7109375" defaultRowHeight="15" x14ac:dyDescent="0.25"/>
  <cols>
    <col min="1" max="1" width="8.5703125" customWidth="1"/>
    <col min="2" max="2" width="30.42578125" customWidth="1"/>
    <col min="3" max="3" width="19" customWidth="1"/>
    <col min="4" max="4" width="12.5703125" customWidth="1"/>
    <col min="5" max="5" width="8.5703125" customWidth="1"/>
    <col min="6" max="12" width="15.5703125" customWidth="1"/>
  </cols>
  <sheetData>
    <row r="2" spans="1:13" ht="21" x14ac:dyDescent="0.35">
      <c r="A2" s="2" t="s">
        <v>420</v>
      </c>
      <c r="F2" t="s">
        <v>421</v>
      </c>
      <c r="L2" t="s">
        <v>422</v>
      </c>
    </row>
    <row r="3" spans="1:13" x14ac:dyDescent="0.25">
      <c r="H3" s="8"/>
      <c r="I3" s="8"/>
      <c r="J3" s="8"/>
      <c r="K3" s="8"/>
    </row>
    <row r="4" spans="1:13" x14ac:dyDescent="0.25">
      <c r="A4" s="152" t="s">
        <v>396</v>
      </c>
      <c r="B4" s="153"/>
      <c r="C4" s="153"/>
      <c r="D4" s="153"/>
      <c r="E4" s="153"/>
      <c r="F4" s="154" t="s">
        <v>49</v>
      </c>
      <c r="G4" s="154" t="s">
        <v>423</v>
      </c>
      <c r="H4" s="154" t="s">
        <v>51</v>
      </c>
      <c r="I4" s="154" t="s">
        <v>52</v>
      </c>
      <c r="J4" s="155" t="s">
        <v>53</v>
      </c>
      <c r="K4" s="155" t="s">
        <v>54</v>
      </c>
      <c r="L4" s="155" t="s">
        <v>55</v>
      </c>
      <c r="M4" s="156" t="s">
        <v>398</v>
      </c>
    </row>
    <row r="5" spans="1:13" ht="45" x14ac:dyDescent="0.25">
      <c r="A5" s="157" t="s">
        <v>59</v>
      </c>
      <c r="B5" s="157" t="s">
        <v>396</v>
      </c>
      <c r="C5" s="157" t="s">
        <v>399</v>
      </c>
      <c r="D5" s="157" t="s">
        <v>62</v>
      </c>
      <c r="E5" s="143" t="s">
        <v>63</v>
      </c>
      <c r="F5" s="163" t="s">
        <v>70</v>
      </c>
      <c r="G5" s="163" t="s">
        <v>424</v>
      </c>
      <c r="H5" s="163" t="s">
        <v>425</v>
      </c>
      <c r="I5" s="164" t="s">
        <v>73</v>
      </c>
      <c r="J5" s="165" t="s">
        <v>74</v>
      </c>
      <c r="K5" s="166" t="s">
        <v>75</v>
      </c>
      <c r="L5" s="166" t="s">
        <v>76</v>
      </c>
      <c r="M5" s="95"/>
    </row>
    <row r="6" spans="1:13" x14ac:dyDescent="0.25">
      <c r="A6" s="21" t="s">
        <v>403</v>
      </c>
      <c r="B6" s="16" t="s">
        <v>187</v>
      </c>
      <c r="C6" s="16" t="s">
        <v>404</v>
      </c>
      <c r="D6" s="22" t="s">
        <v>36</v>
      </c>
      <c r="E6" s="22" t="s">
        <v>83</v>
      </c>
      <c r="F6" s="23">
        <v>1.76</v>
      </c>
      <c r="G6" s="39">
        <v>2.1000000000000001E-2</v>
      </c>
      <c r="H6" s="39">
        <v>3.0999999999999999E-3</v>
      </c>
      <c r="I6" s="39">
        <v>1.7851047046833199E-4</v>
      </c>
      <c r="J6" s="20">
        <v>0.36</v>
      </c>
      <c r="K6" s="27">
        <v>7.8800000000000002E-11</v>
      </c>
      <c r="L6" s="27">
        <v>1.25E-3</v>
      </c>
      <c r="M6" s="145">
        <f>'Parameters, country spec'!B21</f>
        <v>0.35358045392897253</v>
      </c>
    </row>
    <row r="7" spans="1:13" x14ac:dyDescent="0.25">
      <c r="A7" s="21" t="s">
        <v>405</v>
      </c>
      <c r="B7" s="16" t="s">
        <v>189</v>
      </c>
      <c r="C7" s="16" t="s">
        <v>404</v>
      </c>
      <c r="D7" s="22" t="s">
        <v>36</v>
      </c>
      <c r="E7" s="22" t="s">
        <v>83</v>
      </c>
      <c r="F7" s="20">
        <v>1.46</v>
      </c>
      <c r="G7" s="39">
        <v>0.02</v>
      </c>
      <c r="H7" s="39">
        <v>5.5999999999999999E-3</v>
      </c>
      <c r="I7" s="39">
        <v>0</v>
      </c>
      <c r="J7" s="20">
        <v>0.02</v>
      </c>
      <c r="K7" s="27">
        <v>6.5799999999999995E-11</v>
      </c>
      <c r="L7" s="27">
        <v>1.2099999999999999E-3</v>
      </c>
      <c r="M7" s="145">
        <f>'Parameters, country spec'!B22</f>
        <v>2.127816529490071E-2</v>
      </c>
    </row>
    <row r="8" spans="1:13" x14ac:dyDescent="0.25">
      <c r="A8" s="21" t="s">
        <v>406</v>
      </c>
      <c r="B8" s="16" t="s">
        <v>191</v>
      </c>
      <c r="C8" s="16" t="s">
        <v>404</v>
      </c>
      <c r="D8" s="22" t="s">
        <v>36</v>
      </c>
      <c r="E8" s="22" t="s">
        <v>83</v>
      </c>
      <c r="F8" s="20">
        <v>2.0499999999999998</v>
      </c>
      <c r="G8" s="39">
        <v>1.7999999999999999E-2</v>
      </c>
      <c r="H8" s="39">
        <v>3.8E-3</v>
      </c>
      <c r="I8" s="39">
        <v>6.6160105698511999E-5</v>
      </c>
      <c r="J8" s="20">
        <v>0.11</v>
      </c>
      <c r="K8" s="27">
        <v>9.2000000000000005E-11</v>
      </c>
      <c r="L8" s="27">
        <v>1.1000000000000001E-3</v>
      </c>
      <c r="M8" s="145">
        <f>'Parameters, country spec'!B23</f>
        <v>5.9387582525533989E-3</v>
      </c>
    </row>
    <row r="9" spans="1:13" x14ac:dyDescent="0.25">
      <c r="A9" s="21" t="s">
        <v>407</v>
      </c>
      <c r="B9" s="16" t="s">
        <v>192</v>
      </c>
      <c r="C9" s="16" t="s">
        <v>404</v>
      </c>
      <c r="D9" s="22" t="s">
        <v>36</v>
      </c>
      <c r="E9" s="22" t="s">
        <v>83</v>
      </c>
      <c r="F9" s="20">
        <v>1.67</v>
      </c>
      <c r="G9" s="39">
        <v>1.6E-2</v>
      </c>
      <c r="H9" s="39">
        <v>1.1999999999999999E-3</v>
      </c>
      <c r="I9" s="39">
        <v>1.1771521062653201E-5</v>
      </c>
      <c r="J9" s="20">
        <v>0.16</v>
      </c>
      <c r="K9" s="27">
        <v>7.5E-11</v>
      </c>
      <c r="L9" s="27">
        <v>9.68E-4</v>
      </c>
      <c r="M9" s="145">
        <f>'Parameters, country spec'!B24</f>
        <v>4.3085020093106188E-3</v>
      </c>
    </row>
    <row r="10" spans="1:13" x14ac:dyDescent="0.25">
      <c r="A10" s="21" t="s">
        <v>408</v>
      </c>
      <c r="B10" s="16" t="s">
        <v>193</v>
      </c>
      <c r="C10" s="16" t="s">
        <v>404</v>
      </c>
      <c r="D10" s="22" t="s">
        <v>36</v>
      </c>
      <c r="E10" s="22" t="s">
        <v>83</v>
      </c>
      <c r="F10" s="20">
        <v>1.31</v>
      </c>
      <c r="G10" s="39">
        <v>2.4E-2</v>
      </c>
      <c r="H10" s="39">
        <v>2.2000000000000001E-3</v>
      </c>
      <c r="I10" s="39">
        <v>6.3497346233092004E-3</v>
      </c>
      <c r="J10" s="20">
        <v>0.12</v>
      </c>
      <c r="K10" s="27">
        <v>5.8899999999999998E-11</v>
      </c>
      <c r="L10" s="27">
        <v>1.4300000000000001E-3</v>
      </c>
      <c r="M10" s="145">
        <f>'Parameters, country spec'!B25</f>
        <v>0.36499405608086982</v>
      </c>
    </row>
    <row r="11" spans="1:13" x14ac:dyDescent="0.25">
      <c r="A11" s="21" t="s">
        <v>409</v>
      </c>
      <c r="B11" s="16" t="s">
        <v>194</v>
      </c>
      <c r="C11" s="16" t="s">
        <v>410</v>
      </c>
      <c r="D11" s="22" t="s">
        <v>36</v>
      </c>
      <c r="E11" s="22" t="s">
        <v>83</v>
      </c>
      <c r="F11" s="20">
        <v>2.64</v>
      </c>
      <c r="G11" s="39">
        <v>1.7000000000000001E-2</v>
      </c>
      <c r="H11" s="39">
        <v>1.6999999999999999E-3</v>
      </c>
      <c r="I11" s="39">
        <v>0</v>
      </c>
      <c r="J11" s="20">
        <v>0.2</v>
      </c>
      <c r="K11" s="27">
        <v>1.1800000000000001E-10</v>
      </c>
      <c r="L11" s="27">
        <v>0</v>
      </c>
      <c r="M11" s="145">
        <f>'Parameters, country spec'!B26</f>
        <v>8.6328274294382738E-4</v>
      </c>
    </row>
    <row r="12" spans="1:13" x14ac:dyDescent="0.25">
      <c r="A12" s="21" t="s">
        <v>411</v>
      </c>
      <c r="B12" s="16" t="s">
        <v>195</v>
      </c>
      <c r="C12" s="16" t="s">
        <v>410</v>
      </c>
      <c r="D12" s="22" t="s">
        <v>36</v>
      </c>
      <c r="E12" s="22" t="s">
        <v>83</v>
      </c>
      <c r="F12" s="190">
        <v>2.81</v>
      </c>
      <c r="G12" s="190">
        <v>8.0000000000000002E-3</v>
      </c>
      <c r="H12" s="190">
        <v>2E-3</v>
      </c>
      <c r="I12" s="271">
        <v>0</v>
      </c>
      <c r="J12" s="287">
        <v>0.31</v>
      </c>
      <c r="K12" s="261">
        <v>1.26E-10</v>
      </c>
      <c r="L12" s="261">
        <v>6.1400000000000002E-5</v>
      </c>
      <c r="M12" s="145">
        <f>'Parameters, country spec'!B27</f>
        <v>8.4802813940235893E-4</v>
      </c>
    </row>
    <row r="13" spans="1:13" x14ac:dyDescent="0.25">
      <c r="B13" s="17" t="s">
        <v>196</v>
      </c>
      <c r="C13" s="16" t="s">
        <v>412</v>
      </c>
      <c r="D13" s="22" t="s">
        <v>460</v>
      </c>
      <c r="E13" s="22"/>
      <c r="F13" s="18">
        <f>'Off-farm feed'!$F$88</f>
        <v>1.5397450382845088</v>
      </c>
      <c r="G13" s="19">
        <f>'Off-farm feed'!$G$88</f>
        <v>4.1115595157230206E-2</v>
      </c>
      <c r="H13" s="19">
        <f>'Off-farm feed'!$H$88</f>
        <v>4.4751668198345796E-3</v>
      </c>
      <c r="I13" s="19">
        <f>'Off-farm feed'!$I$88</f>
        <v>2.5747126436781614E-3</v>
      </c>
      <c r="J13" s="18">
        <f>'Off-farm feed'!$J$88</f>
        <v>0.29368572248181501</v>
      </c>
      <c r="K13" s="28">
        <f>'Off-farm feed'!$K$88</f>
        <v>1.777473414827503E-10</v>
      </c>
      <c r="L13" s="28">
        <f>'Off-farm feed'!$L$88</f>
        <v>2.4996062723023757E-3</v>
      </c>
      <c r="M13" s="145">
        <f>'Parameters, country spec'!B28</f>
        <v>5.419738399660614E-2</v>
      </c>
    </row>
    <row r="14" spans="1:13" x14ac:dyDescent="0.25">
      <c r="B14" s="17" t="s">
        <v>413</v>
      </c>
      <c r="C14" s="16" t="s">
        <v>412</v>
      </c>
      <c r="D14" s="22" t="s">
        <v>437</v>
      </c>
      <c r="E14" s="22"/>
      <c r="F14" s="18">
        <f>'Off-farm feed'!$F$36</f>
        <v>2.5509164954964132</v>
      </c>
      <c r="G14" s="19">
        <f>'Off-farm feed'!$G$36</f>
        <v>4.2620923125915477E-2</v>
      </c>
      <c r="H14" s="19">
        <f>'Off-farm feed'!$H$36</f>
        <v>3.2959349471355036E-3</v>
      </c>
      <c r="I14" s="19">
        <f>'Off-farm feed'!$I$36</f>
        <v>2.3780487804878048E-3</v>
      </c>
      <c r="J14" s="18">
        <f>'Off-farm feed'!$J$36</f>
        <v>0.25920846302270939</v>
      </c>
      <c r="K14" s="28">
        <f>'Off-farm feed'!$K$36</f>
        <v>6.1197957373175144E-10</v>
      </c>
      <c r="L14" s="28">
        <f>'Off-farm feed'!$L$36</f>
        <v>1.0450321677831981E-4</v>
      </c>
      <c r="M14" s="145">
        <f>'Parameters, country spec'!B29</f>
        <v>0.1335329470959849</v>
      </c>
    </row>
    <row r="15" spans="1:13" x14ac:dyDescent="0.25">
      <c r="B15" s="16" t="s">
        <v>198</v>
      </c>
      <c r="C15" s="16" t="s">
        <v>414</v>
      </c>
      <c r="D15" s="22" t="s">
        <v>36</v>
      </c>
      <c r="E15" s="22" t="s">
        <v>83</v>
      </c>
      <c r="F15" s="102"/>
      <c r="G15" s="103"/>
      <c r="H15" s="103"/>
      <c r="I15" s="103"/>
      <c r="J15" s="110"/>
      <c r="K15" s="110"/>
      <c r="L15" s="110"/>
      <c r="M15" s="145">
        <f>'Parameters, country spec'!B30</f>
        <v>2.191861120973471E-2</v>
      </c>
    </row>
    <row r="16" spans="1:13" x14ac:dyDescent="0.25">
      <c r="A16" s="80"/>
      <c r="B16" s="16" t="s">
        <v>415</v>
      </c>
      <c r="C16" s="81" t="s">
        <v>416</v>
      </c>
      <c r="D16" s="22" t="s">
        <v>36</v>
      </c>
      <c r="E16" s="22" t="s">
        <v>83</v>
      </c>
      <c r="F16" s="104">
        <f t="shared" ref="F16:L16" si="0">AVERAGE(F6:F14)</f>
        <v>1.9767401704201026</v>
      </c>
      <c r="G16" s="104">
        <f t="shared" si="0"/>
        <v>2.3081835364793964E-2</v>
      </c>
      <c r="H16" s="104">
        <f t="shared" si="0"/>
        <v>3.0412335296633422E-3</v>
      </c>
      <c r="I16" s="104">
        <f t="shared" si="0"/>
        <v>1.2843264605227405E-3</v>
      </c>
      <c r="J16" s="162">
        <f t="shared" si="0"/>
        <v>0.20365490950050272</v>
      </c>
      <c r="K16" s="162">
        <f t="shared" si="0"/>
        <v>1.560252128016113E-10</v>
      </c>
      <c r="L16" s="162">
        <f t="shared" si="0"/>
        <v>9.5816772100896597E-4</v>
      </c>
      <c r="M16" s="145">
        <f>'Parameters, country spec'!B31</f>
        <v>3.8539811248720843E-2</v>
      </c>
    </row>
    <row r="17" spans="1:13" x14ac:dyDescent="0.25">
      <c r="A17" s="144"/>
      <c r="B17" s="24" t="s">
        <v>417</v>
      </c>
      <c r="C17" s="25"/>
      <c r="D17" s="99"/>
      <c r="E17" s="99"/>
      <c r="F17" s="45">
        <f>SUMPRODUCT(F6:F16,M6:M16)</f>
        <v>1.6558063555897891</v>
      </c>
      <c r="G17" s="29">
        <f>SUMPRODUCT(G6:G16,M6:M16)</f>
        <v>2.5617128646961033E-2</v>
      </c>
      <c r="H17" s="29">
        <f>SUMPRODUCT(H6:H16,M6:M16)</f>
        <v>2.8490119846294615E-3</v>
      </c>
      <c r="I17" s="26">
        <f>SUMPRODUCT(I6:I16,M6:M16)</f>
        <v>2.88776508607106E-3</v>
      </c>
      <c r="J17" s="29">
        <f>SUMPRODUCT(J6:J16,M6:M16)</f>
        <v>0.23167067207844191</v>
      </c>
      <c r="K17" s="29">
        <f>SUMPRODUCT(K6:K16,M6:M16)</f>
        <v>1.4920467448341346E-10</v>
      </c>
      <c r="L17" s="29">
        <f>SUMPRODUCT(L6:L16,M6:M16)</f>
        <v>1.1867733271742893E-3</v>
      </c>
      <c r="M17" s="146"/>
    </row>
    <row r="18" spans="1:13" x14ac:dyDescent="0.25">
      <c r="A18" s="21" t="s">
        <v>403</v>
      </c>
      <c r="B18" s="16" t="s">
        <v>187</v>
      </c>
      <c r="C18" s="16" t="s">
        <v>404</v>
      </c>
      <c r="D18" s="22" t="s">
        <v>27</v>
      </c>
      <c r="E18" s="22" t="s">
        <v>84</v>
      </c>
      <c r="F18" s="312">
        <v>1.6</v>
      </c>
      <c r="G18" s="190">
        <v>2.1000000000000001E-2</v>
      </c>
      <c r="H18" s="190">
        <v>3.0999999999999999E-3</v>
      </c>
      <c r="I18" s="271">
        <v>4.0917422935787297E-3</v>
      </c>
      <c r="J18" s="260">
        <v>0.32</v>
      </c>
      <c r="K18" s="261">
        <v>5.3000000000000003E-10</v>
      </c>
      <c r="L18" s="262">
        <v>1.25E-3</v>
      </c>
      <c r="M18" s="145">
        <f>'Parameters, country spec'!C21</f>
        <v>0.12973292757166538</v>
      </c>
    </row>
    <row r="19" spans="1:13" x14ac:dyDescent="0.25">
      <c r="A19" s="21" t="s">
        <v>405</v>
      </c>
      <c r="B19" s="16" t="s">
        <v>189</v>
      </c>
      <c r="C19" s="16" t="s">
        <v>404</v>
      </c>
      <c r="D19" s="22" t="s">
        <v>27</v>
      </c>
      <c r="E19" s="22" t="s">
        <v>84</v>
      </c>
      <c r="F19" s="20">
        <v>1.1000000000000001</v>
      </c>
      <c r="G19" s="39">
        <v>0.02</v>
      </c>
      <c r="H19" s="39">
        <v>5.5999999999999999E-3</v>
      </c>
      <c r="I19" s="39">
        <v>9.2210702520091198E-2</v>
      </c>
      <c r="J19" s="27">
        <v>0.05</v>
      </c>
      <c r="K19" s="27">
        <v>3.6700000000000003E-10</v>
      </c>
      <c r="L19" s="27">
        <v>1.2099999999999999E-3</v>
      </c>
      <c r="M19" s="145">
        <f>'Parameters, country spec'!C22</f>
        <v>0.21338006498227882</v>
      </c>
    </row>
    <row r="20" spans="1:13" x14ac:dyDescent="0.25">
      <c r="A20" s="21" t="s">
        <v>406</v>
      </c>
      <c r="B20" s="16" t="s">
        <v>191</v>
      </c>
      <c r="C20" s="16" t="s">
        <v>404</v>
      </c>
      <c r="D20" s="22" t="s">
        <v>27</v>
      </c>
      <c r="E20" s="22" t="s">
        <v>84</v>
      </c>
      <c r="F20" s="20">
        <v>2.2400000000000002</v>
      </c>
      <c r="G20" s="39">
        <v>1.7999999999999999E-2</v>
      </c>
      <c r="H20" s="39">
        <v>3.8E-3</v>
      </c>
      <c r="I20" s="39">
        <v>5.1662240094463699E-2</v>
      </c>
      <c r="J20" s="27">
        <v>0.09</v>
      </c>
      <c r="K20" s="27">
        <v>7.4300000000000002E-10</v>
      </c>
      <c r="L20" s="27">
        <v>1.1000000000000001E-3</v>
      </c>
      <c r="M20" s="145">
        <f>'Parameters, country spec'!C23</f>
        <v>1.4700955750111657E-2</v>
      </c>
    </row>
    <row r="21" spans="1:13" x14ac:dyDescent="0.25">
      <c r="A21" s="21" t="s">
        <v>407</v>
      </c>
      <c r="B21" s="16" t="s">
        <v>192</v>
      </c>
      <c r="C21" s="16" t="s">
        <v>404</v>
      </c>
      <c r="D21" s="22" t="s">
        <v>27</v>
      </c>
      <c r="E21" s="22" t="s">
        <v>84</v>
      </c>
      <c r="F21" s="20">
        <v>2.2400000000000002</v>
      </c>
      <c r="G21" s="39">
        <v>1.6E-2</v>
      </c>
      <c r="H21" s="39">
        <v>1.1999999999999999E-3</v>
      </c>
      <c r="I21" s="39">
        <v>0</v>
      </c>
      <c r="J21" s="27">
        <v>0</v>
      </c>
      <c r="K21" s="27">
        <v>7.4400000000000002E-10</v>
      </c>
      <c r="L21" s="27">
        <v>9.68E-4</v>
      </c>
      <c r="M21" s="145">
        <f>'Parameters, country spec'!C24</f>
        <v>2.2576295256694127E-3</v>
      </c>
    </row>
    <row r="22" spans="1:13" x14ac:dyDescent="0.25">
      <c r="A22" s="21" t="s">
        <v>408</v>
      </c>
      <c r="B22" s="16" t="s">
        <v>193</v>
      </c>
      <c r="C22" s="16" t="s">
        <v>404</v>
      </c>
      <c r="D22" s="22" t="s">
        <v>27</v>
      </c>
      <c r="E22" s="22" t="s">
        <v>84</v>
      </c>
      <c r="F22" s="20">
        <v>1.41</v>
      </c>
      <c r="G22" s="39">
        <v>2.4E-2</v>
      </c>
      <c r="H22" s="39">
        <v>2.2000000000000001E-3</v>
      </c>
      <c r="I22" s="39">
        <v>1.33006336197129E-3</v>
      </c>
      <c r="J22" s="27">
        <v>0.27</v>
      </c>
      <c r="K22" s="27">
        <v>4.7000000000000003E-10</v>
      </c>
      <c r="L22" s="27">
        <v>1.4300000000000001E-3</v>
      </c>
      <c r="M22" s="145">
        <f>'Parameters, country spec'!C25</f>
        <v>0.31605527388288979</v>
      </c>
    </row>
    <row r="23" spans="1:13" x14ac:dyDescent="0.25">
      <c r="A23" s="21" t="s">
        <v>409</v>
      </c>
      <c r="B23" s="16" t="s">
        <v>194</v>
      </c>
      <c r="C23" s="16" t="s">
        <v>410</v>
      </c>
      <c r="D23" s="22" t="s">
        <v>27</v>
      </c>
      <c r="E23" s="22" t="s">
        <v>84</v>
      </c>
      <c r="F23" s="20">
        <v>3.01</v>
      </c>
      <c r="G23" s="39">
        <v>1.9E-2</v>
      </c>
      <c r="H23" s="39">
        <v>1.6999999999999999E-3</v>
      </c>
      <c r="I23" s="39">
        <v>2.5706904840427799E-2</v>
      </c>
      <c r="J23" s="27">
        <v>1.01</v>
      </c>
      <c r="K23" s="27">
        <v>1.0000000000000001E-9</v>
      </c>
      <c r="L23" s="27">
        <v>0</v>
      </c>
      <c r="M23" s="145">
        <f>'Parameters, country spec'!C26</f>
        <v>0</v>
      </c>
    </row>
    <row r="24" spans="1:13" x14ac:dyDescent="0.25">
      <c r="A24" s="21" t="s">
        <v>411</v>
      </c>
      <c r="B24" s="16" t="s">
        <v>195</v>
      </c>
      <c r="C24" s="16" t="s">
        <v>410</v>
      </c>
      <c r="D24" s="22" t="s">
        <v>27</v>
      </c>
      <c r="E24" s="22" t="s">
        <v>84</v>
      </c>
      <c r="F24" s="20">
        <v>4.1100000000000003</v>
      </c>
      <c r="G24" s="39">
        <v>1.0999999999999999E-2</v>
      </c>
      <c r="H24" s="39">
        <v>2E-3</v>
      </c>
      <c r="I24" s="39">
        <v>2.7905335876353701E-2</v>
      </c>
      <c r="J24" s="27">
        <v>1.05</v>
      </c>
      <c r="K24" s="27">
        <v>1.3600000000000001E-9</v>
      </c>
      <c r="L24" s="27">
        <v>6.1400000000000002E-5</v>
      </c>
      <c r="M24" s="145">
        <f>'Parameters, country spec'!C27</f>
        <v>0</v>
      </c>
    </row>
    <row r="25" spans="1:13" x14ac:dyDescent="0.25">
      <c r="B25" s="17" t="s">
        <v>196</v>
      </c>
      <c r="C25" s="16" t="s">
        <v>412</v>
      </c>
      <c r="D25" s="22" t="s">
        <v>460</v>
      </c>
      <c r="E25" s="22"/>
      <c r="F25" s="18">
        <f>'Off-farm feed'!$F$88</f>
        <v>1.5397450382845088</v>
      </c>
      <c r="G25" s="19">
        <f>'Off-farm feed'!$G$88</f>
        <v>4.1115595157230206E-2</v>
      </c>
      <c r="H25" s="19">
        <f>'Off-farm feed'!$H$88</f>
        <v>4.4751668198345796E-3</v>
      </c>
      <c r="I25" s="19">
        <f>'Off-farm feed'!$I$88</f>
        <v>2.5747126436781614E-3</v>
      </c>
      <c r="J25" s="18">
        <f>'Off-farm feed'!$J$88</f>
        <v>0.29368572248181501</v>
      </c>
      <c r="K25" s="28">
        <f>'Off-farm feed'!$K$88</f>
        <v>1.777473414827503E-10</v>
      </c>
      <c r="L25" s="28">
        <f>'Off-farm feed'!$L$88</f>
        <v>2.4996062723023757E-3</v>
      </c>
      <c r="M25" s="145">
        <f>'Parameters, country spec'!C28</f>
        <v>9.4127517207749589E-2</v>
      </c>
    </row>
    <row r="26" spans="1:13" x14ac:dyDescent="0.25">
      <c r="B26" s="17" t="s">
        <v>413</v>
      </c>
      <c r="C26" s="16" t="s">
        <v>412</v>
      </c>
      <c r="D26" s="22" t="s">
        <v>437</v>
      </c>
      <c r="E26" s="22"/>
      <c r="F26" s="18">
        <f>'Off-farm feed'!$F$36</f>
        <v>2.5509164954964132</v>
      </c>
      <c r="G26" s="19">
        <f>'Off-farm feed'!$G$36</f>
        <v>4.2620923125915477E-2</v>
      </c>
      <c r="H26" s="19">
        <f>'Off-farm feed'!$H$36</f>
        <v>3.2959349471355036E-3</v>
      </c>
      <c r="I26" s="19">
        <f>'Off-farm feed'!$I$36</f>
        <v>2.3780487804878048E-3</v>
      </c>
      <c r="J26" s="18">
        <f>'Off-farm feed'!$J$36</f>
        <v>0.25920846302270939</v>
      </c>
      <c r="K26" s="28">
        <f>'Off-farm feed'!$K$36</f>
        <v>6.1197957373175144E-10</v>
      </c>
      <c r="L26" s="28">
        <f>'Off-farm feed'!$L$36</f>
        <v>1.0450321677831981E-4</v>
      </c>
      <c r="M26" s="145">
        <f>'Parameters, country spec'!C29</f>
        <v>8.4804995412120512E-2</v>
      </c>
    </row>
    <row r="27" spans="1:13" x14ac:dyDescent="0.25">
      <c r="B27" s="16" t="s">
        <v>198</v>
      </c>
      <c r="C27" s="16" t="s">
        <v>414</v>
      </c>
      <c r="D27" s="22" t="s">
        <v>27</v>
      </c>
      <c r="E27" s="22" t="s">
        <v>84</v>
      </c>
      <c r="F27" s="102"/>
      <c r="G27" s="103"/>
      <c r="H27" s="103"/>
      <c r="I27" s="103"/>
      <c r="J27" s="110"/>
      <c r="K27" s="110"/>
      <c r="L27" s="110"/>
      <c r="M27" s="145">
        <f>'Parameters, country spec'!C30</f>
        <v>7.7718083682440264E-2</v>
      </c>
    </row>
    <row r="28" spans="1:13" x14ac:dyDescent="0.25">
      <c r="A28" s="80"/>
      <c r="B28" s="16" t="s">
        <v>415</v>
      </c>
      <c r="C28" s="81" t="s">
        <v>416</v>
      </c>
      <c r="D28" s="22" t="s">
        <v>27</v>
      </c>
      <c r="E28" s="22" t="s">
        <v>84</v>
      </c>
      <c r="F28" s="104">
        <f t="shared" ref="F28:L28" si="1">AVERAGE(F18:F26)</f>
        <v>2.2000735037534356</v>
      </c>
      <c r="G28" s="104">
        <f t="shared" si="1"/>
        <v>2.363739092034952E-2</v>
      </c>
      <c r="H28" s="104">
        <f t="shared" si="1"/>
        <v>3.0412335296633422E-3</v>
      </c>
      <c r="I28" s="104">
        <f t="shared" si="1"/>
        <v>2.3095527823450267E-2</v>
      </c>
      <c r="J28" s="162">
        <f t="shared" si="1"/>
        <v>0.37143268727828044</v>
      </c>
      <c r="K28" s="162">
        <f t="shared" si="1"/>
        <v>6.6708076835716683E-10</v>
      </c>
      <c r="L28" s="162">
        <f t="shared" si="1"/>
        <v>9.5816772100896597E-4</v>
      </c>
      <c r="M28" s="145">
        <f>'Parameters, country spec'!C31</f>
        <v>6.7222551985074513E-2</v>
      </c>
    </row>
    <row r="29" spans="1:13" x14ac:dyDescent="0.25">
      <c r="A29" s="144"/>
      <c r="B29" s="24" t="s">
        <v>417</v>
      </c>
      <c r="C29" s="25"/>
      <c r="D29" s="99"/>
      <c r="E29" s="99"/>
      <c r="F29" s="29">
        <f>SUMPRODUCT(F18:F28,M18:M28)</f>
        <v>1.435073317548794</v>
      </c>
      <c r="G29" s="29">
        <f>SUMPRODUCT(G18:G28,M18:M28)</f>
        <v>2.3951600448510003E-2</v>
      </c>
      <c r="H29" s="29">
        <f>SUMPRODUCT(H18:H28,M18:M28)</f>
        <v>3.2561823981550582E-3</v>
      </c>
      <c r="I29" s="26">
        <f>SUMPRODUCT(I18:I28,M18:M28)</f>
        <v>2.3383179292469709E-2</v>
      </c>
      <c r="J29" s="29">
        <f>SUMPRODUCT(J18:J28,M18:M28)</f>
        <v>0.21343628358145839</v>
      </c>
      <c r="K29" s="29">
        <f>SUMPRODUCT(K18:K28,M18:M28)</f>
        <v>4.2169011319168326E-10</v>
      </c>
      <c r="L29" s="29">
        <f>SUMPRODUCT(L18:L28,M18:M28)</f>
        <v>1.1992261231157657E-3</v>
      </c>
      <c r="M29" s="146"/>
    </row>
    <row r="30" spans="1:13" x14ac:dyDescent="0.25">
      <c r="A30" s="21" t="s">
        <v>403</v>
      </c>
      <c r="B30" s="16" t="s">
        <v>187</v>
      </c>
      <c r="C30" s="16" t="s">
        <v>404</v>
      </c>
      <c r="D30" s="22" t="s">
        <v>30</v>
      </c>
      <c r="E30" s="22" t="s">
        <v>85</v>
      </c>
      <c r="F30" s="23">
        <v>1.53</v>
      </c>
      <c r="G30" s="39">
        <v>2.1000000000000001E-2</v>
      </c>
      <c r="H30" s="39">
        <v>3.0999999999999999E-3</v>
      </c>
      <c r="I30" s="39">
        <v>0</v>
      </c>
      <c r="J30" s="27">
        <v>0.31</v>
      </c>
      <c r="K30" s="27">
        <v>5.0999999999999998E-11</v>
      </c>
      <c r="L30" s="27">
        <v>1.25E-3</v>
      </c>
      <c r="M30" s="145">
        <f>'Parameters, country spec'!D21</f>
        <v>0.11526313251585651</v>
      </c>
    </row>
    <row r="31" spans="1:13" x14ac:dyDescent="0.25">
      <c r="A31" s="21" t="s">
        <v>405</v>
      </c>
      <c r="B31" s="16" t="s">
        <v>189</v>
      </c>
      <c r="C31" s="16" t="s">
        <v>404</v>
      </c>
      <c r="D31" s="22" t="s">
        <v>30</v>
      </c>
      <c r="E31" s="22" t="s">
        <v>85</v>
      </c>
      <c r="F31" s="20">
        <v>1.05</v>
      </c>
      <c r="G31" s="39">
        <v>0.02</v>
      </c>
      <c r="H31" s="39">
        <v>5.5999999999999999E-3</v>
      </c>
      <c r="I31" s="39">
        <v>2.05935204037918E-3</v>
      </c>
      <c r="J31" s="27">
        <v>0.94</v>
      </c>
      <c r="K31" s="27">
        <v>3.51E-11</v>
      </c>
      <c r="L31" s="27">
        <v>1.2099999999999999E-3</v>
      </c>
      <c r="M31" s="145">
        <f>'Parameters, country spec'!D22</f>
        <v>0.17160602278973394</v>
      </c>
    </row>
    <row r="32" spans="1:13" x14ac:dyDescent="0.25">
      <c r="A32" s="21" t="s">
        <v>406</v>
      </c>
      <c r="B32" s="16" t="s">
        <v>191</v>
      </c>
      <c r="C32" s="16" t="s">
        <v>404</v>
      </c>
      <c r="D32" s="22" t="s">
        <v>30</v>
      </c>
      <c r="E32" s="22" t="s">
        <v>85</v>
      </c>
      <c r="F32" s="20">
        <v>2.31</v>
      </c>
      <c r="G32" s="39">
        <v>1.7999999999999999E-2</v>
      </c>
      <c r="H32" s="39">
        <v>3.8E-3</v>
      </c>
      <c r="I32" s="39">
        <v>2.6859932114199001E-3</v>
      </c>
      <c r="J32" s="27">
        <v>0</v>
      </c>
      <c r="K32" s="27">
        <v>7.7000000000000006E-11</v>
      </c>
      <c r="L32" s="27">
        <v>1.1000000000000001E-3</v>
      </c>
      <c r="M32" s="145">
        <f>'Parameters, country spec'!D23</f>
        <v>2.2943563284883134E-5</v>
      </c>
    </row>
    <row r="33" spans="1:13" x14ac:dyDescent="0.25">
      <c r="A33" s="21" t="s">
        <v>407</v>
      </c>
      <c r="B33" s="16" t="s">
        <v>192</v>
      </c>
      <c r="C33" s="16" t="s">
        <v>404</v>
      </c>
      <c r="D33" s="22" t="s">
        <v>30</v>
      </c>
      <c r="E33" s="22" t="s">
        <v>85</v>
      </c>
      <c r="F33" s="20">
        <v>1.99</v>
      </c>
      <c r="G33" s="39">
        <v>1.6E-2</v>
      </c>
      <c r="H33" s="39">
        <v>1.1999999999999999E-3</v>
      </c>
      <c r="I33" s="39">
        <v>0</v>
      </c>
      <c r="J33" s="27">
        <v>0</v>
      </c>
      <c r="K33" s="27">
        <v>6.6200000000000001E-11</v>
      </c>
      <c r="L33" s="27">
        <v>9.68E-4</v>
      </c>
      <c r="M33" s="145">
        <f>'Parameters, country spec'!D24</f>
        <v>1.8828087929403461E-2</v>
      </c>
    </row>
    <row r="34" spans="1:13" x14ac:dyDescent="0.25">
      <c r="A34" s="21" t="s">
        <v>408</v>
      </c>
      <c r="B34" s="16" t="s">
        <v>193</v>
      </c>
      <c r="C34" s="16" t="s">
        <v>404</v>
      </c>
      <c r="D34" s="22" t="s">
        <v>30</v>
      </c>
      <c r="E34" s="22" t="s">
        <v>85</v>
      </c>
      <c r="F34" s="20">
        <v>1.36</v>
      </c>
      <c r="G34" s="39">
        <v>2.4E-2</v>
      </c>
      <c r="H34" s="39">
        <v>2.2000000000000001E-3</v>
      </c>
      <c r="I34" s="39">
        <v>1.0074338835282899E-9</v>
      </c>
      <c r="J34" s="27">
        <v>0.26</v>
      </c>
      <c r="K34" s="27">
        <v>4.5200000000000003E-11</v>
      </c>
      <c r="L34" s="27">
        <v>1.4300000000000001E-3</v>
      </c>
      <c r="M34" s="145">
        <f>'Parameters, country spec'!D25</f>
        <v>0.38499846835384366</v>
      </c>
    </row>
    <row r="35" spans="1:13" x14ac:dyDescent="0.25">
      <c r="A35" s="21" t="s">
        <v>409</v>
      </c>
      <c r="B35" s="16" t="s">
        <v>194</v>
      </c>
      <c r="C35" s="16" t="s">
        <v>410</v>
      </c>
      <c r="D35" s="22" t="s">
        <v>30</v>
      </c>
      <c r="E35" s="22" t="s">
        <v>85</v>
      </c>
      <c r="F35" s="20">
        <v>3.13</v>
      </c>
      <c r="G35" s="39">
        <v>0.02</v>
      </c>
      <c r="H35" s="39">
        <v>1.6999999999999999E-3</v>
      </c>
      <c r="I35" s="39">
        <v>0</v>
      </c>
      <c r="J35" s="27">
        <v>1.01</v>
      </c>
      <c r="K35" s="27">
        <v>1.04E-10</v>
      </c>
      <c r="L35" s="27">
        <v>0</v>
      </c>
      <c r="M35" s="145">
        <f>'Parameters, country spec'!D26</f>
        <v>1.3290604571676279E-3</v>
      </c>
    </row>
    <row r="36" spans="1:13" x14ac:dyDescent="0.25">
      <c r="A36" s="21" t="s">
        <v>411</v>
      </c>
      <c r="B36" s="16" t="s">
        <v>195</v>
      </c>
      <c r="C36" s="16" t="s">
        <v>410</v>
      </c>
      <c r="D36" s="22" t="s">
        <v>30</v>
      </c>
      <c r="E36" s="22" t="s">
        <v>85</v>
      </c>
      <c r="F36" s="20">
        <v>2.73</v>
      </c>
      <c r="G36" s="39">
        <v>8.0000000000000002E-3</v>
      </c>
      <c r="H36" s="39">
        <v>2E-3</v>
      </c>
      <c r="I36" s="39">
        <v>0</v>
      </c>
      <c r="J36" s="27">
        <v>1.05</v>
      </c>
      <c r="K36" s="27">
        <v>9.0900000000000004E-11</v>
      </c>
      <c r="L36" s="27">
        <v>6.1400000000000002E-5</v>
      </c>
      <c r="M36" s="145">
        <f>'Parameters, country spec'!D27</f>
        <v>1.3055753467122256E-3</v>
      </c>
    </row>
    <row r="37" spans="1:13" x14ac:dyDescent="0.25">
      <c r="B37" s="17" t="s">
        <v>196</v>
      </c>
      <c r="C37" s="16" t="s">
        <v>412</v>
      </c>
      <c r="D37" s="22" t="s">
        <v>460</v>
      </c>
      <c r="E37" s="22"/>
      <c r="F37" s="18">
        <f>'Off-farm feed'!$F$88</f>
        <v>1.5397450382845088</v>
      </c>
      <c r="G37" s="19">
        <f>'Off-farm feed'!$G$88</f>
        <v>4.1115595157230206E-2</v>
      </c>
      <c r="H37" s="19">
        <f>'Off-farm feed'!$H$88</f>
        <v>4.4751668198345796E-3</v>
      </c>
      <c r="I37" s="19">
        <f>'Off-farm feed'!$I$88</f>
        <v>2.5747126436781614E-3</v>
      </c>
      <c r="J37" s="18">
        <f>'Off-farm feed'!$J$88</f>
        <v>0.29368572248181501</v>
      </c>
      <c r="K37" s="28">
        <f>'Off-farm feed'!$K$88</f>
        <v>1.777473414827503E-10</v>
      </c>
      <c r="L37" s="28">
        <f>'Off-farm feed'!$L$88</f>
        <v>2.4996062723023757E-3</v>
      </c>
      <c r="M37" s="145">
        <f>'Parameters, country spec'!D28</f>
        <v>0.13439854710458843</v>
      </c>
    </row>
    <row r="38" spans="1:13" x14ac:dyDescent="0.25">
      <c r="B38" s="17" t="s">
        <v>413</v>
      </c>
      <c r="C38" s="16" t="s">
        <v>412</v>
      </c>
      <c r="D38" s="22" t="s">
        <v>437</v>
      </c>
      <c r="E38" s="22"/>
      <c r="F38" s="18">
        <f>'Off-farm feed'!$F$36</f>
        <v>2.5509164954964132</v>
      </c>
      <c r="G38" s="19">
        <f>'Off-farm feed'!$G$36</f>
        <v>4.2620923125915477E-2</v>
      </c>
      <c r="H38" s="19">
        <f>'Off-farm feed'!$H$36</f>
        <v>3.2959349471355036E-3</v>
      </c>
      <c r="I38" s="19">
        <f>'Off-farm feed'!$I$36</f>
        <v>2.3780487804878048E-3</v>
      </c>
      <c r="J38" s="18">
        <f>'Off-farm feed'!$J$36</f>
        <v>0.25920846302270939</v>
      </c>
      <c r="K38" s="28">
        <f>'Off-farm feed'!$K$36</f>
        <v>6.1197957373175144E-10</v>
      </c>
      <c r="L38" s="28">
        <f>'Off-farm feed'!$L$36</f>
        <v>1.0450321677831981E-4</v>
      </c>
      <c r="M38" s="145">
        <f>'Parameters, country spec'!D29</f>
        <v>0.12913839280171097</v>
      </c>
    </row>
    <row r="39" spans="1:13" x14ac:dyDescent="0.25">
      <c r="B39" s="16" t="s">
        <v>198</v>
      </c>
      <c r="C39" s="16" t="s">
        <v>414</v>
      </c>
      <c r="D39" s="22" t="s">
        <v>30</v>
      </c>
      <c r="E39" s="22" t="s">
        <v>85</v>
      </c>
      <c r="F39" s="102"/>
      <c r="G39" s="103"/>
      <c r="H39" s="103"/>
      <c r="I39" s="103"/>
      <c r="J39" s="110"/>
      <c r="K39" s="110"/>
      <c r="L39" s="110"/>
      <c r="M39" s="145">
        <f>'Parameters, country spec'!D30</f>
        <v>2.5759825634764286E-2</v>
      </c>
    </row>
    <row r="40" spans="1:13" x14ac:dyDescent="0.25">
      <c r="A40" s="80"/>
      <c r="B40" s="16" t="s">
        <v>415</v>
      </c>
      <c r="C40" s="81" t="s">
        <v>416</v>
      </c>
      <c r="D40" s="22" t="s">
        <v>30</v>
      </c>
      <c r="E40" s="22" t="s">
        <v>85</v>
      </c>
      <c r="F40" s="104">
        <f t="shared" ref="F40:L40" si="2">AVERAGE(F30:F38)</f>
        <v>2.0211846148645467</v>
      </c>
      <c r="G40" s="104">
        <f t="shared" si="2"/>
        <v>2.3415168698127299E-2</v>
      </c>
      <c r="H40" s="104">
        <f t="shared" si="2"/>
        <v>3.0412335296633422E-3</v>
      </c>
      <c r="I40" s="104">
        <f t="shared" si="2"/>
        <v>1.0775675203776589E-3</v>
      </c>
      <c r="J40" s="162">
        <f t="shared" si="2"/>
        <v>0.45809935394494716</v>
      </c>
      <c r="K40" s="162">
        <f t="shared" si="2"/>
        <v>1.3990299057938905E-10</v>
      </c>
      <c r="L40" s="162">
        <f t="shared" si="2"/>
        <v>9.5816772100896597E-4</v>
      </c>
      <c r="M40" s="145">
        <f>'Parameters, country spec'!D31</f>
        <v>1.7349943502934249E-2</v>
      </c>
    </row>
    <row r="41" spans="1:13" x14ac:dyDescent="0.25">
      <c r="A41" s="144"/>
      <c r="B41" s="24" t="s">
        <v>417</v>
      </c>
      <c r="C41" s="25"/>
      <c r="D41" s="99"/>
      <c r="E41" s="99"/>
      <c r="F41" s="29">
        <f>SUMPRODUCT(F30:F40,M30:M40)</f>
        <v>1.4968100995114852</v>
      </c>
      <c r="G41" s="29">
        <f>SUMPRODUCT(G30:G40,M30:M40)</f>
        <v>2.6867423300748924E-2</v>
      </c>
      <c r="H41" s="29">
        <f>SUMPRODUCT(H30:H40,M30:M40)</f>
        <v>3.2727104037338856E-3</v>
      </c>
      <c r="I41" s="26">
        <f>SUMPRODUCT(I30:I40,M30:M40)</f>
        <v>1.0252899989266976E-3</v>
      </c>
      <c r="J41" s="29">
        <f>SUMPRODUCT(J30:J40,M30:M40)</f>
        <v>0.38074673608199916</v>
      </c>
      <c r="K41" s="29">
        <f>SUMPRODUCT(K30:K40,M30:M40)</f>
        <v>1.3615515909830639E-10</v>
      </c>
      <c r="L41" s="29">
        <f>SUMPRODUCT(L30:L40,M30:M40)</f>
        <v>1.2866639869421165E-3</v>
      </c>
      <c r="M41" s="146"/>
    </row>
    <row r="42" spans="1:13" x14ac:dyDescent="0.25">
      <c r="A42" s="21" t="s">
        <v>403</v>
      </c>
      <c r="B42" s="16" t="s">
        <v>187</v>
      </c>
      <c r="C42" s="16" t="s">
        <v>404</v>
      </c>
      <c r="D42" s="22" t="s">
        <v>25</v>
      </c>
      <c r="E42" s="22" t="s">
        <v>86</v>
      </c>
      <c r="F42" s="23">
        <v>3.52</v>
      </c>
      <c r="G42" s="39">
        <v>2.1000000000000001E-2</v>
      </c>
      <c r="H42" s="39">
        <v>3.0999999999999999E-3</v>
      </c>
      <c r="I42" s="39">
        <v>0</v>
      </c>
      <c r="J42" s="27">
        <v>0.16</v>
      </c>
      <c r="K42" s="27">
        <v>5.8100000000000004E-9</v>
      </c>
      <c r="L42" s="27">
        <v>1.25E-3</v>
      </c>
      <c r="M42" s="145">
        <f>'Parameters, country spec'!E21</f>
        <v>0.14058778141858874</v>
      </c>
    </row>
    <row r="43" spans="1:13" x14ac:dyDescent="0.25">
      <c r="A43" s="21" t="s">
        <v>405</v>
      </c>
      <c r="B43" s="16" t="s">
        <v>189</v>
      </c>
      <c r="C43" s="16" t="s">
        <v>404</v>
      </c>
      <c r="D43" s="22" t="s">
        <v>25</v>
      </c>
      <c r="E43" s="22" t="s">
        <v>86</v>
      </c>
      <c r="F43" s="20">
        <v>0.93</v>
      </c>
      <c r="G43" s="39">
        <v>0.02</v>
      </c>
      <c r="H43" s="39">
        <v>5.5999999999999999E-3</v>
      </c>
      <c r="I43" s="39">
        <v>0.28261914165931901</v>
      </c>
      <c r="J43" s="27">
        <v>0.05</v>
      </c>
      <c r="K43" s="27">
        <v>1.5300000000000001E-9</v>
      </c>
      <c r="L43" s="27">
        <v>1.2099999999999999E-3</v>
      </c>
      <c r="M43" s="145">
        <f>'Parameters, country spec'!E22</f>
        <v>0.42048559354051435</v>
      </c>
    </row>
    <row r="44" spans="1:13" x14ac:dyDescent="0.25">
      <c r="A44" s="21" t="s">
        <v>406</v>
      </c>
      <c r="B44" s="16" t="s">
        <v>191</v>
      </c>
      <c r="C44" s="16" t="s">
        <v>404</v>
      </c>
      <c r="D44" s="22" t="s">
        <v>25</v>
      </c>
      <c r="E44" s="22" t="s">
        <v>86</v>
      </c>
      <c r="F44" s="20">
        <v>7.57</v>
      </c>
      <c r="G44" s="39">
        <v>1.7999999999999999E-2</v>
      </c>
      <c r="H44" s="39">
        <v>3.8E-3</v>
      </c>
      <c r="I44" s="39">
        <v>0.100478034399725</v>
      </c>
      <c r="J44" s="27">
        <v>0</v>
      </c>
      <c r="K44" s="27">
        <v>1.2499999999999999E-8</v>
      </c>
      <c r="L44" s="27">
        <v>1.1000000000000001E-3</v>
      </c>
      <c r="M44" s="145">
        <f>'Parameters, country spec'!E23</f>
        <v>3.8207301246899875E-2</v>
      </c>
    </row>
    <row r="45" spans="1:13" x14ac:dyDescent="0.25">
      <c r="A45" s="21" t="s">
        <v>407</v>
      </c>
      <c r="B45" s="16" t="s">
        <v>192</v>
      </c>
      <c r="C45" s="16" t="s">
        <v>404</v>
      </c>
      <c r="D45" s="22" t="s">
        <v>25</v>
      </c>
      <c r="E45" s="22" t="s">
        <v>86</v>
      </c>
      <c r="F45" s="20">
        <v>4.92</v>
      </c>
      <c r="G45" s="39">
        <v>1.6E-2</v>
      </c>
      <c r="H45" s="39">
        <v>1.1999999999999999E-3</v>
      </c>
      <c r="I45" s="39">
        <v>0</v>
      </c>
      <c r="J45" s="27">
        <v>0</v>
      </c>
      <c r="K45" s="27">
        <v>8.1199999999999993E-9</v>
      </c>
      <c r="L45" s="27">
        <v>9.68E-4</v>
      </c>
      <c r="M45" s="145">
        <f>'Parameters, country spec'!E24</f>
        <v>8.4271833798069493E-3</v>
      </c>
    </row>
    <row r="46" spans="1:13" x14ac:dyDescent="0.25">
      <c r="A46" s="21" t="s">
        <v>408</v>
      </c>
      <c r="B46" s="16" t="s">
        <v>193</v>
      </c>
      <c r="C46" s="16" t="s">
        <v>404</v>
      </c>
      <c r="D46" s="22" t="s">
        <v>25</v>
      </c>
      <c r="E46" s="22" t="s">
        <v>86</v>
      </c>
      <c r="F46" s="20">
        <v>3.48</v>
      </c>
      <c r="G46" s="39">
        <v>2.4E-2</v>
      </c>
      <c r="H46" s="39">
        <v>2.2000000000000001E-3</v>
      </c>
      <c r="I46" s="39">
        <v>2.88183040755794E-2</v>
      </c>
      <c r="J46" s="27">
        <v>0.1</v>
      </c>
      <c r="K46" s="27">
        <v>5.7399999999999996E-9</v>
      </c>
      <c r="L46" s="27">
        <v>1.4300000000000001E-3</v>
      </c>
      <c r="M46" s="145">
        <f>'Parameters, country spec'!E25</f>
        <v>6.0433584669897823E-3</v>
      </c>
    </row>
    <row r="47" spans="1:13" x14ac:dyDescent="0.25">
      <c r="A47" s="21" t="s">
        <v>409</v>
      </c>
      <c r="B47" s="16" t="s">
        <v>194</v>
      </c>
      <c r="C47" s="16" t="s">
        <v>410</v>
      </c>
      <c r="D47" s="22" t="s">
        <v>25</v>
      </c>
      <c r="E47" s="22" t="s">
        <v>86</v>
      </c>
      <c r="F47" s="20">
        <v>6.17</v>
      </c>
      <c r="G47" s="39">
        <v>3.9E-2</v>
      </c>
      <c r="H47" s="39">
        <v>1.6999999999999999E-3</v>
      </c>
      <c r="I47" s="39">
        <v>0.17626378095829701</v>
      </c>
      <c r="J47" s="27">
        <v>0.49</v>
      </c>
      <c r="K47" s="27">
        <v>1.02E-8</v>
      </c>
      <c r="L47" s="27">
        <v>0</v>
      </c>
      <c r="M47" s="145">
        <f>'Parameters, country spec'!E26</f>
        <v>8.3484845362647169E-4</v>
      </c>
    </row>
    <row r="48" spans="1:13" x14ac:dyDescent="0.25">
      <c r="A48" s="21" t="s">
        <v>411</v>
      </c>
      <c r="B48" s="16" t="s">
        <v>195</v>
      </c>
      <c r="C48" s="16" t="s">
        <v>410</v>
      </c>
      <c r="D48" s="22" t="s">
        <v>25</v>
      </c>
      <c r="E48" s="22" t="s">
        <v>86</v>
      </c>
      <c r="F48" s="20">
        <v>3.82</v>
      </c>
      <c r="G48" s="39">
        <v>0.01</v>
      </c>
      <c r="H48" s="39">
        <v>2E-3</v>
      </c>
      <c r="I48" s="39">
        <v>0.29659992963884502</v>
      </c>
      <c r="J48" s="27">
        <v>1.05</v>
      </c>
      <c r="K48" s="27">
        <v>6.3099999999999999E-9</v>
      </c>
      <c r="L48" s="27">
        <v>6.1400000000000002E-5</v>
      </c>
      <c r="M48" s="145">
        <f>'Parameters, country spec'!E27</f>
        <v>8.2009629650373257E-4</v>
      </c>
    </row>
    <row r="49" spans="1:13" x14ac:dyDescent="0.25">
      <c r="B49" s="17" t="s">
        <v>196</v>
      </c>
      <c r="C49" s="16" t="s">
        <v>412</v>
      </c>
      <c r="D49" s="22" t="s">
        <v>460</v>
      </c>
      <c r="E49" s="22"/>
      <c r="F49" s="18">
        <f>'Off-farm feed'!$F$88</f>
        <v>1.5397450382845088</v>
      </c>
      <c r="G49" s="19">
        <f>'Off-farm feed'!$G$88</f>
        <v>4.1115595157230206E-2</v>
      </c>
      <c r="H49" s="19">
        <f>'Off-farm feed'!$H$88</f>
        <v>4.4751668198345796E-3</v>
      </c>
      <c r="I49" s="19">
        <f>'Off-farm feed'!$I$88</f>
        <v>2.5747126436781614E-3</v>
      </c>
      <c r="J49" s="18">
        <f>'Off-farm feed'!$J$88</f>
        <v>0.29368572248181501</v>
      </c>
      <c r="K49" s="28">
        <f>'Off-farm feed'!$K$88</f>
        <v>1.777473414827503E-10</v>
      </c>
      <c r="L49" s="28">
        <f>'Off-farm feed'!$L$88</f>
        <v>2.4996062723023757E-3</v>
      </c>
      <c r="M49" s="145">
        <f>'Parameters, country spec'!E28</f>
        <v>9.11078407125663E-4</v>
      </c>
    </row>
    <row r="50" spans="1:13" x14ac:dyDescent="0.25">
      <c r="B50" s="17" t="s">
        <v>413</v>
      </c>
      <c r="C50" s="16" t="s">
        <v>412</v>
      </c>
      <c r="D50" s="22" t="s">
        <v>437</v>
      </c>
      <c r="E50" s="22"/>
      <c r="F50" s="18">
        <f>'Off-farm feed'!$F$36</f>
        <v>2.5509164954964132</v>
      </c>
      <c r="G50" s="19">
        <f>'Off-farm feed'!$G$36</f>
        <v>4.2620923125915477E-2</v>
      </c>
      <c r="H50" s="19">
        <f>'Off-farm feed'!$H$36</f>
        <v>3.2959349471355036E-3</v>
      </c>
      <c r="I50" s="19">
        <f>'Off-farm feed'!$I$36</f>
        <v>2.3780487804878048E-3</v>
      </c>
      <c r="J50" s="18">
        <f>'Off-farm feed'!$J$36</f>
        <v>0.25920846302270939</v>
      </c>
      <c r="K50" s="28">
        <f>'Off-farm feed'!$K$36</f>
        <v>6.1197957373175144E-10</v>
      </c>
      <c r="L50" s="28">
        <f>'Off-farm feed'!$L$36</f>
        <v>1.0450321677831981E-4</v>
      </c>
      <c r="M50" s="145">
        <f>'Parameters, country spec'!E29</f>
        <v>0.16053788194639729</v>
      </c>
    </row>
    <row r="51" spans="1:13" x14ac:dyDescent="0.25">
      <c r="B51" s="16" t="s">
        <v>198</v>
      </c>
      <c r="C51" s="16" t="s">
        <v>414</v>
      </c>
      <c r="D51" s="22" t="s">
        <v>25</v>
      </c>
      <c r="E51" s="22" t="s">
        <v>86</v>
      </c>
      <c r="F51" s="102"/>
      <c r="G51" s="103"/>
      <c r="H51" s="103"/>
      <c r="I51" s="103"/>
      <c r="J51" s="110"/>
      <c r="K51" s="110"/>
      <c r="L51" s="110"/>
      <c r="M51" s="145">
        <f>'Parameters, country spec'!E30</f>
        <v>0.10119467109899569</v>
      </c>
    </row>
    <row r="52" spans="1:13" x14ac:dyDescent="0.25">
      <c r="A52" s="80"/>
      <c r="B52" s="16" t="s">
        <v>415</v>
      </c>
      <c r="C52" s="81" t="s">
        <v>416</v>
      </c>
      <c r="D52" s="22" t="s">
        <v>25</v>
      </c>
      <c r="E52" s="22" t="s">
        <v>86</v>
      </c>
      <c r="F52" s="104">
        <f t="shared" ref="F52:L52" si="3">AVERAGE(F42:F50)</f>
        <v>3.8334068370867689</v>
      </c>
      <c r="G52" s="104">
        <f t="shared" si="3"/>
        <v>2.5748502031460632E-2</v>
      </c>
      <c r="H52" s="104">
        <f t="shared" si="3"/>
        <v>3.0412335296633422E-3</v>
      </c>
      <c r="I52" s="104">
        <f t="shared" si="3"/>
        <v>9.8859105795103486E-2</v>
      </c>
      <c r="J52" s="162">
        <f t="shared" si="3"/>
        <v>0.26698824283383604</v>
      </c>
      <c r="K52" s="162">
        <f t="shared" si="3"/>
        <v>5.6666363239127222E-9</v>
      </c>
      <c r="L52" s="162">
        <f t="shared" si="3"/>
        <v>9.5816772100896597E-4</v>
      </c>
      <c r="M52" s="145">
        <f>'Parameters, country spec'!E31</f>
        <v>0.1219502057445514</v>
      </c>
    </row>
    <row r="53" spans="1:13" x14ac:dyDescent="0.25">
      <c r="A53" s="144"/>
      <c r="B53" s="24" t="s">
        <v>417</v>
      </c>
      <c r="C53" s="25"/>
      <c r="D53" s="99"/>
      <c r="E53" s="99"/>
      <c r="F53" s="29">
        <f>SUMPRODUCT(F42:F52,M42:M52)</f>
        <v>2.1243325876817192</v>
      </c>
      <c r="G53" s="29">
        <f>SUMPRODUCT(G42:G52,M42:M52)</f>
        <v>2.2390189669515174E-2</v>
      </c>
      <c r="H53" s="29">
        <f>SUMPRODUCT(H42:H52,M42:M52)</f>
        <v>3.8662753325737977E-3</v>
      </c>
      <c r="I53" s="26">
        <f>SUMPRODUCT(I42:I52,M42:M52)</f>
        <v>0.1356808264171932</v>
      </c>
      <c r="J53" s="29">
        <f>SUMPRODUCT(J42:J52,M42:M52)</f>
        <v>0.11983245690574844</v>
      </c>
      <c r="K53" s="29">
        <f>SUMPRODUCT(K42:K52,M42:M52)</f>
        <v>2.8440124141545272E-9</v>
      </c>
      <c r="L53" s="29">
        <f>SUMPRODUCT(L42:L52,M42:M52)</f>
        <v>8.7930300945492036E-4</v>
      </c>
      <c r="M53" s="146"/>
    </row>
    <row r="54" spans="1:13" x14ac:dyDescent="0.25">
      <c r="A54" s="21" t="s">
        <v>403</v>
      </c>
      <c r="B54" s="16" t="s">
        <v>187</v>
      </c>
      <c r="C54" s="16" t="s">
        <v>404</v>
      </c>
      <c r="D54" s="22" t="s">
        <v>28</v>
      </c>
      <c r="E54" s="22" t="s">
        <v>87</v>
      </c>
      <c r="F54" s="23">
        <v>1.81</v>
      </c>
      <c r="G54" s="39">
        <v>2.1000000000000001E-2</v>
      </c>
      <c r="H54" s="39">
        <v>3.0999999999999999E-3</v>
      </c>
      <c r="I54" s="39">
        <v>1.0452328693124401E-3</v>
      </c>
      <c r="J54" s="27">
        <v>0.15</v>
      </c>
      <c r="K54" s="27">
        <v>6.8900000000000002E-11</v>
      </c>
      <c r="L54" s="27">
        <v>1.25E-3</v>
      </c>
      <c r="M54" s="145">
        <f>'Parameters, country spec'!F21</f>
        <v>7.6814695206271766E-2</v>
      </c>
    </row>
    <row r="55" spans="1:13" x14ac:dyDescent="0.25">
      <c r="A55" s="21" t="s">
        <v>405</v>
      </c>
      <c r="B55" s="16" t="s">
        <v>189</v>
      </c>
      <c r="C55" s="16" t="s">
        <v>404</v>
      </c>
      <c r="D55" s="22" t="s">
        <v>28</v>
      </c>
      <c r="E55" s="22" t="s">
        <v>87</v>
      </c>
      <c r="F55" s="20">
        <v>1.32</v>
      </c>
      <c r="G55" s="39">
        <v>0.02</v>
      </c>
      <c r="H55" s="39">
        <v>5.5999999999999999E-3</v>
      </c>
      <c r="I55" s="39">
        <v>1.11447318385697E-3</v>
      </c>
      <c r="J55" s="27">
        <v>0.13</v>
      </c>
      <c r="K55" s="27">
        <v>5.0199999999999999E-11</v>
      </c>
      <c r="L55" s="27">
        <v>1.2099999999999999E-3</v>
      </c>
      <c r="M55" s="145">
        <f>'Parameters, country spec'!F22</f>
        <v>0.45561964069086464</v>
      </c>
    </row>
    <row r="56" spans="1:13" x14ac:dyDescent="0.25">
      <c r="A56" s="21" t="s">
        <v>406</v>
      </c>
      <c r="B56" s="16" t="s">
        <v>191</v>
      </c>
      <c r="C56" s="16" t="s">
        <v>404</v>
      </c>
      <c r="D56" s="22" t="s">
        <v>28</v>
      </c>
      <c r="E56" s="22" t="s">
        <v>87</v>
      </c>
      <c r="F56" s="20">
        <v>3.46</v>
      </c>
      <c r="G56" s="39">
        <v>1.7999999999999999E-2</v>
      </c>
      <c r="H56" s="39">
        <v>3.8E-3</v>
      </c>
      <c r="I56" s="39">
        <v>8.2864606852449292E-3</v>
      </c>
      <c r="J56" s="27">
        <v>0</v>
      </c>
      <c r="K56" s="27">
        <v>1.3200000000000001E-10</v>
      </c>
      <c r="L56" s="27">
        <v>1.1000000000000001E-3</v>
      </c>
      <c r="M56" s="145">
        <f>'Parameters, country spec'!F23</f>
        <v>4.1142483484800152E-2</v>
      </c>
    </row>
    <row r="57" spans="1:13" x14ac:dyDescent="0.25">
      <c r="A57" s="21" t="s">
        <v>407</v>
      </c>
      <c r="B57" s="16" t="s">
        <v>192</v>
      </c>
      <c r="C57" s="16" t="s">
        <v>404</v>
      </c>
      <c r="D57" s="22" t="s">
        <v>28</v>
      </c>
      <c r="E57" s="22" t="s">
        <v>87</v>
      </c>
      <c r="F57" s="20">
        <v>3</v>
      </c>
      <c r="G57" s="39">
        <v>1.6E-2</v>
      </c>
      <c r="H57" s="39">
        <v>1.1999999999999999E-3</v>
      </c>
      <c r="I57" s="39">
        <v>1.5128620488640199E-5</v>
      </c>
      <c r="J57" s="27">
        <v>7.0000000000000007E-2</v>
      </c>
      <c r="K57" s="27">
        <v>1.1399999999999999E-10</v>
      </c>
      <c r="L57" s="27">
        <v>9.68E-4</v>
      </c>
      <c r="M57" s="145">
        <f>'Parameters, country spec'!F24</f>
        <v>1.5990662090106512E-2</v>
      </c>
    </row>
    <row r="58" spans="1:13" x14ac:dyDescent="0.25">
      <c r="A58" s="21" t="s">
        <v>408</v>
      </c>
      <c r="B58" s="16" t="s">
        <v>193</v>
      </c>
      <c r="C58" s="16" t="s">
        <v>404</v>
      </c>
      <c r="D58" s="22" t="s">
        <v>28</v>
      </c>
      <c r="E58" s="22" t="s">
        <v>87</v>
      </c>
      <c r="F58" s="20">
        <v>1.84</v>
      </c>
      <c r="G58" s="39">
        <v>2.4E-2</v>
      </c>
      <c r="H58" s="39">
        <v>2.2000000000000001E-3</v>
      </c>
      <c r="I58" s="39">
        <v>1.8303202859960401E-3</v>
      </c>
      <c r="J58" s="27">
        <v>0.18</v>
      </c>
      <c r="K58" s="27">
        <v>6.9799999999999994E-11</v>
      </c>
      <c r="L58" s="27">
        <v>1.4300000000000001E-3</v>
      </c>
      <c r="M58" s="145">
        <f>'Parameters, country spec'!F25</f>
        <v>7.1936556132033619E-2</v>
      </c>
    </row>
    <row r="59" spans="1:13" x14ac:dyDescent="0.25">
      <c r="A59" s="21" t="s">
        <v>409</v>
      </c>
      <c r="B59" s="16" t="s">
        <v>194</v>
      </c>
      <c r="C59" s="16" t="s">
        <v>410</v>
      </c>
      <c r="D59" s="22" t="s">
        <v>28</v>
      </c>
      <c r="E59" s="22" t="s">
        <v>87</v>
      </c>
      <c r="F59" s="20">
        <v>4.21</v>
      </c>
      <c r="G59" s="39">
        <v>2.7E-2</v>
      </c>
      <c r="H59" s="39">
        <v>1.6999999999999999E-3</v>
      </c>
      <c r="I59" s="39">
        <v>7.7181929809216496E-2</v>
      </c>
      <c r="J59" s="27">
        <v>1.01</v>
      </c>
      <c r="K59" s="27">
        <v>1.5999999999999999E-10</v>
      </c>
      <c r="L59" s="27">
        <v>0</v>
      </c>
      <c r="M59" s="145">
        <f>'Parameters, country spec'!F26</f>
        <v>1.6050102986641154E-3</v>
      </c>
    </row>
    <row r="60" spans="1:13" x14ac:dyDescent="0.25">
      <c r="A60" s="21" t="s">
        <v>411</v>
      </c>
      <c r="B60" s="16" t="s">
        <v>195</v>
      </c>
      <c r="C60" s="16" t="s">
        <v>410</v>
      </c>
      <c r="D60" s="22" t="s">
        <v>28</v>
      </c>
      <c r="E60" s="22" t="s">
        <v>87</v>
      </c>
      <c r="F60" s="20">
        <v>5.26</v>
      </c>
      <c r="G60" s="39">
        <v>1.4E-2</v>
      </c>
      <c r="H60" s="39">
        <v>2E-3</v>
      </c>
      <c r="I60" s="39">
        <v>0.145412447441433</v>
      </c>
      <c r="J60" s="27">
        <v>1.01</v>
      </c>
      <c r="K60" s="27">
        <v>2.0000000000000001E-10</v>
      </c>
      <c r="L60" s="27">
        <v>6.1400000000000002E-5</v>
      </c>
      <c r="M60" s="145">
        <f>'Parameters, country spec'!F27</f>
        <v>1.5766490275233829E-3</v>
      </c>
    </row>
    <row r="61" spans="1:13" x14ac:dyDescent="0.25">
      <c r="B61" s="17" t="s">
        <v>196</v>
      </c>
      <c r="C61" s="16" t="s">
        <v>412</v>
      </c>
      <c r="D61" s="22" t="s">
        <v>460</v>
      </c>
      <c r="E61" s="22"/>
      <c r="F61" s="18">
        <f>'Off-farm feed'!$F$88</f>
        <v>1.5397450382845088</v>
      </c>
      <c r="G61" s="19">
        <f>'Off-farm feed'!$G$88</f>
        <v>4.1115595157230206E-2</v>
      </c>
      <c r="H61" s="19">
        <f>'Off-farm feed'!$H$88</f>
        <v>4.4751668198345796E-3</v>
      </c>
      <c r="I61" s="19">
        <f>'Off-farm feed'!$I$88</f>
        <v>2.5747126436781614E-3</v>
      </c>
      <c r="J61" s="18">
        <f>'Off-farm feed'!$J$88</f>
        <v>0.29368572248181501</v>
      </c>
      <c r="K61" s="28">
        <f>'Off-farm feed'!$K$88</f>
        <v>1.777473414827503E-10</v>
      </c>
      <c r="L61" s="28">
        <f>'Off-farm feed'!$L$88</f>
        <v>2.4996062723023757E-3</v>
      </c>
      <c r="M61" s="145">
        <f>'Parameters, country spec'!F28</f>
        <v>6.9270869900852153E-4</v>
      </c>
    </row>
    <row r="62" spans="1:13" x14ac:dyDescent="0.25">
      <c r="B62" s="17" t="s">
        <v>413</v>
      </c>
      <c r="C62" s="16" t="s">
        <v>412</v>
      </c>
      <c r="D62" s="22" t="s">
        <v>437</v>
      </c>
      <c r="E62" s="22"/>
      <c r="F62" s="18">
        <f>'Off-farm feed'!$F$36</f>
        <v>2.5509164954964132</v>
      </c>
      <c r="G62" s="19">
        <f>'Off-farm feed'!$G$36</f>
        <v>4.2620923125915477E-2</v>
      </c>
      <c r="H62" s="19">
        <f>'Off-farm feed'!$H$36</f>
        <v>3.2959349471355036E-3</v>
      </c>
      <c r="I62" s="19">
        <f>'Off-farm feed'!$I$36</f>
        <v>2.3780487804878048E-3</v>
      </c>
      <c r="J62" s="18">
        <f>'Off-farm feed'!$J$36</f>
        <v>0.25920846302270939</v>
      </c>
      <c r="K62" s="28">
        <f>'Off-farm feed'!$K$36</f>
        <v>6.1197957373175144E-10</v>
      </c>
      <c r="L62" s="28">
        <f>'Off-farm feed'!$L$36</f>
        <v>1.0450321677831981E-4</v>
      </c>
      <c r="M62" s="145">
        <f>'Parameters, country spec'!F29</f>
        <v>0.13208602451248805</v>
      </c>
    </row>
    <row r="63" spans="1:13" x14ac:dyDescent="0.25">
      <c r="B63" s="16" t="s">
        <v>198</v>
      </c>
      <c r="C63" s="16" t="s">
        <v>414</v>
      </c>
      <c r="D63" s="22" t="s">
        <v>28</v>
      </c>
      <c r="E63" s="22" t="s">
        <v>87</v>
      </c>
      <c r="F63" s="102"/>
      <c r="G63" s="103"/>
      <c r="H63" s="103"/>
      <c r="I63" s="103"/>
      <c r="J63" s="110"/>
      <c r="K63" s="110"/>
      <c r="L63" s="110"/>
      <c r="M63" s="145">
        <f>'Parameters, country spec'!F30</f>
        <v>0.10416150013335602</v>
      </c>
    </row>
    <row r="64" spans="1:13" x14ac:dyDescent="0.25">
      <c r="A64" s="80"/>
      <c r="B64" s="16" t="s">
        <v>415</v>
      </c>
      <c r="C64" s="81" t="s">
        <v>416</v>
      </c>
      <c r="D64" s="22" t="s">
        <v>28</v>
      </c>
      <c r="E64" s="22" t="s">
        <v>87</v>
      </c>
      <c r="F64" s="104">
        <f t="shared" ref="F64:L64" si="4">AVERAGE(F54:F62)</f>
        <v>2.7767401704201022</v>
      </c>
      <c r="G64" s="104">
        <f t="shared" si="4"/>
        <v>2.4859613142571745E-2</v>
      </c>
      <c r="H64" s="104">
        <f t="shared" si="4"/>
        <v>3.0412335296633422E-3</v>
      </c>
      <c r="I64" s="104">
        <f t="shared" si="4"/>
        <v>2.6648750479968276E-2</v>
      </c>
      <c r="J64" s="162">
        <f t="shared" si="4"/>
        <v>0.34476602061161377</v>
      </c>
      <c r="K64" s="162">
        <f t="shared" si="4"/>
        <v>1.7606965724605575E-10</v>
      </c>
      <c r="L64" s="162">
        <f t="shared" si="4"/>
        <v>9.5816772100896597E-4</v>
      </c>
      <c r="M64" s="145">
        <f>'Parameters, country spec'!F31</f>
        <v>9.8374069724883342E-2</v>
      </c>
    </row>
    <row r="65" spans="1:14" x14ac:dyDescent="0.25">
      <c r="A65" s="144"/>
      <c r="B65" s="24" t="s">
        <v>417</v>
      </c>
      <c r="C65" s="25"/>
      <c r="D65" s="99"/>
      <c r="E65" s="99"/>
      <c r="F65" s="29">
        <f>SUMPRODUCT(F54:F64,M54:M64)</f>
        <v>1.6893572783566277</v>
      </c>
      <c r="G65" s="29">
        <f>SUMPRODUCT(G54:G64,M54:M64)</f>
        <v>2.1617453164741018E-2</v>
      </c>
      <c r="H65" s="29">
        <f>SUMPRODUCT(H54:H64,M54:M64)</f>
        <v>3.8668934643131775E-3</v>
      </c>
      <c r="I65" s="26">
        <f>SUMPRODUCT(I54:I64,M54:M64)</f>
        <v>4.3514783016231802E-3</v>
      </c>
      <c r="J65" s="29">
        <f>SUMPRODUCT(J54:J64,M54:M64)</f>
        <v>0.15639145054609321</v>
      </c>
      <c r="K65" s="29">
        <f>SUMPRODUCT(K54:K64,M54:M64)</f>
        <v>1.3928944967707083E-10</v>
      </c>
      <c r="L65" s="29">
        <f>SUMPRODUCT(L54:L64,M54:M64)</f>
        <v>9.2081368015599103E-4</v>
      </c>
      <c r="M65" s="146"/>
    </row>
    <row r="66" spans="1:14" x14ac:dyDescent="0.25">
      <c r="A66" s="21" t="s">
        <v>403</v>
      </c>
      <c r="B66" s="16" t="s">
        <v>187</v>
      </c>
      <c r="C66" s="16" t="s">
        <v>404</v>
      </c>
      <c r="D66" s="22" t="s">
        <v>32</v>
      </c>
      <c r="E66" s="22" t="s">
        <v>88</v>
      </c>
      <c r="F66" s="23">
        <v>1.31</v>
      </c>
      <c r="G66" s="39">
        <v>2.1000000000000001E-2</v>
      </c>
      <c r="H66" s="39">
        <v>3.0999999999999999E-3</v>
      </c>
      <c r="I66" s="39">
        <v>0</v>
      </c>
      <c r="J66" s="27">
        <v>0.42</v>
      </c>
      <c r="K66" s="27">
        <v>4.6500000000000001E-11</v>
      </c>
      <c r="L66" s="27">
        <v>1.25E-3</v>
      </c>
      <c r="M66" s="145">
        <f>'Parameters, country spec'!G21</f>
        <v>0.30784418386466139</v>
      </c>
    </row>
    <row r="67" spans="1:14" x14ac:dyDescent="0.25">
      <c r="A67" s="21" t="s">
        <v>405</v>
      </c>
      <c r="B67" s="16" t="s">
        <v>189</v>
      </c>
      <c r="C67" s="16" t="s">
        <v>404</v>
      </c>
      <c r="D67" s="22" t="s">
        <v>32</v>
      </c>
      <c r="E67" s="22" t="s">
        <v>88</v>
      </c>
      <c r="F67" s="20">
        <v>1.32</v>
      </c>
      <c r="G67" s="39">
        <v>0.02</v>
      </c>
      <c r="H67" s="39">
        <v>5.5999999999999999E-3</v>
      </c>
      <c r="I67" s="39">
        <v>0</v>
      </c>
      <c r="J67" s="27">
        <v>0.13</v>
      </c>
      <c r="K67" s="27">
        <v>5.0199999999999999E-11</v>
      </c>
      <c r="L67" s="27">
        <v>1.2099999999999999E-3</v>
      </c>
      <c r="M67" s="145">
        <f>'Parameters, country spec'!G22</f>
        <v>8.4847862288086023E-2</v>
      </c>
      <c r="N67" s="7" t="s">
        <v>536</v>
      </c>
    </row>
    <row r="68" spans="1:14" x14ac:dyDescent="0.25">
      <c r="A68" s="21" t="s">
        <v>406</v>
      </c>
      <c r="B68" s="16" t="s">
        <v>191</v>
      </c>
      <c r="C68" s="16" t="s">
        <v>404</v>
      </c>
      <c r="D68" s="22" t="s">
        <v>32</v>
      </c>
      <c r="E68" s="22" t="s">
        <v>88</v>
      </c>
      <c r="F68" s="20">
        <v>1.31</v>
      </c>
      <c r="G68" s="39">
        <v>1.7999999999999999E-2</v>
      </c>
      <c r="H68" s="39">
        <v>3.8E-3</v>
      </c>
      <c r="I68" s="39">
        <v>1.4889164731429301E-5</v>
      </c>
      <c r="J68" s="27">
        <v>0.39</v>
      </c>
      <c r="K68" s="27">
        <v>4.6299999999999998E-11</v>
      </c>
      <c r="L68" s="27">
        <v>1.1000000000000001E-3</v>
      </c>
      <c r="M68" s="145">
        <f>'Parameters, country spec'!G23</f>
        <v>1.7744137138731981E-2</v>
      </c>
    </row>
    <row r="69" spans="1:14" x14ac:dyDescent="0.25">
      <c r="A69" s="21" t="s">
        <v>407</v>
      </c>
      <c r="B69" s="16" t="s">
        <v>192</v>
      </c>
      <c r="C69" s="16" t="s">
        <v>404</v>
      </c>
      <c r="D69" s="22" t="s">
        <v>32</v>
      </c>
      <c r="E69" s="22" t="s">
        <v>88</v>
      </c>
      <c r="F69" s="20">
        <v>3</v>
      </c>
      <c r="G69" s="39">
        <v>1.6E-2</v>
      </c>
      <c r="H69" s="39">
        <v>1.1999999999999999E-3</v>
      </c>
      <c r="I69" s="39">
        <v>0</v>
      </c>
      <c r="J69" s="27">
        <v>0</v>
      </c>
      <c r="K69" s="27">
        <v>1.06E-10</v>
      </c>
      <c r="L69" s="27">
        <v>9.68E-4</v>
      </c>
      <c r="M69" s="145">
        <f>'Parameters, country spec'!G24</f>
        <v>0</v>
      </c>
    </row>
    <row r="70" spans="1:14" x14ac:dyDescent="0.25">
      <c r="A70" s="21" t="s">
        <v>408</v>
      </c>
      <c r="B70" s="16" t="s">
        <v>193</v>
      </c>
      <c r="C70" s="16" t="s">
        <v>404</v>
      </c>
      <c r="D70" s="22" t="s">
        <v>32</v>
      </c>
      <c r="E70" s="22" t="s">
        <v>88</v>
      </c>
      <c r="F70" s="20">
        <v>1.0900000000000001</v>
      </c>
      <c r="G70" s="39">
        <v>2.4E-2</v>
      </c>
      <c r="H70" s="39">
        <v>2.2000000000000001E-3</v>
      </c>
      <c r="I70" s="39">
        <v>0</v>
      </c>
      <c r="J70" s="27">
        <v>0.54</v>
      </c>
      <c r="K70" s="27">
        <v>3.8799999999999998E-11</v>
      </c>
      <c r="L70" s="27">
        <v>1.4300000000000001E-3</v>
      </c>
      <c r="M70" s="145">
        <f>'Parameters, country spec'!G25</f>
        <v>0.13221920344294855</v>
      </c>
    </row>
    <row r="71" spans="1:14" x14ac:dyDescent="0.25">
      <c r="A71" s="21" t="s">
        <v>409</v>
      </c>
      <c r="B71" s="16" t="s">
        <v>194</v>
      </c>
      <c r="C71" s="16" t="s">
        <v>410</v>
      </c>
      <c r="D71" s="22" t="s">
        <v>32</v>
      </c>
      <c r="E71" s="22" t="s">
        <v>88</v>
      </c>
      <c r="F71" s="20">
        <v>2.64</v>
      </c>
      <c r="G71" s="39">
        <v>1.7000000000000001E-2</v>
      </c>
      <c r="H71" s="39">
        <v>1.6999999999999999E-3</v>
      </c>
      <c r="I71" s="39">
        <v>0</v>
      </c>
      <c r="J71" s="27">
        <v>0.36</v>
      </c>
      <c r="K71" s="27">
        <v>9.3600000000000005E-11</v>
      </c>
      <c r="L71" s="27">
        <v>0</v>
      </c>
      <c r="M71" s="145">
        <f>'Parameters, country spec'!G26</f>
        <v>1.343960411791802E-3</v>
      </c>
    </row>
    <row r="72" spans="1:14" x14ac:dyDescent="0.25">
      <c r="A72" s="21" t="s">
        <v>411</v>
      </c>
      <c r="B72" s="16" t="s">
        <v>195</v>
      </c>
      <c r="C72" s="16" t="s">
        <v>410</v>
      </c>
      <c r="D72" s="22" t="s">
        <v>32</v>
      </c>
      <c r="E72" s="22" t="s">
        <v>88</v>
      </c>
      <c r="F72" s="190">
        <v>2.09</v>
      </c>
      <c r="G72" s="190">
        <v>6.0000000000000001E-3</v>
      </c>
      <c r="H72" s="190">
        <v>2E-3</v>
      </c>
      <c r="I72" s="271">
        <v>0</v>
      </c>
      <c r="J72" s="260">
        <v>0.52</v>
      </c>
      <c r="K72" s="261">
        <v>7.4000000000000003E-11</v>
      </c>
      <c r="L72" s="262">
        <v>6.1400000000000002E-5</v>
      </c>
      <c r="M72" s="145">
        <f>'Parameters, country spec'!G27</f>
        <v>1.3202120121893659E-3</v>
      </c>
    </row>
    <row r="73" spans="1:14" x14ac:dyDescent="0.25">
      <c r="B73" s="17" t="s">
        <v>196</v>
      </c>
      <c r="C73" s="16" t="s">
        <v>412</v>
      </c>
      <c r="D73" s="22" t="s">
        <v>460</v>
      </c>
      <c r="E73" s="22"/>
      <c r="F73" s="18">
        <f>'Off-farm feed'!$F$88</f>
        <v>1.5397450382845088</v>
      </c>
      <c r="G73" s="19">
        <f>'Off-farm feed'!$G$88</f>
        <v>4.1115595157230206E-2</v>
      </c>
      <c r="H73" s="19">
        <f>'Off-farm feed'!$H$88</f>
        <v>4.4751668198345796E-3</v>
      </c>
      <c r="I73" s="19">
        <f>'Off-farm feed'!$I$88</f>
        <v>2.5747126436781614E-3</v>
      </c>
      <c r="J73" s="18">
        <f>'Off-farm feed'!$J$88</f>
        <v>0.29368572248181501</v>
      </c>
      <c r="K73" s="28">
        <f>'Off-farm feed'!$K$88</f>
        <v>1.777473414827503E-10</v>
      </c>
      <c r="L73" s="28">
        <f>'Off-farm feed'!$L$88</f>
        <v>2.4996062723023757E-3</v>
      </c>
      <c r="M73" s="145">
        <f>'Parameters, country spec'!G28</f>
        <v>7.1952686054860826E-2</v>
      </c>
    </row>
    <row r="74" spans="1:14" x14ac:dyDescent="0.25">
      <c r="B74" s="17" t="s">
        <v>413</v>
      </c>
      <c r="C74" s="16" t="s">
        <v>412</v>
      </c>
      <c r="D74" s="22" t="s">
        <v>437</v>
      </c>
      <c r="E74" s="22"/>
      <c r="F74" s="18">
        <f>'Off-farm feed'!$F$36</f>
        <v>2.5509164954964132</v>
      </c>
      <c r="G74" s="19">
        <f>'Off-farm feed'!$G$36</f>
        <v>4.2620923125915477E-2</v>
      </c>
      <c r="H74" s="19">
        <f>'Off-farm feed'!$H$36</f>
        <v>3.2959349471355036E-3</v>
      </c>
      <c r="I74" s="19">
        <f>'Off-farm feed'!$I$36</f>
        <v>2.3780487804878048E-3</v>
      </c>
      <c r="J74" s="18">
        <f>'Off-farm feed'!$J$36</f>
        <v>0.25920846302270939</v>
      </c>
      <c r="K74" s="28">
        <f>'Off-farm feed'!$K$36</f>
        <v>6.1197957373175144E-10</v>
      </c>
      <c r="L74" s="28">
        <f>'Off-farm feed'!$L$36</f>
        <v>1.0450321677831981E-4</v>
      </c>
      <c r="M74" s="145">
        <f>'Parameters, country spec'!G29</f>
        <v>0.13691957563671808</v>
      </c>
    </row>
    <row r="75" spans="1:14" x14ac:dyDescent="0.25">
      <c r="B75" s="16" t="s">
        <v>198</v>
      </c>
      <c r="C75" s="16" t="s">
        <v>414</v>
      </c>
      <c r="D75" s="22" t="s">
        <v>32</v>
      </c>
      <c r="E75" s="22" t="s">
        <v>88</v>
      </c>
      <c r="F75" s="102"/>
      <c r="G75" s="103"/>
      <c r="H75" s="103"/>
      <c r="I75" s="103"/>
      <c r="J75" s="110"/>
      <c r="K75" s="110"/>
      <c r="L75" s="110"/>
      <c r="M75" s="145">
        <f>'Parameters, country spec'!G30</f>
        <v>0.13523038514369462</v>
      </c>
    </row>
    <row r="76" spans="1:14" x14ac:dyDescent="0.25">
      <c r="A76" s="80"/>
      <c r="B76" s="16" t="s">
        <v>415</v>
      </c>
      <c r="C76" s="81" t="s">
        <v>416</v>
      </c>
      <c r="D76" s="22" t="s">
        <v>32</v>
      </c>
      <c r="E76" s="22" t="s">
        <v>88</v>
      </c>
      <c r="F76" s="104">
        <f t="shared" ref="F76:L76" si="5">AVERAGE(F66:F74)</f>
        <v>1.8722957259756581</v>
      </c>
      <c r="G76" s="104">
        <f t="shared" si="5"/>
        <v>2.2859613142571747E-2</v>
      </c>
      <c r="H76" s="104">
        <f t="shared" si="5"/>
        <v>3.0412335296633422E-3</v>
      </c>
      <c r="I76" s="104">
        <f t="shared" si="5"/>
        <v>5.5196117654415496E-4</v>
      </c>
      <c r="J76" s="162">
        <f t="shared" si="5"/>
        <v>0.32365490950050269</v>
      </c>
      <c r="K76" s="162">
        <f t="shared" si="5"/>
        <v>1.3834743502383355E-10</v>
      </c>
      <c r="L76" s="162">
        <f t="shared" si="5"/>
        <v>9.5816772100896597E-4</v>
      </c>
      <c r="M76" s="145">
        <f>'Parameters, country spec'!G31</f>
        <v>0.11057779400631759</v>
      </c>
    </row>
    <row r="77" spans="1:14" x14ac:dyDescent="0.25">
      <c r="A77" s="144"/>
      <c r="B77" s="24" t="s">
        <v>417</v>
      </c>
      <c r="C77" s="25"/>
      <c r="D77" s="99"/>
      <c r="E77" s="99"/>
      <c r="F77" s="29">
        <f>SUMPRODUCT(F66:F76,M66:M76)</f>
        <v>1.3560396355782718</v>
      </c>
      <c r="G77" s="29">
        <f>SUMPRODUCT(G66:G76,M66:M76)</f>
        <v>2.3006890868217028E-2</v>
      </c>
      <c r="H77" s="29">
        <f>SUMPRODUCT(H66:H76,M66:M76)</f>
        <v>2.9022713065067537E-3</v>
      </c>
      <c r="I77" s="26">
        <f>SUMPRODUCT(I66:I76,M66:M76)</f>
        <v>5.7215776506012062E-4</v>
      </c>
      <c r="J77" s="29">
        <f>SUMPRODUCT(J66:J76,M66:M76)</f>
        <v>0.31222493391741446</v>
      </c>
      <c r="K77" s="29">
        <f>SUMPRODUCT(K66:K76,M66:M76)</f>
        <v>1.3662880262697749E-10</v>
      </c>
      <c r="L77" s="29">
        <f>SUMPRODUCT(L66:L76,M66:M76)</f>
        <v>9.9625821033590633E-4</v>
      </c>
      <c r="M77" s="146"/>
    </row>
    <row r="78" spans="1:14" x14ac:dyDescent="0.25">
      <c r="A78" s="21" t="s">
        <v>403</v>
      </c>
      <c r="B78" s="16" t="s">
        <v>187</v>
      </c>
      <c r="C78" s="16" t="s">
        <v>404</v>
      </c>
      <c r="D78" s="22" t="s">
        <v>31</v>
      </c>
      <c r="E78" s="22" t="s">
        <v>89</v>
      </c>
      <c r="F78" s="23">
        <v>2.41</v>
      </c>
      <c r="G78" s="39">
        <v>2.1000000000000001E-2</v>
      </c>
      <c r="H78" s="39">
        <v>3.0999999999999999E-3</v>
      </c>
      <c r="I78" s="39">
        <v>0</v>
      </c>
      <c r="J78" s="27">
        <v>0.16</v>
      </c>
      <c r="K78" s="27">
        <v>2.8400000000000001E-9</v>
      </c>
      <c r="L78" s="27">
        <v>1.25E-3</v>
      </c>
      <c r="M78" s="145">
        <f>'Parameters, country spec'!H21</f>
        <v>6.7331149351278818E-2</v>
      </c>
    </row>
    <row r="79" spans="1:14" x14ac:dyDescent="0.25">
      <c r="A79" s="21" t="s">
        <v>405</v>
      </c>
      <c r="B79" s="16" t="s">
        <v>189</v>
      </c>
      <c r="C79" s="16" t="s">
        <v>404</v>
      </c>
      <c r="D79" s="22" t="s">
        <v>31</v>
      </c>
      <c r="E79" s="22" t="s">
        <v>89</v>
      </c>
      <c r="F79" s="20">
        <v>0.97</v>
      </c>
      <c r="G79" s="39">
        <v>0.02</v>
      </c>
      <c r="H79" s="39">
        <v>5.5999999999999999E-3</v>
      </c>
      <c r="I79" s="39">
        <v>0.107875159755801</v>
      </c>
      <c r="J79" s="27">
        <v>0.19</v>
      </c>
      <c r="K79" s="27">
        <v>1.14E-9</v>
      </c>
      <c r="L79" s="27">
        <v>1.2099999999999999E-3</v>
      </c>
      <c r="M79" s="145">
        <f>'Parameters, country spec'!H22</f>
        <v>0.44026970650157493</v>
      </c>
    </row>
    <row r="80" spans="1:14" x14ac:dyDescent="0.25">
      <c r="A80" s="21" t="s">
        <v>406</v>
      </c>
      <c r="B80" s="16" t="s">
        <v>191</v>
      </c>
      <c r="C80" s="16" t="s">
        <v>404</v>
      </c>
      <c r="D80" s="22" t="s">
        <v>31</v>
      </c>
      <c r="E80" s="22" t="s">
        <v>89</v>
      </c>
      <c r="F80" s="20">
        <v>4.3099999999999996</v>
      </c>
      <c r="G80" s="39">
        <v>1.7999999999999999E-2</v>
      </c>
      <c r="H80" s="39">
        <v>3.8E-3</v>
      </c>
      <c r="I80" s="39">
        <v>7.4401097074734898E-2</v>
      </c>
      <c r="J80" s="27">
        <v>0</v>
      </c>
      <c r="K80" s="27">
        <v>5.0600000000000003E-9</v>
      </c>
      <c r="L80" s="27">
        <v>1.1000000000000001E-3</v>
      </c>
      <c r="M80" s="145">
        <f>'Parameters, country spec'!H23</f>
        <v>1.3982897878135709E-2</v>
      </c>
    </row>
    <row r="81" spans="1:13" x14ac:dyDescent="0.25">
      <c r="A81" s="21" t="s">
        <v>407</v>
      </c>
      <c r="B81" s="16" t="s">
        <v>192</v>
      </c>
      <c r="C81" s="16" t="s">
        <v>404</v>
      </c>
      <c r="D81" s="22" t="s">
        <v>31</v>
      </c>
      <c r="E81" s="22" t="s">
        <v>89</v>
      </c>
      <c r="F81" s="20">
        <v>3.11</v>
      </c>
      <c r="G81" s="39">
        <v>1.6E-2</v>
      </c>
      <c r="H81" s="39">
        <v>1.1999999999999999E-3</v>
      </c>
      <c r="I81" s="39">
        <v>0</v>
      </c>
      <c r="J81" s="27">
        <v>0</v>
      </c>
      <c r="K81" s="27">
        <v>3.65E-9</v>
      </c>
      <c r="L81" s="27">
        <v>9.68E-4</v>
      </c>
      <c r="M81" s="145">
        <f>'Parameters, country spec'!H24</f>
        <v>1.1141062374852339E-3</v>
      </c>
    </row>
    <row r="82" spans="1:13" x14ac:dyDescent="0.25">
      <c r="A82" s="21" t="s">
        <v>408</v>
      </c>
      <c r="B82" s="16" t="s">
        <v>193</v>
      </c>
      <c r="C82" s="16" t="s">
        <v>404</v>
      </c>
      <c r="D82" s="22" t="s">
        <v>31</v>
      </c>
      <c r="E82" s="22" t="s">
        <v>89</v>
      </c>
      <c r="F82" s="20">
        <v>2.5299999999999998</v>
      </c>
      <c r="G82" s="39">
        <v>2.4E-2</v>
      </c>
      <c r="H82" s="39">
        <v>2.2000000000000001E-3</v>
      </c>
      <c r="I82" s="39">
        <v>1.6090387365381601E-2</v>
      </c>
      <c r="J82" s="27">
        <v>0.1</v>
      </c>
      <c r="K82" s="27">
        <v>2.98E-9</v>
      </c>
      <c r="L82" s="27">
        <v>1.4300000000000001E-3</v>
      </c>
      <c r="M82" s="145">
        <f>'Parameters, country spec'!H25</f>
        <v>6.3776792034317548E-2</v>
      </c>
    </row>
    <row r="83" spans="1:13" x14ac:dyDescent="0.25">
      <c r="A83" s="21" t="s">
        <v>409</v>
      </c>
      <c r="B83" s="16" t="s">
        <v>194</v>
      </c>
      <c r="C83" s="16" t="s">
        <v>410</v>
      </c>
      <c r="D83" s="22" t="s">
        <v>31</v>
      </c>
      <c r="E83" s="22" t="s">
        <v>89</v>
      </c>
      <c r="F83" s="20">
        <v>3.42</v>
      </c>
      <c r="G83" s="39">
        <v>2.1999999999999999E-2</v>
      </c>
      <c r="H83" s="39">
        <v>1.6999999999999999E-3</v>
      </c>
      <c r="I83" s="39">
        <v>0</v>
      </c>
      <c r="J83" s="27">
        <v>0.49</v>
      </c>
      <c r="K83" s="27">
        <v>4.0199999999999998E-9</v>
      </c>
      <c r="L83" s="27">
        <v>0</v>
      </c>
      <c r="M83" s="145">
        <f>'Parameters, country spec'!H26</f>
        <v>3.3307304103593416E-3</v>
      </c>
    </row>
    <row r="84" spans="1:13" x14ac:dyDescent="0.25">
      <c r="A84" s="21" t="s">
        <v>411</v>
      </c>
      <c r="B84" s="16" t="s">
        <v>195</v>
      </c>
      <c r="C84" s="16" t="s">
        <v>410</v>
      </c>
      <c r="D84" s="22" t="s">
        <v>31</v>
      </c>
      <c r="E84" s="22" t="s">
        <v>89</v>
      </c>
      <c r="F84" s="20">
        <v>5.13</v>
      </c>
      <c r="G84" s="39">
        <v>1.2999999999999999E-2</v>
      </c>
      <c r="H84" s="39">
        <v>2E-3</v>
      </c>
      <c r="I84" s="39">
        <v>0</v>
      </c>
      <c r="J84" s="27">
        <v>1.05</v>
      </c>
      <c r="K84" s="27">
        <v>6.0200000000000003E-9</v>
      </c>
      <c r="L84" s="27">
        <v>6.1400000000000002E-5</v>
      </c>
      <c r="M84" s="145">
        <f>'Parameters, country spec'!H27</f>
        <v>3.2718748699923465E-3</v>
      </c>
    </row>
    <row r="85" spans="1:13" x14ac:dyDescent="0.25">
      <c r="B85" s="17" t="s">
        <v>196</v>
      </c>
      <c r="C85" s="16" t="s">
        <v>412</v>
      </c>
      <c r="D85" s="22" t="s">
        <v>460</v>
      </c>
      <c r="E85" s="22"/>
      <c r="F85" s="18">
        <f>'Off-farm feed'!$F$88</f>
        <v>1.5397450382845088</v>
      </c>
      <c r="G85" s="19">
        <f>'Off-farm feed'!$G$88</f>
        <v>4.1115595157230206E-2</v>
      </c>
      <c r="H85" s="19">
        <f>'Off-farm feed'!$H$88</f>
        <v>4.4751668198345796E-3</v>
      </c>
      <c r="I85" s="19">
        <f>'Off-farm feed'!$I$88</f>
        <v>2.5747126436781614E-3</v>
      </c>
      <c r="J85" s="18">
        <f>'Off-farm feed'!$J$88</f>
        <v>0.29368572248181501</v>
      </c>
      <c r="K85" s="28">
        <f>'Off-farm feed'!$K$88</f>
        <v>1.777473414827503E-10</v>
      </c>
      <c r="L85" s="28">
        <f>'Off-farm feed'!$L$88</f>
        <v>2.4996062723023757E-3</v>
      </c>
      <c r="M85" s="145">
        <f>'Parameters, country spec'!H28</f>
        <v>5.6103860515759841E-3</v>
      </c>
    </row>
    <row r="86" spans="1:13" x14ac:dyDescent="0.25">
      <c r="B86" s="17" t="s">
        <v>413</v>
      </c>
      <c r="C86" s="16" t="s">
        <v>412</v>
      </c>
      <c r="D86" s="22" t="s">
        <v>437</v>
      </c>
      <c r="E86" s="22"/>
      <c r="F86" s="18">
        <f>'Off-farm feed'!$F$36</f>
        <v>2.5509164954964132</v>
      </c>
      <c r="G86" s="19">
        <f>'Off-farm feed'!$G$36</f>
        <v>4.2620923125915477E-2</v>
      </c>
      <c r="H86" s="19">
        <f>'Off-farm feed'!$H$36</f>
        <v>3.2959349471355036E-3</v>
      </c>
      <c r="I86" s="19">
        <f>'Off-farm feed'!$I$36</f>
        <v>2.3780487804878048E-3</v>
      </c>
      <c r="J86" s="18">
        <f>'Off-farm feed'!$J$36</f>
        <v>0.25920846302270939</v>
      </c>
      <c r="K86" s="28">
        <f>'Off-farm feed'!$K$36</f>
        <v>6.1197957373175144E-10</v>
      </c>
      <c r="L86" s="28">
        <f>'Off-farm feed'!$L$36</f>
        <v>1.0450321677831981E-4</v>
      </c>
      <c r="M86" s="145">
        <f>'Parameters, country spec'!H29</f>
        <v>0.13851395632807983</v>
      </c>
    </row>
    <row r="87" spans="1:13" x14ac:dyDescent="0.25">
      <c r="B87" s="16" t="s">
        <v>198</v>
      </c>
      <c r="C87" s="16" t="s">
        <v>414</v>
      </c>
      <c r="D87" s="22" t="s">
        <v>31</v>
      </c>
      <c r="E87" s="22" t="s">
        <v>89</v>
      </c>
      <c r="F87" s="102"/>
      <c r="G87" s="103"/>
      <c r="H87" s="103"/>
      <c r="I87" s="103"/>
      <c r="J87" s="110"/>
      <c r="K87" s="110"/>
      <c r="L87" s="110"/>
      <c r="M87" s="145">
        <f>'Parameters, country spec'!H30</f>
        <v>0.14622390087159998</v>
      </c>
    </row>
    <row r="88" spans="1:13" x14ac:dyDescent="0.25">
      <c r="A88" s="80"/>
      <c r="B88" s="16" t="s">
        <v>415</v>
      </c>
      <c r="C88" s="81" t="s">
        <v>416</v>
      </c>
      <c r="D88" s="22" t="s">
        <v>31</v>
      </c>
      <c r="E88" s="22" t="s">
        <v>89</v>
      </c>
      <c r="F88" s="104">
        <f t="shared" ref="F88:L88" si="6">AVERAGE(F78:F86)</f>
        <v>2.8856290593089913</v>
      </c>
      <c r="G88" s="104">
        <f t="shared" si="6"/>
        <v>2.4192946475905076E-2</v>
      </c>
      <c r="H88" s="104">
        <f t="shared" si="6"/>
        <v>3.0412335296633422E-3</v>
      </c>
      <c r="I88" s="104">
        <f t="shared" si="6"/>
        <v>2.2591045068898162E-2</v>
      </c>
      <c r="J88" s="162">
        <f t="shared" si="6"/>
        <v>0.28254379838939159</v>
      </c>
      <c r="K88" s="162">
        <f t="shared" si="6"/>
        <v>2.9444141016905002E-9</v>
      </c>
      <c r="L88" s="162">
        <f t="shared" si="6"/>
        <v>9.5816772100896597E-4</v>
      </c>
      <c r="M88" s="145">
        <f>'Parameters, country spec'!H31</f>
        <v>0.11657449946560031</v>
      </c>
    </row>
    <row r="89" spans="1:13" x14ac:dyDescent="0.25">
      <c r="A89" s="144"/>
      <c r="B89" s="24" t="s">
        <v>417</v>
      </c>
      <c r="C89" s="25"/>
      <c r="D89" s="99"/>
      <c r="E89" s="99"/>
      <c r="F89" s="29">
        <f>SUMPRODUCT(F78:F88,M78:M88)</f>
        <v>1.5409588088016468</v>
      </c>
      <c r="G89" s="29">
        <f>SUMPRODUCT(G78:G88,M78:M88)</f>
        <v>2.1089867251300555E-2</v>
      </c>
      <c r="H89" s="29">
        <f>SUMPRODUCT(H78:H88,M78:M88)</f>
        <v>3.7173944720434761E-3</v>
      </c>
      <c r="I89" s="26">
        <f>SUMPRODUCT(I78:I88,M78:M88)</f>
        <v>5.2538079003808906E-2</v>
      </c>
      <c r="J89" s="29">
        <f>SUMPRODUCT(J78:J88,M78:M88)</f>
        <v>0.17635851573181172</v>
      </c>
      <c r="K89" s="29">
        <f>SUMPRODUCT(K78:K88,M78:M88)</f>
        <v>1.4200974871078214E-9</v>
      </c>
      <c r="L89" s="29">
        <f>SUMPRODUCT(L78:L88,M78:M88)</f>
        <v>8.6494846243617913E-4</v>
      </c>
      <c r="M89" s="146"/>
    </row>
    <row r="90" spans="1:13" x14ac:dyDescent="0.25">
      <c r="A90" s="21" t="s">
        <v>403</v>
      </c>
      <c r="B90" s="16" t="s">
        <v>187</v>
      </c>
      <c r="C90" s="16" t="s">
        <v>404</v>
      </c>
      <c r="D90" s="22" t="s">
        <v>26</v>
      </c>
      <c r="E90" s="22" t="s">
        <v>90</v>
      </c>
      <c r="F90" s="23">
        <v>1.47</v>
      </c>
      <c r="G90" s="39">
        <v>2.1000000000000001E-2</v>
      </c>
      <c r="H90" s="39">
        <v>3.0999999999999999E-3</v>
      </c>
      <c r="I90" s="39">
        <v>0</v>
      </c>
      <c r="J90" s="27">
        <v>0.31</v>
      </c>
      <c r="K90" s="27">
        <v>3.7400000000000001E-11</v>
      </c>
      <c r="L90" s="27">
        <v>1.25E-3</v>
      </c>
      <c r="M90" s="145">
        <f>'Parameters, country spec'!I21</f>
        <v>8.7412023715897388E-2</v>
      </c>
    </row>
    <row r="91" spans="1:13" x14ac:dyDescent="0.25">
      <c r="A91" s="21" t="s">
        <v>405</v>
      </c>
      <c r="B91" s="16" t="s">
        <v>189</v>
      </c>
      <c r="C91" s="16" t="s">
        <v>404</v>
      </c>
      <c r="D91" s="22" t="s">
        <v>26</v>
      </c>
      <c r="E91" s="22" t="s">
        <v>90</v>
      </c>
      <c r="F91" s="20">
        <v>1.08</v>
      </c>
      <c r="G91" s="39">
        <v>0.02</v>
      </c>
      <c r="H91" s="39">
        <v>5.5999999999999999E-3</v>
      </c>
      <c r="I91" s="39">
        <v>1.6271234432720799E-2</v>
      </c>
      <c r="J91" s="27">
        <v>0.94</v>
      </c>
      <c r="K91" s="27">
        <v>2.76E-11</v>
      </c>
      <c r="L91" s="27">
        <v>1.2099999999999999E-3</v>
      </c>
      <c r="M91" s="145">
        <f>'Parameters, country spec'!I22</f>
        <v>0.26251561737967866</v>
      </c>
    </row>
    <row r="92" spans="1:13" x14ac:dyDescent="0.25">
      <c r="A92" s="21" t="s">
        <v>406</v>
      </c>
      <c r="B92" s="16" t="s">
        <v>191</v>
      </c>
      <c r="C92" s="16" t="s">
        <v>404</v>
      </c>
      <c r="D92" s="22" t="s">
        <v>26</v>
      </c>
      <c r="E92" s="22" t="s">
        <v>90</v>
      </c>
      <c r="F92" s="20">
        <v>1.96</v>
      </c>
      <c r="G92" s="39">
        <v>1.7999999999999999E-2</v>
      </c>
      <c r="H92" s="39">
        <v>3.8E-3</v>
      </c>
      <c r="I92" s="39">
        <v>2.4189052298800402E-3</v>
      </c>
      <c r="J92" s="27">
        <v>0.09</v>
      </c>
      <c r="K92" s="27">
        <v>5.01E-11</v>
      </c>
      <c r="L92" s="27">
        <v>1.1000000000000001E-3</v>
      </c>
      <c r="M92" s="145">
        <f>'Parameters, country spec'!I23</f>
        <v>2.8712859930884239E-3</v>
      </c>
    </row>
    <row r="93" spans="1:13" x14ac:dyDescent="0.25">
      <c r="A93" s="21" t="s">
        <v>407</v>
      </c>
      <c r="B93" s="16" t="s">
        <v>192</v>
      </c>
      <c r="C93" s="16" t="s">
        <v>404</v>
      </c>
      <c r="D93" s="22" t="s">
        <v>26</v>
      </c>
      <c r="E93" s="22" t="s">
        <v>90</v>
      </c>
      <c r="F93" s="20">
        <v>2.85</v>
      </c>
      <c r="G93" s="39">
        <v>1.6E-2</v>
      </c>
      <c r="H93" s="39">
        <v>1.1999999999999999E-3</v>
      </c>
      <c r="I93" s="39">
        <v>0</v>
      </c>
      <c r="J93" s="27">
        <v>0</v>
      </c>
      <c r="K93" s="27">
        <v>7.2700000000000005E-11</v>
      </c>
      <c r="L93" s="27">
        <v>9.68E-4</v>
      </c>
      <c r="M93" s="145">
        <f>'Parameters, country spec'!I24</f>
        <v>1.0804608698251197E-2</v>
      </c>
    </row>
    <row r="94" spans="1:13" x14ac:dyDescent="0.25">
      <c r="A94" s="21" t="s">
        <v>408</v>
      </c>
      <c r="B94" s="16" t="s">
        <v>193</v>
      </c>
      <c r="C94" s="16" t="s">
        <v>404</v>
      </c>
      <c r="D94" s="22" t="s">
        <v>26</v>
      </c>
      <c r="E94" s="22" t="s">
        <v>90</v>
      </c>
      <c r="F94" s="20">
        <v>1.1499999999999999</v>
      </c>
      <c r="G94" s="39">
        <v>2.4E-2</v>
      </c>
      <c r="H94" s="39">
        <v>2.2000000000000001E-3</v>
      </c>
      <c r="I94" s="39">
        <v>0</v>
      </c>
      <c r="J94" s="27">
        <v>0.26</v>
      </c>
      <c r="K94" s="27">
        <v>2.92E-11</v>
      </c>
      <c r="L94" s="27">
        <v>1.4300000000000001E-3</v>
      </c>
      <c r="M94" s="145">
        <f>'Parameters, country spec'!I25</f>
        <v>0.295775529852283</v>
      </c>
    </row>
    <row r="95" spans="1:13" x14ac:dyDescent="0.25">
      <c r="A95" s="21" t="s">
        <v>409</v>
      </c>
      <c r="B95" s="16" t="s">
        <v>194</v>
      </c>
      <c r="C95" s="16" t="s">
        <v>410</v>
      </c>
      <c r="D95" s="22" t="s">
        <v>26</v>
      </c>
      <c r="E95" s="22" t="s">
        <v>90</v>
      </c>
      <c r="F95" s="20">
        <v>2</v>
      </c>
      <c r="G95" s="39">
        <v>1.2999999999999999E-2</v>
      </c>
      <c r="H95" s="39">
        <v>1.6999999999999999E-3</v>
      </c>
      <c r="I95" s="39">
        <v>0</v>
      </c>
      <c r="J95" s="27">
        <v>1.01</v>
      </c>
      <c r="K95" s="27">
        <v>5.0999999999999998E-11</v>
      </c>
      <c r="L95" s="27">
        <v>0</v>
      </c>
      <c r="M95" s="145">
        <f>'Parameters, country spec'!I26</f>
        <v>0</v>
      </c>
    </row>
    <row r="96" spans="1:13" x14ac:dyDescent="0.25">
      <c r="A96" s="21" t="s">
        <v>411</v>
      </c>
      <c r="B96" s="16" t="s">
        <v>195</v>
      </c>
      <c r="C96" s="16" t="s">
        <v>410</v>
      </c>
      <c r="D96" s="22" t="s">
        <v>26</v>
      </c>
      <c r="E96" s="22" t="s">
        <v>90</v>
      </c>
      <c r="F96" s="20">
        <v>2</v>
      </c>
      <c r="G96" s="39">
        <v>6.0000000000000001E-3</v>
      </c>
      <c r="H96" s="39">
        <v>2E-3</v>
      </c>
      <c r="I96" s="39">
        <v>0</v>
      </c>
      <c r="J96" s="27">
        <v>1.05</v>
      </c>
      <c r="K96" s="27">
        <v>5.1100000000000003E-11</v>
      </c>
      <c r="L96" s="27">
        <v>6.1400000000000002E-5</v>
      </c>
      <c r="M96" s="145">
        <f>'Parameters, country spec'!I27</f>
        <v>0</v>
      </c>
    </row>
    <row r="97" spans="1:13" x14ac:dyDescent="0.25">
      <c r="B97" s="17" t="s">
        <v>196</v>
      </c>
      <c r="C97" s="16" t="s">
        <v>412</v>
      </c>
      <c r="D97" s="22" t="s">
        <v>460</v>
      </c>
      <c r="E97" s="22"/>
      <c r="F97" s="18">
        <f>'Off-farm feed'!$F$88</f>
        <v>1.5397450382845088</v>
      </c>
      <c r="G97" s="19">
        <f>'Off-farm feed'!$G$88</f>
        <v>4.1115595157230206E-2</v>
      </c>
      <c r="H97" s="19">
        <f>'Off-farm feed'!$H$88</f>
        <v>4.4751668198345796E-3</v>
      </c>
      <c r="I97" s="19">
        <f>'Off-farm feed'!$I$88</f>
        <v>2.5747126436781614E-3</v>
      </c>
      <c r="J97" s="18">
        <f>'Off-farm feed'!$J$88</f>
        <v>0.29368572248181501</v>
      </c>
      <c r="K97" s="28">
        <f>'Off-farm feed'!$K$88</f>
        <v>1.777473414827503E-10</v>
      </c>
      <c r="L97" s="28">
        <f>'Off-farm feed'!$L$88</f>
        <v>2.4996062723023757E-3</v>
      </c>
      <c r="M97" s="145">
        <f>'Parameters, country spec'!I28</f>
        <v>0.12265283909261471</v>
      </c>
    </row>
    <row r="98" spans="1:13" x14ac:dyDescent="0.25">
      <c r="B98" s="17" t="s">
        <v>413</v>
      </c>
      <c r="C98" s="16" t="s">
        <v>412</v>
      </c>
      <c r="D98" s="22" t="s">
        <v>437</v>
      </c>
      <c r="E98" s="22"/>
      <c r="F98" s="18">
        <f>'Off-farm feed'!$F$36</f>
        <v>2.5509164954964132</v>
      </c>
      <c r="G98" s="19">
        <f>'Off-farm feed'!$G$36</f>
        <v>4.2620923125915477E-2</v>
      </c>
      <c r="H98" s="19">
        <f>'Off-farm feed'!$H$36</f>
        <v>3.2959349471355036E-3</v>
      </c>
      <c r="I98" s="19">
        <f>'Off-farm feed'!$I$36</f>
        <v>2.3780487804878048E-3</v>
      </c>
      <c r="J98" s="18">
        <f>'Off-farm feed'!$J$36</f>
        <v>0.25920846302270939</v>
      </c>
      <c r="K98" s="28">
        <f>'Off-farm feed'!$K$36</f>
        <v>6.1197957373175144E-10</v>
      </c>
      <c r="L98" s="28">
        <f>'Off-farm feed'!$L$36</f>
        <v>1.0450321677831981E-4</v>
      </c>
      <c r="M98" s="145">
        <f>'Parameters, country spec'!I29</f>
        <v>0.15840014745626804</v>
      </c>
    </row>
    <row r="99" spans="1:13" x14ac:dyDescent="0.25">
      <c r="B99" s="16" t="s">
        <v>198</v>
      </c>
      <c r="C99" s="16" t="s">
        <v>414</v>
      </c>
      <c r="D99" s="22" t="s">
        <v>26</v>
      </c>
      <c r="E99" s="22" t="s">
        <v>90</v>
      </c>
      <c r="F99" s="102"/>
      <c r="G99" s="103"/>
      <c r="H99" s="103"/>
      <c r="I99" s="103"/>
      <c r="J99" s="110"/>
      <c r="K99" s="110"/>
      <c r="L99" s="110"/>
      <c r="M99" s="145">
        <f>'Parameters, country spec'!I30</f>
        <v>1.7258350982780408E-2</v>
      </c>
    </row>
    <row r="100" spans="1:13" x14ac:dyDescent="0.25">
      <c r="A100" s="80"/>
      <c r="B100" s="16" t="s">
        <v>415</v>
      </c>
      <c r="C100" s="81" t="s">
        <v>416</v>
      </c>
      <c r="D100" s="22" t="s">
        <v>26</v>
      </c>
      <c r="E100" s="22" t="s">
        <v>90</v>
      </c>
      <c r="F100" s="104">
        <f t="shared" ref="F100:L100" si="7">AVERAGE(F90:F98)</f>
        <v>1.8445179481978802</v>
      </c>
      <c r="G100" s="104">
        <f t="shared" si="7"/>
        <v>2.2415168698127302E-2</v>
      </c>
      <c r="H100" s="104">
        <f t="shared" si="7"/>
        <v>3.0412335296633422E-3</v>
      </c>
      <c r="I100" s="104">
        <f t="shared" si="7"/>
        <v>2.6269890096407562E-3</v>
      </c>
      <c r="J100" s="162">
        <f t="shared" si="7"/>
        <v>0.46809935394494712</v>
      </c>
      <c r="K100" s="162">
        <f t="shared" si="7"/>
        <v>1.2320299057938908E-10</v>
      </c>
      <c r="L100" s="162">
        <f t="shared" si="7"/>
        <v>9.5816772100896597E-4</v>
      </c>
      <c r="M100" s="145">
        <f>'Parameters, country spec'!I31</f>
        <v>4.230959682913802E-2</v>
      </c>
    </row>
    <row r="101" spans="1:13" x14ac:dyDescent="0.25">
      <c r="A101" s="144"/>
      <c r="B101" s="24" t="s">
        <v>417</v>
      </c>
      <c r="C101" s="25"/>
      <c r="D101" s="99"/>
      <c r="E101" s="99"/>
      <c r="F101" s="29">
        <f>SUMPRODUCT(F90:F100,M90:M100)</f>
        <v>1.4595357164909981</v>
      </c>
      <c r="G101" s="29">
        <f>SUMPRODUCT(G90:G100,M90:M100)</f>
        <v>2.715161618448882E-2</v>
      </c>
      <c r="H101" s="29">
        <f>SUMPRODUCT(H90:H100,M90:M100)</f>
        <v>3.615289175733765E-3</v>
      </c>
      <c r="I101" s="26">
        <f>SUMPRODUCT(I90:I100,M90:M100)</f>
        <v>5.0820244602950712E-3</v>
      </c>
      <c r="J101" s="29">
        <f>SUMPRODUCT(J90:J100,M90:M100)</f>
        <v>0.44790760255925849</v>
      </c>
      <c r="K101" s="29">
        <f>SUMPRODUCT(K90:K100,M90:M100)</f>
        <v>1.4403217233187231E-10</v>
      </c>
      <c r="L101" s="29">
        <f>SUMPRODUCT(L90:L100,M90:M100)</f>
        <v>1.2271620310048692E-3</v>
      </c>
      <c r="M101" s="146"/>
    </row>
    <row r="102" spans="1:13" x14ac:dyDescent="0.25">
      <c r="A102" s="21" t="s">
        <v>403</v>
      </c>
      <c r="B102" s="16" t="s">
        <v>187</v>
      </c>
      <c r="C102" s="16" t="s">
        <v>404</v>
      </c>
      <c r="D102" s="22" t="s">
        <v>29</v>
      </c>
      <c r="E102" s="22" t="s">
        <v>91</v>
      </c>
      <c r="F102" s="23">
        <v>2.64</v>
      </c>
      <c r="G102" s="39">
        <v>2.1000000000000001E-2</v>
      </c>
      <c r="H102" s="39">
        <v>3.0999999999999999E-3</v>
      </c>
      <c r="I102" s="39">
        <v>0</v>
      </c>
      <c r="J102" s="27">
        <v>0.23</v>
      </c>
      <c r="K102" s="27">
        <v>1.2E-10</v>
      </c>
      <c r="L102" s="27">
        <v>1.25E-3</v>
      </c>
      <c r="M102" s="145">
        <f>'Parameters, country spec'!J21</f>
        <v>0.16330174178855722</v>
      </c>
    </row>
    <row r="103" spans="1:13" x14ac:dyDescent="0.25">
      <c r="A103" s="21" t="s">
        <v>405</v>
      </c>
      <c r="B103" s="16" t="s">
        <v>189</v>
      </c>
      <c r="C103" s="16" t="s">
        <v>404</v>
      </c>
      <c r="D103" s="22" t="s">
        <v>29</v>
      </c>
      <c r="E103" s="22" t="s">
        <v>91</v>
      </c>
      <c r="F103" s="20">
        <v>1.52</v>
      </c>
      <c r="G103" s="39">
        <v>0.02</v>
      </c>
      <c r="H103" s="39">
        <v>5.5999999999999999E-3</v>
      </c>
      <c r="I103" s="39">
        <v>3.7403547823840698E-3</v>
      </c>
      <c r="J103" s="27">
        <v>0.13</v>
      </c>
      <c r="K103" s="27">
        <v>6.8700000000000006E-11</v>
      </c>
      <c r="L103" s="27">
        <v>1.2099999999999999E-3</v>
      </c>
      <c r="M103" s="145">
        <f>'Parameters, country spec'!J22</f>
        <v>0.22370545528493602</v>
      </c>
    </row>
    <row r="104" spans="1:13" x14ac:dyDescent="0.25">
      <c r="A104" s="21" t="s">
        <v>406</v>
      </c>
      <c r="B104" s="16" t="s">
        <v>191</v>
      </c>
      <c r="C104" s="16" t="s">
        <v>404</v>
      </c>
      <c r="D104" s="22" t="s">
        <v>29</v>
      </c>
      <c r="E104" s="22" t="s">
        <v>91</v>
      </c>
      <c r="F104" s="20">
        <v>3.56</v>
      </c>
      <c r="G104" s="39">
        <v>1.7999999999999999E-2</v>
      </c>
      <c r="H104" s="39">
        <v>3.8E-3</v>
      </c>
      <c r="I104" s="39">
        <v>8.19041835426825E-4</v>
      </c>
      <c r="J104" s="27">
        <v>0.14000000000000001</v>
      </c>
      <c r="K104" s="27">
        <v>1.6100000000000001E-10</v>
      </c>
      <c r="L104" s="27">
        <v>1.1000000000000001E-3</v>
      </c>
      <c r="M104" s="145">
        <f>'Parameters, country spec'!J23</f>
        <v>4.8907896416157566E-3</v>
      </c>
    </row>
    <row r="105" spans="1:13" x14ac:dyDescent="0.25">
      <c r="A105" s="21" t="s">
        <v>407</v>
      </c>
      <c r="B105" s="16" t="s">
        <v>192</v>
      </c>
      <c r="C105" s="16" t="s">
        <v>404</v>
      </c>
      <c r="D105" s="22" t="s">
        <v>29</v>
      </c>
      <c r="E105" s="22" t="s">
        <v>91</v>
      </c>
      <c r="F105" s="20">
        <v>3.38</v>
      </c>
      <c r="G105" s="39">
        <v>1.6E-2</v>
      </c>
      <c r="H105" s="39">
        <v>1.1999999999999999E-3</v>
      </c>
      <c r="I105" s="39">
        <v>1.87956044751104E-4</v>
      </c>
      <c r="J105" s="27">
        <v>7.0000000000000007E-2</v>
      </c>
      <c r="K105" s="27">
        <v>1.5299999999999999E-10</v>
      </c>
      <c r="L105" s="27">
        <v>9.68E-4</v>
      </c>
      <c r="M105" s="145">
        <f>'Parameters, country spec'!J24</f>
        <v>6.3855774971504811E-2</v>
      </c>
    </row>
    <row r="106" spans="1:13" x14ac:dyDescent="0.25">
      <c r="A106" s="21" t="s">
        <v>408</v>
      </c>
      <c r="B106" s="16" t="s">
        <v>193</v>
      </c>
      <c r="C106" s="16" t="s">
        <v>404</v>
      </c>
      <c r="D106" s="22" t="s">
        <v>29</v>
      </c>
      <c r="E106" s="22" t="s">
        <v>91</v>
      </c>
      <c r="F106" s="20">
        <v>2.14</v>
      </c>
      <c r="G106" s="39">
        <v>2.4E-2</v>
      </c>
      <c r="H106" s="39">
        <v>2.2000000000000001E-3</v>
      </c>
      <c r="I106" s="39">
        <v>3.9847055114357799E-4</v>
      </c>
      <c r="J106" s="27">
        <v>0.25</v>
      </c>
      <c r="K106" s="27">
        <v>9.6800000000000004E-11</v>
      </c>
      <c r="L106" s="27">
        <v>1.4300000000000001E-3</v>
      </c>
      <c r="M106" s="145">
        <f>'Parameters, country spec'!J25</f>
        <v>0.25675160576024147</v>
      </c>
    </row>
    <row r="107" spans="1:13" x14ac:dyDescent="0.25">
      <c r="A107" s="21" t="s">
        <v>409</v>
      </c>
      <c r="B107" s="16" t="s">
        <v>194</v>
      </c>
      <c r="C107" s="16" t="s">
        <v>410</v>
      </c>
      <c r="D107" s="22" t="s">
        <v>29</v>
      </c>
      <c r="E107" s="22" t="s">
        <v>91</v>
      </c>
      <c r="F107" s="20">
        <v>4.8600000000000003</v>
      </c>
      <c r="G107" s="39">
        <v>3.1E-2</v>
      </c>
      <c r="H107" s="39">
        <v>1.6999999999999999E-3</v>
      </c>
      <c r="I107" s="39">
        <v>0</v>
      </c>
      <c r="J107" s="27">
        <v>1.01</v>
      </c>
      <c r="K107" s="27">
        <v>2.1999999999999999E-10</v>
      </c>
      <c r="L107" s="27">
        <v>0</v>
      </c>
      <c r="M107" s="145">
        <f>'Parameters, country spec'!J26</f>
        <v>4.3260384773615755E-3</v>
      </c>
    </row>
    <row r="108" spans="1:13" x14ac:dyDescent="0.25">
      <c r="A108" s="21" t="s">
        <v>411</v>
      </c>
      <c r="B108" s="16" t="s">
        <v>195</v>
      </c>
      <c r="C108" s="16" t="s">
        <v>410</v>
      </c>
      <c r="D108" s="22" t="s">
        <v>29</v>
      </c>
      <c r="E108" s="22" t="s">
        <v>91</v>
      </c>
      <c r="F108" s="20">
        <v>3.93</v>
      </c>
      <c r="G108" s="39">
        <v>0.01</v>
      </c>
      <c r="H108" s="39">
        <v>2E-3</v>
      </c>
      <c r="I108" s="39">
        <v>0</v>
      </c>
      <c r="J108" s="27">
        <v>1.05</v>
      </c>
      <c r="K108" s="27">
        <v>1.7800000000000001E-10</v>
      </c>
      <c r="L108" s="27">
        <v>6.1400000000000002E-5</v>
      </c>
      <c r="M108" s="145">
        <f>'Parameters, country spec'!J27</f>
        <v>4.2495953847608006E-3</v>
      </c>
    </row>
    <row r="109" spans="1:13" x14ac:dyDescent="0.25">
      <c r="B109" s="17" t="s">
        <v>196</v>
      </c>
      <c r="C109" s="16" t="s">
        <v>412</v>
      </c>
      <c r="D109" s="22" t="s">
        <v>460</v>
      </c>
      <c r="E109" s="22"/>
      <c r="F109" s="18">
        <f>'Off-farm feed'!$F$88</f>
        <v>1.5397450382845088</v>
      </c>
      <c r="G109" s="19">
        <f>'Off-farm feed'!$G$88</f>
        <v>4.1115595157230206E-2</v>
      </c>
      <c r="H109" s="19">
        <f>'Off-farm feed'!$H$88</f>
        <v>4.4751668198345796E-3</v>
      </c>
      <c r="I109" s="19">
        <f>'Off-farm feed'!$I$88</f>
        <v>2.5747126436781614E-3</v>
      </c>
      <c r="J109" s="18">
        <f>'Off-farm feed'!$J$88</f>
        <v>0.29368572248181501</v>
      </c>
      <c r="K109" s="28">
        <f>'Off-farm feed'!$K$88</f>
        <v>1.777473414827503E-10</v>
      </c>
      <c r="L109" s="28">
        <f>'Off-farm feed'!$L$88</f>
        <v>2.4996062723023757E-3</v>
      </c>
      <c r="M109" s="145">
        <f>'Parameters, country spec'!J28</f>
        <v>3.1180103544946641E-2</v>
      </c>
    </row>
    <row r="110" spans="1:13" x14ac:dyDescent="0.25">
      <c r="B110" s="17" t="s">
        <v>413</v>
      </c>
      <c r="C110" s="16" t="s">
        <v>412</v>
      </c>
      <c r="D110" s="22" t="s">
        <v>437</v>
      </c>
      <c r="E110" s="22"/>
      <c r="F110" s="18">
        <f>'Off-farm feed'!$F$36</f>
        <v>2.5509164954964132</v>
      </c>
      <c r="G110" s="19">
        <f>'Off-farm feed'!$G$36</f>
        <v>4.2620923125915477E-2</v>
      </c>
      <c r="H110" s="19">
        <f>'Off-farm feed'!$H$36</f>
        <v>3.2959349471355036E-3</v>
      </c>
      <c r="I110" s="19">
        <f>'Off-farm feed'!$I$36</f>
        <v>2.3780487804878048E-3</v>
      </c>
      <c r="J110" s="18">
        <f>'Off-farm feed'!$J$36</f>
        <v>0.25920846302270939</v>
      </c>
      <c r="K110" s="28">
        <f>'Off-farm feed'!$K$36</f>
        <v>6.1197957373175144E-10</v>
      </c>
      <c r="L110" s="28">
        <f>'Off-farm feed'!$L$36</f>
        <v>1.0450321677831981E-4</v>
      </c>
      <c r="M110" s="145">
        <f>'Parameters, country spec'!J29</f>
        <v>0.10875512574448185</v>
      </c>
    </row>
    <row r="111" spans="1:13" x14ac:dyDescent="0.25">
      <c r="B111" s="16" t="s">
        <v>198</v>
      </c>
      <c r="C111" s="16" t="s">
        <v>414</v>
      </c>
      <c r="D111" s="22" t="s">
        <v>29</v>
      </c>
      <c r="E111" s="22" t="s">
        <v>91</v>
      </c>
      <c r="F111" s="102"/>
      <c r="G111" s="103"/>
      <c r="H111" s="103"/>
      <c r="I111" s="103"/>
      <c r="J111" s="110"/>
      <c r="K111" s="110"/>
      <c r="L111" s="110"/>
      <c r="M111" s="145">
        <f>'Parameters, country spec'!J30</f>
        <v>5.3222180084939459E-2</v>
      </c>
    </row>
    <row r="112" spans="1:13" x14ac:dyDescent="0.25">
      <c r="A112" s="80"/>
      <c r="B112" s="16" t="s">
        <v>415</v>
      </c>
      <c r="C112" s="81" t="s">
        <v>416</v>
      </c>
      <c r="D112" s="22" t="s">
        <v>29</v>
      </c>
      <c r="E112" s="22" t="s">
        <v>91</v>
      </c>
      <c r="F112" s="104">
        <f t="shared" ref="F112:L112" si="8">AVERAGE(F102:F110)</f>
        <v>2.9022957259756579</v>
      </c>
      <c r="G112" s="104">
        <f t="shared" si="8"/>
        <v>2.4859613142571745E-2</v>
      </c>
      <c r="H112" s="104">
        <f t="shared" si="8"/>
        <v>3.0412335296633422E-3</v>
      </c>
      <c r="I112" s="104">
        <f t="shared" si="8"/>
        <v>1.1220649597635047E-3</v>
      </c>
      <c r="J112" s="162">
        <f t="shared" si="8"/>
        <v>0.38143268727828045</v>
      </c>
      <c r="K112" s="162">
        <f t="shared" si="8"/>
        <v>1.9858076835716685E-10</v>
      </c>
      <c r="L112" s="162">
        <f t="shared" si="8"/>
        <v>9.5816772100896597E-4</v>
      </c>
      <c r="M112" s="145">
        <f>'Parameters, country spec'!J31</f>
        <v>8.5761589316654452E-2</v>
      </c>
    </row>
    <row r="113" spans="1:13" x14ac:dyDescent="0.25">
      <c r="A113" s="144"/>
      <c r="B113" s="24" t="s">
        <v>417</v>
      </c>
      <c r="C113" s="25"/>
      <c r="D113" s="99"/>
      <c r="E113" s="99"/>
      <c r="F113" s="29">
        <f>SUMPRODUCT(F102:F112,M102:M112)</f>
        <v>2.1659066621562562</v>
      </c>
      <c r="G113" s="29">
        <f>SUMPRODUCT(G102:G112,M102:M112)</f>
        <v>2.3401046282366715E-2</v>
      </c>
      <c r="H113" s="29">
        <f>SUMPRODUCT(H102:H112,M102:M112)</f>
        <v>3.1937118740294145E-3</v>
      </c>
      <c r="I113" s="26">
        <f>SUMPRODUCT(I102:I112,M102:M112)</f>
        <v>1.3901884388402919E-3</v>
      </c>
      <c r="J113" s="29">
        <f>SUMPRODUCT(J102:J112,M102:M112)</f>
        <v>0.21487467375746766</v>
      </c>
      <c r="K113" s="29">
        <f>SUMPRODUCT(K102:K112,M102:M112)</f>
        <v>1.6121253468529591E-10</v>
      </c>
      <c r="L113" s="29">
        <f>SUMPRODUCT(L102:L112,M102:M112)</f>
        <v>1.0808959877614938E-3</v>
      </c>
      <c r="M113" s="146"/>
    </row>
    <row r="114" spans="1:13" x14ac:dyDescent="0.25">
      <c r="A114" s="21" t="s">
        <v>403</v>
      </c>
      <c r="B114" s="16" t="s">
        <v>187</v>
      </c>
      <c r="C114" s="16" t="s">
        <v>404</v>
      </c>
      <c r="D114" s="22" t="s">
        <v>33</v>
      </c>
      <c r="E114" s="22" t="s">
        <v>92</v>
      </c>
      <c r="F114" s="23">
        <v>3</v>
      </c>
      <c r="G114" s="39">
        <v>2.1000000000000001E-2</v>
      </c>
      <c r="H114" s="39">
        <v>3.0999999999999999E-3</v>
      </c>
      <c r="I114" s="39">
        <v>8.3690230745484803E-2</v>
      </c>
      <c r="J114" s="27">
        <v>0.16</v>
      </c>
      <c r="K114" s="27">
        <v>5.8500000000000003E-9</v>
      </c>
      <c r="L114" s="27">
        <v>1.25E-3</v>
      </c>
      <c r="M114" s="145">
        <f>'Parameters, country spec'!K21</f>
        <v>0.22020467449872944</v>
      </c>
    </row>
    <row r="115" spans="1:13" x14ac:dyDescent="0.25">
      <c r="A115" s="21" t="s">
        <v>405</v>
      </c>
      <c r="B115" s="16" t="s">
        <v>189</v>
      </c>
      <c r="C115" s="16" t="s">
        <v>404</v>
      </c>
      <c r="D115" s="22" t="s">
        <v>33</v>
      </c>
      <c r="E115" s="22" t="s">
        <v>92</v>
      </c>
      <c r="F115" s="20">
        <v>0.83</v>
      </c>
      <c r="G115" s="39">
        <v>0.02</v>
      </c>
      <c r="H115" s="39">
        <v>5.5999999999999999E-3</v>
      </c>
      <c r="I115" s="39">
        <v>0.40567118436717697</v>
      </c>
      <c r="J115" s="27">
        <v>0.05</v>
      </c>
      <c r="K115" s="27">
        <v>1.63E-9</v>
      </c>
      <c r="L115" s="27">
        <v>1.2099999999999999E-3</v>
      </c>
      <c r="M115" s="145">
        <f>'Parameters, country spec'!K22</f>
        <v>0.29043024005341855</v>
      </c>
    </row>
    <row r="116" spans="1:13" x14ac:dyDescent="0.25">
      <c r="A116" s="21" t="s">
        <v>406</v>
      </c>
      <c r="B116" s="16" t="s">
        <v>191</v>
      </c>
      <c r="C116" s="16" t="s">
        <v>404</v>
      </c>
      <c r="D116" s="22" t="s">
        <v>33</v>
      </c>
      <c r="E116" s="22" t="s">
        <v>92</v>
      </c>
      <c r="F116" s="20">
        <v>4.45</v>
      </c>
      <c r="G116" s="39">
        <v>1.7999999999999999E-2</v>
      </c>
      <c r="H116" s="39">
        <v>3.8E-3</v>
      </c>
      <c r="I116" s="39">
        <v>1.28183392190184</v>
      </c>
      <c r="J116" s="27">
        <v>0</v>
      </c>
      <c r="K116" s="27">
        <v>8.6900000000000004E-9</v>
      </c>
      <c r="L116" s="27">
        <v>1.1000000000000001E-3</v>
      </c>
      <c r="M116" s="145">
        <f>'Parameters, country spec'!K23</f>
        <v>3.4333767030039916E-2</v>
      </c>
    </row>
    <row r="117" spans="1:13" x14ac:dyDescent="0.25">
      <c r="A117" s="21" t="s">
        <v>407</v>
      </c>
      <c r="B117" s="16" t="s">
        <v>192</v>
      </c>
      <c r="C117" s="16" t="s">
        <v>404</v>
      </c>
      <c r="D117" s="22" t="s">
        <v>33</v>
      </c>
      <c r="E117" s="22" t="s">
        <v>92</v>
      </c>
      <c r="F117" s="20">
        <v>4.24</v>
      </c>
      <c r="G117" s="39">
        <v>1.6E-2</v>
      </c>
      <c r="H117" s="39">
        <v>1.1999999999999999E-3</v>
      </c>
      <c r="I117" s="39">
        <v>0</v>
      </c>
      <c r="J117" s="27">
        <v>0</v>
      </c>
      <c r="K117" s="27">
        <v>8.2800000000000004E-9</v>
      </c>
      <c r="L117" s="27">
        <v>9.68E-4</v>
      </c>
      <c r="M117" s="145">
        <f>'Parameters, country spec'!K24</f>
        <v>9.062638357287928E-3</v>
      </c>
    </row>
    <row r="118" spans="1:13" x14ac:dyDescent="0.25">
      <c r="A118" s="21" t="s">
        <v>408</v>
      </c>
      <c r="B118" s="16" t="s">
        <v>193</v>
      </c>
      <c r="C118" s="16" t="s">
        <v>404</v>
      </c>
      <c r="D118" s="22" t="s">
        <v>33</v>
      </c>
      <c r="E118" s="22" t="s">
        <v>92</v>
      </c>
      <c r="F118" s="20">
        <v>2.81</v>
      </c>
      <c r="G118" s="39">
        <v>2.4E-2</v>
      </c>
      <c r="H118" s="39">
        <v>2.2000000000000001E-3</v>
      </c>
      <c r="I118" s="39">
        <v>4.7600961702642601E-2</v>
      </c>
      <c r="J118" s="27">
        <v>0.22</v>
      </c>
      <c r="K118" s="27">
        <v>5.4899999999999999E-9</v>
      </c>
      <c r="L118" s="27">
        <v>1.4300000000000001E-3</v>
      </c>
      <c r="M118" s="145">
        <f>'Parameters, country spec'!K25</f>
        <v>0.18653591098002148</v>
      </c>
    </row>
    <row r="119" spans="1:13" x14ac:dyDescent="0.25">
      <c r="A119" s="21" t="s">
        <v>409</v>
      </c>
      <c r="B119" s="16" t="s">
        <v>194</v>
      </c>
      <c r="C119" s="16" t="s">
        <v>410</v>
      </c>
      <c r="D119" s="22" t="s">
        <v>33</v>
      </c>
      <c r="E119" s="22" t="s">
        <v>92</v>
      </c>
      <c r="F119" s="20">
        <v>6.68</v>
      </c>
      <c r="G119" s="39">
        <v>4.2000000000000003E-2</v>
      </c>
      <c r="H119" s="39">
        <v>1.6999999999999999E-3</v>
      </c>
      <c r="I119" s="39">
        <v>9.3072167504476194E-2</v>
      </c>
      <c r="J119" s="27">
        <v>0.49</v>
      </c>
      <c r="K119" s="27">
        <v>1.3000000000000001E-8</v>
      </c>
      <c r="L119" s="27">
        <v>0</v>
      </c>
      <c r="M119" s="145">
        <f>'Parameters, country spec'!K26</f>
        <v>6.7614174404510841E-3</v>
      </c>
    </row>
    <row r="120" spans="1:13" x14ac:dyDescent="0.25">
      <c r="A120" s="21" t="s">
        <v>411</v>
      </c>
      <c r="B120" s="16" t="s">
        <v>195</v>
      </c>
      <c r="C120" s="16" t="s">
        <v>410</v>
      </c>
      <c r="D120" s="22" t="s">
        <v>33</v>
      </c>
      <c r="E120" s="22" t="s">
        <v>92</v>
      </c>
      <c r="F120" s="20">
        <v>7.73</v>
      </c>
      <c r="G120" s="39">
        <v>0.02</v>
      </c>
      <c r="H120" s="39">
        <v>2E-3</v>
      </c>
      <c r="I120" s="39">
        <v>0.14428759821834899</v>
      </c>
      <c r="J120" s="27">
        <v>1.05</v>
      </c>
      <c r="K120" s="27">
        <v>1.51E-8</v>
      </c>
      <c r="L120" s="27">
        <v>6.1400000000000002E-5</v>
      </c>
      <c r="M120" s="145">
        <f>'Parameters, country spec'!K27</f>
        <v>6.6419400786463401E-3</v>
      </c>
    </row>
    <row r="121" spans="1:13" x14ac:dyDescent="0.25">
      <c r="B121" s="17" t="s">
        <v>196</v>
      </c>
      <c r="C121" s="16" t="s">
        <v>412</v>
      </c>
      <c r="D121" s="22" t="s">
        <v>460</v>
      </c>
      <c r="E121" s="22"/>
      <c r="F121" s="18">
        <f>'Off-farm feed'!$F$88</f>
        <v>1.5397450382845088</v>
      </c>
      <c r="G121" s="19">
        <f>'Off-farm feed'!$G$88</f>
        <v>4.1115595157230206E-2</v>
      </c>
      <c r="H121" s="19">
        <f>'Off-farm feed'!$H$88</f>
        <v>4.4751668198345796E-3</v>
      </c>
      <c r="I121" s="19">
        <f>'Off-farm feed'!$I$88</f>
        <v>2.5747126436781614E-3</v>
      </c>
      <c r="J121" s="18">
        <f>'Off-farm feed'!$J$88</f>
        <v>0.29368572248181501</v>
      </c>
      <c r="K121" s="28">
        <f>'Off-farm feed'!$K$88</f>
        <v>1.777473414827503E-10</v>
      </c>
      <c r="L121" s="28">
        <f>'Off-farm feed'!$L$88</f>
        <v>2.4996062723023757E-3</v>
      </c>
      <c r="M121" s="145">
        <f>'Parameters, country spec'!K28</f>
        <v>1.9581705928834556E-2</v>
      </c>
    </row>
    <row r="122" spans="1:13" x14ac:dyDescent="0.25">
      <c r="B122" s="17" t="s">
        <v>413</v>
      </c>
      <c r="C122" s="16" t="s">
        <v>412</v>
      </c>
      <c r="D122" s="22" t="s">
        <v>437</v>
      </c>
      <c r="E122" s="22"/>
      <c r="F122" s="18">
        <f>'Off-farm feed'!$F$36</f>
        <v>2.5509164954964132</v>
      </c>
      <c r="G122" s="19">
        <f>'Off-farm feed'!$G$36</f>
        <v>4.2620923125915477E-2</v>
      </c>
      <c r="H122" s="19">
        <f>'Off-farm feed'!$H$36</f>
        <v>3.2959349471355036E-3</v>
      </c>
      <c r="I122" s="19">
        <f>'Off-farm feed'!$I$36</f>
        <v>2.3780487804878048E-3</v>
      </c>
      <c r="J122" s="18">
        <f>'Off-farm feed'!$J$36</f>
        <v>0.25920846302270939</v>
      </c>
      <c r="K122" s="28">
        <f>'Off-farm feed'!$K$36</f>
        <v>6.1197957373175144E-10</v>
      </c>
      <c r="L122" s="28">
        <f>'Off-farm feed'!$L$36</f>
        <v>1.0450321677831981E-4</v>
      </c>
      <c r="M122" s="145">
        <f>'Parameters, country spec'!K29</f>
        <v>0.16739124532505686</v>
      </c>
    </row>
    <row r="123" spans="1:13" x14ac:dyDescent="0.25">
      <c r="B123" s="16" t="s">
        <v>198</v>
      </c>
      <c r="C123" s="16" t="s">
        <v>414</v>
      </c>
      <c r="D123" s="22" t="s">
        <v>33</v>
      </c>
      <c r="E123" s="22" t="s">
        <v>92</v>
      </c>
      <c r="F123" s="102"/>
      <c r="G123" s="103"/>
      <c r="H123" s="103"/>
      <c r="I123" s="103"/>
      <c r="J123" s="110"/>
      <c r="K123" s="110"/>
      <c r="L123" s="110"/>
      <c r="M123" s="145">
        <f>'Parameters, country spec'!K30</f>
        <v>2.5717267166106915E-2</v>
      </c>
    </row>
    <row r="124" spans="1:13" x14ac:dyDescent="0.25">
      <c r="A124" s="80"/>
      <c r="B124" s="16" t="s">
        <v>415</v>
      </c>
      <c r="C124" s="81" t="s">
        <v>416</v>
      </c>
      <c r="D124" s="22" t="s">
        <v>33</v>
      </c>
      <c r="E124" s="22" t="s">
        <v>92</v>
      </c>
      <c r="F124" s="104">
        <f t="shared" ref="F124:L124" si="9">AVERAGE(F114:F122)</f>
        <v>3.7589623926423252</v>
      </c>
      <c r="G124" s="104">
        <f t="shared" si="9"/>
        <v>2.7192946475905075E-2</v>
      </c>
      <c r="H124" s="104">
        <f t="shared" si="9"/>
        <v>3.0412335296633422E-3</v>
      </c>
      <c r="I124" s="104">
        <f t="shared" si="9"/>
        <v>0.22901209176268175</v>
      </c>
      <c r="J124" s="162">
        <f t="shared" si="9"/>
        <v>0.28032157616716941</v>
      </c>
      <c r="K124" s="162">
        <f t="shared" si="9"/>
        <v>6.5366363239127219E-9</v>
      </c>
      <c r="L124" s="162">
        <f t="shared" si="9"/>
        <v>9.5816772100896597E-4</v>
      </c>
      <c r="M124" s="145">
        <f>'Parameters, country spec'!K31</f>
        <v>3.3339193141406827E-2</v>
      </c>
    </row>
    <row r="125" spans="1:13" x14ac:dyDescent="0.25">
      <c r="A125" s="144"/>
      <c r="B125" s="24" t="s">
        <v>417</v>
      </c>
      <c r="C125" s="25"/>
      <c r="D125" s="99"/>
      <c r="E125" s="99"/>
      <c r="F125" s="29">
        <f>SUMPRODUCT(F114:F124,M114:M124)</f>
        <v>2.2960290444891447</v>
      </c>
      <c r="G125" s="29">
        <f>SUMPRODUCT(G114:G124,M114:M124)</f>
        <v>2.4935666970443943E-2</v>
      </c>
      <c r="H125" s="29">
        <f>SUMPRODUCT(H114:H124,M114:M124)</f>
        <v>3.6262789379436435E-3</v>
      </c>
      <c r="I125" s="26">
        <f>SUMPRODUCT(I114:I124,M114:M124)</f>
        <v>0.19880884500874094</v>
      </c>
      <c r="J125" s="29">
        <f>SUMPRODUCT(J114:J124,M114:M124)</f>
        <v>0.15956508201331437</v>
      </c>
      <c r="K125" s="29">
        <f>SUMPRODUCT(K114:K124,M114:M124)</f>
        <v>3.6711183914168364E-9</v>
      </c>
      <c r="L125" s="29">
        <f>SUMPRODUCT(L114:L124,M114:M124)</f>
        <v>1.0387543963448786E-3</v>
      </c>
      <c r="M125" s="146"/>
    </row>
    <row r="126" spans="1:13" x14ac:dyDescent="0.25">
      <c r="A126" s="21" t="s">
        <v>403</v>
      </c>
      <c r="B126" s="16" t="s">
        <v>187</v>
      </c>
      <c r="C126" s="16" t="s">
        <v>404</v>
      </c>
      <c r="D126" s="22" t="s">
        <v>37</v>
      </c>
      <c r="E126" s="22" t="s">
        <v>93</v>
      </c>
      <c r="F126" s="23">
        <v>2.1800000000000002</v>
      </c>
      <c r="G126" s="39">
        <v>2.1000000000000001E-2</v>
      </c>
      <c r="H126" s="39">
        <v>1.5E-3</v>
      </c>
      <c r="I126" s="39">
        <v>0</v>
      </c>
      <c r="J126" s="27">
        <v>0.11</v>
      </c>
      <c r="K126" s="27">
        <v>1.7799999999999999E-11</v>
      </c>
      <c r="L126" s="27">
        <v>1.25E-3</v>
      </c>
      <c r="M126" s="145">
        <f>'Parameters, country spec'!L21</f>
        <v>0.26218798715146852</v>
      </c>
    </row>
    <row r="127" spans="1:13" x14ac:dyDescent="0.25">
      <c r="A127" s="21" t="s">
        <v>405</v>
      </c>
      <c r="B127" s="16" t="s">
        <v>189</v>
      </c>
      <c r="C127" s="16" t="s">
        <v>404</v>
      </c>
      <c r="D127" s="22" t="s">
        <v>37</v>
      </c>
      <c r="E127" s="22" t="s">
        <v>93</v>
      </c>
      <c r="F127" s="20">
        <v>1.51</v>
      </c>
      <c r="G127" s="39">
        <v>0.02</v>
      </c>
      <c r="H127" s="39">
        <v>5.5999999999999999E-3</v>
      </c>
      <c r="I127" s="39">
        <v>0</v>
      </c>
      <c r="J127" s="27">
        <v>0.02</v>
      </c>
      <c r="K127" s="27">
        <v>1.23E-11</v>
      </c>
      <c r="L127" s="27">
        <v>1.2099999999999999E-3</v>
      </c>
      <c r="M127" s="145">
        <f>'Parameters, country spec'!L22</f>
        <v>2.7145227912969191E-3</v>
      </c>
    </row>
    <row r="128" spans="1:13" x14ac:dyDescent="0.25">
      <c r="A128" s="21" t="s">
        <v>406</v>
      </c>
      <c r="B128" s="16" t="s">
        <v>191</v>
      </c>
      <c r="C128" s="16" t="s">
        <v>404</v>
      </c>
      <c r="D128" s="22" t="s">
        <v>37</v>
      </c>
      <c r="E128" s="22" t="s">
        <v>93</v>
      </c>
      <c r="F128" s="20">
        <v>2.5499999999999998</v>
      </c>
      <c r="G128" s="39">
        <v>1.7999999999999999E-2</v>
      </c>
      <c r="H128" s="39">
        <v>3.8E-3</v>
      </c>
      <c r="I128" s="39">
        <v>3.2864863213405697E-4</v>
      </c>
      <c r="J128" s="27">
        <v>0.11</v>
      </c>
      <c r="K128" s="27">
        <v>2.0799999999999999E-11</v>
      </c>
      <c r="L128" s="27">
        <v>1.1000000000000001E-3</v>
      </c>
      <c r="M128" s="145">
        <f>'Parameters, country spec'!L23</f>
        <v>4.4514084693111092E-2</v>
      </c>
    </row>
    <row r="129" spans="1:13" x14ac:dyDescent="0.25">
      <c r="A129" s="21" t="s">
        <v>407</v>
      </c>
      <c r="B129" s="16" t="s">
        <v>192</v>
      </c>
      <c r="C129" s="16" t="s">
        <v>404</v>
      </c>
      <c r="D129" s="22" t="s">
        <v>37</v>
      </c>
      <c r="E129" s="22" t="s">
        <v>93</v>
      </c>
      <c r="F129" s="20">
        <v>1.68</v>
      </c>
      <c r="G129" s="39">
        <v>1.6E-2</v>
      </c>
      <c r="H129" s="39">
        <v>1.1999999999999999E-3</v>
      </c>
      <c r="I129" s="39">
        <v>0</v>
      </c>
      <c r="J129" s="27">
        <v>0.16</v>
      </c>
      <c r="K129" s="27">
        <v>1.37E-11</v>
      </c>
      <c r="L129" s="27">
        <v>9.68E-4</v>
      </c>
      <c r="M129" s="145">
        <f>'Parameters, country spec'!L24</f>
        <v>2.791271755500447E-2</v>
      </c>
    </row>
    <row r="130" spans="1:13" x14ac:dyDescent="0.25">
      <c r="A130" s="21" t="s">
        <v>408</v>
      </c>
      <c r="B130" s="16" t="s">
        <v>193</v>
      </c>
      <c r="C130" s="16" t="s">
        <v>404</v>
      </c>
      <c r="D130" s="22" t="s">
        <v>37</v>
      </c>
      <c r="E130" s="22" t="s">
        <v>93</v>
      </c>
      <c r="F130" s="20">
        <v>1.54</v>
      </c>
      <c r="G130" s="39">
        <v>2.4E-2</v>
      </c>
      <c r="H130" s="39">
        <v>2.2000000000000001E-3</v>
      </c>
      <c r="I130" s="39">
        <v>0</v>
      </c>
      <c r="J130" s="27">
        <v>0.11</v>
      </c>
      <c r="K130" s="27">
        <v>1.25E-11</v>
      </c>
      <c r="L130" s="27">
        <v>1.4300000000000001E-3</v>
      </c>
      <c r="M130" s="145">
        <f>'Parameters, country spec'!L25</f>
        <v>0.32729029603711124</v>
      </c>
    </row>
    <row r="131" spans="1:13" x14ac:dyDescent="0.25">
      <c r="A131" s="21" t="s">
        <v>409</v>
      </c>
      <c r="B131" s="16" t="s">
        <v>194</v>
      </c>
      <c r="C131" s="16" t="s">
        <v>410</v>
      </c>
      <c r="D131" s="22" t="s">
        <v>37</v>
      </c>
      <c r="E131" s="22" t="s">
        <v>93</v>
      </c>
      <c r="F131" s="20">
        <v>3.38</v>
      </c>
      <c r="G131" s="39">
        <v>2.1000000000000001E-2</v>
      </c>
      <c r="H131" s="39">
        <v>1.6999999999999999E-3</v>
      </c>
      <c r="I131" s="39">
        <v>0</v>
      </c>
      <c r="J131" s="27">
        <v>0.2</v>
      </c>
      <c r="K131" s="27">
        <v>2.7499999999999999E-11</v>
      </c>
      <c r="L131" s="27">
        <v>0</v>
      </c>
      <c r="M131" s="145">
        <f>'Parameters, country spec'!L26</f>
        <v>4.8974646420038275E-3</v>
      </c>
    </row>
    <row r="132" spans="1:13" x14ac:dyDescent="0.25">
      <c r="A132" s="21" t="s">
        <v>411</v>
      </c>
      <c r="B132" s="16" t="s">
        <v>195</v>
      </c>
      <c r="C132" s="16" t="s">
        <v>410</v>
      </c>
      <c r="D132" s="22" t="s">
        <v>37</v>
      </c>
      <c r="E132" s="22" t="s">
        <v>93</v>
      </c>
      <c r="F132" s="20">
        <v>5.05</v>
      </c>
      <c r="G132" s="39">
        <v>1.2999999999999999E-2</v>
      </c>
      <c r="H132" s="39">
        <v>2E-3</v>
      </c>
      <c r="I132" s="39">
        <v>0</v>
      </c>
      <c r="J132" s="27">
        <v>0.31</v>
      </c>
      <c r="K132" s="27">
        <v>4.1199999999999997E-11</v>
      </c>
      <c r="L132" s="27">
        <v>6.1400000000000002E-5</v>
      </c>
      <c r="M132" s="145">
        <f>'Parameters, country spec'!L27</f>
        <v>5.63859541846429E-2</v>
      </c>
    </row>
    <row r="133" spans="1:13" x14ac:dyDescent="0.25">
      <c r="B133" s="17" t="s">
        <v>196</v>
      </c>
      <c r="C133" s="16" t="s">
        <v>412</v>
      </c>
      <c r="D133" s="22" t="s">
        <v>460</v>
      </c>
      <c r="E133" s="22"/>
      <c r="F133" s="18">
        <f>'Off-farm feed'!$F$88</f>
        <v>1.5397450382845088</v>
      </c>
      <c r="G133" s="19">
        <f>'Off-farm feed'!$G$88</f>
        <v>4.1115595157230206E-2</v>
      </c>
      <c r="H133" s="19">
        <f>'Off-farm feed'!$H$88</f>
        <v>4.4751668198345796E-3</v>
      </c>
      <c r="I133" s="19">
        <f>'Off-farm feed'!$I$88</f>
        <v>2.5747126436781614E-3</v>
      </c>
      <c r="J133" s="18">
        <f>'Off-farm feed'!$J$88</f>
        <v>0.29368572248181501</v>
      </c>
      <c r="K133" s="28">
        <f>'Off-farm feed'!$K$88</f>
        <v>1.777473414827503E-10</v>
      </c>
      <c r="L133" s="28">
        <f>'Off-farm feed'!$L$88</f>
        <v>2.4996062723023757E-3</v>
      </c>
      <c r="M133" s="145">
        <f>'Parameters, country spec'!L28</f>
        <v>2.9607485666187296E-2</v>
      </c>
    </row>
    <row r="134" spans="1:13" x14ac:dyDescent="0.25">
      <c r="B134" s="17" t="s">
        <v>413</v>
      </c>
      <c r="C134" s="16" t="s">
        <v>412</v>
      </c>
      <c r="D134" s="22" t="s">
        <v>437</v>
      </c>
      <c r="E134" s="22"/>
      <c r="F134" s="18">
        <f>'Off-farm feed'!$F$36</f>
        <v>2.5509164954964132</v>
      </c>
      <c r="G134" s="19">
        <f>'Off-farm feed'!$G$36</f>
        <v>4.2620923125915477E-2</v>
      </c>
      <c r="H134" s="19">
        <f>'Off-farm feed'!$H$36</f>
        <v>3.2959349471355036E-3</v>
      </c>
      <c r="I134" s="19">
        <f>'Off-farm feed'!$I$36</f>
        <v>2.3780487804878048E-3</v>
      </c>
      <c r="J134" s="18">
        <f>'Off-farm feed'!$J$36</f>
        <v>0.25920846302270939</v>
      </c>
      <c r="K134" s="28">
        <f>'Off-farm feed'!$K$36</f>
        <v>6.1197957373175144E-10</v>
      </c>
      <c r="L134" s="28">
        <f>'Off-farm feed'!$L$36</f>
        <v>1.0450321677831981E-4</v>
      </c>
      <c r="M134" s="145">
        <f>'Parameters, country spec'!L29</f>
        <v>3.870789973314008E-2</v>
      </c>
    </row>
    <row r="135" spans="1:13" x14ac:dyDescent="0.25">
      <c r="B135" s="16" t="s">
        <v>198</v>
      </c>
      <c r="C135" s="16" t="s">
        <v>414</v>
      </c>
      <c r="D135" s="22" t="s">
        <v>37</v>
      </c>
      <c r="E135" s="22" t="s">
        <v>93</v>
      </c>
      <c r="F135" s="102"/>
      <c r="G135" s="103"/>
      <c r="H135" s="103"/>
      <c r="I135" s="103"/>
      <c r="J135" s="110"/>
      <c r="K135" s="110"/>
      <c r="L135" s="110"/>
      <c r="M135" s="145">
        <f>'Parameters, country spec'!L30</f>
        <v>0.11190565161757877</v>
      </c>
    </row>
    <row r="136" spans="1:13" x14ac:dyDescent="0.25">
      <c r="A136" s="80"/>
      <c r="B136" s="16" t="s">
        <v>415</v>
      </c>
      <c r="C136" s="81" t="s">
        <v>416</v>
      </c>
      <c r="D136" s="22" t="s">
        <v>37</v>
      </c>
      <c r="E136" s="22" t="s">
        <v>93</v>
      </c>
      <c r="F136" s="104">
        <f t="shared" ref="F136:L136" si="10">AVERAGE(F126:F134)</f>
        <v>2.4422957259756579</v>
      </c>
      <c r="G136" s="104">
        <f t="shared" si="10"/>
        <v>2.4081835364793965E-2</v>
      </c>
      <c r="H136" s="104">
        <f t="shared" si="10"/>
        <v>2.8634557518855647E-3</v>
      </c>
      <c r="I136" s="104">
        <f t="shared" si="10"/>
        <v>5.868233395888915E-4</v>
      </c>
      <c r="J136" s="162">
        <f t="shared" si="10"/>
        <v>0.17476602061161384</v>
      </c>
      <c r="K136" s="162">
        <f t="shared" si="10"/>
        <v>1.0394743502383353E-10</v>
      </c>
      <c r="L136" s="162">
        <f t="shared" si="10"/>
        <v>9.5816772100896597E-4</v>
      </c>
      <c r="M136" s="145">
        <f>'Parameters, country spec'!L31</f>
        <v>9.3875935928454946E-2</v>
      </c>
    </row>
    <row r="137" spans="1:13" x14ac:dyDescent="0.25">
      <c r="A137" s="144"/>
      <c r="B137" s="24" t="s">
        <v>417</v>
      </c>
      <c r="C137" s="25"/>
      <c r="D137" s="99"/>
      <c r="E137" s="99"/>
      <c r="F137" s="29">
        <f>SUMPRODUCT(F126:F136,M126:M136)</f>
        <v>1.9150039740603815</v>
      </c>
      <c r="G137" s="29">
        <f>SUMPRODUCT(G126:G136,M126:M136)</f>
        <v>2.0626727105047218E-2</v>
      </c>
      <c r="H137" s="29">
        <f>SUMPRODUCT(H126:H136,M126:M136)</f>
        <v>1.9811550864313279E-3</v>
      </c>
      <c r="I137" s="29">
        <f>SUMPRODUCT(I126:I136,M126:M136)</f>
        <v>2.3799812472154961E-4</v>
      </c>
      <c r="J137" s="29">
        <f>SUMPRODUCT(J126:J136,M126:M136)</f>
        <v>0.1278536592260682</v>
      </c>
      <c r="K137" s="29">
        <f>SUMPRODUCT(K126:K136,M126:M136)</f>
        <v>5.1266800878392148E-11</v>
      </c>
      <c r="L137" s="29">
        <f>SUMPRODUCT(L126:L136,M126:M136)</f>
        <v>1.0464928296937792E-3</v>
      </c>
      <c r="M137" s="146"/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39B08-07A3-4314-81E4-975580C693EA}">
  <sheetPr>
    <tabColor theme="4" tint="0.79998168889431442"/>
  </sheetPr>
  <dimension ref="A2:S106"/>
  <sheetViews>
    <sheetView topLeftCell="E25" zoomScale="67" workbookViewId="0">
      <selection activeCell="F36" sqref="F36:L36"/>
    </sheetView>
  </sheetViews>
  <sheetFormatPr defaultColWidth="8.7109375" defaultRowHeight="15" x14ac:dyDescent="0.25"/>
  <cols>
    <col min="1" max="1" width="10.7109375" customWidth="1"/>
    <col min="2" max="2" width="18.42578125" customWidth="1"/>
    <col min="3" max="3" width="11.5703125" customWidth="1"/>
    <col min="4" max="4" width="16.5703125" customWidth="1"/>
    <col min="6" max="6" width="14.5703125" customWidth="1"/>
    <col min="7" max="7" width="14.7109375" customWidth="1"/>
    <col min="8" max="8" width="11.28515625" customWidth="1"/>
    <col min="9" max="9" width="12.28515625" customWidth="1"/>
    <col min="10" max="10" width="14.42578125" customWidth="1"/>
    <col min="11" max="11" width="12" customWidth="1"/>
    <col min="12" max="12" width="14.5703125" customWidth="1"/>
    <col min="13" max="13" width="14.42578125" customWidth="1"/>
    <col min="14" max="14" width="15" customWidth="1"/>
    <col min="15" max="15" width="15.42578125" customWidth="1"/>
    <col min="16" max="16" width="15" customWidth="1"/>
    <col min="17" max="17" width="17.5703125" customWidth="1"/>
    <col min="18" max="18" width="24.7109375" customWidth="1"/>
  </cols>
  <sheetData>
    <row r="2" spans="1:19" ht="21" x14ac:dyDescent="0.35">
      <c r="A2" s="2" t="s">
        <v>426</v>
      </c>
    </row>
    <row r="4" spans="1:19" ht="18.75" x14ac:dyDescent="0.3">
      <c r="A4" s="272" t="s">
        <v>413</v>
      </c>
      <c r="B4" s="114"/>
      <c r="C4" s="114"/>
      <c r="D4" s="114"/>
      <c r="E4" s="114"/>
      <c r="F4" s="114"/>
      <c r="G4" s="114"/>
      <c r="H4" s="114"/>
      <c r="I4" s="114"/>
      <c r="J4" s="114"/>
      <c r="K4" s="114"/>
      <c r="L4" s="114"/>
      <c r="M4" s="114"/>
      <c r="N4" s="114"/>
      <c r="O4" s="114"/>
      <c r="P4" s="114"/>
    </row>
    <row r="6" spans="1:19" ht="18.75" x14ac:dyDescent="0.3">
      <c r="A6" s="1" t="s">
        <v>427</v>
      </c>
    </row>
    <row r="8" spans="1:19" x14ac:dyDescent="0.25">
      <c r="A8" s="273" t="s">
        <v>396</v>
      </c>
      <c r="B8" s="274"/>
      <c r="C8" s="274"/>
      <c r="D8" s="274"/>
      <c r="E8" s="275" t="s">
        <v>102</v>
      </c>
      <c r="F8" s="275" t="s">
        <v>103</v>
      </c>
      <c r="G8" s="276"/>
      <c r="H8" s="275" t="s">
        <v>104</v>
      </c>
      <c r="I8" s="277"/>
      <c r="J8" s="278" t="s">
        <v>105</v>
      </c>
      <c r="K8" s="277"/>
      <c r="L8" s="277"/>
      <c r="M8" s="277"/>
      <c r="N8" s="278" t="s">
        <v>106</v>
      </c>
      <c r="O8" s="278" t="s">
        <v>397</v>
      </c>
      <c r="P8" s="278" t="s">
        <v>107</v>
      </c>
    </row>
    <row r="9" spans="1:19" ht="60" x14ac:dyDescent="0.25">
      <c r="A9" s="279" t="s">
        <v>59</v>
      </c>
      <c r="B9" s="279" t="s">
        <v>396</v>
      </c>
      <c r="C9" s="279" t="s">
        <v>111</v>
      </c>
      <c r="D9" s="280" t="s">
        <v>428</v>
      </c>
      <c r="E9" s="281"/>
      <c r="F9" s="51" t="s">
        <v>11</v>
      </c>
      <c r="G9" s="51" t="s">
        <v>12</v>
      </c>
      <c r="H9" s="51" t="s">
        <v>400</v>
      </c>
      <c r="I9" s="51" t="s">
        <v>401</v>
      </c>
      <c r="J9" s="51" t="s">
        <v>116</v>
      </c>
      <c r="K9" s="51" t="s">
        <v>117</v>
      </c>
      <c r="L9" s="51" t="s">
        <v>118</v>
      </c>
      <c r="M9" s="51" t="s">
        <v>119</v>
      </c>
      <c r="N9" s="51" t="s">
        <v>120</v>
      </c>
      <c r="O9" s="51"/>
      <c r="P9" s="51"/>
      <c r="R9" s="282" t="s">
        <v>429</v>
      </c>
    </row>
    <row r="10" spans="1:19" ht="18" customHeight="1" x14ac:dyDescent="0.25">
      <c r="A10" t="s">
        <v>430</v>
      </c>
      <c r="B10" t="s">
        <v>431</v>
      </c>
      <c r="C10" t="s">
        <v>133</v>
      </c>
      <c r="D10" t="s">
        <v>432</v>
      </c>
      <c r="E10" s="4">
        <f>SUMPRODUCT(E11:E14,'Parameters, general'!$B$13:$B$16)</f>
        <v>0.9762625042220614</v>
      </c>
      <c r="F10" s="4">
        <f>SUMPRODUCT(F11:F14,'Parameters, general'!$B$13:$B$16)</f>
        <v>6.3780206352419501E-3</v>
      </c>
      <c r="G10" s="4">
        <f>SUMPRODUCT(G11:G14,'Parameters, general'!$B$13:$B$16)</f>
        <v>3.01313E-2</v>
      </c>
      <c r="H10" s="4">
        <f>SUMPRODUCT(H11:H14,'Parameters, general'!$B$13:$B$16)</f>
        <v>4.3198581779485427E-2</v>
      </c>
      <c r="I10" s="4">
        <f>SUMPRODUCT(I11:I14,'Parameters, general'!$B$13:$B$16)</f>
        <v>4.3198581779485433E-3</v>
      </c>
      <c r="J10" s="4">
        <f>SUMPRODUCT(J11:J14,'Parameters, general'!$B$13:$B$16)</f>
        <v>5.168680555007258E-2</v>
      </c>
      <c r="K10" s="4">
        <f>SUMPRODUCT(K11:K14,'Parameters, general'!$B$13:$B$16)</f>
        <v>0</v>
      </c>
      <c r="L10" s="4">
        <f>SUMPRODUCT(L11:L14,'Parameters, general'!$B$13:$B$16)</f>
        <v>8.3348896151578009E-5</v>
      </c>
      <c r="M10" s="4">
        <f>SUMPRODUCT(M11:M14,'Parameters, general'!$B$13:$B$16)</f>
        <v>3.9645293683161227E-2</v>
      </c>
      <c r="N10" s="4">
        <f>SUMPRODUCT(N11:N14,'Parameters, general'!$B$13:$B$16)</f>
        <v>0.80081929549999997</v>
      </c>
      <c r="O10" s="4">
        <f>SUMPRODUCT(O11:O14,'Parameters, general'!$B$13:$B$16)</f>
        <v>0</v>
      </c>
      <c r="P10" s="4">
        <f>SUMPRODUCT(P11:P14,'Parameters, general'!$B$13:$B$16)</f>
        <v>0</v>
      </c>
      <c r="R10" s="127" t="s">
        <v>433</v>
      </c>
      <c r="S10" s="7"/>
    </row>
    <row r="11" spans="1:19" x14ac:dyDescent="0.25">
      <c r="A11" t="s">
        <v>430</v>
      </c>
      <c r="B11" t="s">
        <v>431</v>
      </c>
      <c r="C11" t="s">
        <v>129</v>
      </c>
      <c r="D11" t="s">
        <v>432</v>
      </c>
      <c r="E11" s="4">
        <f t="shared" ref="E11:E20" si="0">SUM(F11:P11)</f>
        <v>0.92073417828065618</v>
      </c>
      <c r="F11" s="4">
        <v>3.8012291590112874E-3</v>
      </c>
      <c r="G11" s="4">
        <v>2.7E-2</v>
      </c>
      <c r="H11" s="4">
        <v>0</v>
      </c>
      <c r="I11" s="4"/>
      <c r="J11" s="4">
        <v>5.0646723842195554E-2</v>
      </c>
      <c r="K11" s="4"/>
      <c r="L11" s="4">
        <v>7.5028151531290012E-5</v>
      </c>
      <c r="M11" s="4">
        <v>3.8391901627918008E-2</v>
      </c>
      <c r="N11" s="11">
        <v>0.80081929549999997</v>
      </c>
      <c r="O11" s="4"/>
      <c r="P11" s="4"/>
    </row>
    <row r="12" spans="1:19" x14ac:dyDescent="0.25">
      <c r="A12" t="s">
        <v>430</v>
      </c>
      <c r="B12" t="s">
        <v>431</v>
      </c>
      <c r="C12" t="s">
        <v>130</v>
      </c>
      <c r="D12" t="s">
        <v>432</v>
      </c>
      <c r="E12" s="4">
        <f t="shared" si="0"/>
        <v>1.549735128053641E-4</v>
      </c>
      <c r="F12" s="4">
        <v>8.1660966199362198E-6</v>
      </c>
      <c r="G12" s="4">
        <v>9.5000000000000005E-5</v>
      </c>
      <c r="H12" s="4"/>
      <c r="I12" s="4"/>
      <c r="J12" s="4">
        <v>2.2434790869507859E-5</v>
      </c>
      <c r="K12" s="4"/>
      <c r="L12" s="4">
        <v>2.5092881999999999E-7</v>
      </c>
      <c r="M12" s="4">
        <v>2.9121696495920008E-5</v>
      </c>
      <c r="N12" s="4"/>
      <c r="O12" s="4"/>
      <c r="P12" s="4"/>
    </row>
    <row r="13" spans="1:19" x14ac:dyDescent="0.25">
      <c r="A13" t="s">
        <v>430</v>
      </c>
      <c r="B13" t="s">
        <v>431</v>
      </c>
      <c r="C13" t="s">
        <v>434</v>
      </c>
      <c r="D13" t="s">
        <v>432</v>
      </c>
      <c r="E13" s="4">
        <f t="shared" si="0"/>
        <v>0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</row>
    <row r="14" spans="1:19" x14ac:dyDescent="0.25">
      <c r="A14" t="s">
        <v>430</v>
      </c>
      <c r="B14" t="s">
        <v>431</v>
      </c>
      <c r="C14" t="s">
        <v>132</v>
      </c>
      <c r="D14" t="s">
        <v>432</v>
      </c>
      <c r="E14" s="4">
        <f t="shared" si="0"/>
        <v>1.8648393868060559E-4</v>
      </c>
      <c r="F14" s="4">
        <v>8.5474058496577423E-6</v>
      </c>
      <c r="G14" s="4">
        <v>1.1000000000000001E-6</v>
      </c>
      <c r="H14" s="4">
        <v>1.5823656329481842E-4</v>
      </c>
      <c r="I14" s="4">
        <v>1.5823656329481842E-5</v>
      </c>
      <c r="J14" s="4">
        <v>1.360897215991556E-6</v>
      </c>
      <c r="K14" s="4"/>
      <c r="L14" s="4">
        <v>3.0881530559999997E-9</v>
      </c>
      <c r="M14" s="4">
        <v>1.4123278376000001E-6</v>
      </c>
      <c r="N14" s="4"/>
      <c r="O14" s="4"/>
      <c r="P14" s="4"/>
    </row>
    <row r="15" spans="1:19" x14ac:dyDescent="0.25"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</row>
    <row r="16" spans="1:19" x14ac:dyDescent="0.25">
      <c r="A16" t="s">
        <v>430</v>
      </c>
      <c r="B16" t="s">
        <v>431</v>
      </c>
      <c r="C16" t="s">
        <v>133</v>
      </c>
      <c r="D16" t="s">
        <v>435</v>
      </c>
      <c r="E16" s="4">
        <f>SUMPRODUCT(E17:E20,'Parameters, general'!$B$13:$B$16)</f>
        <v>0.20785730445628486</v>
      </c>
      <c r="F16" s="4">
        <f>SUMPRODUCT(F17:F20,'Parameters, general'!$B$13:$B$16)</f>
        <v>2.4370510521528055E-2</v>
      </c>
      <c r="G16" s="4">
        <f>SUMPRODUCT(G17:G20,'Parameters, general'!$B$13:$B$16)</f>
        <v>3.01313E-2</v>
      </c>
      <c r="H16" s="4">
        <f>SUMPRODUCT(H17:H20,'Parameters, general'!$B$13:$B$16)</f>
        <v>4.8642220755341865E-2</v>
      </c>
      <c r="I16" s="4">
        <f>SUMPRODUCT(I17:I20,'Parameters, general'!$B$13:$B$16)</f>
        <v>4.8642220755341862E-3</v>
      </c>
      <c r="J16" s="4">
        <f>SUMPRODUCT(J17:J20,'Parameters, general'!$B$13:$B$16)</f>
        <v>5.9248812939961648E-2</v>
      </c>
      <c r="K16" s="4">
        <f>SUMPRODUCT(K17:K20,'Parameters, general'!$B$13:$B$16)</f>
        <v>0</v>
      </c>
      <c r="L16" s="4">
        <f>SUMPRODUCT(L17:L20,'Parameters, general'!$B$13:$B$16)</f>
        <v>4.1674448075789007E-4</v>
      </c>
      <c r="M16" s="4">
        <f>SUMPRODUCT(M17:M20,'Parameters, general'!$B$13:$B$16)</f>
        <v>3.9645293683161227E-2</v>
      </c>
      <c r="N16" s="4">
        <f>SUMPRODUCT(N17:N20,'Parameters, general'!$B$13:$B$16)</f>
        <v>5.3819999999999996E-4</v>
      </c>
      <c r="O16" s="4">
        <f>SUMPRODUCT(O17:O20,'Parameters, general'!$B$13:$B$16)</f>
        <v>0</v>
      </c>
      <c r="P16" s="4">
        <f>SUMPRODUCT(P17:P20,'Parameters, general'!$B$13:$B$16)</f>
        <v>0</v>
      </c>
      <c r="R16" s="127" t="s">
        <v>433</v>
      </c>
      <c r="S16" s="7"/>
    </row>
    <row r="17" spans="1:18" x14ac:dyDescent="0.25">
      <c r="A17" t="s">
        <v>430</v>
      </c>
      <c r="B17" t="s">
        <v>431</v>
      </c>
      <c r="C17" t="s">
        <v>129</v>
      </c>
      <c r="D17" t="s">
        <v>435</v>
      </c>
      <c r="E17" s="4">
        <f t="shared" si="0"/>
        <v>0.13888635752648032</v>
      </c>
      <c r="F17" s="4">
        <v>1.4524552445401365E-2</v>
      </c>
      <c r="G17" s="4">
        <v>2.7E-2</v>
      </c>
      <c r="H17" s="4">
        <v>0</v>
      </c>
      <c r="I17" s="4"/>
      <c r="J17" s="4">
        <v>5.8056562695504521E-2</v>
      </c>
      <c r="K17" s="4"/>
      <c r="L17" s="4">
        <v>3.7514075765645005E-4</v>
      </c>
      <c r="M17" s="4">
        <v>3.8391901627918008E-2</v>
      </c>
      <c r="N17" s="316">
        <v>5.3819999999999996E-4</v>
      </c>
      <c r="O17" s="4"/>
      <c r="P17" s="4"/>
    </row>
    <row r="18" spans="1:18" x14ac:dyDescent="0.25">
      <c r="A18" t="s">
        <v>430</v>
      </c>
      <c r="B18" t="s">
        <v>431</v>
      </c>
      <c r="C18" t="s">
        <v>130</v>
      </c>
      <c r="D18" t="s">
        <v>435</v>
      </c>
      <c r="E18" s="4">
        <f t="shared" si="0"/>
        <v>1.8229621534045906E-4</v>
      </c>
      <c r="F18" s="4">
        <v>3.1202775120595208E-5</v>
      </c>
      <c r="G18" s="4">
        <v>9.5000000000000005E-5</v>
      </c>
      <c r="H18" s="4"/>
      <c r="I18" s="4"/>
      <c r="J18" s="4">
        <v>2.5717099623943848E-5</v>
      </c>
      <c r="K18" s="4"/>
      <c r="L18" s="4">
        <v>1.2546440999999999E-6</v>
      </c>
      <c r="M18" s="4">
        <v>2.9121696495920008E-5</v>
      </c>
      <c r="N18" s="4"/>
      <c r="O18" s="4"/>
      <c r="P18" s="4"/>
    </row>
    <row r="19" spans="1:18" x14ac:dyDescent="0.25">
      <c r="A19" t="s">
        <v>430</v>
      </c>
      <c r="B19" t="s">
        <v>431</v>
      </c>
      <c r="C19" t="s">
        <v>434</v>
      </c>
      <c r="D19" t="s">
        <v>435</v>
      </c>
      <c r="E19" s="4">
        <f t="shared" si="0"/>
        <v>0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</row>
    <row r="20" spans="1:18" x14ac:dyDescent="0.25">
      <c r="A20" t="s">
        <v>430</v>
      </c>
      <c r="B20" t="s">
        <v>431</v>
      </c>
      <c r="C20" t="s">
        <v>132</v>
      </c>
      <c r="D20" t="s">
        <v>435</v>
      </c>
      <c r="E20" s="4">
        <f t="shared" si="0"/>
        <v>2.3274183044929981E-4</v>
      </c>
      <c r="F20" s="4">
        <v>3.2659763287666505E-5</v>
      </c>
      <c r="G20" s="4">
        <v>1.1000000000000001E-6</v>
      </c>
      <c r="H20" s="4">
        <v>1.7817663280345004E-4</v>
      </c>
      <c r="I20" s="4">
        <v>1.7817663280345004E-5</v>
      </c>
      <c r="J20" s="4">
        <v>1.5600024749582352E-6</v>
      </c>
      <c r="K20" s="4"/>
      <c r="L20" s="4">
        <v>1.5440765279999996E-8</v>
      </c>
      <c r="M20" s="4">
        <v>1.4123278376000001E-6</v>
      </c>
      <c r="N20" s="4"/>
      <c r="O20" s="4"/>
      <c r="P20" s="4"/>
    </row>
    <row r="21" spans="1:18" x14ac:dyDescent="0.25"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</row>
    <row r="22" spans="1:18" x14ac:dyDescent="0.25">
      <c r="A22" t="s">
        <v>436</v>
      </c>
      <c r="B22" t="s">
        <v>413</v>
      </c>
      <c r="C22" t="s">
        <v>133</v>
      </c>
      <c r="D22" t="s">
        <v>437</v>
      </c>
      <c r="E22" s="4">
        <f>SUMPRODUCT(E23:E26,'Parameters, general'!$B$13:$B$16)</f>
        <v>0.77170772994138725</v>
      </c>
      <c r="F22" s="4">
        <f>SUMPRODUCT(F23:F26,'Parameters, general'!$B$13:$B$16)</f>
        <v>1.2186917836524699E-2</v>
      </c>
      <c r="G22" s="4">
        <f>SUMPRODUCT(G23:G26,'Parameters, general'!$B$13:$B$16)</f>
        <v>2.3884567073170736E-2</v>
      </c>
      <c r="H22" s="4">
        <f>SUMPRODUCT(H23:H26,'Parameters, general'!$B$13:$B$16)</f>
        <v>3.6400318077827891E-2</v>
      </c>
      <c r="I22" s="4">
        <f>SUMPRODUCT(I23:I26,'Parameters, general'!$B$13:$B$16)</f>
        <v>3.6400318077827896E-3</v>
      </c>
      <c r="J22" s="4">
        <f>SUMPRODUCT(J23:J26,'Parameters, general'!$B$13:$B$16)</f>
        <v>4.3968385377147715E-2</v>
      </c>
      <c r="K22" s="4">
        <f>SUMPRODUCT(K23:K26,'Parameters, general'!$B$13:$B$16)</f>
        <v>0</v>
      </c>
      <c r="L22" s="4">
        <f>SUMPRODUCT(L23:L26,'Parameters, general'!$B$13:$B$16)</f>
        <v>1.9820774084826478E-4</v>
      </c>
      <c r="M22" s="4">
        <f>SUMPRODUCT(M23:M26,'Parameters, general'!$B$13:$B$16)</f>
        <v>3.1426147431774146E-2</v>
      </c>
      <c r="N22" s="4">
        <f>SUMPRODUCT(N23:N26,'Parameters, general'!$B$13:$B$16)</f>
        <v>0.31761120248475611</v>
      </c>
      <c r="O22" s="4">
        <f>SUMPRODUCT(O23:O26,'Parameters, general'!$B$13:$B$16)</f>
        <v>4.265297238182502E-2</v>
      </c>
      <c r="P22" s="4">
        <f>SUMPRODUCT(P23:P26,'Parameters, general'!$B$13:$B$16)</f>
        <v>0.2597389797297297</v>
      </c>
    </row>
    <row r="23" spans="1:18" x14ac:dyDescent="0.25">
      <c r="A23" s="317" t="s">
        <v>436</v>
      </c>
      <c r="B23" s="318" t="s">
        <v>413</v>
      </c>
      <c r="C23" s="318" t="s">
        <v>129</v>
      </c>
      <c r="D23" s="318" t="s">
        <v>437</v>
      </c>
      <c r="E23" s="319">
        <f>SUM(F23:P23)</f>
        <v>0.7061171705997602</v>
      </c>
      <c r="F23" s="319">
        <f>$C$40*(AVERAGE(F11,F17))/$C$39</f>
        <v>7.2632670993098931E-3</v>
      </c>
      <c r="G23" s="319">
        <f>$C$40*(AVERAGE(G11,G17))/$C$39</f>
        <v>2.1402439024390246E-2</v>
      </c>
      <c r="H23" s="319">
        <f>$C$40*(AVERAGE(H11,H17))/$C$39</f>
        <v>0</v>
      </c>
      <c r="I23" s="319"/>
      <c r="J23" s="319">
        <f>$C$40*(AVERAGE(J11,J17))/$C$39</f>
        <v>4.308361966433235E-2</v>
      </c>
      <c r="K23" s="319"/>
      <c r="L23" s="319">
        <f>$C$40*(AVERAGE(L11,L17))/$C$39</f>
        <v>1.7842060425123844E-4</v>
      </c>
      <c r="M23" s="319">
        <f>$C$40*(AVERAGE(M11,M17))/$C$39</f>
        <v>3.0432604948959403E-2</v>
      </c>
      <c r="N23" s="319">
        <f>$C$40*(AVERAGE(N11,N17))/$C$39</f>
        <v>0.31761120248475611</v>
      </c>
      <c r="O23" s="319" cm="1">
        <f t="array" ref="O23">C40*(C43*EF_el_CO2_BR+C44*EF_biofuels_CO2)</f>
        <v>3.5145616773760872E-2</v>
      </c>
      <c r="P23" s="320">
        <v>0.251</v>
      </c>
      <c r="R23" t="s">
        <v>438</v>
      </c>
    </row>
    <row r="24" spans="1:18" x14ac:dyDescent="0.25">
      <c r="A24" s="197" t="s">
        <v>436</v>
      </c>
      <c r="B24" t="s">
        <v>413</v>
      </c>
      <c r="C24" t="s">
        <v>130</v>
      </c>
      <c r="D24" t="s">
        <v>437</v>
      </c>
      <c r="E24" s="4">
        <f>SUM(F24:P24)</f>
        <v>4.7266553697523981E-4</v>
      </c>
      <c r="F24" s="4">
        <f>$C$40*(AVERAGE(F12,F18))/$C$39</f>
        <v>1.5603516238625262E-5</v>
      </c>
      <c r="G24" s="4">
        <f>$C$40*(AVERAGE(G12,G18))/$C$39</f>
        <v>7.5304878048780503E-5</v>
      </c>
      <c r="H24" s="4"/>
      <c r="I24" s="4"/>
      <c r="J24" s="4">
        <f>$C$40*(AVERAGE(J12,J18))/$C$39</f>
        <v>1.908459074435586E-5</v>
      </c>
      <c r="K24" s="4"/>
      <c r="L24" s="4">
        <f>$C$40*(AVERAGE(L12,L18))/$C$39</f>
        <v>5.9672097439024396E-7</v>
      </c>
      <c r="M24" s="4">
        <f>$C$40*(AVERAGE(M12,M18))/$C$39</f>
        <v>2.3084271612619523E-5</v>
      </c>
      <c r="N24" s="4"/>
      <c r="O24" s="4">
        <f>C40*(C43*EF_el_CH4_BR+C44*EF_biofuel_CH4)</f>
        <v>1.2899155935646844E-4</v>
      </c>
      <c r="P24" s="211">
        <f>4.83/1000/23</f>
        <v>2.1000000000000001E-4</v>
      </c>
      <c r="R24" t="s">
        <v>439</v>
      </c>
    </row>
    <row r="25" spans="1:18" x14ac:dyDescent="0.25">
      <c r="A25" s="197" t="s">
        <v>436</v>
      </c>
      <c r="B25" t="s">
        <v>413</v>
      </c>
      <c r="C25" t="s">
        <v>434</v>
      </c>
      <c r="D25" t="s">
        <v>437</v>
      </c>
      <c r="E25" s="4">
        <f>SUM(F25:P25)</f>
        <v>0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211"/>
    </row>
    <row r="26" spans="1:18" x14ac:dyDescent="0.25">
      <c r="A26" s="234" t="s">
        <v>436</v>
      </c>
      <c r="B26" s="235" t="s">
        <v>413</v>
      </c>
      <c r="C26" s="235" t="s">
        <v>132</v>
      </c>
      <c r="D26" s="235" t="s">
        <v>437</v>
      </c>
      <c r="E26" s="321">
        <f>SUM(F26:P26)</f>
        <v>1.8866346644602505E-4</v>
      </c>
      <c r="F26" s="321">
        <f>$C$40*(AVERAGE(F14,F20))/$C$39</f>
        <v>1.6332109719061441E-5</v>
      </c>
      <c r="G26" s="321">
        <f>$C$40*(AVERAGE(G14,G20))/$C$39</f>
        <v>8.7195121951219526E-7</v>
      </c>
      <c r="H26" s="322">
        <f>$C$40*(AVERAGE(H14,H20))/$C$39</f>
        <v>1.3333449845358202E-4</v>
      </c>
      <c r="I26" s="321">
        <f>$C$40*(AVERAGE(I14,I20))/$C$39</f>
        <v>1.3333449845358203E-5</v>
      </c>
      <c r="J26" s="321">
        <f>$C$40*(AVERAGE(J14,J20))/$C$39</f>
        <v>1.1576736579983931E-6</v>
      </c>
      <c r="K26" s="321"/>
      <c r="L26" s="321">
        <f>$C$40*(AVERAGE(L14,L20))/$C$39</f>
        <v>7.3437786087804866E-9</v>
      </c>
      <c r="M26" s="321">
        <f>$C$40*(AVERAGE(M14,M20))/$C$39</f>
        <v>1.1195281639512197E-6</v>
      </c>
      <c r="N26" s="321"/>
      <c r="O26" s="321">
        <f>C40*(C43*EF_el_N2O_BR+C44*EF_biofuel_N2O)</f>
        <v>1.3419073770114991E-5</v>
      </c>
      <c r="P26" s="323">
        <f>2.69/1000/296</f>
        <v>9.087837837837838E-6</v>
      </c>
      <c r="R26" t="s">
        <v>439</v>
      </c>
    </row>
    <row r="29" spans="1:18" ht="18.75" x14ac:dyDescent="0.3">
      <c r="A29" s="1" t="s">
        <v>440</v>
      </c>
    </row>
    <row r="31" spans="1:18" x14ac:dyDescent="0.25">
      <c r="A31" s="152" t="s">
        <v>396</v>
      </c>
      <c r="B31" s="153"/>
      <c r="C31" s="153"/>
      <c r="D31" s="153"/>
      <c r="E31" s="153"/>
      <c r="F31" s="154" t="s">
        <v>49</v>
      </c>
      <c r="G31" s="154" t="s">
        <v>423</v>
      </c>
      <c r="H31" s="154" t="s">
        <v>51</v>
      </c>
      <c r="I31" s="154" t="s">
        <v>52</v>
      </c>
      <c r="J31" s="155" t="s">
        <v>53</v>
      </c>
      <c r="K31" s="155" t="s">
        <v>54</v>
      </c>
      <c r="L31" s="155" t="s">
        <v>55</v>
      </c>
      <c r="M31" s="283"/>
      <c r="N31" s="284"/>
      <c r="O31" s="284"/>
      <c r="P31" s="285"/>
    </row>
    <row r="32" spans="1:18" ht="45" x14ac:dyDescent="0.25">
      <c r="A32" s="157" t="s">
        <v>59</v>
      </c>
      <c r="B32" s="157" t="s">
        <v>396</v>
      </c>
      <c r="C32" s="157" t="s">
        <v>399</v>
      </c>
      <c r="D32" s="157" t="s">
        <v>62</v>
      </c>
      <c r="E32" s="143" t="s">
        <v>63</v>
      </c>
      <c r="F32" s="163" t="s">
        <v>70</v>
      </c>
      <c r="G32" s="163" t="s">
        <v>424</v>
      </c>
      <c r="H32" s="163" t="s">
        <v>425</v>
      </c>
      <c r="I32" s="164" t="s">
        <v>73</v>
      </c>
      <c r="J32" s="165" t="s">
        <v>74</v>
      </c>
      <c r="K32" s="166" t="s">
        <v>75</v>
      </c>
      <c r="L32" s="166" t="s">
        <v>76</v>
      </c>
      <c r="M32" s="284"/>
    </row>
    <row r="33" spans="1:18" x14ac:dyDescent="0.25">
      <c r="A33" s="76" t="s">
        <v>430</v>
      </c>
      <c r="B33" s="16" t="s">
        <v>431</v>
      </c>
      <c r="C33" s="16" t="s">
        <v>441</v>
      </c>
      <c r="D33" t="s">
        <v>432</v>
      </c>
      <c r="E33" t="s">
        <v>442</v>
      </c>
      <c r="F33">
        <v>2.9987165493168924</v>
      </c>
      <c r="G33">
        <v>7.5567657042785688E-2</v>
      </c>
      <c r="H33">
        <v>6.5971764084971638E-3</v>
      </c>
      <c r="I33">
        <v>1E-3</v>
      </c>
      <c r="J33">
        <v>0.33775822794753041</v>
      </c>
      <c r="K33">
        <v>1.2385238539351947E-9</v>
      </c>
      <c r="L33">
        <v>5.4691734366476756E-5</v>
      </c>
    </row>
    <row r="34" spans="1:18" x14ac:dyDescent="0.25">
      <c r="A34" s="76" t="s">
        <v>430</v>
      </c>
      <c r="B34" s="16" t="s">
        <v>431</v>
      </c>
      <c r="C34" s="16" t="s">
        <v>441</v>
      </c>
      <c r="D34" t="s">
        <v>435</v>
      </c>
      <c r="E34" t="s">
        <v>443</v>
      </c>
      <c r="F34">
        <v>3.4374419931663649</v>
      </c>
      <c r="G34">
        <v>3.1968210536447196E-2</v>
      </c>
      <c r="H34">
        <v>1.7187209965831825E-3</v>
      </c>
      <c r="I34">
        <v>4.9999999999999992E-3</v>
      </c>
      <c r="J34">
        <v>0.31624466337130558</v>
      </c>
      <c r="K34">
        <v>3.055476859418395E-10</v>
      </c>
      <c r="L34">
        <v>2.0897792027420705E-4</v>
      </c>
    </row>
    <row r="36" spans="1:18" x14ac:dyDescent="0.25">
      <c r="A36" s="324" t="s">
        <v>436</v>
      </c>
      <c r="B36" s="325" t="s">
        <v>413</v>
      </c>
      <c r="C36" s="325" t="s">
        <v>444</v>
      </c>
      <c r="D36" s="325" t="s">
        <v>437</v>
      </c>
      <c r="E36" s="325"/>
      <c r="F36" s="326">
        <f>$C$40*AVERAGE(F33:F34)/$C$39</f>
        <v>2.5509164954964132</v>
      </c>
      <c r="G36" s="326">
        <f t="shared" ref="G36:L36" si="1">$C$40*AVERAGE(G33:G34)/$C$39</f>
        <v>4.2620923125915477E-2</v>
      </c>
      <c r="H36" s="327">
        <f t="shared" si="1"/>
        <v>3.2959349471355036E-3</v>
      </c>
      <c r="I36" s="327">
        <f t="shared" si="1"/>
        <v>2.3780487804878048E-3</v>
      </c>
      <c r="J36" s="326">
        <f t="shared" si="1"/>
        <v>0.25920846302270939</v>
      </c>
      <c r="K36" s="328">
        <f t="shared" si="1"/>
        <v>6.1197957373175144E-10</v>
      </c>
      <c r="L36" s="328">
        <f t="shared" si="1"/>
        <v>1.0450321677831981E-4</v>
      </c>
    </row>
    <row r="38" spans="1:18" x14ac:dyDescent="0.25">
      <c r="A38" s="114" t="s">
        <v>445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</row>
    <row r="39" spans="1:18" x14ac:dyDescent="0.25">
      <c r="A39" t="s">
        <v>446</v>
      </c>
      <c r="C39">
        <v>0.82</v>
      </c>
      <c r="R39" t="s">
        <v>447</v>
      </c>
    </row>
    <row r="40" spans="1:18" x14ac:dyDescent="0.25">
      <c r="A40" t="s">
        <v>448</v>
      </c>
      <c r="C40">
        <v>0.65</v>
      </c>
      <c r="R40" t="s">
        <v>447</v>
      </c>
    </row>
    <row r="42" spans="1:18" x14ac:dyDescent="0.25">
      <c r="A42" t="s">
        <v>449</v>
      </c>
    </row>
    <row r="43" spans="1:18" x14ac:dyDescent="0.25">
      <c r="A43" t="s">
        <v>450</v>
      </c>
      <c r="C43">
        <v>0.16600000000000001</v>
      </c>
      <c r="D43" t="s">
        <v>451</v>
      </c>
      <c r="G43" t="s">
        <v>519</v>
      </c>
      <c r="I43" s="11">
        <f>C43/(C43+C44)</f>
        <v>0.14574187884108869</v>
      </c>
      <c r="R43" t="s">
        <v>452</v>
      </c>
    </row>
    <row r="44" spans="1:18" x14ac:dyDescent="0.25">
      <c r="A44" t="s">
        <v>453</v>
      </c>
      <c r="C44">
        <v>0.97299999999999998</v>
      </c>
      <c r="D44" t="s">
        <v>451</v>
      </c>
      <c r="R44" t="s">
        <v>452</v>
      </c>
    </row>
    <row r="46" spans="1:18" x14ac:dyDescent="0.25">
      <c r="A46" t="s">
        <v>454</v>
      </c>
      <c r="R46" t="s">
        <v>455</v>
      </c>
    </row>
    <row r="49" spans="1:18" ht="18.75" x14ac:dyDescent="0.3">
      <c r="A49" s="272" t="s">
        <v>456</v>
      </c>
      <c r="B49" s="114"/>
      <c r="C49" s="114"/>
      <c r="D49" s="114"/>
      <c r="E49" s="114"/>
      <c r="F49" s="114"/>
      <c r="G49" s="114"/>
      <c r="H49" s="114"/>
      <c r="I49" s="114"/>
      <c r="J49" s="114"/>
      <c r="K49" s="114"/>
      <c r="L49" s="114"/>
      <c r="M49" s="114"/>
      <c r="N49" s="114"/>
      <c r="O49" s="114"/>
      <c r="P49" s="114"/>
    </row>
    <row r="51" spans="1:18" ht="18.75" x14ac:dyDescent="0.3">
      <c r="A51" s="1" t="s">
        <v>427</v>
      </c>
    </row>
    <row r="53" spans="1:18" x14ac:dyDescent="0.25">
      <c r="A53" s="273" t="s">
        <v>396</v>
      </c>
      <c r="B53" s="274"/>
      <c r="C53" s="274"/>
      <c r="D53" s="274"/>
      <c r="E53" s="275" t="s">
        <v>102</v>
      </c>
      <c r="F53" s="275" t="s">
        <v>103</v>
      </c>
      <c r="G53" s="276"/>
      <c r="H53" s="275" t="s">
        <v>104</v>
      </c>
      <c r="I53" s="277"/>
      <c r="J53" s="278" t="s">
        <v>105</v>
      </c>
      <c r="K53" s="277"/>
      <c r="L53" s="277"/>
      <c r="M53" s="277"/>
      <c r="N53" s="278" t="s">
        <v>106</v>
      </c>
      <c r="O53" s="278" t="s">
        <v>397</v>
      </c>
      <c r="P53" s="278" t="s">
        <v>107</v>
      </c>
    </row>
    <row r="54" spans="1:18" ht="60" x14ac:dyDescent="0.25">
      <c r="A54" s="279" t="s">
        <v>59</v>
      </c>
      <c r="B54" s="279" t="s">
        <v>396</v>
      </c>
      <c r="C54" s="279" t="s">
        <v>111</v>
      </c>
      <c r="D54" s="280" t="s">
        <v>428</v>
      </c>
      <c r="E54" s="281"/>
      <c r="F54" s="51" t="s">
        <v>11</v>
      </c>
      <c r="G54" s="51" t="s">
        <v>12</v>
      </c>
      <c r="H54" s="51" t="s">
        <v>400</v>
      </c>
      <c r="I54" s="51" t="s">
        <v>401</v>
      </c>
      <c r="J54" s="51" t="s">
        <v>116</v>
      </c>
      <c r="K54" s="51" t="s">
        <v>117</v>
      </c>
      <c r="L54" s="51" t="s">
        <v>118</v>
      </c>
      <c r="M54" s="51" t="s">
        <v>119</v>
      </c>
      <c r="N54" s="51" t="s">
        <v>120</v>
      </c>
      <c r="O54" s="51"/>
      <c r="P54" s="51"/>
      <c r="R54" s="282"/>
    </row>
    <row r="55" spans="1:18" x14ac:dyDescent="0.25">
      <c r="A55" t="s">
        <v>457</v>
      </c>
      <c r="B55" t="s">
        <v>458</v>
      </c>
      <c r="C55" t="s">
        <v>133</v>
      </c>
      <c r="D55" t="s">
        <v>27</v>
      </c>
      <c r="E55" s="4">
        <f>SUMPRODUCT(E56:E59,'Parameters, general'!$B$13:$B$16)</f>
        <v>0.86652859022920592</v>
      </c>
      <c r="F55" s="4">
        <f>SUMPRODUCT(F56:F59,'Parameters, general'!$B$13:$B$16)</f>
        <v>0.45006858113490861</v>
      </c>
      <c r="G55" s="4">
        <f>SUMPRODUCT(G56:G59,'Parameters, general'!$B$13:$B$16)</f>
        <v>3.01313E-2</v>
      </c>
      <c r="H55" s="4">
        <f>SUMPRODUCT(H56:H59,'Parameters, general'!$B$13:$B$16)</f>
        <v>0.24176008201732435</v>
      </c>
      <c r="I55" s="4">
        <f>SUMPRODUCT(I56:I59,'Parameters, general'!$B$13:$B$16)</f>
        <v>2.4176008201732439E-2</v>
      </c>
      <c r="J55" s="4">
        <f>SUMPRODUCT(J56:J59,'Parameters, general'!$B$13:$B$16)</f>
        <v>4.9915761667236082E-2</v>
      </c>
      <c r="K55" s="4">
        <f>SUMPRODUCT(K56:K59,'Parameters, general'!$B$13:$B$16)</f>
        <v>0</v>
      </c>
      <c r="L55" s="4">
        <f>SUMPRODUCT(L56:L59,'Parameters, general'!$B$13:$B$16)</f>
        <v>1.0835356499705141E-3</v>
      </c>
      <c r="M55" s="4">
        <f>SUMPRODUCT(M56:M59,'Parameters, general'!$B$13:$B$16)</f>
        <v>6.9393321558033794E-2</v>
      </c>
      <c r="N55" s="4">
        <f>SUMPRODUCT(N56:N59,'Parameters, general'!$B$13:$B$16)</f>
        <v>0</v>
      </c>
      <c r="O55" s="4">
        <f>SUMPRODUCT(O56:O59,'Parameters, general'!$B$13:$B$16)</f>
        <v>0</v>
      </c>
      <c r="P55" s="4">
        <f>SUMPRODUCT(P56:P59,'Parameters, general'!$B$13:$B$16)</f>
        <v>0</v>
      </c>
      <c r="R55" s="127"/>
    </row>
    <row r="56" spans="1:18" x14ac:dyDescent="0.25">
      <c r="A56" t="s">
        <v>457</v>
      </c>
      <c r="B56" t="s">
        <v>458</v>
      </c>
      <c r="C56" t="s">
        <v>129</v>
      </c>
      <c r="D56" t="s">
        <v>27</v>
      </c>
      <c r="E56" s="4">
        <f t="shared" ref="E56:E59" si="2">SUM(F56:P56)</f>
        <v>0.47425566700327737</v>
      </c>
      <c r="F56" s="4">
        <v>0.32956752885768148</v>
      </c>
      <c r="G56" s="4">
        <v>2.7E-2</v>
      </c>
      <c r="H56" s="4">
        <v>0</v>
      </c>
      <c r="I56" s="4"/>
      <c r="J56" s="4">
        <v>4.891131826833911E-2</v>
      </c>
      <c r="K56" s="4"/>
      <c r="L56" s="4">
        <v>9.7536596990677009E-4</v>
      </c>
      <c r="M56" s="4">
        <v>6.7801453907350012E-2</v>
      </c>
      <c r="N56" s="5"/>
      <c r="O56" s="4"/>
      <c r="P56" s="4"/>
    </row>
    <row r="57" spans="1:18" x14ac:dyDescent="0.25">
      <c r="A57" t="s">
        <v>457</v>
      </c>
      <c r="B57" t="s">
        <v>458</v>
      </c>
      <c r="C57" t="s">
        <v>130</v>
      </c>
      <c r="D57" t="s">
        <v>27</v>
      </c>
      <c r="E57" s="4">
        <f t="shared" si="2"/>
        <v>4.9941072237528225E-4</v>
      </c>
      <c r="F57" s="34">
        <v>3.4898905873400086E-4</v>
      </c>
      <c r="G57" s="34">
        <v>9.5000000000000005E-5</v>
      </c>
      <c r="H57" s="34"/>
      <c r="I57" s="34"/>
      <c r="J57" s="34">
        <v>2.1666064717653378E-5</v>
      </c>
      <c r="K57" s="34"/>
      <c r="L57" s="34">
        <v>3.2620746600000001E-6</v>
      </c>
      <c r="M57" s="34">
        <v>3.0493524263628008E-5</v>
      </c>
      <c r="N57" s="34"/>
      <c r="O57" s="34"/>
      <c r="P57" s="34"/>
    </row>
    <row r="58" spans="1:18" x14ac:dyDescent="0.25">
      <c r="A58" t="s">
        <v>457</v>
      </c>
      <c r="B58" t="s">
        <v>458</v>
      </c>
      <c r="C58" t="s">
        <v>434</v>
      </c>
      <c r="D58" t="s">
        <v>27</v>
      </c>
      <c r="E58" s="4">
        <f t="shared" si="2"/>
        <v>0</v>
      </c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</row>
    <row r="59" spans="1:18" x14ac:dyDescent="0.25">
      <c r="A59" t="s">
        <v>457</v>
      </c>
      <c r="B59" t="s">
        <v>458</v>
      </c>
      <c r="C59" t="s">
        <v>132</v>
      </c>
      <c r="D59" t="s">
        <v>27</v>
      </c>
      <c r="E59" s="4">
        <f t="shared" si="2"/>
        <v>1.3823827241726927E-3</v>
      </c>
      <c r="F59" s="34">
        <v>4.0330101951265181E-4</v>
      </c>
      <c r="G59" s="34">
        <v>1.1000000000000001E-6</v>
      </c>
      <c r="H59" s="34">
        <v>8.8556806599752514E-4</v>
      </c>
      <c r="I59" s="34">
        <v>8.8556806599752522E-5</v>
      </c>
      <c r="J59" s="34">
        <v>1.314266191615013E-6</v>
      </c>
      <c r="K59" s="34"/>
      <c r="L59" s="34">
        <v>4.014598972799999E-8</v>
      </c>
      <c r="M59" s="34">
        <v>2.50241988142E-6</v>
      </c>
      <c r="N59" s="34"/>
      <c r="O59" s="34"/>
      <c r="P59" s="34"/>
    </row>
    <row r="60" spans="1:18" x14ac:dyDescent="0.25"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</row>
    <row r="61" spans="1:18" x14ac:dyDescent="0.25">
      <c r="A61" t="s">
        <v>457</v>
      </c>
      <c r="B61" t="s">
        <v>458</v>
      </c>
      <c r="C61" t="s">
        <v>133</v>
      </c>
      <c r="D61" t="s">
        <v>30</v>
      </c>
      <c r="E61" s="4">
        <f>SUMPRODUCT(E62:E65,'Parameters, general'!$B$13:$B$16)</f>
        <v>0.72542566300783895</v>
      </c>
      <c r="F61" s="4">
        <f>SUMPRODUCT(F62:F65,'Parameters, general'!$B$13:$B$16)</f>
        <v>0.30299497425616784</v>
      </c>
      <c r="G61" s="4">
        <f>SUMPRODUCT(G62:G65,'Parameters, general'!$B$13:$B$16)</f>
        <v>3.01313E-2</v>
      </c>
      <c r="H61" s="4">
        <f>SUMPRODUCT(H62:H65,'Parameters, general'!$B$13:$B$16)</f>
        <v>0.24176008201732435</v>
      </c>
      <c r="I61" s="4">
        <f>SUMPRODUCT(I62:I65,'Parameters, general'!$B$13:$B$16)</f>
        <v>2.4176008201732439E-2</v>
      </c>
      <c r="J61" s="4">
        <f>SUMPRODUCT(J62:J65,'Parameters, general'!$B$13:$B$16)</f>
        <v>4.8839231914042686E-2</v>
      </c>
      <c r="K61" s="4">
        <f>SUMPRODUCT(K62:K65,'Parameters, general'!$B$13:$B$16)</f>
        <v>0</v>
      </c>
      <c r="L61" s="4">
        <f>SUMPRODUCT(L62:L65,'Parameters, general'!$B$13:$B$16)</f>
        <v>1.6669779230315599E-4</v>
      </c>
      <c r="M61" s="4">
        <f>SUMPRODUCT(M62:M65,'Parameters, general'!$B$13:$B$16)</f>
        <v>7.735736882626848E-2</v>
      </c>
      <c r="N61" s="4">
        <f>SUMPRODUCT(N62:N65,'Parameters, general'!$B$13:$B$16)</f>
        <v>0</v>
      </c>
      <c r="O61" s="4">
        <f>SUMPRODUCT(O62:O65,'Parameters, general'!$B$13:$B$16)</f>
        <v>0</v>
      </c>
      <c r="P61" s="4">
        <f>SUMPRODUCT(P62:P65,'Parameters, general'!$B$13:$B$16)</f>
        <v>0</v>
      </c>
      <c r="R61" s="127"/>
    </row>
    <row r="62" spans="1:18" x14ac:dyDescent="0.25">
      <c r="A62" t="s">
        <v>457</v>
      </c>
      <c r="B62" t="s">
        <v>458</v>
      </c>
      <c r="C62" t="s">
        <v>129</v>
      </c>
      <c r="D62" t="s">
        <v>30</v>
      </c>
      <c r="E62" s="4">
        <f t="shared" ref="E62:E65" si="3">SUM(F62:P62)</f>
        <v>0.33282969749060426</v>
      </c>
      <c r="F62" s="4">
        <v>0.18249392197894071</v>
      </c>
      <c r="G62" s="4">
        <v>2.7E-2</v>
      </c>
      <c r="H62" s="4">
        <v>0</v>
      </c>
      <c r="I62" s="4"/>
      <c r="J62" s="4">
        <v>4.7856451275928968E-2</v>
      </c>
      <c r="K62" s="4"/>
      <c r="L62" s="4">
        <v>1.5005630306258E-4</v>
      </c>
      <c r="M62" s="4">
        <v>7.5329267932672014E-2</v>
      </c>
      <c r="N62" s="5"/>
      <c r="O62" s="4"/>
      <c r="P62" s="4"/>
    </row>
    <row r="63" spans="1:18" x14ac:dyDescent="0.25">
      <c r="A63" t="s">
        <v>457</v>
      </c>
      <c r="B63" t="s">
        <v>458</v>
      </c>
      <c r="C63" t="s">
        <v>130</v>
      </c>
      <c r="D63" t="s">
        <v>30</v>
      </c>
      <c r="E63" s="4">
        <f t="shared" si="3"/>
        <v>5.0851433192470826E-4</v>
      </c>
      <c r="F63" s="34">
        <v>3.4898905873400086E-4</v>
      </c>
      <c r="G63" s="34">
        <v>9.5000000000000005E-5</v>
      </c>
      <c r="H63" s="34"/>
      <c r="I63" s="34"/>
      <c r="J63" s="34">
        <v>2.1198794209819431E-5</v>
      </c>
      <c r="K63" s="34"/>
      <c r="L63" s="34">
        <v>5.0185763999999998E-7</v>
      </c>
      <c r="M63" s="34">
        <v>4.2824621340888011E-5</v>
      </c>
      <c r="N63" s="286"/>
      <c r="O63" s="286"/>
      <c r="P63" s="286"/>
    </row>
    <row r="64" spans="1:18" x14ac:dyDescent="0.25">
      <c r="A64" t="s">
        <v>457</v>
      </c>
      <c r="B64" t="s">
        <v>458</v>
      </c>
      <c r="C64" t="s">
        <v>434</v>
      </c>
      <c r="D64" t="s">
        <v>30</v>
      </c>
      <c r="E64" s="4">
        <f t="shared" si="3"/>
        <v>0</v>
      </c>
      <c r="F64" s="286"/>
      <c r="G64" s="286"/>
      <c r="H64" s="286"/>
      <c r="I64" s="286"/>
      <c r="J64" s="286"/>
      <c r="K64" s="286"/>
      <c r="L64" s="286"/>
      <c r="M64" s="286"/>
      <c r="N64" s="286"/>
      <c r="O64" s="286"/>
      <c r="P64" s="286"/>
    </row>
    <row r="65" spans="1:18" x14ac:dyDescent="0.25">
      <c r="A65" t="s">
        <v>457</v>
      </c>
      <c r="B65" t="s">
        <v>458</v>
      </c>
      <c r="C65" t="s">
        <v>132</v>
      </c>
      <c r="D65" t="s">
        <v>30</v>
      </c>
      <c r="E65" s="4">
        <f t="shared" si="3"/>
        <v>1.3825723019262944E-3</v>
      </c>
      <c r="F65" s="34">
        <v>4.0330101951265175E-4</v>
      </c>
      <c r="G65" s="34">
        <v>1.1000000000000001E-6</v>
      </c>
      <c r="H65" s="34">
        <v>8.8556806599752514E-4</v>
      </c>
      <c r="I65" s="34">
        <v>8.8556806599752522E-5</v>
      </c>
      <c r="J65" s="34">
        <v>1.2859215042530965E-6</v>
      </c>
      <c r="K65" s="34"/>
      <c r="L65" s="34">
        <v>6.1763061119999986E-9</v>
      </c>
      <c r="M65" s="34">
        <v>2.7543120060000002E-6</v>
      </c>
      <c r="N65" s="286"/>
      <c r="O65" s="286"/>
      <c r="P65" s="286"/>
    </row>
    <row r="66" spans="1:18" x14ac:dyDescent="0.25"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</row>
    <row r="67" spans="1:18" x14ac:dyDescent="0.25">
      <c r="A67" t="s">
        <v>457</v>
      </c>
      <c r="B67" t="s">
        <v>458</v>
      </c>
      <c r="C67" t="s">
        <v>133</v>
      </c>
      <c r="D67" t="s">
        <v>29</v>
      </c>
      <c r="E67" s="4">
        <f>SUMPRODUCT(E68:E71,'Parameters, general'!$B$13:$B$16)</f>
        <v>0.74513506580091904</v>
      </c>
      <c r="F67" s="4">
        <f>SUMPRODUCT(F68:F71,'Parameters, general'!$B$13:$B$16)</f>
        <v>0.30299497425616784</v>
      </c>
      <c r="G67" s="4">
        <f>SUMPRODUCT(G68:G71,'Parameters, general'!$B$13:$B$16)</f>
        <v>3.01313E-2</v>
      </c>
      <c r="H67" s="4">
        <f>SUMPRODUCT(H68:H71,'Parameters, general'!$B$13:$B$16)</f>
        <v>0.24176008201732432</v>
      </c>
      <c r="I67" s="4">
        <f>SUMPRODUCT(I68:I71,'Parameters, general'!$B$13:$B$16)</f>
        <v>2.4176008201732435E-2</v>
      </c>
      <c r="J67" s="4">
        <f>SUMPRODUCT(J68:J71,'Parameters, general'!$B$13:$B$16)</f>
        <v>5.7818585001554686E-2</v>
      </c>
      <c r="K67" s="4">
        <f>SUMPRODUCT(K68:K71,'Parameters, general'!$B$13:$B$16)</f>
        <v>0</v>
      </c>
      <c r="L67" s="4">
        <f>SUMPRODUCT(L68:L71,'Parameters, general'!$B$13:$B$16)</f>
        <v>8.3348896151578009E-5</v>
      </c>
      <c r="M67" s="4">
        <f>SUMPRODUCT(M68:M71,'Parameters, general'!$B$13:$B$16)</f>
        <v>8.8170767427988142E-2</v>
      </c>
      <c r="N67" s="4"/>
      <c r="O67" s="4">
        <f>SUMPRODUCT(O68:O71,'Parameters, general'!$B$13:$B$16)</f>
        <v>0</v>
      </c>
      <c r="P67" s="4">
        <f>SUMPRODUCT(P68:P71,'Parameters, general'!$B$13:$B$16)</f>
        <v>0</v>
      </c>
      <c r="R67" s="127"/>
    </row>
    <row r="68" spans="1:18" x14ac:dyDescent="0.25">
      <c r="A68" t="s">
        <v>457</v>
      </c>
      <c r="B68" t="s">
        <v>458</v>
      </c>
      <c r="C68" t="s">
        <v>129</v>
      </c>
      <c r="D68" t="s">
        <v>29</v>
      </c>
      <c r="E68" s="4">
        <f t="shared" ref="E68:E71" si="4">SUM(F68:P68)</f>
        <v>0.35179228624786635</v>
      </c>
      <c r="F68" s="4">
        <v>0.18249392197894071</v>
      </c>
      <c r="G68" s="4">
        <v>2.7E-2</v>
      </c>
      <c r="H68" s="4">
        <v>0</v>
      </c>
      <c r="I68" s="4"/>
      <c r="J68" s="4">
        <v>5.6655114905164373E-2</v>
      </c>
      <c r="K68" s="4"/>
      <c r="L68" s="4">
        <v>7.5028151531290012E-5</v>
      </c>
      <c r="M68" s="4">
        <v>8.5568221212230011E-2</v>
      </c>
      <c r="N68" s="5"/>
      <c r="O68" s="4"/>
      <c r="P68" s="4"/>
    </row>
    <row r="69" spans="1:18" x14ac:dyDescent="0.25">
      <c r="A69" t="s">
        <v>457</v>
      </c>
      <c r="B69" t="s">
        <v>458</v>
      </c>
      <c r="C69" t="s">
        <v>130</v>
      </c>
      <c r="D69" t="s">
        <v>29</v>
      </c>
      <c r="E69" s="4">
        <f t="shared" si="4"/>
        <v>5.3201630943650285E-4</v>
      </c>
      <c r="F69" s="4">
        <v>3.4898905873400081E-4</v>
      </c>
      <c r="G69" s="4">
        <v>9.5000000000000005E-5</v>
      </c>
      <c r="H69" s="4"/>
      <c r="I69" s="4"/>
      <c r="J69" s="4">
        <v>2.5096305509229163E-5</v>
      </c>
      <c r="K69" s="4"/>
      <c r="L69" s="4">
        <v>2.5092882000000005E-7</v>
      </c>
      <c r="M69" s="4">
        <v>6.2680016373272817E-5</v>
      </c>
      <c r="N69" s="4"/>
      <c r="O69" s="4"/>
      <c r="P69" s="4"/>
    </row>
    <row r="70" spans="1:18" x14ac:dyDescent="0.25">
      <c r="A70" t="s">
        <v>457</v>
      </c>
      <c r="B70" t="s">
        <v>458</v>
      </c>
      <c r="C70" t="s">
        <v>434</v>
      </c>
      <c r="D70" t="s">
        <v>29</v>
      </c>
      <c r="E70" s="4">
        <f t="shared" si="4"/>
        <v>0</v>
      </c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</row>
    <row r="71" spans="1:18" x14ac:dyDescent="0.25">
      <c r="A71" t="s">
        <v>457</v>
      </c>
      <c r="B71" t="s">
        <v>458</v>
      </c>
      <c r="C71" t="s">
        <v>132</v>
      </c>
      <c r="D71" t="s">
        <v>29</v>
      </c>
      <c r="E71" s="4">
        <f t="shared" si="4"/>
        <v>1.382742467149615E-3</v>
      </c>
      <c r="F71" s="4">
        <v>4.033010195126517E-4</v>
      </c>
      <c r="G71" s="4">
        <v>1.1000000000000001E-6</v>
      </c>
      <c r="H71" s="286">
        <v>8.8556806599752503E-4</v>
      </c>
      <c r="I71" s="4">
        <v>8.8556806599752509E-5</v>
      </c>
      <c r="J71" s="4">
        <v>1.5223450264296012E-6</v>
      </c>
      <c r="K71" s="4"/>
      <c r="L71" s="4">
        <v>3.0881530559999997E-9</v>
      </c>
      <c r="M71" s="4">
        <v>2.6911418602000003E-6</v>
      </c>
      <c r="N71" s="4"/>
      <c r="O71" s="4"/>
      <c r="P71" s="4"/>
    </row>
    <row r="72" spans="1:18" x14ac:dyDescent="0.25"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</row>
    <row r="73" spans="1:18" x14ac:dyDescent="0.25">
      <c r="A73" t="s">
        <v>459</v>
      </c>
      <c r="B73" t="s">
        <v>456</v>
      </c>
      <c r="C73" t="s">
        <v>133</v>
      </c>
      <c r="D73" t="s">
        <v>460</v>
      </c>
      <c r="E73" s="4">
        <f>SUMPRODUCT(E74:E77,'Parameters, general'!$B$13:$B$16)</f>
        <v>0.46603913502229222</v>
      </c>
      <c r="F73" s="4">
        <f>SUMPRODUCT(F74:F77,'Parameters, general'!$B$13:$B$16)</f>
        <v>0.16994045304668304</v>
      </c>
      <c r="G73" s="4">
        <f>SUMPRODUCT(G74:G77,'Parameters, general'!$B$13:$B$16)</f>
        <v>1.454614482758621E-2</v>
      </c>
      <c r="H73" s="4">
        <f>SUMPRODUCT(H74:H77,'Parameters, general'!$B$13:$B$16)</f>
        <v>0.11671176373250142</v>
      </c>
      <c r="I73" s="4">
        <f>SUMPRODUCT(I74:I77,'Parameters, general'!$B$13:$B$16)</f>
        <v>1.1671176373250144E-2</v>
      </c>
      <c r="J73" s="4">
        <f>SUMPRODUCT(J74:J77,'Parameters, general'!$B$13:$B$16)</f>
        <v>2.5195748277697338E-2</v>
      </c>
      <c r="K73" s="4"/>
      <c r="L73" s="4">
        <f>SUMPRODUCT(L74:L77,'Parameters, general'!$B$13:$B$16)</f>
        <v>2.1459945675808594E-4</v>
      </c>
      <c r="M73" s="4">
        <f>SUMPRODUCT(M74:M77,'Parameters, general'!$B$13:$B$16)</f>
        <v>3.7803452981288115E-2</v>
      </c>
      <c r="N73" s="4"/>
      <c r="O73" s="4">
        <f>SUMPRODUCT(O74:O77,'Parameters, general'!$B$13:$B$16)</f>
        <v>2.3613703053907385E-2</v>
      </c>
      <c r="P73" s="4">
        <f>SUMPRODUCT(P74:P77,'Parameters, general'!$B$13:$B$16)</f>
        <v>6.6342093272620445E-2</v>
      </c>
      <c r="R73" s="168" t="s">
        <v>491</v>
      </c>
    </row>
    <row r="74" spans="1:18" x14ac:dyDescent="0.25">
      <c r="A74" s="317" t="s">
        <v>459</v>
      </c>
      <c r="B74" s="318" t="s">
        <v>456</v>
      </c>
      <c r="C74" s="318" t="s">
        <v>129</v>
      </c>
      <c r="D74" s="318" t="s">
        <v>460</v>
      </c>
      <c r="E74" s="319">
        <f>SUM(F74:P74)</f>
        <v>0.27085685084992916</v>
      </c>
      <c r="F74" s="319">
        <f>$C$92*(AVERAGE(F56,F62,F68))/$C$91</f>
        <v>0.11176753125767681</v>
      </c>
      <c r="G74" s="319">
        <f>$C$92*(AVERAGE(G56,G62,G68))/$C$91</f>
        <v>1.3034482758620692E-2</v>
      </c>
      <c r="H74" s="319">
        <f>$C$92*(AVERAGE(H56,H62,H68))/$C$91</f>
        <v>0</v>
      </c>
      <c r="I74" s="319"/>
      <c r="J74" s="319">
        <f>$C$92*(AVERAGE(J56,J62,J68))/$C$91</f>
        <v>2.4688740026345454E-2</v>
      </c>
      <c r="K74" s="319"/>
      <c r="L74" s="319">
        <f>$C$92*(AVERAGE(L56,L62,L68))/$C$91</f>
        <v>1.931759303794134E-4</v>
      </c>
      <c r="M74" s="319">
        <f>$C$92*(AVERAGE(M56,M62,M68))/$C$91</f>
        <v>3.6802128767029069E-2</v>
      </c>
      <c r="N74" s="319"/>
      <c r="O74" s="319">
        <f>C92*(C95*AVERAGE(EF_el_CO2_FR,EF_el_CO2_DE,EF_el_CO2_PL)+C96*EF_biofuels_CO2)</f>
        <v>2.1170792109877701E-2</v>
      </c>
      <c r="P74" s="320">
        <f>63.2/1000</f>
        <v>6.3200000000000006E-2</v>
      </c>
      <c r="R74" t="s">
        <v>520</v>
      </c>
    </row>
    <row r="75" spans="1:18" x14ac:dyDescent="0.25">
      <c r="A75" s="197" t="s">
        <v>459</v>
      </c>
      <c r="B75" t="s">
        <v>456</v>
      </c>
      <c r="C75" t="s">
        <v>130</v>
      </c>
      <c r="D75" t="s">
        <v>460</v>
      </c>
      <c r="E75" s="4">
        <f>SUM(F75:P75)</f>
        <v>3.8246443678729497E-4</v>
      </c>
      <c r="F75" s="4">
        <f>$C$92*(AVERAGE(F57,F63,F69))/$C$91</f>
        <v>1.684774766302073E-4</v>
      </c>
      <c r="G75" s="4">
        <f>$C$92*(AVERAGE(G57,G63,G69))/$C$91</f>
        <v>4.5862068965517246E-5</v>
      </c>
      <c r="H75" s="4"/>
      <c r="I75" s="4"/>
      <c r="J75" s="4">
        <f>$C$92*(AVERAGE(J57,J63,J69))/$C$91</f>
        <v>1.0936279334641699E-5</v>
      </c>
      <c r="K75" s="4"/>
      <c r="L75" s="4">
        <f>$C$92*(AVERAGE(L57,L63,L69))/$C$91</f>
        <v>6.4606960551724142E-7</v>
      </c>
      <c r="M75" s="4">
        <f>$C$92*(AVERAGE(M57,M63,M69))/$C$91</f>
        <v>2.1884761697575221E-5</v>
      </c>
      <c r="N75" s="4"/>
      <c r="O75" s="4">
        <f>C92*(C95*AVERAGE(EF_el_CH4_FR,EF_el_CH4_DE,EF_el_CH4_PL)+C96*EF_biofuel_CH4)</f>
        <v>4.5962128379923281E-5</v>
      </c>
      <c r="P75" s="211">
        <f>2.04/1000/23</f>
        <v>8.8695652173913049E-5</v>
      </c>
      <c r="R75" t="s">
        <v>521</v>
      </c>
    </row>
    <row r="76" spans="1:18" x14ac:dyDescent="0.25">
      <c r="A76" s="197" t="s">
        <v>459</v>
      </c>
      <c r="B76" t="s">
        <v>456</v>
      </c>
      <c r="C76" t="s">
        <v>434</v>
      </c>
      <c r="D76" t="s">
        <v>460</v>
      </c>
      <c r="E76" s="4">
        <f>SUM(F76:P76)</f>
        <v>0</v>
      </c>
      <c r="F76" s="4"/>
      <c r="G76" s="4"/>
      <c r="H76" s="4"/>
      <c r="I76" s="4"/>
      <c r="J76" s="4"/>
      <c r="K76" s="4"/>
      <c r="L76" s="4"/>
      <c r="M76" s="4"/>
      <c r="N76" s="4"/>
      <c r="O76" s="4"/>
      <c r="P76" s="211"/>
    </row>
    <row r="77" spans="1:18" x14ac:dyDescent="0.25">
      <c r="A77" s="234" t="s">
        <v>459</v>
      </c>
      <c r="B77" s="235" t="s">
        <v>456</v>
      </c>
      <c r="C77" s="235" t="s">
        <v>132</v>
      </c>
      <c r="D77" s="235" t="s">
        <v>460</v>
      </c>
      <c r="E77" s="321">
        <f>SUM(F77:P77)</f>
        <v>6.732045566157569E-4</v>
      </c>
      <c r="F77" s="321">
        <f>$C$92*(AVERAGE(F59,F65,F71))/$C$91</f>
        <v>1.946970439026595E-4</v>
      </c>
      <c r="G77" s="321">
        <f>$C$92*(AVERAGE(G59,G65,G71))/$C$91</f>
        <v>5.3103448275862083E-7</v>
      </c>
      <c r="H77" s="329">
        <f>$C$92*(AVERAGE(H59,H65,H71))/$C$91</f>
        <v>4.2751561806777074E-4</v>
      </c>
      <c r="I77" s="322">
        <f>$C$92*(AVERAGE(I59,I65,I71))/$C$91</f>
        <v>4.2751561806777089E-5</v>
      </c>
      <c r="J77" s="321">
        <f>$C$92*(AVERAGE(J59,J65,J71))/$C$91</f>
        <v>6.6339607025480414E-7</v>
      </c>
      <c r="K77" s="321"/>
      <c r="L77" s="321">
        <f>$C$92*(AVERAGE(L59,L65,L71))/$C$91</f>
        <v>7.9511067188965511E-9</v>
      </c>
      <c r="M77" s="321">
        <f>$C$92*(AVERAGE(M59,M65,M71))/$C$91</f>
        <v>1.2789681892721844E-6</v>
      </c>
      <c r="N77" s="321"/>
      <c r="O77" s="321">
        <f>C92*(C95*AVERAGE(EF_el_N2O_FR,EF_el_N2O_DE,EF_el_N2O_PL)+C96*EF_biofuel_N2O)</f>
        <v>3.9312802868423834E-6</v>
      </c>
      <c r="P77" s="323">
        <f>0.541/1000/296</f>
        <v>1.8277027027027027E-6</v>
      </c>
      <c r="R77" t="s">
        <v>521</v>
      </c>
    </row>
    <row r="80" spans="1:18" ht="18.75" x14ac:dyDescent="0.3">
      <c r="A80" s="1" t="s">
        <v>440</v>
      </c>
    </row>
    <row r="82" spans="1:18" x14ac:dyDescent="0.25">
      <c r="A82" s="152" t="s">
        <v>396</v>
      </c>
      <c r="B82" s="153"/>
      <c r="C82" s="153"/>
      <c r="D82" s="153"/>
      <c r="E82" s="153"/>
      <c r="F82" s="154" t="s">
        <v>49</v>
      </c>
      <c r="G82" s="154" t="s">
        <v>423</v>
      </c>
      <c r="H82" s="154" t="s">
        <v>51</v>
      </c>
      <c r="I82" s="154" t="s">
        <v>52</v>
      </c>
      <c r="J82" s="155" t="s">
        <v>53</v>
      </c>
      <c r="K82" s="155" t="s">
        <v>54</v>
      </c>
      <c r="L82" s="155" t="s">
        <v>55</v>
      </c>
      <c r="M82" s="283"/>
      <c r="N82" s="284"/>
      <c r="O82" s="284"/>
      <c r="P82" s="285"/>
    </row>
    <row r="83" spans="1:18" ht="45" x14ac:dyDescent="0.25">
      <c r="A83" s="157" t="s">
        <v>59</v>
      </c>
      <c r="B83" s="157" t="s">
        <v>396</v>
      </c>
      <c r="C83" s="157" t="s">
        <v>399</v>
      </c>
      <c r="D83" s="157" t="s">
        <v>62</v>
      </c>
      <c r="E83" s="143" t="s">
        <v>63</v>
      </c>
      <c r="F83" s="163" t="s">
        <v>70</v>
      </c>
      <c r="G83" s="163" t="s">
        <v>424</v>
      </c>
      <c r="H83" s="163" t="s">
        <v>425</v>
      </c>
      <c r="I83" s="164" t="s">
        <v>73</v>
      </c>
      <c r="J83" s="165" t="s">
        <v>74</v>
      </c>
      <c r="K83" s="166" t="s">
        <v>75</v>
      </c>
      <c r="L83" s="166" t="s">
        <v>76</v>
      </c>
      <c r="M83" s="284"/>
    </row>
    <row r="84" spans="1:18" x14ac:dyDescent="0.25">
      <c r="A84" s="197" t="s">
        <v>459</v>
      </c>
      <c r="B84" t="s">
        <v>456</v>
      </c>
      <c r="C84" s="16" t="s">
        <v>444</v>
      </c>
      <c r="D84" t="s">
        <v>27</v>
      </c>
      <c r="E84" t="s">
        <v>84</v>
      </c>
      <c r="F84">
        <v>3.0504172970862418</v>
      </c>
      <c r="G84">
        <v>8.5168018539976825E-2</v>
      </c>
      <c r="H84">
        <v>9.2699884125144842E-3</v>
      </c>
      <c r="I84">
        <v>1.2999999999999999E-2</v>
      </c>
      <c r="J84">
        <v>0.66988842289432138</v>
      </c>
      <c r="K84">
        <v>8.7948296566190488E-10</v>
      </c>
      <c r="L84">
        <v>5.1777558497692056E-3</v>
      </c>
    </row>
    <row r="85" spans="1:18" x14ac:dyDescent="0.25">
      <c r="A85" s="197" t="s">
        <v>459</v>
      </c>
      <c r="B85" t="s">
        <v>456</v>
      </c>
      <c r="C85" s="16" t="s">
        <v>444</v>
      </c>
      <c r="D85" t="s">
        <v>30</v>
      </c>
      <c r="E85" t="s">
        <v>85</v>
      </c>
      <c r="F85">
        <v>2.9846291598268917</v>
      </c>
      <c r="G85">
        <v>8.5168018539976825E-2</v>
      </c>
      <c r="H85">
        <v>9.2699884125144842E-3</v>
      </c>
      <c r="I85">
        <v>2E-3</v>
      </c>
      <c r="J85">
        <v>0.49457909998667982</v>
      </c>
      <c r="K85">
        <v>8.6318221922557154E-11</v>
      </c>
      <c r="L85">
        <v>5.1777558497692056E-3</v>
      </c>
    </row>
    <row r="86" spans="1:18" x14ac:dyDescent="0.25">
      <c r="A86" s="197" t="s">
        <v>459</v>
      </c>
      <c r="B86" t="s">
        <v>456</v>
      </c>
      <c r="C86" s="16" t="s">
        <v>444</v>
      </c>
      <c r="D86" t="s">
        <v>29</v>
      </c>
      <c r="E86" t="s">
        <v>91</v>
      </c>
      <c r="F86">
        <v>3.5333691381405998</v>
      </c>
      <c r="G86">
        <v>8.5168018539976825E-2</v>
      </c>
      <c r="H86">
        <v>9.2699884125144842E-3</v>
      </c>
      <c r="I86">
        <v>1E-3</v>
      </c>
      <c r="J86">
        <v>0.66057946682742008</v>
      </c>
      <c r="K86">
        <v>1.3877157734405748E-10</v>
      </c>
      <c r="L86">
        <v>5.1777558497692056E-3</v>
      </c>
    </row>
    <row r="88" spans="1:18" x14ac:dyDescent="0.25">
      <c r="A88" s="330" t="s">
        <v>459</v>
      </c>
      <c r="B88" s="325" t="s">
        <v>456</v>
      </c>
      <c r="C88" s="325" t="s">
        <v>444</v>
      </c>
      <c r="D88" s="325" t="s">
        <v>460</v>
      </c>
      <c r="E88" s="325"/>
      <c r="F88" s="326">
        <f>$C$92*AVERAGE(F84:F86)/$C$91</f>
        <v>1.5397450382845088</v>
      </c>
      <c r="G88" s="326">
        <f t="shared" ref="G88:L88" si="5">$C$92*AVERAGE(G84:G86)/$C$91</f>
        <v>4.1115595157230206E-2</v>
      </c>
      <c r="H88" s="327">
        <f t="shared" si="5"/>
        <v>4.4751668198345796E-3</v>
      </c>
      <c r="I88" s="327">
        <f t="shared" si="5"/>
        <v>2.5747126436781614E-3</v>
      </c>
      <c r="J88" s="326">
        <f t="shared" si="5"/>
        <v>0.29368572248181501</v>
      </c>
      <c r="K88" s="328">
        <f t="shared" si="5"/>
        <v>1.777473414827503E-10</v>
      </c>
      <c r="L88" s="328">
        <f t="shared" si="5"/>
        <v>2.4996062723023757E-3</v>
      </c>
    </row>
    <row r="90" spans="1:18" x14ac:dyDescent="0.25">
      <c r="A90" s="114" t="s">
        <v>461</v>
      </c>
      <c r="B90" s="114"/>
      <c r="C90" s="114"/>
      <c r="D90" s="114"/>
      <c r="E90" s="114"/>
      <c r="F90" s="114"/>
      <c r="G90" s="114"/>
      <c r="H90" s="114"/>
      <c r="I90" s="114"/>
      <c r="J90" s="114"/>
      <c r="K90" s="114"/>
      <c r="L90" s="114"/>
      <c r="M90" s="114"/>
      <c r="N90" s="114"/>
      <c r="O90" s="114"/>
      <c r="P90" s="114"/>
    </row>
    <row r="91" spans="1:18" x14ac:dyDescent="0.25">
      <c r="A91" t="s">
        <v>462</v>
      </c>
      <c r="C91">
        <v>0.57999999999999996</v>
      </c>
      <c r="R91" t="s">
        <v>452</v>
      </c>
    </row>
    <row r="92" spans="1:18" x14ac:dyDescent="0.25">
      <c r="A92" t="s">
        <v>448</v>
      </c>
      <c r="C92">
        <v>0.28000000000000003</v>
      </c>
      <c r="R92" t="s">
        <v>452</v>
      </c>
    </row>
    <row r="94" spans="1:18" x14ac:dyDescent="0.25">
      <c r="A94" t="s">
        <v>449</v>
      </c>
    </row>
    <row r="95" spans="1:18" x14ac:dyDescent="0.25">
      <c r="A95" t="s">
        <v>450</v>
      </c>
      <c r="C95" s="11">
        <f>0.918*I43</f>
        <v>0.13379104477611942</v>
      </c>
      <c r="D95" t="s">
        <v>522</v>
      </c>
      <c r="R95" t="s">
        <v>523</v>
      </c>
    </row>
    <row r="96" spans="1:18" x14ac:dyDescent="0.25">
      <c r="A96" t="s">
        <v>453</v>
      </c>
      <c r="C96" s="11">
        <f>0.918*(1-I43)</f>
        <v>0.78420895522388057</v>
      </c>
      <c r="D96" t="s">
        <v>522</v>
      </c>
    </row>
    <row r="98" spans="1:18" x14ac:dyDescent="0.25">
      <c r="A98" t="s">
        <v>463</v>
      </c>
      <c r="R98" t="s">
        <v>464</v>
      </c>
    </row>
    <row r="100" spans="1:18" x14ac:dyDescent="0.25">
      <c r="A100" s="114" t="s">
        <v>524</v>
      </c>
      <c r="B100" s="114"/>
      <c r="C100" s="114"/>
      <c r="D100" s="114"/>
      <c r="E100" s="114"/>
      <c r="F100" s="114"/>
      <c r="G100" s="114"/>
      <c r="H100" s="114"/>
      <c r="I100" s="114"/>
      <c r="J100" s="114"/>
      <c r="K100" s="114"/>
      <c r="L100" s="114"/>
      <c r="M100" s="114"/>
      <c r="N100" s="114"/>
      <c r="O100" s="114"/>
      <c r="P100" s="114"/>
    </row>
    <row r="102" spans="1:18" x14ac:dyDescent="0.25">
      <c r="B102" t="s">
        <v>502</v>
      </c>
      <c r="C102" t="s">
        <v>452</v>
      </c>
    </row>
    <row r="103" spans="1:18" x14ac:dyDescent="0.25">
      <c r="A103" t="s">
        <v>525</v>
      </c>
      <c r="B103" s="4">
        <f>SUM(F73:M73)</f>
        <v>0.37608333869576438</v>
      </c>
      <c r="C103" s="4">
        <f>(0.511+2.7+265+117)/1000</f>
        <v>0.38521100000000003</v>
      </c>
      <c r="D103" t="s">
        <v>526</v>
      </c>
    </row>
    <row r="104" spans="1:18" x14ac:dyDescent="0.25">
      <c r="A104" t="s">
        <v>527</v>
      </c>
      <c r="B104" s="4">
        <f>O73</f>
        <v>2.3613703053907385E-2</v>
      </c>
      <c r="C104" s="4">
        <f>(0.401+0.181+0.289+8)/1000</f>
        <v>8.8710000000000004E-3</v>
      </c>
      <c r="D104" t="s">
        <v>528</v>
      </c>
    </row>
    <row r="105" spans="1:18" x14ac:dyDescent="0.25">
      <c r="A105" t="s">
        <v>529</v>
      </c>
      <c r="B105" s="4">
        <f>P73</f>
        <v>6.6342093272620445E-2</v>
      </c>
      <c r="C105" s="4">
        <f>(1.15+2.04+0.541+63.2)/1000</f>
        <v>6.6930999999999991E-2</v>
      </c>
      <c r="D105" t="s">
        <v>530</v>
      </c>
    </row>
    <row r="106" spans="1:18" x14ac:dyDescent="0.25">
      <c r="A106" s="168" t="s">
        <v>339</v>
      </c>
      <c r="B106" s="331">
        <f>SUM(B103:B105)</f>
        <v>0.46603913502229222</v>
      </c>
      <c r="C106" s="331">
        <f>SUM(C103:C105)</f>
        <v>0.46101300000000001</v>
      </c>
    </row>
  </sheetData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4" tint="0.79998168889431442"/>
  </sheetPr>
  <dimension ref="A2:F32"/>
  <sheetViews>
    <sheetView zoomScale="80" zoomScaleNormal="80" workbookViewId="0">
      <selection activeCell="A12" sqref="A12:B16"/>
    </sheetView>
  </sheetViews>
  <sheetFormatPr defaultColWidth="8.7109375" defaultRowHeight="15" x14ac:dyDescent="0.25"/>
  <cols>
    <col min="1" max="1" width="34.42578125" customWidth="1"/>
    <col min="2" max="2" width="14.5703125" customWidth="1"/>
    <col min="3" max="3" width="14.42578125" customWidth="1"/>
    <col min="4" max="4" width="14.5703125" customWidth="1"/>
    <col min="5" max="5" width="14.42578125" customWidth="1"/>
  </cols>
  <sheetData>
    <row r="2" spans="1:6" ht="21" x14ac:dyDescent="0.35">
      <c r="A2" s="2" t="s">
        <v>465</v>
      </c>
    </row>
    <row r="4" spans="1:6" x14ac:dyDescent="0.25">
      <c r="A4" s="114" t="s">
        <v>466</v>
      </c>
      <c r="B4" s="158" t="s">
        <v>467</v>
      </c>
      <c r="C4" s="158" t="s">
        <v>468</v>
      </c>
      <c r="D4" s="158" t="s">
        <v>469</v>
      </c>
      <c r="E4" s="114"/>
      <c r="F4" s="114" t="s">
        <v>206</v>
      </c>
    </row>
    <row r="5" spans="1:6" x14ac:dyDescent="0.25">
      <c r="A5" s="3" t="s">
        <v>470</v>
      </c>
      <c r="B5" s="4">
        <v>0.29001600000000005</v>
      </c>
      <c r="C5" s="34">
        <v>1.1016000000000002E-4</v>
      </c>
      <c r="D5" s="34">
        <v>1.0269360000000001E-5</v>
      </c>
      <c r="E5" s="93"/>
      <c r="F5" s="93" t="s">
        <v>471</v>
      </c>
    </row>
    <row r="6" spans="1:6" x14ac:dyDescent="0.25">
      <c r="A6" s="3" t="s">
        <v>472</v>
      </c>
      <c r="B6" s="4">
        <v>9.6299999999999997E-3</v>
      </c>
      <c r="C6" s="34">
        <v>3.6659999999999876E-5</v>
      </c>
      <c r="D6" s="34">
        <v>1.5257999999999987E-5</v>
      </c>
      <c r="E6" s="93"/>
      <c r="F6" s="93" t="s">
        <v>473</v>
      </c>
    </row>
    <row r="8" spans="1:6" x14ac:dyDescent="0.25">
      <c r="A8" s="114" t="s">
        <v>466</v>
      </c>
      <c r="B8" s="158" t="s">
        <v>474</v>
      </c>
      <c r="C8" s="158" t="s">
        <v>475</v>
      </c>
      <c r="D8" s="158" t="s">
        <v>476</v>
      </c>
      <c r="E8" s="114"/>
      <c r="F8" s="114" t="s">
        <v>206</v>
      </c>
    </row>
    <row r="9" spans="1:6" x14ac:dyDescent="0.25">
      <c r="A9" s="3" t="s">
        <v>477</v>
      </c>
      <c r="B9" s="115">
        <v>2.2999999999999998</v>
      </c>
      <c r="C9" s="116">
        <v>0</v>
      </c>
      <c r="D9" s="116">
        <v>4.3624161073825508E-3</v>
      </c>
      <c r="F9" s="121" t="s">
        <v>478</v>
      </c>
    </row>
    <row r="10" spans="1:6" x14ac:dyDescent="0.25">
      <c r="A10" s="3" t="s">
        <v>479</v>
      </c>
      <c r="B10" s="117">
        <v>4.3928213588059704</v>
      </c>
      <c r="C10" s="116">
        <v>9.8666566537313431E-3</v>
      </c>
      <c r="D10" s="116">
        <v>9.948031617910448E-3</v>
      </c>
      <c r="F10" s="122" t="s">
        <v>480</v>
      </c>
    </row>
    <row r="12" spans="1:6" x14ac:dyDescent="0.25">
      <c r="A12" s="114" t="s">
        <v>481</v>
      </c>
      <c r="B12" s="114"/>
    </row>
    <row r="13" spans="1:6" x14ac:dyDescent="0.25">
      <c r="A13" s="88" t="s">
        <v>129</v>
      </c>
      <c r="B13" s="118">
        <v>1</v>
      </c>
      <c r="C13" s="118"/>
    </row>
    <row r="14" spans="1:6" x14ac:dyDescent="0.25">
      <c r="A14" s="3" t="s">
        <v>130</v>
      </c>
      <c r="B14" s="119">
        <v>29.8</v>
      </c>
      <c r="C14" s="119"/>
    </row>
    <row r="15" spans="1:6" x14ac:dyDescent="0.25">
      <c r="A15" s="3" t="s">
        <v>131</v>
      </c>
      <c r="B15" s="119">
        <v>27</v>
      </c>
      <c r="C15" s="118"/>
    </row>
    <row r="16" spans="1:6" x14ac:dyDescent="0.25">
      <c r="A16" s="3" t="s">
        <v>132</v>
      </c>
      <c r="B16" s="120">
        <v>273</v>
      </c>
      <c r="C16" s="120"/>
    </row>
    <row r="18" spans="1:3" x14ac:dyDescent="0.25">
      <c r="A18" s="114" t="s">
        <v>254</v>
      </c>
      <c r="B18" s="114"/>
    </row>
    <row r="19" spans="1:3" x14ac:dyDescent="0.25">
      <c r="A19" s="3" t="s">
        <v>482</v>
      </c>
      <c r="B19" s="105">
        <v>0.15807556234356737</v>
      </c>
    </row>
    <row r="20" spans="1:3" x14ac:dyDescent="0.25">
      <c r="A20" s="3" t="s">
        <v>483</v>
      </c>
      <c r="B20">
        <v>1</v>
      </c>
    </row>
    <row r="22" spans="1:3" x14ac:dyDescent="0.25">
      <c r="A22" s="3" t="s">
        <v>484</v>
      </c>
      <c r="B22">
        <v>0.25</v>
      </c>
    </row>
    <row r="23" spans="1:3" x14ac:dyDescent="0.25">
      <c r="A23" s="3" t="s">
        <v>485</v>
      </c>
      <c r="B23">
        <v>1</v>
      </c>
    </row>
    <row r="24" spans="1:3" x14ac:dyDescent="0.25">
      <c r="A24" s="3" t="s">
        <v>486</v>
      </c>
      <c r="B24">
        <v>2</v>
      </c>
    </row>
    <row r="25" spans="1:3" x14ac:dyDescent="0.25">
      <c r="A25" s="3" t="s">
        <v>487</v>
      </c>
      <c r="B25">
        <v>2</v>
      </c>
    </row>
    <row r="26" spans="1:3" x14ac:dyDescent="0.25">
      <c r="A26" s="3" t="s">
        <v>488</v>
      </c>
      <c r="B26">
        <v>1</v>
      </c>
    </row>
    <row r="27" spans="1:3" x14ac:dyDescent="0.25">
      <c r="A27" s="3" t="s">
        <v>489</v>
      </c>
      <c r="B27">
        <v>1</v>
      </c>
    </row>
    <row r="29" spans="1:3" x14ac:dyDescent="0.25">
      <c r="A29" s="114" t="s">
        <v>533</v>
      </c>
      <c r="B29" s="114"/>
      <c r="C29" s="114" t="s">
        <v>206</v>
      </c>
    </row>
    <row r="30" spans="1:3" x14ac:dyDescent="0.25">
      <c r="A30" s="3" t="s">
        <v>232</v>
      </c>
      <c r="B30" s="19">
        <v>0.2692782509153</v>
      </c>
      <c r="C30" s="121" t="s">
        <v>534</v>
      </c>
    </row>
    <row r="31" spans="1:3" x14ac:dyDescent="0.25">
      <c r="A31" s="3" t="s">
        <v>233</v>
      </c>
      <c r="B31" s="19">
        <v>9.8059260756689997E-4</v>
      </c>
    </row>
    <row r="32" spans="1:3" x14ac:dyDescent="0.25">
      <c r="A32" s="3" t="s">
        <v>234</v>
      </c>
      <c r="B32" s="19">
        <v>3.4931896850000001E-5</v>
      </c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9"/>
  </sheetPr>
  <dimension ref="A2:A7"/>
  <sheetViews>
    <sheetView workbookViewId="0">
      <selection activeCell="A6" sqref="A6"/>
    </sheetView>
  </sheetViews>
  <sheetFormatPr defaultColWidth="8.7109375" defaultRowHeight="15" x14ac:dyDescent="0.25"/>
  <sheetData>
    <row r="2" spans="1:1" ht="21" x14ac:dyDescent="0.35">
      <c r="A2" s="2" t="s">
        <v>505</v>
      </c>
    </row>
    <row r="4" spans="1:1" x14ac:dyDescent="0.25">
      <c r="A4" t="s">
        <v>506</v>
      </c>
    </row>
    <row r="5" spans="1:1" x14ac:dyDescent="0.25">
      <c r="A5" t="s">
        <v>507</v>
      </c>
    </row>
    <row r="6" spans="1:1" x14ac:dyDescent="0.25">
      <c r="A6" t="s">
        <v>508</v>
      </c>
    </row>
    <row r="7" spans="1:1" x14ac:dyDescent="0.25">
      <c r="A7" t="s">
        <v>509</v>
      </c>
    </row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9" tint="0.59999389629810485"/>
  </sheetPr>
  <dimension ref="A3:P32"/>
  <sheetViews>
    <sheetView topLeftCell="A19" workbookViewId="0">
      <selection activeCell="K38" sqref="K38"/>
    </sheetView>
  </sheetViews>
  <sheetFormatPr defaultColWidth="8.7109375" defaultRowHeight="15" x14ac:dyDescent="0.25"/>
  <cols>
    <col min="1" max="1" width="16.42578125" customWidth="1"/>
    <col min="2" max="2" width="10.42578125" customWidth="1"/>
    <col min="3" max="3" width="14.5703125" customWidth="1"/>
    <col min="10" max="10" width="12.42578125" customWidth="1"/>
  </cols>
  <sheetData>
    <row r="3" spans="1:15" ht="21" x14ac:dyDescent="0.35">
      <c r="A3" s="2" t="s">
        <v>492</v>
      </c>
    </row>
    <row r="4" spans="1:15" x14ac:dyDescent="0.25">
      <c r="A4" s="168"/>
    </row>
    <row r="5" spans="1:15" x14ac:dyDescent="0.25">
      <c r="A5" t="s">
        <v>493</v>
      </c>
    </row>
    <row r="6" spans="1:15" x14ac:dyDescent="0.25">
      <c r="J6" t="s">
        <v>494</v>
      </c>
      <c r="M6" t="s">
        <v>495</v>
      </c>
    </row>
    <row r="7" spans="1:15" x14ac:dyDescent="0.25">
      <c r="C7" s="5"/>
    </row>
    <row r="8" spans="1:15" x14ac:dyDescent="0.25">
      <c r="B8" s="11"/>
      <c r="C8" s="5"/>
      <c r="D8" s="11"/>
      <c r="J8" t="s">
        <v>490</v>
      </c>
      <c r="K8">
        <f>0.5/0.69</f>
        <v>0.7246376811594204</v>
      </c>
      <c r="M8">
        <v>0.28000000000000003</v>
      </c>
      <c r="O8" t="s">
        <v>496</v>
      </c>
    </row>
    <row r="9" spans="1:15" x14ac:dyDescent="0.25">
      <c r="C9" s="11"/>
      <c r="J9" t="s">
        <v>497</v>
      </c>
      <c r="K9">
        <f>0.32/0.69</f>
        <v>0.46376811594202905</v>
      </c>
      <c r="M9">
        <f>0.026</f>
        <v>2.5999999999999999E-2</v>
      </c>
    </row>
    <row r="10" spans="1:15" x14ac:dyDescent="0.25">
      <c r="B10" s="11"/>
      <c r="J10" t="s">
        <v>498</v>
      </c>
      <c r="K10">
        <f>0.12/0.69</f>
        <v>0.17391304347826086</v>
      </c>
    </row>
    <row r="11" spans="1:15" x14ac:dyDescent="0.25">
      <c r="B11" s="159"/>
      <c r="C11" s="159"/>
      <c r="D11" s="159"/>
    </row>
    <row r="12" spans="1:15" x14ac:dyDescent="0.25">
      <c r="J12" t="s">
        <v>147</v>
      </c>
      <c r="K12">
        <f>SUM(K8:K10)</f>
        <v>1.3623188405797104</v>
      </c>
    </row>
    <row r="14" spans="1:15" x14ac:dyDescent="0.25">
      <c r="J14" t="s">
        <v>499</v>
      </c>
    </row>
    <row r="16" spans="1:15" x14ac:dyDescent="0.25">
      <c r="J16" t="s">
        <v>147</v>
      </c>
      <c r="K16">
        <f>1/0.69</f>
        <v>1.4492753623188408</v>
      </c>
      <c r="M16" s="7" t="s">
        <v>500</v>
      </c>
    </row>
    <row r="30" spans="10:16" x14ac:dyDescent="0.25">
      <c r="J30" t="s">
        <v>501</v>
      </c>
      <c r="N30" t="s">
        <v>502</v>
      </c>
    </row>
    <row r="32" spans="10:16" x14ac:dyDescent="0.25">
      <c r="J32" t="s">
        <v>503</v>
      </c>
      <c r="L32">
        <f>2.54/0.69</f>
        <v>3.6811594202898554</v>
      </c>
      <c r="N32">
        <v>3.85</v>
      </c>
      <c r="P32" t="s">
        <v>504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A603BB68AE5C0F4C908E70EB4D1DDDC3" ma:contentTypeVersion="15" ma:contentTypeDescription="Skapa ett nytt dokument." ma:contentTypeScope="" ma:versionID="bc1901b771652496ef02f4cbdf878f9e">
  <xsd:schema xmlns:xsd="http://www.w3.org/2001/XMLSchema" xmlns:xs="http://www.w3.org/2001/XMLSchema" xmlns:p="http://schemas.microsoft.com/office/2006/metadata/properties" xmlns:ns3="31ffec6e-e0c6-46d3-bf16-e7019fdf1f95" xmlns:ns4="20b5f8f8-e964-4ea5-9bc5-5fa83731a92f" targetNamespace="http://schemas.microsoft.com/office/2006/metadata/properties" ma:root="true" ma:fieldsID="6c61e44642a1e9e2aad865b2f0b39e8f" ns3:_="" ns4:_="">
    <xsd:import namespace="31ffec6e-e0c6-46d3-bf16-e7019fdf1f95"/>
    <xsd:import namespace="20b5f8f8-e964-4ea5-9bc5-5fa83731a92f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GenerationTime" minOccurs="0"/>
                <xsd:element ref="ns4:MediaServiceEventHashCode" minOccurs="0"/>
                <xsd:element ref="ns4:MediaServiceOCR" minOccurs="0"/>
                <xsd:element ref="ns4:MediaServiceAutoKeyPoints" minOccurs="0"/>
                <xsd:element ref="ns4:MediaServiceKeyPoints" minOccurs="0"/>
                <xsd:element ref="ns4:MediaServiceDateTaken" minOccurs="0"/>
                <xsd:element ref="ns4:MediaServiceLocation" minOccurs="0"/>
                <xsd:element ref="ns4:MediaLengthInSeconds" minOccurs="0"/>
                <xsd:element ref="ns4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ffec6e-e0c6-46d3-bf16-e7019fdf1f9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Dela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lat med information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Delar tips,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b5f8f8-e964-4ea5-9bc5-5fa83731a92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0b5f8f8-e964-4ea5-9bc5-5fa83731a92f" xsi:nil="true"/>
  </documentManagement>
</p:properties>
</file>

<file path=customXml/itemProps1.xml><?xml version="1.0" encoding="utf-8"?>
<ds:datastoreItem xmlns:ds="http://schemas.openxmlformats.org/officeDocument/2006/customXml" ds:itemID="{C9466767-CC6B-4313-B005-51AE488866D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1ffec6e-e0c6-46d3-bf16-e7019fdf1f95"/>
    <ds:schemaRef ds:uri="20b5f8f8-e964-4ea5-9bc5-5fa83731a9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5AA8BD2-4DFD-46C4-AB5A-9922D802D05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5C14542-2642-452A-849B-1DD08CED073B}">
  <ds:schemaRefs>
    <ds:schemaRef ds:uri="http://www.w3.org/XML/1998/namespace"/>
    <ds:schemaRef ds:uri="http://purl.org/dc/terms/"/>
    <ds:schemaRef ds:uri="http://schemas.microsoft.com/office/2006/metadata/properties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purl.org/dc/dcmitype/"/>
    <ds:schemaRef ds:uri="31ffec6e-e0c6-46d3-bf16-e7019fdf1f95"/>
    <ds:schemaRef ds:uri="20b5f8f8-e964-4ea5-9bc5-5fa83731a92f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315</vt:i4>
      </vt:variant>
    </vt:vector>
  </HeadingPairs>
  <TitlesOfParts>
    <vt:vector size="331" baseType="lpstr">
      <vt:lpstr>README</vt:lpstr>
      <vt:lpstr>Figures</vt:lpstr>
      <vt:lpstr>Footprints, results per kg</vt:lpstr>
      <vt:lpstr>GHG detailed, results per kg</vt:lpstr>
      <vt:lpstr>Production</vt:lpstr>
      <vt:lpstr>Parameters, country spec</vt:lpstr>
      <vt:lpstr>Mortality &amp; FCR</vt:lpstr>
      <vt:lpstr>Manure</vt:lpstr>
      <vt:lpstr>CO2 per kg feed</vt:lpstr>
      <vt:lpstr>CH4 per kg feed</vt:lpstr>
      <vt:lpstr>N2O per kg feed</vt:lpstr>
      <vt:lpstr>EFP per kg feed</vt:lpstr>
      <vt:lpstr>Off-farm feed</vt:lpstr>
      <vt:lpstr>Parameters, general</vt:lpstr>
      <vt:lpstr>References</vt:lpstr>
      <vt:lpstr>Verification</vt:lpstr>
      <vt:lpstr>Ability_to_perceive_handling</vt:lpstr>
      <vt:lpstr>Boars_per_sow</vt:lpstr>
      <vt:lpstr>Bonefree_outof_CW_DE</vt:lpstr>
      <vt:lpstr>Bonefree_outof_CW_DK</vt:lpstr>
      <vt:lpstr>Bonefree_outof_CW_ES</vt:lpstr>
      <vt:lpstr>Bonefree_outof_CW_FR</vt:lpstr>
      <vt:lpstr>Bonefree_outof_CW_GR</vt:lpstr>
      <vt:lpstr>Bonefree_outof_CW_HU</vt:lpstr>
      <vt:lpstr>Bonefree_outof_CW_IE</vt:lpstr>
      <vt:lpstr>Bonefree_outof_CW_IT</vt:lpstr>
      <vt:lpstr>Bonefree_outof_CW_NL</vt:lpstr>
      <vt:lpstr>Bonefree_outof_CW_PL</vt:lpstr>
      <vt:lpstr>Bonefree_outof_CW_SE</vt:lpstr>
      <vt:lpstr>CF_GWP_CH4_fossil</vt:lpstr>
      <vt:lpstr>CF_GWP_N2O</vt:lpstr>
      <vt:lpstr>EF_biofuel_CH4</vt:lpstr>
      <vt:lpstr>EF_biofuel_N2O</vt:lpstr>
      <vt:lpstr>EF_biofuels_CO2</vt:lpstr>
      <vt:lpstr>EF_el_CH4_BR</vt:lpstr>
      <vt:lpstr>EF_el_CH4_DE</vt:lpstr>
      <vt:lpstr>EF_el_CH4_DK</vt:lpstr>
      <vt:lpstr>EF_el_CH4_ES</vt:lpstr>
      <vt:lpstr>EF_el_CH4_FR</vt:lpstr>
      <vt:lpstr>EF_el_CH4_GR</vt:lpstr>
      <vt:lpstr>EF_el_CH4_HU</vt:lpstr>
      <vt:lpstr>EF_el_CH4_IE</vt:lpstr>
      <vt:lpstr>EF_el_CH4_IT</vt:lpstr>
      <vt:lpstr>EF_el_CH4_NL</vt:lpstr>
      <vt:lpstr>EF_el_CH4_PL</vt:lpstr>
      <vt:lpstr>EF_el_CH4_SE</vt:lpstr>
      <vt:lpstr>EF_el_CO2_BR</vt:lpstr>
      <vt:lpstr>EF_el_CO2_DE</vt:lpstr>
      <vt:lpstr>EF_el_CO2_DK</vt:lpstr>
      <vt:lpstr>EF_el_CO2_ES</vt:lpstr>
      <vt:lpstr>EF_el_CO2_FR</vt:lpstr>
      <vt:lpstr>EF_el_CO2_GR</vt:lpstr>
      <vt:lpstr>EF_el_CO2_HU</vt:lpstr>
      <vt:lpstr>EF_el_CO2_IE</vt:lpstr>
      <vt:lpstr>EF_el_CO2_IT</vt:lpstr>
      <vt:lpstr>EF_el_CO2_NL</vt:lpstr>
      <vt:lpstr>EF_el_CO2_PL</vt:lpstr>
      <vt:lpstr>EF_el_CO2_SE</vt:lpstr>
      <vt:lpstr>EF_el_N2O_BR</vt:lpstr>
      <vt:lpstr>EF_el_N2O_DE</vt:lpstr>
      <vt:lpstr>EF_el_N2O_DK</vt:lpstr>
      <vt:lpstr>EF_el_N2O_ES</vt:lpstr>
      <vt:lpstr>EF_el_N2O_FR</vt:lpstr>
      <vt:lpstr>EF_el_N2O_GR</vt:lpstr>
      <vt:lpstr>EF_el_N2O_HU</vt:lpstr>
      <vt:lpstr>EF_el_N2O_IE</vt:lpstr>
      <vt:lpstr>EF_el_N2O_IT</vt:lpstr>
      <vt:lpstr>EF_el_N2O_NL</vt:lpstr>
      <vt:lpstr>EF_el_N2O_PL</vt:lpstr>
      <vt:lpstr>EF_el_N2O_SE</vt:lpstr>
      <vt:lpstr>EF_electricity</vt:lpstr>
      <vt:lpstr>EF_ent_ferm_DE</vt:lpstr>
      <vt:lpstr>EF_ent_ferm_DK</vt:lpstr>
      <vt:lpstr>EF_ent_ferm_ES</vt:lpstr>
      <vt:lpstr>EF_ent_ferm_FR</vt:lpstr>
      <vt:lpstr>EF_ent_ferm_GR</vt:lpstr>
      <vt:lpstr>EF_ent_ferm_HU</vt:lpstr>
      <vt:lpstr>EF_ent_ferm_IE</vt:lpstr>
      <vt:lpstr>EF_ent_ferm_IT</vt:lpstr>
      <vt:lpstr>EF_ent_ferm_NL</vt:lpstr>
      <vt:lpstr>EF_ent_ferm_PL</vt:lpstr>
      <vt:lpstr>EF_ent_ferm_SE</vt:lpstr>
      <vt:lpstr>EF_GWP_CH4_biog</vt:lpstr>
      <vt:lpstr>EF_indirect_N2O_DE</vt:lpstr>
      <vt:lpstr>EF_indirect_N2O_DK</vt:lpstr>
      <vt:lpstr>EF_indirect_N2O_ES</vt:lpstr>
      <vt:lpstr>EF_indirect_N2O_FR</vt:lpstr>
      <vt:lpstr>EF_indirect_N2O_GR</vt:lpstr>
      <vt:lpstr>EF_indirect_N2O_HU</vt:lpstr>
      <vt:lpstr>EF_indirect_N2O_IE</vt:lpstr>
      <vt:lpstr>EF_indirect_N2O_IT</vt:lpstr>
      <vt:lpstr>EF_indirect_N2O_NL</vt:lpstr>
      <vt:lpstr>EF_indirect_N2O_PL</vt:lpstr>
      <vt:lpstr>EF_indirect_N2O_SE</vt:lpstr>
      <vt:lpstr>EF_min_fert_AN_CH4</vt:lpstr>
      <vt:lpstr>EF_min_fert_AN_CO2</vt:lpstr>
      <vt:lpstr>EF_min_fert_AN_N2O</vt:lpstr>
      <vt:lpstr>EF_min_fert_BAT_CH4</vt:lpstr>
      <vt:lpstr>EF_min_fert_BAT_CO2</vt:lpstr>
      <vt:lpstr>EF_min_fert_BAT_N2O</vt:lpstr>
      <vt:lpstr>EF_N2O_diff_DE</vt:lpstr>
      <vt:lpstr>EF_N2O_diff_DK</vt:lpstr>
      <vt:lpstr>EF_N2O_diff_ES</vt:lpstr>
      <vt:lpstr>EF_N2O_diff_FR</vt:lpstr>
      <vt:lpstr>EF_N2O_diff_GR</vt:lpstr>
      <vt:lpstr>EF_N2O_diff_HU</vt:lpstr>
      <vt:lpstr>EF_N2O_diff_IE</vt:lpstr>
      <vt:lpstr>EF_N2O_diff_IT</vt:lpstr>
      <vt:lpstr>EF_N2O_diff_NL</vt:lpstr>
      <vt:lpstr>EF_N2O_diff_PL</vt:lpstr>
      <vt:lpstr>EF_N2O_diff_SE</vt:lpstr>
      <vt:lpstr>EF_oil_CH4</vt:lpstr>
      <vt:lpstr>EF_oil_CO2</vt:lpstr>
      <vt:lpstr>EF_oil_N2O</vt:lpstr>
      <vt:lpstr>Energy_slaughter_el_DE</vt:lpstr>
      <vt:lpstr>Energy_slaughter_el_DK</vt:lpstr>
      <vt:lpstr>Energy_slaughter_el_ES</vt:lpstr>
      <vt:lpstr>Energy_slaughter_el_FR</vt:lpstr>
      <vt:lpstr>Energy_slaughter_el_GR</vt:lpstr>
      <vt:lpstr>Energy_slaughter_el_HU</vt:lpstr>
      <vt:lpstr>Energy_slaughter_el_IE</vt:lpstr>
      <vt:lpstr>Energy_slaughter_el_IT</vt:lpstr>
      <vt:lpstr>Energy_slaughter_el_NL</vt:lpstr>
      <vt:lpstr>Energy_slaughter_el_PL</vt:lpstr>
      <vt:lpstr>Energy_slaughter_el_SE</vt:lpstr>
      <vt:lpstr>Energy_slaughter_oil_DE</vt:lpstr>
      <vt:lpstr>Energy_slaughter_oil_DK</vt:lpstr>
      <vt:lpstr>Energy_slaughter_oil_ES</vt:lpstr>
      <vt:lpstr>Energy_slaughter_oil_FR</vt:lpstr>
      <vt:lpstr>Energy_slaughter_oil_GR</vt:lpstr>
      <vt:lpstr>Energy_slaughter_oil_HU</vt:lpstr>
      <vt:lpstr>Energy_slaughter_oil_IE</vt:lpstr>
      <vt:lpstr>Energy_slaughter_oil_IT</vt:lpstr>
      <vt:lpstr>Energy_slaughter_oil_NL</vt:lpstr>
      <vt:lpstr>Energy_slaughter_oil_PL</vt:lpstr>
      <vt:lpstr>Energy_slaughter_oil_SE</vt:lpstr>
      <vt:lpstr>Energy_stables_DE</vt:lpstr>
      <vt:lpstr>Energy_stables_DK</vt:lpstr>
      <vt:lpstr>Energy_stables_ES</vt:lpstr>
      <vt:lpstr>Energy_stables_FR</vt:lpstr>
      <vt:lpstr>Energy_stables_GR</vt:lpstr>
      <vt:lpstr>Energy_stables_HU</vt:lpstr>
      <vt:lpstr>Energy_stables_IE</vt:lpstr>
      <vt:lpstr>Energy_stables_IT</vt:lpstr>
      <vt:lpstr>Energy_stables_NL</vt:lpstr>
      <vt:lpstr>Energy_stables_PL</vt:lpstr>
      <vt:lpstr>Energy_stables_SE</vt:lpstr>
      <vt:lpstr>Excreted_N_after_losses_DE</vt:lpstr>
      <vt:lpstr>Excreted_N_after_losses_DK</vt:lpstr>
      <vt:lpstr>Excreted_N_after_losses_ES</vt:lpstr>
      <vt:lpstr>Excreted_N_after_losses_FR</vt:lpstr>
      <vt:lpstr>Excreted_N_after_losses_GR</vt:lpstr>
      <vt:lpstr>Excreted_N_after_losses_HU</vt:lpstr>
      <vt:lpstr>Excreted_N_after_losses_IE</vt:lpstr>
      <vt:lpstr>Excreted_N_after_losses_IT</vt:lpstr>
      <vt:lpstr>Excreted_N_after_losses_NL</vt:lpstr>
      <vt:lpstr>Excreted_N_after_losses_PL</vt:lpstr>
      <vt:lpstr>Excreted_N_after_losses_SE</vt:lpstr>
      <vt:lpstr>FCR_bonefree_incl_parents_DE</vt:lpstr>
      <vt:lpstr>FCR_bonefree_incl_parents_DK</vt:lpstr>
      <vt:lpstr>FCR_bonefree_incl_parents_ES</vt:lpstr>
      <vt:lpstr>FCR_bonefree_incl_parents_FR</vt:lpstr>
      <vt:lpstr>FCR_bonefree_incl_parents_GR</vt:lpstr>
      <vt:lpstr>FCR_bonefree_incl_parents_HU</vt:lpstr>
      <vt:lpstr>FCR_bonefree_incl_parents_IE</vt:lpstr>
      <vt:lpstr>FCR_bonefree_incl_parents_IT</vt:lpstr>
      <vt:lpstr>FCR_bonefree_incl_parents_NL</vt:lpstr>
      <vt:lpstr>FCR_bonefree_incl_parents_PL</vt:lpstr>
      <vt:lpstr>FCR_bonefree_incl_parents_SE</vt:lpstr>
      <vt:lpstr>Frac_AN_DE</vt:lpstr>
      <vt:lpstr>Frac_AN_DK</vt:lpstr>
      <vt:lpstr>Frac_AN_ES</vt:lpstr>
      <vt:lpstr>Frac_AN_FR</vt:lpstr>
      <vt:lpstr>Frac_AN_GR</vt:lpstr>
      <vt:lpstr>Frac_AN_HU</vt:lpstr>
      <vt:lpstr>Frac_AN_IE</vt:lpstr>
      <vt:lpstr>Frac_AN_IT</vt:lpstr>
      <vt:lpstr>Frac_AN_NL</vt:lpstr>
      <vt:lpstr>Frac_AN_PL</vt:lpstr>
      <vt:lpstr>Frac_AN_SE</vt:lpstr>
      <vt:lpstr>Frac_BAT_DE</vt:lpstr>
      <vt:lpstr>Frac_BAT_DK</vt:lpstr>
      <vt:lpstr>Frac_BAT_ES</vt:lpstr>
      <vt:lpstr>Frac_BAT_FR</vt:lpstr>
      <vt:lpstr>Frac_BAT_GR</vt:lpstr>
      <vt:lpstr>Frac_BAT_HU</vt:lpstr>
      <vt:lpstr>Frac_BAT_IE</vt:lpstr>
      <vt:lpstr>Frac_BAT_IT</vt:lpstr>
      <vt:lpstr>Frac_BAT_NL</vt:lpstr>
      <vt:lpstr>Frac_BAT_PL</vt:lpstr>
      <vt:lpstr>Frac_BAT_SE</vt:lpstr>
      <vt:lpstr>GRAT</vt:lpstr>
      <vt:lpstr>Manure_repl_factor_DE</vt:lpstr>
      <vt:lpstr>Manure_repl_factor_DK</vt:lpstr>
      <vt:lpstr>Manure_repl_factor_ES</vt:lpstr>
      <vt:lpstr>Manure_repl_factor_FR</vt:lpstr>
      <vt:lpstr>Manure_repl_factor_GR</vt:lpstr>
      <vt:lpstr>Manure_repl_factor_HU</vt:lpstr>
      <vt:lpstr>Manure_repl_factor_IE</vt:lpstr>
      <vt:lpstr>Manure_repl_factor_IT</vt:lpstr>
      <vt:lpstr>Manure_repl_factor_NL</vt:lpstr>
      <vt:lpstr>Manure_repl_factor_PL</vt:lpstr>
      <vt:lpstr>Manure_repl_factor_SE</vt:lpstr>
      <vt:lpstr>NH3_per_kg_DE</vt:lpstr>
      <vt:lpstr>NH3_per_kg_DK</vt:lpstr>
      <vt:lpstr>NH3_per_kg_ES</vt:lpstr>
      <vt:lpstr>NH3_per_kg_FR</vt:lpstr>
      <vt:lpstr>NH3_per_kg_GR</vt:lpstr>
      <vt:lpstr>NH3_per_kg_HU</vt:lpstr>
      <vt:lpstr>NH3_per_kg_IE</vt:lpstr>
      <vt:lpstr>NH3_per_kg_IT</vt:lpstr>
      <vt:lpstr>NH3_per_kg_NL</vt:lpstr>
      <vt:lpstr>NH3_per_kg_PL</vt:lpstr>
      <vt:lpstr>NH3_per_kg_SE</vt:lpstr>
      <vt:lpstr>No_boars_DE</vt:lpstr>
      <vt:lpstr>No_boars_DK</vt:lpstr>
      <vt:lpstr>No_boars_ES</vt:lpstr>
      <vt:lpstr>No_boars_FR</vt:lpstr>
      <vt:lpstr>No_boars_GR</vt:lpstr>
      <vt:lpstr>No_boars_HU</vt:lpstr>
      <vt:lpstr>No_boars_IE</vt:lpstr>
      <vt:lpstr>No_boars_IT</vt:lpstr>
      <vt:lpstr>No_boars_NL</vt:lpstr>
      <vt:lpstr>No_boars_PL</vt:lpstr>
      <vt:lpstr>No_boars_SE</vt:lpstr>
      <vt:lpstr>No_fattening_pigs_DE</vt:lpstr>
      <vt:lpstr>No_fattening_pigs_DK</vt:lpstr>
      <vt:lpstr>No_fattening_pigs_ES</vt:lpstr>
      <vt:lpstr>No_fattening_pigs_FR</vt:lpstr>
      <vt:lpstr>No_fattening_pigs_GR</vt:lpstr>
      <vt:lpstr>No_fattening_pigs_HU</vt:lpstr>
      <vt:lpstr>No_fattening_pigs_IE</vt:lpstr>
      <vt:lpstr>No_fattening_pigs_IT</vt:lpstr>
      <vt:lpstr>No_fattening_pigs_NL</vt:lpstr>
      <vt:lpstr>No_fattening_pigs_PL</vt:lpstr>
      <vt:lpstr>No_fattening_pigs_SE</vt:lpstr>
      <vt:lpstr>No_piglets_DE</vt:lpstr>
      <vt:lpstr>No_piglets_DK</vt:lpstr>
      <vt:lpstr>No_piglets_ES</vt:lpstr>
      <vt:lpstr>No_piglets_FR</vt:lpstr>
      <vt:lpstr>No_piglets_GR</vt:lpstr>
      <vt:lpstr>No_piglets_HU</vt:lpstr>
      <vt:lpstr>No_piglets_IE</vt:lpstr>
      <vt:lpstr>No_piglets_IT</vt:lpstr>
      <vt:lpstr>No_piglets_NL</vt:lpstr>
      <vt:lpstr>No_piglets_PL</vt:lpstr>
      <vt:lpstr>No_piglets_SE</vt:lpstr>
      <vt:lpstr>No_recruit_sows_DE</vt:lpstr>
      <vt:lpstr>No_recruit_sows_DK</vt:lpstr>
      <vt:lpstr>No_recruit_sows_ES</vt:lpstr>
      <vt:lpstr>No_recruit_sows_FR</vt:lpstr>
      <vt:lpstr>No_recruit_sows_GR</vt:lpstr>
      <vt:lpstr>No_recruit_sows_HU</vt:lpstr>
      <vt:lpstr>No_recruit_sows_IE</vt:lpstr>
      <vt:lpstr>No_recruit_sows_IT</vt:lpstr>
      <vt:lpstr>No_recruit_sows_NL</vt:lpstr>
      <vt:lpstr>No_recruit_sows_PL</vt:lpstr>
      <vt:lpstr>No_recruit_sows_SE</vt:lpstr>
      <vt:lpstr>No_sows_DE</vt:lpstr>
      <vt:lpstr>No_sows_DK</vt:lpstr>
      <vt:lpstr>No_sows_ES</vt:lpstr>
      <vt:lpstr>No_sows_FR</vt:lpstr>
      <vt:lpstr>No_sows_GR</vt:lpstr>
      <vt:lpstr>No_sows_HU</vt:lpstr>
      <vt:lpstr>No_sows_IE</vt:lpstr>
      <vt:lpstr>No_sows_IT</vt:lpstr>
      <vt:lpstr>No_sows_NL</vt:lpstr>
      <vt:lpstr>No_sows_PL</vt:lpstr>
      <vt:lpstr>No_sows_SE</vt:lpstr>
      <vt:lpstr>Share_biofuels_DE</vt:lpstr>
      <vt:lpstr>Share_biofuels_DK</vt:lpstr>
      <vt:lpstr>Share_biofuels_ES</vt:lpstr>
      <vt:lpstr>Share_biofuels_FR</vt:lpstr>
      <vt:lpstr>Share_biofuels_GR</vt:lpstr>
      <vt:lpstr>Share_biofuels_HU</vt:lpstr>
      <vt:lpstr>Share_biofuels_IE</vt:lpstr>
      <vt:lpstr>Share_biofuels_IT</vt:lpstr>
      <vt:lpstr>Share_biofuels_NL</vt:lpstr>
      <vt:lpstr>Share_biofuels_PL</vt:lpstr>
      <vt:lpstr>Share_biofuels_SE</vt:lpstr>
      <vt:lpstr>Share_heating_DE</vt:lpstr>
      <vt:lpstr>Share_heating_DK</vt:lpstr>
      <vt:lpstr>Share_heating_ES</vt:lpstr>
      <vt:lpstr>Share_heating_FR</vt:lpstr>
      <vt:lpstr>Share_heating_GR</vt:lpstr>
      <vt:lpstr>Share_heating_HU</vt:lpstr>
      <vt:lpstr>Share_heating_IE</vt:lpstr>
      <vt:lpstr>Share_heating_IT</vt:lpstr>
      <vt:lpstr>Share_heating_NL</vt:lpstr>
      <vt:lpstr>Share_heating_PL</vt:lpstr>
      <vt:lpstr>Share_heating_SE</vt:lpstr>
      <vt:lpstr>Slaughter_duration_class</vt:lpstr>
      <vt:lpstr>Time_fattening_days_DE</vt:lpstr>
      <vt:lpstr>Time_fattening_days_DK</vt:lpstr>
      <vt:lpstr>Time_fattening_days_ES</vt:lpstr>
      <vt:lpstr>Time_fattening_days_FR</vt:lpstr>
      <vt:lpstr>Time_fattening_days_GR</vt:lpstr>
      <vt:lpstr>Time_fattening_days_HU</vt:lpstr>
      <vt:lpstr>Time_fattening_days_IE</vt:lpstr>
      <vt:lpstr>Time_fattening_days_IT</vt:lpstr>
      <vt:lpstr>Time_fattening_days_NL</vt:lpstr>
      <vt:lpstr>Time_fattening_days_PL</vt:lpstr>
      <vt:lpstr>Time_fattening_days_SE</vt:lpstr>
      <vt:lpstr>Time_piglet_system_DE</vt:lpstr>
      <vt:lpstr>Time_piglet_system_DK</vt:lpstr>
      <vt:lpstr>Time_piglet_system_ES</vt:lpstr>
      <vt:lpstr>Time_piglet_system_FR</vt:lpstr>
      <vt:lpstr>Time_piglet_system_GR</vt:lpstr>
      <vt:lpstr>Time_piglet_system_HU</vt:lpstr>
      <vt:lpstr>Time_piglet_system_IE</vt:lpstr>
      <vt:lpstr>Time_piglet_system_IT</vt:lpstr>
      <vt:lpstr>Time_piglet_system_NL</vt:lpstr>
      <vt:lpstr>Time_piglet_system_PL</vt:lpstr>
      <vt:lpstr>Time_piglet_system_SE</vt:lpstr>
      <vt:lpstr>Water_stables_DE</vt:lpstr>
      <vt:lpstr>Water_stables_DK</vt:lpstr>
      <vt:lpstr>Water_stables_ES</vt:lpstr>
      <vt:lpstr>Water_stables_FR</vt:lpstr>
      <vt:lpstr>Water_stables_GR</vt:lpstr>
      <vt:lpstr>Water_stables_HU</vt:lpstr>
      <vt:lpstr>Water_stables_IE</vt:lpstr>
      <vt:lpstr>Water_stables_IT</vt:lpstr>
      <vt:lpstr>Water_stables_NL</vt:lpstr>
      <vt:lpstr>Water_stables_PL</vt:lpstr>
      <vt:lpstr>Water_stables_SE</vt:lpstr>
      <vt:lpstr>Weight_ability_to_perceive_handling</vt:lpstr>
      <vt:lpstr>Weight_diseases</vt:lpstr>
      <vt:lpstr>Weight_mortality</vt:lpstr>
      <vt:lpstr>Weight_no_of_animal</vt:lpstr>
      <vt:lpstr>Weight_slaughter_duration_class</vt:lpstr>
      <vt:lpstr>Weight_space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Elin Röös</dc:creator>
  <cp:keywords/>
  <dc:description/>
  <cp:lastModifiedBy>Elin Röös</cp:lastModifiedBy>
  <cp:revision/>
  <cp:lastPrinted>2023-07-31T17:22:42Z</cp:lastPrinted>
  <dcterms:created xsi:type="dcterms:W3CDTF">2015-06-05T18:19:34Z</dcterms:created>
  <dcterms:modified xsi:type="dcterms:W3CDTF">2024-04-29T10:06:25Z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0x010100A603BB68AE5C0F4C908E70EB4D1DDDC3</vt:lpwstr>
  </property>
</Properties>
</file>