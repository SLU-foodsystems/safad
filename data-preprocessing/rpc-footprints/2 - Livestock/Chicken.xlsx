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mc:AlternateContent xmlns:mc="http://schemas.openxmlformats.org/markup-compatibility/2006">
    <mc:Choice Requires="x15">
      <x15ac:absPath xmlns:x15ac="http://schemas.microsoft.com/office/spreadsheetml/2010/11/ac" url="/Users/wilhelmwanecek/dev/safad/data-preprocessing/rpc-footprints/2 - Livestock/"/>
    </mc:Choice>
  </mc:AlternateContent>
  <xr:revisionPtr revIDLastSave="0" documentId="11_3E324FD884EBB9C4289E57E0DD7BC1FBC21763BA" xr6:coauthVersionLast="47" xr6:coauthVersionMax="47" xr10:uidLastSave="{00000000-0000-0000-0000-000000000000}"/>
  <bookViews>
    <workbookView xWindow="0" yWindow="660" windowWidth="19420" windowHeight="11500" firstSheet="7" activeTab="7" xr2:uid="{00000000-000D-0000-FFFF-FFFF00000000}"/>
  </bookViews>
  <sheets>
    <sheet name="README" sheetId="1" r:id="rId1"/>
    <sheet name="Figures" sheetId="2" r:id="rId2"/>
    <sheet name="Footprints, per kg meat" sheetId="3" r:id="rId3"/>
    <sheet name="GHG det, per kg meat" sheetId="4" r:id="rId4"/>
    <sheet name="Footprints, per kg offal" sheetId="5" r:id="rId5"/>
    <sheet name="GHG det, per kg offal" sheetId="6" r:id="rId6"/>
    <sheet name="Footprints, per kg fat" sheetId="7" r:id="rId7"/>
    <sheet name="GHG det, per kg fat" sheetId="8" r:id="rId8"/>
    <sheet name="Footprints, absolute" sheetId="9" r:id="rId9"/>
    <sheet name="GHG detailed, absolute" sheetId="10" r:id="rId10"/>
    <sheet name="Production" sheetId="11" r:id="rId11"/>
    <sheet name="Parameters, country spec" sheetId="12" r:id="rId12"/>
    <sheet name="CO2 per kg feed" sheetId="13" r:id="rId13"/>
    <sheet name="CH4 per kg feed" sheetId="14" r:id="rId14"/>
    <sheet name="N2O per kg feed" sheetId="15" r:id="rId15"/>
    <sheet name="EFP per kg feed" sheetId="16" r:id="rId16"/>
    <sheet name="Parameters, general" sheetId="17" r:id="rId17"/>
    <sheet name="Off-farm feed" sheetId="18" r:id="rId18"/>
    <sheet name="References" sheetId="19" r:id="rId19"/>
    <sheet name="Verification" sheetId="20" r:id="rId20"/>
  </sheets>
  <externalReferences>
    <externalReference r:id="rId21"/>
  </externalReferences>
  <definedNames>
    <definedName name="_xlnm._FilterDatabase" localSheetId="1" hidden="1">Figures!$A$71:$M$83</definedName>
    <definedName name="Ability_to_perceive_handling">'Parameters, general'!$B$17</definedName>
    <definedName name="AF_fat">'Parameters, general'!$B$31</definedName>
    <definedName name="AF_meat">'Parameters, general'!$B$29</definedName>
    <definedName name="AF_offal">'Parameters, general'!$B$30</definedName>
    <definedName name="Bonefree_outof_CW_AT">'Parameters, country spec'!#REF!</definedName>
    <definedName name="Bonefree_outof_CW_BE">'Parameters, country spec'!#REF!</definedName>
    <definedName name="Bonefree_outof_CW_BG">'Parameters, country spec'!#REF!</definedName>
    <definedName name="Bonefree_outof_CW_BR">'Parameters, country spec'!#REF!</definedName>
    <definedName name="Bonefree_outof_CW_CY">'Parameters, country spec'!#REF!</definedName>
    <definedName name="Bonefree_outof_CW_CZ">'Parameters, country spec'!#REF!</definedName>
    <definedName name="Bonefree_outof_CW_DE">'Parameters, country spec'!$D$10</definedName>
    <definedName name="Bonefree_outof_CW_DK">'Parameters, country spec'!$B$10</definedName>
    <definedName name="Bonefree_outof_CW_EE">'Parameters, country spec'!#REF!</definedName>
    <definedName name="Bonefree_outof_CW_ES">'Parameters, country spec'!$K$10</definedName>
    <definedName name="Bonefree_outof_CW_FI">'Parameters, country spec'!#REF!</definedName>
    <definedName name="Bonefree_outof_CW_FR">'Parameters, country spec'!$C$10</definedName>
    <definedName name="Bonefree_outof_CW_GB">'Parameters, country spec'!$M$10</definedName>
    <definedName name="Bonefree_outof_CW_GR">'Parameters, country spec'!$E$10</definedName>
    <definedName name="Bonefree_outof_CW_HR">'Parameters, country spec'!#REF!</definedName>
    <definedName name="Bonefree_outof_CW_HU">'Parameters, country spec'!$F$10</definedName>
    <definedName name="Bonefree_outof_CW_IE">'Parameters, country spec'!$G$10</definedName>
    <definedName name="Bonefree_outof_CW_IT">'Parameters, country spec'!$H$10</definedName>
    <definedName name="Bonefree_outof_CW_LT">'Parameters, country spec'!#REF!</definedName>
    <definedName name="Bonefree_outof_CW_LV">'Parameters, country spec'!#REF!</definedName>
    <definedName name="Bonefree_outof_CW_MT">'Parameters, country spec'!#REF!</definedName>
    <definedName name="Bonefree_outof_CW_NL">'Parameters, country spec'!$I$10</definedName>
    <definedName name="Bonefree_outof_CW_PL">'Parameters, country spec'!$J$10</definedName>
    <definedName name="Bonefree_outof_CW_PT">'Parameters, country spec'!#REF!</definedName>
    <definedName name="Bonefree_outof_CW_RO">'Parameters, country spec'!#REF!</definedName>
    <definedName name="Bonefree_outof_CW_SE">'Parameters, country spec'!$L$10</definedName>
    <definedName name="Bonefree_outof_CW_SI">'Parameters, country spec'!#REF!</definedName>
    <definedName name="Bonefree_outof_CW_SK">'Parameters, country spec'!#REF!</definedName>
    <definedName name="Bonefree_outof_CW_TH">'Parameters, country spec'!#REF!</definedName>
    <definedName name="Bonefree_outof_CW_US">'Parameters, country spec'!#REF!</definedName>
    <definedName name="CF_biog_CH4">'[1]CF climate'!$C$5</definedName>
    <definedName name="CF_fossil_CH4">'[1]CF climate'!$D$5</definedName>
    <definedName name="CF_GWP_CH4_fossil">'Parameters, general'!$B$12</definedName>
    <definedName name="CF_GWP_N2O">'Parameters, general'!$B$14</definedName>
    <definedName name="CF_N2O">'[1]CF climate'!$E$5</definedName>
    <definedName name="CH4_bio_codes">'[1]Crops CH4, bio'!$A$6:$A$118</definedName>
    <definedName name="CH4_bio_data">'[1]Crops CH4, bio'!$E$6:$N$118</definedName>
    <definedName name="CH4_codes">'[1]Crops CH4, fossil'!$A$6:$A$118</definedName>
    <definedName name="CH4_data">'[1]Crops CH4, fossil'!$E$6:$N$118</definedName>
    <definedName name="CO2_codes">'[1]Crops CO2'!$A$6:$A$118</definedName>
    <definedName name="CO2_data">'[1]Crops CO2'!$E$6:$N$118</definedName>
    <definedName name="Crop_data">'[1]Crops, input data per ha'!$A$6:$Z$118</definedName>
    <definedName name="Crop_data_codes">'[1]Crops, input data per ha'!$A$6:$A$118</definedName>
    <definedName name="CY">'Parameters, country spec'!#REF!</definedName>
    <definedName name="EF_ammonia_AT">'Parameters, country spec'!#REF!</definedName>
    <definedName name="EF_ammonia_BE">'Parameters, country spec'!#REF!</definedName>
    <definedName name="EF_ammonia_BG">'Parameters, country spec'!#REF!</definedName>
    <definedName name="EF_ammonia_BR">'Parameters, country spec'!#REF!</definedName>
    <definedName name="EF_ammonia_CY">'Parameters, country spec'!#REF!</definedName>
    <definedName name="EF_ammonia_CZ">'Parameters, country spec'!#REF!</definedName>
    <definedName name="EF_ammonia_DE">'Parameters, country spec'!$D$44</definedName>
    <definedName name="EF_ammonia_DK">'Parameters, country spec'!$B$44</definedName>
    <definedName name="EF_ammonia_EE">'Parameters, country spec'!#REF!</definedName>
    <definedName name="EF_ammonia_ES">'Parameters, country spec'!$K$44</definedName>
    <definedName name="EF_ammonia_FI">'Parameters, country spec'!#REF!</definedName>
    <definedName name="EF_ammonia_FR">'Parameters, country spec'!$C$44</definedName>
    <definedName name="EF_ammonia_GB">'Parameters, country spec'!$M$44</definedName>
    <definedName name="EF_ammonia_GR">'Parameters, country spec'!$E$44</definedName>
    <definedName name="EF_ammonia_HR">'Parameters, country spec'!#REF!</definedName>
    <definedName name="EF_ammonia_HU">'Parameters, country spec'!$F$44</definedName>
    <definedName name="EF_ammonia_IE">'Parameters, country spec'!$G$44</definedName>
    <definedName name="EF_ammonia_IT">'Parameters, country spec'!$H$44</definedName>
    <definedName name="EF_ammonia_LT">'Parameters, country spec'!#REF!</definedName>
    <definedName name="EF_ammonia_LV">'Parameters, country spec'!#REF!</definedName>
    <definedName name="EF_ammonia_MT">'Parameters, country spec'!#REF!</definedName>
    <definedName name="EF_ammonia_NL">'Parameters, country spec'!$I$44</definedName>
    <definedName name="EF_ammonia_PL">'Parameters, country spec'!$J$44</definedName>
    <definedName name="EF_ammonia_PT">'Parameters, country spec'!#REF!</definedName>
    <definedName name="EF_ammonia_RO">'Parameters, country spec'!#REF!</definedName>
    <definedName name="EF_ammonia_SE">'Parameters, country spec'!$L$44</definedName>
    <definedName name="EF_ammonia_SI">'Parameters, country spec'!#REF!</definedName>
    <definedName name="EF_ammonia_SK">'Parameters, country spec'!#REF!</definedName>
    <definedName name="EF_ammonia_TH">'Parameters, country spec'!#REF!</definedName>
    <definedName name="EF_ammonia_US">'Parameters, country spec'!#REF!</definedName>
    <definedName name="EF_biofuel_CH4">'Parameters, general'!$C$7</definedName>
    <definedName name="EF_biofuel_N2O">'Parameters, general'!$D$7</definedName>
    <definedName name="EF_biofuels_CO2">'Parameters, general'!$B$7</definedName>
    <definedName name="EF_capital_goods_CO2">'[1]Emission factors'!$B$35</definedName>
    <definedName name="EF_CH4_manure_AT">'Parameters, country spec'!#REF!</definedName>
    <definedName name="EF_CH4_manure_BE">'Parameters, country spec'!#REF!</definedName>
    <definedName name="EF_CH4_manure_BG">'Parameters, country spec'!#REF!</definedName>
    <definedName name="EF_CH4_manure_BR">'Parameters, country spec'!#REF!</definedName>
    <definedName name="EF_CH4_manure_CY">'Parameters, country spec'!#REF!</definedName>
    <definedName name="EF_CH4_manure_CZ">'Parameters, country spec'!#REF!</definedName>
    <definedName name="EF_CH4_manure_DE">'Parameters, country spec'!$D$51</definedName>
    <definedName name="EF_CH4_manure_DK">'Parameters, country spec'!$B$51</definedName>
    <definedName name="EF_CH4_manure_EE">'Parameters, country spec'!#REF!</definedName>
    <definedName name="EF_CH4_manure_ES">'Parameters, country spec'!$K$51</definedName>
    <definedName name="EF_CH4_manure_FI">'Parameters, country spec'!#REF!</definedName>
    <definedName name="EF_CH4_manure_FR">'Parameters, country spec'!$C$51</definedName>
    <definedName name="EF_CH4_manure_GB">'Parameters, country spec'!$M$51</definedName>
    <definedName name="EF_CH4_manure_GR">'Parameters, country spec'!$E$51</definedName>
    <definedName name="EF_CH4_manure_HR">'Parameters, country spec'!#REF!</definedName>
    <definedName name="EF_CH4_manure_HU">'Parameters, country spec'!$F$51</definedName>
    <definedName name="EF_CH4_manure_IE">'Parameters, country spec'!$G$51</definedName>
    <definedName name="EF_CH4_manure_IT">'Parameters, country spec'!$H$51</definedName>
    <definedName name="EF_CH4_manure_LT">'Parameters, country spec'!#REF!</definedName>
    <definedName name="EF_CH4_manure_LV">'Parameters, country spec'!#REF!</definedName>
    <definedName name="EF_CH4_manure_MT">'Parameters, country spec'!#REF!</definedName>
    <definedName name="EF_CH4_manure_NL">'Parameters, country spec'!$I$51</definedName>
    <definedName name="EF_CH4_manure_PL">'Parameters, country spec'!$J$51</definedName>
    <definedName name="EF_CH4_manure_PT">'Parameters, country spec'!#REF!</definedName>
    <definedName name="EF_CH4_manure_RO">'Parameters, country spec'!#REF!</definedName>
    <definedName name="EF_CH4_manure_SE">'Parameters, country spec'!$L$51</definedName>
    <definedName name="EF_CH4_manure_SI">'Parameters, country spec'!#REF!</definedName>
    <definedName name="EF_CH4_manure_SK">'Parameters, country spec'!#REF!</definedName>
    <definedName name="EF_CH4_manure_TH">'Parameters, country spec'!#REF!</definedName>
    <definedName name="EF_CH4_manure_US">'Parameters, country spec'!#REF!</definedName>
    <definedName name="EF_chips_CO2">'[1]Emission factors'!$B$10</definedName>
    <definedName name="EF_diesel_CO2">'[1]Emission factors'!$B$13</definedName>
    <definedName name="EF_el_CH4_AT">'Parameters, country spec'!#REF!</definedName>
    <definedName name="EF_el_CH4_BE">'Parameters, country spec'!#REF!</definedName>
    <definedName name="EF_el_CH4_BG">'Parameters, country spec'!#REF!</definedName>
    <definedName name="EF_el_CH4_BR">'Parameters, general'!$C$8</definedName>
    <definedName name="EF_el_CH4_CY">'Parameters, country spec'!#REF!</definedName>
    <definedName name="EF_el_CH4_CZ">'Parameters, country spec'!#REF!</definedName>
    <definedName name="EF_el_CH4_DE">'Parameters, country spec'!$D$67</definedName>
    <definedName name="EF_el_CH4_DK">'Parameters, country spec'!$B$67</definedName>
    <definedName name="EF_el_CH4_EE">'Parameters, country spec'!#REF!</definedName>
    <definedName name="EF_el_CH4_ES">'Parameters, country spec'!$K$67</definedName>
    <definedName name="EF_el_CH4_FI">'Parameters, country spec'!#REF!</definedName>
    <definedName name="EF_el_CH4_FR">'Parameters, country spec'!$C$67</definedName>
    <definedName name="EF_el_CH4_GB">'Parameters, country spec'!$M$67</definedName>
    <definedName name="EF_el_CH4_GR">'Parameters, country spec'!$E$67</definedName>
    <definedName name="EF_el_CH4_HR">'Parameters, country spec'!#REF!</definedName>
    <definedName name="EF_el_CH4_HU">'Parameters, country spec'!$F$67</definedName>
    <definedName name="EF_el_CH4_IE">'Parameters, country spec'!$G$67</definedName>
    <definedName name="EF_el_CH4_IT">'Parameters, country spec'!$H$67</definedName>
    <definedName name="EF_el_CH4_LT">'Parameters, country spec'!#REF!</definedName>
    <definedName name="EF_el_CH4_LV">'Parameters, country spec'!#REF!</definedName>
    <definedName name="EF_el_CH4_MT">'Parameters, country spec'!#REF!</definedName>
    <definedName name="EF_el_CH4_NL">'Parameters, country spec'!$I$67</definedName>
    <definedName name="EF_el_CH4_PL">'Parameters, country spec'!$J$67</definedName>
    <definedName name="EF_el_CH4_PT">'Parameters, country spec'!#REF!</definedName>
    <definedName name="EF_el_CH4_RO">'Parameters, country spec'!#REF!</definedName>
    <definedName name="EF_el_CH4_SE">'Parameters, country spec'!$L$67</definedName>
    <definedName name="EF_el_CH4_SI">'Parameters, country spec'!#REF!</definedName>
    <definedName name="EF_el_CH4_SK">'Parameters, country spec'!#REF!</definedName>
    <definedName name="EF_el_CH4_TH">'Parameters, country spec'!#REF!</definedName>
    <definedName name="EF_el_CH4_US">'Parameters, country spec'!#REF!</definedName>
    <definedName name="EF_el_CO2_AT">'Parameters, country spec'!#REF!</definedName>
    <definedName name="EF_el_CO2_BE">'Parameters, country spec'!#REF!</definedName>
    <definedName name="EF_el_CO2_BG">'Parameters, country spec'!#REF!</definedName>
    <definedName name="EF_el_CO2_BR">'Parameters, general'!$B$8</definedName>
    <definedName name="EF_el_CO2_CY">'Parameters, country spec'!#REF!</definedName>
    <definedName name="EF_el_CO2_CZ">'Parameters, country spec'!#REF!</definedName>
    <definedName name="EF_el_CO2_DE">'Parameters, country spec'!$D$66</definedName>
    <definedName name="EF_el_CO2_DK">'Parameters, country spec'!$B$66</definedName>
    <definedName name="EF_el_CO2_EE">'Parameters, country spec'!#REF!</definedName>
    <definedName name="EF_el_CO2_ES">'Parameters, country spec'!$K$66</definedName>
    <definedName name="EF_el_CO2_FI">'Parameters, country spec'!#REF!</definedName>
    <definedName name="EF_el_CO2_FR">'Parameters, country spec'!$C$66</definedName>
    <definedName name="EF_el_CO2_GB">'Parameters, country spec'!$M$66</definedName>
    <definedName name="EF_el_CO2_GR">'Parameters, country spec'!$E$66</definedName>
    <definedName name="EF_el_CO2_HR">'Parameters, country spec'!#REF!</definedName>
    <definedName name="EF_el_CO2_HU">'Parameters, country spec'!$F$66</definedName>
    <definedName name="EF_el_CO2_IE">'Parameters, country spec'!$G$66</definedName>
    <definedName name="EF_el_CO2_IT">'Parameters, country spec'!$H$66</definedName>
    <definedName name="EF_el_CO2_LT">'Parameters, country spec'!#REF!</definedName>
    <definedName name="EF_el_CO2_LV">'Parameters, country spec'!#REF!</definedName>
    <definedName name="EF_el_CO2_MT">'Parameters, country spec'!#REF!</definedName>
    <definedName name="EF_el_CO2_NL">'Parameters, country spec'!$I$66</definedName>
    <definedName name="EF_el_CO2_PL">'Parameters, country spec'!$J$66</definedName>
    <definedName name="EF_el_CO2_PT">'Parameters, country spec'!#REF!</definedName>
    <definedName name="EF_el_CO2_RO">'Parameters, country spec'!#REF!</definedName>
    <definedName name="EF_el_CO2_SE">'Parameters, country spec'!$L$66</definedName>
    <definedName name="EF_el_CO2_SI">'Parameters, country spec'!#REF!</definedName>
    <definedName name="EF_el_CO2_SK">'Parameters, country spec'!#REF!</definedName>
    <definedName name="EF_el_CO2_TH">'Parameters, country spec'!#REF!</definedName>
    <definedName name="EF_el_CO2_US">'Parameters, country spec'!#REF!</definedName>
    <definedName name="EF_el_N2O_AT">'Parameters, country spec'!#REF!</definedName>
    <definedName name="EF_el_N2O_BE">'Parameters, country spec'!#REF!</definedName>
    <definedName name="EF_el_N2O_BG">'Parameters, country spec'!#REF!</definedName>
    <definedName name="EF_el_N2O_BR">'Parameters, general'!$D$8</definedName>
    <definedName name="EF_el_N2O_CY">'Parameters, country spec'!#REF!</definedName>
    <definedName name="EF_el_N2O_CZ">'Parameters, country spec'!#REF!</definedName>
    <definedName name="EF_el_N2O_DE">'Parameters, country spec'!$D$68</definedName>
    <definedName name="EF_el_N2O_DK">'Parameters, country spec'!$B$68</definedName>
    <definedName name="EF_el_N2O_EE">'Parameters, country spec'!#REF!</definedName>
    <definedName name="EF_el_N2O_ES">'Parameters, country spec'!$K$68</definedName>
    <definedName name="EF_el_N2O_FI">'Parameters, country spec'!#REF!</definedName>
    <definedName name="EF_el_N2O_FR">'Parameters, country spec'!$C$68</definedName>
    <definedName name="EF_el_N2O_GB">'Parameters, country spec'!$M$68</definedName>
    <definedName name="EF_el_N2O_GR">'Parameters, country spec'!$E$68</definedName>
    <definedName name="EF_el_N2O_HR">'Parameters, country spec'!#REF!</definedName>
    <definedName name="EF_el_N2O_HU">'Parameters, country spec'!$F$68</definedName>
    <definedName name="EF_el_N2O_IE">'Parameters, country spec'!$G$68</definedName>
    <definedName name="EF_el_N2O_IT">'Parameters, country spec'!$H$68</definedName>
    <definedName name="EF_el_N2O_LT">'Parameters, country spec'!#REF!</definedName>
    <definedName name="EF_el_N2O_LV">'Parameters, country spec'!#REF!</definedName>
    <definedName name="EF_el_N2O_MT">'Parameters, country spec'!#REF!</definedName>
    <definedName name="EF_el_N2O_NL">'Parameters, country spec'!$I$68</definedName>
    <definedName name="EF_el_N2O_PL">'Parameters, country spec'!$J$68</definedName>
    <definedName name="EF_el_N2O_PT">'Parameters, country spec'!#REF!</definedName>
    <definedName name="EF_el_N2O_RO">'Parameters, country spec'!#REF!</definedName>
    <definedName name="EF_el_N2O_SE">'Parameters, country spec'!$L$68</definedName>
    <definedName name="EF_el_N2O_SI">'Parameters, country spec'!#REF!</definedName>
    <definedName name="EF_el_N2O_SK">'Parameters, country spec'!#REF!</definedName>
    <definedName name="EF_el_N2O_TH">'Parameters, country spec'!#REF!</definedName>
    <definedName name="EF_el_N2O_US">'Parameters, country spec'!#REF!</definedName>
    <definedName name="EF_electricity">'Parameters, country spec'!$L$65</definedName>
    <definedName name="EF_electricity_CO2">'[1]Emission factors'!$B$6</definedName>
    <definedName name="EF_gas_CH4">'Parameters, general'!$C$6</definedName>
    <definedName name="EF_gas_CO2">'Parameters, general'!$B$6</definedName>
    <definedName name="EF_gas_N2O">'Parameters, general'!$D$6</definedName>
    <definedName name="EF_GWP_CH4_biog">'Parameters, general'!#REF!</definedName>
    <definedName name="EF_heat_CO2">'Parameters, general'!$B$6</definedName>
    <definedName name="EF_heating_oil_CO2">'[1]Emission factors'!$B$7</definedName>
    <definedName name="EF_indirect_N2O_AT">'Parameters, country spec'!#REF!</definedName>
    <definedName name="EF_indirect_N2O_BE">'Parameters, country spec'!#REF!</definedName>
    <definedName name="EF_indirect_N2O_BG">'Parameters, country spec'!#REF!</definedName>
    <definedName name="EF_indirect_N2O_BR">'Parameters, country spec'!#REF!</definedName>
    <definedName name="EF_indirect_N2O_CY">'Parameters, country spec'!#REF!</definedName>
    <definedName name="EF_indirect_N2O_CZ">'Parameters, country spec'!#REF!</definedName>
    <definedName name="EF_indirect_N2O_DE">'Parameters, country spec'!$D$79</definedName>
    <definedName name="EF_indirect_N2O_DK">'Parameters, country spec'!$B$79</definedName>
    <definedName name="EF_indirect_N2O_EE">'Parameters, country spec'!#REF!</definedName>
    <definedName name="EF_indirect_N2O_ES">'Parameters, country spec'!$K$79</definedName>
    <definedName name="EF_indirect_N2O_FI">'Parameters, country spec'!#REF!</definedName>
    <definedName name="EF_indirect_N2O_FR">'Parameters, country spec'!$C$79</definedName>
    <definedName name="EF_indirect_N2O_GB">'Parameters, country spec'!$M$79</definedName>
    <definedName name="EF_indirect_N2O_GR">'Parameters, country spec'!$E$79</definedName>
    <definedName name="EF_indirect_N2O_HR">'Parameters, country spec'!#REF!</definedName>
    <definedName name="EF_indirect_N2O_HU">'Parameters, country spec'!$F$79</definedName>
    <definedName name="EF_indirect_N2O_IE">'Parameters, country spec'!$G$79</definedName>
    <definedName name="EF_indirect_N2O_IT">'Parameters, country spec'!$H$79</definedName>
    <definedName name="EF_indirect_N2O_LT">'Parameters, country spec'!#REF!</definedName>
    <definedName name="EF_indirect_N2O_LV">'Parameters, country spec'!#REF!</definedName>
    <definedName name="EF_indirect_N2O_MT">'Parameters, country spec'!#REF!</definedName>
    <definedName name="EF_indirect_N2O_NL">'Parameters, country spec'!$I$79</definedName>
    <definedName name="EF_indirect_N2O_PL">'Parameters, country spec'!$J$79</definedName>
    <definedName name="EF_indirect_N2O_PT">'Parameters, country spec'!#REF!</definedName>
    <definedName name="EF_indirect_N2O_RO">'Parameters, country spec'!#REF!</definedName>
    <definedName name="EF_indirect_N2O_SE">'Parameters, country spec'!$L$79</definedName>
    <definedName name="EF_indirect_N2O_SI">'Parameters, country spec'!#REF!</definedName>
    <definedName name="EF_indirect_N2O_SK">'Parameters, country spec'!#REF!</definedName>
    <definedName name="EF_indirect_N2O_TH">'Parameters, country spec'!#REF!</definedName>
    <definedName name="EF_indirect_N2O_US">'Parameters, country spec'!#REF!</definedName>
    <definedName name="EF_irrigation_CO2">'[1]Emission factors'!$B$28</definedName>
    <definedName name="EF_min_fert_AN_CH4">'Parameters, general'!#REF!</definedName>
    <definedName name="EF_min_fert_AN_CO2">'Parameters, general'!#REF!</definedName>
    <definedName name="EF_min_fert_AN_N2O">'Parameters, general'!#REF!</definedName>
    <definedName name="EF_min_fert_BAT_CH4">'Parameters, general'!#REF!</definedName>
    <definedName name="EF_min_fert_BAT_CO2">'Parameters, general'!#REF!</definedName>
    <definedName name="EF_min_fert_BAT_N2O">'Parameters, general'!#REF!</definedName>
    <definedName name="EF_min_fert_CH4_DE">'Parameters, country spec'!$D$72</definedName>
    <definedName name="EF_min_fert_CH4_DK">'Parameters, country spec'!$B$72</definedName>
    <definedName name="EF_min_fert_CH4_ES">'Parameters, country spec'!$K$72</definedName>
    <definedName name="EF_min_fert_CH4_FR">'Parameters, country spec'!$C$72</definedName>
    <definedName name="EF_min_fert_CH4_GB">'Parameters, country spec'!$M$72</definedName>
    <definedName name="EF_min_fert_CH4_GR">'Parameters, country spec'!$E$72</definedName>
    <definedName name="EF_min_fert_CH4_HU">'Parameters, country spec'!$F$72</definedName>
    <definedName name="EF_min_fert_CH4_IE">'Parameters, country spec'!$G$72</definedName>
    <definedName name="EF_min_fert_CH4_IT">'Parameters, country spec'!$H$72</definedName>
    <definedName name="EF_min_fert_CH4_NL">'Parameters, country spec'!$I$72</definedName>
    <definedName name="EF_min_fert_CH4_PL">'Parameters, country spec'!$J$72</definedName>
    <definedName name="EF_min_fert_CH4_SE">'Parameters, country spec'!$L$72</definedName>
    <definedName name="EF_min_fert_CO2_DE">'Parameters, country spec'!$D$71</definedName>
    <definedName name="EF_min_fert_CO2_DK">'Parameters, country spec'!$B$71</definedName>
    <definedName name="EF_min_fert_CO2_ES">'Parameters, country spec'!$K$71</definedName>
    <definedName name="EF_min_fert_CO2_FR">'Parameters, country spec'!$C$71</definedName>
    <definedName name="EF_min_fert_CO2_GB">'Parameters, country spec'!$M$71</definedName>
    <definedName name="EF_min_fert_CO2_GR">'Parameters, country spec'!$E$71</definedName>
    <definedName name="EF_min_fert_CO2_HU">'Parameters, country spec'!$F$71</definedName>
    <definedName name="EF_min_fert_CO2_IE">'Parameters, country spec'!$G$71</definedName>
    <definedName name="EF_min_fert_CO2_IT">'Parameters, country spec'!$H$71</definedName>
    <definedName name="EF_min_fert_CO2_NL">'Parameters, country spec'!$I$71</definedName>
    <definedName name="EF_min_fert_CO2_PL">'Parameters, country spec'!$J$71</definedName>
    <definedName name="EF_min_fert_CO2_SE">'Parameters, country spec'!$L$71</definedName>
    <definedName name="EF_min_fert_CO2_UK">'Parameters, country spec'!$M$71</definedName>
    <definedName name="EF_min_fert_N2O_DE">'Parameters, country spec'!$D$73</definedName>
    <definedName name="EF_min_fert_N2O_DK">'Parameters, country spec'!$B$73</definedName>
    <definedName name="EF_min_fert_N2O_ES">'Parameters, country spec'!$K$73</definedName>
    <definedName name="EF_min_fert_N2O_FR">'Parameters, country spec'!$C$73</definedName>
    <definedName name="EF_min_fert_N2O_GB">'Parameters, country spec'!$M$73</definedName>
    <definedName name="EF_min_fert_N2O_GR">'Parameters, country spec'!$E$73</definedName>
    <definedName name="EF_min_fert_N2O_HU">'Parameters, country spec'!$F$73</definedName>
    <definedName name="EF_min_fert_N2O_IE">'Parameters, country spec'!$G$73</definedName>
    <definedName name="EF_min_fert_N2O_IT">'Parameters, country spec'!$H$73</definedName>
    <definedName name="EF_min_fert_N2O_NL">'Parameters, country spec'!$I$73</definedName>
    <definedName name="EF_min_fert_N2O_PL">'Parameters, country spec'!$J$73</definedName>
    <definedName name="EF_min_fert_N2O_SE">'Parameters, country spec'!$L$73</definedName>
    <definedName name="EF_N2O_diff_AT">'Parameters, country spec'!#REF!</definedName>
    <definedName name="EF_N2O_diff_BE">'Parameters, country spec'!#REF!</definedName>
    <definedName name="EF_N2O_diff_BG">'Parameters, country spec'!#REF!</definedName>
    <definedName name="EF_N2O_diff_BR">'Parameters, country spec'!#REF!</definedName>
    <definedName name="EF_N2O_diff_CY">'Parameters, country spec'!#REF!</definedName>
    <definedName name="EF_N2O_diff_CZ">'Parameters, country spec'!#REF!</definedName>
    <definedName name="EF_N2O_diff_DE">'Parameters, country spec'!$D$78</definedName>
    <definedName name="EF_N2O_diff_DK">'Parameters, country spec'!$B$78</definedName>
    <definedName name="EF_N2O_diff_EE">'Parameters, country spec'!#REF!</definedName>
    <definedName name="EF_N2O_diff_ES">'Parameters, country spec'!$K$78</definedName>
    <definedName name="EF_N2O_diff_FI">'Parameters, country spec'!#REF!</definedName>
    <definedName name="EF_N2O_diff_FR">'Parameters, country spec'!$C$78</definedName>
    <definedName name="EF_N2O_diff_GB">'Parameters, country spec'!$M$78</definedName>
    <definedName name="EF_N2O_diff_GR">'Parameters, country spec'!$E$78</definedName>
    <definedName name="EF_N2O_diff_HR">'Parameters, country spec'!#REF!</definedName>
    <definedName name="EF_N2O_diff_HU">'Parameters, country spec'!$F$78</definedName>
    <definedName name="EF_N2O_diff_IE">'Parameters, country spec'!$G$78</definedName>
    <definedName name="EF_N2O_diff_IT">'Parameters, country spec'!$H$78</definedName>
    <definedName name="EF_N2O_diff_LT">'Parameters, country spec'!#REF!</definedName>
    <definedName name="EF_N2O_diff_LV">'Parameters, country spec'!#REF!</definedName>
    <definedName name="EF_N2O_diff_MT">'Parameters, country spec'!#REF!</definedName>
    <definedName name="EF_N2O_diff_NL">'Parameters, country spec'!$I$78</definedName>
    <definedName name="EF_N2O_diff_PL">'Parameters, country spec'!$J$78</definedName>
    <definedName name="EF_N2O_diff_PT">'Parameters, country spec'!#REF!</definedName>
    <definedName name="EF_N2O_diff_RO">'Parameters, country spec'!#REF!</definedName>
    <definedName name="EF_N2O_diff_SE">'Parameters, country spec'!$L$78</definedName>
    <definedName name="EF_N2O_diff_SI">'Parameters, country spec'!#REF!</definedName>
    <definedName name="EF_N2O_diff_SK">'Parameters, country spec'!#REF!</definedName>
    <definedName name="EF_N2O_diff_TH">'Parameters, country spec'!#REF!</definedName>
    <definedName name="EF_N2O_diff_US">'Parameters, country spec'!#REF!</definedName>
    <definedName name="EF_N2O_manure_direct_AT">'Parameters, country spec'!#REF!</definedName>
    <definedName name="EF_N2O_manure_direct_BE">'Parameters, country spec'!#REF!</definedName>
    <definedName name="EF_N2O_manure_direct_BG">'Parameters, country spec'!#REF!</definedName>
    <definedName name="EF_N2O_manure_direct_BR">'Parameters, country spec'!#REF!</definedName>
    <definedName name="EF_N2O_manure_direct_CY">'Parameters, country spec'!#REF!</definedName>
    <definedName name="EF_N2O_manure_direct_CZ">'Parameters, country spec'!#REF!</definedName>
    <definedName name="EF_N2O_manure_direct_DE">'Parameters, country spec'!$D$52</definedName>
    <definedName name="EF_N2O_manure_direct_DK">'Parameters, country spec'!$B$52</definedName>
    <definedName name="EF_N2O_manure_direct_EE">'Parameters, country spec'!#REF!</definedName>
    <definedName name="EF_N2O_manure_direct_ES">'Parameters, country spec'!$K$52</definedName>
    <definedName name="EF_N2O_manure_direct_FI">'Parameters, country spec'!#REF!</definedName>
    <definedName name="EF_N2O_manure_direct_FR">'Parameters, country spec'!$C$52</definedName>
    <definedName name="EF_N2O_manure_direct_GB">'Parameters, country spec'!$M$52</definedName>
    <definedName name="EF_N2O_manure_direct_GR">'Parameters, country spec'!$E$52</definedName>
    <definedName name="EF_N2O_manure_direct_HR">'Parameters, country spec'!#REF!</definedName>
    <definedName name="EF_N2O_manure_direct_HU">'Parameters, country spec'!$F$52</definedName>
    <definedName name="EF_N2O_manure_direct_IE">'Parameters, country spec'!$G$52</definedName>
    <definedName name="EF_N2O_manure_direct_IT">'Parameters, country spec'!$H$52</definedName>
    <definedName name="EF_N2O_manure_direct_LT">'Parameters, country spec'!#REF!</definedName>
    <definedName name="EF_N2O_manure_direct_LV">'Parameters, country spec'!#REF!</definedName>
    <definedName name="EF_N2O_manure_direct_MT">'Parameters, country spec'!#REF!</definedName>
    <definedName name="EF_N2O_manure_direct_NL">'Parameters, country spec'!$I$52</definedName>
    <definedName name="EF_N2O_manure_direct_PL">'Parameters, country spec'!$J$52</definedName>
    <definedName name="EF_N2O_manure_direct_PT">'Parameters, country spec'!#REF!</definedName>
    <definedName name="EF_N2O_manure_direct_RO">'Parameters, country spec'!#REF!</definedName>
    <definedName name="EF_N2O_manure_direct_SE">'Parameters, country spec'!$L$52</definedName>
    <definedName name="EF_N2O_manure_direct_SI">'Parameters, country spec'!#REF!</definedName>
    <definedName name="EF_N2O_manure_direct_SK">'Parameters, country spec'!#REF!</definedName>
    <definedName name="EF_N2O_manure_direct_TH">'Parameters, country spec'!#REF!</definedName>
    <definedName name="EF_N2O_manure_direct_US">'Parameters, country spec'!#REF!</definedName>
    <definedName name="EF_N2O_manure_indirect_AT">'Parameters, country spec'!#REF!</definedName>
    <definedName name="EF_N2O_manure_indirect_BE">'Parameters, country spec'!#REF!</definedName>
    <definedName name="EF_N2O_manure_indirect_BG">'Parameters, country spec'!#REF!</definedName>
    <definedName name="EF_N2O_manure_indirect_BR">'Parameters, country spec'!#REF!</definedName>
    <definedName name="EF_N2O_manure_indirect_CY">'Parameters, country spec'!#REF!</definedName>
    <definedName name="EF_N2O_manure_indirect_CZ">'Parameters, country spec'!#REF!</definedName>
    <definedName name="EF_N2O_manure_indirect_DE">'Parameters, country spec'!$D$53</definedName>
    <definedName name="EF_N2O_manure_indirect_DK">'Parameters, country spec'!$B$53</definedName>
    <definedName name="EF_N2O_manure_indirect_EE">'Parameters, country spec'!#REF!</definedName>
    <definedName name="EF_N2O_manure_indirect_ES">'Parameters, country spec'!$K$53</definedName>
    <definedName name="EF_N2O_manure_indirect_FI">'Parameters, country spec'!#REF!</definedName>
    <definedName name="EF_N2O_manure_indirect_FR">'Parameters, country spec'!$C$53</definedName>
    <definedName name="EF_N2O_manure_indirect_GB">'Parameters, country spec'!$M$53</definedName>
    <definedName name="EF_N2O_manure_indirect_GR">'Parameters, country spec'!$E$53</definedName>
    <definedName name="EF_N2O_manure_indirect_HR">'Parameters, country spec'!#REF!</definedName>
    <definedName name="EF_N2O_manure_indirect_HU">'Parameters, country spec'!$F$53</definedName>
    <definedName name="EF_N2O_manure_indirect_IE">'Parameters, country spec'!$G$53</definedName>
    <definedName name="EF_N2O_manure_indirect_IT">'Parameters, country spec'!$H$53</definedName>
    <definedName name="EF_N2O_manure_indirect_LT">'Parameters, country spec'!#REF!</definedName>
    <definedName name="EF_N2O_manure_indirect_LV">'Parameters, country spec'!#REF!</definedName>
    <definedName name="EF_N2O_manure_indirect_MT">'Parameters, country spec'!#REF!</definedName>
    <definedName name="EF_N2O_manure_indirect_NL">'Parameters, country spec'!$I$53</definedName>
    <definedName name="EF_N2O_manure_indirect_PL">'Parameters, country spec'!$J$53</definedName>
    <definedName name="EF_N2O_manure_indirect_PT">'Parameters, country spec'!#REF!</definedName>
    <definedName name="EF_N2O_manure_indirect_RO">'Parameters, country spec'!#REF!</definedName>
    <definedName name="EF_N2O_manure_indirect_SE">'Parameters, country spec'!$L$53</definedName>
    <definedName name="EF_N2O_manure_indirect_SI">'Parameters, country spec'!#REF!</definedName>
    <definedName name="EF_N2O_manure_indirect_SK">'Parameters, country spec'!#REF!</definedName>
    <definedName name="EF_N2O_manure_indirect_TH">'Parameters, country spec'!#REF!</definedName>
    <definedName name="EF_N2O_manure_indirect_US">'Parameters, country spec'!#REF!</definedName>
    <definedName name="EF_NH3">'[1]Emission factors'!$B$73</definedName>
    <definedName name="EF_oil_CH4">'Parameters, general'!$C$5</definedName>
    <definedName name="EF_oil_CO2">'Parameters, general'!$B$5</definedName>
    <definedName name="EF_oil_N2O">'Parameters, general'!$D$5</definedName>
    <definedName name="Energy_slaughter_el_AT">'Parameters, country spec'!#REF!</definedName>
    <definedName name="Energy_slaughter_el_BE">'Parameters, country spec'!#REF!</definedName>
    <definedName name="Energy_slaughter_el_BG">'Parameters, country spec'!#REF!</definedName>
    <definedName name="Energy_slaughter_el_BR">'Parameters, country spec'!#REF!</definedName>
    <definedName name="Energy_slaughter_el_CY">'Parameters, country spec'!#REF!</definedName>
    <definedName name="Energy_slaughter_el_CZ">'Parameters, country spec'!#REF!</definedName>
    <definedName name="Energy_slaughter_el_DE">'Parameters, country spec'!$D$61</definedName>
    <definedName name="Energy_slaughter_el_DK">'Parameters, country spec'!$B$61</definedName>
    <definedName name="Energy_slaughter_el_EE">'Parameters, country spec'!#REF!</definedName>
    <definedName name="Energy_slaughter_el_ES">'Parameters, country spec'!$K$61</definedName>
    <definedName name="Energy_slaughter_el_FI">'Parameters, country spec'!#REF!</definedName>
    <definedName name="Energy_slaughter_el_FR">'Parameters, country spec'!$C$61</definedName>
    <definedName name="Energy_slaughter_el_GB">'Parameters, country spec'!$M$61</definedName>
    <definedName name="Energy_slaughter_el_GR">'Parameters, country spec'!$E$61</definedName>
    <definedName name="Energy_slaughter_el_HR">'Parameters, country spec'!#REF!</definedName>
    <definedName name="Energy_slaughter_el_HU">'Parameters, country spec'!$F$61</definedName>
    <definedName name="Energy_slaughter_el_IE">'Parameters, country spec'!$G$61</definedName>
    <definedName name="Energy_slaughter_el_IT">'Parameters, country spec'!$H$61</definedName>
    <definedName name="Energy_slaughter_el_LT">'Parameters, country spec'!#REF!</definedName>
    <definedName name="Energy_slaughter_el_LV">'Parameters, country spec'!#REF!</definedName>
    <definedName name="Energy_slaughter_el_MT">'Parameters, country spec'!#REF!</definedName>
    <definedName name="Energy_slaughter_el_NL">'Parameters, country spec'!$I$61</definedName>
    <definedName name="Energy_slaughter_el_PL">'Parameters, country spec'!$J$61</definedName>
    <definedName name="Energy_slaughter_el_PT">'Parameters, country spec'!#REF!</definedName>
    <definedName name="Energy_slaughter_el_RO">'Parameters, country spec'!#REF!</definedName>
    <definedName name="Energy_slaughter_el_SE">'Parameters, country spec'!$L$61</definedName>
    <definedName name="Energy_slaughter_el_SI">'Parameters, country spec'!#REF!</definedName>
    <definedName name="Energy_slaughter_el_SK">'Parameters, country spec'!#REF!</definedName>
    <definedName name="Energy_slaughter_el_TH">'Parameters, country spec'!#REF!</definedName>
    <definedName name="Energy_slaughter_el_US">'Parameters, country spec'!#REF!</definedName>
    <definedName name="Energy_slaughter_heat_DE">'Parameters, country spec'!$D$62</definedName>
    <definedName name="Energy_slaughter_heat_DK">'Parameters, country spec'!$B$62</definedName>
    <definedName name="Energy_slaughter_heat_ES">'Parameters, country spec'!$K$62</definedName>
    <definedName name="Energy_slaughter_heat_FR">'Parameters, country spec'!$C$62</definedName>
    <definedName name="Energy_slaughter_heat_GB">'Parameters, country spec'!$M$62</definedName>
    <definedName name="Energy_slaughter_heat_GR">'Parameters, country spec'!$E$62</definedName>
    <definedName name="Energy_slaughter_heat_HU">'Parameters, country spec'!$F$62</definedName>
    <definedName name="Energy_slaughter_heat_IE">'Parameters, country spec'!$G$62</definedName>
    <definedName name="Energy_slaughter_heat_IT">'Parameters, country spec'!$H$62</definedName>
    <definedName name="Energy_slaughter_heat_NL">'Parameters, country spec'!$I$62</definedName>
    <definedName name="Energy_slaughter_heat_PL">'Parameters, country spec'!$J$62</definedName>
    <definedName name="Energy_slaughter_heat_SE">'Parameters, country spec'!$L$62</definedName>
    <definedName name="Energy_stables_AT">'Parameters, country spec'!#REF!</definedName>
    <definedName name="Energy_stables_BE">'Parameters, country spec'!#REF!</definedName>
    <definedName name="Energy_stables_BG">'Parameters, country spec'!#REF!</definedName>
    <definedName name="Energy_stables_BR">'Parameters, country spec'!#REF!</definedName>
    <definedName name="Energy_stables_CY">'Parameters, country spec'!#REF!</definedName>
    <definedName name="Energy_stables_CZ">'Parameters, country spec'!#REF!</definedName>
    <definedName name="Energy_stables_DE">'Parameters, country spec'!$D$56</definedName>
    <definedName name="Energy_stables_DK">'Parameters, country spec'!$B$56</definedName>
    <definedName name="Energy_stables_EE">'Parameters, country spec'!#REF!</definedName>
    <definedName name="Energy_stables_ES">'Parameters, country spec'!$K$56</definedName>
    <definedName name="Energy_stables_FI">'Parameters, country spec'!#REF!</definedName>
    <definedName name="Energy_stables_FR">'Parameters, country spec'!$C$56</definedName>
    <definedName name="Energy_stables_GB">'Parameters, country spec'!$M$56</definedName>
    <definedName name="Energy_stables_GR">'Parameters, country spec'!$E$56</definedName>
    <definedName name="Energy_stables_HR">'Parameters, country spec'!#REF!</definedName>
    <definedName name="Energy_stables_HU">'Parameters, country spec'!$F$56</definedName>
    <definedName name="Energy_stables_IE">'Parameters, country spec'!$G$56</definedName>
    <definedName name="Energy_stables_IT">'Parameters, country spec'!$H$56</definedName>
    <definedName name="Energy_stables_LT">'Parameters, country spec'!#REF!</definedName>
    <definedName name="Energy_stables_LV">'Parameters, country spec'!#REF!</definedName>
    <definedName name="Energy_stables_MT">'Parameters, country spec'!#REF!</definedName>
    <definedName name="Energy_stables_NL">'Parameters, country spec'!$I$56</definedName>
    <definedName name="Energy_stables_PL">'Parameters, country spec'!$J$56</definedName>
    <definedName name="Energy_stables_PT">'Parameters, country spec'!#REF!</definedName>
    <definedName name="Energy_stables_RO">'Parameters, country spec'!#REF!</definedName>
    <definedName name="Energy_stables_SE">'Parameters, country spec'!$L$56</definedName>
    <definedName name="Energy_stables_SI">'Parameters, country spec'!#REF!</definedName>
    <definedName name="Energy_stables_SK">'Parameters, country spec'!#REF!</definedName>
    <definedName name="Energy_stables_TH">'Parameters, country spec'!#REF!</definedName>
    <definedName name="Energy_stables_US">'Parameters, country spec'!#REF!</definedName>
    <definedName name="Excreted_N_after_losses_AT">'Parameters, country spec'!#REF!</definedName>
    <definedName name="Excreted_N_after_losses_BE">'Parameters, country spec'!#REF!</definedName>
    <definedName name="Excreted_N_after_losses_BG">'Parameters, country spec'!#REF!</definedName>
    <definedName name="Excreted_N_after_losses_BR">'Parameters, country spec'!#REF!</definedName>
    <definedName name="Excreted_N_after_losses_CY">'Parameters, country spec'!#REF!</definedName>
    <definedName name="Excreted_N_after_losses_CZ">'Parameters, country spec'!#REF!</definedName>
    <definedName name="Excreted_N_after_losses_DE">'Parameters, country spec'!$D$48</definedName>
    <definedName name="Excreted_N_after_losses_DK">'Parameters, country spec'!$B$48</definedName>
    <definedName name="Excreted_N_after_losses_EE">'Parameters, country spec'!#REF!</definedName>
    <definedName name="Excreted_N_after_losses_ES">'Parameters, country spec'!$K$48</definedName>
    <definedName name="Excreted_N_after_losses_FI">'Parameters, country spec'!#REF!</definedName>
    <definedName name="Excreted_N_after_losses_FR">'Parameters, country spec'!$C$48</definedName>
    <definedName name="Excreted_N_after_losses_GB">'Parameters, country spec'!$M$48</definedName>
    <definedName name="Excreted_N_after_losses_GR">'Parameters, country spec'!$E$48</definedName>
    <definedName name="Excreted_N_after_losses_HR">'Parameters, country spec'!#REF!</definedName>
    <definedName name="Excreted_N_after_losses_HU">'Parameters, country spec'!$F$48</definedName>
    <definedName name="Excreted_N_after_losses_IE">'Parameters, country spec'!$G$48</definedName>
    <definedName name="Excreted_N_after_losses_IT">'Parameters, country spec'!$H$48</definedName>
    <definedName name="Excreted_N_after_losses_LT">'Parameters, country spec'!#REF!</definedName>
    <definedName name="Excreted_N_after_losses_LV">'Parameters, country spec'!#REF!</definedName>
    <definedName name="Excreted_N_after_losses_MT">'Parameters, country spec'!#REF!</definedName>
    <definedName name="Excreted_N_after_losses_NL">'Parameters, country spec'!$I$48</definedName>
    <definedName name="Excreted_N_after_losses_PL">'Parameters, country spec'!$J$48</definedName>
    <definedName name="Excreted_N_after_losses_PT">'Parameters, country spec'!#REF!</definedName>
    <definedName name="Excreted_N_after_losses_RO">'Parameters, country spec'!#REF!</definedName>
    <definedName name="Excreted_N_after_losses_SE">'Parameters, country spec'!$L$48</definedName>
    <definedName name="Excreted_N_after_losses_SI">'Parameters, country spec'!#REF!</definedName>
    <definedName name="Excreted_N_after_losses_SK">'Parameters, country spec'!#REF!</definedName>
    <definedName name="Excreted_N_after_losses_TH">'Parameters, country spec'!#REF!</definedName>
    <definedName name="Excreted_N_after_losses_US">'Parameters, country spec'!#REF!</definedName>
    <definedName name="Excreted_N_per_kg_of_bonefree_meat_AT">'Parameters, country spec'!#REF!</definedName>
    <definedName name="Excreted_N_per_kg_of_bonefree_meat_BE">'Parameters, country spec'!#REF!</definedName>
    <definedName name="Excreted_N_per_kg_of_bonefree_meat_BG">'Parameters, country spec'!#REF!</definedName>
    <definedName name="Excreted_N_per_kg_of_bonefree_meat_BR">'Parameters, country spec'!#REF!</definedName>
    <definedName name="Excreted_N_per_kg_of_bonefree_meat_CY">'Parameters, country spec'!#REF!</definedName>
    <definedName name="Excreted_N_per_kg_of_bonefree_meat_CZ">'Parameters, country spec'!#REF!</definedName>
    <definedName name="Excreted_N_per_kg_of_bonefree_meat_DE">'Parameters, country spec'!$D$45</definedName>
    <definedName name="Excreted_N_per_kg_of_bonefree_meat_DK">'Parameters, country spec'!$B$45</definedName>
    <definedName name="Excreted_N_per_kg_of_bonefree_meat_EE">'Parameters, country spec'!#REF!</definedName>
    <definedName name="Excreted_N_per_kg_of_bonefree_meat_ES">'Parameters, country spec'!$K$45</definedName>
    <definedName name="Excreted_N_per_kg_of_bonefree_meat_FI">'Parameters, country spec'!#REF!</definedName>
    <definedName name="Excreted_N_per_kg_of_bonefree_meat_FR">'Parameters, country spec'!$C$45</definedName>
    <definedName name="Excreted_N_per_kg_of_bonefree_meat_GB">'Parameters, country spec'!$M$45</definedName>
    <definedName name="Excreted_N_per_kg_of_bonefree_meat_GR">'Parameters, country spec'!$E$45</definedName>
    <definedName name="Excreted_N_per_kg_of_bonefree_meat_HR">'Parameters, country spec'!#REF!</definedName>
    <definedName name="Excreted_N_per_kg_of_bonefree_meat_HU">'Parameters, country spec'!$F$45</definedName>
    <definedName name="Excreted_N_per_kg_of_bonefree_meat_IE">'Parameters, country spec'!$G$45</definedName>
    <definedName name="Excreted_N_per_kg_of_bonefree_meat_IT">'Parameters, country spec'!$H$45</definedName>
    <definedName name="Excreted_N_per_kg_of_bonefree_meat_LT">'Parameters, country spec'!#REF!</definedName>
    <definedName name="Excreted_N_per_kg_of_bonefree_meat_LV">'Parameters, country spec'!#REF!</definedName>
    <definedName name="Excreted_N_per_kg_of_bonefree_meat_MT">'Parameters, country spec'!#REF!</definedName>
    <definedName name="Excreted_N_per_kg_of_bonefree_meat_NL">'Parameters, country spec'!$I$45</definedName>
    <definedName name="Excreted_N_per_kg_of_bonefree_meat_PL">'Parameters, country spec'!$J$45</definedName>
    <definedName name="Excreted_N_per_kg_of_bonefree_meat_PT">'Parameters, country spec'!#REF!</definedName>
    <definedName name="Excreted_N_per_kg_of_bonefree_meat_RO">'Parameters, country spec'!#REF!</definedName>
    <definedName name="Excreted_N_per_kg_of_bonefree_meat_SE">'Parameters, country spec'!$L$45</definedName>
    <definedName name="Excreted_N_per_kg_of_bonefree_meat_SI">'Parameters, country spec'!#REF!</definedName>
    <definedName name="Excreted_N_per_kg_of_bonefree_meat_SK">'Parameters, country spec'!#REF!</definedName>
    <definedName name="Excreted_N_per_kg_of_bonefree_meat_TH">'Parameters, country spec'!#REF!</definedName>
    <definedName name="Excreted_N_per_kg_of_bonefree_meat_US">'Parameters, country spec'!#REF!</definedName>
    <definedName name="FCR_bonefree_incl_parents_AT">'Parameters, country spec'!#REF!</definedName>
    <definedName name="FCR_bonefree_incl_parents_BE">'Parameters, country spec'!#REF!</definedName>
    <definedName name="FCR_bonefree_incl_parents_BG">'Parameters, country spec'!#REF!</definedName>
    <definedName name="FCR_bonefree_incl_parents_BR">'Parameters, country spec'!#REF!</definedName>
    <definedName name="FCR_bonefree_incl_parents_CY">'Parameters, country spec'!#REF!</definedName>
    <definedName name="FCR_bonefree_incl_parents_CZ">'Parameters, country spec'!#REF!</definedName>
    <definedName name="FCR_bonefree_incl_parents_DE">'Parameters, country spec'!$D$38</definedName>
    <definedName name="FCR_bonefree_incl_parents_DK">'Parameters, country spec'!$B$38</definedName>
    <definedName name="FCR_bonefree_incl_parents_EE">'Parameters, country spec'!#REF!</definedName>
    <definedName name="FCR_bonefree_incl_parents_ES">'Parameters, country spec'!$K$38</definedName>
    <definedName name="FCR_bonefree_incl_parents_FI">'Parameters, country spec'!#REF!</definedName>
    <definedName name="FCR_bonefree_incl_parents_FR">'Parameters, country spec'!$C$38</definedName>
    <definedName name="FCR_bonefree_incl_parents_GB">'Parameters, country spec'!$M$38</definedName>
    <definedName name="FCR_bonefree_incl_parents_GR">'Parameters, country spec'!$E$38</definedName>
    <definedName name="FCR_bonefree_incl_parents_HR">'Parameters, country spec'!#REF!</definedName>
    <definedName name="FCR_bonefree_incl_parents_HU">'Parameters, country spec'!$F$38</definedName>
    <definedName name="FCR_bonefree_incl_parents_IE">'Parameters, country spec'!$G$38</definedName>
    <definedName name="FCR_bonefree_incl_parents_IT">'Parameters, country spec'!$H$38</definedName>
    <definedName name="FCR_bonefree_incl_parents_LT">'Parameters, country spec'!#REF!</definedName>
    <definedName name="FCR_bonefree_incl_parents_LV">'Parameters, country spec'!#REF!</definedName>
    <definedName name="FCR_bonefree_incl_parents_MT">'Parameters, country spec'!#REF!</definedName>
    <definedName name="FCR_bonefree_incl_parents_NL">'Parameters, country spec'!$I$38</definedName>
    <definedName name="FCR_bonefree_incl_parents_PL">'Parameters, country spec'!$J$38</definedName>
    <definedName name="FCR_bonefree_incl_parents_PT">'Parameters, country spec'!#REF!</definedName>
    <definedName name="FCR_bonefree_incl_parents_RO">'Parameters, country spec'!#REF!</definedName>
    <definedName name="FCR_bonefree_incl_parents_SE">'Parameters, country spec'!$L$38</definedName>
    <definedName name="FCR_bonefree_incl_parents_SI">'Parameters, country spec'!#REF!</definedName>
    <definedName name="FCR_bonefree_incl_parents_SK">'Parameters, country spec'!#REF!</definedName>
    <definedName name="FCR_bonefree_incl_parents_TH">'Parameters, country spec'!#REF!</definedName>
    <definedName name="FCR_bonefree_incl_parents_US">'Parameters, country spec'!#REF!</definedName>
    <definedName name="Frac_AN">'[1]Emission factors'!$E$21</definedName>
    <definedName name="Frac_AN_AT">'Parameters, country spec'!#REF!</definedName>
    <definedName name="Frac_AN_BE">'Parameters, country spec'!#REF!</definedName>
    <definedName name="Frac_AN_BG">'Parameters, country spec'!#REF!</definedName>
    <definedName name="Frac_AN_BR">'Parameters, country spec'!#REF!</definedName>
    <definedName name="Frac_AN_CY">'Parameters, country spec'!#REF!</definedName>
    <definedName name="Frac_AN_CZ">'Parameters, country spec'!#REF!</definedName>
    <definedName name="Frac_AN_DE">'Parameters, country spec'!#REF!</definedName>
    <definedName name="Frac_AN_DK">'Parameters, country spec'!#REF!</definedName>
    <definedName name="Frac_AN_EE">'Parameters, country spec'!#REF!</definedName>
    <definedName name="Frac_AN_ES">'Parameters, country spec'!#REF!</definedName>
    <definedName name="Frac_AN_FI">'Parameters, country spec'!#REF!</definedName>
    <definedName name="Frac_AN_FR">'Parameters, country spec'!#REF!</definedName>
    <definedName name="Frac_AN_GB">'Parameters, country spec'!#REF!</definedName>
    <definedName name="Frac_AN_GR">'Parameters, country spec'!#REF!</definedName>
    <definedName name="Frac_AN_HR">'Parameters, country spec'!#REF!</definedName>
    <definedName name="Frac_AN_HU">'Parameters, country spec'!#REF!</definedName>
    <definedName name="Frac_AN_IE">'Parameters, country spec'!#REF!</definedName>
    <definedName name="Frac_AN_IT">'Parameters, country spec'!#REF!</definedName>
    <definedName name="Frac_AN_LT">'Parameters, country spec'!#REF!</definedName>
    <definedName name="Frac_AN_LV">'Parameters, country spec'!#REF!</definedName>
    <definedName name="Frac_AN_MT">'Parameters, country spec'!#REF!</definedName>
    <definedName name="Frac_AN_NL">'Parameters, country spec'!#REF!</definedName>
    <definedName name="Frac_AN_PL">'Parameters, country spec'!#REF!</definedName>
    <definedName name="Frac_AN_PT">'Parameters, country spec'!#REF!</definedName>
    <definedName name="Frac_AN_RO">'Parameters, country spec'!#REF!</definedName>
    <definedName name="Frac_AN_SE">'Parameters, country spec'!#REF!</definedName>
    <definedName name="Frac_AN_SI">'Parameters, country spec'!#REF!</definedName>
    <definedName name="Frac_AN_SK">'Parameters, country spec'!#REF!</definedName>
    <definedName name="Frac_AN_TH">'Parameters, country spec'!#REF!</definedName>
    <definedName name="Frac_AN_US">'Parameters, country spec'!#REF!</definedName>
    <definedName name="Frac_BAT">'[1]Emission factors'!$E$20</definedName>
    <definedName name="Frac_BAT_AT">'Parameters, country spec'!#REF!</definedName>
    <definedName name="Frac_BAT_BE">'Parameters, country spec'!#REF!</definedName>
    <definedName name="Frac_BAT_BG">'Parameters, country spec'!#REF!</definedName>
    <definedName name="Frac_BAT_BR">'Parameters, country spec'!#REF!</definedName>
    <definedName name="Frac_BAT_CY">'Parameters, country spec'!#REF!</definedName>
    <definedName name="Frac_BAT_CZ">'Parameters, country spec'!#REF!</definedName>
    <definedName name="Frac_BAT_DE">'Parameters, country spec'!#REF!</definedName>
    <definedName name="Frac_BAT_DK">'Parameters, country spec'!#REF!</definedName>
    <definedName name="Frac_BAT_EE">'Parameters, country spec'!#REF!</definedName>
    <definedName name="Frac_BAT_ES">'Parameters, country spec'!#REF!</definedName>
    <definedName name="Frac_BAT_FI">'Parameters, country spec'!#REF!</definedName>
    <definedName name="Frac_BAT_FR">'Parameters, country spec'!#REF!</definedName>
    <definedName name="Frac_BAT_GB">'Parameters, country spec'!#REF!</definedName>
    <definedName name="Frac_BAT_GR">'Parameters, country spec'!#REF!</definedName>
    <definedName name="Frac_BAT_HR">'Parameters, country spec'!#REF!</definedName>
    <definedName name="Frac_BAT_HU">'Parameters, country spec'!#REF!</definedName>
    <definedName name="Frac_BAT_IE">'Parameters, country spec'!#REF!</definedName>
    <definedName name="Frac_BAT_IT">'Parameters, country spec'!#REF!</definedName>
    <definedName name="Frac_BAT_LT">'Parameters, country spec'!#REF!</definedName>
    <definedName name="Frac_BAT_LV">'Parameters, country spec'!#REF!</definedName>
    <definedName name="Frac_BAT_MT">'Parameters, country spec'!#REF!</definedName>
    <definedName name="Frac_BAT_NL">'Parameters, country spec'!#REF!</definedName>
    <definedName name="Frac_BAT_PL">'Parameters, country spec'!#REF!</definedName>
    <definedName name="Frac_BAT_PT">'Parameters, country spec'!#REF!</definedName>
    <definedName name="Frac_BAT_RO">'Parameters, country spec'!#REF!</definedName>
    <definedName name="Frac_BAT_SE">'Parameters, country spec'!#REF!</definedName>
    <definedName name="Frac_BAT_SI">'Parameters, country spec'!#REF!</definedName>
    <definedName name="Frac_BAT_SK">'Parameters, country spec'!#REF!</definedName>
    <definedName name="Frac_BAT_TH">'Parameters, country spec'!#REF!</definedName>
    <definedName name="Frac_BAT_US">'Parameters, country spec'!#REF!</definedName>
    <definedName name="GBughter_el_AT">'Parameters, country spec'!$M$61</definedName>
    <definedName name="GRAT">'Parameters, country spec'!$E$68</definedName>
    <definedName name="Heating_value_diesel">'[1]Emission factors'!$E$13</definedName>
    <definedName name="L77EF_min_fert_CO2_SE">'Parameters, country spec'!$L$71</definedName>
    <definedName name="Labour_per_animal_AT">'Parameters, country spec'!#REF!</definedName>
    <definedName name="Labour_per_animal_BE">'Parameters, country spec'!#REF!</definedName>
    <definedName name="Labour_per_animal_BG">'Parameters, country spec'!#REF!</definedName>
    <definedName name="Labour_per_animal_BR">'Parameters, country spec'!#REF!</definedName>
    <definedName name="Labour_per_animal_CY">'Parameters, country spec'!#REF!</definedName>
    <definedName name="Labour_per_animal_CZ">'Parameters, country spec'!#REF!</definedName>
    <definedName name="Labour_per_animal_DE">'Parameters, country spec'!#REF!</definedName>
    <definedName name="Labour_per_animal_DK">'Parameters, country spec'!#REF!</definedName>
    <definedName name="Labour_per_animal_EE">'Parameters, country spec'!#REF!</definedName>
    <definedName name="Labour_per_animal_ES">'Parameters, country spec'!#REF!</definedName>
    <definedName name="Labour_per_animal_FI">'Parameters, country spec'!#REF!</definedName>
    <definedName name="Labour_per_animal_FR">'Parameters, country spec'!#REF!</definedName>
    <definedName name="Labour_per_animal_GB">'Parameters, country spec'!#REF!</definedName>
    <definedName name="Labour_per_animal_GR">'Parameters, country spec'!#REF!</definedName>
    <definedName name="Labour_per_animal_HR">'Parameters, country spec'!#REF!</definedName>
    <definedName name="Labour_per_animal_HU">'Parameters, country spec'!#REF!</definedName>
    <definedName name="Labour_per_animal_IE">'Parameters, country spec'!#REF!</definedName>
    <definedName name="Labour_per_animal_IT">'Parameters, country spec'!#REF!</definedName>
    <definedName name="Labour_per_animal_LT">'Parameters, country spec'!#REF!</definedName>
    <definedName name="Labour_per_animal_LV">'Parameters, country spec'!#REF!</definedName>
    <definedName name="Labour_per_animal_MT">'Parameters, country spec'!#REF!</definedName>
    <definedName name="Labour_per_animal_NL">'Parameters, country spec'!#REF!</definedName>
    <definedName name="Labour_per_animal_PL">'Parameters, country spec'!#REF!</definedName>
    <definedName name="Labour_per_animal_PT">'Parameters, country spec'!#REF!</definedName>
    <definedName name="Labour_per_animal_RO">'Parameters, country spec'!#REF!</definedName>
    <definedName name="Labour_per_animal_SE">'Parameters, country spec'!#REF!</definedName>
    <definedName name="Labour_per_animal_SI">'Parameters, country spec'!#REF!</definedName>
    <definedName name="Labour_per_animal_SK">'Parameters, country spec'!#REF!</definedName>
    <definedName name="Labour_per_animal_TH">'Parameters, country spec'!#REF!</definedName>
    <definedName name="Labour_per_animal_US">'Parameters, country spec'!#REF!</definedName>
    <definedName name="Manure_repl_factor_AT">'Parameters, country spec'!#REF!</definedName>
    <definedName name="Manure_repl_factor_BE">'Parameters, country spec'!#REF!</definedName>
    <definedName name="Manure_repl_factor_BG">'Parameters, country spec'!#REF!</definedName>
    <definedName name="Manure_repl_factor_BR">'Parameters, country spec'!#REF!</definedName>
    <definedName name="Manure_repl_factor_CY">'Parameters, country spec'!#REF!</definedName>
    <definedName name="Manure_repl_factor_CZ">'Parameters, country spec'!#REF!</definedName>
    <definedName name="Manure_repl_factor_DE">'Parameters, country spec'!$D$82</definedName>
    <definedName name="Manure_repl_factor_DK">'Parameters, country spec'!$B$82</definedName>
    <definedName name="Manure_repl_factor_EE">'Parameters, country spec'!#REF!</definedName>
    <definedName name="Manure_repl_factor_ES">'Parameters, country spec'!$K$82</definedName>
    <definedName name="Manure_repl_factor_FI">'Parameters, country spec'!#REF!</definedName>
    <definedName name="Manure_repl_factor_FR">'Parameters, country spec'!$C$82</definedName>
    <definedName name="Manure_repl_factor_GB">'Parameters, country spec'!$M$82</definedName>
    <definedName name="Manure_repl_factor_GR">'Parameters, country spec'!$E$82</definedName>
    <definedName name="Manure_repl_factor_HR">'Parameters, country spec'!#REF!</definedName>
    <definedName name="Manure_repl_factor_HU">'Parameters, country spec'!$F$82</definedName>
    <definedName name="Manure_repl_factor_IE">'Parameters, country spec'!$G$82</definedName>
    <definedName name="Manure_repl_factor_IT">'Parameters, country spec'!$H$82</definedName>
    <definedName name="Manure_repl_factor_LT">'Parameters, country spec'!#REF!</definedName>
    <definedName name="Manure_repl_factor_LV">'Parameters, country spec'!#REF!</definedName>
    <definedName name="Manure_repl_factor_MT">'Parameters, country spec'!#REF!</definedName>
    <definedName name="Manure_repl_factor_NL">'Parameters, country spec'!$I$82</definedName>
    <definedName name="Manure_repl_factor_PL">'Parameters, country spec'!$J$82</definedName>
    <definedName name="Manure_repl_factor_PT">'Parameters, country spec'!#REF!</definedName>
    <definedName name="Manure_repl_factor_RO">'Parameters, country spec'!#REF!</definedName>
    <definedName name="Manure_repl_factor_SE">'Parameters, country spec'!$L$82</definedName>
    <definedName name="Manure_repl_factor_SI">'Parameters, country spec'!#REF!</definedName>
    <definedName name="Manure_repl_factor_SK">'Parameters, country spec'!#REF!</definedName>
    <definedName name="Manure_repl_factor_TH">'Parameters, country spec'!#REF!</definedName>
    <definedName name="Manure_repl_factor_US">'Parameters, country spec'!#REF!</definedName>
    <definedName name="N_to_NH3">'[1]Emission factors'!$B$74</definedName>
    <definedName name="N2O_codes">'[1]Crops N2O'!$A$6:$A$118</definedName>
    <definedName name="N2O_data">'[1]Crops N2O'!$E$6:$N$118</definedName>
    <definedName name="No_species">'[1]Emission factors'!$B$69</definedName>
    <definedName name="Post_harvest_energy_categories">[1]Energy!$A$28:$A$44</definedName>
    <definedName name="Post_harvest_energy_data">[1]Energy!$A$28:$D$44</definedName>
    <definedName name="Share_biofuels_AT">'Parameters, country spec'!#REF!</definedName>
    <definedName name="Share_biofuels_BE">'Parameters, country spec'!#REF!</definedName>
    <definedName name="Share_biofuels_BG">'Parameters, country spec'!#REF!</definedName>
    <definedName name="Share_biofuels_BR">'Parameters, country spec'!#REF!</definedName>
    <definedName name="Share_biofuels_CY">'Parameters, country spec'!#REF!</definedName>
    <definedName name="Share_biofuels_CZ">'Parameters, country spec'!#REF!</definedName>
    <definedName name="Share_biofuels_DE">'Parameters, country spec'!$D$58</definedName>
    <definedName name="Share_biofuels_DK">'Parameters, country spec'!$B$58</definedName>
    <definedName name="Share_biofuels_EE">'Parameters, country spec'!#REF!</definedName>
    <definedName name="Share_biofuels_ES">'Parameters, country spec'!$K$58</definedName>
    <definedName name="Share_biofuels_FI">'Parameters, country spec'!#REF!</definedName>
    <definedName name="Share_biofuels_FR">'Parameters, country spec'!$C$58</definedName>
    <definedName name="Share_biofuels_GB">'Parameters, country spec'!$M$58</definedName>
    <definedName name="Share_biofuels_GR">'Parameters, country spec'!$E$58</definedName>
    <definedName name="Share_biofuels_HR">'Parameters, country spec'!#REF!</definedName>
    <definedName name="Share_biofuels_HU">'Parameters, country spec'!$F$58</definedName>
    <definedName name="Share_biofuels_IE">'Parameters, country spec'!$G$58</definedName>
    <definedName name="Share_biofuels_IT">'Parameters, country spec'!$H$58</definedName>
    <definedName name="Share_biofuels_LT">'Parameters, country spec'!#REF!</definedName>
    <definedName name="Share_biofuels_LV">'Parameters, country spec'!#REF!</definedName>
    <definedName name="Share_biofuels_MT">'Parameters, country spec'!#REF!</definedName>
    <definedName name="Share_biofuels_NL">'Parameters, country spec'!$I$58</definedName>
    <definedName name="Share_biofuels_PL">'Parameters, country spec'!$J$58</definedName>
    <definedName name="Share_biofuels_PT">'Parameters, country spec'!#REF!</definedName>
    <definedName name="Share_biofuels_RO">'Parameters, country spec'!#REF!</definedName>
    <definedName name="Share_biofuels_SE">'Parameters, country spec'!$L$58</definedName>
    <definedName name="Share_biofuels_SI">'Parameters, country spec'!#REF!</definedName>
    <definedName name="Share_biofuels_SK">'Parameters, country spec'!#REF!</definedName>
    <definedName name="Share_biofuels_TH">'Parameters, country spec'!#REF!</definedName>
    <definedName name="Share_biofuels_US">'Parameters, country spec'!#REF!</definedName>
    <definedName name="Share_heating_AT">'Parameters, country spec'!#REF!</definedName>
    <definedName name="Share_heating_BE">'Parameters, country spec'!#REF!</definedName>
    <definedName name="Share_heating_BG">'Parameters, country spec'!#REF!</definedName>
    <definedName name="Share_heating_BR">'Parameters, country spec'!#REF!</definedName>
    <definedName name="Share_heating_CY">'Parameters, country spec'!#REF!</definedName>
    <definedName name="Share_heating_CZ">'Parameters, country spec'!#REF!</definedName>
    <definedName name="Share_heating_DE">'Parameters, country spec'!$D$57</definedName>
    <definedName name="Share_heating_DK">'Parameters, country spec'!$B$57</definedName>
    <definedName name="Share_heating_EE">'Parameters, country spec'!#REF!</definedName>
    <definedName name="Share_heating_ES">'Parameters, country spec'!$K$57</definedName>
    <definedName name="Share_heating_FI">'Parameters, country spec'!#REF!</definedName>
    <definedName name="Share_heating_FR">'Parameters, country spec'!$C$57</definedName>
    <definedName name="Share_heating_GB">'Parameters, country spec'!$M$57</definedName>
    <definedName name="Share_heating_GR">'Parameters, country spec'!$E$57</definedName>
    <definedName name="Share_heating_HR">'Parameters, country spec'!#REF!</definedName>
    <definedName name="Share_heating_HU">'Parameters, country spec'!$F$57</definedName>
    <definedName name="Share_heating_IE">'Parameters, country spec'!$G$57</definedName>
    <definedName name="Share_heating_IT">'Parameters, country spec'!$H$57</definedName>
    <definedName name="Share_heating_LT">'Parameters, country spec'!#REF!</definedName>
    <definedName name="Share_heating_LV">'Parameters, country spec'!#REF!</definedName>
    <definedName name="Share_heating_MT">'Parameters, country spec'!#REF!</definedName>
    <definedName name="Share_heating_NL">'Parameters, country spec'!$I$57</definedName>
    <definedName name="Share_heating_PL">'Parameters, country spec'!$J$57</definedName>
    <definedName name="Share_heating_PT">'Parameters, country spec'!#REF!</definedName>
    <definedName name="Share_heating_RO">'Parameters, country spec'!#REF!</definedName>
    <definedName name="Share_heating_SE">'Parameters, country spec'!$L$57</definedName>
    <definedName name="Share_heating_SI">'Parameters, country spec'!#REF!</definedName>
    <definedName name="Share_heating_SK">'Parameters, country spec'!#REF!</definedName>
    <definedName name="Share_heating_TH">'Parameters, country spec'!#REF!</definedName>
    <definedName name="Share_heating_US">'Parameters, country spec'!#REF!</definedName>
    <definedName name="Slaughter_age_AT">'Parameters, country spec'!#REF!</definedName>
    <definedName name="Slaughter_age_BE">'Parameters, country spec'!#REF!</definedName>
    <definedName name="Slaughter_age_BG">'Parameters, country spec'!#REF!</definedName>
    <definedName name="Slaughter_age_BR">'Parameters, country spec'!#REF!</definedName>
    <definedName name="Slaughter_age_broiler_DK">'Parameters, country spec'!$B$5</definedName>
    <definedName name="Slaughter_age_CY">'Parameters, country spec'!#REF!</definedName>
    <definedName name="Slaughter_age_CZ">'Parameters, country spec'!#REF!</definedName>
    <definedName name="Slaughter_age_DE">'Parameters, country spec'!$D$5</definedName>
    <definedName name="Slaughter_age_DK">'Parameters, country spec'!$B$5</definedName>
    <definedName name="Slaughter_age_EE">'Parameters, country spec'!#REF!</definedName>
    <definedName name="Slaughter_age_ES">'Parameters, country spec'!$K$5</definedName>
    <definedName name="Slaughter_age_FI">'Parameters, country spec'!#REF!</definedName>
    <definedName name="Slaughter_age_FR">'Parameters, country spec'!$C$5</definedName>
    <definedName name="Slaughter_age_GB">'Parameters, country spec'!$M$5</definedName>
    <definedName name="Slaughter_age_GR">'Parameters, country spec'!$E$5</definedName>
    <definedName name="Slaughter_age_HR">'Parameters, country spec'!#REF!</definedName>
    <definedName name="Slaughter_age_HU">'Parameters, country spec'!$F$5</definedName>
    <definedName name="Slaughter_age_IE">'Parameters, country spec'!$G$5</definedName>
    <definedName name="Slaughter_age_IT">'Parameters, country spec'!$H$5</definedName>
    <definedName name="Slaughter_age_LT">'Parameters, country spec'!#REF!</definedName>
    <definedName name="Slaughter_age_LV">'Parameters, country spec'!#REF!</definedName>
    <definedName name="Slaughter_age_MT">'Parameters, country spec'!#REF!</definedName>
    <definedName name="Slaughter_age_NL">'Parameters, country spec'!$I$5</definedName>
    <definedName name="Slaughter_age_parents_DE">'Parameters, country spec'!$D$6</definedName>
    <definedName name="Slaughter_age_parents_DK">'Parameters, country spec'!$B$6</definedName>
    <definedName name="Slaughter_age_parents_ES">'Parameters, country spec'!$K$6</definedName>
    <definedName name="Slaughter_age_parents_FR">'Parameters, country spec'!$C$6</definedName>
    <definedName name="Slaughter_age_parents_GB">'Parameters, country spec'!$M$6</definedName>
    <definedName name="Slaughter_age_parents_GR">'Parameters, country spec'!$E$6</definedName>
    <definedName name="Slaughter_age_parents_HU">'Parameters, country spec'!$F$6</definedName>
    <definedName name="Slaughter_age_parents_IE">'Parameters, country spec'!$G$6</definedName>
    <definedName name="Slaughter_age_parents_IT">'Parameters, country spec'!$H$6</definedName>
    <definedName name="Slaughter_age_parents_NL">'Parameters, country spec'!$I$6</definedName>
    <definedName name="Slaughter_age_parents_PL">'Parameters, country spec'!$J$6</definedName>
    <definedName name="Slaughter_age_parents_SE">'Parameters, country spec'!$L$6</definedName>
    <definedName name="Slaughter_age_PL">'Parameters, country spec'!$J$5</definedName>
    <definedName name="Slaughter_age_PT">'Parameters, country spec'!#REF!</definedName>
    <definedName name="Slaughter_age_RO">'Parameters, country spec'!#REF!</definedName>
    <definedName name="Slaughter_age_SE">'Parameters, country spec'!$L$5</definedName>
    <definedName name="Slaughter_age_SI">'Parameters, country spec'!#REF!</definedName>
    <definedName name="Slaughter_age_SK">'Parameters, country spec'!#REF!</definedName>
    <definedName name="Slaughter_age_TH">'Parameters, country spec'!#REF!</definedName>
    <definedName name="Slaughter_age_US">'Parameters, country spec'!#REF!</definedName>
    <definedName name="Slaughter_duration_class">'Parameters, general'!$B$18</definedName>
    <definedName name="Soil_carbon_categories">'[1]Emission factors'!$A$41:$A$57</definedName>
    <definedName name="Soil_carbon_data">'[1]Emission factors'!$A$41:$B$57</definedName>
    <definedName name="Water_drinking_broiler_DE">'Parameters, country spec'!$D$85</definedName>
    <definedName name="Water_drinking_broiler_DK">'Parameters, country spec'!$B$85</definedName>
    <definedName name="Water_drinking_broiler_ES">'Parameters, country spec'!$K$85</definedName>
    <definedName name="Water_drinking_broiler_FR">'Parameters, country spec'!$C$85</definedName>
    <definedName name="Water_drinking_broiler_GB">'Parameters, country spec'!$M$85</definedName>
    <definedName name="Water_drinking_broiler_GR">'Parameters, country spec'!$E$85</definedName>
    <definedName name="Water_drinking_broiler_HU">'Parameters, country spec'!$F$85</definedName>
    <definedName name="Water_drinking_broiler_IE">'Parameters, country spec'!$G$85</definedName>
    <definedName name="Water_drinking_broiler_IT">'Parameters, country spec'!$H$85</definedName>
    <definedName name="Water_drinking_broiler_NL">'Parameters, country spec'!$I$85</definedName>
    <definedName name="Water_drinking_broiler_PL">'Parameters, country spec'!$J$85</definedName>
    <definedName name="Water_drinking_broiler_SE">'Parameters, country spec'!$L$85</definedName>
    <definedName name="Water_drinking_parent_DE">'Parameters, country spec'!$D$87</definedName>
    <definedName name="Water_drinking_parent_DK">'Parameters, country spec'!$B$87</definedName>
    <definedName name="Water_drinking_parent_ES">'Parameters, country spec'!$K$87</definedName>
    <definedName name="Water_drinking_parent_FR">'Parameters, country spec'!$C$87</definedName>
    <definedName name="Water_drinking_parent_GB">'Parameters, country spec'!$M$87</definedName>
    <definedName name="Water_drinking_parent_GR">'Parameters, country spec'!$E$87</definedName>
    <definedName name="Water_drinking_parent_HU">'Parameters, country spec'!$F$87</definedName>
    <definedName name="Water_drinking_parent_IE">'Parameters, country spec'!$G$87</definedName>
    <definedName name="Water_drinking_parent_IT">'Parameters, country spec'!$H$87</definedName>
    <definedName name="Water_drinking_parent_NL">'Parameters, country spec'!$I$87</definedName>
    <definedName name="Water_drinking_parent_PL">'Parameters, country spec'!$J$87</definedName>
    <definedName name="Water_drinking_parent_SE">'Parameters, country spec'!$L$87</definedName>
    <definedName name="Water_service_broiler_DE">'Parameters, country spec'!$D$86</definedName>
    <definedName name="Water_service_broiler_DK">'Parameters, country spec'!$B$86</definedName>
    <definedName name="Water_service_broiler_ES">'Parameters, country spec'!$K$86</definedName>
    <definedName name="Water_service_broiler_FR">'Parameters, country spec'!$C$86</definedName>
    <definedName name="Water_service_broiler_GB">'Parameters, country spec'!$M$86</definedName>
    <definedName name="Water_service_broiler_GR">'Parameters, country spec'!$E$86</definedName>
    <definedName name="Water_service_broiler_HU">'Parameters, country spec'!$F$86</definedName>
    <definedName name="Water_service_broiler_IE">'Parameters, country spec'!$G$86</definedName>
    <definedName name="Water_service_broiler_IT">'Parameters, country spec'!$H$86</definedName>
    <definedName name="Water_service_broiler_NL">'Parameters, country spec'!$I$86</definedName>
    <definedName name="Water_service_broiler_PL">'Parameters, country spec'!$J$86</definedName>
    <definedName name="Water_service_broiler_SE">'Parameters, country spec'!$L$86</definedName>
    <definedName name="Water_service_parent_DE">'Parameters, country spec'!$D$88</definedName>
    <definedName name="Water_service_parent_DK">'Parameters, country spec'!$B$88</definedName>
    <definedName name="Water_service_parent_ES">'Parameters, country spec'!$K$88</definedName>
    <definedName name="Water_service_parent_FR">'Parameters, country spec'!$C$88</definedName>
    <definedName name="Water_service_parent_GB">'Parameters, country spec'!$M$88</definedName>
    <definedName name="Water_service_parent_GR">'Parameters, country spec'!$E$88</definedName>
    <definedName name="Water_service_parent_HU">'Parameters, country spec'!$F$88</definedName>
    <definedName name="Water_service_parent_IE">'Parameters, country spec'!$G$88</definedName>
    <definedName name="Water_service_parent_IT">'Parameters, country spec'!$H$88</definedName>
    <definedName name="Water_service_parent_NL">'Parameters, country spec'!$I$88</definedName>
    <definedName name="Water_service_parent_PL">'Parameters, country spec'!$J$88</definedName>
    <definedName name="Water_service_parent_SE">'Parameters, country spec'!$L$88</definedName>
    <definedName name="Water_stables_AT">'Parameters, country spec'!#REF!</definedName>
    <definedName name="Water_stables_BE">'Parameters, country spec'!#REF!</definedName>
    <definedName name="Water_stables_BG">'Parameters, country spec'!#REF!</definedName>
    <definedName name="Water_stables_BR">'Parameters, country spec'!#REF!</definedName>
    <definedName name="Water_stables_CY">'Parameters, country spec'!#REF!</definedName>
    <definedName name="Water_stables_CZ">'Parameters, country spec'!#REF!</definedName>
    <definedName name="Water_stables_DE">'Parameters, country spec'!#REF!</definedName>
    <definedName name="Water_stables_DK">'Parameters, country spec'!#REF!</definedName>
    <definedName name="Water_stables_EE">'Parameters, country spec'!#REF!</definedName>
    <definedName name="Water_stables_ES">'Parameters, country spec'!#REF!</definedName>
    <definedName name="Water_stables_FI">'Parameters, country spec'!#REF!</definedName>
    <definedName name="Water_stables_FR">'Parameters, country spec'!#REF!</definedName>
    <definedName name="Water_stables_GB">'Parameters, country spec'!#REF!</definedName>
    <definedName name="Water_stables_GR">'Parameters, country spec'!#REF!</definedName>
    <definedName name="Water_stables_HR">'Parameters, country spec'!#REF!</definedName>
    <definedName name="Water_stables_HU">'Parameters, country spec'!#REF!</definedName>
    <definedName name="Water_stables_IE">'Parameters, country spec'!#REF!</definedName>
    <definedName name="Water_stables_IT">'Parameters, country spec'!#REF!</definedName>
    <definedName name="Water_stables_LT">'Parameters, country spec'!#REF!</definedName>
    <definedName name="Water_stables_LV">'Parameters, country spec'!#REF!</definedName>
    <definedName name="Water_stables_MT">'Parameters, country spec'!#REF!</definedName>
    <definedName name="Water_stables_NL">'Parameters, country spec'!#REF!</definedName>
    <definedName name="Water_stables_PL">'Parameters, country spec'!#REF!</definedName>
    <definedName name="Water_stables_PT">'Parameters, country spec'!#REF!</definedName>
    <definedName name="Water_stables_RO">'Parameters, country spec'!#REF!</definedName>
    <definedName name="Water_stables_SE">'Parameters, country spec'!#REF!</definedName>
    <definedName name="Water_stables_SI">'Parameters, country spec'!#REF!</definedName>
    <definedName name="Water_stables_SK">'Parameters, country spec'!#REF!</definedName>
    <definedName name="Water_stables_TH">'Parameters, country spec'!#REF!</definedName>
    <definedName name="Water_stables_US">'Parameters, country spec'!#REF!</definedName>
    <definedName name="Weight_ability_to_perceive_handling">'Parameters, general'!$B$21</definedName>
    <definedName name="Weight_diseases">'Parameters, general'!$B$23</definedName>
    <definedName name="Weight_mortality">'Parameters, general'!$B$22</definedName>
    <definedName name="Weight_no_of_animal">'Parameters, general'!$B$20</definedName>
    <definedName name="Weight_slaughter_duration_class">'Parameters, general'!$B$25</definedName>
    <definedName name="Weight_space">'Parameters, general'!$B$24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O66" i="20" l="1"/>
  <c r="O64" i="20"/>
  <c r="N62" i="20"/>
  <c r="O61" i="20"/>
  <c r="O59" i="20"/>
  <c r="J59" i="20"/>
  <c r="F59" i="20"/>
  <c r="M58" i="20"/>
  <c r="M59" i="20" s="1"/>
  <c r="L58" i="20"/>
  <c r="L59" i="20" s="1"/>
  <c r="K58" i="20"/>
  <c r="K59" i="20" s="1"/>
  <c r="J58" i="20"/>
  <c r="I58" i="20"/>
  <c r="I59" i="20" s="1"/>
  <c r="H58" i="20"/>
  <c r="H59" i="20" s="1"/>
  <c r="G58" i="20"/>
  <c r="G59" i="20" s="1"/>
  <c r="F58" i="20"/>
  <c r="E51" i="20"/>
  <c r="M50" i="20"/>
  <c r="M65" i="20" s="1"/>
  <c r="M66" i="20" s="1"/>
  <c r="L50" i="20"/>
  <c r="L65" i="20" s="1"/>
  <c r="L66" i="20" s="1"/>
  <c r="K50" i="20"/>
  <c r="K65" i="20" s="1"/>
  <c r="K66" i="20" s="1"/>
  <c r="J50" i="20"/>
  <c r="J65" i="20" s="1"/>
  <c r="J66" i="20" s="1"/>
  <c r="I50" i="20"/>
  <c r="I65" i="20" s="1"/>
  <c r="I66" i="20" s="1"/>
  <c r="H50" i="20"/>
  <c r="H65" i="20" s="1"/>
  <c r="H66" i="20" s="1"/>
  <c r="G50" i="20"/>
  <c r="G65" i="20" s="1"/>
  <c r="G66" i="20" s="1"/>
  <c r="F50" i="20"/>
  <c r="F65" i="20" s="1"/>
  <c r="F66" i="20" s="1"/>
  <c r="E66" i="20" s="1"/>
  <c r="D66" i="20" s="1"/>
  <c r="O49" i="20"/>
  <c r="E65" i="20" s="1"/>
  <c r="M48" i="20"/>
  <c r="M63" i="20" s="1"/>
  <c r="M64" i="20" s="1"/>
  <c r="L48" i="20"/>
  <c r="L63" i="20" s="1"/>
  <c r="L64" i="20" s="1"/>
  <c r="K48" i="20"/>
  <c r="K63" i="20" s="1"/>
  <c r="K64" i="20" s="1"/>
  <c r="J48" i="20"/>
  <c r="J63" i="20" s="1"/>
  <c r="J64" i="20" s="1"/>
  <c r="I48" i="20"/>
  <c r="I63" i="20" s="1"/>
  <c r="I64" i="20" s="1"/>
  <c r="H48" i="20"/>
  <c r="H63" i="20" s="1"/>
  <c r="H64" i="20" s="1"/>
  <c r="G48" i="20"/>
  <c r="G63" i="20" s="1"/>
  <c r="G64" i="20" s="1"/>
  <c r="F48" i="20"/>
  <c r="F63" i="20" s="1"/>
  <c r="F64" i="20" s="1"/>
  <c r="O47" i="20"/>
  <c r="E63" i="20" s="1"/>
  <c r="M46" i="20"/>
  <c r="M62" i="20" s="1"/>
  <c r="L46" i="20"/>
  <c r="L62" i="20" s="1"/>
  <c r="K46" i="20"/>
  <c r="K62" i="20" s="1"/>
  <c r="J46" i="20"/>
  <c r="J62" i="20" s="1"/>
  <c r="I46" i="20"/>
  <c r="I62" i="20" s="1"/>
  <c r="H46" i="20"/>
  <c r="H62" i="20" s="1"/>
  <c r="G46" i="20"/>
  <c r="G62" i="20" s="1"/>
  <c r="F46" i="20"/>
  <c r="F62" i="20" s="1"/>
  <c r="O45" i="20"/>
  <c r="E62" i="20" s="1"/>
  <c r="D62" i="20" s="1"/>
  <c r="E44" i="20"/>
  <c r="L60" i="20" s="1"/>
  <c r="L61" i="20" s="1"/>
  <c r="M43" i="20"/>
  <c r="L43" i="20"/>
  <c r="K43" i="20"/>
  <c r="J43" i="20"/>
  <c r="I43" i="20"/>
  <c r="H43" i="20"/>
  <c r="G43" i="20"/>
  <c r="F43" i="20"/>
  <c r="O42" i="20"/>
  <c r="E60" i="20" s="1"/>
  <c r="M41" i="20"/>
  <c r="L41" i="20"/>
  <c r="K41" i="20"/>
  <c r="J41" i="20"/>
  <c r="I41" i="20"/>
  <c r="H41" i="20"/>
  <c r="G41" i="20"/>
  <c r="F41" i="20"/>
  <c r="O40" i="20"/>
  <c r="E58" i="20" s="1"/>
  <c r="M39" i="20"/>
  <c r="M57" i="20" s="1"/>
  <c r="L39" i="20"/>
  <c r="L57" i="20" s="1"/>
  <c r="K39" i="20"/>
  <c r="K57" i="20" s="1"/>
  <c r="J39" i="20"/>
  <c r="J57" i="20" s="1"/>
  <c r="I39" i="20"/>
  <c r="I57" i="20" s="1"/>
  <c r="H39" i="20"/>
  <c r="H57" i="20" s="1"/>
  <c r="G39" i="20"/>
  <c r="G57" i="20" s="1"/>
  <c r="F39" i="20"/>
  <c r="F57" i="20" s="1"/>
  <c r="O38" i="20"/>
  <c r="E57" i="20" s="1"/>
  <c r="D57" i="20" s="1"/>
  <c r="D11" i="20"/>
  <c r="C11" i="20"/>
  <c r="B11" i="20"/>
  <c r="C105" i="18"/>
  <c r="C104" i="18"/>
  <c r="C103" i="18"/>
  <c r="C106" i="18" s="1"/>
  <c r="L88" i="18"/>
  <c r="K88" i="18"/>
  <c r="J88" i="18"/>
  <c r="I88" i="18"/>
  <c r="H88" i="18"/>
  <c r="G88" i="18"/>
  <c r="F88" i="18"/>
  <c r="P77" i="18"/>
  <c r="M77" i="18"/>
  <c r="L77" i="18"/>
  <c r="J77" i="18"/>
  <c r="I77" i="18"/>
  <c r="H77" i="18"/>
  <c r="H73" i="18" s="1"/>
  <c r="G77" i="18"/>
  <c r="F77" i="18"/>
  <c r="E76" i="18"/>
  <c r="P75" i="18"/>
  <c r="M75" i="18"/>
  <c r="L75" i="18"/>
  <c r="J75" i="18"/>
  <c r="G75" i="18"/>
  <c r="F75" i="18"/>
  <c r="P74" i="18"/>
  <c r="M74" i="18"/>
  <c r="L74" i="18"/>
  <c r="J74" i="18"/>
  <c r="J73" i="18" s="1"/>
  <c r="H74" i="18"/>
  <c r="G74" i="18"/>
  <c r="G73" i="18" s="1"/>
  <c r="F74" i="18"/>
  <c r="P73" i="18"/>
  <c r="B105" i="18" s="1"/>
  <c r="M73" i="18"/>
  <c r="L73" i="18"/>
  <c r="I73" i="18"/>
  <c r="F73" i="18"/>
  <c r="B103" i="18" s="1"/>
  <c r="E71" i="18"/>
  <c r="E67" i="18" s="1"/>
  <c r="E70" i="18"/>
  <c r="E69" i="18"/>
  <c r="E68" i="18"/>
  <c r="P67" i="18"/>
  <c r="O67" i="18"/>
  <c r="M67" i="18"/>
  <c r="L67" i="18"/>
  <c r="K67" i="18"/>
  <c r="J67" i="18"/>
  <c r="I67" i="18"/>
  <c r="H67" i="18"/>
  <c r="G67" i="18"/>
  <c r="F67" i="18"/>
  <c r="E65" i="18"/>
  <c r="E64" i="18"/>
  <c r="E61" i="18" s="1"/>
  <c r="E63" i="18"/>
  <c r="E62" i="18"/>
  <c r="P61" i="18"/>
  <c r="O61" i="18"/>
  <c r="N61" i="18"/>
  <c r="M61" i="18"/>
  <c r="L61" i="18"/>
  <c r="K61" i="18"/>
  <c r="J61" i="18"/>
  <c r="I61" i="18"/>
  <c r="H61" i="18"/>
  <c r="G61" i="18"/>
  <c r="F61" i="18"/>
  <c r="E59" i="18"/>
  <c r="E58" i="18"/>
  <c r="E55" i="18" s="1"/>
  <c r="E57" i="18"/>
  <c r="E56" i="18"/>
  <c r="P55" i="18"/>
  <c r="O55" i="18"/>
  <c r="N55" i="18"/>
  <c r="M55" i="18"/>
  <c r="L55" i="18"/>
  <c r="K55" i="18"/>
  <c r="J55" i="18"/>
  <c r="I55" i="18"/>
  <c r="H55" i="18"/>
  <c r="G55" i="18"/>
  <c r="F55" i="18"/>
  <c r="I43" i="18"/>
  <c r="L36" i="18"/>
  <c r="K36" i="18"/>
  <c r="J36" i="18"/>
  <c r="I36" i="18"/>
  <c r="H36" i="18"/>
  <c r="G36" i="18"/>
  <c r="F36" i="18"/>
  <c r="P26" i="18"/>
  <c r="O26" i="18" a="1"/>
  <c r="O26" i="18" s="1"/>
  <c r="P110" i="15" s="1"/>
  <c r="M26" i="18"/>
  <c r="L26" i="18"/>
  <c r="J26" i="18"/>
  <c r="I26" i="18"/>
  <c r="H26" i="18"/>
  <c r="G26" i="18"/>
  <c r="F26" i="18"/>
  <c r="E25" i="18"/>
  <c r="P24" i="18"/>
  <c r="P22" i="18" s="1"/>
  <c r="O24" i="18"/>
  <c r="M24" i="18"/>
  <c r="L24" i="18"/>
  <c r="J24" i="18"/>
  <c r="J22" i="18" s="1"/>
  <c r="G24" i="18"/>
  <c r="F24" i="18"/>
  <c r="O23" i="18" a="1"/>
  <c r="O23" i="18" s="1"/>
  <c r="O22" i="18" s="1"/>
  <c r="N23" i="18"/>
  <c r="M23" i="18"/>
  <c r="L23" i="18"/>
  <c r="L22" i="18" s="1"/>
  <c r="J23" i="18"/>
  <c r="H23" i="18"/>
  <c r="H22" i="18" s="1"/>
  <c r="G23" i="18"/>
  <c r="F23" i="18"/>
  <c r="N22" i="18"/>
  <c r="M22" i="18"/>
  <c r="K22" i="18"/>
  <c r="I22" i="18"/>
  <c r="E20" i="18"/>
  <c r="E19" i="18"/>
  <c r="E18" i="18"/>
  <c r="E16" i="18" s="1"/>
  <c r="E17" i="18"/>
  <c r="P16" i="18"/>
  <c r="O16" i="18"/>
  <c r="N16" i="18"/>
  <c r="M16" i="18"/>
  <c r="L16" i="18"/>
  <c r="K16" i="18"/>
  <c r="J16" i="18"/>
  <c r="I16" i="18"/>
  <c r="H16" i="18"/>
  <c r="G16" i="18"/>
  <c r="F16" i="18"/>
  <c r="E14" i="18"/>
  <c r="E13" i="18"/>
  <c r="E12" i="18"/>
  <c r="E10" i="18" s="1"/>
  <c r="E11" i="18"/>
  <c r="P10" i="18"/>
  <c r="O10" i="18"/>
  <c r="N10" i="18"/>
  <c r="M10" i="18"/>
  <c r="L10" i="18"/>
  <c r="K10" i="18"/>
  <c r="J10" i="18"/>
  <c r="I10" i="18"/>
  <c r="H10" i="18"/>
  <c r="G10" i="18"/>
  <c r="F10" i="18"/>
  <c r="B33" i="17"/>
  <c r="D6" i="17"/>
  <c r="C6" i="17"/>
  <c r="B6" i="17"/>
  <c r="M148" i="16"/>
  <c r="K148" i="16"/>
  <c r="M147" i="16"/>
  <c r="M146" i="16"/>
  <c r="K146" i="16"/>
  <c r="J146" i="16"/>
  <c r="I146" i="16"/>
  <c r="I148" i="16" s="1"/>
  <c r="H146" i="16"/>
  <c r="G146" i="16"/>
  <c r="F146" i="16"/>
  <c r="D146" i="16"/>
  <c r="M145" i="16"/>
  <c r="L145" i="16"/>
  <c r="K145" i="16"/>
  <c r="J145" i="16"/>
  <c r="I145" i="16"/>
  <c r="H145" i="16"/>
  <c r="G145" i="16"/>
  <c r="F145" i="16"/>
  <c r="D145" i="16"/>
  <c r="M144" i="16"/>
  <c r="M143" i="16"/>
  <c r="M142" i="16"/>
  <c r="M141" i="16"/>
  <c r="M140" i="16"/>
  <c r="M139" i="16"/>
  <c r="M138" i="16"/>
  <c r="G136" i="16"/>
  <c r="M135" i="16"/>
  <c r="K134" i="16"/>
  <c r="J134" i="16"/>
  <c r="I134" i="16"/>
  <c r="H134" i="16"/>
  <c r="G134" i="16"/>
  <c r="F134" i="16"/>
  <c r="F136" i="16" s="1"/>
  <c r="D134" i="16"/>
  <c r="M133" i="16"/>
  <c r="L133" i="16"/>
  <c r="K133" i="16"/>
  <c r="J133" i="16"/>
  <c r="I133" i="16"/>
  <c r="H133" i="16"/>
  <c r="H136" i="16" s="1"/>
  <c r="G133" i="16"/>
  <c r="F133" i="16"/>
  <c r="D133" i="16"/>
  <c r="M132" i="16"/>
  <c r="M131" i="16"/>
  <c r="M130" i="16"/>
  <c r="M129" i="16"/>
  <c r="M128" i="16"/>
  <c r="M127" i="16"/>
  <c r="M126" i="16"/>
  <c r="M124" i="16"/>
  <c r="K124" i="16"/>
  <c r="M123" i="16"/>
  <c r="M122" i="16"/>
  <c r="K122" i="16"/>
  <c r="J122" i="16"/>
  <c r="I122" i="16"/>
  <c r="I124" i="16" s="1"/>
  <c r="H122" i="16"/>
  <c r="G122" i="16"/>
  <c r="F122" i="16"/>
  <c r="D122" i="16"/>
  <c r="M121" i="16"/>
  <c r="L121" i="16"/>
  <c r="K121" i="16"/>
  <c r="K125" i="16" s="1"/>
  <c r="J121" i="16"/>
  <c r="I121" i="16"/>
  <c r="H121" i="16"/>
  <c r="G121" i="16"/>
  <c r="F121" i="16"/>
  <c r="D121" i="16"/>
  <c r="M120" i="16"/>
  <c r="M119" i="16"/>
  <c r="O119" i="16" s="1"/>
  <c r="M118" i="16"/>
  <c r="M117" i="16"/>
  <c r="M116" i="16"/>
  <c r="M115" i="16"/>
  <c r="M114" i="16"/>
  <c r="M112" i="16"/>
  <c r="G112" i="16"/>
  <c r="M111" i="16"/>
  <c r="M110" i="16"/>
  <c r="K110" i="16"/>
  <c r="J110" i="16"/>
  <c r="J112" i="16" s="1"/>
  <c r="I110" i="16"/>
  <c r="H110" i="16"/>
  <c r="G110" i="16"/>
  <c r="F110" i="16"/>
  <c r="F112" i="16" s="1"/>
  <c r="F113" i="16" s="1"/>
  <c r="D110" i="16"/>
  <c r="M109" i="16"/>
  <c r="L109" i="16"/>
  <c r="K109" i="16"/>
  <c r="K112" i="16" s="1"/>
  <c r="J109" i="16"/>
  <c r="I109" i="16"/>
  <c r="I112" i="16" s="1"/>
  <c r="H109" i="16"/>
  <c r="H112" i="16" s="1"/>
  <c r="G109" i="16"/>
  <c r="F109" i="16"/>
  <c r="D109" i="16"/>
  <c r="M108" i="16"/>
  <c r="M107" i="16"/>
  <c r="M106" i="16"/>
  <c r="M105" i="16"/>
  <c r="M104" i="16"/>
  <c r="M103" i="16"/>
  <c r="M102" i="16"/>
  <c r="M100" i="16"/>
  <c r="K100" i="16"/>
  <c r="J100" i="16"/>
  <c r="M99" i="16"/>
  <c r="M98" i="16"/>
  <c r="L98" i="16"/>
  <c r="K98" i="16"/>
  <c r="J98" i="16"/>
  <c r="I98" i="16"/>
  <c r="I100" i="16" s="1"/>
  <c r="H98" i="16"/>
  <c r="G98" i="16"/>
  <c r="F98" i="16"/>
  <c r="D98" i="16"/>
  <c r="M97" i="16"/>
  <c r="L97" i="16"/>
  <c r="K97" i="16"/>
  <c r="J97" i="16"/>
  <c r="I97" i="16"/>
  <c r="H97" i="16"/>
  <c r="G97" i="16"/>
  <c r="F97" i="16"/>
  <c r="F100" i="16" s="1"/>
  <c r="D97" i="16"/>
  <c r="M96" i="16"/>
  <c r="M95" i="16"/>
  <c r="M94" i="16"/>
  <c r="M93" i="16"/>
  <c r="M92" i="16"/>
  <c r="M91" i="16"/>
  <c r="M90" i="16"/>
  <c r="M88" i="16"/>
  <c r="J88" i="16"/>
  <c r="G88" i="16"/>
  <c r="F88" i="16"/>
  <c r="M87" i="16"/>
  <c r="M86" i="16"/>
  <c r="K86" i="16"/>
  <c r="J86" i="16"/>
  <c r="I86" i="16"/>
  <c r="H86" i="16"/>
  <c r="G86" i="16"/>
  <c r="F86" i="16"/>
  <c r="D86" i="16"/>
  <c r="M85" i="16"/>
  <c r="L85" i="16"/>
  <c r="K85" i="16"/>
  <c r="J85" i="16"/>
  <c r="I85" i="16"/>
  <c r="I88" i="16" s="1"/>
  <c r="H85" i="16"/>
  <c r="H88" i="16" s="1"/>
  <c r="G85" i="16"/>
  <c r="F85" i="16"/>
  <c r="D85" i="16"/>
  <c r="M84" i="16"/>
  <c r="M83" i="16"/>
  <c r="M82" i="16"/>
  <c r="M81" i="16"/>
  <c r="M80" i="16"/>
  <c r="M79" i="16"/>
  <c r="M78" i="16"/>
  <c r="M76" i="16"/>
  <c r="K76" i="16"/>
  <c r="J76" i="16"/>
  <c r="I76" i="16"/>
  <c r="M75" i="16"/>
  <c r="M74" i="16"/>
  <c r="L74" i="16"/>
  <c r="K74" i="16"/>
  <c r="J74" i="16"/>
  <c r="I74" i="16"/>
  <c r="H74" i="16"/>
  <c r="G74" i="16"/>
  <c r="F74" i="16"/>
  <c r="D74" i="16"/>
  <c r="M73" i="16"/>
  <c r="L73" i="16"/>
  <c r="K73" i="16"/>
  <c r="J73" i="16"/>
  <c r="I73" i="16"/>
  <c r="H73" i="16"/>
  <c r="G73" i="16"/>
  <c r="F73" i="16"/>
  <c r="D73" i="16"/>
  <c r="M72" i="16"/>
  <c r="M71" i="16"/>
  <c r="M70" i="16"/>
  <c r="M69" i="16"/>
  <c r="M68" i="16"/>
  <c r="M67" i="16"/>
  <c r="M66" i="16"/>
  <c r="M64" i="16"/>
  <c r="K64" i="16"/>
  <c r="J64" i="16"/>
  <c r="G64" i="16"/>
  <c r="M63" i="16"/>
  <c r="M62" i="16"/>
  <c r="K62" i="16"/>
  <c r="J62" i="16"/>
  <c r="I62" i="16"/>
  <c r="H62" i="16"/>
  <c r="G62" i="16"/>
  <c r="F62" i="16"/>
  <c r="F64" i="16" s="1"/>
  <c r="D62" i="16"/>
  <c r="M61" i="16"/>
  <c r="L61" i="16"/>
  <c r="K61" i="16"/>
  <c r="J61" i="16"/>
  <c r="I61" i="16"/>
  <c r="H61" i="16"/>
  <c r="H64" i="16" s="1"/>
  <c r="G61" i="16"/>
  <c r="F61" i="16"/>
  <c r="D61" i="16"/>
  <c r="M60" i="16"/>
  <c r="M59" i="16"/>
  <c r="M58" i="16"/>
  <c r="M57" i="16"/>
  <c r="M56" i="16"/>
  <c r="M55" i="16"/>
  <c r="M54" i="16"/>
  <c r="M52" i="16"/>
  <c r="K52" i="16"/>
  <c r="J52" i="16"/>
  <c r="I52" i="16"/>
  <c r="M51" i="16"/>
  <c r="M50" i="16"/>
  <c r="L50" i="16"/>
  <c r="K50" i="16"/>
  <c r="J50" i="16"/>
  <c r="I50" i="16"/>
  <c r="H50" i="16"/>
  <c r="G50" i="16"/>
  <c r="F50" i="16"/>
  <c r="D50" i="16"/>
  <c r="M49" i="16"/>
  <c r="L49" i="16"/>
  <c r="L52" i="16" s="1"/>
  <c r="K49" i="16"/>
  <c r="J49" i="16"/>
  <c r="I49" i="16"/>
  <c r="H49" i="16"/>
  <c r="G49" i="16"/>
  <c r="F49" i="16"/>
  <c r="D49" i="16"/>
  <c r="M48" i="16"/>
  <c r="M47" i="16"/>
  <c r="M46" i="16"/>
  <c r="M45" i="16"/>
  <c r="M44" i="16"/>
  <c r="M43" i="16"/>
  <c r="M42" i="16"/>
  <c r="M40" i="16"/>
  <c r="M39" i="16"/>
  <c r="M38" i="16"/>
  <c r="K38" i="16"/>
  <c r="J38" i="16"/>
  <c r="I38" i="16"/>
  <c r="H38" i="16"/>
  <c r="G38" i="16"/>
  <c r="F38" i="16"/>
  <c r="D38" i="16"/>
  <c r="M37" i="16"/>
  <c r="L37" i="16"/>
  <c r="K37" i="16"/>
  <c r="J37" i="16"/>
  <c r="I37" i="16"/>
  <c r="H37" i="16"/>
  <c r="G37" i="16"/>
  <c r="G40" i="16" s="1"/>
  <c r="F37" i="16"/>
  <c r="D37" i="16"/>
  <c r="M36" i="16"/>
  <c r="M35" i="16"/>
  <c r="M34" i="16"/>
  <c r="M33" i="16"/>
  <c r="M32" i="16"/>
  <c r="M31" i="16"/>
  <c r="M30" i="16"/>
  <c r="M28" i="16"/>
  <c r="K28" i="16"/>
  <c r="J28" i="16"/>
  <c r="F28" i="16"/>
  <c r="M27" i="16"/>
  <c r="M26" i="16"/>
  <c r="L26" i="16"/>
  <c r="L28" i="16" s="1"/>
  <c r="K26" i="16"/>
  <c r="J26" i="16"/>
  <c r="I26" i="16"/>
  <c r="H26" i="16"/>
  <c r="G26" i="16"/>
  <c r="F26" i="16"/>
  <c r="D26" i="16"/>
  <c r="M25" i="16"/>
  <c r="L25" i="16"/>
  <c r="K25" i="16"/>
  <c r="J25" i="16"/>
  <c r="I25" i="16"/>
  <c r="H25" i="16"/>
  <c r="G25" i="16"/>
  <c r="F25" i="16"/>
  <c r="D25" i="16"/>
  <c r="M24" i="16"/>
  <c r="M23" i="16"/>
  <c r="M22" i="16"/>
  <c r="M21" i="16"/>
  <c r="M20" i="16"/>
  <c r="M19" i="16"/>
  <c r="M18" i="16"/>
  <c r="M16" i="16"/>
  <c r="K16" i="16"/>
  <c r="J16" i="16"/>
  <c r="F16" i="16"/>
  <c r="M15" i="16"/>
  <c r="M14" i="16"/>
  <c r="K14" i="16"/>
  <c r="J14" i="16"/>
  <c r="I14" i="16"/>
  <c r="H14" i="16"/>
  <c r="G14" i="16"/>
  <c r="F14" i="16"/>
  <c r="D14" i="16"/>
  <c r="M13" i="16"/>
  <c r="L13" i="16"/>
  <c r="K13" i="16"/>
  <c r="J13" i="16"/>
  <c r="I13" i="16"/>
  <c r="I16" i="16" s="1"/>
  <c r="H13" i="16"/>
  <c r="G13" i="16"/>
  <c r="F13" i="16"/>
  <c r="D13" i="16"/>
  <c r="M12" i="16"/>
  <c r="M11" i="16"/>
  <c r="M10" i="16"/>
  <c r="M9" i="16"/>
  <c r="M8" i="16"/>
  <c r="M7" i="16"/>
  <c r="M6" i="16"/>
  <c r="R148" i="15"/>
  <c r="N148" i="15"/>
  <c r="J148" i="15"/>
  <c r="J149" i="15" s="1"/>
  <c r="R147" i="15"/>
  <c r="F147" i="15"/>
  <c r="R146" i="15"/>
  <c r="Q146" i="15"/>
  <c r="P146" i="15"/>
  <c r="O146" i="15"/>
  <c r="N146" i="15"/>
  <c r="M146" i="15"/>
  <c r="L146" i="15"/>
  <c r="K146" i="15"/>
  <c r="J146" i="15"/>
  <c r="I146" i="15"/>
  <c r="H146" i="15"/>
  <c r="G146" i="15"/>
  <c r="G148" i="15" s="1"/>
  <c r="D146" i="15"/>
  <c r="R145" i="15"/>
  <c r="Q145" i="15"/>
  <c r="O145" i="15"/>
  <c r="N145" i="15"/>
  <c r="M145" i="15"/>
  <c r="L145" i="15"/>
  <c r="K145" i="15"/>
  <c r="K148" i="15" s="1"/>
  <c r="J145" i="15"/>
  <c r="I145" i="15"/>
  <c r="H145" i="15"/>
  <c r="G145" i="15"/>
  <c r="D145" i="15"/>
  <c r="R144" i="15"/>
  <c r="F144" i="15"/>
  <c r="R143" i="15"/>
  <c r="F143" i="15"/>
  <c r="R142" i="15"/>
  <c r="F142" i="15"/>
  <c r="R141" i="15"/>
  <c r="F141" i="15"/>
  <c r="R140" i="15"/>
  <c r="G149" i="15" s="1"/>
  <c r="F140" i="15"/>
  <c r="R139" i="15"/>
  <c r="F139" i="15"/>
  <c r="R138" i="15"/>
  <c r="F138" i="15"/>
  <c r="N136" i="15"/>
  <c r="I136" i="15"/>
  <c r="R135" i="15"/>
  <c r="F135" i="15"/>
  <c r="P134" i="15"/>
  <c r="O134" i="15"/>
  <c r="N134" i="15"/>
  <c r="M134" i="15"/>
  <c r="L134" i="15"/>
  <c r="K134" i="15"/>
  <c r="J134" i="15"/>
  <c r="I134" i="15"/>
  <c r="G134" i="15"/>
  <c r="D134" i="15"/>
  <c r="R133" i="15"/>
  <c r="Q133" i="15"/>
  <c r="O133" i="15"/>
  <c r="N133" i="15"/>
  <c r="M133" i="15"/>
  <c r="L133" i="15"/>
  <c r="L136" i="15" s="1"/>
  <c r="K133" i="15"/>
  <c r="K136" i="15" s="1"/>
  <c r="J133" i="15"/>
  <c r="I133" i="15"/>
  <c r="H133" i="15"/>
  <c r="G133" i="15"/>
  <c r="D133" i="15"/>
  <c r="R132" i="15"/>
  <c r="F132" i="15"/>
  <c r="R131" i="15"/>
  <c r="F131" i="15"/>
  <c r="R130" i="15"/>
  <c r="F130" i="15"/>
  <c r="R129" i="15"/>
  <c r="F129" i="15"/>
  <c r="R128" i="15"/>
  <c r="F128" i="15"/>
  <c r="R127" i="15"/>
  <c r="F127" i="15"/>
  <c r="R126" i="15"/>
  <c r="F126" i="15"/>
  <c r="O125" i="15"/>
  <c r="L125" i="15"/>
  <c r="R124" i="15"/>
  <c r="N124" i="15"/>
  <c r="N125" i="15" s="1"/>
  <c r="J124" i="15"/>
  <c r="I124" i="15"/>
  <c r="R123" i="15"/>
  <c r="F123" i="15"/>
  <c r="R122" i="15"/>
  <c r="P122" i="15"/>
  <c r="O122" i="15"/>
  <c r="N122" i="15"/>
  <c r="M122" i="15"/>
  <c r="L122" i="15"/>
  <c r="L124" i="15" s="1"/>
  <c r="K122" i="15"/>
  <c r="J122" i="15"/>
  <c r="I122" i="15"/>
  <c r="G122" i="15"/>
  <c r="D122" i="15"/>
  <c r="R121" i="15"/>
  <c r="Q121" i="15"/>
  <c r="O121" i="15"/>
  <c r="N121" i="15"/>
  <c r="M121" i="15"/>
  <c r="M124" i="15" s="1"/>
  <c r="L121" i="15"/>
  <c r="K121" i="15"/>
  <c r="J121" i="15"/>
  <c r="I121" i="15"/>
  <c r="H121" i="15"/>
  <c r="G121" i="15"/>
  <c r="D121" i="15"/>
  <c r="R120" i="15"/>
  <c r="F120" i="15"/>
  <c r="R119" i="15"/>
  <c r="F119" i="15"/>
  <c r="R118" i="15"/>
  <c r="F118" i="15"/>
  <c r="R117" i="15"/>
  <c r="F117" i="15"/>
  <c r="R116" i="15"/>
  <c r="F116" i="15"/>
  <c r="R115" i="15"/>
  <c r="F115" i="15"/>
  <c r="R114" i="15"/>
  <c r="F114" i="15"/>
  <c r="K113" i="15"/>
  <c r="J113" i="15"/>
  <c r="R112" i="15"/>
  <c r="N112" i="15"/>
  <c r="G112" i="15"/>
  <c r="R111" i="15"/>
  <c r="F111" i="15"/>
  <c r="R110" i="15"/>
  <c r="Q110" i="15"/>
  <c r="O110" i="15"/>
  <c r="N110" i="15"/>
  <c r="M110" i="15"/>
  <c r="L110" i="15"/>
  <c r="K110" i="15"/>
  <c r="K112" i="15" s="1"/>
  <c r="J110" i="15"/>
  <c r="I110" i="15"/>
  <c r="G110" i="15"/>
  <c r="D110" i="15"/>
  <c r="R109" i="15"/>
  <c r="Q109" i="15"/>
  <c r="O109" i="15"/>
  <c r="N109" i="15"/>
  <c r="M109" i="15"/>
  <c r="L109" i="15"/>
  <c r="K109" i="15"/>
  <c r="J109" i="15"/>
  <c r="J112" i="15" s="1"/>
  <c r="I109" i="15"/>
  <c r="I112" i="15" s="1"/>
  <c r="H109" i="15"/>
  <c r="G109" i="15"/>
  <c r="D109" i="15"/>
  <c r="R108" i="15"/>
  <c r="F108" i="15"/>
  <c r="R107" i="15"/>
  <c r="F107" i="15"/>
  <c r="R106" i="15"/>
  <c r="F106" i="15"/>
  <c r="R105" i="15"/>
  <c r="F105" i="15"/>
  <c r="R104" i="15"/>
  <c r="F104" i="15"/>
  <c r="R103" i="15"/>
  <c r="F103" i="15"/>
  <c r="R102" i="15"/>
  <c r="F102" i="15"/>
  <c r="J101" i="15"/>
  <c r="R100" i="15"/>
  <c r="M100" i="15"/>
  <c r="I100" i="15"/>
  <c r="R99" i="15"/>
  <c r="F99" i="15"/>
  <c r="R98" i="15"/>
  <c r="Q98" i="15"/>
  <c r="P98" i="15"/>
  <c r="O98" i="15"/>
  <c r="N98" i="15"/>
  <c r="M98" i="15"/>
  <c r="L98" i="15"/>
  <c r="K98" i="15"/>
  <c r="J98" i="15"/>
  <c r="I98" i="15"/>
  <c r="D98" i="15"/>
  <c r="R97" i="15"/>
  <c r="Q97" i="15"/>
  <c r="Q101" i="15" s="1"/>
  <c r="O97" i="15"/>
  <c r="O101" i="15" s="1"/>
  <c r="N97" i="15"/>
  <c r="N100" i="15" s="1"/>
  <c r="M97" i="15"/>
  <c r="L97" i="15"/>
  <c r="K97" i="15"/>
  <c r="J97" i="15"/>
  <c r="J100" i="15" s="1"/>
  <c r="I97" i="15"/>
  <c r="H97" i="15"/>
  <c r="G97" i="15"/>
  <c r="D97" i="15"/>
  <c r="R96" i="15"/>
  <c r="F96" i="15"/>
  <c r="R95" i="15"/>
  <c r="F95" i="15"/>
  <c r="R94" i="15"/>
  <c r="F94" i="15"/>
  <c r="R93" i="15"/>
  <c r="F93" i="15"/>
  <c r="R92" i="15"/>
  <c r="F92" i="15"/>
  <c r="R91" i="15"/>
  <c r="F91" i="15"/>
  <c r="R90" i="15"/>
  <c r="N101" i="15" s="1"/>
  <c r="F90" i="15"/>
  <c r="R88" i="15"/>
  <c r="N88" i="15"/>
  <c r="R87" i="15"/>
  <c r="F87" i="15"/>
  <c r="R86" i="15"/>
  <c r="P86" i="15"/>
  <c r="O86" i="15"/>
  <c r="N86" i="15"/>
  <c r="M86" i="15"/>
  <c r="L86" i="15"/>
  <c r="K86" i="15"/>
  <c r="K88" i="15" s="1"/>
  <c r="J86" i="15"/>
  <c r="I86" i="15"/>
  <c r="G86" i="15"/>
  <c r="G88" i="15" s="1"/>
  <c r="D86" i="15"/>
  <c r="R85" i="15"/>
  <c r="Q85" i="15"/>
  <c r="O85" i="15"/>
  <c r="N85" i="15"/>
  <c r="M85" i="15"/>
  <c r="M88" i="15" s="1"/>
  <c r="L85" i="15"/>
  <c r="K85" i="15"/>
  <c r="J85" i="15"/>
  <c r="I85" i="15"/>
  <c r="H85" i="15"/>
  <c r="G85" i="15"/>
  <c r="D85" i="15"/>
  <c r="R84" i="15"/>
  <c r="F84" i="15"/>
  <c r="R83" i="15"/>
  <c r="F83" i="15"/>
  <c r="R82" i="15"/>
  <c r="F82" i="15"/>
  <c r="R81" i="15"/>
  <c r="F81" i="15"/>
  <c r="R80" i="15"/>
  <c r="F80" i="15"/>
  <c r="R79" i="15"/>
  <c r="F79" i="15"/>
  <c r="R78" i="15"/>
  <c r="F78" i="15"/>
  <c r="N77" i="15"/>
  <c r="R76" i="15"/>
  <c r="R75" i="15"/>
  <c r="F75" i="15"/>
  <c r="R74" i="15"/>
  <c r="Q74" i="15"/>
  <c r="P74" i="15"/>
  <c r="O74" i="15"/>
  <c r="N74" i="15"/>
  <c r="M74" i="15"/>
  <c r="M76" i="15" s="1"/>
  <c r="L74" i="15"/>
  <c r="L76" i="15" s="1"/>
  <c r="K74" i="15"/>
  <c r="J74" i="15"/>
  <c r="I74" i="15"/>
  <c r="I76" i="15" s="1"/>
  <c r="G74" i="15"/>
  <c r="D74" i="15"/>
  <c r="R73" i="15"/>
  <c r="Q73" i="15"/>
  <c r="O73" i="15"/>
  <c r="N73" i="15"/>
  <c r="N76" i="15" s="1"/>
  <c r="M73" i="15"/>
  <c r="L73" i="15"/>
  <c r="K73" i="15"/>
  <c r="J73" i="15"/>
  <c r="I73" i="15"/>
  <c r="H73" i="15"/>
  <c r="G73" i="15"/>
  <c r="D73" i="15"/>
  <c r="R72" i="15"/>
  <c r="F72" i="15"/>
  <c r="R71" i="15"/>
  <c r="F71" i="15"/>
  <c r="R70" i="15"/>
  <c r="F70" i="15"/>
  <c r="R69" i="15"/>
  <c r="L77" i="15" s="1"/>
  <c r="F69" i="15"/>
  <c r="R68" i="15"/>
  <c r="F68" i="15"/>
  <c r="R67" i="15"/>
  <c r="F67" i="15"/>
  <c r="R66" i="15"/>
  <c r="F66" i="15"/>
  <c r="R64" i="15"/>
  <c r="K64" i="15"/>
  <c r="G64" i="15"/>
  <c r="R63" i="15"/>
  <c r="F63" i="15"/>
  <c r="R62" i="15"/>
  <c r="Q62" i="15"/>
  <c r="Q65" i="15" s="1"/>
  <c r="P62" i="15"/>
  <c r="O62" i="15"/>
  <c r="N62" i="15"/>
  <c r="M62" i="15"/>
  <c r="L62" i="15"/>
  <c r="K62" i="15"/>
  <c r="J62" i="15"/>
  <c r="I62" i="15"/>
  <c r="G62" i="15"/>
  <c r="D62" i="15"/>
  <c r="R61" i="15"/>
  <c r="Q61" i="15"/>
  <c r="O61" i="15"/>
  <c r="N61" i="15"/>
  <c r="M61" i="15"/>
  <c r="L61" i="15"/>
  <c r="L64" i="15" s="1"/>
  <c r="K61" i="15"/>
  <c r="J61" i="15"/>
  <c r="J64" i="15" s="1"/>
  <c r="I61" i="15"/>
  <c r="H61" i="15"/>
  <c r="G61" i="15"/>
  <c r="D61" i="15"/>
  <c r="R60" i="15"/>
  <c r="F60" i="15"/>
  <c r="R59" i="15"/>
  <c r="F59" i="15"/>
  <c r="R58" i="15"/>
  <c r="F58" i="15"/>
  <c r="R57" i="15"/>
  <c r="F57" i="15"/>
  <c r="R56" i="15"/>
  <c r="F56" i="15"/>
  <c r="R55" i="15"/>
  <c r="F55" i="15"/>
  <c r="R54" i="15"/>
  <c r="F54" i="15"/>
  <c r="R52" i="15"/>
  <c r="M52" i="15"/>
  <c r="L52" i="15"/>
  <c r="J52" i="15"/>
  <c r="I52" i="15"/>
  <c r="R51" i="15"/>
  <c r="F51" i="15"/>
  <c r="R50" i="15"/>
  <c r="Q50" i="15"/>
  <c r="P50" i="15"/>
  <c r="O50" i="15"/>
  <c r="N50" i="15"/>
  <c r="M50" i="15"/>
  <c r="L50" i="15"/>
  <c r="K50" i="15"/>
  <c r="J50" i="15"/>
  <c r="I50" i="15"/>
  <c r="D50" i="15"/>
  <c r="R49" i="15"/>
  <c r="Q49" i="15"/>
  <c r="O49" i="15"/>
  <c r="N49" i="15"/>
  <c r="M49" i="15"/>
  <c r="L49" i="15"/>
  <c r="K49" i="15"/>
  <c r="J49" i="15"/>
  <c r="I49" i="15"/>
  <c r="H49" i="15"/>
  <c r="G49" i="15"/>
  <c r="D49" i="15"/>
  <c r="R48" i="15"/>
  <c r="F48" i="15"/>
  <c r="R47" i="15"/>
  <c r="F47" i="15"/>
  <c r="R46" i="15"/>
  <c r="F46" i="15"/>
  <c r="R45" i="15"/>
  <c r="F45" i="15"/>
  <c r="R44" i="15"/>
  <c r="F44" i="15"/>
  <c r="R43" i="15"/>
  <c r="M53" i="15" s="1"/>
  <c r="F43" i="15"/>
  <c r="R42" i="15"/>
  <c r="F42" i="15"/>
  <c r="R40" i="15"/>
  <c r="N40" i="15"/>
  <c r="L40" i="15"/>
  <c r="K40" i="15"/>
  <c r="G40" i="15"/>
  <c r="R39" i="15"/>
  <c r="F39" i="15"/>
  <c r="R38" i="15"/>
  <c r="L41" i="15" s="1"/>
  <c r="P38" i="15"/>
  <c r="O38" i="15"/>
  <c r="N38" i="15"/>
  <c r="M38" i="15"/>
  <c r="L38" i="15"/>
  <c r="K38" i="15"/>
  <c r="J38" i="15"/>
  <c r="I38" i="15"/>
  <c r="H38" i="15"/>
  <c r="G38" i="15"/>
  <c r="D38" i="15"/>
  <c r="R37" i="15"/>
  <c r="Q37" i="15"/>
  <c r="O37" i="15"/>
  <c r="N37" i="15"/>
  <c r="M37" i="15"/>
  <c r="L37" i="15"/>
  <c r="K37" i="15"/>
  <c r="J37" i="15"/>
  <c r="I37" i="15"/>
  <c r="H37" i="15"/>
  <c r="G37" i="15"/>
  <c r="D37" i="15"/>
  <c r="R36" i="15"/>
  <c r="F36" i="15"/>
  <c r="R35" i="15"/>
  <c r="F35" i="15"/>
  <c r="R34" i="15"/>
  <c r="F34" i="15"/>
  <c r="R33" i="15"/>
  <c r="F33" i="15"/>
  <c r="R32" i="15"/>
  <c r="F32" i="15"/>
  <c r="R31" i="15"/>
  <c r="F31" i="15"/>
  <c r="R30" i="15"/>
  <c r="F30" i="15"/>
  <c r="N29" i="15"/>
  <c r="R28" i="15"/>
  <c r="M28" i="15"/>
  <c r="J28" i="15"/>
  <c r="I28" i="15"/>
  <c r="R27" i="15"/>
  <c r="F27" i="15"/>
  <c r="R26" i="15"/>
  <c r="Q26" i="15"/>
  <c r="P26" i="15"/>
  <c r="O26" i="15"/>
  <c r="N26" i="15"/>
  <c r="M26" i="15"/>
  <c r="L26" i="15"/>
  <c r="L28" i="15" s="1"/>
  <c r="K26" i="15"/>
  <c r="J26" i="15"/>
  <c r="I26" i="15"/>
  <c r="G26" i="15"/>
  <c r="D26" i="15"/>
  <c r="R25" i="15"/>
  <c r="Q25" i="15"/>
  <c r="O25" i="15"/>
  <c r="N25" i="15"/>
  <c r="N28" i="15" s="1"/>
  <c r="M25" i="15"/>
  <c r="L25" i="15"/>
  <c r="K25" i="15"/>
  <c r="K28" i="15" s="1"/>
  <c r="J25" i="15"/>
  <c r="I25" i="15"/>
  <c r="H25" i="15"/>
  <c r="G25" i="15"/>
  <c r="D25" i="15"/>
  <c r="R24" i="15"/>
  <c r="F24" i="15"/>
  <c r="R23" i="15"/>
  <c r="F23" i="15"/>
  <c r="R22" i="15"/>
  <c r="F22" i="15"/>
  <c r="R21" i="15"/>
  <c r="F21" i="15"/>
  <c r="R20" i="15"/>
  <c r="F20" i="15"/>
  <c r="R19" i="15"/>
  <c r="F19" i="15"/>
  <c r="R18" i="15"/>
  <c r="F18" i="15"/>
  <c r="Q17" i="15"/>
  <c r="R16" i="15"/>
  <c r="M16" i="15"/>
  <c r="M17" i="15" s="1"/>
  <c r="G16" i="15"/>
  <c r="R15" i="15"/>
  <c r="F15" i="15"/>
  <c r="R14" i="15"/>
  <c r="Q14" i="15"/>
  <c r="P14" i="15"/>
  <c r="O14" i="15"/>
  <c r="N14" i="15"/>
  <c r="N16" i="15" s="1"/>
  <c r="M14" i="15"/>
  <c r="L14" i="15"/>
  <c r="L16" i="15" s="1"/>
  <c r="K14" i="15"/>
  <c r="J14" i="15"/>
  <c r="I14" i="15"/>
  <c r="G14" i="15"/>
  <c r="D14" i="15"/>
  <c r="R13" i="15"/>
  <c r="Q13" i="15"/>
  <c r="O13" i="15"/>
  <c r="N13" i="15"/>
  <c r="M13" i="15"/>
  <c r="L13" i="15"/>
  <c r="K13" i="15"/>
  <c r="J13" i="15"/>
  <c r="I13" i="15"/>
  <c r="I16" i="15" s="1"/>
  <c r="H13" i="15"/>
  <c r="G13" i="15"/>
  <c r="D13" i="15"/>
  <c r="R12" i="15"/>
  <c r="F12" i="15"/>
  <c r="R11" i="15"/>
  <c r="F11" i="15"/>
  <c r="R10" i="15"/>
  <c r="F10" i="15"/>
  <c r="R9" i="15"/>
  <c r="F9" i="15"/>
  <c r="R8" i="15"/>
  <c r="F8" i="15"/>
  <c r="R7" i="15"/>
  <c r="F7" i="15"/>
  <c r="R6" i="15"/>
  <c r="F6" i="15"/>
  <c r="R148" i="14"/>
  <c r="K149" i="14" s="1"/>
  <c r="N148" i="14"/>
  <c r="J148" i="14"/>
  <c r="I148" i="14"/>
  <c r="G148" i="14"/>
  <c r="R147" i="14"/>
  <c r="F147" i="14"/>
  <c r="R146" i="14"/>
  <c r="Q146" i="14"/>
  <c r="P146" i="14"/>
  <c r="O146" i="14"/>
  <c r="N146" i="14"/>
  <c r="M146" i="14"/>
  <c r="L146" i="14"/>
  <c r="K146" i="14"/>
  <c r="K148" i="14" s="1"/>
  <c r="J146" i="14"/>
  <c r="I146" i="14"/>
  <c r="G146" i="14"/>
  <c r="D146" i="14"/>
  <c r="R145" i="14"/>
  <c r="R144" i="14"/>
  <c r="F144" i="14"/>
  <c r="R143" i="14"/>
  <c r="F143" i="14"/>
  <c r="R142" i="14"/>
  <c r="F142" i="14"/>
  <c r="R141" i="14"/>
  <c r="F141" i="14"/>
  <c r="R140" i="14"/>
  <c r="F140" i="14"/>
  <c r="R139" i="14"/>
  <c r="F139" i="14"/>
  <c r="R138" i="14"/>
  <c r="Q149" i="14" s="1"/>
  <c r="F138" i="14"/>
  <c r="L136" i="14"/>
  <c r="J136" i="14"/>
  <c r="I136" i="14"/>
  <c r="G136" i="14"/>
  <c r="R135" i="14"/>
  <c r="F135" i="14"/>
  <c r="Q134" i="14"/>
  <c r="P134" i="14"/>
  <c r="O134" i="14"/>
  <c r="N134" i="14"/>
  <c r="N136" i="14" s="1"/>
  <c r="M134" i="14"/>
  <c r="L134" i="14"/>
  <c r="K134" i="14"/>
  <c r="J134" i="14"/>
  <c r="I134" i="14"/>
  <c r="G134" i="14"/>
  <c r="D134" i="14"/>
  <c r="R133" i="14"/>
  <c r="R132" i="14"/>
  <c r="F132" i="14"/>
  <c r="R131" i="14"/>
  <c r="F131" i="14"/>
  <c r="R130" i="14"/>
  <c r="F130" i="14"/>
  <c r="R129" i="14"/>
  <c r="F129" i="14"/>
  <c r="R128" i="14"/>
  <c r="F128" i="14"/>
  <c r="R127" i="14"/>
  <c r="F127" i="14"/>
  <c r="R126" i="14"/>
  <c r="F126" i="14"/>
  <c r="R124" i="14"/>
  <c r="N125" i="14" s="1"/>
  <c r="N124" i="14"/>
  <c r="L124" i="14"/>
  <c r="J124" i="14"/>
  <c r="I124" i="14"/>
  <c r="R123" i="14"/>
  <c r="F123" i="14"/>
  <c r="R122" i="14"/>
  <c r="Q122" i="14"/>
  <c r="P122" i="14"/>
  <c r="O122" i="14"/>
  <c r="N122" i="14"/>
  <c r="M122" i="14"/>
  <c r="L122" i="14"/>
  <c r="K122" i="14"/>
  <c r="K124" i="14" s="1"/>
  <c r="J122" i="14"/>
  <c r="I122" i="14"/>
  <c r="H122" i="14"/>
  <c r="G122" i="14"/>
  <c r="D122" i="14"/>
  <c r="R121" i="14"/>
  <c r="R120" i="14"/>
  <c r="F120" i="14"/>
  <c r="R119" i="14"/>
  <c r="F119" i="14"/>
  <c r="R118" i="14"/>
  <c r="F118" i="14"/>
  <c r="R117" i="14"/>
  <c r="F117" i="14"/>
  <c r="R116" i="14"/>
  <c r="F116" i="14"/>
  <c r="R115" i="14"/>
  <c r="F115" i="14"/>
  <c r="R114" i="14"/>
  <c r="F114" i="14"/>
  <c r="R112" i="14"/>
  <c r="O112" i="14"/>
  <c r="N112" i="14"/>
  <c r="M112" i="14"/>
  <c r="K112" i="14"/>
  <c r="I112" i="14"/>
  <c r="R111" i="14"/>
  <c r="F111" i="14"/>
  <c r="R110" i="14"/>
  <c r="Q110" i="14"/>
  <c r="Q112" i="14" s="1"/>
  <c r="P110" i="14"/>
  <c r="O110" i="14"/>
  <c r="N110" i="14"/>
  <c r="M110" i="14"/>
  <c r="L110" i="14"/>
  <c r="L112" i="14" s="1"/>
  <c r="K110" i="14"/>
  <c r="J110" i="14"/>
  <c r="J112" i="14" s="1"/>
  <c r="I110" i="14"/>
  <c r="G110" i="14"/>
  <c r="G112" i="14" s="1"/>
  <c r="D110" i="14"/>
  <c r="R109" i="14"/>
  <c r="R108" i="14"/>
  <c r="F108" i="14"/>
  <c r="R107" i="14"/>
  <c r="F107" i="14"/>
  <c r="R106" i="14"/>
  <c r="F106" i="14"/>
  <c r="R105" i="14"/>
  <c r="F105" i="14"/>
  <c r="R104" i="14"/>
  <c r="F104" i="14"/>
  <c r="R103" i="14"/>
  <c r="F103" i="14"/>
  <c r="R102" i="14"/>
  <c r="F102" i="14"/>
  <c r="R100" i="14"/>
  <c r="M100" i="14"/>
  <c r="L100" i="14"/>
  <c r="L101" i="14" s="1"/>
  <c r="G100" i="14"/>
  <c r="R99" i="14"/>
  <c r="F99" i="14"/>
  <c r="R98" i="14"/>
  <c r="Q98" i="14"/>
  <c r="P98" i="14"/>
  <c r="O98" i="14"/>
  <c r="N98" i="14"/>
  <c r="N100" i="14" s="1"/>
  <c r="M98" i="14"/>
  <c r="L98" i="14"/>
  <c r="K98" i="14"/>
  <c r="J98" i="14"/>
  <c r="I98" i="14"/>
  <c r="I100" i="14" s="1"/>
  <c r="G98" i="14"/>
  <c r="D98" i="14"/>
  <c r="R97" i="14"/>
  <c r="R96" i="14"/>
  <c r="F96" i="14"/>
  <c r="R95" i="14"/>
  <c r="F95" i="14"/>
  <c r="R94" i="14"/>
  <c r="F94" i="14"/>
  <c r="R93" i="14"/>
  <c r="F93" i="14"/>
  <c r="R92" i="14"/>
  <c r="N101" i="14" s="1"/>
  <c r="F92" i="14"/>
  <c r="R91" i="14"/>
  <c r="F91" i="14"/>
  <c r="R90" i="14"/>
  <c r="F90" i="14"/>
  <c r="R88" i="14"/>
  <c r="N88" i="14"/>
  <c r="M88" i="14"/>
  <c r="R87" i="14"/>
  <c r="F87" i="14"/>
  <c r="R86" i="14"/>
  <c r="G89" i="14" s="1"/>
  <c r="Q86" i="14"/>
  <c r="P86" i="14"/>
  <c r="O86" i="14"/>
  <c r="N86" i="14"/>
  <c r="M86" i="14"/>
  <c r="L86" i="14"/>
  <c r="K86" i="14"/>
  <c r="J86" i="14"/>
  <c r="I86" i="14"/>
  <c r="G86" i="14"/>
  <c r="D86" i="14"/>
  <c r="R85" i="14"/>
  <c r="Q85" i="14"/>
  <c r="O85" i="14"/>
  <c r="N85" i="14"/>
  <c r="M85" i="14"/>
  <c r="L85" i="14"/>
  <c r="K85" i="14"/>
  <c r="K88" i="14" s="1"/>
  <c r="J85" i="14"/>
  <c r="I85" i="14"/>
  <c r="I88" i="14" s="1"/>
  <c r="H85" i="14"/>
  <c r="G85" i="14"/>
  <c r="G88" i="14" s="1"/>
  <c r="D85" i="14"/>
  <c r="R84" i="14"/>
  <c r="F84" i="14"/>
  <c r="R83" i="14"/>
  <c r="F83" i="14"/>
  <c r="R82" i="14"/>
  <c r="F82" i="14"/>
  <c r="R81" i="14"/>
  <c r="F81" i="14"/>
  <c r="R80" i="14"/>
  <c r="F80" i="14"/>
  <c r="R79" i="14"/>
  <c r="F79" i="14"/>
  <c r="R78" i="14"/>
  <c r="F78" i="14"/>
  <c r="R76" i="14"/>
  <c r="G76" i="14"/>
  <c r="R75" i="14"/>
  <c r="F75" i="14"/>
  <c r="R74" i="14"/>
  <c r="Q74" i="14"/>
  <c r="P74" i="14"/>
  <c r="O74" i="14"/>
  <c r="N74" i="14"/>
  <c r="M74" i="14"/>
  <c r="L74" i="14"/>
  <c r="L76" i="14" s="1"/>
  <c r="K74" i="14"/>
  <c r="J74" i="14"/>
  <c r="I74" i="14"/>
  <c r="G74" i="14"/>
  <c r="D74" i="14"/>
  <c r="R73" i="14"/>
  <c r="Q73" i="14"/>
  <c r="O73" i="14"/>
  <c r="N73" i="14"/>
  <c r="M73" i="14"/>
  <c r="L73" i="14"/>
  <c r="K73" i="14"/>
  <c r="K76" i="14" s="1"/>
  <c r="J73" i="14"/>
  <c r="I73" i="14"/>
  <c r="H73" i="14"/>
  <c r="G73" i="14"/>
  <c r="D73" i="14"/>
  <c r="R72" i="14"/>
  <c r="F72" i="14"/>
  <c r="R71" i="14"/>
  <c r="F71" i="14"/>
  <c r="R70" i="14"/>
  <c r="F70" i="14"/>
  <c r="R69" i="14"/>
  <c r="F69" i="14"/>
  <c r="R68" i="14"/>
  <c r="F68" i="14"/>
  <c r="R67" i="14"/>
  <c r="F67" i="14"/>
  <c r="R66" i="14"/>
  <c r="F66" i="14"/>
  <c r="G65" i="14"/>
  <c r="R64" i="14"/>
  <c r="L64" i="14"/>
  <c r="L65" i="14" s="1"/>
  <c r="J64" i="14"/>
  <c r="R63" i="14"/>
  <c r="F63" i="14"/>
  <c r="R62" i="14"/>
  <c r="Q62" i="14"/>
  <c r="P62" i="14"/>
  <c r="O62" i="14"/>
  <c r="N62" i="14"/>
  <c r="M62" i="14"/>
  <c r="L62" i="14"/>
  <c r="K62" i="14"/>
  <c r="J62" i="14"/>
  <c r="I62" i="14"/>
  <c r="G62" i="14"/>
  <c r="D62" i="14"/>
  <c r="R61" i="14"/>
  <c r="Q61" i="14"/>
  <c r="O61" i="14"/>
  <c r="N61" i="14"/>
  <c r="N64" i="14" s="1"/>
  <c r="M61" i="14"/>
  <c r="L61" i="14"/>
  <c r="K61" i="14"/>
  <c r="J61" i="14"/>
  <c r="I61" i="14"/>
  <c r="I64" i="14" s="1"/>
  <c r="H61" i="14"/>
  <c r="G61" i="14"/>
  <c r="G64" i="14" s="1"/>
  <c r="D61" i="14"/>
  <c r="R60" i="14"/>
  <c r="F60" i="14"/>
  <c r="R59" i="14"/>
  <c r="F59" i="14"/>
  <c r="R58" i="14"/>
  <c r="F58" i="14"/>
  <c r="R57" i="14"/>
  <c r="F57" i="14"/>
  <c r="R56" i="14"/>
  <c r="N65" i="14" s="1"/>
  <c r="F56" i="14"/>
  <c r="R55" i="14"/>
  <c r="F55" i="14"/>
  <c r="R54" i="14"/>
  <c r="F54" i="14"/>
  <c r="N53" i="14"/>
  <c r="R52" i="14"/>
  <c r="Q52" i="14"/>
  <c r="Q53" i="14" s="1"/>
  <c r="M52" i="14"/>
  <c r="L52" i="14"/>
  <c r="I52" i="14"/>
  <c r="I53" i="14" s="1"/>
  <c r="R51" i="14"/>
  <c r="F51" i="14"/>
  <c r="R50" i="14"/>
  <c r="Q50" i="14"/>
  <c r="P50" i="14"/>
  <c r="O50" i="14"/>
  <c r="N50" i="14"/>
  <c r="M50" i="14"/>
  <c r="L50" i="14"/>
  <c r="K50" i="14"/>
  <c r="J50" i="14"/>
  <c r="I50" i="14"/>
  <c r="G50" i="14"/>
  <c r="D50" i="14"/>
  <c r="R49" i="14"/>
  <c r="Q49" i="14"/>
  <c r="O49" i="14"/>
  <c r="N49" i="14"/>
  <c r="N52" i="14" s="1"/>
  <c r="M49" i="14"/>
  <c r="L49" i="14"/>
  <c r="K49" i="14"/>
  <c r="J49" i="14"/>
  <c r="I49" i="14"/>
  <c r="H49" i="14"/>
  <c r="G49" i="14"/>
  <c r="D49" i="14"/>
  <c r="R48" i="14"/>
  <c r="F48" i="14"/>
  <c r="R47" i="14"/>
  <c r="F47" i="14"/>
  <c r="R46" i="14"/>
  <c r="F46" i="14"/>
  <c r="R45" i="14"/>
  <c r="F45" i="14"/>
  <c r="R44" i="14"/>
  <c r="F44" i="14"/>
  <c r="R43" i="14"/>
  <c r="F43" i="14"/>
  <c r="R42" i="14"/>
  <c r="F42" i="14"/>
  <c r="R40" i="14"/>
  <c r="J41" i="14" s="1"/>
  <c r="N40" i="14"/>
  <c r="R39" i="14"/>
  <c r="F39" i="14"/>
  <c r="R38" i="14"/>
  <c r="Q38" i="14"/>
  <c r="P38" i="14"/>
  <c r="O38" i="14"/>
  <c r="N38" i="14"/>
  <c r="M38" i="14"/>
  <c r="L38" i="14"/>
  <c r="K38" i="14"/>
  <c r="J38" i="14"/>
  <c r="I38" i="14"/>
  <c r="G38" i="14"/>
  <c r="D38" i="14"/>
  <c r="R37" i="14"/>
  <c r="Q37" i="14"/>
  <c r="O37" i="14"/>
  <c r="N37" i="14"/>
  <c r="M37" i="14"/>
  <c r="L37" i="14"/>
  <c r="L40" i="14" s="1"/>
  <c r="K37" i="14"/>
  <c r="J37" i="14"/>
  <c r="J40" i="14" s="1"/>
  <c r="I37" i="14"/>
  <c r="I40" i="14" s="1"/>
  <c r="H37" i="14"/>
  <c r="G37" i="14"/>
  <c r="G40" i="14" s="1"/>
  <c r="D37" i="14"/>
  <c r="R36" i="14"/>
  <c r="F36" i="14"/>
  <c r="R35" i="14"/>
  <c r="F35" i="14"/>
  <c r="R34" i="14"/>
  <c r="F34" i="14"/>
  <c r="R33" i="14"/>
  <c r="F33" i="14"/>
  <c r="R32" i="14"/>
  <c r="F32" i="14"/>
  <c r="R31" i="14"/>
  <c r="F31" i="14"/>
  <c r="R30" i="14"/>
  <c r="F30" i="14"/>
  <c r="K29" i="14"/>
  <c r="R28" i="14"/>
  <c r="N28" i="14"/>
  <c r="I28" i="14"/>
  <c r="G28" i="14"/>
  <c r="R27" i="14"/>
  <c r="F27" i="14"/>
  <c r="R26" i="14"/>
  <c r="Q26" i="14"/>
  <c r="P26" i="14"/>
  <c r="O26" i="14"/>
  <c r="N26" i="14"/>
  <c r="M26" i="14"/>
  <c r="L26" i="14"/>
  <c r="L28" i="14" s="1"/>
  <c r="K26" i="14"/>
  <c r="J26" i="14"/>
  <c r="I26" i="14"/>
  <c r="G26" i="14"/>
  <c r="D26" i="14"/>
  <c r="R25" i="14"/>
  <c r="Q25" i="14"/>
  <c r="O25" i="14"/>
  <c r="O29" i="14" s="1"/>
  <c r="N25" i="14"/>
  <c r="M25" i="14"/>
  <c r="L25" i="14"/>
  <c r="K25" i="14"/>
  <c r="K28" i="14" s="1"/>
  <c r="J25" i="14"/>
  <c r="J28" i="14" s="1"/>
  <c r="I25" i="14"/>
  <c r="H25" i="14"/>
  <c r="G25" i="14"/>
  <c r="D25" i="14"/>
  <c r="R24" i="14"/>
  <c r="F24" i="14"/>
  <c r="R23" i="14"/>
  <c r="F23" i="14"/>
  <c r="R22" i="14"/>
  <c r="F22" i="14"/>
  <c r="R21" i="14"/>
  <c r="F21" i="14"/>
  <c r="R20" i="14"/>
  <c r="F20" i="14"/>
  <c r="R19" i="14"/>
  <c r="F19" i="14"/>
  <c r="R18" i="14"/>
  <c r="F18" i="14"/>
  <c r="R16" i="14"/>
  <c r="N16" i="14"/>
  <c r="L16" i="14"/>
  <c r="L17" i="14" s="1"/>
  <c r="K16" i="14"/>
  <c r="R15" i="14"/>
  <c r="F15" i="14"/>
  <c r="R14" i="14"/>
  <c r="Q14" i="14"/>
  <c r="P14" i="14"/>
  <c r="O14" i="14"/>
  <c r="N14" i="14"/>
  <c r="M14" i="14"/>
  <c r="L14" i="14"/>
  <c r="K14" i="14"/>
  <c r="J14" i="14"/>
  <c r="I14" i="14"/>
  <c r="G14" i="14"/>
  <c r="D14" i="14"/>
  <c r="R13" i="14"/>
  <c r="Q13" i="14"/>
  <c r="O13" i="14"/>
  <c r="N13" i="14"/>
  <c r="M13" i="14"/>
  <c r="M16" i="14" s="1"/>
  <c r="L13" i="14"/>
  <c r="K13" i="14"/>
  <c r="J13" i="14"/>
  <c r="I13" i="14"/>
  <c r="H13" i="14"/>
  <c r="G13" i="14"/>
  <c r="D13" i="14"/>
  <c r="R12" i="14"/>
  <c r="F12" i="14"/>
  <c r="R11" i="14"/>
  <c r="F11" i="14"/>
  <c r="R10" i="14"/>
  <c r="F10" i="14"/>
  <c r="R9" i="14"/>
  <c r="F9" i="14"/>
  <c r="R8" i="14"/>
  <c r="F8" i="14"/>
  <c r="R7" i="14"/>
  <c r="F7" i="14"/>
  <c r="R6" i="14"/>
  <c r="F6" i="14"/>
  <c r="K149" i="13"/>
  <c r="R148" i="13"/>
  <c r="N148" i="13"/>
  <c r="K148" i="13"/>
  <c r="H148" i="13"/>
  <c r="R147" i="13"/>
  <c r="F147" i="13"/>
  <c r="R146" i="13"/>
  <c r="Q146" i="13"/>
  <c r="P146" i="13"/>
  <c r="O146" i="13"/>
  <c r="N146" i="13"/>
  <c r="M146" i="13"/>
  <c r="L146" i="13"/>
  <c r="K146" i="13"/>
  <c r="J146" i="13"/>
  <c r="I146" i="13"/>
  <c r="H146" i="13"/>
  <c r="G146" i="13"/>
  <c r="D146" i="13"/>
  <c r="R145" i="13"/>
  <c r="Q145" i="13"/>
  <c r="O145" i="13"/>
  <c r="N145" i="13"/>
  <c r="M145" i="13"/>
  <c r="L145" i="13"/>
  <c r="K145" i="13"/>
  <c r="J145" i="13"/>
  <c r="I145" i="13"/>
  <c r="I148" i="13" s="1"/>
  <c r="H145" i="13"/>
  <c r="G145" i="13"/>
  <c r="D145" i="13"/>
  <c r="R144" i="13"/>
  <c r="F144" i="13"/>
  <c r="R143" i="13"/>
  <c r="F143" i="13"/>
  <c r="R142" i="13"/>
  <c r="F142" i="13"/>
  <c r="R141" i="13"/>
  <c r="F141" i="13"/>
  <c r="R140" i="13"/>
  <c r="F140" i="13"/>
  <c r="R139" i="13"/>
  <c r="F139" i="13"/>
  <c r="R138" i="13"/>
  <c r="F138" i="13"/>
  <c r="N136" i="13"/>
  <c r="M136" i="13"/>
  <c r="K136" i="13"/>
  <c r="G136" i="13"/>
  <c r="R135" i="13"/>
  <c r="F135" i="13"/>
  <c r="R134" i="13"/>
  <c r="Q134" i="13"/>
  <c r="P134" i="13"/>
  <c r="O134" i="13"/>
  <c r="N134" i="13"/>
  <c r="M134" i="13"/>
  <c r="L134" i="13"/>
  <c r="K134" i="13"/>
  <c r="J134" i="13"/>
  <c r="F134" i="13" s="1"/>
  <c r="I134" i="13"/>
  <c r="H134" i="13"/>
  <c r="G134" i="13"/>
  <c r="D134" i="13"/>
  <c r="R133" i="13"/>
  <c r="Q133" i="13"/>
  <c r="O133" i="13"/>
  <c r="N133" i="13"/>
  <c r="M133" i="13"/>
  <c r="L133" i="13"/>
  <c r="K133" i="13"/>
  <c r="J133" i="13"/>
  <c r="I133" i="13"/>
  <c r="H133" i="13"/>
  <c r="G133" i="13"/>
  <c r="D133" i="13"/>
  <c r="R132" i="13"/>
  <c r="F132" i="13"/>
  <c r="R131" i="13"/>
  <c r="F131" i="13"/>
  <c r="R130" i="13"/>
  <c r="F130" i="13"/>
  <c r="R129" i="13"/>
  <c r="F129" i="13"/>
  <c r="R128" i="13"/>
  <c r="F128" i="13"/>
  <c r="R127" i="13"/>
  <c r="F127" i="13"/>
  <c r="R126" i="13"/>
  <c r="F126" i="13"/>
  <c r="R124" i="13"/>
  <c r="N124" i="13"/>
  <c r="I124" i="13"/>
  <c r="R123" i="13"/>
  <c r="F123" i="13"/>
  <c r="R122" i="13"/>
  <c r="M125" i="13" s="1"/>
  <c r="Q122" i="13"/>
  <c r="P122" i="13"/>
  <c r="O122" i="13"/>
  <c r="N122" i="13"/>
  <c r="M122" i="13"/>
  <c r="L122" i="13"/>
  <c r="K122" i="13"/>
  <c r="J122" i="13"/>
  <c r="I122" i="13"/>
  <c r="H122" i="13"/>
  <c r="G122" i="13"/>
  <c r="D122" i="13"/>
  <c r="R121" i="13"/>
  <c r="Q121" i="13"/>
  <c r="O121" i="13"/>
  <c r="N121" i="13"/>
  <c r="M121" i="13"/>
  <c r="M124" i="13" s="1"/>
  <c r="L121" i="13"/>
  <c r="K121" i="13"/>
  <c r="J121" i="13"/>
  <c r="I121" i="13"/>
  <c r="H121" i="13"/>
  <c r="G121" i="13"/>
  <c r="D121" i="13"/>
  <c r="R120" i="13"/>
  <c r="F120" i="13"/>
  <c r="R119" i="13"/>
  <c r="F119" i="13"/>
  <c r="R118" i="13"/>
  <c r="F118" i="13"/>
  <c r="R117" i="13"/>
  <c r="F117" i="13"/>
  <c r="R116" i="13"/>
  <c r="F116" i="13"/>
  <c r="R115" i="13"/>
  <c r="F115" i="13"/>
  <c r="R114" i="13"/>
  <c r="F114" i="13"/>
  <c r="H113" i="13"/>
  <c r="R112" i="13"/>
  <c r="I112" i="13"/>
  <c r="H112" i="13"/>
  <c r="R111" i="13"/>
  <c r="F111" i="13"/>
  <c r="R110" i="13"/>
  <c r="Q110" i="13"/>
  <c r="P110" i="13"/>
  <c r="O110" i="13"/>
  <c r="N110" i="13"/>
  <c r="M110" i="13"/>
  <c r="L110" i="13"/>
  <c r="K110" i="13"/>
  <c r="J110" i="13"/>
  <c r="I110" i="13"/>
  <c r="H110" i="13"/>
  <c r="G110" i="13"/>
  <c r="G112" i="13" s="1"/>
  <c r="F110" i="13"/>
  <c r="D110" i="13"/>
  <c r="R109" i="13"/>
  <c r="Q109" i="13"/>
  <c r="O109" i="13"/>
  <c r="N109" i="13"/>
  <c r="M109" i="13"/>
  <c r="L109" i="13"/>
  <c r="K109" i="13"/>
  <c r="J109" i="13"/>
  <c r="I109" i="13"/>
  <c r="H109" i="13"/>
  <c r="G109" i="13"/>
  <c r="D109" i="13"/>
  <c r="R108" i="13"/>
  <c r="F108" i="13"/>
  <c r="R107" i="13"/>
  <c r="F107" i="13"/>
  <c r="R106" i="13"/>
  <c r="F106" i="13"/>
  <c r="R105" i="13"/>
  <c r="G113" i="13" s="1"/>
  <c r="F105" i="13"/>
  <c r="R104" i="13"/>
  <c r="F104" i="13"/>
  <c r="R103" i="13"/>
  <c r="F103" i="13"/>
  <c r="R102" i="13"/>
  <c r="F102" i="13"/>
  <c r="Q101" i="13"/>
  <c r="R100" i="13"/>
  <c r="N100" i="13"/>
  <c r="I100" i="13"/>
  <c r="R99" i="13"/>
  <c r="F99" i="13"/>
  <c r="R98" i="13"/>
  <c r="Q98" i="13"/>
  <c r="P98" i="13"/>
  <c r="O98" i="13"/>
  <c r="N98" i="13"/>
  <c r="M98" i="13"/>
  <c r="L98" i="13"/>
  <c r="K98" i="13"/>
  <c r="J98" i="13"/>
  <c r="I98" i="13"/>
  <c r="H98" i="13"/>
  <c r="G98" i="13"/>
  <c r="D98" i="13"/>
  <c r="R97" i="13"/>
  <c r="Q97" i="13"/>
  <c r="O97" i="13"/>
  <c r="O101" i="13" s="1"/>
  <c r="N97" i="13"/>
  <c r="M97" i="13"/>
  <c r="M100" i="13" s="1"/>
  <c r="L97" i="13"/>
  <c r="K97" i="13"/>
  <c r="J97" i="13"/>
  <c r="I97" i="13"/>
  <c r="H97" i="13"/>
  <c r="G97" i="13"/>
  <c r="D97" i="13"/>
  <c r="R96" i="13"/>
  <c r="F96" i="13"/>
  <c r="R95" i="13"/>
  <c r="F95" i="13"/>
  <c r="R94" i="13"/>
  <c r="F94" i="13"/>
  <c r="R93" i="13"/>
  <c r="F93" i="13"/>
  <c r="R92" i="13"/>
  <c r="F92" i="13"/>
  <c r="R91" i="13"/>
  <c r="F91" i="13"/>
  <c r="R90" i="13"/>
  <c r="F90" i="13"/>
  <c r="G89" i="13"/>
  <c r="R88" i="13"/>
  <c r="G88" i="13"/>
  <c r="R87" i="13"/>
  <c r="F87" i="13"/>
  <c r="R86" i="13"/>
  <c r="Q86" i="13"/>
  <c r="P86" i="13"/>
  <c r="O86" i="13"/>
  <c r="N86" i="13"/>
  <c r="M86" i="13"/>
  <c r="L86" i="13"/>
  <c r="K86" i="13"/>
  <c r="J86" i="13"/>
  <c r="F86" i="13" s="1"/>
  <c r="I86" i="13"/>
  <c r="H86" i="13"/>
  <c r="G86" i="13"/>
  <c r="D86" i="13"/>
  <c r="R85" i="13"/>
  <c r="Q85" i="13"/>
  <c r="O85" i="13"/>
  <c r="N85" i="13"/>
  <c r="M85" i="13"/>
  <c r="L85" i="13"/>
  <c r="K85" i="13"/>
  <c r="J85" i="13"/>
  <c r="I85" i="13"/>
  <c r="I88" i="13" s="1"/>
  <c r="H85" i="13"/>
  <c r="G85" i="13"/>
  <c r="D85" i="13"/>
  <c r="R84" i="13"/>
  <c r="F84" i="13"/>
  <c r="R83" i="13"/>
  <c r="F83" i="13"/>
  <c r="R82" i="13"/>
  <c r="F82" i="13"/>
  <c r="R81" i="13"/>
  <c r="F81" i="13"/>
  <c r="R80" i="13"/>
  <c r="F80" i="13"/>
  <c r="R79" i="13"/>
  <c r="F79" i="13"/>
  <c r="R78" i="13"/>
  <c r="F78" i="13"/>
  <c r="K77" i="13"/>
  <c r="H77" i="13"/>
  <c r="R76" i="13"/>
  <c r="R75" i="13"/>
  <c r="F75" i="13"/>
  <c r="R74" i="13"/>
  <c r="Q74" i="13"/>
  <c r="P74" i="13"/>
  <c r="O74" i="13"/>
  <c r="N74" i="13"/>
  <c r="M74" i="13"/>
  <c r="L74" i="13"/>
  <c r="K74" i="13"/>
  <c r="J74" i="13"/>
  <c r="I74" i="13"/>
  <c r="H74" i="13"/>
  <c r="H76" i="13" s="1"/>
  <c r="G74" i="13"/>
  <c r="D74" i="13"/>
  <c r="R73" i="13"/>
  <c r="Q73" i="13"/>
  <c r="O73" i="13"/>
  <c r="N73" i="13"/>
  <c r="N76" i="13" s="1"/>
  <c r="M73" i="13"/>
  <c r="L73" i="13"/>
  <c r="K73" i="13"/>
  <c r="K76" i="13" s="1"/>
  <c r="J73" i="13"/>
  <c r="I73" i="13"/>
  <c r="H73" i="13"/>
  <c r="G73" i="13"/>
  <c r="D73" i="13"/>
  <c r="R72" i="13"/>
  <c r="F72" i="13"/>
  <c r="R71" i="13"/>
  <c r="F71" i="13"/>
  <c r="R70" i="13"/>
  <c r="F70" i="13"/>
  <c r="R69" i="13"/>
  <c r="F69" i="13"/>
  <c r="R68" i="13"/>
  <c r="F68" i="13"/>
  <c r="R67" i="13"/>
  <c r="N77" i="13" s="1"/>
  <c r="F67" i="13"/>
  <c r="R66" i="13"/>
  <c r="F66" i="13"/>
  <c r="R64" i="13"/>
  <c r="M64" i="13"/>
  <c r="R63" i="13"/>
  <c r="F63" i="13"/>
  <c r="R62" i="13"/>
  <c r="Q62" i="13"/>
  <c r="P62" i="13"/>
  <c r="O62" i="13"/>
  <c r="N62" i="13"/>
  <c r="N64" i="13" s="1"/>
  <c r="M62" i="13"/>
  <c r="L62" i="13"/>
  <c r="K62" i="13"/>
  <c r="J62" i="13"/>
  <c r="I62" i="13"/>
  <c r="H62" i="13"/>
  <c r="G62" i="13"/>
  <c r="D62" i="13"/>
  <c r="R61" i="13"/>
  <c r="Q61" i="13"/>
  <c r="O61" i="13"/>
  <c r="N61" i="13"/>
  <c r="M61" i="13"/>
  <c r="L61" i="13"/>
  <c r="K61" i="13"/>
  <c r="J61" i="13"/>
  <c r="I61" i="13"/>
  <c r="I64" i="13" s="1"/>
  <c r="H61" i="13"/>
  <c r="G61" i="13"/>
  <c r="D61" i="13"/>
  <c r="R60" i="13"/>
  <c r="F60" i="13"/>
  <c r="R59" i="13"/>
  <c r="F59" i="13"/>
  <c r="R58" i="13"/>
  <c r="F58" i="13"/>
  <c r="R57" i="13"/>
  <c r="F57" i="13"/>
  <c r="R56" i="13"/>
  <c r="F56" i="13"/>
  <c r="R55" i="13"/>
  <c r="F55" i="13"/>
  <c r="R54" i="13"/>
  <c r="M65" i="13" s="1"/>
  <c r="F54" i="13"/>
  <c r="R52" i="13"/>
  <c r="N52" i="13"/>
  <c r="I52" i="13"/>
  <c r="R51" i="13"/>
  <c r="F51" i="13"/>
  <c r="R50" i="13"/>
  <c r="Q50" i="13"/>
  <c r="P50" i="13"/>
  <c r="O50" i="13"/>
  <c r="N50" i="13"/>
  <c r="M50" i="13"/>
  <c r="M52" i="13" s="1"/>
  <c r="L50" i="13"/>
  <c r="K50" i="13"/>
  <c r="J50" i="13"/>
  <c r="I50" i="13"/>
  <c r="H50" i="13"/>
  <c r="G50" i="13"/>
  <c r="D50" i="13"/>
  <c r="R49" i="13"/>
  <c r="Q49" i="13"/>
  <c r="O49" i="13"/>
  <c r="N49" i="13"/>
  <c r="M49" i="13"/>
  <c r="L49" i="13"/>
  <c r="K49" i="13"/>
  <c r="K52" i="13" s="1"/>
  <c r="J49" i="13"/>
  <c r="I49" i="13"/>
  <c r="H49" i="13"/>
  <c r="G49" i="13"/>
  <c r="D49" i="13"/>
  <c r="R48" i="13"/>
  <c r="F48" i="13"/>
  <c r="R47" i="13"/>
  <c r="F47" i="13"/>
  <c r="R46" i="13"/>
  <c r="F46" i="13"/>
  <c r="R45" i="13"/>
  <c r="F45" i="13"/>
  <c r="R44" i="13"/>
  <c r="F44" i="13"/>
  <c r="R43" i="13"/>
  <c r="F43" i="13"/>
  <c r="R42" i="13"/>
  <c r="F42" i="13"/>
  <c r="M41" i="13"/>
  <c r="R40" i="13"/>
  <c r="K40" i="13"/>
  <c r="R39" i="13"/>
  <c r="F39" i="13"/>
  <c r="R38" i="13"/>
  <c r="Q38" i="13"/>
  <c r="P38" i="13"/>
  <c r="O38" i="13"/>
  <c r="N38" i="13"/>
  <c r="M38" i="13"/>
  <c r="L38" i="13"/>
  <c r="K38" i="13"/>
  <c r="J38" i="13"/>
  <c r="I38" i="13"/>
  <c r="H38" i="13"/>
  <c r="G38" i="13"/>
  <c r="F38" i="13"/>
  <c r="D38" i="13"/>
  <c r="R37" i="13"/>
  <c r="Q37" i="13"/>
  <c r="Q41" i="13" s="1"/>
  <c r="O37" i="13"/>
  <c r="N37" i="13"/>
  <c r="M37" i="13"/>
  <c r="M40" i="13" s="1"/>
  <c r="L37" i="13"/>
  <c r="K37" i="13"/>
  <c r="J37" i="13"/>
  <c r="I37" i="13"/>
  <c r="H37" i="13"/>
  <c r="H40" i="13" s="1"/>
  <c r="G37" i="13"/>
  <c r="D37" i="13"/>
  <c r="R36" i="13"/>
  <c r="F36" i="13"/>
  <c r="R35" i="13"/>
  <c r="F35" i="13"/>
  <c r="R34" i="13"/>
  <c r="F34" i="13"/>
  <c r="R33" i="13"/>
  <c r="F33" i="13"/>
  <c r="R32" i="13"/>
  <c r="F32" i="13"/>
  <c r="R31" i="13"/>
  <c r="F31" i="13"/>
  <c r="R30" i="13"/>
  <c r="F30" i="13"/>
  <c r="R28" i="13"/>
  <c r="K28" i="13"/>
  <c r="R27" i="13"/>
  <c r="F27" i="13"/>
  <c r="R26" i="13"/>
  <c r="Q26" i="13"/>
  <c r="P26" i="13"/>
  <c r="O26" i="13"/>
  <c r="N26" i="13"/>
  <c r="M26" i="13"/>
  <c r="L26" i="13"/>
  <c r="K26" i="13"/>
  <c r="J26" i="13"/>
  <c r="I26" i="13"/>
  <c r="I28" i="13" s="1"/>
  <c r="H26" i="13"/>
  <c r="G26" i="13"/>
  <c r="D26" i="13"/>
  <c r="R25" i="13"/>
  <c r="Q25" i="13"/>
  <c r="O25" i="13"/>
  <c r="N25" i="13"/>
  <c r="N28" i="13" s="1"/>
  <c r="M25" i="13"/>
  <c r="M28" i="13" s="1"/>
  <c r="L25" i="13"/>
  <c r="K25" i="13"/>
  <c r="J25" i="13"/>
  <c r="I25" i="13"/>
  <c r="H25" i="13"/>
  <c r="G25" i="13"/>
  <c r="D25" i="13"/>
  <c r="R24" i="13"/>
  <c r="F24" i="13"/>
  <c r="R23" i="13"/>
  <c r="F23" i="13"/>
  <c r="R22" i="13"/>
  <c r="F22" i="13"/>
  <c r="R21" i="13"/>
  <c r="F21" i="13"/>
  <c r="R20" i="13"/>
  <c r="F20" i="13"/>
  <c r="R19" i="13"/>
  <c r="F19" i="13"/>
  <c r="R18" i="13"/>
  <c r="F18" i="13"/>
  <c r="Q17" i="13"/>
  <c r="R16" i="13"/>
  <c r="K16" i="13"/>
  <c r="R15" i="13"/>
  <c r="F15" i="13"/>
  <c r="R14" i="13"/>
  <c r="Q14" i="13"/>
  <c r="P14" i="13"/>
  <c r="O14" i="13"/>
  <c r="N14" i="13"/>
  <c r="M14" i="13"/>
  <c r="L14" i="13"/>
  <c r="K14" i="13"/>
  <c r="J14" i="13"/>
  <c r="I14" i="13"/>
  <c r="H14" i="13"/>
  <c r="G14" i="13"/>
  <c r="D14" i="13"/>
  <c r="R13" i="13"/>
  <c r="Q13" i="13"/>
  <c r="O13" i="13"/>
  <c r="N13" i="13"/>
  <c r="M13" i="13"/>
  <c r="L13" i="13"/>
  <c r="K13" i="13"/>
  <c r="J13" i="13"/>
  <c r="I13" i="13"/>
  <c r="H13" i="13"/>
  <c r="G13" i="13"/>
  <c r="D13" i="13"/>
  <c r="R12" i="13"/>
  <c r="F12" i="13"/>
  <c r="R11" i="13"/>
  <c r="F11" i="13"/>
  <c r="R10" i="13"/>
  <c r="F10" i="13"/>
  <c r="R9" i="13"/>
  <c r="F9" i="13"/>
  <c r="R8" i="13"/>
  <c r="F8" i="13"/>
  <c r="R7" i="13"/>
  <c r="F7" i="13"/>
  <c r="R6" i="13"/>
  <c r="F6" i="13"/>
  <c r="M78" i="12"/>
  <c r="L78" i="12"/>
  <c r="K78" i="12"/>
  <c r="J78" i="12"/>
  <c r="I78" i="12"/>
  <c r="H78" i="12"/>
  <c r="G78" i="12"/>
  <c r="F78" i="12"/>
  <c r="E78" i="12"/>
  <c r="D78" i="12"/>
  <c r="C78" i="12"/>
  <c r="B78" i="12"/>
  <c r="M65" i="12"/>
  <c r="L65" i="12"/>
  <c r="K65" i="12"/>
  <c r="J65" i="12"/>
  <c r="I65" i="12"/>
  <c r="H65" i="12"/>
  <c r="G65" i="12"/>
  <c r="F65" i="12"/>
  <c r="E65" i="12"/>
  <c r="D65" i="12"/>
  <c r="C65" i="12"/>
  <c r="B65" i="12"/>
  <c r="L62" i="12"/>
  <c r="I56" i="12"/>
  <c r="D56" i="12"/>
  <c r="C56" i="12"/>
  <c r="B56" i="12"/>
  <c r="M46" i="12"/>
  <c r="L46" i="12"/>
  <c r="K46" i="12"/>
  <c r="J46" i="12"/>
  <c r="I46" i="12"/>
  <c r="H46" i="12"/>
  <c r="G46" i="12"/>
  <c r="F46" i="12"/>
  <c r="E46" i="12"/>
  <c r="D46" i="12"/>
  <c r="C46" i="12"/>
  <c r="B46" i="12"/>
  <c r="M42" i="12"/>
  <c r="K42" i="12"/>
  <c r="J42" i="12"/>
  <c r="I42" i="12"/>
  <c r="H42" i="12"/>
  <c r="F42" i="12"/>
  <c r="E42" i="12"/>
  <c r="D42" i="12"/>
  <c r="C42" i="12"/>
  <c r="M33" i="12"/>
  <c r="L33" i="12"/>
  <c r="K33" i="12"/>
  <c r="J33" i="12"/>
  <c r="I33" i="12"/>
  <c r="H33" i="12"/>
  <c r="G33" i="12"/>
  <c r="F33" i="12"/>
  <c r="E33" i="12"/>
  <c r="D33" i="12"/>
  <c r="C33" i="12"/>
  <c r="B33" i="12"/>
  <c r="L31" i="12"/>
  <c r="L29" i="12"/>
  <c r="M18" i="12"/>
  <c r="K18" i="12"/>
  <c r="K41" i="11" s="1"/>
  <c r="J18" i="12"/>
  <c r="I18" i="12"/>
  <c r="H18" i="12"/>
  <c r="F18" i="12"/>
  <c r="E18" i="12"/>
  <c r="E41" i="11" s="1"/>
  <c r="D18" i="12"/>
  <c r="C18" i="12"/>
  <c r="B18" i="12"/>
  <c r="M15" i="12"/>
  <c r="M54" i="11" s="1"/>
  <c r="L15" i="12"/>
  <c r="K15" i="12"/>
  <c r="J15" i="12"/>
  <c r="I15" i="12"/>
  <c r="I54" i="11" s="1"/>
  <c r="H15" i="12"/>
  <c r="H54" i="11" s="1"/>
  <c r="G15" i="12"/>
  <c r="F15" i="12"/>
  <c r="F54" i="11" s="1"/>
  <c r="E15" i="12"/>
  <c r="E54" i="11" s="1"/>
  <c r="D15" i="12"/>
  <c r="C15" i="12"/>
  <c r="B15" i="12"/>
  <c r="M7" i="12"/>
  <c r="M40" i="11" s="1"/>
  <c r="K7" i="12"/>
  <c r="J7" i="12"/>
  <c r="H7" i="12"/>
  <c r="H40" i="11" s="1"/>
  <c r="F7" i="12"/>
  <c r="F40" i="11" s="1"/>
  <c r="E7" i="12"/>
  <c r="L54" i="11"/>
  <c r="K54" i="11"/>
  <c r="J54" i="11"/>
  <c r="G54" i="11"/>
  <c r="D54" i="11"/>
  <c r="C54" i="11"/>
  <c r="B54" i="11"/>
  <c r="F43" i="11"/>
  <c r="F44" i="11" s="1"/>
  <c r="L42" i="11"/>
  <c r="H41" i="11"/>
  <c r="F41" i="11"/>
  <c r="F42" i="11" s="1"/>
  <c r="C41" i="11"/>
  <c r="L40" i="11"/>
  <c r="L41" i="11" s="1"/>
  <c r="K40" i="11"/>
  <c r="J40" i="11"/>
  <c r="I40" i="11"/>
  <c r="G40" i="11"/>
  <c r="E40" i="11"/>
  <c r="D40" i="11"/>
  <c r="C40" i="11"/>
  <c r="B40" i="11"/>
  <c r="I33" i="11"/>
  <c r="B33" i="11"/>
  <c r="M26" i="11"/>
  <c r="L26" i="11"/>
  <c r="K26" i="11"/>
  <c r="J26" i="11"/>
  <c r="I26" i="11"/>
  <c r="H26" i="11"/>
  <c r="G26" i="11"/>
  <c r="F26" i="11"/>
  <c r="E26" i="11"/>
  <c r="D26" i="11"/>
  <c r="C26" i="11"/>
  <c r="B26" i="11"/>
  <c r="K19" i="11"/>
  <c r="I19" i="11"/>
  <c r="H19" i="11"/>
  <c r="C19" i="11"/>
  <c r="B19" i="11"/>
  <c r="M12" i="11"/>
  <c r="M19" i="11" s="1"/>
  <c r="M33" i="11" s="1"/>
  <c r="L12" i="11"/>
  <c r="K12" i="11"/>
  <c r="J12" i="11"/>
  <c r="I12" i="11"/>
  <c r="H12" i="11"/>
  <c r="G12" i="11"/>
  <c r="F12" i="11"/>
  <c r="F19" i="11" s="1"/>
  <c r="F33" i="11" s="1"/>
  <c r="E12" i="11"/>
  <c r="E19" i="11" s="1"/>
  <c r="D12" i="11"/>
  <c r="C12" i="11"/>
  <c r="B12" i="11"/>
  <c r="F8" i="11"/>
  <c r="F6" i="11"/>
  <c r="E6" i="11"/>
  <c r="U18" i="7"/>
  <c r="T18" i="7"/>
  <c r="U17" i="7"/>
  <c r="T17" i="7"/>
  <c r="U16" i="7"/>
  <c r="T16" i="7"/>
  <c r="U15" i="7"/>
  <c r="T15" i="7"/>
  <c r="U14" i="7"/>
  <c r="T14" i="7"/>
  <c r="U13" i="7"/>
  <c r="T13" i="7"/>
  <c r="U12" i="7"/>
  <c r="T12" i="7"/>
  <c r="U11" i="7"/>
  <c r="T11" i="7"/>
  <c r="U10" i="7"/>
  <c r="T10" i="7"/>
  <c r="U9" i="7"/>
  <c r="T9" i="7"/>
  <c r="U8" i="7"/>
  <c r="T8" i="7"/>
  <c r="U7" i="7"/>
  <c r="T7" i="7"/>
  <c r="U18" i="5"/>
  <c r="T18" i="5"/>
  <c r="U17" i="5"/>
  <c r="T17" i="5"/>
  <c r="U16" i="5"/>
  <c r="T16" i="5"/>
  <c r="U15" i="5"/>
  <c r="T15" i="5"/>
  <c r="U14" i="5"/>
  <c r="T14" i="5"/>
  <c r="U13" i="5"/>
  <c r="T13" i="5"/>
  <c r="U12" i="5"/>
  <c r="T12" i="5"/>
  <c r="U11" i="5"/>
  <c r="T11" i="5"/>
  <c r="U10" i="5"/>
  <c r="T10" i="5"/>
  <c r="U9" i="5"/>
  <c r="T9" i="5"/>
  <c r="U8" i="5"/>
  <c r="T8" i="5"/>
  <c r="U7" i="5"/>
  <c r="T7" i="5"/>
  <c r="U18" i="3"/>
  <c r="T18" i="3"/>
  <c r="U17" i="3"/>
  <c r="T17" i="3"/>
  <c r="U16" i="3"/>
  <c r="T16" i="3"/>
  <c r="U15" i="3"/>
  <c r="T15" i="3"/>
  <c r="U14" i="3"/>
  <c r="T14" i="3"/>
  <c r="U13" i="3"/>
  <c r="T13" i="3"/>
  <c r="U12" i="3"/>
  <c r="T12" i="3"/>
  <c r="U11" i="3"/>
  <c r="T11" i="3"/>
  <c r="U10" i="3"/>
  <c r="T10" i="3"/>
  <c r="U9" i="3"/>
  <c r="T9" i="3"/>
  <c r="U8" i="3"/>
  <c r="T8" i="3"/>
  <c r="U7" i="3"/>
  <c r="T7" i="3"/>
  <c r="I80" i="2"/>
  <c r="J58" i="2"/>
  <c r="J57" i="2"/>
  <c r="J56" i="2"/>
  <c r="J55" i="2"/>
  <c r="J54" i="2"/>
  <c r="J53" i="2"/>
  <c r="J52" i="2"/>
  <c r="J51" i="2"/>
  <c r="J50" i="2"/>
  <c r="J49" i="2"/>
  <c r="J48" i="2"/>
  <c r="J47" i="2"/>
  <c r="S66" i="10"/>
  <c r="M66" i="10"/>
  <c r="S61" i="10"/>
  <c r="M61" i="10"/>
  <c r="AA56" i="10"/>
  <c r="S56" i="10"/>
  <c r="M56" i="10"/>
  <c r="S51" i="10"/>
  <c r="M51" i="10"/>
  <c r="S46" i="10"/>
  <c r="M46" i="10"/>
  <c r="S41" i="10"/>
  <c r="M41" i="10"/>
  <c r="S36" i="10"/>
  <c r="M36" i="10"/>
  <c r="S31" i="10"/>
  <c r="M31" i="10"/>
  <c r="S26" i="10"/>
  <c r="M26" i="10"/>
  <c r="S21" i="10"/>
  <c r="M21" i="10"/>
  <c r="S16" i="10"/>
  <c r="M16" i="10"/>
  <c r="S11" i="10"/>
  <c r="M11" i="10"/>
  <c r="J41" i="11" l="1"/>
  <c r="Q113" i="14"/>
  <c r="L113" i="14"/>
  <c r="I113" i="14"/>
  <c r="H43" i="11"/>
  <c r="H6" i="11"/>
  <c r="H42" i="11"/>
  <c r="K53" i="13"/>
  <c r="E33" i="11"/>
  <c r="K42" i="11"/>
  <c r="K43" i="11"/>
  <c r="K6" i="11"/>
  <c r="J40" i="16"/>
  <c r="J41" i="16" s="1"/>
  <c r="F29" i="11"/>
  <c r="F57" i="11"/>
  <c r="D19" i="11"/>
  <c r="L19" i="11"/>
  <c r="N53" i="13"/>
  <c r="J113" i="14"/>
  <c r="J17" i="15"/>
  <c r="J16" i="15"/>
  <c r="M77" i="13"/>
  <c r="M76" i="13"/>
  <c r="I77" i="13"/>
  <c r="I76" i="13"/>
  <c r="G19" i="11"/>
  <c r="H33" i="11"/>
  <c r="N41" i="13"/>
  <c r="N40" i="13"/>
  <c r="E55" i="11"/>
  <c r="E13" i="11"/>
  <c r="E27" i="11"/>
  <c r="F15" i="11"/>
  <c r="F22" i="11" s="1"/>
  <c r="F36" i="11" s="1"/>
  <c r="K33" i="11"/>
  <c r="M16" i="13"/>
  <c r="M17" i="13" s="1"/>
  <c r="N29" i="13"/>
  <c r="G100" i="13"/>
  <c r="G101" i="13"/>
  <c r="K100" i="13"/>
  <c r="K101" i="13" s="1"/>
  <c r="H136" i="13"/>
  <c r="H137" i="13" s="1"/>
  <c r="G41" i="11"/>
  <c r="L16" i="13"/>
  <c r="J16" i="13"/>
  <c r="M76" i="14"/>
  <c r="M77" i="14" s="1"/>
  <c r="I89" i="14"/>
  <c r="J89" i="14"/>
  <c r="J88" i="14"/>
  <c r="C33" i="11"/>
  <c r="L7" i="11"/>
  <c r="H89" i="13"/>
  <c r="H88" i="13"/>
  <c r="C43" i="11"/>
  <c r="C42" i="11"/>
  <c r="C6" i="11"/>
  <c r="K29" i="13"/>
  <c r="G65" i="13"/>
  <c r="G64" i="13"/>
  <c r="F62" i="13"/>
  <c r="D41" i="11"/>
  <c r="M41" i="11"/>
  <c r="E42" i="11"/>
  <c r="E43" i="11" s="1"/>
  <c r="M136" i="16"/>
  <c r="R136" i="15"/>
  <c r="R136" i="13"/>
  <c r="K137" i="13" s="1"/>
  <c r="R136" i="14"/>
  <c r="N113" i="13"/>
  <c r="N112" i="13"/>
  <c r="G124" i="13"/>
  <c r="O125" i="13"/>
  <c r="F26" i="13"/>
  <c r="O29" i="13"/>
  <c r="I29" i="13"/>
  <c r="K41" i="14"/>
  <c r="K40" i="14"/>
  <c r="G149" i="14"/>
  <c r="O77" i="14"/>
  <c r="G77" i="14"/>
  <c r="I76" i="14"/>
  <c r="I77" i="14" s="1"/>
  <c r="N76" i="14"/>
  <c r="N77" i="14"/>
  <c r="I125" i="14"/>
  <c r="N16" i="13"/>
  <c r="N17" i="13" s="1"/>
  <c r="G40" i="13"/>
  <c r="G52" i="13"/>
  <c r="F52" i="13" s="1"/>
  <c r="O53" i="13"/>
  <c r="I65" i="13"/>
  <c r="O65" i="13"/>
  <c r="N65" i="13"/>
  <c r="H149" i="13"/>
  <c r="K41" i="13"/>
  <c r="H64" i="13"/>
  <c r="H65" i="13" s="1"/>
  <c r="N89" i="13"/>
  <c r="N88" i="13"/>
  <c r="F98" i="13"/>
  <c r="J17" i="14"/>
  <c r="J16" i="14"/>
  <c r="M17" i="14"/>
  <c r="N17" i="14"/>
  <c r="G52" i="14"/>
  <c r="G53" i="14" s="1"/>
  <c r="O52" i="14"/>
  <c r="O53" i="14" s="1"/>
  <c r="M65" i="14"/>
  <c r="M64" i="14"/>
  <c r="N89" i="14"/>
  <c r="F40" i="16"/>
  <c r="F41" i="16" s="1"/>
  <c r="F9" i="11"/>
  <c r="H16" i="13"/>
  <c r="H17" i="13"/>
  <c r="K64" i="13"/>
  <c r="K65" i="13" s="1"/>
  <c r="O137" i="13"/>
  <c r="Q137" i="13"/>
  <c r="G17" i="14"/>
  <c r="G16" i="14"/>
  <c r="O17" i="14"/>
  <c r="Q65" i="13"/>
  <c r="I89" i="13"/>
  <c r="Q89" i="13"/>
  <c r="Q113" i="13"/>
  <c r="H124" i="13"/>
  <c r="H125" i="13" s="1"/>
  <c r="K124" i="13"/>
  <c r="K125" i="13" s="1"/>
  <c r="Q17" i="14"/>
  <c r="G29" i="14"/>
  <c r="Q65" i="14"/>
  <c r="L65" i="15"/>
  <c r="O65" i="15"/>
  <c r="G65" i="15"/>
  <c r="I64" i="15"/>
  <c r="I65" i="15" s="1"/>
  <c r="K65" i="15"/>
  <c r="J19" i="11"/>
  <c r="L6" i="11"/>
  <c r="L43" i="11"/>
  <c r="F14" i="13"/>
  <c r="O41" i="13"/>
  <c r="I41" i="13"/>
  <c r="I40" i="13"/>
  <c r="H53" i="13"/>
  <c r="I53" i="13"/>
  <c r="I101" i="13"/>
  <c r="I113" i="13"/>
  <c r="I41" i="14"/>
  <c r="L41" i="14"/>
  <c r="L77" i="14"/>
  <c r="Q101" i="14"/>
  <c r="K125" i="14"/>
  <c r="Q125" i="14"/>
  <c r="H124" i="14"/>
  <c r="H125" i="14" s="1"/>
  <c r="P125" i="14"/>
  <c r="G136" i="15"/>
  <c r="F50" i="13"/>
  <c r="F74" i="13"/>
  <c r="M88" i="13"/>
  <c r="M89" i="13" s="1"/>
  <c r="O89" i="13"/>
  <c r="H101" i="13"/>
  <c r="H100" i="13"/>
  <c r="F122" i="13"/>
  <c r="O149" i="13"/>
  <c r="I149" i="13"/>
  <c r="M40" i="14"/>
  <c r="G113" i="14"/>
  <c r="N149" i="14"/>
  <c r="Q29" i="15"/>
  <c r="K29" i="15"/>
  <c r="G41" i="15"/>
  <c r="M64" i="15"/>
  <c r="M65" i="15"/>
  <c r="G76" i="15"/>
  <c r="G77" i="15" s="1"/>
  <c r="O77" i="15"/>
  <c r="M148" i="15"/>
  <c r="M149" i="15" s="1"/>
  <c r="L29" i="14"/>
  <c r="Q41" i="14"/>
  <c r="Q77" i="14"/>
  <c r="I40" i="15"/>
  <c r="I41" i="15"/>
  <c r="K52" i="15"/>
  <c r="K53" i="15" s="1"/>
  <c r="F55" i="11"/>
  <c r="F13" i="11"/>
  <c r="F7" i="11"/>
  <c r="F10" i="11" s="1"/>
  <c r="F45" i="11"/>
  <c r="G17" i="13"/>
  <c r="O17" i="13"/>
  <c r="J17" i="13"/>
  <c r="H41" i="13"/>
  <c r="G76" i="13"/>
  <c r="F76" i="13" s="1"/>
  <c r="O77" i="13"/>
  <c r="N149" i="13"/>
  <c r="N41" i="14"/>
  <c r="J52" i="14"/>
  <c r="J53" i="14" s="1"/>
  <c r="J65" i="14"/>
  <c r="L112" i="15"/>
  <c r="L113" i="15" s="1"/>
  <c r="F27" i="11"/>
  <c r="B41" i="11"/>
  <c r="M134" i="16"/>
  <c r="R134" i="15"/>
  <c r="O137" i="15" s="1"/>
  <c r="R134" i="14"/>
  <c r="O137" i="14" s="1"/>
  <c r="G16" i="13"/>
  <c r="H28" i="13"/>
  <c r="H29" i="13" s="1"/>
  <c r="H52" i="13"/>
  <c r="M137" i="13"/>
  <c r="J29" i="14"/>
  <c r="O88" i="14"/>
  <c r="O89" i="14" s="1"/>
  <c r="L89" i="14"/>
  <c r="L88" i="14"/>
  <c r="Q137" i="14"/>
  <c r="N17" i="15"/>
  <c r="O89" i="15"/>
  <c r="G89" i="15"/>
  <c r="N89" i="15"/>
  <c r="I88" i="15"/>
  <c r="I89" i="15"/>
  <c r="G52" i="16"/>
  <c r="G53" i="16" s="1"/>
  <c r="M101" i="13"/>
  <c r="M112" i="13"/>
  <c r="M113" i="13" s="1"/>
  <c r="Q125" i="13"/>
  <c r="G125" i="13"/>
  <c r="I125" i="13"/>
  <c r="K52" i="14"/>
  <c r="O65" i="14"/>
  <c r="O113" i="14"/>
  <c r="M136" i="14"/>
  <c r="M137" i="14"/>
  <c r="I137" i="14"/>
  <c r="P149" i="14"/>
  <c r="J53" i="15"/>
  <c r="L53" i="15"/>
  <c r="I28" i="16"/>
  <c r="I29" i="16" s="1"/>
  <c r="O117" i="16"/>
  <c r="O122" i="16"/>
  <c r="O116" i="16"/>
  <c r="O120" i="16"/>
  <c r="J125" i="16"/>
  <c r="J124" i="16"/>
  <c r="J101" i="16"/>
  <c r="F101" i="16"/>
  <c r="J76" i="14"/>
  <c r="J77" i="14" s="1"/>
  <c r="Q88" i="14"/>
  <c r="Q89" i="14"/>
  <c r="M101" i="14"/>
  <c r="J125" i="14"/>
  <c r="N41" i="15"/>
  <c r="N52" i="15"/>
  <c r="N53" i="15" s="1"/>
  <c r="L89" i="15"/>
  <c r="L88" i="15"/>
  <c r="M89" i="15"/>
  <c r="I41" i="11"/>
  <c r="L17" i="13"/>
  <c r="K17" i="13"/>
  <c r="I16" i="13"/>
  <c r="I17" i="13" s="1"/>
  <c r="G29" i="13"/>
  <c r="G28" i="13"/>
  <c r="K88" i="13"/>
  <c r="K89" i="13" s="1"/>
  <c r="N101" i="13"/>
  <c r="N125" i="13"/>
  <c r="M148" i="13"/>
  <c r="N29" i="14"/>
  <c r="M53" i="14"/>
  <c r="K77" i="14"/>
  <c r="K89" i="14"/>
  <c r="K113" i="14"/>
  <c r="G125" i="14"/>
  <c r="G124" i="14"/>
  <c r="O125" i="14"/>
  <c r="M148" i="14"/>
  <c r="M149" i="14" s="1"/>
  <c r="I29" i="15"/>
  <c r="O53" i="15"/>
  <c r="L100" i="15"/>
  <c r="L101" i="15" s="1"/>
  <c r="F29" i="16"/>
  <c r="H89" i="16"/>
  <c r="G89" i="16"/>
  <c r="E59" i="20"/>
  <c r="D59" i="20" s="1"/>
  <c r="B59" i="20" s="1"/>
  <c r="Q29" i="13"/>
  <c r="M53" i="13"/>
  <c r="F146" i="13"/>
  <c r="O41" i="14"/>
  <c r="G41" i="14"/>
  <c r="K53" i="14"/>
  <c r="L53" i="14"/>
  <c r="O17" i="15"/>
  <c r="G17" i="15"/>
  <c r="G28" i="15"/>
  <c r="G29" i="15" s="1"/>
  <c r="O29" i="15"/>
  <c r="H52" i="16"/>
  <c r="H53" i="16" s="1"/>
  <c r="H76" i="16"/>
  <c r="H77" i="16"/>
  <c r="L149" i="15"/>
  <c r="L148" i="15"/>
  <c r="H148" i="15"/>
  <c r="H149" i="15" s="1"/>
  <c r="F89" i="16"/>
  <c r="O114" i="16"/>
  <c r="G22" i="18"/>
  <c r="E24" i="18"/>
  <c r="H98" i="14"/>
  <c r="H74" i="14"/>
  <c r="H38" i="14"/>
  <c r="H40" i="14" s="1"/>
  <c r="F40" i="14" s="1"/>
  <c r="H134" i="14"/>
  <c r="H62" i="14"/>
  <c r="H50" i="14"/>
  <c r="H146" i="14"/>
  <c r="H14" i="14"/>
  <c r="H16" i="14" s="1"/>
  <c r="H110" i="15"/>
  <c r="H112" i="15" s="1"/>
  <c r="H86" i="15"/>
  <c r="H88" i="15" s="1"/>
  <c r="F88" i="15" s="1"/>
  <c r="H62" i="15"/>
  <c r="H14" i="15"/>
  <c r="H16" i="15" s="1"/>
  <c r="F16" i="15" s="1"/>
  <c r="H98" i="15"/>
  <c r="H74" i="15"/>
  <c r="H76" i="15" s="1"/>
  <c r="H26" i="15"/>
  <c r="I17" i="16"/>
  <c r="F17" i="16"/>
  <c r="J17" i="16"/>
  <c r="L53" i="16"/>
  <c r="J53" i="16"/>
  <c r="I89" i="16"/>
  <c r="I101" i="16"/>
  <c r="M29" i="13"/>
  <c r="Q53" i="13"/>
  <c r="Q77" i="13"/>
  <c r="G77" i="13"/>
  <c r="K112" i="13"/>
  <c r="F112" i="13" s="1"/>
  <c r="I136" i="13"/>
  <c r="I137" i="13" s="1"/>
  <c r="G148" i="13"/>
  <c r="F148" i="13" s="1"/>
  <c r="K17" i="14"/>
  <c r="I16" i="14"/>
  <c r="I17" i="14" s="1"/>
  <c r="M28" i="14"/>
  <c r="M29" i="14" s="1"/>
  <c r="H26" i="14"/>
  <c r="M41" i="14"/>
  <c r="P101" i="14"/>
  <c r="H110" i="14"/>
  <c r="H112" i="14" s="1"/>
  <c r="F112" i="14" s="1"/>
  <c r="M124" i="14"/>
  <c r="M125" i="14"/>
  <c r="K137" i="14"/>
  <c r="K136" i="14"/>
  <c r="I17" i="15"/>
  <c r="H50" i="15"/>
  <c r="I101" i="15"/>
  <c r="K124" i="15"/>
  <c r="K125" i="15"/>
  <c r="H134" i="15"/>
  <c r="O19" i="16"/>
  <c r="G28" i="16"/>
  <c r="G29" i="16" s="1"/>
  <c r="J29" i="16"/>
  <c r="I149" i="16"/>
  <c r="O113" i="13"/>
  <c r="M149" i="13"/>
  <c r="Q149" i="13"/>
  <c r="K64" i="14"/>
  <c r="K65" i="14" s="1"/>
  <c r="M89" i="14"/>
  <c r="H86" i="14"/>
  <c r="H88" i="14" s="1"/>
  <c r="F88" i="14" s="1"/>
  <c r="K100" i="14"/>
  <c r="K101" i="14" s="1"/>
  <c r="N113" i="14"/>
  <c r="O149" i="14"/>
  <c r="J149" i="14"/>
  <c r="J76" i="15"/>
  <c r="J77" i="15" s="1"/>
  <c r="H122" i="15"/>
  <c r="M136" i="15"/>
  <c r="M137" i="15" s="1"/>
  <c r="J89" i="16"/>
  <c r="O118" i="16"/>
  <c r="I125" i="16"/>
  <c r="M29" i="15"/>
  <c r="J40" i="15"/>
  <c r="J41" i="15" s="1"/>
  <c r="N64" i="15"/>
  <c r="N65" i="15" s="1"/>
  <c r="J65" i="15"/>
  <c r="K76" i="15"/>
  <c r="K77" i="15" s="1"/>
  <c r="O113" i="15"/>
  <c r="G113" i="15"/>
  <c r="I113" i="15"/>
  <c r="Q113" i="15"/>
  <c r="I148" i="15"/>
  <c r="I149" i="15" s="1"/>
  <c r="J65" i="16"/>
  <c r="F124" i="16"/>
  <c r="F125" i="16" s="1"/>
  <c r="G124" i="16"/>
  <c r="G125" i="16" s="1"/>
  <c r="G149" i="16"/>
  <c r="G148" i="16"/>
  <c r="L125" i="14"/>
  <c r="K16" i="15"/>
  <c r="K17" i="15" s="1"/>
  <c r="K41" i="15"/>
  <c r="H41" i="15"/>
  <c r="H40" i="15"/>
  <c r="F40" i="15" s="1"/>
  <c r="K101" i="15"/>
  <c r="N113" i="15"/>
  <c r="O14" i="16"/>
  <c r="K17" i="16"/>
  <c r="H65" i="16"/>
  <c r="G65" i="16"/>
  <c r="K65" i="16"/>
  <c r="O64" i="16" s="1"/>
  <c r="O61" i="16"/>
  <c r="F65" i="16"/>
  <c r="H148" i="16"/>
  <c r="H149" i="16" s="1"/>
  <c r="Q29" i="14"/>
  <c r="I29" i="14"/>
  <c r="J100" i="14"/>
  <c r="J101" i="14" s="1"/>
  <c r="M113" i="14"/>
  <c r="L137" i="14"/>
  <c r="L148" i="14"/>
  <c r="L149" i="14" s="1"/>
  <c r="L29" i="15"/>
  <c r="O41" i="15"/>
  <c r="Q77" i="15"/>
  <c r="I77" i="15"/>
  <c r="M77" i="15"/>
  <c r="G100" i="15"/>
  <c r="J125" i="15"/>
  <c r="N149" i="15"/>
  <c r="I53" i="16"/>
  <c r="F76" i="16"/>
  <c r="F77" i="16" s="1"/>
  <c r="N137" i="15"/>
  <c r="O27" i="16"/>
  <c r="I40" i="16"/>
  <c r="I41" i="16" s="1"/>
  <c r="O56" i="16"/>
  <c r="O75" i="16"/>
  <c r="K88" i="16"/>
  <c r="K89" i="16" s="1"/>
  <c r="G101" i="16"/>
  <c r="G100" i="16"/>
  <c r="O123" i="16"/>
  <c r="O143" i="16"/>
  <c r="K149" i="16"/>
  <c r="J148" i="16"/>
  <c r="J149" i="16" s="1"/>
  <c r="E23" i="18"/>
  <c r="F22" i="18"/>
  <c r="E26" i="18"/>
  <c r="G98" i="15"/>
  <c r="G50" i="15"/>
  <c r="G52" i="15" s="1"/>
  <c r="Q86" i="15"/>
  <c r="Q89" i="15" s="1"/>
  <c r="Q38" i="15"/>
  <c r="Q41" i="15" s="1"/>
  <c r="Q134" i="15"/>
  <c r="Q137" i="15" s="1"/>
  <c r="Q122" i="15"/>
  <c r="Q125" i="15" s="1"/>
  <c r="C96" i="18"/>
  <c r="C95" i="18"/>
  <c r="I65" i="14"/>
  <c r="O101" i="14"/>
  <c r="G101" i="14"/>
  <c r="I101" i="14"/>
  <c r="L17" i="15"/>
  <c r="Q53" i="15"/>
  <c r="J88" i="15"/>
  <c r="J89" i="15" s="1"/>
  <c r="G16" i="16"/>
  <c r="G17" i="16" s="1"/>
  <c r="K40" i="16"/>
  <c r="L77" i="16"/>
  <c r="I77" i="16"/>
  <c r="J113" i="16"/>
  <c r="H124" i="16"/>
  <c r="H125" i="16" s="1"/>
  <c r="O124" i="16"/>
  <c r="J136" i="16"/>
  <c r="P113" i="14"/>
  <c r="H113" i="14"/>
  <c r="J29" i="15"/>
  <c r="M40" i="15"/>
  <c r="M41" i="15" s="1"/>
  <c r="K89" i="15"/>
  <c r="K100" i="15"/>
  <c r="M112" i="15"/>
  <c r="M113" i="15" s="1"/>
  <c r="M125" i="15"/>
  <c r="I125" i="15"/>
  <c r="I137" i="15"/>
  <c r="O149" i="15"/>
  <c r="H16" i="16"/>
  <c r="H17" i="16" s="1"/>
  <c r="L29" i="16"/>
  <c r="K29" i="16"/>
  <c r="O26" i="16" s="1"/>
  <c r="F52" i="16"/>
  <c r="F53" i="16" s="1"/>
  <c r="J77" i="16"/>
  <c r="K136" i="16"/>
  <c r="O147" i="16"/>
  <c r="I149" i="14"/>
  <c r="I53" i="15"/>
  <c r="O9" i="16"/>
  <c r="H41" i="16"/>
  <c r="G41" i="16"/>
  <c r="H40" i="16"/>
  <c r="I64" i="16"/>
  <c r="I65" i="16" s="1"/>
  <c r="G77" i="16"/>
  <c r="H100" i="16"/>
  <c r="H101" i="16" s="1"/>
  <c r="L134" i="16"/>
  <c r="L136" i="16" s="1"/>
  <c r="L137" i="16" s="1"/>
  <c r="L110" i="16"/>
  <c r="L86" i="16"/>
  <c r="L88" i="16" s="1"/>
  <c r="L62" i="16"/>
  <c r="L38" i="16"/>
  <c r="L14" i="16"/>
  <c r="L146" i="16"/>
  <c r="L149" i="16" s="1"/>
  <c r="L122" i="16"/>
  <c r="K101" i="16"/>
  <c r="O96" i="16" s="1"/>
  <c r="O115" i="16"/>
  <c r="L124" i="16"/>
  <c r="L125" i="16" s="1"/>
  <c r="O139" i="16"/>
  <c r="L148" i="16"/>
  <c r="M101" i="15"/>
  <c r="J136" i="15"/>
  <c r="J137" i="15" s="1"/>
  <c r="K149" i="15"/>
  <c r="H28" i="16"/>
  <c r="H29" i="16" s="1"/>
  <c r="L40" i="16"/>
  <c r="K77" i="16"/>
  <c r="G76" i="16"/>
  <c r="L100" i="16"/>
  <c r="L101" i="16" s="1"/>
  <c r="H113" i="16"/>
  <c r="G113" i="16"/>
  <c r="K113" i="16"/>
  <c r="O104" i="16" s="1"/>
  <c r="I113" i="16"/>
  <c r="G124" i="15"/>
  <c r="G125" i="15" s="1"/>
  <c r="K137" i="15"/>
  <c r="Q149" i="15"/>
  <c r="O13" i="16"/>
  <c r="K53" i="16"/>
  <c r="O47" i="16" s="1"/>
  <c r="L76" i="16"/>
  <c r="I136" i="16"/>
  <c r="I137" i="16" s="1"/>
  <c r="F148" i="16"/>
  <c r="F149" i="16" s="1"/>
  <c r="E64" i="20"/>
  <c r="D64" i="20" s="1"/>
  <c r="B64" i="20" s="1"/>
  <c r="M60" i="20"/>
  <c r="M61" i="20" s="1"/>
  <c r="K137" i="16"/>
  <c r="F60" i="20"/>
  <c r="F61" i="20" s="1"/>
  <c r="E61" i="20" s="1"/>
  <c r="D61" i="20" s="1"/>
  <c r="O121" i="16"/>
  <c r="O145" i="16"/>
  <c r="G60" i="20"/>
  <c r="G61" i="20" s="1"/>
  <c r="H60" i="20"/>
  <c r="H61" i="20" s="1"/>
  <c r="I60" i="20"/>
  <c r="I61" i="20" s="1"/>
  <c r="G137" i="16"/>
  <c r="J60" i="20"/>
  <c r="J61" i="20" s="1"/>
  <c r="K60" i="20"/>
  <c r="K61" i="20" s="1"/>
  <c r="O83" i="16" l="1"/>
  <c r="O79" i="16"/>
  <c r="O82" i="16"/>
  <c r="O87" i="16"/>
  <c r="O84" i="16"/>
  <c r="O85" i="16"/>
  <c r="O86" i="16"/>
  <c r="O81" i="16"/>
  <c r="O78" i="16"/>
  <c r="O80" i="16"/>
  <c r="E44" i="11"/>
  <c r="E8" i="11"/>
  <c r="H45" i="11"/>
  <c r="F112" i="15"/>
  <c r="H113" i="15"/>
  <c r="O141" i="16"/>
  <c r="O146" i="16"/>
  <c r="O140" i="16"/>
  <c r="O144" i="16"/>
  <c r="O138" i="16"/>
  <c r="O12" i="16"/>
  <c r="O10" i="16"/>
  <c r="O8" i="16"/>
  <c r="O95" i="16"/>
  <c r="O42" i="16"/>
  <c r="H28" i="15"/>
  <c r="F28" i="15" s="1"/>
  <c r="H148" i="14"/>
  <c r="F148" i="14" s="1"/>
  <c r="O16" i="16"/>
  <c r="O11" i="16"/>
  <c r="H17" i="15"/>
  <c r="H89" i="15"/>
  <c r="B6" i="11"/>
  <c r="B42" i="11"/>
  <c r="F20" i="11"/>
  <c r="P137" i="14"/>
  <c r="F58" i="11"/>
  <c r="F30" i="11"/>
  <c r="F16" i="11"/>
  <c r="F23" i="11" s="1"/>
  <c r="K113" i="13"/>
  <c r="H41" i="14"/>
  <c r="E20" i="11"/>
  <c r="O135" i="16"/>
  <c r="O131" i="16"/>
  <c r="O127" i="16"/>
  <c r="O130" i="16"/>
  <c r="O126" i="16"/>
  <c r="O44" i="16"/>
  <c r="H124" i="15"/>
  <c r="F124" i="15" s="1"/>
  <c r="H52" i="14"/>
  <c r="F52" i="14" s="1"/>
  <c r="O112" i="16"/>
  <c r="H89" i="14"/>
  <c r="O90" i="16"/>
  <c r="G137" i="14"/>
  <c r="G137" i="15"/>
  <c r="G42" i="11"/>
  <c r="G6" i="11"/>
  <c r="G43" i="11"/>
  <c r="O129" i="16"/>
  <c r="L41" i="16"/>
  <c r="G101" i="15"/>
  <c r="O54" i="16"/>
  <c r="L16" i="16"/>
  <c r="L17" i="16" s="1"/>
  <c r="O6" i="16"/>
  <c r="H101" i="15"/>
  <c r="H64" i="14"/>
  <c r="F64" i="14" s="1"/>
  <c r="O99" i="16"/>
  <c r="N137" i="14"/>
  <c r="F16" i="13"/>
  <c r="L8" i="11"/>
  <c r="L44" i="11"/>
  <c r="G137" i="13"/>
  <c r="F88" i="13"/>
  <c r="G53" i="13"/>
  <c r="N137" i="13"/>
  <c r="D6" i="11"/>
  <c r="D42" i="11"/>
  <c r="D43" i="11"/>
  <c r="C55" i="11"/>
  <c r="C13" i="11"/>
  <c r="C27" i="11"/>
  <c r="F100" i="13"/>
  <c r="L33" i="11"/>
  <c r="H7" i="11"/>
  <c r="O75" i="18"/>
  <c r="O74" i="18"/>
  <c r="O77" i="18"/>
  <c r="F122" i="15"/>
  <c r="F110" i="15"/>
  <c r="F98" i="15"/>
  <c r="F146" i="15"/>
  <c r="F74" i="15"/>
  <c r="F26" i="15"/>
  <c r="F38" i="15"/>
  <c r="F14" i="15"/>
  <c r="F134" i="15"/>
  <c r="F62" i="15"/>
  <c r="F86" i="15"/>
  <c r="F50" i="15"/>
  <c r="O98" i="16"/>
  <c r="O62" i="16"/>
  <c r="O58" i="16"/>
  <c r="O63" i="16"/>
  <c r="O59" i="16"/>
  <c r="O60" i="16"/>
  <c r="O55" i="16"/>
  <c r="H136" i="14"/>
  <c r="F136" i="14" s="1"/>
  <c r="H137" i="14"/>
  <c r="H100" i="15"/>
  <c r="L13" i="11"/>
  <c r="L55" i="11"/>
  <c r="L27" i="11"/>
  <c r="F40" i="13"/>
  <c r="F136" i="13"/>
  <c r="F124" i="13"/>
  <c r="E45" i="11"/>
  <c r="C7" i="11"/>
  <c r="L28" i="11"/>
  <c r="L56" i="11"/>
  <c r="L14" i="11"/>
  <c r="L21" i="11" s="1"/>
  <c r="H55" i="11"/>
  <c r="H27" i="11"/>
  <c r="H13" i="11"/>
  <c r="O111" i="16"/>
  <c r="O107" i="16"/>
  <c r="O103" i="16"/>
  <c r="O102" i="16"/>
  <c r="O106" i="16"/>
  <c r="O110" i="16"/>
  <c r="O108" i="16"/>
  <c r="O133" i="16"/>
  <c r="O105" i="16"/>
  <c r="O7" i="16"/>
  <c r="G149" i="13"/>
  <c r="O132" i="16"/>
  <c r="H64" i="15"/>
  <c r="F64" i="15" s="1"/>
  <c r="F124" i="14"/>
  <c r="I6" i="11"/>
  <c r="I42" i="11"/>
  <c r="C44" i="11"/>
  <c r="C8" i="11"/>
  <c r="D33" i="11"/>
  <c r="K27" i="11"/>
  <c r="K13" i="11"/>
  <c r="K55" i="11"/>
  <c r="J6" i="11"/>
  <c r="J42" i="11"/>
  <c r="O128" i="16"/>
  <c r="O134" i="16"/>
  <c r="F137" i="16"/>
  <c r="F56" i="11"/>
  <c r="F59" i="11" s="1"/>
  <c r="F28" i="11"/>
  <c r="F31" i="11" s="1"/>
  <c r="F14" i="11"/>
  <c r="F21" i="11" s="1"/>
  <c r="J33" i="11"/>
  <c r="E7" i="11"/>
  <c r="K8" i="11"/>
  <c r="K44" i="11"/>
  <c r="H44" i="11"/>
  <c r="H8" i="11"/>
  <c r="O49" i="16"/>
  <c r="O52" i="16"/>
  <c r="O48" i="16"/>
  <c r="O46" i="16"/>
  <c r="O45" i="16"/>
  <c r="O50" i="16"/>
  <c r="O92" i="16"/>
  <c r="O94" i="16"/>
  <c r="O97" i="16"/>
  <c r="O93" i="16"/>
  <c r="F100" i="15"/>
  <c r="O148" i="16"/>
  <c r="L112" i="16"/>
  <c r="L113" i="16" s="1"/>
  <c r="H52" i="15"/>
  <c r="F52" i="15" s="1"/>
  <c r="H53" i="15"/>
  <c r="O20" i="16"/>
  <c r="O22" i="16"/>
  <c r="O25" i="16"/>
  <c r="O18" i="16"/>
  <c r="O28" i="16"/>
  <c r="O15" i="16"/>
  <c r="O142" i="16"/>
  <c r="H136" i="15"/>
  <c r="F136" i="15" s="1"/>
  <c r="H137" i="15"/>
  <c r="H101" i="14"/>
  <c r="H100" i="14"/>
  <c r="F100" i="14" s="1"/>
  <c r="G53" i="15"/>
  <c r="L89" i="16"/>
  <c r="O21" i="16"/>
  <c r="F16" i="14"/>
  <c r="G41" i="13"/>
  <c r="F64" i="13"/>
  <c r="K7" i="11"/>
  <c r="O43" i="16"/>
  <c r="O109" i="16"/>
  <c r="E22" i="18"/>
  <c r="F15" i="20" s="1"/>
  <c r="L64" i="16"/>
  <c r="L65" i="16" s="1"/>
  <c r="H76" i="14"/>
  <c r="F76" i="14" s="1"/>
  <c r="O51" i="16"/>
  <c r="O72" i="16"/>
  <c r="O69" i="16"/>
  <c r="O66" i="16"/>
  <c r="O76" i="16"/>
  <c r="O73" i="16"/>
  <c r="O70" i="16"/>
  <c r="O68" i="16"/>
  <c r="O74" i="16"/>
  <c r="O91" i="16"/>
  <c r="K41" i="16"/>
  <c r="O40" i="16" s="1"/>
  <c r="J137" i="16"/>
  <c r="O88" i="16"/>
  <c r="O57" i="16"/>
  <c r="O67" i="16"/>
  <c r="O136" i="16"/>
  <c r="O23" i="16"/>
  <c r="O71" i="16"/>
  <c r="O100" i="16"/>
  <c r="H77" i="15"/>
  <c r="O24" i="16"/>
  <c r="H137" i="16"/>
  <c r="L137" i="15"/>
  <c r="H28" i="14"/>
  <c r="F28" i="14" s="1"/>
  <c r="H29" i="14"/>
  <c r="H17" i="14"/>
  <c r="F110" i="14"/>
  <c r="F113" i="14" s="1"/>
  <c r="F86" i="14"/>
  <c r="F50" i="14"/>
  <c r="F122" i="14"/>
  <c r="F125" i="14" s="1"/>
  <c r="F74" i="14"/>
  <c r="F62" i="14"/>
  <c r="F146" i="14"/>
  <c r="F134" i="14"/>
  <c r="F137" i="14" s="1"/>
  <c r="F38" i="14"/>
  <c r="F26" i="14"/>
  <c r="F14" i="14"/>
  <c r="F98" i="14"/>
  <c r="F101" i="14" s="1"/>
  <c r="F148" i="15"/>
  <c r="F28" i="13"/>
  <c r="F76" i="15"/>
  <c r="J137" i="14"/>
  <c r="M42" i="11"/>
  <c r="M6" i="11"/>
  <c r="G33" i="11"/>
  <c r="M31" i="6" l="1"/>
  <c r="S31" i="6"/>
  <c r="M31" i="8"/>
  <c r="S31" i="8"/>
  <c r="B7" i="11"/>
  <c r="I7" i="11"/>
  <c r="H65" i="15"/>
  <c r="C20" i="11"/>
  <c r="F37" i="11"/>
  <c r="B55" i="11"/>
  <c r="B27" i="11"/>
  <c r="B13" i="11"/>
  <c r="H29" i="15"/>
  <c r="G44" i="11"/>
  <c r="G8" i="11"/>
  <c r="B43" i="11"/>
  <c r="G45" i="11"/>
  <c r="E29" i="11"/>
  <c r="E15" i="11"/>
  <c r="E22" i="11" s="1"/>
  <c r="E57" i="11"/>
  <c r="K57" i="11"/>
  <c r="K15" i="11"/>
  <c r="K22" i="11" s="1"/>
  <c r="K29" i="11"/>
  <c r="J55" i="11"/>
  <c r="J27" i="11"/>
  <c r="J13" i="11"/>
  <c r="I55" i="11"/>
  <c r="I27" i="11"/>
  <c r="I13" i="11"/>
  <c r="H77" i="14"/>
  <c r="J43" i="11"/>
  <c r="C15" i="11"/>
  <c r="C22" i="11" s="1"/>
  <c r="C57" i="11"/>
  <c r="C29" i="11"/>
  <c r="I43" i="11"/>
  <c r="O73" i="18"/>
  <c r="B104" i="18" s="1"/>
  <c r="B106" i="18" s="1"/>
  <c r="P145" i="13"/>
  <c r="P97" i="13"/>
  <c r="P109" i="13"/>
  <c r="P73" i="13"/>
  <c r="P25" i="13"/>
  <c r="P49" i="13"/>
  <c r="P37" i="13"/>
  <c r="P121" i="13"/>
  <c r="P13" i="13"/>
  <c r="P61" i="13"/>
  <c r="P85" i="13"/>
  <c r="P133" i="13"/>
  <c r="E74" i="18"/>
  <c r="H125" i="15"/>
  <c r="E34" i="11"/>
  <c r="E9" i="11"/>
  <c r="C28" i="11"/>
  <c r="C56" i="11"/>
  <c r="C14" i="11"/>
  <c r="C21" i="11" s="1"/>
  <c r="P145" i="15"/>
  <c r="P149" i="15" s="1"/>
  <c r="E77" i="18"/>
  <c r="P133" i="15"/>
  <c r="P137" i="15" s="1"/>
  <c r="P97" i="15"/>
  <c r="P101" i="15" s="1"/>
  <c r="P49" i="15"/>
  <c r="P53" i="15" s="1"/>
  <c r="P61" i="15"/>
  <c r="P65" i="15" s="1"/>
  <c r="P121" i="15"/>
  <c r="P125" i="15" s="1"/>
  <c r="P73" i="15"/>
  <c r="P77" i="15" s="1"/>
  <c r="P37" i="15"/>
  <c r="P41" i="15" s="1"/>
  <c r="P25" i="15"/>
  <c r="P29" i="15" s="1"/>
  <c r="P13" i="15"/>
  <c r="P17" i="15" s="1"/>
  <c r="P85" i="15"/>
  <c r="P89" i="15" s="1"/>
  <c r="P109" i="15"/>
  <c r="P113" i="15" s="1"/>
  <c r="H28" i="11"/>
  <c r="H56" i="11"/>
  <c r="H14" i="11"/>
  <c r="H21" i="11" s="1"/>
  <c r="D44" i="11"/>
  <c r="D45" i="11" s="1"/>
  <c r="D8" i="11"/>
  <c r="H65" i="14"/>
  <c r="G27" i="11"/>
  <c r="G13" i="11"/>
  <c r="G55" i="11"/>
  <c r="H53" i="14"/>
  <c r="F34" i="11"/>
  <c r="F24" i="11"/>
  <c r="P61" i="14"/>
  <c r="P65" i="14" s="1"/>
  <c r="P25" i="14"/>
  <c r="P29" i="14" s="1"/>
  <c r="P73" i="14"/>
  <c r="P77" i="14" s="1"/>
  <c r="P85" i="14"/>
  <c r="P89" i="14" s="1"/>
  <c r="P49" i="14"/>
  <c r="P53" i="14" s="1"/>
  <c r="P13" i="14"/>
  <c r="P17" i="14" s="1"/>
  <c r="P37" i="14"/>
  <c r="P41" i="14" s="1"/>
  <c r="E75" i="18"/>
  <c r="F149" i="14"/>
  <c r="M7" i="11"/>
  <c r="O32" i="16"/>
  <c r="O39" i="16"/>
  <c r="O30" i="16"/>
  <c r="O35" i="16"/>
  <c r="O38" i="16"/>
  <c r="O31" i="16"/>
  <c r="O33" i="16"/>
  <c r="O36" i="16"/>
  <c r="O34" i="16"/>
  <c r="O37" i="16"/>
  <c r="K9" i="11"/>
  <c r="K45" i="11"/>
  <c r="L20" i="11"/>
  <c r="H15" i="11"/>
  <c r="H22" i="11" s="1"/>
  <c r="H36" i="11" s="1"/>
  <c r="H29" i="11"/>
  <c r="H57" i="11"/>
  <c r="E56" i="11"/>
  <c r="E28" i="11"/>
  <c r="E14" i="11"/>
  <c r="E10" i="11"/>
  <c r="C9" i="11"/>
  <c r="C45" i="11"/>
  <c r="D7" i="11"/>
  <c r="L9" i="11"/>
  <c r="L45" i="11"/>
  <c r="G7" i="11"/>
  <c r="F17" i="11"/>
  <c r="J7" i="11"/>
  <c r="M43" i="11"/>
  <c r="K56" i="11"/>
  <c r="K14" i="11"/>
  <c r="K21" i="11" s="1"/>
  <c r="K35" i="11" s="1"/>
  <c r="K28" i="11"/>
  <c r="K20" i="11"/>
  <c r="L35" i="11"/>
  <c r="M55" i="11"/>
  <c r="M13" i="11"/>
  <c r="M27" i="11"/>
  <c r="H9" i="11"/>
  <c r="F35" i="11"/>
  <c r="K10" i="11"/>
  <c r="H20" i="11"/>
  <c r="D27" i="11"/>
  <c r="D13" i="11"/>
  <c r="D55" i="11"/>
  <c r="L29" i="11"/>
  <c r="L57" i="11"/>
  <c r="L15" i="11"/>
  <c r="L22" i="11" s="1"/>
  <c r="L36" i="11" s="1"/>
  <c r="H149" i="14"/>
  <c r="L31" i="11" l="1"/>
  <c r="E21" i="11"/>
  <c r="L34" i="11"/>
  <c r="F38" i="11"/>
  <c r="F60" i="11" s="1"/>
  <c r="C35" i="11"/>
  <c r="P125" i="13"/>
  <c r="F121" i="13"/>
  <c r="F125" i="13" s="1"/>
  <c r="H34" i="11"/>
  <c r="M44" i="11"/>
  <c r="M8" i="11"/>
  <c r="P41" i="13"/>
  <c r="F37" i="13"/>
  <c r="F41" i="13" s="1"/>
  <c r="AA21" i="10" s="1"/>
  <c r="E36" i="11"/>
  <c r="C17" i="11"/>
  <c r="D56" i="11"/>
  <c r="D14" i="11"/>
  <c r="D21" i="11" s="1"/>
  <c r="D35" i="11" s="1"/>
  <c r="D28" i="11"/>
  <c r="E31" i="11"/>
  <c r="M20" i="11"/>
  <c r="C30" i="11"/>
  <c r="C31" i="11" s="1"/>
  <c r="C16" i="11"/>
  <c r="C23" i="11" s="1"/>
  <c r="C37" i="11" s="1"/>
  <c r="C58" i="11"/>
  <c r="C59" i="11" s="1"/>
  <c r="C10" i="11"/>
  <c r="L58" i="11"/>
  <c r="L59" i="11" s="1"/>
  <c r="L16" i="11"/>
  <c r="L23" i="11" s="1"/>
  <c r="L24" i="11" s="1"/>
  <c r="L30" i="11"/>
  <c r="L10" i="11"/>
  <c r="L17" i="11"/>
  <c r="F73" i="14"/>
  <c r="F77" i="14" s="1"/>
  <c r="F37" i="14"/>
  <c r="F41" i="14" s="1"/>
  <c r="F85" i="14"/>
  <c r="F89" i="14" s="1"/>
  <c r="F13" i="14"/>
  <c r="F17" i="14" s="1"/>
  <c r="F25" i="14"/>
  <c r="F29" i="14" s="1"/>
  <c r="F61" i="14"/>
  <c r="F65" i="14" s="1"/>
  <c r="F49" i="14"/>
  <c r="F53" i="14" s="1"/>
  <c r="S31" i="4"/>
  <c r="I81" i="2" s="1"/>
  <c r="M31" i="4"/>
  <c r="D57" i="11"/>
  <c r="D15" i="11"/>
  <c r="D22" i="11" s="1"/>
  <c r="D29" i="11"/>
  <c r="P53" i="13"/>
  <c r="F49" i="13"/>
  <c r="F53" i="13" s="1"/>
  <c r="I8" i="11"/>
  <c r="I44" i="11"/>
  <c r="J20" i="11"/>
  <c r="C34" i="11"/>
  <c r="C24" i="11"/>
  <c r="E73" i="18"/>
  <c r="P29" i="13"/>
  <c r="F25" i="13"/>
  <c r="F29" i="13" s="1"/>
  <c r="B20" i="11"/>
  <c r="B28" i="11"/>
  <c r="B14" i="11"/>
  <c r="B21" i="11" s="1"/>
  <c r="B56" i="11"/>
  <c r="D9" i="11"/>
  <c r="E58" i="11"/>
  <c r="E30" i="11"/>
  <c r="E16" i="11"/>
  <c r="E23" i="11" s="1"/>
  <c r="E37" i="11" s="1"/>
  <c r="P137" i="13"/>
  <c r="F133" i="13"/>
  <c r="F137" i="13" s="1"/>
  <c r="AA61" i="10" s="1"/>
  <c r="P77" i="13"/>
  <c r="F73" i="13"/>
  <c r="F77" i="13" s="1"/>
  <c r="B8" i="11"/>
  <c r="B44" i="11"/>
  <c r="B45" i="11"/>
  <c r="D20" i="11"/>
  <c r="H30" i="11"/>
  <c r="H31" i="11" s="1"/>
  <c r="H58" i="11"/>
  <c r="H59" i="11" s="1"/>
  <c r="H16" i="11"/>
  <c r="H10" i="11"/>
  <c r="K17" i="11"/>
  <c r="E59" i="11"/>
  <c r="K30" i="11"/>
  <c r="K31" i="11" s="1"/>
  <c r="K58" i="11"/>
  <c r="K59" i="11" s="1"/>
  <c r="K16" i="11"/>
  <c r="K23" i="11" s="1"/>
  <c r="K37" i="11" s="1"/>
  <c r="M45" i="11"/>
  <c r="F109" i="15"/>
  <c r="F113" i="15" s="1"/>
  <c r="F121" i="15"/>
  <c r="F125" i="15" s="1"/>
  <c r="F85" i="15"/>
  <c r="F89" i="15" s="1"/>
  <c r="F61" i="15"/>
  <c r="F65" i="15" s="1"/>
  <c r="F13" i="15"/>
  <c r="F17" i="15" s="1"/>
  <c r="F133" i="15"/>
  <c r="F137" i="15" s="1"/>
  <c r="F145" i="15"/>
  <c r="F149" i="15" s="1"/>
  <c r="F97" i="15"/>
  <c r="F101" i="15" s="1"/>
  <c r="F49" i="15"/>
  <c r="F53" i="15" s="1"/>
  <c r="F37" i="15"/>
  <c r="F41" i="15" s="1"/>
  <c r="F25" i="15"/>
  <c r="F29" i="15" s="1"/>
  <c r="F73" i="15"/>
  <c r="F77" i="15" s="1"/>
  <c r="P89" i="13"/>
  <c r="F85" i="13"/>
  <c r="F89" i="13" s="1"/>
  <c r="P113" i="13"/>
  <c r="F109" i="13"/>
  <c r="F113" i="13" s="1"/>
  <c r="C36" i="11"/>
  <c r="G15" i="11"/>
  <c r="G22" i="11" s="1"/>
  <c r="G57" i="11"/>
  <c r="G29" i="11"/>
  <c r="I45" i="11"/>
  <c r="M56" i="11"/>
  <c r="M28" i="11"/>
  <c r="M14" i="11"/>
  <c r="M21" i="11" s="1"/>
  <c r="P65" i="13"/>
  <c r="F61" i="13"/>
  <c r="F65" i="13" s="1"/>
  <c r="P101" i="13"/>
  <c r="F97" i="13"/>
  <c r="F101" i="13" s="1"/>
  <c r="AA46" i="10" s="1"/>
  <c r="J8" i="11"/>
  <c r="J44" i="11"/>
  <c r="I20" i="11"/>
  <c r="K36" i="11"/>
  <c r="G9" i="11"/>
  <c r="I28" i="11"/>
  <c r="I14" i="11"/>
  <c r="I21" i="11" s="1"/>
  <c r="I35" i="11" s="1"/>
  <c r="I56" i="11"/>
  <c r="K34" i="11"/>
  <c r="J56" i="11"/>
  <c r="J28" i="11"/>
  <c r="J14" i="11"/>
  <c r="J21" i="11" s="1"/>
  <c r="J35" i="11" s="1"/>
  <c r="G28" i="11"/>
  <c r="G14" i="11"/>
  <c r="G21" i="11" s="1"/>
  <c r="G35" i="11" s="1"/>
  <c r="G56" i="11"/>
  <c r="G20" i="11"/>
  <c r="H35" i="11"/>
  <c r="P17" i="13"/>
  <c r="F13" i="13"/>
  <c r="F17" i="13" s="1"/>
  <c r="AA11" i="10" s="1"/>
  <c r="P149" i="13"/>
  <c r="F145" i="13"/>
  <c r="F149" i="13" s="1"/>
  <c r="AA66" i="10" s="1"/>
  <c r="S61" i="4" l="1"/>
  <c r="I79" i="2" s="1"/>
  <c r="M61" i="4"/>
  <c r="M61" i="8"/>
  <c r="S61" i="8"/>
  <c r="M16" i="8"/>
  <c r="S16" i="8"/>
  <c r="G31" i="11"/>
  <c r="S41" i="8"/>
  <c r="M41" i="8"/>
  <c r="S41" i="6"/>
  <c r="M41" i="6"/>
  <c r="M56" i="8"/>
  <c r="AA56" i="8"/>
  <c r="S56" i="8"/>
  <c r="G58" i="11"/>
  <c r="G59" i="11" s="1"/>
  <c r="G16" i="11"/>
  <c r="G30" i="11"/>
  <c r="G34" i="11"/>
  <c r="I34" i="11"/>
  <c r="F13" i="20"/>
  <c r="F12" i="20"/>
  <c r="I57" i="11"/>
  <c r="I29" i="11"/>
  <c r="I15" i="11"/>
  <c r="I22" i="11" s="1"/>
  <c r="I36" i="11" s="1"/>
  <c r="AA61" i="8"/>
  <c r="AA61" i="6"/>
  <c r="AA61" i="4"/>
  <c r="B34" i="11"/>
  <c r="C38" i="11"/>
  <c r="C60" i="11" s="1"/>
  <c r="M9" i="11"/>
  <c r="M10" i="11" s="1"/>
  <c r="G10" i="11"/>
  <c r="J9" i="11"/>
  <c r="J45" i="11"/>
  <c r="J57" i="11"/>
  <c r="J29" i="11"/>
  <c r="J15" i="11"/>
  <c r="J22" i="11" s="1"/>
  <c r="J36" i="11" s="1"/>
  <c r="D17" i="11"/>
  <c r="AA36" i="10"/>
  <c r="AA26" i="10"/>
  <c r="M35" i="11"/>
  <c r="G36" i="11"/>
  <c r="M56" i="6"/>
  <c r="AA56" i="6"/>
  <c r="S56" i="6"/>
  <c r="D34" i="11"/>
  <c r="D16" i="11"/>
  <c r="D23" i="11" s="1"/>
  <c r="D30" i="11"/>
  <c r="D31" i="11" s="1"/>
  <c r="D58" i="11"/>
  <c r="D59" i="11" s="1"/>
  <c r="D10" i="11"/>
  <c r="S16" i="4"/>
  <c r="I83" i="2" s="1"/>
  <c r="M16" i="4"/>
  <c r="S16" i="6"/>
  <c r="M16" i="6"/>
  <c r="F50" i="11"/>
  <c r="U29" i="10"/>
  <c r="X30" i="10"/>
  <c r="X28" i="10"/>
  <c r="W30" i="10"/>
  <c r="W28" i="10"/>
  <c r="X27" i="10"/>
  <c r="W27" i="10"/>
  <c r="F49" i="11"/>
  <c r="F48" i="11"/>
  <c r="F52" i="11" s="1"/>
  <c r="F47" i="11"/>
  <c r="F51" i="11"/>
  <c r="M34" i="11"/>
  <c r="J10" i="11"/>
  <c r="M61" i="6"/>
  <c r="S61" i="6"/>
  <c r="S26" i="8"/>
  <c r="M26" i="8"/>
  <c r="AA51" i="10"/>
  <c r="L37" i="11"/>
  <c r="L38" i="11" s="1"/>
  <c r="L60" i="11" s="1"/>
  <c r="K24" i="11"/>
  <c r="AA31" i="10"/>
  <c r="B9" i="11"/>
  <c r="AA16" i="10"/>
  <c r="J34" i="11"/>
  <c r="S26" i="6"/>
  <c r="M26" i="6"/>
  <c r="M57" i="11"/>
  <c r="M29" i="11"/>
  <c r="M15" i="11"/>
  <c r="M22" i="11" s="1"/>
  <c r="M36" i="11" s="1"/>
  <c r="E17" i="11"/>
  <c r="K38" i="11"/>
  <c r="K60" i="11" s="1"/>
  <c r="AA41" i="10"/>
  <c r="H23" i="11"/>
  <c r="H17" i="11"/>
  <c r="B57" i="11"/>
  <c r="B29" i="11"/>
  <c r="B15" i="11"/>
  <c r="B10" i="11"/>
  <c r="B35" i="11"/>
  <c r="I9" i="11"/>
  <c r="D36" i="11"/>
  <c r="E35" i="11"/>
  <c r="E38" i="11" s="1"/>
  <c r="E60" i="11" s="1"/>
  <c r="E24" i="11"/>
  <c r="M21" i="8" l="1"/>
  <c r="S21" i="8"/>
  <c r="AA21" i="8"/>
  <c r="M36" i="8"/>
  <c r="S36" i="8"/>
  <c r="L47" i="11"/>
  <c r="W60" i="10"/>
  <c r="W58" i="10"/>
  <c r="U59" i="10"/>
  <c r="X58" i="10"/>
  <c r="X57" i="10"/>
  <c r="W57" i="10"/>
  <c r="X60" i="10"/>
  <c r="L48" i="11"/>
  <c r="L49" i="11"/>
  <c r="L50" i="11"/>
  <c r="L51" i="11"/>
  <c r="F45" i="12"/>
  <c r="F38" i="12"/>
  <c r="M36" i="6"/>
  <c r="S36" i="6"/>
  <c r="M26" i="4"/>
  <c r="S26" i="4"/>
  <c r="I74" i="2" s="1"/>
  <c r="X52" i="10"/>
  <c r="U54" i="10"/>
  <c r="X53" i="10"/>
  <c r="X55" i="10"/>
  <c r="W53" i="10"/>
  <c r="W52" i="10"/>
  <c r="W55" i="10"/>
  <c r="K48" i="11"/>
  <c r="K52" i="11" s="1"/>
  <c r="K47" i="11"/>
  <c r="K49" i="11"/>
  <c r="K50" i="11"/>
  <c r="K51" i="11"/>
  <c r="M56" i="4"/>
  <c r="S56" i="4"/>
  <c r="I75" i="2" s="1"/>
  <c r="AA56" i="4"/>
  <c r="B31" i="11"/>
  <c r="AA51" i="8"/>
  <c r="G23" i="11"/>
  <c r="G17" i="11"/>
  <c r="X27" i="8"/>
  <c r="X27" i="4"/>
  <c r="X27" i="6"/>
  <c r="X31" i="10"/>
  <c r="AA31" i="8"/>
  <c r="AA31" i="6"/>
  <c r="AA31" i="4"/>
  <c r="X30" i="8"/>
  <c r="X30" i="6"/>
  <c r="X30" i="4"/>
  <c r="U29" i="8"/>
  <c r="U29" i="6"/>
  <c r="T29" i="10"/>
  <c r="U29" i="4"/>
  <c r="M58" i="11"/>
  <c r="M59" i="11" s="1"/>
  <c r="M30" i="11"/>
  <c r="M31" i="11" s="1"/>
  <c r="M16" i="11"/>
  <c r="M23" i="11" s="1"/>
  <c r="M37" i="11" s="1"/>
  <c r="M38" i="11" s="1"/>
  <c r="M60" i="11" s="1"/>
  <c r="X22" i="10"/>
  <c r="E48" i="11"/>
  <c r="W25" i="10"/>
  <c r="X23" i="10"/>
  <c r="W23" i="10"/>
  <c r="W22" i="10"/>
  <c r="U24" i="10"/>
  <c r="X25" i="10"/>
  <c r="E47" i="11"/>
  <c r="E49" i="11"/>
  <c r="E50" i="11"/>
  <c r="E51" i="11"/>
  <c r="S21" i="6"/>
  <c r="M21" i="6"/>
  <c r="B59" i="11"/>
  <c r="W27" i="8"/>
  <c r="W27" i="6"/>
  <c r="W27" i="4"/>
  <c r="W31" i="10"/>
  <c r="D37" i="11"/>
  <c r="D38" i="11" s="1"/>
  <c r="D60" i="11" s="1"/>
  <c r="I58" i="11"/>
  <c r="I59" i="11" s="1"/>
  <c r="I16" i="11"/>
  <c r="I30" i="11"/>
  <c r="AA16" i="6"/>
  <c r="AA16" i="4"/>
  <c r="AA16" i="8"/>
  <c r="AA21" i="6"/>
  <c r="I10" i="11"/>
  <c r="H37" i="11"/>
  <c r="H38" i="11" s="1"/>
  <c r="H60" i="11" s="1"/>
  <c r="H24" i="11"/>
  <c r="B58" i="11"/>
  <c r="B16" i="11"/>
  <c r="B23" i="11" s="1"/>
  <c r="B30" i="11"/>
  <c r="W28" i="8"/>
  <c r="W28" i="6"/>
  <c r="W28" i="4"/>
  <c r="D24" i="11"/>
  <c r="AA41" i="8"/>
  <c r="AA41" i="6"/>
  <c r="W30" i="8"/>
  <c r="W30" i="6"/>
  <c r="W30" i="4"/>
  <c r="AA26" i="8"/>
  <c r="AA26" i="6"/>
  <c r="AA26" i="4"/>
  <c r="C47" i="11"/>
  <c r="X12" i="10"/>
  <c r="X15" i="10"/>
  <c r="X13" i="10"/>
  <c r="W12" i="10"/>
  <c r="W15" i="10"/>
  <c r="W13" i="10"/>
  <c r="U14" i="10"/>
  <c r="C48" i="11"/>
  <c r="C50" i="11"/>
  <c r="C49" i="11"/>
  <c r="C51" i="11"/>
  <c r="I31" i="11"/>
  <c r="X28" i="8"/>
  <c r="X28" i="6"/>
  <c r="X28" i="4"/>
  <c r="AA36" i="6"/>
  <c r="AA36" i="8"/>
  <c r="J30" i="11"/>
  <c r="J31" i="11" s="1"/>
  <c r="J16" i="11"/>
  <c r="J58" i="11"/>
  <c r="J59" i="11" s="1"/>
  <c r="B22" i="11"/>
  <c r="U19" i="10" l="1"/>
  <c r="X18" i="10"/>
  <c r="X20" i="10"/>
  <c r="W20" i="10"/>
  <c r="W18" i="10"/>
  <c r="X17" i="10"/>
  <c r="W17" i="10"/>
  <c r="D47" i="11"/>
  <c r="D48" i="11"/>
  <c r="D52" i="11" s="1"/>
  <c r="D49" i="11"/>
  <c r="D50" i="11"/>
  <c r="D51" i="11"/>
  <c r="X62" i="10"/>
  <c r="W62" i="10"/>
  <c r="X63" i="10"/>
  <c r="X65" i="10"/>
  <c r="W65" i="10"/>
  <c r="U64" i="10"/>
  <c r="W63" i="10"/>
  <c r="M47" i="11"/>
  <c r="M48" i="11"/>
  <c r="M49" i="11"/>
  <c r="M50" i="11"/>
  <c r="M51" i="11"/>
  <c r="S51" i="6"/>
  <c r="M51" i="6"/>
  <c r="M46" i="6"/>
  <c r="S46" i="6"/>
  <c r="AA46" i="6"/>
  <c r="M41" i="4"/>
  <c r="S41" i="4"/>
  <c r="I82" i="2" s="1"/>
  <c r="X52" i="6"/>
  <c r="X52" i="4"/>
  <c r="X56" i="10"/>
  <c r="X52" i="8"/>
  <c r="X13" i="8"/>
  <c r="X13" i="4"/>
  <c r="X13" i="6"/>
  <c r="U39" i="10"/>
  <c r="X40" i="10"/>
  <c r="X38" i="10"/>
  <c r="W40" i="10"/>
  <c r="W38" i="10"/>
  <c r="X37" i="10"/>
  <c r="W37" i="10"/>
  <c r="H48" i="11"/>
  <c r="H47" i="11"/>
  <c r="H50" i="11"/>
  <c r="H49" i="11"/>
  <c r="H51" i="11"/>
  <c r="I23" i="11"/>
  <c r="I17" i="11"/>
  <c r="M11" i="8"/>
  <c r="S11" i="8"/>
  <c r="AA11" i="8"/>
  <c r="W60" i="8"/>
  <c r="W60" i="4"/>
  <c r="W60" i="6"/>
  <c r="W55" i="8"/>
  <c r="W55" i="4"/>
  <c r="W55" i="6"/>
  <c r="L52" i="11"/>
  <c r="L45" i="12"/>
  <c r="L38" i="12"/>
  <c r="X12" i="6"/>
  <c r="X12" i="4"/>
  <c r="X16" i="10"/>
  <c r="X12" i="8"/>
  <c r="W22" i="8"/>
  <c r="W26" i="10"/>
  <c r="W22" i="4"/>
  <c r="W22" i="6"/>
  <c r="S66" i="6"/>
  <c r="M66" i="6"/>
  <c r="AA66" i="6"/>
  <c r="W52" i="6"/>
  <c r="W52" i="8"/>
  <c r="W52" i="4"/>
  <c r="W56" i="10"/>
  <c r="X60" i="8"/>
  <c r="X60" i="4"/>
  <c r="X60" i="6"/>
  <c r="B17" i="11"/>
  <c r="C52" i="11"/>
  <c r="C45" i="12"/>
  <c r="C38" i="12"/>
  <c r="M24" i="11"/>
  <c r="W31" i="8"/>
  <c r="W31" i="6"/>
  <c r="W31" i="4"/>
  <c r="K81" i="2" s="1"/>
  <c r="W23" i="8"/>
  <c r="W23" i="6"/>
  <c r="W23" i="4"/>
  <c r="M66" i="8"/>
  <c r="S66" i="8"/>
  <c r="AA66" i="8"/>
  <c r="W53" i="6"/>
  <c r="W53" i="8"/>
  <c r="W53" i="4"/>
  <c r="W57" i="8"/>
  <c r="W57" i="4"/>
  <c r="W57" i="6"/>
  <c r="W61" i="10"/>
  <c r="W12" i="8"/>
  <c r="W12" i="4"/>
  <c r="W16" i="10"/>
  <c r="W12" i="6"/>
  <c r="S21" i="4"/>
  <c r="M21" i="4"/>
  <c r="AA21" i="4"/>
  <c r="E45" i="12"/>
  <c r="E38" i="12"/>
  <c r="X22" i="6"/>
  <c r="X22" i="4"/>
  <c r="X22" i="8"/>
  <c r="X26" i="10"/>
  <c r="X31" i="8"/>
  <c r="X31" i="4"/>
  <c r="L81" i="2" s="1"/>
  <c r="X31" i="6"/>
  <c r="K45" i="12"/>
  <c r="K38" i="12"/>
  <c r="W58" i="8"/>
  <c r="W58" i="4"/>
  <c r="W58" i="6"/>
  <c r="X25" i="6"/>
  <c r="X25" i="8"/>
  <c r="X25" i="4"/>
  <c r="M11" i="6"/>
  <c r="S11" i="6"/>
  <c r="AA11" i="6"/>
  <c r="X15" i="8"/>
  <c r="X15" i="6"/>
  <c r="X15" i="4"/>
  <c r="S46" i="8"/>
  <c r="M46" i="8"/>
  <c r="AA46" i="8"/>
  <c r="U24" i="8"/>
  <c r="U24" i="4"/>
  <c r="U24" i="6"/>
  <c r="T24" i="10"/>
  <c r="B36" i="11"/>
  <c r="B24" i="11"/>
  <c r="U14" i="6"/>
  <c r="U14" i="4"/>
  <c r="U14" i="8"/>
  <c r="T14" i="10"/>
  <c r="AA41" i="4"/>
  <c r="X23" i="8"/>
  <c r="X23" i="4"/>
  <c r="X23" i="6"/>
  <c r="G37" i="11"/>
  <c r="G38" i="11" s="1"/>
  <c r="G60" i="11" s="1"/>
  <c r="G24" i="11"/>
  <c r="X55" i="8"/>
  <c r="X55" i="6"/>
  <c r="X55" i="4"/>
  <c r="O28" i="10"/>
  <c r="N27" i="10"/>
  <c r="R30" i="10"/>
  <c r="O27" i="10"/>
  <c r="P27" i="10"/>
  <c r="L28" i="10"/>
  <c r="O11" i="9"/>
  <c r="L27" i="10"/>
  <c r="P28" i="10"/>
  <c r="Q11" i="9"/>
  <c r="I27" i="10"/>
  <c r="O30" i="10"/>
  <c r="P11" i="9"/>
  <c r="L30" i="10"/>
  <c r="J27" i="10"/>
  <c r="R28" i="10"/>
  <c r="N11" i="9"/>
  <c r="R27" i="10"/>
  <c r="L11" i="9"/>
  <c r="P30" i="10"/>
  <c r="N28" i="10"/>
  <c r="N30" i="10"/>
  <c r="Q28" i="10"/>
  <c r="I28" i="10"/>
  <c r="Q30" i="10"/>
  <c r="I30" i="10"/>
  <c r="Q27" i="10"/>
  <c r="X57" i="8"/>
  <c r="X57" i="4"/>
  <c r="X57" i="6"/>
  <c r="X61" i="10"/>
  <c r="S51" i="8"/>
  <c r="M51" i="8"/>
  <c r="W13" i="8"/>
  <c r="W13" i="4"/>
  <c r="W13" i="6"/>
  <c r="B37" i="11"/>
  <c r="W25" i="6"/>
  <c r="W25" i="8"/>
  <c r="W25" i="4"/>
  <c r="T29" i="8"/>
  <c r="G29" i="10"/>
  <c r="T29" i="4"/>
  <c r="T29" i="6"/>
  <c r="X53" i="8"/>
  <c r="X53" i="6"/>
  <c r="X53" i="4"/>
  <c r="F47" i="12"/>
  <c r="F48" i="12" s="1"/>
  <c r="U30" i="10"/>
  <c r="X58" i="8"/>
  <c r="X58" i="6"/>
  <c r="X58" i="4"/>
  <c r="J23" i="11"/>
  <c r="J17" i="11"/>
  <c r="M17" i="11"/>
  <c r="W15" i="8"/>
  <c r="W15" i="6"/>
  <c r="W15" i="4"/>
  <c r="E52" i="11"/>
  <c r="AA51" i="6"/>
  <c r="U54" i="8"/>
  <c r="U54" i="4"/>
  <c r="T54" i="10"/>
  <c r="U54" i="6"/>
  <c r="U59" i="6"/>
  <c r="U59" i="8"/>
  <c r="T59" i="10"/>
  <c r="U59" i="4"/>
  <c r="M11" i="9" l="1"/>
  <c r="H30" i="10"/>
  <c r="H28" i="10"/>
  <c r="R11" i="9"/>
  <c r="H27" i="10"/>
  <c r="J30" i="10"/>
  <c r="O27" i="8"/>
  <c r="O31" i="10"/>
  <c r="O27" i="4"/>
  <c r="O27" i="6"/>
  <c r="K47" i="12"/>
  <c r="K48" i="12"/>
  <c r="U55" i="10"/>
  <c r="V55" i="10"/>
  <c r="L60" i="10"/>
  <c r="N57" i="10"/>
  <c r="J57" i="10"/>
  <c r="R60" i="10"/>
  <c r="L58" i="10"/>
  <c r="L57" i="10"/>
  <c r="P60" i="10"/>
  <c r="P58" i="10"/>
  <c r="N58" i="10"/>
  <c r="R57" i="10"/>
  <c r="N60" i="10"/>
  <c r="Q17" i="9"/>
  <c r="O60" i="10"/>
  <c r="I57" i="10"/>
  <c r="P57" i="10"/>
  <c r="R58" i="10"/>
  <c r="O17" i="9"/>
  <c r="L17" i="9"/>
  <c r="O58" i="10"/>
  <c r="N17" i="9"/>
  <c r="O57" i="10"/>
  <c r="P17" i="9"/>
  <c r="I60" i="10"/>
  <c r="Q58" i="10"/>
  <c r="I58" i="10"/>
  <c r="Q60" i="10"/>
  <c r="Q57" i="10"/>
  <c r="X40" i="6"/>
  <c r="X40" i="8"/>
  <c r="X40" i="4"/>
  <c r="X65" i="8"/>
  <c r="X65" i="4"/>
  <c r="X65" i="6"/>
  <c r="D45" i="12"/>
  <c r="D38" i="12"/>
  <c r="J37" i="11"/>
  <c r="J38" i="11" s="1"/>
  <c r="J60" i="11" s="1"/>
  <c r="J24" i="11"/>
  <c r="L11" i="7"/>
  <c r="L11" i="5"/>
  <c r="L11" i="3"/>
  <c r="R27" i="6"/>
  <c r="R27" i="8"/>
  <c r="R27" i="4"/>
  <c r="R31" i="10"/>
  <c r="S66" i="4"/>
  <c r="I77" i="2" s="1"/>
  <c r="M66" i="4"/>
  <c r="AA66" i="4"/>
  <c r="W17" i="6"/>
  <c r="W17" i="8"/>
  <c r="W21" i="10"/>
  <c r="W17" i="4"/>
  <c r="S36" i="4"/>
  <c r="I78" i="2" s="1"/>
  <c r="M36" i="4"/>
  <c r="AA36" i="4"/>
  <c r="P10" i="9"/>
  <c r="Q10" i="9"/>
  <c r="N10" i="9"/>
  <c r="O10" i="9"/>
  <c r="L10" i="9"/>
  <c r="O23" i="10"/>
  <c r="N25" i="10"/>
  <c r="R23" i="10"/>
  <c r="N23" i="10"/>
  <c r="R22" i="10"/>
  <c r="P25" i="10"/>
  <c r="N22" i="10"/>
  <c r="P22" i="10"/>
  <c r="L22" i="10"/>
  <c r="R25" i="10"/>
  <c r="L23" i="10"/>
  <c r="I22" i="10"/>
  <c r="L25" i="10"/>
  <c r="P23" i="10"/>
  <c r="O22" i="10"/>
  <c r="O25" i="10"/>
  <c r="J22" i="10"/>
  <c r="I25" i="10"/>
  <c r="Q23" i="10"/>
  <c r="I23" i="10"/>
  <c r="Q25" i="10"/>
  <c r="Q22" i="10"/>
  <c r="T59" i="8"/>
  <c r="T59" i="6"/>
  <c r="G59" i="10"/>
  <c r="T59" i="4"/>
  <c r="X63" i="8"/>
  <c r="X63" i="6"/>
  <c r="X63" i="4"/>
  <c r="Q11" i="7"/>
  <c r="Q11" i="5"/>
  <c r="Q11" i="3"/>
  <c r="M11" i="4"/>
  <c r="S11" i="4"/>
  <c r="I76" i="2" s="1"/>
  <c r="AA11" i="4"/>
  <c r="P13" i="10"/>
  <c r="L13" i="10"/>
  <c r="O15" i="10"/>
  <c r="Q8" i="9"/>
  <c r="R15" i="10"/>
  <c r="L15" i="10"/>
  <c r="I12" i="10"/>
  <c r="J12" i="10"/>
  <c r="R12" i="10"/>
  <c r="O12" i="10"/>
  <c r="R13" i="10"/>
  <c r="O8" i="9"/>
  <c r="L12" i="10"/>
  <c r="L8" i="9"/>
  <c r="N8" i="9"/>
  <c r="N12" i="10"/>
  <c r="P12" i="10"/>
  <c r="N13" i="10"/>
  <c r="N15" i="10"/>
  <c r="P15" i="10"/>
  <c r="O13" i="10"/>
  <c r="P8" i="9"/>
  <c r="I13" i="10"/>
  <c r="I15" i="10"/>
  <c r="Q13" i="10"/>
  <c r="Q15" i="10"/>
  <c r="Q12" i="10"/>
  <c r="W26" i="8"/>
  <c r="W26" i="4"/>
  <c r="K74" i="2" s="1"/>
  <c r="W26" i="6"/>
  <c r="H52" i="11"/>
  <c r="X17" i="6"/>
  <c r="X17" i="4"/>
  <c r="X17" i="8"/>
  <c r="X21" i="10"/>
  <c r="N30" i="8"/>
  <c r="N30" i="6"/>
  <c r="N30" i="4"/>
  <c r="R28" i="8"/>
  <c r="R28" i="4"/>
  <c r="R28" i="6"/>
  <c r="R30" i="6"/>
  <c r="R30" i="8"/>
  <c r="R30" i="4"/>
  <c r="W62" i="8"/>
  <c r="W62" i="6"/>
  <c r="W62" i="4"/>
  <c r="W66" i="10"/>
  <c r="U30" i="4"/>
  <c r="U30" i="6"/>
  <c r="U30" i="8"/>
  <c r="N28" i="8"/>
  <c r="N28" i="6"/>
  <c r="N28" i="4"/>
  <c r="J27" i="6"/>
  <c r="J27" i="4"/>
  <c r="J27" i="8"/>
  <c r="J31" i="10"/>
  <c r="N27" i="8"/>
  <c r="N31" i="10"/>
  <c r="N27" i="4"/>
  <c r="N27" i="6"/>
  <c r="X61" i="8"/>
  <c r="X61" i="6"/>
  <c r="X61" i="4"/>
  <c r="L79" i="2" s="1"/>
  <c r="L48" i="12"/>
  <c r="H60" i="10" s="1"/>
  <c r="L47" i="12"/>
  <c r="U60" i="10"/>
  <c r="P28" i="8"/>
  <c r="P28" i="6"/>
  <c r="P28" i="4"/>
  <c r="B38" i="11"/>
  <c r="B60" i="11" s="1"/>
  <c r="X62" i="6"/>
  <c r="X62" i="4"/>
  <c r="X66" i="10"/>
  <c r="X62" i="8"/>
  <c r="V30" i="10"/>
  <c r="L30" i="6"/>
  <c r="L30" i="4"/>
  <c r="L30" i="8"/>
  <c r="P27" i="6"/>
  <c r="P27" i="4"/>
  <c r="P27" i="8"/>
  <c r="P31" i="10"/>
  <c r="Q16" i="9"/>
  <c r="N52" i="10"/>
  <c r="P55" i="10"/>
  <c r="O55" i="10"/>
  <c r="O53" i="10"/>
  <c r="L55" i="10"/>
  <c r="R52" i="10"/>
  <c r="P52" i="10"/>
  <c r="N53" i="10"/>
  <c r="H53" i="10"/>
  <c r="H55" i="10"/>
  <c r="J52" i="10"/>
  <c r="J55" i="10"/>
  <c r="O52" i="10"/>
  <c r="P53" i="10"/>
  <c r="R53" i="10"/>
  <c r="R55" i="10"/>
  <c r="M16" i="9"/>
  <c r="L52" i="10"/>
  <c r="O16" i="9"/>
  <c r="I52" i="10"/>
  <c r="H52" i="10"/>
  <c r="Q53" i="10"/>
  <c r="R16" i="9"/>
  <c r="N55" i="10"/>
  <c r="L16" i="9"/>
  <c r="I53" i="10"/>
  <c r="N16" i="9"/>
  <c r="L53" i="10"/>
  <c r="P16" i="9"/>
  <c r="I55" i="10"/>
  <c r="Q55" i="10"/>
  <c r="Q52" i="10"/>
  <c r="Q28" i="8"/>
  <c r="Q28" i="6"/>
  <c r="Q28" i="4"/>
  <c r="C47" i="12"/>
  <c r="C48" i="12" s="1"/>
  <c r="U15" i="10"/>
  <c r="V15" i="10" s="1"/>
  <c r="I28" i="8"/>
  <c r="I28" i="6"/>
  <c r="I28" i="4"/>
  <c r="N11" i="7"/>
  <c r="N11" i="5"/>
  <c r="N11" i="3"/>
  <c r="I27" i="8"/>
  <c r="I27" i="4"/>
  <c r="I27" i="6"/>
  <c r="I31" i="10"/>
  <c r="X32" i="10"/>
  <c r="W33" i="10"/>
  <c r="W32" i="10"/>
  <c r="U34" i="10"/>
  <c r="W35" i="10"/>
  <c r="X35" i="10"/>
  <c r="X33" i="10"/>
  <c r="G47" i="11"/>
  <c r="G48" i="11"/>
  <c r="G52" i="11" s="1"/>
  <c r="G50" i="11"/>
  <c r="G49" i="11"/>
  <c r="G51" i="11"/>
  <c r="U25" i="10"/>
  <c r="E47" i="12"/>
  <c r="E48" i="12" s="1"/>
  <c r="W61" i="8"/>
  <c r="W61" i="4"/>
  <c r="K79" i="2" s="1"/>
  <c r="W61" i="6"/>
  <c r="W56" i="6"/>
  <c r="W56" i="8"/>
  <c r="W56" i="4"/>
  <c r="K75" i="2" s="1"/>
  <c r="H38" i="12"/>
  <c r="H45" i="12"/>
  <c r="U39" i="8"/>
  <c r="U39" i="4"/>
  <c r="T39" i="10"/>
  <c r="U39" i="6"/>
  <c r="W37" i="8"/>
  <c r="W37" i="6"/>
  <c r="W37" i="4"/>
  <c r="W41" i="10"/>
  <c r="M52" i="11"/>
  <c r="W18" i="8"/>
  <c r="W18" i="4"/>
  <c r="W18" i="6"/>
  <c r="G29" i="6"/>
  <c r="G29" i="4"/>
  <c r="I11" i="9"/>
  <c r="G29" i="8"/>
  <c r="Q27" i="8"/>
  <c r="Q31" i="10"/>
  <c r="Q27" i="4"/>
  <c r="Q27" i="6"/>
  <c r="L27" i="6"/>
  <c r="L31" i="10"/>
  <c r="L27" i="8"/>
  <c r="L27" i="4"/>
  <c r="O28" i="6"/>
  <c r="O28" i="8"/>
  <c r="O28" i="4"/>
  <c r="T24" i="6"/>
  <c r="T24" i="4"/>
  <c r="T24" i="8"/>
  <c r="G24" i="10"/>
  <c r="X26" i="6"/>
  <c r="X26" i="8"/>
  <c r="X26" i="4"/>
  <c r="L74" i="2" s="1"/>
  <c r="X37" i="8"/>
  <c r="X37" i="4"/>
  <c r="X41" i="10"/>
  <c r="X37" i="6"/>
  <c r="M45" i="12"/>
  <c r="M38" i="12"/>
  <c r="W20" i="8"/>
  <c r="W20" i="4"/>
  <c r="W20" i="6"/>
  <c r="T54" i="4"/>
  <c r="T54" i="6"/>
  <c r="T54" i="8"/>
  <c r="G54" i="10"/>
  <c r="I30" i="6"/>
  <c r="I30" i="4"/>
  <c r="I30" i="8"/>
  <c r="P30" i="8"/>
  <c r="P30" i="6"/>
  <c r="P30" i="4"/>
  <c r="P11" i="5"/>
  <c r="P11" i="3"/>
  <c r="P11" i="7"/>
  <c r="O11" i="5"/>
  <c r="O11" i="3"/>
  <c r="O11" i="7"/>
  <c r="X16" i="8"/>
  <c r="X16" i="6"/>
  <c r="X16" i="4"/>
  <c r="L83" i="2" s="1"/>
  <c r="I37" i="11"/>
  <c r="I38" i="11" s="1"/>
  <c r="I60" i="11" s="1"/>
  <c r="I24" i="11"/>
  <c r="W38" i="8"/>
  <c r="W38" i="6"/>
  <c r="W38" i="4"/>
  <c r="W63" i="8"/>
  <c r="W63" i="4"/>
  <c r="W63" i="6"/>
  <c r="X20" i="6"/>
  <c r="X20" i="8"/>
  <c r="X20" i="4"/>
  <c r="Q30" i="8"/>
  <c r="Q30" i="4"/>
  <c r="Q30" i="6"/>
  <c r="O30" i="8"/>
  <c r="O30" i="6"/>
  <c r="O30" i="4"/>
  <c r="L28" i="6"/>
  <c r="L28" i="4"/>
  <c r="L28" i="8"/>
  <c r="T14" i="6"/>
  <c r="T14" i="8"/>
  <c r="G14" i="10"/>
  <c r="T14" i="4"/>
  <c r="W16" i="8"/>
  <c r="W16" i="6"/>
  <c r="W16" i="4"/>
  <c r="K83" i="2" s="1"/>
  <c r="W40" i="8"/>
  <c r="W40" i="6"/>
  <c r="W40" i="4"/>
  <c r="X56" i="6"/>
  <c r="X56" i="8"/>
  <c r="X56" i="4"/>
  <c r="L75" i="2" s="1"/>
  <c r="U64" i="8"/>
  <c r="U64" i="6"/>
  <c r="U64" i="4"/>
  <c r="T64" i="10"/>
  <c r="X18" i="8"/>
  <c r="X18" i="6"/>
  <c r="X18" i="4"/>
  <c r="X38" i="8"/>
  <c r="X38" i="6"/>
  <c r="X38" i="4"/>
  <c r="W65" i="8"/>
  <c r="W65" i="6"/>
  <c r="W65" i="4"/>
  <c r="U19" i="6"/>
  <c r="U19" i="8"/>
  <c r="U19" i="4"/>
  <c r="T19" i="10"/>
  <c r="J25" i="10" l="1"/>
  <c r="H23" i="10"/>
  <c r="M10" i="9"/>
  <c r="H25" i="10"/>
  <c r="H22" i="10"/>
  <c r="R10" i="9"/>
  <c r="H60" i="8"/>
  <c r="H60" i="4"/>
  <c r="H60" i="6"/>
  <c r="V15" i="8"/>
  <c r="V15" i="6"/>
  <c r="V15" i="4"/>
  <c r="M8" i="9"/>
  <c r="H12" i="10"/>
  <c r="J15" i="10"/>
  <c r="R8" i="9"/>
  <c r="H13" i="10"/>
  <c r="H15" i="10"/>
  <c r="Q23" i="6"/>
  <c r="Q23" i="4"/>
  <c r="Q23" i="8"/>
  <c r="P23" i="8"/>
  <c r="P23" i="6"/>
  <c r="P23" i="4"/>
  <c r="N22" i="6"/>
  <c r="N22" i="8"/>
  <c r="N22" i="4"/>
  <c r="N26" i="10"/>
  <c r="R31" i="8"/>
  <c r="R31" i="6"/>
  <c r="R31" i="4"/>
  <c r="H81" i="2" s="1"/>
  <c r="X48" i="10"/>
  <c r="W48" i="10"/>
  <c r="X47" i="10"/>
  <c r="X50" i="10"/>
  <c r="W47" i="10"/>
  <c r="W50" i="10"/>
  <c r="U49" i="10"/>
  <c r="J47" i="11"/>
  <c r="J48" i="11"/>
  <c r="J49" i="11"/>
  <c r="J50" i="11"/>
  <c r="J51" i="11"/>
  <c r="P17" i="7"/>
  <c r="P17" i="5"/>
  <c r="P17" i="3"/>
  <c r="P57" i="6"/>
  <c r="P57" i="4"/>
  <c r="P57" i="8"/>
  <c r="P61" i="10"/>
  <c r="N58" i="8"/>
  <c r="N58" i="6"/>
  <c r="N58" i="4"/>
  <c r="L60" i="6"/>
  <c r="L60" i="4"/>
  <c r="L60" i="8"/>
  <c r="O31" i="8"/>
  <c r="O31" i="6"/>
  <c r="O31" i="4"/>
  <c r="F81" i="2" s="1"/>
  <c r="L62" i="10"/>
  <c r="L63" i="10"/>
  <c r="R63" i="10"/>
  <c r="N65" i="10"/>
  <c r="R62" i="10"/>
  <c r="O18" i="9"/>
  <c r="P63" i="10"/>
  <c r="O62" i="10"/>
  <c r="O63" i="10"/>
  <c r="O65" i="10"/>
  <c r="I65" i="10"/>
  <c r="L65" i="10"/>
  <c r="Q18" i="9"/>
  <c r="R18" i="9"/>
  <c r="Q63" i="10"/>
  <c r="J62" i="10"/>
  <c r="P62" i="10"/>
  <c r="I62" i="10"/>
  <c r="L18" i="9"/>
  <c r="N18" i="9"/>
  <c r="P18" i="9"/>
  <c r="N62" i="10"/>
  <c r="R65" i="10"/>
  <c r="N63" i="10"/>
  <c r="P65" i="10"/>
  <c r="Q65" i="10"/>
  <c r="I63" i="10"/>
  <c r="Q62" i="10"/>
  <c r="L52" i="8"/>
  <c r="L52" i="4"/>
  <c r="L52" i="6"/>
  <c r="L56" i="10"/>
  <c r="Q13" i="6"/>
  <c r="Q13" i="4"/>
  <c r="Q13" i="8"/>
  <c r="L15" i="8"/>
  <c r="L15" i="4"/>
  <c r="L15" i="6"/>
  <c r="M48" i="12"/>
  <c r="J65" i="10" s="1"/>
  <c r="M47" i="12"/>
  <c r="U65" i="10"/>
  <c r="I10" i="9"/>
  <c r="G24" i="6"/>
  <c r="G24" i="8"/>
  <c r="G24" i="4"/>
  <c r="H47" i="12"/>
  <c r="H48" i="12" s="1"/>
  <c r="U40" i="10"/>
  <c r="G38" i="12"/>
  <c r="G45" i="12"/>
  <c r="L16" i="7"/>
  <c r="L16" i="3"/>
  <c r="L16" i="5"/>
  <c r="M16" i="7"/>
  <c r="M16" i="5"/>
  <c r="M16" i="3"/>
  <c r="N52" i="8"/>
  <c r="N52" i="4"/>
  <c r="N52" i="6"/>
  <c r="N56" i="10"/>
  <c r="W66" i="8"/>
  <c r="W66" i="6"/>
  <c r="W66" i="4"/>
  <c r="K77" i="2" s="1"/>
  <c r="I15" i="8"/>
  <c r="I15" i="6"/>
  <c r="I15" i="4"/>
  <c r="O8" i="7"/>
  <c r="O8" i="5"/>
  <c r="O8" i="3"/>
  <c r="R15" i="8"/>
  <c r="R15" i="4"/>
  <c r="R15" i="6"/>
  <c r="I17" i="9"/>
  <c r="G59" i="6"/>
  <c r="G59" i="4"/>
  <c r="G59" i="8"/>
  <c r="L25" i="8"/>
  <c r="L25" i="6"/>
  <c r="L25" i="4"/>
  <c r="P25" i="8"/>
  <c r="P25" i="4"/>
  <c r="P25" i="6"/>
  <c r="O10" i="7"/>
  <c r="O10" i="3"/>
  <c r="O10" i="5"/>
  <c r="R17" i="10"/>
  <c r="N17" i="10"/>
  <c r="L18" i="10"/>
  <c r="I17" i="10"/>
  <c r="P18" i="10"/>
  <c r="L17" i="10"/>
  <c r="P9" i="9"/>
  <c r="I20" i="10"/>
  <c r="P20" i="10"/>
  <c r="O17" i="10"/>
  <c r="P17" i="10"/>
  <c r="O20" i="10"/>
  <c r="R20" i="10"/>
  <c r="O9" i="9"/>
  <c r="N18" i="10"/>
  <c r="L9" i="9"/>
  <c r="R18" i="10"/>
  <c r="N9" i="9"/>
  <c r="O18" i="10"/>
  <c r="J17" i="10"/>
  <c r="L20" i="10"/>
  <c r="N20" i="10"/>
  <c r="Q9" i="9"/>
  <c r="I18" i="10"/>
  <c r="Q18" i="10"/>
  <c r="Q20" i="10"/>
  <c r="Q17" i="10"/>
  <c r="Q57" i="8"/>
  <c r="Q57" i="4"/>
  <c r="Q61" i="10"/>
  <c r="Q57" i="6"/>
  <c r="O57" i="8"/>
  <c r="O57" i="6"/>
  <c r="O61" i="10"/>
  <c r="O57" i="4"/>
  <c r="M17" i="9"/>
  <c r="P58" i="8"/>
  <c r="P58" i="6"/>
  <c r="P58" i="4"/>
  <c r="J60" i="10"/>
  <c r="H55" i="6"/>
  <c r="H55" i="4"/>
  <c r="H55" i="8"/>
  <c r="N15" i="8"/>
  <c r="N15" i="6"/>
  <c r="N15" i="4"/>
  <c r="I31" i="6"/>
  <c r="I31" i="8"/>
  <c r="I31" i="4"/>
  <c r="C81" i="2" s="1"/>
  <c r="U25" i="6"/>
  <c r="U25" i="8"/>
  <c r="U25" i="4"/>
  <c r="Q52" i="8"/>
  <c r="Q52" i="4"/>
  <c r="Q52" i="6"/>
  <c r="Q56" i="10"/>
  <c r="N55" i="8"/>
  <c r="N55" i="6"/>
  <c r="N55" i="4"/>
  <c r="R55" i="8"/>
  <c r="R55" i="6"/>
  <c r="R55" i="4"/>
  <c r="D47" i="12"/>
  <c r="D48" i="12" s="1"/>
  <c r="U20" i="10"/>
  <c r="Q60" i="8"/>
  <c r="Q60" i="6"/>
  <c r="Q60" i="4"/>
  <c r="N17" i="7"/>
  <c r="N17" i="3"/>
  <c r="N17" i="5"/>
  <c r="R17" i="9"/>
  <c r="P60" i="6"/>
  <c r="P60" i="8"/>
  <c r="P60" i="4"/>
  <c r="V55" i="8"/>
  <c r="V55" i="6"/>
  <c r="V55" i="4"/>
  <c r="J30" i="8"/>
  <c r="J30" i="4"/>
  <c r="J30" i="6"/>
  <c r="K30" i="10"/>
  <c r="I13" i="8"/>
  <c r="I13" i="6"/>
  <c r="I13" i="4"/>
  <c r="R13" i="8"/>
  <c r="R13" i="4"/>
  <c r="R13" i="6"/>
  <c r="I25" i="8"/>
  <c r="I25" i="6"/>
  <c r="I25" i="4"/>
  <c r="R22" i="8"/>
  <c r="R22" i="4"/>
  <c r="R22" i="6"/>
  <c r="R26" i="10"/>
  <c r="W21" i="8"/>
  <c r="W21" i="6"/>
  <c r="W21" i="4"/>
  <c r="K80" i="2" s="1"/>
  <c r="Q55" i="6"/>
  <c r="Q55" i="4"/>
  <c r="Q55" i="8"/>
  <c r="R16" i="7"/>
  <c r="R16" i="3"/>
  <c r="R16" i="5"/>
  <c r="R53" i="8"/>
  <c r="R53" i="6"/>
  <c r="R53" i="4"/>
  <c r="P52" i="8"/>
  <c r="P52" i="6"/>
  <c r="P56" i="10"/>
  <c r="P52" i="4"/>
  <c r="P31" i="8"/>
  <c r="P31" i="6"/>
  <c r="P31" i="4"/>
  <c r="G81" i="2" s="1"/>
  <c r="U60" i="4"/>
  <c r="U60" i="8"/>
  <c r="U60" i="6"/>
  <c r="P8" i="7"/>
  <c r="P8" i="5"/>
  <c r="P8" i="3"/>
  <c r="O12" i="6"/>
  <c r="O12" i="8"/>
  <c r="O12" i="4"/>
  <c r="O16" i="10"/>
  <c r="L23" i="6"/>
  <c r="L23" i="4"/>
  <c r="L23" i="8"/>
  <c r="N23" i="8"/>
  <c r="N23" i="4"/>
  <c r="N23" i="6"/>
  <c r="I58" i="8"/>
  <c r="I58" i="6"/>
  <c r="I58" i="4"/>
  <c r="O58" i="8"/>
  <c r="O58" i="6"/>
  <c r="O58" i="4"/>
  <c r="I57" i="6"/>
  <c r="I57" i="4"/>
  <c r="I61" i="10"/>
  <c r="I57" i="8"/>
  <c r="L57" i="6"/>
  <c r="L61" i="10"/>
  <c r="L57" i="8"/>
  <c r="L57" i="4"/>
  <c r="U55" i="8"/>
  <c r="U55" i="6"/>
  <c r="U55" i="4"/>
  <c r="T55" i="10"/>
  <c r="H27" i="6"/>
  <c r="H27" i="4"/>
  <c r="H27" i="8"/>
  <c r="H31" i="10"/>
  <c r="G27" i="10"/>
  <c r="N13" i="6"/>
  <c r="N13" i="4"/>
  <c r="N13" i="8"/>
  <c r="G14" i="8"/>
  <c r="I8" i="9"/>
  <c r="G14" i="6"/>
  <c r="G14" i="4"/>
  <c r="N53" i="4"/>
  <c r="N53" i="8"/>
  <c r="N53" i="6"/>
  <c r="Q16" i="7"/>
  <c r="Q16" i="5"/>
  <c r="Q16" i="3"/>
  <c r="V30" i="6"/>
  <c r="V30" i="4"/>
  <c r="V30" i="8"/>
  <c r="W35" i="6"/>
  <c r="W35" i="4"/>
  <c r="W35" i="8"/>
  <c r="U15" i="8"/>
  <c r="U15" i="6"/>
  <c r="U15" i="4"/>
  <c r="T15" i="10"/>
  <c r="I55" i="8"/>
  <c r="I55" i="4"/>
  <c r="I55" i="6"/>
  <c r="Q53" i="8"/>
  <c r="Q53" i="6"/>
  <c r="Q53" i="4"/>
  <c r="P53" i="8"/>
  <c r="P53" i="6"/>
  <c r="P53" i="4"/>
  <c r="N12" i="8"/>
  <c r="N12" i="6"/>
  <c r="N16" i="10"/>
  <c r="N12" i="4"/>
  <c r="R12" i="8"/>
  <c r="R12" i="6"/>
  <c r="R12" i="4"/>
  <c r="R16" i="10"/>
  <c r="O15" i="8"/>
  <c r="O15" i="6"/>
  <c r="O15" i="4"/>
  <c r="J22" i="6"/>
  <c r="J22" i="4"/>
  <c r="J22" i="8"/>
  <c r="J26" i="10"/>
  <c r="R23" i="8"/>
  <c r="R23" i="6"/>
  <c r="R23" i="4"/>
  <c r="Q10" i="5"/>
  <c r="Q10" i="7"/>
  <c r="Q10" i="3"/>
  <c r="H57" i="10"/>
  <c r="L17" i="5"/>
  <c r="L17" i="3"/>
  <c r="L17" i="7"/>
  <c r="O60" i="8"/>
  <c r="O60" i="6"/>
  <c r="O60" i="4"/>
  <c r="L58" i="6"/>
  <c r="L58" i="4"/>
  <c r="L58" i="8"/>
  <c r="R11" i="7"/>
  <c r="R11" i="5"/>
  <c r="R11" i="3"/>
  <c r="I47" i="11"/>
  <c r="X42" i="10"/>
  <c r="W42" i="10"/>
  <c r="X43" i="10"/>
  <c r="X45" i="10"/>
  <c r="W43" i="10"/>
  <c r="W45" i="10"/>
  <c r="U44" i="10"/>
  <c r="I48" i="11"/>
  <c r="I49" i="11"/>
  <c r="I50" i="11"/>
  <c r="I51" i="11"/>
  <c r="I16" i="9"/>
  <c r="G54" i="8"/>
  <c r="G54" i="6"/>
  <c r="G54" i="4"/>
  <c r="X32" i="6"/>
  <c r="X32" i="4"/>
  <c r="X32" i="8"/>
  <c r="X36" i="10"/>
  <c r="I53" i="8"/>
  <c r="I53" i="4"/>
  <c r="I53" i="6"/>
  <c r="P55" i="6"/>
  <c r="P55" i="8"/>
  <c r="P55" i="4"/>
  <c r="P13" i="9"/>
  <c r="R37" i="10"/>
  <c r="O40" i="10"/>
  <c r="L13" i="9"/>
  <c r="P37" i="10"/>
  <c r="Q13" i="9"/>
  <c r="P38" i="10"/>
  <c r="J37" i="10"/>
  <c r="N40" i="10"/>
  <c r="O13" i="9"/>
  <c r="O37" i="10"/>
  <c r="O38" i="10"/>
  <c r="N13" i="9"/>
  <c r="R38" i="10"/>
  <c r="P40" i="10"/>
  <c r="L38" i="10"/>
  <c r="I37" i="10"/>
  <c r="L37" i="10"/>
  <c r="L40" i="10"/>
  <c r="N38" i="10"/>
  <c r="N37" i="10"/>
  <c r="R40" i="10"/>
  <c r="I38" i="10"/>
  <c r="I40" i="10"/>
  <c r="Q40" i="10"/>
  <c r="Q38" i="10"/>
  <c r="Q37" i="10"/>
  <c r="P12" i="6"/>
  <c r="P12" i="8"/>
  <c r="P16" i="10"/>
  <c r="P12" i="4"/>
  <c r="Q8" i="7"/>
  <c r="Q8" i="5"/>
  <c r="Q8" i="3"/>
  <c r="I22" i="8"/>
  <c r="I22" i="6"/>
  <c r="I22" i="4"/>
  <c r="I26" i="10"/>
  <c r="N10" i="7"/>
  <c r="N10" i="3"/>
  <c r="N10" i="5"/>
  <c r="T64" i="8"/>
  <c r="T64" i="4"/>
  <c r="T64" i="6"/>
  <c r="G64" i="10"/>
  <c r="X41" i="8"/>
  <c r="X41" i="4"/>
  <c r="L82" i="2" s="1"/>
  <c r="X41" i="6"/>
  <c r="L31" i="6"/>
  <c r="L31" i="4"/>
  <c r="E81" i="2" s="1"/>
  <c r="L31" i="8"/>
  <c r="V25" i="10"/>
  <c r="T25" i="10" s="1"/>
  <c r="X35" i="6"/>
  <c r="X35" i="8"/>
  <c r="X35" i="4"/>
  <c r="R52" i="8"/>
  <c r="R52" i="6"/>
  <c r="R56" i="10"/>
  <c r="R52" i="4"/>
  <c r="X66" i="8"/>
  <c r="X66" i="6"/>
  <c r="X66" i="4"/>
  <c r="L77" i="2" s="1"/>
  <c r="V60" i="10"/>
  <c r="N31" i="6"/>
  <c r="N31" i="8"/>
  <c r="N31" i="4"/>
  <c r="U34" i="8"/>
  <c r="U34" i="6"/>
  <c r="U34" i="4"/>
  <c r="T34" i="10"/>
  <c r="P16" i="5"/>
  <c r="P16" i="3"/>
  <c r="P16" i="7"/>
  <c r="H52" i="6"/>
  <c r="H52" i="8"/>
  <c r="H56" i="10"/>
  <c r="G52" i="10"/>
  <c r="H52" i="4"/>
  <c r="O52" i="4"/>
  <c r="O52" i="6"/>
  <c r="O52" i="8"/>
  <c r="O56" i="10"/>
  <c r="L55" i="8"/>
  <c r="L55" i="4"/>
  <c r="L55" i="6"/>
  <c r="T30" i="10"/>
  <c r="O13" i="8"/>
  <c r="O13" i="6"/>
  <c r="O13" i="4"/>
  <c r="J12" i="6"/>
  <c r="J12" i="4"/>
  <c r="J12" i="8"/>
  <c r="J16" i="10"/>
  <c r="L13" i="6"/>
  <c r="L13" i="8"/>
  <c r="L13" i="4"/>
  <c r="Q22" i="8"/>
  <c r="Q22" i="6"/>
  <c r="Q26" i="10"/>
  <c r="Q22" i="4"/>
  <c r="O25" i="6"/>
  <c r="O25" i="4"/>
  <c r="O25" i="8"/>
  <c r="R25" i="8"/>
  <c r="R25" i="6"/>
  <c r="R25" i="4"/>
  <c r="N25" i="8"/>
  <c r="N25" i="6"/>
  <c r="N25" i="4"/>
  <c r="P10" i="7"/>
  <c r="P10" i="5"/>
  <c r="P10" i="3"/>
  <c r="Q58" i="8"/>
  <c r="Q58" i="4"/>
  <c r="Q58" i="6"/>
  <c r="H58" i="10"/>
  <c r="Q17" i="7"/>
  <c r="Q17" i="3"/>
  <c r="Q17" i="5"/>
  <c r="R60" i="8"/>
  <c r="R60" i="6"/>
  <c r="R60" i="4"/>
  <c r="H28" i="8"/>
  <c r="H28" i="6"/>
  <c r="H28" i="4"/>
  <c r="G28" i="10"/>
  <c r="W41" i="8"/>
  <c r="W41" i="4"/>
  <c r="K82" i="2" s="1"/>
  <c r="W41" i="6"/>
  <c r="H53" i="8"/>
  <c r="G53" i="10"/>
  <c r="H53" i="4"/>
  <c r="H53" i="6"/>
  <c r="J55" i="8"/>
  <c r="J55" i="6"/>
  <c r="J55" i="4"/>
  <c r="K55" i="10"/>
  <c r="L22" i="8"/>
  <c r="L22" i="6"/>
  <c r="L22" i="4"/>
  <c r="L26" i="10"/>
  <c r="L12" i="8"/>
  <c r="L12" i="6"/>
  <c r="L16" i="10"/>
  <c r="L12" i="4"/>
  <c r="I11" i="7"/>
  <c r="I11" i="3"/>
  <c r="I11" i="5"/>
  <c r="X33" i="6"/>
  <c r="X33" i="8"/>
  <c r="X33" i="4"/>
  <c r="T19" i="8"/>
  <c r="G19" i="10"/>
  <c r="T19" i="6"/>
  <c r="T19" i="4"/>
  <c r="T39" i="8"/>
  <c r="G39" i="10"/>
  <c r="T39" i="4"/>
  <c r="T39" i="6"/>
  <c r="W32" i="6"/>
  <c r="W32" i="8"/>
  <c r="W32" i="4"/>
  <c r="W36" i="10"/>
  <c r="L53" i="8"/>
  <c r="L53" i="4"/>
  <c r="L53" i="6"/>
  <c r="I52" i="6"/>
  <c r="I52" i="8"/>
  <c r="I56" i="10"/>
  <c r="I52" i="4"/>
  <c r="O53" i="8"/>
  <c r="O53" i="4"/>
  <c r="O53" i="6"/>
  <c r="J31" i="8"/>
  <c r="J31" i="6"/>
  <c r="J31" i="4"/>
  <c r="X21" i="8"/>
  <c r="X21" i="6"/>
  <c r="X21" i="4"/>
  <c r="L80" i="2" s="1"/>
  <c r="Q12" i="8"/>
  <c r="Q12" i="4"/>
  <c r="Q12" i="6"/>
  <c r="Q16" i="10"/>
  <c r="P15" i="6"/>
  <c r="P15" i="4"/>
  <c r="P15" i="8"/>
  <c r="N8" i="7"/>
  <c r="N8" i="5"/>
  <c r="N8" i="3"/>
  <c r="I12" i="8"/>
  <c r="I12" i="6"/>
  <c r="I12" i="4"/>
  <c r="I16" i="10"/>
  <c r="P13" i="8"/>
  <c r="P13" i="6"/>
  <c r="P13" i="4"/>
  <c r="Q25" i="6"/>
  <c r="Q25" i="4"/>
  <c r="Q25" i="8"/>
  <c r="O23" i="6"/>
  <c r="O23" i="8"/>
  <c r="O23" i="4"/>
  <c r="O17" i="7"/>
  <c r="O17" i="5"/>
  <c r="O17" i="3"/>
  <c r="N60" i="8"/>
  <c r="N60" i="6"/>
  <c r="N60" i="4"/>
  <c r="J57" i="8"/>
  <c r="J57" i="6"/>
  <c r="J57" i="4"/>
  <c r="H30" i="8"/>
  <c r="H30" i="6"/>
  <c r="H30" i="4"/>
  <c r="G30" i="10"/>
  <c r="M46" i="4"/>
  <c r="S46" i="4"/>
  <c r="I73" i="2" s="1"/>
  <c r="AA46" i="4"/>
  <c r="Q31" i="8"/>
  <c r="Q31" i="4"/>
  <c r="Q31" i="6"/>
  <c r="W33" i="8"/>
  <c r="W33" i="6"/>
  <c r="W33" i="4"/>
  <c r="N16" i="5"/>
  <c r="N16" i="7"/>
  <c r="N16" i="3"/>
  <c r="O16" i="5"/>
  <c r="O16" i="7"/>
  <c r="O16" i="3"/>
  <c r="J52" i="8"/>
  <c r="J52" i="6"/>
  <c r="J52" i="4"/>
  <c r="J56" i="10"/>
  <c r="O55" i="8"/>
  <c r="O55" i="4"/>
  <c r="O55" i="6"/>
  <c r="B47" i="11"/>
  <c r="W7" i="10"/>
  <c r="U9" i="10"/>
  <c r="X10" i="10"/>
  <c r="X8" i="10"/>
  <c r="W10" i="10"/>
  <c r="W8" i="10"/>
  <c r="X7" i="10"/>
  <c r="B48" i="11"/>
  <c r="B49" i="11"/>
  <c r="B50" i="11"/>
  <c r="B51" i="11"/>
  <c r="Q15" i="8"/>
  <c r="Q15" i="6"/>
  <c r="Q15" i="4"/>
  <c r="L8" i="3"/>
  <c r="L8" i="7"/>
  <c r="L8" i="5"/>
  <c r="I23" i="6"/>
  <c r="I23" i="8"/>
  <c r="I23" i="4"/>
  <c r="O22" i="6"/>
  <c r="O22" i="8"/>
  <c r="O22" i="4"/>
  <c r="O26" i="10"/>
  <c r="P22" i="8"/>
  <c r="P22" i="4"/>
  <c r="P26" i="10"/>
  <c r="P22" i="6"/>
  <c r="L10" i="7"/>
  <c r="L10" i="5"/>
  <c r="L10" i="3"/>
  <c r="M51" i="4"/>
  <c r="S51" i="4"/>
  <c r="I72" i="2" s="1"/>
  <c r="AA51" i="4"/>
  <c r="I60" i="8"/>
  <c r="I60" i="4"/>
  <c r="I60" i="6"/>
  <c r="R58" i="6"/>
  <c r="R58" i="4"/>
  <c r="R58" i="8"/>
  <c r="R57" i="8"/>
  <c r="R57" i="6"/>
  <c r="R57" i="4"/>
  <c r="R61" i="10"/>
  <c r="N57" i="8"/>
  <c r="N57" i="6"/>
  <c r="N61" i="10"/>
  <c r="N57" i="4"/>
  <c r="M11" i="5"/>
  <c r="M11" i="3"/>
  <c r="M11" i="7"/>
  <c r="H20" i="10" l="1"/>
  <c r="R9" i="9"/>
  <c r="H17" i="10"/>
  <c r="J20" i="10"/>
  <c r="H18" i="10"/>
  <c r="M9" i="9"/>
  <c r="J65" i="6"/>
  <c r="J65" i="8"/>
  <c r="K65" i="10"/>
  <c r="J65" i="4"/>
  <c r="T25" i="8"/>
  <c r="T25" i="4"/>
  <c r="T25" i="6"/>
  <c r="T26" i="10"/>
  <c r="H37" i="10"/>
  <c r="H40" i="10"/>
  <c r="M13" i="9"/>
  <c r="J40" i="10"/>
  <c r="H38" i="10"/>
  <c r="R13" i="9"/>
  <c r="I9" i="9"/>
  <c r="G19" i="6"/>
  <c r="G19" i="4"/>
  <c r="G19" i="8"/>
  <c r="W42" i="8"/>
  <c r="W46" i="10"/>
  <c r="W42" i="6"/>
  <c r="W42" i="4"/>
  <c r="I8" i="3"/>
  <c r="I8" i="7"/>
  <c r="I8" i="5"/>
  <c r="L61" i="6"/>
  <c r="L61" i="4"/>
  <c r="L61" i="8"/>
  <c r="R26" i="8"/>
  <c r="R26" i="4"/>
  <c r="H74" i="2" s="1"/>
  <c r="R26" i="6"/>
  <c r="Q56" i="8"/>
  <c r="Q56" i="4"/>
  <c r="Q56" i="6"/>
  <c r="O61" i="4"/>
  <c r="F79" i="2" s="1"/>
  <c r="O61" i="6"/>
  <c r="O61" i="8"/>
  <c r="Q20" i="6"/>
  <c r="Q20" i="8"/>
  <c r="Q20" i="4"/>
  <c r="J17" i="8"/>
  <c r="J17" i="4"/>
  <c r="J17" i="6"/>
  <c r="R20" i="8"/>
  <c r="R20" i="6"/>
  <c r="R20" i="4"/>
  <c r="N63" i="8"/>
  <c r="N63" i="4"/>
  <c r="N63" i="6"/>
  <c r="J62" i="6"/>
  <c r="J62" i="4"/>
  <c r="J62" i="8"/>
  <c r="J66" i="10"/>
  <c r="O65" i="8"/>
  <c r="O65" i="6"/>
  <c r="O65" i="4"/>
  <c r="R63" i="8"/>
  <c r="R63" i="6"/>
  <c r="R63" i="4"/>
  <c r="J45" i="12"/>
  <c r="J38" i="12"/>
  <c r="J15" i="8"/>
  <c r="J15" i="6"/>
  <c r="J15" i="4"/>
  <c r="K15" i="10"/>
  <c r="X8" i="8"/>
  <c r="X8" i="4"/>
  <c r="X8" i="6"/>
  <c r="O56" i="8"/>
  <c r="O56" i="6"/>
  <c r="O56" i="4"/>
  <c r="F75" i="2" s="1"/>
  <c r="R56" i="8"/>
  <c r="R56" i="4"/>
  <c r="H75" i="2" s="1"/>
  <c r="R56" i="6"/>
  <c r="R38" i="6"/>
  <c r="R38" i="8"/>
  <c r="R38" i="4"/>
  <c r="K55" i="8"/>
  <c r="K55" i="6"/>
  <c r="K56" i="10"/>
  <c r="K55" i="4"/>
  <c r="Q38" i="8"/>
  <c r="Q38" i="4"/>
  <c r="Q38" i="6"/>
  <c r="L40" i="6"/>
  <c r="L40" i="4"/>
  <c r="L40" i="8"/>
  <c r="N13" i="3"/>
  <c r="N13" i="7"/>
  <c r="N13" i="5"/>
  <c r="P37" i="6"/>
  <c r="P37" i="4"/>
  <c r="P37" i="8"/>
  <c r="P41" i="10"/>
  <c r="X42" i="6"/>
  <c r="X42" i="4"/>
  <c r="X42" i="8"/>
  <c r="X46" i="10"/>
  <c r="P56" i="6"/>
  <c r="P56" i="4"/>
  <c r="G75" i="2" s="1"/>
  <c r="P56" i="8"/>
  <c r="Q18" i="8"/>
  <c r="Q18" i="6"/>
  <c r="Q18" i="4"/>
  <c r="O18" i="8"/>
  <c r="O18" i="6"/>
  <c r="O18" i="4"/>
  <c r="L17" i="8"/>
  <c r="L21" i="10"/>
  <c r="L17" i="6"/>
  <c r="L17" i="4"/>
  <c r="N56" i="8"/>
  <c r="N56" i="4"/>
  <c r="N56" i="6"/>
  <c r="R65" i="8"/>
  <c r="R65" i="4"/>
  <c r="R65" i="6"/>
  <c r="Q63" i="8"/>
  <c r="Q63" i="6"/>
  <c r="Q63" i="4"/>
  <c r="O63" i="8"/>
  <c r="O63" i="6"/>
  <c r="O63" i="4"/>
  <c r="L63" i="8"/>
  <c r="L63" i="6"/>
  <c r="L63" i="4"/>
  <c r="U49" i="8"/>
  <c r="U49" i="6"/>
  <c r="U49" i="4"/>
  <c r="T49" i="10"/>
  <c r="H12" i="8"/>
  <c r="H16" i="10"/>
  <c r="H12" i="6"/>
  <c r="G12" i="10"/>
  <c r="H12" i="4"/>
  <c r="R61" i="8"/>
  <c r="R61" i="6"/>
  <c r="R61" i="4"/>
  <c r="H79" i="2" s="1"/>
  <c r="J56" i="8"/>
  <c r="J56" i="6"/>
  <c r="J56" i="4"/>
  <c r="J11" i="9"/>
  <c r="G30" i="6"/>
  <c r="G30" i="8"/>
  <c r="G30" i="4"/>
  <c r="N61" i="8"/>
  <c r="N61" i="4"/>
  <c r="N61" i="6"/>
  <c r="L13" i="7"/>
  <c r="L13" i="3"/>
  <c r="L13" i="5"/>
  <c r="I52" i="11"/>
  <c r="R18" i="7"/>
  <c r="R18" i="5"/>
  <c r="R18" i="3"/>
  <c r="O62" i="8"/>
  <c r="O66" i="10"/>
  <c r="O62" i="6"/>
  <c r="O62" i="4"/>
  <c r="L62" i="8"/>
  <c r="L62" i="4"/>
  <c r="L66" i="10"/>
  <c r="L62" i="6"/>
  <c r="W50" i="8"/>
  <c r="W50" i="6"/>
  <c r="W50" i="4"/>
  <c r="M8" i="7"/>
  <c r="M8" i="3"/>
  <c r="M8" i="5"/>
  <c r="R10" i="5"/>
  <c r="R10" i="3"/>
  <c r="R10" i="7"/>
  <c r="I18" i="9"/>
  <c r="G64" i="8"/>
  <c r="G64" i="4"/>
  <c r="G64" i="6"/>
  <c r="P16" i="6"/>
  <c r="P16" i="4"/>
  <c r="G83" i="2" s="1"/>
  <c r="P16" i="8"/>
  <c r="X7" i="8"/>
  <c r="X7" i="6"/>
  <c r="X7" i="4"/>
  <c r="X11" i="10"/>
  <c r="L16" i="8"/>
  <c r="L16" i="6"/>
  <c r="L16" i="4"/>
  <c r="I38" i="12"/>
  <c r="I45" i="12"/>
  <c r="N16" i="8"/>
  <c r="N16" i="6"/>
  <c r="N16" i="4"/>
  <c r="T55" i="6"/>
  <c r="T55" i="4"/>
  <c r="T55" i="8"/>
  <c r="T56" i="10"/>
  <c r="J60" i="8"/>
  <c r="J60" i="6"/>
  <c r="J60" i="4"/>
  <c r="K60" i="10"/>
  <c r="I18" i="8"/>
  <c r="I18" i="6"/>
  <c r="I18" i="4"/>
  <c r="N9" i="5"/>
  <c r="N9" i="7"/>
  <c r="N9" i="3"/>
  <c r="O20" i="8"/>
  <c r="O20" i="4"/>
  <c r="O20" i="6"/>
  <c r="N62" i="8"/>
  <c r="N62" i="4"/>
  <c r="N66" i="10"/>
  <c r="N62" i="6"/>
  <c r="W8" i="8"/>
  <c r="W8" i="4"/>
  <c r="W8" i="6"/>
  <c r="I13" i="9"/>
  <c r="G39" i="6"/>
  <c r="G39" i="4"/>
  <c r="G39" i="8"/>
  <c r="V60" i="6"/>
  <c r="V60" i="4"/>
  <c r="V60" i="8"/>
  <c r="O40" i="8"/>
  <c r="O40" i="6"/>
  <c r="O40" i="4"/>
  <c r="I61" i="8"/>
  <c r="I61" i="6"/>
  <c r="I61" i="4"/>
  <c r="C79" i="2" s="1"/>
  <c r="R18" i="8"/>
  <c r="R18" i="6"/>
  <c r="R18" i="4"/>
  <c r="P17" i="6"/>
  <c r="P17" i="4"/>
  <c r="P17" i="8"/>
  <c r="P21" i="10"/>
  <c r="P18" i="8"/>
  <c r="P18" i="6"/>
  <c r="P18" i="4"/>
  <c r="G48" i="12"/>
  <c r="M12" i="9" s="1"/>
  <c r="G47" i="12"/>
  <c r="V35" i="10"/>
  <c r="U35" i="10"/>
  <c r="Q62" i="8"/>
  <c r="Q62" i="6"/>
  <c r="Q62" i="4"/>
  <c r="Q66" i="10"/>
  <c r="P18" i="7"/>
  <c r="P18" i="3"/>
  <c r="P18" i="5"/>
  <c r="M18" i="9"/>
  <c r="P63" i="6"/>
  <c r="P63" i="4"/>
  <c r="P63" i="8"/>
  <c r="H65" i="10"/>
  <c r="W47" i="8"/>
  <c r="W47" i="6"/>
  <c r="W47" i="4"/>
  <c r="W51" i="10"/>
  <c r="N26" i="8"/>
  <c r="N26" i="6"/>
  <c r="N26" i="4"/>
  <c r="H22" i="6"/>
  <c r="H26" i="10"/>
  <c r="H22" i="8"/>
  <c r="H22" i="4"/>
  <c r="G22" i="10"/>
  <c r="L26" i="6"/>
  <c r="L26" i="8"/>
  <c r="L26" i="4"/>
  <c r="E74" i="2" s="1"/>
  <c r="J16" i="8"/>
  <c r="J16" i="6"/>
  <c r="J16" i="4"/>
  <c r="I26" i="8"/>
  <c r="I26" i="4"/>
  <c r="C74" i="2" s="1"/>
  <c r="I26" i="6"/>
  <c r="W7" i="8"/>
  <c r="W7" i="4"/>
  <c r="W11" i="10"/>
  <c r="W7" i="6"/>
  <c r="Q37" i="8"/>
  <c r="Q37" i="6"/>
  <c r="Q37" i="4"/>
  <c r="Q41" i="10"/>
  <c r="N38" i="8"/>
  <c r="N38" i="6"/>
  <c r="N38" i="4"/>
  <c r="Q13" i="7"/>
  <c r="Q13" i="5"/>
  <c r="Q13" i="3"/>
  <c r="O26" i="6"/>
  <c r="O26" i="8"/>
  <c r="O26" i="4"/>
  <c r="F74" i="2" s="1"/>
  <c r="B52" i="11"/>
  <c r="B45" i="12"/>
  <c r="B38" i="12"/>
  <c r="Q16" i="8"/>
  <c r="Q16" i="6"/>
  <c r="Q16" i="4"/>
  <c r="Q40" i="8"/>
  <c r="Q40" i="6"/>
  <c r="Q40" i="4"/>
  <c r="L37" i="8"/>
  <c r="L37" i="6"/>
  <c r="L41" i="10"/>
  <c r="L37" i="4"/>
  <c r="O38" i="8"/>
  <c r="O38" i="6"/>
  <c r="O38" i="4"/>
  <c r="O16" i="8"/>
  <c r="O16" i="6"/>
  <c r="O16" i="4"/>
  <c r="F83" i="2" s="1"/>
  <c r="I37" i="8"/>
  <c r="I37" i="6"/>
  <c r="I41" i="10"/>
  <c r="I37" i="4"/>
  <c r="O37" i="8"/>
  <c r="O37" i="6"/>
  <c r="O37" i="4"/>
  <c r="O41" i="10"/>
  <c r="U44" i="8"/>
  <c r="U44" i="6"/>
  <c r="U44" i="4"/>
  <c r="T44" i="10"/>
  <c r="W10" i="8"/>
  <c r="W10" i="4"/>
  <c r="W10" i="6"/>
  <c r="J61" i="10"/>
  <c r="H11" i="9"/>
  <c r="G28" i="8"/>
  <c r="G28" i="6"/>
  <c r="G28" i="4"/>
  <c r="T30" i="6"/>
  <c r="T30" i="8"/>
  <c r="T30" i="4"/>
  <c r="T31" i="10"/>
  <c r="T34" i="8"/>
  <c r="T34" i="4"/>
  <c r="T34" i="6"/>
  <c r="G34" i="10"/>
  <c r="I40" i="8"/>
  <c r="I40" i="4"/>
  <c r="I40" i="6"/>
  <c r="L38" i="6"/>
  <c r="L38" i="4"/>
  <c r="L38" i="8"/>
  <c r="O13" i="3"/>
  <c r="O13" i="7"/>
  <c r="O13" i="5"/>
  <c r="R37" i="6"/>
  <c r="R37" i="8"/>
  <c r="R37" i="4"/>
  <c r="R41" i="10"/>
  <c r="W45" i="8"/>
  <c r="W45" i="6"/>
  <c r="W45" i="4"/>
  <c r="T60" i="10"/>
  <c r="Q61" i="6"/>
  <c r="Q61" i="4"/>
  <c r="Q61" i="8"/>
  <c r="L9" i="7"/>
  <c r="L9" i="5"/>
  <c r="L9" i="3"/>
  <c r="O17" i="8"/>
  <c r="O17" i="6"/>
  <c r="O21" i="10"/>
  <c r="O17" i="4"/>
  <c r="I17" i="6"/>
  <c r="I17" i="4"/>
  <c r="I17" i="8"/>
  <c r="I21" i="10"/>
  <c r="I17" i="5"/>
  <c r="I17" i="3"/>
  <c r="I17" i="7"/>
  <c r="I32" i="10"/>
  <c r="L32" i="10"/>
  <c r="O35" i="10"/>
  <c r="O32" i="10"/>
  <c r="L12" i="9"/>
  <c r="H35" i="10"/>
  <c r="P32" i="10"/>
  <c r="J35" i="10"/>
  <c r="J32" i="10"/>
  <c r="P12" i="9"/>
  <c r="N12" i="9"/>
  <c r="P33" i="10"/>
  <c r="L35" i="10"/>
  <c r="R32" i="10"/>
  <c r="R35" i="10"/>
  <c r="R12" i="9"/>
  <c r="P35" i="10"/>
  <c r="N33" i="10"/>
  <c r="O12" i="9"/>
  <c r="R33" i="10"/>
  <c r="N35" i="10"/>
  <c r="N32" i="10"/>
  <c r="Q12" i="9"/>
  <c r="L33" i="10"/>
  <c r="O33" i="10"/>
  <c r="I35" i="10"/>
  <c r="I33" i="10"/>
  <c r="Q33" i="10"/>
  <c r="Q35" i="10"/>
  <c r="Q32" i="10"/>
  <c r="I10" i="5"/>
  <c r="I10" i="7"/>
  <c r="I10" i="3"/>
  <c r="I63" i="4"/>
  <c r="I63" i="6"/>
  <c r="I63" i="8"/>
  <c r="N18" i="7"/>
  <c r="N18" i="3"/>
  <c r="N18" i="5"/>
  <c r="Q18" i="7"/>
  <c r="Q18" i="3"/>
  <c r="Q18" i="5"/>
  <c r="O18" i="5"/>
  <c r="O18" i="7"/>
  <c r="O18" i="3"/>
  <c r="X50" i="8"/>
  <c r="X50" i="6"/>
  <c r="X50" i="4"/>
  <c r="H25" i="6"/>
  <c r="H25" i="4"/>
  <c r="H25" i="8"/>
  <c r="N40" i="8"/>
  <c r="N40" i="6"/>
  <c r="N40" i="4"/>
  <c r="K30" i="8"/>
  <c r="K30" i="6"/>
  <c r="K30" i="4"/>
  <c r="K31" i="10"/>
  <c r="Q9" i="3"/>
  <c r="Q9" i="5"/>
  <c r="Q9" i="7"/>
  <c r="N18" i="8"/>
  <c r="N18" i="4"/>
  <c r="N18" i="6"/>
  <c r="P20" i="8"/>
  <c r="P20" i="6"/>
  <c r="P20" i="4"/>
  <c r="L18" i="8"/>
  <c r="L18" i="6"/>
  <c r="L18" i="4"/>
  <c r="U40" i="8"/>
  <c r="U40" i="4"/>
  <c r="U40" i="6"/>
  <c r="U65" i="8"/>
  <c r="U65" i="6"/>
  <c r="U65" i="4"/>
  <c r="T65" i="10"/>
  <c r="Q65" i="6"/>
  <c r="Q65" i="4"/>
  <c r="Q65" i="8"/>
  <c r="L18" i="5"/>
  <c r="L18" i="3"/>
  <c r="L18" i="7"/>
  <c r="L65" i="8"/>
  <c r="L65" i="4"/>
  <c r="L65" i="6"/>
  <c r="R62" i="6"/>
  <c r="R62" i="8"/>
  <c r="R62" i="4"/>
  <c r="R66" i="10"/>
  <c r="P61" i="8"/>
  <c r="P61" i="6"/>
  <c r="P61" i="4"/>
  <c r="G79" i="2" s="1"/>
  <c r="X47" i="8"/>
  <c r="X47" i="6"/>
  <c r="X47" i="4"/>
  <c r="X51" i="10"/>
  <c r="H15" i="6"/>
  <c r="H15" i="4"/>
  <c r="H15" i="8"/>
  <c r="G15" i="10"/>
  <c r="M10" i="3"/>
  <c r="M10" i="7"/>
  <c r="M10" i="5"/>
  <c r="W43" i="8"/>
  <c r="W43" i="6"/>
  <c r="W43" i="4"/>
  <c r="R16" i="6"/>
  <c r="R16" i="4"/>
  <c r="H83" i="2" s="1"/>
  <c r="R16" i="8"/>
  <c r="G27" i="8"/>
  <c r="G11" i="9"/>
  <c r="G27" i="6"/>
  <c r="G27" i="4"/>
  <c r="X10" i="8"/>
  <c r="X10" i="4"/>
  <c r="X10" i="6"/>
  <c r="H58" i="6"/>
  <c r="H58" i="8"/>
  <c r="H58" i="4"/>
  <c r="G58" i="10"/>
  <c r="H56" i="6"/>
  <c r="H56" i="4"/>
  <c r="B75" i="2" s="1"/>
  <c r="H56" i="8"/>
  <c r="Z56" i="10"/>
  <c r="V25" i="8"/>
  <c r="V25" i="4"/>
  <c r="V25" i="6"/>
  <c r="R40" i="6"/>
  <c r="R40" i="8"/>
  <c r="R40" i="4"/>
  <c r="P40" i="8"/>
  <c r="P40" i="6"/>
  <c r="P40" i="4"/>
  <c r="J37" i="8"/>
  <c r="J37" i="6"/>
  <c r="J37" i="4"/>
  <c r="J41" i="10"/>
  <c r="P13" i="7"/>
  <c r="P13" i="5"/>
  <c r="P13" i="3"/>
  <c r="I16" i="7"/>
  <c r="I16" i="3"/>
  <c r="I16" i="5"/>
  <c r="X45" i="8"/>
  <c r="X45" i="4"/>
  <c r="X45" i="6"/>
  <c r="J26" i="8"/>
  <c r="J26" i="6"/>
  <c r="J26" i="4"/>
  <c r="H31" i="8"/>
  <c r="H31" i="6"/>
  <c r="H31" i="4"/>
  <c r="B81" i="2" s="1"/>
  <c r="G31" i="10"/>
  <c r="G55" i="10"/>
  <c r="M17" i="7"/>
  <c r="M17" i="5"/>
  <c r="M17" i="3"/>
  <c r="N20" i="8"/>
  <c r="N20" i="6"/>
  <c r="N20" i="4"/>
  <c r="I20" i="6"/>
  <c r="I20" i="8"/>
  <c r="I20" i="4"/>
  <c r="N17" i="8"/>
  <c r="N17" i="6"/>
  <c r="N21" i="10"/>
  <c r="N17" i="4"/>
  <c r="V40" i="10"/>
  <c r="T40" i="10" s="1"/>
  <c r="V65" i="10"/>
  <c r="H62" i="10"/>
  <c r="I62" i="8"/>
  <c r="I62" i="6"/>
  <c r="I62" i="4"/>
  <c r="I66" i="10"/>
  <c r="H63" i="10"/>
  <c r="W36" i="8"/>
  <c r="W36" i="4"/>
  <c r="K78" i="2" s="1"/>
  <c r="W36" i="6"/>
  <c r="G52" i="8"/>
  <c r="G16" i="9"/>
  <c r="G52" i="6"/>
  <c r="G52" i="4"/>
  <c r="I38" i="8"/>
  <c r="I38" i="4"/>
  <c r="I38" i="6"/>
  <c r="P26" i="6"/>
  <c r="P26" i="4"/>
  <c r="G74" i="2" s="1"/>
  <c r="P26" i="8"/>
  <c r="T15" i="8"/>
  <c r="T15" i="6"/>
  <c r="T15" i="4"/>
  <c r="T16" i="10"/>
  <c r="U20" i="6"/>
  <c r="U20" i="8"/>
  <c r="U20" i="4"/>
  <c r="T20" i="10"/>
  <c r="W48" i="8"/>
  <c r="W48" i="6"/>
  <c r="W48" i="4"/>
  <c r="H13" i="8"/>
  <c r="H13" i="6"/>
  <c r="H13" i="4"/>
  <c r="G13" i="10"/>
  <c r="G60" i="10"/>
  <c r="H23" i="6"/>
  <c r="H23" i="4"/>
  <c r="G23" i="10"/>
  <c r="H23" i="8"/>
  <c r="U9" i="6"/>
  <c r="U9" i="8"/>
  <c r="U9" i="4"/>
  <c r="T9" i="10"/>
  <c r="I16" i="8"/>
  <c r="I16" i="6"/>
  <c r="I16" i="4"/>
  <c r="C83" i="2" s="1"/>
  <c r="I56" i="8"/>
  <c r="I56" i="6"/>
  <c r="I56" i="4"/>
  <c r="C75" i="2" s="1"/>
  <c r="G53" i="8"/>
  <c r="H16" i="9"/>
  <c r="G53" i="6"/>
  <c r="G53" i="4"/>
  <c r="Q26" i="8"/>
  <c r="Q26" i="6"/>
  <c r="Q26" i="4"/>
  <c r="N37" i="6"/>
  <c r="N37" i="8"/>
  <c r="N37" i="4"/>
  <c r="N41" i="10"/>
  <c r="P38" i="6"/>
  <c r="P38" i="4"/>
  <c r="P38" i="8"/>
  <c r="X36" i="8"/>
  <c r="X36" i="6"/>
  <c r="X36" i="4"/>
  <c r="L78" i="2" s="1"/>
  <c r="X43" i="6"/>
  <c r="X43" i="8"/>
  <c r="X43" i="4"/>
  <c r="H57" i="8"/>
  <c r="H57" i="4"/>
  <c r="H57" i="6"/>
  <c r="H61" i="10"/>
  <c r="G57" i="10"/>
  <c r="R17" i="5"/>
  <c r="R17" i="3"/>
  <c r="R17" i="7"/>
  <c r="V20" i="10"/>
  <c r="Q17" i="8"/>
  <c r="Q17" i="6"/>
  <c r="Q17" i="4"/>
  <c r="Q21" i="10"/>
  <c r="L20" i="6"/>
  <c r="L20" i="4"/>
  <c r="L20" i="8"/>
  <c r="O9" i="5"/>
  <c r="O9" i="7"/>
  <c r="O9" i="3"/>
  <c r="P9" i="7"/>
  <c r="P9" i="3"/>
  <c r="P9" i="5"/>
  <c r="R17" i="8"/>
  <c r="R17" i="6"/>
  <c r="R21" i="10"/>
  <c r="R17" i="4"/>
  <c r="L56" i="8"/>
  <c r="L56" i="6"/>
  <c r="L56" i="4"/>
  <c r="E75" i="2" s="1"/>
  <c r="P65" i="4"/>
  <c r="P65" i="8"/>
  <c r="P65" i="6"/>
  <c r="P62" i="8"/>
  <c r="P66" i="10"/>
  <c r="P62" i="4"/>
  <c r="P62" i="6"/>
  <c r="I65" i="8"/>
  <c r="I65" i="6"/>
  <c r="I65" i="4"/>
  <c r="N65" i="8"/>
  <c r="N65" i="4"/>
  <c r="N65" i="6"/>
  <c r="J52" i="11"/>
  <c r="X48" i="8"/>
  <c r="X48" i="6"/>
  <c r="X48" i="4"/>
  <c r="R8" i="7"/>
  <c r="R8" i="5"/>
  <c r="R8" i="3"/>
  <c r="J25" i="8"/>
  <c r="K25" i="10"/>
  <c r="J25" i="6"/>
  <c r="J25" i="4"/>
  <c r="M12" i="7" l="1"/>
  <c r="M12" i="3"/>
  <c r="M12" i="5"/>
  <c r="T40" i="8"/>
  <c r="T40" i="6"/>
  <c r="T40" i="4"/>
  <c r="T41" i="10"/>
  <c r="I13" i="7"/>
  <c r="I13" i="5"/>
  <c r="I13" i="3"/>
  <c r="K56" i="8"/>
  <c r="K56" i="6"/>
  <c r="K56" i="4"/>
  <c r="K15" i="6"/>
  <c r="K15" i="8"/>
  <c r="K16" i="10"/>
  <c r="K15" i="4"/>
  <c r="H40" i="8"/>
  <c r="H40" i="6"/>
  <c r="H40" i="4"/>
  <c r="P66" i="8"/>
  <c r="P66" i="6"/>
  <c r="P66" i="4"/>
  <c r="G77" i="2" s="1"/>
  <c r="T16" i="8"/>
  <c r="T16" i="6"/>
  <c r="T16" i="4"/>
  <c r="J83" i="2" s="1"/>
  <c r="F11" i="9"/>
  <c r="G31" i="8"/>
  <c r="G31" i="6"/>
  <c r="G31" i="4"/>
  <c r="I66" i="8"/>
  <c r="I66" i="4"/>
  <c r="C77" i="2" s="1"/>
  <c r="I66" i="6"/>
  <c r="N21" i="8"/>
  <c r="N21" i="4"/>
  <c r="N21" i="6"/>
  <c r="G58" i="8"/>
  <c r="H17" i="9"/>
  <c r="G58" i="6"/>
  <c r="G58" i="4"/>
  <c r="X51" i="8"/>
  <c r="X51" i="4"/>
  <c r="L72" i="2" s="1"/>
  <c r="X51" i="6"/>
  <c r="K31" i="6"/>
  <c r="K31" i="8"/>
  <c r="K31" i="4"/>
  <c r="D81" i="2" s="1"/>
  <c r="I33" i="6"/>
  <c r="I33" i="8"/>
  <c r="I33" i="4"/>
  <c r="O12" i="7"/>
  <c r="O12" i="5"/>
  <c r="O12" i="3"/>
  <c r="L35" i="8"/>
  <c r="L35" i="6"/>
  <c r="L35" i="4"/>
  <c r="H35" i="6"/>
  <c r="H35" i="4"/>
  <c r="H35" i="8"/>
  <c r="I12" i="9"/>
  <c r="G34" i="8"/>
  <c r="G34" i="6"/>
  <c r="G34" i="4"/>
  <c r="H61" i="8"/>
  <c r="H61" i="6"/>
  <c r="H61" i="4"/>
  <c r="B79" i="2" s="1"/>
  <c r="H62" i="6"/>
  <c r="H62" i="8"/>
  <c r="H66" i="10"/>
  <c r="H62" i="4"/>
  <c r="G62" i="10"/>
  <c r="J16" i="9"/>
  <c r="G55" i="8"/>
  <c r="G55" i="4"/>
  <c r="G55" i="6"/>
  <c r="Z56" i="8"/>
  <c r="Z56" i="4"/>
  <c r="Z56" i="6"/>
  <c r="J8" i="9"/>
  <c r="G15" i="8"/>
  <c r="G15" i="4"/>
  <c r="G15" i="6"/>
  <c r="T65" i="8"/>
  <c r="T65" i="6"/>
  <c r="T65" i="4"/>
  <c r="T66" i="10"/>
  <c r="Q12" i="7"/>
  <c r="Q12" i="5"/>
  <c r="Q12" i="3"/>
  <c r="P35" i="8"/>
  <c r="P35" i="6"/>
  <c r="P35" i="4"/>
  <c r="P12" i="7"/>
  <c r="P12" i="5"/>
  <c r="P12" i="3"/>
  <c r="L32" i="8"/>
  <c r="L32" i="6"/>
  <c r="L32" i="4"/>
  <c r="L36" i="10"/>
  <c r="H11" i="7"/>
  <c r="H11" i="5"/>
  <c r="H11" i="3"/>
  <c r="L41" i="6"/>
  <c r="L41" i="4"/>
  <c r="L41" i="8"/>
  <c r="K25" i="8"/>
  <c r="K25" i="6"/>
  <c r="K26" i="10"/>
  <c r="K25" i="4"/>
  <c r="V65" i="8"/>
  <c r="V65" i="6"/>
  <c r="V65" i="4"/>
  <c r="Z31" i="10"/>
  <c r="Q32" i="8"/>
  <c r="Q32" i="6"/>
  <c r="Q32" i="4"/>
  <c r="Q36" i="10"/>
  <c r="N32" i="6"/>
  <c r="N32" i="4"/>
  <c r="N32" i="8"/>
  <c r="N36" i="10"/>
  <c r="R12" i="5"/>
  <c r="R12" i="7"/>
  <c r="R12" i="3"/>
  <c r="J32" i="6"/>
  <c r="J32" i="4"/>
  <c r="J32" i="8"/>
  <c r="J36" i="10"/>
  <c r="I32" i="8"/>
  <c r="I32" i="6"/>
  <c r="I32" i="4"/>
  <c r="I36" i="10"/>
  <c r="T31" i="6"/>
  <c r="T31" i="4"/>
  <c r="J81" i="2" s="1"/>
  <c r="T31" i="8"/>
  <c r="J61" i="8"/>
  <c r="J61" i="6"/>
  <c r="J61" i="4"/>
  <c r="O41" i="6"/>
  <c r="O41" i="4"/>
  <c r="F82" i="2" s="1"/>
  <c r="O41" i="8"/>
  <c r="R10" i="10"/>
  <c r="R7" i="10"/>
  <c r="N10" i="10"/>
  <c r="P8" i="10"/>
  <c r="O8" i="10"/>
  <c r="I7" i="10"/>
  <c r="H10" i="10"/>
  <c r="P7" i="10"/>
  <c r="P10" i="10"/>
  <c r="L10" i="10"/>
  <c r="Q7" i="9"/>
  <c r="H7" i="10"/>
  <c r="R8" i="10"/>
  <c r="J7" i="10"/>
  <c r="O7" i="10"/>
  <c r="O7" i="9"/>
  <c r="N7" i="10"/>
  <c r="O10" i="10"/>
  <c r="N8" i="10"/>
  <c r="P7" i="9"/>
  <c r="L7" i="9"/>
  <c r="N7" i="9"/>
  <c r="L8" i="10"/>
  <c r="L7" i="10"/>
  <c r="I8" i="10"/>
  <c r="I10" i="10"/>
  <c r="Q8" i="10"/>
  <c r="Q10" i="10"/>
  <c r="Q7" i="10"/>
  <c r="H26" i="8"/>
  <c r="H26" i="6"/>
  <c r="H26" i="4"/>
  <c r="B74" i="2" s="1"/>
  <c r="G26" i="10"/>
  <c r="K60" i="8"/>
  <c r="K60" i="6"/>
  <c r="K60" i="4"/>
  <c r="K61" i="10"/>
  <c r="G61" i="10" s="1"/>
  <c r="X11" i="8"/>
  <c r="X11" i="6"/>
  <c r="X11" i="4"/>
  <c r="L76" i="2" s="1"/>
  <c r="H37" i="4"/>
  <c r="H37" i="8"/>
  <c r="H37" i="6"/>
  <c r="H41" i="10"/>
  <c r="G37" i="10"/>
  <c r="V40" i="6"/>
  <c r="V40" i="4"/>
  <c r="V40" i="8"/>
  <c r="J41" i="6"/>
  <c r="J41" i="4"/>
  <c r="J41" i="8"/>
  <c r="Q35" i="6"/>
  <c r="Q35" i="4"/>
  <c r="Q35" i="8"/>
  <c r="N35" i="6"/>
  <c r="N35" i="4"/>
  <c r="N35" i="8"/>
  <c r="R35" i="8"/>
  <c r="R35" i="6"/>
  <c r="R35" i="4"/>
  <c r="J35" i="8"/>
  <c r="J35" i="4"/>
  <c r="K35" i="10"/>
  <c r="J35" i="6"/>
  <c r="O21" i="8"/>
  <c r="O21" i="6"/>
  <c r="O21" i="4"/>
  <c r="F80" i="2" s="1"/>
  <c r="B47" i="12"/>
  <c r="B48" i="12"/>
  <c r="J10" i="10" s="1"/>
  <c r="V10" i="10"/>
  <c r="U10" i="10"/>
  <c r="W11" i="8"/>
  <c r="W11" i="4"/>
  <c r="K76" i="2" s="1"/>
  <c r="W11" i="6"/>
  <c r="J11" i="7"/>
  <c r="J11" i="3"/>
  <c r="J11" i="5"/>
  <c r="G12" i="6"/>
  <c r="G8" i="9"/>
  <c r="G12" i="8"/>
  <c r="G12" i="4"/>
  <c r="P41" i="8"/>
  <c r="P41" i="6"/>
  <c r="P41" i="4"/>
  <c r="G82" i="2" s="1"/>
  <c r="T26" i="8"/>
  <c r="T26" i="6"/>
  <c r="T26" i="4"/>
  <c r="J74" i="2" s="1"/>
  <c r="M9" i="7"/>
  <c r="M9" i="5"/>
  <c r="M9" i="3"/>
  <c r="H65" i="6"/>
  <c r="H65" i="4"/>
  <c r="G65" i="10"/>
  <c r="H65" i="8"/>
  <c r="Q66" i="8"/>
  <c r="Q66" i="6"/>
  <c r="Q66" i="4"/>
  <c r="R21" i="8"/>
  <c r="R21" i="6"/>
  <c r="R21" i="4"/>
  <c r="H80" i="2" s="1"/>
  <c r="V20" i="8"/>
  <c r="V20" i="6"/>
  <c r="V20" i="4"/>
  <c r="G23" i="8"/>
  <c r="H10" i="9"/>
  <c r="G23" i="4"/>
  <c r="G23" i="6"/>
  <c r="H63" i="4"/>
  <c r="H63" i="6"/>
  <c r="H63" i="8"/>
  <c r="G63" i="10"/>
  <c r="M81" i="2"/>
  <c r="R66" i="6"/>
  <c r="R66" i="4"/>
  <c r="H77" i="2" s="1"/>
  <c r="R66" i="8"/>
  <c r="G25" i="10"/>
  <c r="Q33" i="6"/>
  <c r="Q33" i="4"/>
  <c r="Q33" i="8"/>
  <c r="R33" i="8"/>
  <c r="R33" i="6"/>
  <c r="R33" i="4"/>
  <c r="R32" i="8"/>
  <c r="R32" i="6"/>
  <c r="R36" i="10"/>
  <c r="R32" i="4"/>
  <c r="P32" i="8"/>
  <c r="P36" i="10"/>
  <c r="P32" i="6"/>
  <c r="P32" i="4"/>
  <c r="T60" i="4"/>
  <c r="T60" i="8"/>
  <c r="T60" i="6"/>
  <c r="T61" i="10"/>
  <c r="I18" i="7"/>
  <c r="I18" i="5"/>
  <c r="I18" i="3"/>
  <c r="O66" i="4"/>
  <c r="F77" i="2" s="1"/>
  <c r="O66" i="8"/>
  <c r="O66" i="6"/>
  <c r="D75" i="2"/>
  <c r="M75" i="2" s="1"/>
  <c r="L21" i="6"/>
  <c r="L21" i="4"/>
  <c r="E80" i="2" s="1"/>
  <c r="L21" i="8"/>
  <c r="I9" i="7"/>
  <c r="I9" i="5"/>
  <c r="I9" i="3"/>
  <c r="H18" i="6"/>
  <c r="H18" i="8"/>
  <c r="H18" i="4"/>
  <c r="G18" i="10"/>
  <c r="I47" i="12"/>
  <c r="I48" i="12"/>
  <c r="J45" i="10" s="1"/>
  <c r="U45" i="10"/>
  <c r="V45" i="10"/>
  <c r="H16" i="8"/>
  <c r="H16" i="6"/>
  <c r="H16" i="4"/>
  <c r="B83" i="2" s="1"/>
  <c r="Z16" i="10"/>
  <c r="G16" i="10"/>
  <c r="L15" i="9"/>
  <c r="L50" i="10"/>
  <c r="I47" i="10"/>
  <c r="N47" i="10"/>
  <c r="Q15" i="9"/>
  <c r="O47" i="10"/>
  <c r="P48" i="10"/>
  <c r="R47" i="10"/>
  <c r="J47" i="10"/>
  <c r="R48" i="10"/>
  <c r="O50" i="10"/>
  <c r="N50" i="10"/>
  <c r="I48" i="10"/>
  <c r="H50" i="10"/>
  <c r="R50" i="10"/>
  <c r="Q48" i="10"/>
  <c r="N15" i="9"/>
  <c r="P15" i="9"/>
  <c r="L48" i="10"/>
  <c r="O15" i="9"/>
  <c r="N48" i="10"/>
  <c r="P50" i="10"/>
  <c r="P47" i="10"/>
  <c r="O48" i="10"/>
  <c r="I50" i="10"/>
  <c r="L47" i="10"/>
  <c r="Q50" i="10"/>
  <c r="Q47" i="10"/>
  <c r="J66" i="8"/>
  <c r="J66" i="6"/>
  <c r="J66" i="4"/>
  <c r="R13" i="7"/>
  <c r="R13" i="5"/>
  <c r="R13" i="3"/>
  <c r="J20" i="6"/>
  <c r="J20" i="4"/>
  <c r="J20" i="8"/>
  <c r="K20" i="10"/>
  <c r="N41" i="8"/>
  <c r="N41" i="6"/>
  <c r="N41" i="4"/>
  <c r="G11" i="7"/>
  <c r="G11" i="5"/>
  <c r="G11" i="3"/>
  <c r="I35" i="8"/>
  <c r="I35" i="6"/>
  <c r="I35" i="4"/>
  <c r="H32" i="10"/>
  <c r="H33" i="10"/>
  <c r="L12" i="5"/>
  <c r="L12" i="7"/>
  <c r="L12" i="3"/>
  <c r="I21" i="8"/>
  <c r="I21" i="4"/>
  <c r="C80" i="2" s="1"/>
  <c r="I21" i="6"/>
  <c r="T44" i="8"/>
  <c r="T44" i="4"/>
  <c r="G44" i="10"/>
  <c r="T44" i="6"/>
  <c r="Q41" i="8"/>
  <c r="Q41" i="6"/>
  <c r="Q41" i="4"/>
  <c r="P21" i="6"/>
  <c r="P21" i="4"/>
  <c r="G80" i="2" s="1"/>
  <c r="P21" i="8"/>
  <c r="N66" i="8"/>
  <c r="N66" i="6"/>
  <c r="N66" i="4"/>
  <c r="T56" i="8"/>
  <c r="T56" i="6"/>
  <c r="T56" i="4"/>
  <c r="J75" i="2" s="1"/>
  <c r="R42" i="10"/>
  <c r="O45" i="10"/>
  <c r="O43" i="10"/>
  <c r="P42" i="10"/>
  <c r="R45" i="10"/>
  <c r="P45" i="10"/>
  <c r="N14" i="9"/>
  <c r="L14" i="9"/>
  <c r="J42" i="10"/>
  <c r="Q14" i="9"/>
  <c r="O42" i="10"/>
  <c r="L45" i="10"/>
  <c r="L42" i="10"/>
  <c r="P14" i="9"/>
  <c r="Q43" i="10"/>
  <c r="N42" i="10"/>
  <c r="L43" i="10"/>
  <c r="P43" i="10"/>
  <c r="N43" i="10"/>
  <c r="R43" i="10"/>
  <c r="N45" i="10"/>
  <c r="O14" i="9"/>
  <c r="I42" i="10"/>
  <c r="H42" i="10"/>
  <c r="I43" i="10"/>
  <c r="I45" i="10"/>
  <c r="Q45" i="10"/>
  <c r="Q42" i="10"/>
  <c r="J47" i="12"/>
  <c r="J48" i="12"/>
  <c r="J50" i="10" s="1"/>
  <c r="V50" i="10"/>
  <c r="U50" i="10"/>
  <c r="H38" i="8"/>
  <c r="H38" i="6"/>
  <c r="H38" i="4"/>
  <c r="G38" i="10"/>
  <c r="H17" i="6"/>
  <c r="H17" i="8"/>
  <c r="H17" i="4"/>
  <c r="G17" i="10"/>
  <c r="H21" i="10"/>
  <c r="T20" i="6"/>
  <c r="T20" i="8"/>
  <c r="T20" i="4"/>
  <c r="T21" i="10"/>
  <c r="G16" i="5"/>
  <c r="G16" i="3"/>
  <c r="G16" i="7"/>
  <c r="O33" i="8"/>
  <c r="O33" i="6"/>
  <c r="O33" i="4"/>
  <c r="N33" i="8"/>
  <c r="N33" i="6"/>
  <c r="N33" i="4"/>
  <c r="P33" i="8"/>
  <c r="P33" i="6"/>
  <c r="P33" i="4"/>
  <c r="O32" i="4"/>
  <c r="O32" i="6"/>
  <c r="O32" i="8"/>
  <c r="O36" i="10"/>
  <c r="I41" i="6"/>
  <c r="I41" i="4"/>
  <c r="C82" i="2" s="1"/>
  <c r="I41" i="8"/>
  <c r="G22" i="8"/>
  <c r="G10" i="9"/>
  <c r="G22" i="6"/>
  <c r="G22" i="4"/>
  <c r="W51" i="8"/>
  <c r="W51" i="6"/>
  <c r="W51" i="4"/>
  <c r="K72" i="2" s="1"/>
  <c r="M18" i="7"/>
  <c r="M18" i="3"/>
  <c r="M18" i="5"/>
  <c r="U35" i="8"/>
  <c r="U35" i="6"/>
  <c r="T35" i="10"/>
  <c r="U35" i="4"/>
  <c r="E83" i="2"/>
  <c r="L66" i="8"/>
  <c r="L66" i="6"/>
  <c r="L66" i="4"/>
  <c r="E77" i="2" s="1"/>
  <c r="T49" i="8"/>
  <c r="G49" i="10"/>
  <c r="T49" i="6"/>
  <c r="T49" i="4"/>
  <c r="X46" i="8"/>
  <c r="X46" i="6"/>
  <c r="X46" i="4"/>
  <c r="L73" i="2" s="1"/>
  <c r="J21" i="10"/>
  <c r="W46" i="8"/>
  <c r="W46" i="6"/>
  <c r="W46" i="4"/>
  <c r="K73" i="2" s="1"/>
  <c r="J40" i="6"/>
  <c r="J40" i="8"/>
  <c r="K40" i="10"/>
  <c r="G40" i="10" s="1"/>
  <c r="J40" i="4"/>
  <c r="R9" i="7"/>
  <c r="R9" i="5"/>
  <c r="R9" i="3"/>
  <c r="H16" i="3"/>
  <c r="H16" i="5"/>
  <c r="H16" i="7"/>
  <c r="T9" i="8"/>
  <c r="G9" i="10"/>
  <c r="T9" i="4"/>
  <c r="T9" i="6"/>
  <c r="J17" i="9"/>
  <c r="G60" i="8"/>
  <c r="G60" i="6"/>
  <c r="G60" i="4"/>
  <c r="Q21" i="6"/>
  <c r="Q21" i="8"/>
  <c r="Q21" i="4"/>
  <c r="G57" i="8"/>
  <c r="G17" i="9"/>
  <c r="G57" i="4"/>
  <c r="G57" i="6"/>
  <c r="G13" i="8"/>
  <c r="H8" i="9"/>
  <c r="G13" i="6"/>
  <c r="G13" i="4"/>
  <c r="G56" i="10"/>
  <c r="L33" i="8"/>
  <c r="L33" i="4"/>
  <c r="L33" i="6"/>
  <c r="N12" i="7"/>
  <c r="N12" i="3"/>
  <c r="N12" i="5"/>
  <c r="O35" i="8"/>
  <c r="O35" i="4"/>
  <c r="O35" i="6"/>
  <c r="R41" i="8"/>
  <c r="R41" i="6"/>
  <c r="R41" i="4"/>
  <c r="H82" i="2" s="1"/>
  <c r="V35" i="8"/>
  <c r="V35" i="6"/>
  <c r="V35" i="4"/>
  <c r="E79" i="2"/>
  <c r="M13" i="7"/>
  <c r="M13" i="5"/>
  <c r="M13" i="3"/>
  <c r="K65" i="8"/>
  <c r="K65" i="6"/>
  <c r="K66" i="10"/>
  <c r="K65" i="4"/>
  <c r="H20" i="8"/>
  <c r="G20" i="10"/>
  <c r="H20" i="4"/>
  <c r="H20" i="6"/>
  <c r="J45" i="6" l="1"/>
  <c r="J45" i="8"/>
  <c r="K45" i="10"/>
  <c r="J45" i="4"/>
  <c r="J13" i="9"/>
  <c r="G40" i="6"/>
  <c r="G40" i="4"/>
  <c r="G40" i="8"/>
  <c r="J50" i="8"/>
  <c r="K50" i="10"/>
  <c r="J50" i="4"/>
  <c r="J50" i="6"/>
  <c r="J10" i="8"/>
  <c r="J10" i="6"/>
  <c r="J10" i="4"/>
  <c r="K10" i="10"/>
  <c r="F17" i="9"/>
  <c r="G61" i="8"/>
  <c r="G61" i="6"/>
  <c r="G61" i="4"/>
  <c r="G17" i="7"/>
  <c r="G17" i="5"/>
  <c r="G17" i="3"/>
  <c r="L45" i="8"/>
  <c r="L45" i="6"/>
  <c r="L45" i="4"/>
  <c r="Q47" i="8"/>
  <c r="Q47" i="6"/>
  <c r="Q47" i="4"/>
  <c r="Q51" i="10"/>
  <c r="N48" i="8"/>
  <c r="N48" i="6"/>
  <c r="N48" i="4"/>
  <c r="H50" i="8"/>
  <c r="H50" i="4"/>
  <c r="H50" i="6"/>
  <c r="P48" i="8"/>
  <c r="P48" i="4"/>
  <c r="P48" i="6"/>
  <c r="L15" i="3"/>
  <c r="L15" i="7"/>
  <c r="L15" i="5"/>
  <c r="H10" i="7"/>
  <c r="H10" i="5"/>
  <c r="H10" i="3"/>
  <c r="Q8" i="8"/>
  <c r="Q8" i="6"/>
  <c r="Q8" i="4"/>
  <c r="L7" i="7"/>
  <c r="L7" i="5"/>
  <c r="L7" i="3"/>
  <c r="R8" i="8"/>
  <c r="R8" i="6"/>
  <c r="R8" i="4"/>
  <c r="H10" i="6"/>
  <c r="H10" i="8"/>
  <c r="G10" i="10"/>
  <c r="H10" i="4"/>
  <c r="I36" i="8"/>
  <c r="I36" i="4"/>
  <c r="C78" i="2" s="1"/>
  <c r="I36" i="6"/>
  <c r="K26" i="6"/>
  <c r="K26" i="8"/>
  <c r="K26" i="4"/>
  <c r="D74" i="2" s="1"/>
  <c r="H66" i="8"/>
  <c r="H66" i="6"/>
  <c r="H66" i="4"/>
  <c r="B77" i="2" s="1"/>
  <c r="Z66" i="10"/>
  <c r="G66" i="10"/>
  <c r="K16" i="8"/>
  <c r="K16" i="6"/>
  <c r="K16" i="4"/>
  <c r="D83" i="2" s="1"/>
  <c r="Q50" i="8"/>
  <c r="Q50" i="6"/>
  <c r="Q50" i="4"/>
  <c r="O15" i="7"/>
  <c r="O15" i="3"/>
  <c r="O15" i="5"/>
  <c r="I48" i="8"/>
  <c r="I48" i="6"/>
  <c r="I48" i="4"/>
  <c r="O47" i="6"/>
  <c r="O47" i="4"/>
  <c r="O51" i="10"/>
  <c r="O47" i="8"/>
  <c r="F8" i="9"/>
  <c r="G16" i="8"/>
  <c r="G16" i="6"/>
  <c r="G16" i="4"/>
  <c r="P36" i="6"/>
  <c r="P36" i="4"/>
  <c r="G78" i="2" s="1"/>
  <c r="P36" i="8"/>
  <c r="F10" i="9"/>
  <c r="G26" i="6"/>
  <c r="G26" i="8"/>
  <c r="G26" i="4"/>
  <c r="I10" i="8"/>
  <c r="I10" i="6"/>
  <c r="I10" i="4"/>
  <c r="P7" i="5"/>
  <c r="P7" i="7"/>
  <c r="P7" i="3"/>
  <c r="H7" i="8"/>
  <c r="H7" i="6"/>
  <c r="G7" i="10"/>
  <c r="H7" i="4"/>
  <c r="I7" i="6"/>
  <c r="I7" i="4"/>
  <c r="I11" i="10"/>
  <c r="I7" i="8"/>
  <c r="H17" i="7"/>
  <c r="H17" i="5"/>
  <c r="H17" i="3"/>
  <c r="T41" i="6"/>
  <c r="T41" i="4"/>
  <c r="J82" i="2" s="1"/>
  <c r="T41" i="8"/>
  <c r="I14" i="9"/>
  <c r="G44" i="8"/>
  <c r="G44" i="4"/>
  <c r="G44" i="6"/>
  <c r="R15" i="9"/>
  <c r="L48" i="6"/>
  <c r="L48" i="4"/>
  <c r="L48" i="8"/>
  <c r="N50" i="8"/>
  <c r="N50" i="4"/>
  <c r="N50" i="6"/>
  <c r="Q15" i="7"/>
  <c r="Q15" i="5"/>
  <c r="Q15" i="3"/>
  <c r="Z16" i="8"/>
  <c r="Z16" i="4"/>
  <c r="Z16" i="6"/>
  <c r="G18" i="8"/>
  <c r="H9" i="9"/>
  <c r="G18" i="6"/>
  <c r="G18" i="4"/>
  <c r="H18" i="9"/>
  <c r="G63" i="8"/>
  <c r="G63" i="4"/>
  <c r="G63" i="6"/>
  <c r="G8" i="7"/>
  <c r="G8" i="5"/>
  <c r="G8" i="3"/>
  <c r="U10" i="6"/>
  <c r="U10" i="8"/>
  <c r="U10" i="4"/>
  <c r="T10" i="10"/>
  <c r="K35" i="8"/>
  <c r="K36" i="10"/>
  <c r="K35" i="6"/>
  <c r="K35" i="4"/>
  <c r="Z26" i="10"/>
  <c r="R7" i="9"/>
  <c r="N8" i="8"/>
  <c r="N8" i="6"/>
  <c r="N8" i="4"/>
  <c r="Q7" i="7"/>
  <c r="Q7" i="3"/>
  <c r="Q7" i="5"/>
  <c r="O8" i="6"/>
  <c r="O8" i="8"/>
  <c r="O8" i="4"/>
  <c r="L36" i="8"/>
  <c r="L36" i="4"/>
  <c r="E78" i="2" s="1"/>
  <c r="L36" i="6"/>
  <c r="V50" i="6"/>
  <c r="V50" i="4"/>
  <c r="V50" i="8"/>
  <c r="H42" i="8"/>
  <c r="H42" i="6"/>
  <c r="G42" i="10"/>
  <c r="H42" i="4"/>
  <c r="N43" i="8"/>
  <c r="N43" i="6"/>
  <c r="N43" i="4"/>
  <c r="P42" i="8"/>
  <c r="P46" i="10"/>
  <c r="P42" i="6"/>
  <c r="P42" i="4"/>
  <c r="G56" i="8"/>
  <c r="G56" i="4"/>
  <c r="F16" i="9"/>
  <c r="G56" i="6"/>
  <c r="G49" i="6"/>
  <c r="G49" i="4"/>
  <c r="I15" i="9"/>
  <c r="G49" i="8"/>
  <c r="T35" i="6"/>
  <c r="T35" i="4"/>
  <c r="T35" i="8"/>
  <c r="T36" i="10"/>
  <c r="O36" i="6"/>
  <c r="O36" i="8"/>
  <c r="O36" i="4"/>
  <c r="F78" i="2" s="1"/>
  <c r="I42" i="6"/>
  <c r="I42" i="8"/>
  <c r="I42" i="4"/>
  <c r="I46" i="10"/>
  <c r="M14" i="9"/>
  <c r="O42" i="8"/>
  <c r="O42" i="6"/>
  <c r="O42" i="4"/>
  <c r="O46" i="10"/>
  <c r="O43" i="6"/>
  <c r="O43" i="8"/>
  <c r="O43" i="4"/>
  <c r="P43" i="6"/>
  <c r="P43" i="4"/>
  <c r="P43" i="8"/>
  <c r="I7" i="9"/>
  <c r="G9" i="6"/>
  <c r="G9" i="4"/>
  <c r="G9" i="8"/>
  <c r="I8" i="8"/>
  <c r="I8" i="6"/>
  <c r="I8" i="4"/>
  <c r="O10" i="8"/>
  <c r="O10" i="6"/>
  <c r="O10" i="4"/>
  <c r="L10" i="8"/>
  <c r="L10" i="6"/>
  <c r="L10" i="4"/>
  <c r="P8" i="8"/>
  <c r="P8" i="4"/>
  <c r="P8" i="6"/>
  <c r="N36" i="6"/>
  <c r="N36" i="8"/>
  <c r="N36" i="4"/>
  <c r="Z31" i="8"/>
  <c r="Z31" i="6"/>
  <c r="Z31" i="4"/>
  <c r="I12" i="7"/>
  <c r="I12" i="3"/>
  <c r="I12" i="5"/>
  <c r="G20" i="8"/>
  <c r="G20" i="6"/>
  <c r="G20" i="4"/>
  <c r="J9" i="9"/>
  <c r="J17" i="7"/>
  <c r="J17" i="5"/>
  <c r="J17" i="3"/>
  <c r="M83" i="2"/>
  <c r="V10" i="6"/>
  <c r="V10" i="4"/>
  <c r="V10" i="8"/>
  <c r="G10" i="5"/>
  <c r="G10" i="7"/>
  <c r="G10" i="3"/>
  <c r="Q45" i="6"/>
  <c r="Q45" i="4"/>
  <c r="Q45" i="8"/>
  <c r="N45" i="8"/>
  <c r="N45" i="4"/>
  <c r="N45" i="6"/>
  <c r="N42" i="8"/>
  <c r="N42" i="6"/>
  <c r="N42" i="4"/>
  <c r="N46" i="10"/>
  <c r="L14" i="7"/>
  <c r="L14" i="5"/>
  <c r="L14" i="3"/>
  <c r="H32" i="8"/>
  <c r="H36" i="10"/>
  <c r="H32" i="4"/>
  <c r="G32" i="10"/>
  <c r="H32" i="6"/>
  <c r="I50" i="8"/>
  <c r="I50" i="6"/>
  <c r="I50" i="4"/>
  <c r="M15" i="9"/>
  <c r="R48" i="8"/>
  <c r="R48" i="4"/>
  <c r="R48" i="6"/>
  <c r="N47" i="8"/>
  <c r="N47" i="6"/>
  <c r="N47" i="4"/>
  <c r="N51" i="10"/>
  <c r="R36" i="6"/>
  <c r="R36" i="4"/>
  <c r="H78" i="2" s="1"/>
  <c r="R36" i="8"/>
  <c r="J18" i="9"/>
  <c r="G65" i="8"/>
  <c r="G65" i="6"/>
  <c r="G65" i="4"/>
  <c r="L7" i="8"/>
  <c r="L7" i="4"/>
  <c r="L11" i="10"/>
  <c r="L7" i="6"/>
  <c r="N7" i="6"/>
  <c r="N7" i="8"/>
  <c r="N7" i="4"/>
  <c r="N11" i="10"/>
  <c r="M7" i="9"/>
  <c r="N10" i="8"/>
  <c r="N10" i="4"/>
  <c r="N10" i="6"/>
  <c r="J36" i="8"/>
  <c r="J36" i="6"/>
  <c r="J36" i="4"/>
  <c r="G35" i="10"/>
  <c r="F11" i="3"/>
  <c r="F11" i="7"/>
  <c r="F11" i="5"/>
  <c r="H13" i="9"/>
  <c r="G38" i="8"/>
  <c r="G38" i="4"/>
  <c r="G38" i="6"/>
  <c r="Q42" i="8"/>
  <c r="Q42" i="6"/>
  <c r="Q42" i="4"/>
  <c r="Q46" i="10"/>
  <c r="O14" i="7"/>
  <c r="O14" i="5"/>
  <c r="O14" i="3"/>
  <c r="L43" i="8"/>
  <c r="L43" i="6"/>
  <c r="L43" i="4"/>
  <c r="J42" i="8"/>
  <c r="J42" i="6"/>
  <c r="J42" i="4"/>
  <c r="J46" i="10"/>
  <c r="R42" i="6"/>
  <c r="R42" i="4"/>
  <c r="R46" i="10"/>
  <c r="R42" i="8"/>
  <c r="H33" i="8"/>
  <c r="H33" i="6"/>
  <c r="H33" i="4"/>
  <c r="G33" i="10"/>
  <c r="L47" i="8"/>
  <c r="L51" i="10"/>
  <c r="L47" i="6"/>
  <c r="L47" i="4"/>
  <c r="P15" i="7"/>
  <c r="P15" i="5"/>
  <c r="P15" i="3"/>
  <c r="O50" i="8"/>
  <c r="O50" i="6"/>
  <c r="O50" i="4"/>
  <c r="H48" i="10"/>
  <c r="T61" i="8"/>
  <c r="T61" i="6"/>
  <c r="T61" i="4"/>
  <c r="J79" i="2" s="1"/>
  <c r="M74" i="2"/>
  <c r="H8" i="5"/>
  <c r="H8" i="7"/>
  <c r="H8" i="3"/>
  <c r="K40" i="8"/>
  <c r="K40" i="6"/>
  <c r="K40" i="4"/>
  <c r="K41" i="10"/>
  <c r="I45" i="8"/>
  <c r="I45" i="6"/>
  <c r="I45" i="4"/>
  <c r="R43" i="8"/>
  <c r="R43" i="4"/>
  <c r="R43" i="6"/>
  <c r="Q43" i="6"/>
  <c r="Q43" i="4"/>
  <c r="Q43" i="8"/>
  <c r="N14" i="7"/>
  <c r="N14" i="5"/>
  <c r="N14" i="3"/>
  <c r="O48" i="8"/>
  <c r="O48" i="6"/>
  <c r="O48" i="4"/>
  <c r="N15" i="5"/>
  <c r="N15" i="3"/>
  <c r="N15" i="7"/>
  <c r="J47" i="8"/>
  <c r="J47" i="4"/>
  <c r="J47" i="6"/>
  <c r="J51" i="10"/>
  <c r="H47" i="10"/>
  <c r="J10" i="9"/>
  <c r="G25" i="8"/>
  <c r="G25" i="6"/>
  <c r="G25" i="4"/>
  <c r="G13" i="9"/>
  <c r="G37" i="8"/>
  <c r="G37" i="6"/>
  <c r="G37" i="4"/>
  <c r="K61" i="8"/>
  <c r="K61" i="4"/>
  <c r="D79" i="2" s="1"/>
  <c r="M79" i="2" s="1"/>
  <c r="K61" i="6"/>
  <c r="L8" i="6"/>
  <c r="L8" i="4"/>
  <c r="L8" i="8"/>
  <c r="O7" i="7"/>
  <c r="O7" i="5"/>
  <c r="O7" i="3"/>
  <c r="H8" i="10"/>
  <c r="R7" i="8"/>
  <c r="R7" i="6"/>
  <c r="R11" i="10"/>
  <c r="R7" i="4"/>
  <c r="E82" i="2"/>
  <c r="J16" i="7"/>
  <c r="J16" i="3"/>
  <c r="J16" i="5"/>
  <c r="Z61" i="10"/>
  <c r="T21" i="6"/>
  <c r="T21" i="4"/>
  <c r="J80" i="2" s="1"/>
  <c r="T21" i="8"/>
  <c r="R14" i="9"/>
  <c r="Q14" i="5"/>
  <c r="Q14" i="3"/>
  <c r="Q14" i="7"/>
  <c r="O45" i="8"/>
  <c r="O45" i="6"/>
  <c r="O45" i="4"/>
  <c r="K66" i="6"/>
  <c r="K66" i="8"/>
  <c r="K66" i="4"/>
  <c r="D77" i="2" s="1"/>
  <c r="J21" i="8"/>
  <c r="J21" i="6"/>
  <c r="J21" i="4"/>
  <c r="H21" i="8"/>
  <c r="H21" i="4"/>
  <c r="B80" i="2" s="1"/>
  <c r="H21" i="6"/>
  <c r="Z21" i="10"/>
  <c r="I43" i="8"/>
  <c r="I43" i="4"/>
  <c r="I43" i="6"/>
  <c r="H43" i="10"/>
  <c r="P14" i="7"/>
  <c r="P14" i="5"/>
  <c r="P14" i="3"/>
  <c r="P45" i="8"/>
  <c r="P45" i="4"/>
  <c r="P45" i="6"/>
  <c r="K20" i="8"/>
  <c r="K20" i="4"/>
  <c r="K20" i="6"/>
  <c r="K21" i="10"/>
  <c r="P47" i="6"/>
  <c r="P47" i="4"/>
  <c r="P51" i="10"/>
  <c r="P47" i="8"/>
  <c r="Q48" i="8"/>
  <c r="Q48" i="6"/>
  <c r="Q48" i="4"/>
  <c r="I47" i="8"/>
  <c r="I51" i="10"/>
  <c r="I47" i="6"/>
  <c r="I47" i="4"/>
  <c r="V45" i="8"/>
  <c r="V45" i="6"/>
  <c r="V45" i="4"/>
  <c r="H41" i="8"/>
  <c r="G41" i="10"/>
  <c r="H41" i="6"/>
  <c r="Z41" i="10"/>
  <c r="H41" i="4"/>
  <c r="B82" i="2" s="1"/>
  <c r="Q7" i="8"/>
  <c r="Q7" i="4"/>
  <c r="Q7" i="6"/>
  <c r="Q11" i="10"/>
  <c r="N7" i="7"/>
  <c r="N7" i="5"/>
  <c r="N7" i="3"/>
  <c r="O7" i="6"/>
  <c r="O7" i="8"/>
  <c r="O7" i="4"/>
  <c r="O11" i="10"/>
  <c r="P10" i="8"/>
  <c r="P10" i="6"/>
  <c r="P10" i="4"/>
  <c r="R10" i="6"/>
  <c r="R10" i="8"/>
  <c r="R10" i="4"/>
  <c r="J8" i="5"/>
  <c r="J8" i="7"/>
  <c r="J8" i="3"/>
  <c r="G18" i="9"/>
  <c r="G62" i="6"/>
  <c r="G62" i="8"/>
  <c r="G62" i="4"/>
  <c r="G17" i="8"/>
  <c r="G9" i="9"/>
  <c r="G17" i="6"/>
  <c r="G17" i="4"/>
  <c r="U50" i="8"/>
  <c r="U50" i="4"/>
  <c r="U50" i="6"/>
  <c r="T50" i="10"/>
  <c r="G50" i="10" s="1"/>
  <c r="H45" i="10"/>
  <c r="L42" i="8"/>
  <c r="L42" i="6"/>
  <c r="L42" i="4"/>
  <c r="L46" i="10"/>
  <c r="R45" i="8"/>
  <c r="R45" i="6"/>
  <c r="R45" i="4"/>
  <c r="P50" i="6"/>
  <c r="P50" i="4"/>
  <c r="P50" i="8"/>
  <c r="R50" i="8"/>
  <c r="R50" i="4"/>
  <c r="R50" i="6"/>
  <c r="R47" i="8"/>
  <c r="R47" i="4"/>
  <c r="R47" i="6"/>
  <c r="R51" i="10"/>
  <c r="L50" i="6"/>
  <c r="L50" i="4"/>
  <c r="L50" i="8"/>
  <c r="U45" i="8"/>
  <c r="U45" i="4"/>
  <c r="T45" i="10"/>
  <c r="U45" i="6"/>
  <c r="Q10" i="6"/>
  <c r="Q10" i="8"/>
  <c r="Q10" i="4"/>
  <c r="J7" i="4"/>
  <c r="J7" i="6"/>
  <c r="J11" i="10"/>
  <c r="J7" i="8"/>
  <c r="P7" i="6"/>
  <c r="P7" i="4"/>
  <c r="P7" i="8"/>
  <c r="P11" i="10"/>
  <c r="Q36" i="8"/>
  <c r="Q36" i="4"/>
  <c r="Q36" i="6"/>
  <c r="T66" i="8"/>
  <c r="T66" i="6"/>
  <c r="T66" i="4"/>
  <c r="J77" i="2" s="1"/>
  <c r="J15" i="9" l="1"/>
  <c r="G50" i="6"/>
  <c r="G50" i="8"/>
  <c r="G50" i="4"/>
  <c r="J11" i="8"/>
  <c r="J11" i="6"/>
  <c r="J11" i="4"/>
  <c r="H45" i="8"/>
  <c r="H45" i="6"/>
  <c r="H45" i="4"/>
  <c r="G45" i="10"/>
  <c r="H8" i="8"/>
  <c r="H8" i="4"/>
  <c r="H8" i="6"/>
  <c r="G8" i="10"/>
  <c r="G33" i="8"/>
  <c r="H12" i="9"/>
  <c r="G33" i="6"/>
  <c r="G33" i="4"/>
  <c r="J46" i="8"/>
  <c r="J46" i="6"/>
  <c r="J46" i="4"/>
  <c r="N46" i="6"/>
  <c r="N46" i="4"/>
  <c r="N46" i="8"/>
  <c r="I7" i="3"/>
  <c r="I7" i="5"/>
  <c r="I7" i="7"/>
  <c r="I15" i="7"/>
  <c r="I15" i="5"/>
  <c r="I15" i="3"/>
  <c r="I14" i="7"/>
  <c r="I14" i="3"/>
  <c r="I14" i="5"/>
  <c r="I11" i="8"/>
  <c r="I11" i="6"/>
  <c r="I11" i="4"/>
  <c r="C76" i="2" s="1"/>
  <c r="F8" i="7"/>
  <c r="F8" i="5"/>
  <c r="F8" i="3"/>
  <c r="K10" i="8"/>
  <c r="K10" i="4"/>
  <c r="K11" i="10"/>
  <c r="K10" i="6"/>
  <c r="H13" i="7"/>
  <c r="H13" i="5"/>
  <c r="H13" i="3"/>
  <c r="J18" i="7"/>
  <c r="J18" i="3"/>
  <c r="J18" i="5"/>
  <c r="G32" i="8"/>
  <c r="G12" i="9"/>
  <c r="G32" i="4"/>
  <c r="G32" i="6"/>
  <c r="P46" i="8"/>
  <c r="P46" i="6"/>
  <c r="P46" i="4"/>
  <c r="G73" i="2" s="1"/>
  <c r="H46" i="10"/>
  <c r="T10" i="6"/>
  <c r="T10" i="8"/>
  <c r="T10" i="4"/>
  <c r="T11" i="10"/>
  <c r="F10" i="7"/>
  <c r="F10" i="5"/>
  <c r="F10" i="3"/>
  <c r="G66" i="6"/>
  <c r="G66" i="4"/>
  <c r="G66" i="8"/>
  <c r="F18" i="9"/>
  <c r="P51" i="8"/>
  <c r="P51" i="6"/>
  <c r="P51" i="4"/>
  <c r="G72" i="2" s="1"/>
  <c r="H47" i="8"/>
  <c r="H47" i="6"/>
  <c r="H51" i="10"/>
  <c r="G47" i="10"/>
  <c r="H47" i="4"/>
  <c r="K41" i="8"/>
  <c r="K41" i="4"/>
  <c r="D82" i="2" s="1"/>
  <c r="K41" i="6"/>
  <c r="Q46" i="8"/>
  <c r="Q46" i="6"/>
  <c r="Q46" i="4"/>
  <c r="O51" i="8"/>
  <c r="O51" i="6"/>
  <c r="O51" i="4"/>
  <c r="F72" i="2" s="1"/>
  <c r="Z66" i="8"/>
  <c r="Z66" i="6"/>
  <c r="Z66" i="4"/>
  <c r="Q51" i="6"/>
  <c r="Q51" i="8"/>
  <c r="Q51" i="4"/>
  <c r="I51" i="8"/>
  <c r="I51" i="6"/>
  <c r="I51" i="4"/>
  <c r="C72" i="2" s="1"/>
  <c r="R14" i="3"/>
  <c r="R14" i="7"/>
  <c r="R14" i="5"/>
  <c r="J51" i="4"/>
  <c r="J51" i="8"/>
  <c r="J51" i="6"/>
  <c r="L11" i="6"/>
  <c r="L11" i="4"/>
  <c r="L11" i="8"/>
  <c r="H36" i="6"/>
  <c r="H36" i="4"/>
  <c r="B78" i="2" s="1"/>
  <c r="H36" i="8"/>
  <c r="G36" i="10"/>
  <c r="Z36" i="10"/>
  <c r="M14" i="7"/>
  <c r="M14" i="5"/>
  <c r="M14" i="3"/>
  <c r="T36" i="8"/>
  <c r="T36" i="6"/>
  <c r="T36" i="4"/>
  <c r="J78" i="2" s="1"/>
  <c r="R7" i="7"/>
  <c r="R7" i="3"/>
  <c r="R7" i="5"/>
  <c r="H18" i="7"/>
  <c r="H18" i="3"/>
  <c r="H18" i="5"/>
  <c r="M77" i="2"/>
  <c r="J13" i="7"/>
  <c r="J13" i="3"/>
  <c r="J13" i="5"/>
  <c r="T45" i="8"/>
  <c r="T45" i="6"/>
  <c r="T45" i="4"/>
  <c r="T46" i="10"/>
  <c r="Z41" i="8"/>
  <c r="Z41" i="6"/>
  <c r="Z41" i="4"/>
  <c r="Z21" i="8"/>
  <c r="Z21" i="4"/>
  <c r="Z21" i="6"/>
  <c r="M15" i="3"/>
  <c r="M15" i="7"/>
  <c r="M15" i="5"/>
  <c r="J9" i="7"/>
  <c r="J9" i="3"/>
  <c r="J9" i="5"/>
  <c r="I46" i="8"/>
  <c r="I46" i="6"/>
  <c r="I46" i="4"/>
  <c r="C73" i="2" s="1"/>
  <c r="F16" i="7"/>
  <c r="F16" i="3"/>
  <c r="F16" i="5"/>
  <c r="Z26" i="8"/>
  <c r="Z26" i="6"/>
  <c r="Z26" i="4"/>
  <c r="R15" i="5"/>
  <c r="R15" i="7"/>
  <c r="R15" i="3"/>
  <c r="H11" i="10"/>
  <c r="J10" i="5"/>
  <c r="J10" i="3"/>
  <c r="J10" i="7"/>
  <c r="L46" i="8"/>
  <c r="L46" i="4"/>
  <c r="E73" i="2" s="1"/>
  <c r="L46" i="6"/>
  <c r="G18" i="7"/>
  <c r="G18" i="5"/>
  <c r="G18" i="3"/>
  <c r="F13" i="9"/>
  <c r="G41" i="8"/>
  <c r="G41" i="6"/>
  <c r="G41" i="4"/>
  <c r="K21" i="8"/>
  <c r="K21" i="6"/>
  <c r="K21" i="4"/>
  <c r="P11" i="6"/>
  <c r="P11" i="8"/>
  <c r="P11" i="4"/>
  <c r="G76" i="2" s="1"/>
  <c r="Q11" i="8"/>
  <c r="Q11" i="4"/>
  <c r="Q11" i="6"/>
  <c r="R11" i="8"/>
  <c r="R11" i="6"/>
  <c r="R11" i="4"/>
  <c r="H76" i="2" s="1"/>
  <c r="G13" i="7"/>
  <c r="G13" i="5"/>
  <c r="G13" i="3"/>
  <c r="H48" i="6"/>
  <c r="H48" i="8"/>
  <c r="G48" i="10"/>
  <c r="H48" i="4"/>
  <c r="G7" i="8"/>
  <c r="G7" i="9"/>
  <c r="G7" i="6"/>
  <c r="G7" i="4"/>
  <c r="K45" i="6"/>
  <c r="K45" i="8"/>
  <c r="K45" i="4"/>
  <c r="K46" i="10"/>
  <c r="T50" i="8"/>
  <c r="T50" i="6"/>
  <c r="T50" i="4"/>
  <c r="T51" i="10"/>
  <c r="M82" i="2"/>
  <c r="G21" i="10"/>
  <c r="R46" i="8"/>
  <c r="R46" i="6"/>
  <c r="R46" i="4"/>
  <c r="H73" i="2" s="1"/>
  <c r="J12" i="9"/>
  <c r="G35" i="8"/>
  <c r="G35" i="6"/>
  <c r="G35" i="4"/>
  <c r="M7" i="7"/>
  <c r="M7" i="3"/>
  <c r="M7" i="5"/>
  <c r="N51" i="8"/>
  <c r="N51" i="6"/>
  <c r="N51" i="4"/>
  <c r="G10" i="8"/>
  <c r="G10" i="6"/>
  <c r="J7" i="9"/>
  <c r="G10" i="4"/>
  <c r="O11" i="8"/>
  <c r="O11" i="6"/>
  <c r="O11" i="4"/>
  <c r="F76" i="2" s="1"/>
  <c r="H43" i="8"/>
  <c r="H43" i="6"/>
  <c r="H43" i="4"/>
  <c r="G43" i="10"/>
  <c r="L51" i="6"/>
  <c r="L51" i="4"/>
  <c r="E72" i="2" s="1"/>
  <c r="L51" i="8"/>
  <c r="N11" i="6"/>
  <c r="N11" i="4"/>
  <c r="N11" i="8"/>
  <c r="H9" i="7"/>
  <c r="H9" i="3"/>
  <c r="H9" i="5"/>
  <c r="K50" i="6"/>
  <c r="K50" i="8"/>
  <c r="K50" i="4"/>
  <c r="K51" i="10"/>
  <c r="R51" i="8"/>
  <c r="R51" i="6"/>
  <c r="R51" i="4"/>
  <c r="H72" i="2" s="1"/>
  <c r="G9" i="3"/>
  <c r="G9" i="7"/>
  <c r="G9" i="5"/>
  <c r="D80" i="2"/>
  <c r="M80" i="2" s="1"/>
  <c r="Z61" i="8"/>
  <c r="Z61" i="6"/>
  <c r="Z61" i="4"/>
  <c r="O46" i="4"/>
  <c r="F73" i="2" s="1"/>
  <c r="O46" i="8"/>
  <c r="O46" i="6"/>
  <c r="G14" i="9"/>
  <c r="G42" i="8"/>
  <c r="G42" i="6"/>
  <c r="G42" i="4"/>
  <c r="K36" i="8"/>
  <c r="K36" i="6"/>
  <c r="K36" i="4"/>
  <c r="D78" i="2" s="1"/>
  <c r="F17" i="7"/>
  <c r="F17" i="5"/>
  <c r="F17" i="3"/>
  <c r="E76" i="2" l="1"/>
  <c r="G8" i="4"/>
  <c r="H7" i="9"/>
  <c r="G8" i="8"/>
  <c r="G8" i="6"/>
  <c r="T51" i="6"/>
  <c r="T51" i="4"/>
  <c r="J72" i="2" s="1"/>
  <c r="T51" i="8"/>
  <c r="T11" i="6"/>
  <c r="T11" i="4"/>
  <c r="J76" i="2" s="1"/>
  <c r="T11" i="8"/>
  <c r="D73" i="2"/>
  <c r="K51" i="8"/>
  <c r="K51" i="4"/>
  <c r="D72" i="2" s="1"/>
  <c r="K51" i="6"/>
  <c r="G14" i="5"/>
  <c r="G14" i="7"/>
  <c r="G14" i="3"/>
  <c r="J12" i="3"/>
  <c r="J12" i="5"/>
  <c r="J12" i="7"/>
  <c r="Z36" i="8"/>
  <c r="Z36" i="6"/>
  <c r="Z36" i="4"/>
  <c r="F18" i="7"/>
  <c r="F18" i="5"/>
  <c r="F18" i="3"/>
  <c r="G7" i="3"/>
  <c r="G7" i="7"/>
  <c r="G7" i="5"/>
  <c r="F13" i="7"/>
  <c r="F13" i="5"/>
  <c r="F13" i="3"/>
  <c r="F12" i="9"/>
  <c r="G36" i="8"/>
  <c r="G36" i="6"/>
  <c r="G36" i="4"/>
  <c r="G47" i="8"/>
  <c r="G15" i="9"/>
  <c r="G47" i="4"/>
  <c r="G47" i="6"/>
  <c r="G12" i="7"/>
  <c r="G12" i="5"/>
  <c r="G12" i="3"/>
  <c r="K46" i="6"/>
  <c r="K46" i="8"/>
  <c r="K46" i="4"/>
  <c r="H11" i="4"/>
  <c r="B76" i="2" s="1"/>
  <c r="H11" i="8"/>
  <c r="G11" i="10"/>
  <c r="H11" i="6"/>
  <c r="Z11" i="10"/>
  <c r="M78" i="2"/>
  <c r="H46" i="6"/>
  <c r="H46" i="4"/>
  <c r="B73" i="2" s="1"/>
  <c r="H46" i="8"/>
  <c r="G46" i="10"/>
  <c r="Z46" i="10"/>
  <c r="H51" i="8"/>
  <c r="H51" i="6"/>
  <c r="G51" i="10"/>
  <c r="H51" i="4"/>
  <c r="B72" i="2" s="1"/>
  <c r="Z51" i="10"/>
  <c r="K11" i="6"/>
  <c r="K11" i="4"/>
  <c r="D76" i="2" s="1"/>
  <c r="K11" i="8"/>
  <c r="J14" i="9"/>
  <c r="G45" i="8"/>
  <c r="G45" i="6"/>
  <c r="G45" i="4"/>
  <c r="G43" i="8"/>
  <c r="G43" i="6"/>
  <c r="G43" i="4"/>
  <c r="H14" i="9"/>
  <c r="J7" i="7"/>
  <c r="J7" i="5"/>
  <c r="J7" i="3"/>
  <c r="F9" i="9"/>
  <c r="G21" i="8"/>
  <c r="G21" i="4"/>
  <c r="G21" i="6"/>
  <c r="H15" i="9"/>
  <c r="G48" i="8"/>
  <c r="G48" i="6"/>
  <c r="G48" i="4"/>
  <c r="T46" i="8"/>
  <c r="T46" i="6"/>
  <c r="T46" i="4"/>
  <c r="J73" i="2" s="1"/>
  <c r="H12" i="5"/>
  <c r="H12" i="7"/>
  <c r="H12" i="3"/>
  <c r="J15" i="7"/>
  <c r="J15" i="5"/>
  <c r="J15" i="3"/>
  <c r="H14" i="7" l="1"/>
  <c r="H14" i="3"/>
  <c r="H14" i="5"/>
  <c r="M72" i="2"/>
  <c r="G15" i="7"/>
  <c r="G15" i="5"/>
  <c r="G15" i="3"/>
  <c r="H15" i="7"/>
  <c r="H15" i="5"/>
  <c r="H15" i="3"/>
  <c r="F9" i="3"/>
  <c r="F9" i="7"/>
  <c r="F9" i="5"/>
  <c r="F15" i="9"/>
  <c r="G51" i="8"/>
  <c r="G51" i="6"/>
  <c r="G51" i="4"/>
  <c r="Z11" i="6"/>
  <c r="Z11" i="8"/>
  <c r="Z11" i="4"/>
  <c r="Z46" i="6"/>
  <c r="Z46" i="8"/>
  <c r="Z46" i="4"/>
  <c r="F7" i="9"/>
  <c r="G11" i="8"/>
  <c r="G11" i="6"/>
  <c r="G11" i="4"/>
  <c r="G46" i="8"/>
  <c r="F14" i="9"/>
  <c r="G46" i="6"/>
  <c r="G46" i="4"/>
  <c r="F12" i="7"/>
  <c r="F12" i="3"/>
  <c r="F12" i="5"/>
  <c r="H7" i="3"/>
  <c r="H7" i="7"/>
  <c r="H7" i="5"/>
  <c r="M76" i="2"/>
  <c r="J14" i="3"/>
  <c r="J14" i="7"/>
  <c r="J14" i="5"/>
  <c r="Z51" i="8"/>
  <c r="Z51" i="4"/>
  <c r="Z51" i="6"/>
  <c r="M73" i="2"/>
  <c r="F15" i="7" l="1"/>
  <c r="F15" i="5"/>
  <c r="F15" i="3"/>
  <c r="F7" i="5"/>
  <c r="F7" i="7"/>
  <c r="F7" i="3"/>
  <c r="F14" i="7"/>
  <c r="F14" i="5"/>
  <c r="F1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Ludvig Karlsson</author>
  </authors>
  <commentList>
    <comment ref="B3" authorId="0" shapeId="0" xr:uid="{00000000-0006-0000-0B00-000001000000}">
      <text>
        <r>
          <rPr>
            <sz val="11"/>
            <color theme="1"/>
            <rFont val="Calibri"/>
            <family val="2"/>
            <scheme val="minor"/>
          </rPr>
          <t>Ludvig Karlsson:
Share 75% conventional Ross 308, 25% Rustic Gold</t>
        </r>
      </text>
    </comment>
    <comment ref="C3" authorId="0" shapeId="0" xr:uid="{00000000-0006-0000-0B00-000002000000}">
      <text>
        <r>
          <rPr>
            <sz val="11"/>
            <color theme="1"/>
            <rFont val="Calibri"/>
            <family val="2"/>
            <scheme val="minor"/>
          </rPr>
          <t>Ludvig Karlsson:
85% conv. Ross 308, 15% HubbardJA257</t>
        </r>
      </text>
    </comment>
    <comment ref="D3" authorId="0" shapeId="0" xr:uid="{00000000-0006-0000-0B00-000003000000}">
      <text>
        <r>
          <rPr>
            <sz val="11"/>
            <color theme="1"/>
            <rFont val="Calibri"/>
            <family val="2"/>
            <scheme val="minor"/>
          </rPr>
          <t>Ludvig Karlsson:
90% conv. Ross 308, 10% HubbardJA257</t>
        </r>
      </text>
    </comment>
    <comment ref="I3" authorId="0" shapeId="0" xr:uid="{00000000-0006-0000-0B00-000004000000}">
      <text>
        <r>
          <rPr>
            <sz val="11"/>
            <color theme="1"/>
            <rFont val="Calibri"/>
            <family val="2"/>
            <scheme val="minor"/>
          </rPr>
          <t>Ludvig Karlsson:
40% conv. Ross 308, 60% Hubbbard JA57</t>
        </r>
      </text>
    </comment>
    <comment ref="G51" authorId="0" shapeId="0" xr:uid="{00000000-0006-0000-0B00-000005000000}">
      <text>
        <r>
          <rPr>
            <sz val="11"/>
            <color theme="1"/>
            <rFont val="Calibri"/>
            <family val="2"/>
            <scheme val="minor"/>
          </rPr>
          <t xml:space="preserve">Ludvig Karlsson:
0,21 according to CRF table. Assumed that they forgot a zero and adjusted to 0,021
</t>
        </r>
      </text>
    </comment>
    <comment ref="C56" authorId="0" shapeId="0" xr:uid="{00000000-0006-0000-0B00-000006000000}">
      <text>
        <r>
          <rPr>
            <sz val="11"/>
            <color theme="1"/>
            <rFont val="Calibri"/>
            <family val="2"/>
            <scheme val="minor"/>
          </rPr>
          <t xml:space="preserve">Ludvig Karlsson:
Scaled based on production lenght. 35 days is Swedish average, used as energy use originally is 
from Swedish source
</t>
        </r>
      </text>
    </comment>
    <comment ref="D56" authorId="0" shapeId="0" xr:uid="{00000000-0006-0000-0B00-000007000000}">
      <text>
        <r>
          <rPr>
            <sz val="11"/>
            <color theme="1"/>
            <rFont val="Calibri"/>
            <family val="2"/>
            <scheme val="minor"/>
          </rPr>
          <t xml:space="preserve">Ludvig Karlsson:
Scaled based on production lenght. 35 days is Swedish average, used as energy use originally is 
from Swedish source
</t>
        </r>
      </text>
    </comment>
    <comment ref="I56" authorId="0" shapeId="0" xr:uid="{00000000-0006-0000-0B00-000008000000}">
      <text>
        <r>
          <rPr>
            <sz val="11"/>
            <color theme="1"/>
            <rFont val="Calibri"/>
            <family val="2"/>
            <scheme val="minor"/>
          </rPr>
          <t xml:space="preserve">Ludvig Karlsson:
Scaled based on production lenght. 35 days is Swedish average, used as energy use originally is 
from Swedish source
</t>
        </r>
      </text>
    </comment>
  </commentList>
</comments>
</file>

<file path=xl/sharedStrings.xml><?xml version="1.0" encoding="utf-8"?>
<sst xmlns="http://schemas.openxmlformats.org/spreadsheetml/2006/main" count="5161" uniqueCount="471">
  <si>
    <t>* Production of mineral fertiliser is adjusted to account for the N supplied by manure.</t>
  </si>
  <si>
    <t>GHG emissions (absolute, per production system per year - undivided, unallocated)</t>
  </si>
  <si>
    <t>** Adjusted for use of manure instead of mineral fertiliser (lower emission factor for manure)</t>
  </si>
  <si>
    <t>*** Calculated as percentage of direct emissions due to assumption due to data limitations regarding nitrogen leaching and volatilization from soils in different regions.</t>
  </si>
  <si>
    <t>Animals</t>
  </si>
  <si>
    <t>Stables</t>
  </si>
  <si>
    <t>Slaughter</t>
  </si>
  <si>
    <t>Control</t>
  </si>
  <si>
    <t>Animal products</t>
  </si>
  <si>
    <t>Sum</t>
  </si>
  <si>
    <t>Inputs</t>
  </si>
  <si>
    <t>Soil emissions</t>
  </si>
  <si>
    <t>Energy use</t>
  </si>
  <si>
    <t>Land use change</t>
  </si>
  <si>
    <t>Feed processing</t>
  </si>
  <si>
    <t>Transports</t>
  </si>
  <si>
    <t>FoodEx code</t>
  </si>
  <si>
    <t>FoodEx name</t>
  </si>
  <si>
    <t>Food Ex category (L1)</t>
  </si>
  <si>
    <t>Country</t>
  </si>
  <si>
    <t>Country code</t>
  </si>
  <si>
    <t>Gas</t>
  </si>
  <si>
    <t>GHG</t>
  </si>
  <si>
    <t>Production of mineral fertilizer*</t>
  </si>
  <si>
    <t xml:space="preserve">Production of capital goods </t>
  </si>
  <si>
    <t>Direct emissions**</t>
  </si>
  <si>
    <t>Indirect emissions***</t>
  </si>
  <si>
    <t>Diesel use field mach</t>
  </si>
  <si>
    <t>Energy use in greenhouses</t>
  </si>
  <si>
    <t>Energy use for irrigation</t>
  </si>
  <si>
    <t>Energy use for post-harvest proc</t>
  </si>
  <si>
    <t>LUC emissions</t>
  </si>
  <si>
    <t>Feed transports</t>
  </si>
  <si>
    <t>Enteric fermentation</t>
  </si>
  <si>
    <t>Manure management - tot</t>
  </si>
  <si>
    <t>Manure management - direct</t>
  </si>
  <si>
    <t>Manure management - indirect</t>
  </si>
  <si>
    <t>Energy use in stables</t>
  </si>
  <si>
    <t>Energy use for slaughter</t>
  </si>
  <si>
    <t>Total feed, incl LUC</t>
  </si>
  <si>
    <t>Feed mix emissions, kg CO2 per kg feed, excl. adjustement manure</t>
  </si>
  <si>
    <t>Chicken production</t>
  </si>
  <si>
    <t>Denmark</t>
  </si>
  <si>
    <t>DK</t>
  </si>
  <si>
    <t>CO2</t>
  </si>
  <si>
    <t>CH4, fossil</t>
  </si>
  <si>
    <t>CH4, biogenic</t>
  </si>
  <si>
    <t>N2O</t>
  </si>
  <si>
    <t>CO2e</t>
  </si>
  <si>
    <t>France</t>
  </si>
  <si>
    <t>FR</t>
  </si>
  <si>
    <t>Germany</t>
  </si>
  <si>
    <t>DE</t>
  </si>
  <si>
    <t>Greece</t>
  </si>
  <si>
    <t>GR</t>
  </si>
  <si>
    <t>Hungary</t>
  </si>
  <si>
    <t>HU</t>
  </si>
  <si>
    <t xml:space="preserve">Ireland </t>
  </si>
  <si>
    <t>IE</t>
  </si>
  <si>
    <t>Italy</t>
  </si>
  <si>
    <t>IT</t>
  </si>
  <si>
    <t>Netherland</t>
  </si>
  <si>
    <t>NL</t>
  </si>
  <si>
    <t>Poland</t>
  </si>
  <si>
    <t>PL</t>
  </si>
  <si>
    <t>Spain</t>
  </si>
  <si>
    <t>ES</t>
  </si>
  <si>
    <t>Sweden</t>
  </si>
  <si>
    <t>SE</t>
  </si>
  <si>
    <t>UK</t>
  </si>
  <si>
    <t>GB</t>
  </si>
  <si>
    <t>Read me</t>
  </si>
  <si>
    <t>This is a file that contains the calculations of environmental footprints, labour requirements, animal welfare and use of antibiotics for chicken production.</t>
  </si>
  <si>
    <t>Assumptions:</t>
  </si>
  <si>
    <t xml:space="preserve"> - All parent animals are also eaten</t>
  </si>
  <si>
    <t xml:space="preserve"> - Impacts are allocated equally across flesh and offals</t>
  </si>
  <si>
    <t>Tab color codes:</t>
  </si>
  <si>
    <t>Results</t>
  </si>
  <si>
    <t>Sheets for input</t>
  </si>
  <si>
    <t>Intermediate calculations</t>
  </si>
  <si>
    <t>Figures</t>
  </si>
  <si>
    <t>Att göra:</t>
  </si>
  <si>
    <t>Se om det går att få ut en foderstat för denna från Frankrike https://productions-animales.org/article/view/5396</t>
  </si>
  <si>
    <t>Gödselemissioner från NIR - är det klart? Kolla med Ludvig</t>
  </si>
  <si>
    <t xml:space="preserve">Justera till landsspecifik energianvändning https://www.mdpi.com/2076-3417/12/4/2142 </t>
  </si>
  <si>
    <t>Vattenanvändning per land - OBS att detta är för anv i stallar, inte foderodlingen</t>
  </si>
  <si>
    <t>Greenhouse gas emission for bonefree chicken meat across countries, to farmgate including slaughter, no waste</t>
  </si>
  <si>
    <t>Lesschen:</t>
  </si>
  <si>
    <t>Order in this study:</t>
  </si>
  <si>
    <t>Order in Lesschen:</t>
  </si>
  <si>
    <t>Netherlands</t>
  </si>
  <si>
    <t>Ireland</t>
  </si>
  <si>
    <t>Production of mineral fertilizer</t>
  </si>
  <si>
    <t xml:space="preserve">Emissions from soil </t>
  </si>
  <si>
    <t>Diesel use field machinary</t>
  </si>
  <si>
    <t>Energy use for feed processing</t>
  </si>
  <si>
    <t>Land use change emissions</t>
  </si>
  <si>
    <t>Manure management</t>
  </si>
  <si>
    <t>Tot</t>
  </si>
  <si>
    <t xml:space="preserve">Denmark </t>
  </si>
  <si>
    <t xml:space="preserve">Hungary </t>
  </si>
  <si>
    <t>Footprints (per kg of bonefree meat)</t>
  </si>
  <si>
    <t>* Adjusted for manure</t>
  </si>
  <si>
    <t>Climate</t>
  </si>
  <si>
    <t>Land</t>
  </si>
  <si>
    <t>Nitrogen*</t>
  </si>
  <si>
    <t>Phosphorus</t>
  </si>
  <si>
    <t>Water</t>
  </si>
  <si>
    <t>Pesticides</t>
  </si>
  <si>
    <t>Biodiversity</t>
  </si>
  <si>
    <t>Ammonia</t>
  </si>
  <si>
    <t>Labour</t>
  </si>
  <si>
    <t>Animal welfare</t>
  </si>
  <si>
    <t>Use of antibiotics</t>
  </si>
  <si>
    <t>Code</t>
  </si>
  <si>
    <t>Name</t>
  </si>
  <si>
    <t>Category</t>
  </si>
  <si>
    <t>Carbon footprint, kg CO2e/kg</t>
  </si>
  <si>
    <t>Carbon dioxide, kg CO2/kg</t>
  </si>
  <si>
    <t>Methane, fossil, kg CH4/kg</t>
  </si>
  <si>
    <t>Methane, biogenic, kg CH4/kg</t>
  </si>
  <si>
    <t>Nitrous oxide, kg N2O/kg</t>
  </si>
  <si>
    <t>HFCs, kg HFCs/kg</t>
  </si>
  <si>
    <t>Cropland use, m2/kg</t>
  </si>
  <si>
    <t>New N input, kg N/kg</t>
  </si>
  <si>
    <t>New P input, kg P/kg</t>
  </si>
  <si>
    <t>Blue freshwater use, m3/kg</t>
  </si>
  <si>
    <t>Pesticide use,             g a.i./kg</t>
  </si>
  <si>
    <t>Extinction rate, E/MSY/kg</t>
  </si>
  <si>
    <t>Ammonia emission, kg NH3/kg</t>
  </si>
  <si>
    <t>Labour requirements, h/kg</t>
  </si>
  <si>
    <t>Animal welfare index per kg of bonefree meat</t>
  </si>
  <si>
    <t>Chicken meat</t>
  </si>
  <si>
    <t>White meat</t>
  </si>
  <si>
    <t>GHG emissions (per kg of meat)</t>
  </si>
  <si>
    <t>Footprints (per kg of offal)</t>
  </si>
  <si>
    <t>21160.01</t>
  </si>
  <si>
    <t>Edible offals and liver of chickens and guinea fowl, fresh, chilled or frozen</t>
  </si>
  <si>
    <t>Offals</t>
  </si>
  <si>
    <t>GHG emissions (per kg of offal)</t>
  </si>
  <si>
    <t>Cateogory</t>
  </si>
  <si>
    <t>Footprints (per kg of fat)</t>
  </si>
  <si>
    <t>21511.03</t>
  </si>
  <si>
    <t>Fat of poultry</t>
  </si>
  <si>
    <t>Animal fats</t>
  </si>
  <si>
    <t>GHG emissions (per kg of fat)</t>
  </si>
  <si>
    <t>Footprints (absolute, per production system per year - undivided, unallocated)</t>
  </si>
  <si>
    <t>Production system</t>
  </si>
  <si>
    <t>Animals slaughtered (no)</t>
  </si>
  <si>
    <t>Chicken</t>
  </si>
  <si>
    <t>Parent hens</t>
  </si>
  <si>
    <t>Parent roasters</t>
  </si>
  <si>
    <t>Grandparent hens</t>
  </si>
  <si>
    <t>Grandparent roasters</t>
  </si>
  <si>
    <t>Total:</t>
  </si>
  <si>
    <t>Meat produced (kg CW)</t>
  </si>
  <si>
    <t>Meat produced (kg bonefree)</t>
  </si>
  <si>
    <t>Offal produced (kg edible)</t>
  </si>
  <si>
    <t>Meat and offal produced (kg bonefree)</t>
  </si>
  <si>
    <t>Animals in production (no)</t>
  </si>
  <si>
    <t>Animals in production per kg of meat/offal produced (no)</t>
  </si>
  <si>
    <t xml:space="preserve">Sum parents </t>
  </si>
  <si>
    <t>Fat produced (kg edible)</t>
  </si>
  <si>
    <t>Meat, offal and fat produced (kg bonefree), Total incl. fat</t>
  </si>
  <si>
    <t>Production parameters and emission factors, country specific</t>
  </si>
  <si>
    <t>Production parameters</t>
  </si>
  <si>
    <t>Source France</t>
  </si>
  <si>
    <t>Comment:</t>
  </si>
  <si>
    <t xml:space="preserve">Source Sweden: </t>
  </si>
  <si>
    <t>Slaughter age broilers, days</t>
  </si>
  <si>
    <t>From LL, dig up source</t>
  </si>
  <si>
    <t>Green numbers = Updated by Ludvig, May 2026 with own LCA data (DK, IE, SE) and from Mostert et al. (NL, FR, DE).</t>
  </si>
  <si>
    <t>Slaughter age parent and grandparents, weeks</t>
  </si>
  <si>
    <t>Mortality rearing, %</t>
  </si>
  <si>
    <t>Bennetorf &amp; Lindahl, 2016</t>
  </si>
  <si>
    <t>Mostert: https://www.sciencedirect.com/science/article/pii/S0032579122004400#fig0001</t>
  </si>
  <si>
    <t>Rejection after slaughter, %</t>
  </si>
  <si>
    <t>Jordbruksverket, 2022</t>
  </si>
  <si>
    <t>DK, NL, FR, DE weighted average of market shares in resp. country from:  https://www.animalask.org/post/tiered-certification-schemes-for-slower-growing-chicken</t>
  </si>
  <si>
    <t>Meat yield, kg CW/liveweight</t>
  </si>
  <si>
    <t>Spain 5-8% slow-growing: https://broilernet.eu/themes/broiler-innovation-networks/bin-spain/</t>
  </si>
  <si>
    <t>Meat yield, kg bonefree meat/CW</t>
  </si>
  <si>
    <t>Rest of countries assumed 5% slow-growing representing EU average: https://www.europarl.europa.eu/RegData/etudes/IDAN/2019/644195/EPRS_IDA(2019)644195_EN.pdf</t>
  </si>
  <si>
    <t>Meat yield, kg CW/chicken</t>
  </si>
  <si>
    <t>Jordbruksverket (slaktad vikt/slaktade djur)</t>
  </si>
  <si>
    <t>Meat yield, kg CW/hen</t>
  </si>
  <si>
    <t>4.2-4.4, Ida Ljungkvist</t>
  </si>
  <si>
    <t>Meat yield, kg CW/roaster</t>
  </si>
  <si>
    <t>5 kg, Ida Ljungkvist</t>
  </si>
  <si>
    <t>Offal yield, kg edible/animal (chicken, hen, roaster)</t>
  </si>
  <si>
    <t>KunskapsKokboken (hjärta 45 g, muselmage 150 g, lever 80 g)</t>
  </si>
  <si>
    <t>Fat yield, kg edible/animal (chicken, hen, roaster)</t>
  </si>
  <si>
    <t>Murawska et al, 2011</t>
  </si>
  <si>
    <t>Eggs per parent hen</t>
  </si>
  <si>
    <t>Ida Ljungkvist</t>
  </si>
  <si>
    <t>Parent hens per roaster</t>
  </si>
  <si>
    <t>Mortality parents, %</t>
  </si>
  <si>
    <t>Share of feed ingredients (%)</t>
  </si>
  <si>
    <t>Barley, average</t>
  </si>
  <si>
    <t>LCA from RISE, foderstat C, grains delat på alla sädesslag - kolla upp!</t>
  </si>
  <si>
    <t>European feed mixes from Karlsson et al. 2020 for all countries</t>
  </si>
  <si>
    <t>Maize (corn)</t>
  </si>
  <si>
    <t>Rest approximated with UK for now</t>
  </si>
  <si>
    <t>BR, TH and US approximated with GB</t>
  </si>
  <si>
    <t>Oats</t>
  </si>
  <si>
    <t>Rye</t>
  </si>
  <si>
    <t>Wheat, average</t>
  </si>
  <si>
    <t>Peas, dry</t>
  </si>
  <si>
    <t>Broad beans and horse beans, dry</t>
  </si>
  <si>
    <t>Rape seed cake</t>
  </si>
  <si>
    <t>DK + IE: Is really rapeseeds, not meal</t>
  </si>
  <si>
    <t>Soy cake</t>
  </si>
  <si>
    <t>DK + IE: Includes 3% resp. 4% soybean oil</t>
  </si>
  <si>
    <t>By-products</t>
  </si>
  <si>
    <t>Other</t>
  </si>
  <si>
    <t>Cereals</t>
  </si>
  <si>
    <t>Feed requirement</t>
  </si>
  <si>
    <t>Source:</t>
  </si>
  <si>
    <t>Feed conversion ratio live slaugher chicken, kg per kg liveweight</t>
  </si>
  <si>
    <t>Svensk Fågel, pers. comm., confirmed by Ida Ljungkvist, pers. comm.</t>
  </si>
  <si>
    <t>Feed per kg of liveweight</t>
  </si>
  <si>
    <t>Feed parent hens, kg per hen</t>
  </si>
  <si>
    <t>Ida Ljungkvist, pers. comm.</t>
  </si>
  <si>
    <t>Includes feed for roasters (1 roaster per 12.5 hens)</t>
  </si>
  <si>
    <t>Feed conversion, kg per kg bonefree including parents and losses</t>
  </si>
  <si>
    <t>Excreted N in manure</t>
  </si>
  <si>
    <t>Slaughter chickens, kg N/animal/year</t>
  </si>
  <si>
    <t>NIR, 2022, Table 5.17</t>
  </si>
  <si>
    <t>CRF 2023, Table3.B(b)</t>
  </si>
  <si>
    <t>NIR 2023, Table 5.3.16</t>
  </si>
  <si>
    <t>NIR 2023, 5.31</t>
  </si>
  <si>
    <t>NIR 2023, Table 5.3.9</t>
  </si>
  <si>
    <t>Slaughter chickens, kg N/animal</t>
  </si>
  <si>
    <t>NIR, 2022, Table 5.17 (8.5 cycles per year)</t>
  </si>
  <si>
    <t>Parent and grandparent hens and roaster, kg N/animal/year</t>
  </si>
  <si>
    <t>Figure for laying hens</t>
  </si>
  <si>
    <t xml:space="preserve">Ammonia emissions from excreted N </t>
  </si>
  <si>
    <t>EMEP/EEA 2019. Table 3.2, Broilers, litter, Tier 1 approach</t>
  </si>
  <si>
    <t>Excreted N, kg N per kg of bonefree meat/offal</t>
  </si>
  <si>
    <t>Losses due to direct N2O emissions, kg N per kg N excreted</t>
  </si>
  <si>
    <t>Losses due to indirect N2O emissions, kg N per kg N excreted</t>
  </si>
  <si>
    <t>Excreted N after losses, kg N per kg bonefree meat</t>
  </si>
  <si>
    <t>Emission factors manure management</t>
  </si>
  <si>
    <t>Methane from manure management, kg CH4/animal/year</t>
  </si>
  <si>
    <t>IPCC, 2019</t>
  </si>
  <si>
    <t>NIR uses the same factor, Table 5.16, RISE gets it from Greppa</t>
  </si>
  <si>
    <t>CRF 2023, Table3.B(b). In CRF 0.21, assumed that they forgot a zero and adjusted to 0.021</t>
  </si>
  <si>
    <t>Direct nitrous oxide from poultry manure, kg N2O-N/N</t>
  </si>
  <si>
    <t>IPCC, 2019, Table 10.21 (Poultry manure with litter)</t>
  </si>
  <si>
    <t>Emissions from manure storage, 1% i NIR Table 5.18, but RISE also uses 0.1%</t>
  </si>
  <si>
    <t>Indirect nitrous oxide from poultry manure, kg N2O-N/NH3-N</t>
  </si>
  <si>
    <t xml:space="preserve">IPCC, 2019, Table 11.3, EF4 </t>
  </si>
  <si>
    <t>RISE uses 1%,  but Emma had 0.1% but NIR, 2022 also refers EF4 (p. 342)</t>
  </si>
  <si>
    <t xml:space="preserve">Energy use in stables </t>
  </si>
  <si>
    <t>Total energy use, kWh/kg CW</t>
  </si>
  <si>
    <t>SVENSK FÅGEL undated-a. Energikartläggning Kyckling [Online]. Available: https://svenskfagel.se/wp-content/uploads/2017/09/energikartlaggning_kyckling.pdf [Accessed Sept 2021]</t>
  </si>
  <si>
    <t>Share for heating</t>
  </si>
  <si>
    <t>Share biofuels for heating</t>
  </si>
  <si>
    <t>SVENSK FÅGEL undated-b. Kyckling är klimatsmartare [Online]. Available: https://svenskfagel.se/wp-content/uploads/2018/10/Klimat-150306-MO1-1.pdf</t>
  </si>
  <si>
    <t>Men Katarina skriver att de har en högre andel icke-förnybart så att totalen från energianvändningen blir 0.05, vilket motsvarar 50% förnybart här</t>
  </si>
  <si>
    <t>Energy use at slaughter</t>
  </si>
  <si>
    <t>Energy use electricity, kWh/kg CW</t>
  </si>
  <si>
    <t>Edman et al. 2022 for Sweden</t>
  </si>
  <si>
    <t>Energy use heat, kWh/kg CW</t>
  </si>
  <si>
    <t>Karlis et al. 2024 for the rest</t>
  </si>
  <si>
    <t>Emission factors electricity</t>
  </si>
  <si>
    <t>Electricity, kg CO2e/kWh</t>
  </si>
  <si>
    <t>ecoinvent; market for electricity, low voltage</t>
  </si>
  <si>
    <t>Electricity, kg CO2/kWh</t>
  </si>
  <si>
    <t>Electricity, kg CH4/kWh</t>
  </si>
  <si>
    <t>Electricity, kg N2O/kWh</t>
  </si>
  <si>
    <t>Emission from the production of mineral fertilisers (kg)</t>
  </si>
  <si>
    <t>Production of mineral fertiliser, kg CO2/kg N</t>
  </si>
  <si>
    <t>From EF N Fertiliser.xlsx</t>
  </si>
  <si>
    <t>Production of mineral fertiliser, kg CH4/kg N</t>
  </si>
  <si>
    <t>Production of mineral fertiliser, kg N2O/kg N</t>
  </si>
  <si>
    <t>Emission factors N2O from soil</t>
  </si>
  <si>
    <t>Direct emissions from mineral fertiliser</t>
  </si>
  <si>
    <t>From Emission factors.xslx</t>
  </si>
  <si>
    <t>Direct emissions from manure</t>
  </si>
  <si>
    <t>Difference in emission factor min. fert - manure</t>
  </si>
  <si>
    <t>Indirect emissions, share of direct emissions</t>
  </si>
  <si>
    <t>Manure replacement factor</t>
  </si>
  <si>
    <t>Based on växttillgängligt kväve</t>
  </si>
  <si>
    <t>Water use</t>
  </si>
  <si>
    <t>Drinking water, chicken, l per animal per day</t>
  </si>
  <si>
    <t>Service water, chicken, l per animal per day</t>
  </si>
  <si>
    <t>Drinking water, parents, l per animal per day</t>
  </si>
  <si>
    <t>Service water, parents, l per animal per day</t>
  </si>
  <si>
    <t>Emissions of CO2 from feed crops (per kg of crop)</t>
  </si>
  <si>
    <t>Columns A-M copied straight from RPC filerna</t>
  </si>
  <si>
    <t xml:space="preserve">Shares from Karlsson et al. </t>
  </si>
  <si>
    <t>Crops</t>
  </si>
  <si>
    <t>Share</t>
  </si>
  <si>
    <t xml:space="preserve">Categories </t>
  </si>
  <si>
    <t>Direct emissions</t>
  </si>
  <si>
    <t>Indirect emissions</t>
  </si>
  <si>
    <t>Energy use feed processing</t>
  </si>
  <si>
    <t>Transports of feed</t>
  </si>
  <si>
    <t>0115</t>
  </si>
  <si>
    <t>Cereals, incl feed</t>
  </si>
  <si>
    <t>0112</t>
  </si>
  <si>
    <t>0117</t>
  </si>
  <si>
    <t>0116</t>
  </si>
  <si>
    <t>0111</t>
  </si>
  <si>
    <t>01705</t>
  </si>
  <si>
    <t>Pulses, incl feed</t>
  </si>
  <si>
    <t>01702</t>
  </si>
  <si>
    <t>Protein feed</t>
  </si>
  <si>
    <t>Soy bean meal</t>
  </si>
  <si>
    <t>By-product</t>
  </si>
  <si>
    <t>approx. Germany</t>
  </si>
  <si>
    <t>Other, feed</t>
  </si>
  <si>
    <t>Feed, other</t>
  </si>
  <si>
    <t>Total for the feed mix:</t>
  </si>
  <si>
    <t>approx germany</t>
  </si>
  <si>
    <t>Not grown in GB. Approx. W. wheat</t>
  </si>
  <si>
    <t>approx. Ireland</t>
  </si>
  <si>
    <t>Emissions of CH4 from feed crops (per kg of crop)</t>
  </si>
  <si>
    <t>AT</t>
  </si>
  <si>
    <t>France, Germany, Poland</t>
  </si>
  <si>
    <t>No data, approx. With wheat</t>
  </si>
  <si>
    <t>approx Ireland</t>
  </si>
  <si>
    <t>Emissions of N2O from feed crops (per kg of crop)</t>
  </si>
  <si>
    <t>approx Germany</t>
  </si>
  <si>
    <t>Not grown in UK, approximated w . Wheat</t>
  </si>
  <si>
    <t>Approx Ireland</t>
  </si>
  <si>
    <t>Environmental footprints per kg of feed</t>
  </si>
  <si>
    <t>Columns F-L copied straight from RPC filerna</t>
  </si>
  <si>
    <t>Nitrogen</t>
  </si>
  <si>
    <t>N application, kg N/kg</t>
  </si>
  <si>
    <t>P application, kg P/kg</t>
  </si>
  <si>
    <t>Share of extinction rate , %</t>
  </si>
  <si>
    <t>Approx with HU, except biod approx with wheat</t>
  </si>
  <si>
    <t>approx ireland</t>
  </si>
  <si>
    <t>Emission and characterisation factors, general</t>
  </si>
  <si>
    <t>Emission factors energy carriers</t>
  </si>
  <si>
    <t>kg CO2 per kWh</t>
  </si>
  <si>
    <t>kg CH4 per kWh</t>
  </si>
  <si>
    <t>kg N2O per kWh</t>
  </si>
  <si>
    <t>Heating oil</t>
  </si>
  <si>
    <t>Gode et al 2011</t>
  </si>
  <si>
    <t>Natural gas</t>
  </si>
  <si>
    <t>Biofuels</t>
  </si>
  <si>
    <t>Gode et al 2011, average of bark and chips, pellets and briquettes</t>
  </si>
  <si>
    <t>Electricity Brazil</t>
  </si>
  <si>
    <t>Characterisations factors</t>
  </si>
  <si>
    <t>Ability to perceive handling (from 0 to 1)</t>
  </si>
  <si>
    <t>Slaughter duration class (0.01-2)</t>
  </si>
  <si>
    <t>Weight no of animal</t>
  </si>
  <si>
    <t>Weight ability to perceive handling</t>
  </si>
  <si>
    <t>Weight mortality</t>
  </si>
  <si>
    <t>Weight diseases</t>
  </si>
  <si>
    <t>Weight space</t>
  </si>
  <si>
    <t>Weight slaughter duration class</t>
  </si>
  <si>
    <t>Allocation factors</t>
  </si>
  <si>
    <t>Approx meat/offal/fat from cattle</t>
  </si>
  <si>
    <t>Meat</t>
  </si>
  <si>
    <t>Offal</t>
  </si>
  <si>
    <t>Fat</t>
  </si>
  <si>
    <t>Check</t>
  </si>
  <si>
    <t>Off-farm feed</t>
  </si>
  <si>
    <t>Greenhouse gas emissons:</t>
  </si>
  <si>
    <t>Cultivated in country</t>
  </si>
  <si>
    <t>Source LUC:</t>
  </si>
  <si>
    <t>0141</t>
  </si>
  <si>
    <t>Soya beans</t>
  </si>
  <si>
    <t>Brazil</t>
  </si>
  <si>
    <t>Pendrill et al. 2022</t>
  </si>
  <si>
    <t>CH4, bio</t>
  </si>
  <si>
    <t>Argentina</t>
  </si>
  <si>
    <t>0141_m</t>
  </si>
  <si>
    <t>Brazil, Argentina</t>
  </si>
  <si>
    <t>Flysjö et al. 2008, Figur 6.35</t>
  </si>
  <si>
    <t>Flysjö et al. 2008, Figur 6.35, divided by GWP-factor used in report, Tabell 5.1</t>
  </si>
  <si>
    <t>Other footprints:</t>
  </si>
  <si>
    <t>Pulses</t>
  </si>
  <si>
    <t>BR</t>
  </si>
  <si>
    <t>Copied from RPC-file</t>
  </si>
  <si>
    <t>AR</t>
  </si>
  <si>
    <t>Remember to divide biodiversity by 100 when updating! Or use merged_data in the R-script</t>
  </si>
  <si>
    <t>Feed</t>
  </si>
  <si>
    <t>Parameters for soy</t>
  </si>
  <si>
    <t>Soy meal in 1 kg soy bean</t>
  </si>
  <si>
    <t>Flysjö et al. 2008, Tabell 4.24</t>
  </si>
  <si>
    <t>Economic allocation factor meal</t>
  </si>
  <si>
    <t>Energy use processing:</t>
  </si>
  <si>
    <t>Electricity</t>
  </si>
  <si>
    <t>MJ per kg soy beans processed</t>
  </si>
  <si>
    <t>Share electricity:</t>
  </si>
  <si>
    <t>Flysjö et al. 2008</t>
  </si>
  <si>
    <t>Biomass</t>
  </si>
  <si>
    <t>Assuming half of soy from Brazil and the other half from Argentina.</t>
  </si>
  <si>
    <t xml:space="preserve">https://www.fediol.eu/data/Where%20does%20soy%20come%20from.pdf </t>
  </si>
  <si>
    <t>Rape seed meal</t>
  </si>
  <si>
    <t>01443</t>
  </si>
  <si>
    <t>Rape or colza seed, average</t>
  </si>
  <si>
    <t>01443_m</t>
  </si>
  <si>
    <t>Source transports:</t>
  </si>
  <si>
    <t>Flysjö et al. 2008, Figur 6.36</t>
  </si>
  <si>
    <t>Flysjö et al. 2008, Figur 6.36, divided by GWP-factor used in report, Tabell 5.1</t>
  </si>
  <si>
    <t>Parameters for rape seed</t>
  </si>
  <si>
    <t>Rape meal in 1 kg rape seed</t>
  </si>
  <si>
    <t>MJ per kg rape seed processed</t>
  </si>
  <si>
    <t>Flysjö et al. 2008, p. 45, using share of electricity as for soy because ratio between electricity and gas/biofuels not stated</t>
  </si>
  <si>
    <t>Using the three largest rapeseed countries and taking an average of these.</t>
  </si>
  <si>
    <t>https://projects.luke.fi/ruokafakta/en/field-crops/rapeseed-production-volumes/#:~:text=The%20largest%20producers%20are%20France,Germany%2C%20with%203.7%20billion%20kilos.</t>
  </si>
  <si>
    <t>Verification</t>
  </si>
  <si>
    <t>This study</t>
  </si>
  <si>
    <t>Cultivation</t>
  </si>
  <si>
    <t>Slightly different because in this study we use a mix of three countries, Flysjö only Sweden</t>
  </si>
  <si>
    <t>Processing</t>
  </si>
  <si>
    <t>Slightly higher because of electricity mix from the three countries</t>
  </si>
  <si>
    <t>Transport</t>
  </si>
  <si>
    <t>Slightly different because of different GWP-factors</t>
  </si>
  <si>
    <t>Total</t>
  </si>
  <si>
    <t>References</t>
  </si>
  <si>
    <t>Edman, F., Wallman, M., Nilsson, K. 2022. Klimatavtryck av Svensk Fågels kycklingproduktion 2021, version 3. RISE Rapport 2022:84. Tabell 2, https://svenskfagel.se/wp-content/uploads/2022/11/klimatavtryck-sv-kyckling-foder-information-november-2022-publik.pdf</t>
  </si>
  <si>
    <t>Karlis, P., Presicce, F., Giner Santonja, G., Brinkmann, T. and Roudier, S. (2024) Best Available Techniques (BAT) Reference Document for the Slaughterhouses, Animal By-products and/or Edible Co-products Industries, Publications Office of the European Union, Luxembourg, 2024, doi:10.2760/18199, JRC135916</t>
  </si>
  <si>
    <t>Murawska, D., Kleczek, K., Wawro, K., &amp; Michalik, D. (2011). Age-related changes in the percentage content of edible and non-edible components in broiler chickens. Asian-Australasian Journal of Animal Sciences, 24(4), 532–539. https://doi.org/10.5713/ajas.2011.10112</t>
  </si>
  <si>
    <t>Comparison without LUC and SOC, and with AR4, bonefree meat (excl. offal), without any waste and without the correction of N input from manure</t>
  </si>
  <si>
    <t>Moberg updated</t>
  </si>
  <si>
    <t>RISE</t>
  </si>
  <si>
    <t>Mobergs feed emissions, AR6 factors</t>
  </si>
  <si>
    <t>Feed excl correcting for N manure</t>
  </si>
  <si>
    <t>Grains (86% DM)</t>
  </si>
  <si>
    <t>Manure</t>
  </si>
  <si>
    <t>Maize (92% DM)</t>
  </si>
  <si>
    <t>Energy stables</t>
  </si>
  <si>
    <t>By-products cereal industry (86% DM)</t>
  </si>
  <si>
    <t>Energy slaughter</t>
  </si>
  <si>
    <t>Fats and fatty acids</t>
  </si>
  <si>
    <t>Palmkernal expels (91% DM)</t>
  </si>
  <si>
    <t>Rapeseed, whole (91% DM)</t>
  </si>
  <si>
    <t>CF feed without LUC</t>
  </si>
  <si>
    <t>Rapeseed, meal (91% DM)</t>
  </si>
  <si>
    <t>Minerals and salt (100% DM)</t>
  </si>
  <si>
    <t>Soymeal and soy-based products (87% DM)</t>
  </si>
  <si>
    <t>Peas and horsebeans (86% DM)</t>
  </si>
  <si>
    <t>By-products sugar industry (84% DM)</t>
  </si>
  <si>
    <t>Other protein feed**</t>
  </si>
  <si>
    <t>Pasture (100% DM)</t>
  </si>
  <si>
    <t>Slightly higher for feed, explained by slightly different emissions from feed ingredients (0.65 kg CO2e per kg feed mix)</t>
  </si>
  <si>
    <t>Forage (100% DM)</t>
  </si>
  <si>
    <t>RISE has higher for energy stables for a range of reasons, includes bedding + more energy (the whole farm)</t>
  </si>
  <si>
    <t>Processed feed stuff</t>
  </si>
  <si>
    <t>This was data from the Global Feed LCA database I used before calculating impacts from soy and rape seed from scratch in "Off-farm feed" tab</t>
  </si>
  <si>
    <t>Data from the Global Feed LCA database</t>
  </si>
  <si>
    <t>Global warming - Including LUC &amp; Peat (kg CO2 eq / ton product)</t>
  </si>
  <si>
    <t>Global warming - Excluding LUC &amp; peat(kg CO2 eq / ton product)</t>
  </si>
  <si>
    <t>Global warming - LUC only (kg CO2 eq / ton product)</t>
  </si>
  <si>
    <t>Global warming - Peat only (kg CO2 eq / ton product)</t>
  </si>
  <si>
    <t>Soybean meal (solvent), at processing/AR Economic S</t>
  </si>
  <si>
    <t>AFP 6.3</t>
  </si>
  <si>
    <t xml:space="preserve">Global Feed LCA database, www.globalfeedlca.org </t>
  </si>
  <si>
    <t>Soybean meal (solvent), at processing/BR Economic S</t>
  </si>
  <si>
    <t xml:space="preserve">See file: GFLI+LCIA+31Oct2022.zip </t>
  </si>
  <si>
    <t>Rapeseed meal (solvent), at processing/DE Economic S</t>
  </si>
  <si>
    <t>The Global FCA database does not provide disaggregated data or LCI data for free, so here we use the aggregated value and divide it upon different emissions sources based on the approximate shares for wheat (for rapeseed cake) and peas (for soybean meal)</t>
  </si>
  <si>
    <t>(Data on wheat and peas from Sweden, just used for proportion of processes)</t>
  </si>
  <si>
    <t>Sum excl. LUC and transports</t>
  </si>
  <si>
    <t>Share of gases:</t>
  </si>
  <si>
    <t>Share:</t>
  </si>
  <si>
    <t>CH4</t>
  </si>
  <si>
    <t>Emission data for soybean meal and rapeseed cake (same across countries), kg per kg feed</t>
  </si>
  <si>
    <t>Sum incl. LUC and transports</t>
  </si>
  <si>
    <t>Totalt:</t>
  </si>
  <si>
    <t>CH4 in CO2e</t>
  </si>
  <si>
    <t xml:space="preserve">CH4  </t>
  </si>
  <si>
    <t>N2O in CO2e</t>
  </si>
  <si>
    <t>Pendrill et al.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</si>
</sst>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0.000"/>
    <numFmt numFmtId="165" formatCode="0.0"/>
    <numFmt numFmtId="166" formatCode="0.0E+00"/>
    <numFmt numFmtId="167" formatCode="0.000E+00"/>
    <numFmt numFmtId="168" formatCode="#,##0.0"/>
    <numFmt numFmtId="169" formatCode="0E+00"/>
    <numFmt numFmtId="170" formatCode="0.0000"/>
    <numFmt numFmtId="171" formatCode="0.00000"/>
    <numFmt numFmtId="172" formatCode="0.000000000000000"/>
    <numFmt numFmtId="173" formatCode="#,##0.0000"/>
  </numFmts>
  <fonts count="39" x14ac:knownFonts="1">
    <font>
      <sz val="11"/>
      <color theme="1"/>
      <name val="Calibri"/>
      <family val="2"/>
      <scheme val="minor"/>
    </font>
    <font>
      <sz val="11"/>
      <color rgb="FFFF0000"/>
      <name val="Calibri"/>
      <family val="2"/>
      <scheme val="minor"/>
    </font>
    <font>
      <b/>
      <sz val="11"/>
      <color theme="1"/>
      <name val="Calibri"/>
      <family val="2"/>
      <scheme val="minor"/>
    </font>
    <font>
      <sz val="14"/>
      <color theme="1"/>
      <name val="Calibri"/>
      <family val="2"/>
      <scheme val="minor"/>
    </font>
    <font>
      <sz val="16"/>
      <color theme="1"/>
      <name val="Calibri"/>
      <family val="2"/>
      <scheme val="minor"/>
    </font>
    <font>
      <sz val="10"/>
      <name val="Arial"/>
      <family val="2"/>
    </font>
    <font>
      <i/>
      <sz val="10"/>
      <color theme="1"/>
      <name val="Calibri"/>
      <family val="2"/>
      <scheme val="minor"/>
    </font>
    <font>
      <i/>
      <sz val="11"/>
      <color theme="1"/>
      <name val="Calibri"/>
      <family val="2"/>
      <scheme val="minor"/>
    </font>
    <font>
      <sz val="11"/>
      <name val="Calibri"/>
      <family val="2"/>
      <scheme val="minor"/>
    </font>
    <font>
      <b/>
      <i/>
      <sz val="11"/>
      <color theme="1"/>
      <name val="Calibri"/>
      <family val="2"/>
      <scheme val="minor"/>
    </font>
    <font>
      <sz val="11"/>
      <color theme="1" tint="0.499984740745262"/>
      <name val="Calibri"/>
      <family val="2"/>
      <scheme val="minor"/>
    </font>
    <font>
      <b/>
      <sz val="11"/>
      <color theme="1" tint="0.499984740745262"/>
      <name val="Calibri"/>
      <family val="2"/>
      <scheme val="minor"/>
    </font>
    <font>
      <b/>
      <sz val="11"/>
      <color theme="0"/>
      <name val="Calibri"/>
      <family val="2"/>
      <scheme val="minor"/>
    </font>
    <font>
      <sz val="11"/>
      <color theme="0"/>
      <name val="Calibri"/>
      <family val="2"/>
      <scheme val="minor"/>
    </font>
    <font>
      <sz val="11"/>
      <color theme="4" tint="-0.249977111117893"/>
      <name val="Calibri"/>
      <family val="2"/>
      <scheme val="minor"/>
    </font>
    <font>
      <sz val="9"/>
      <color theme="1"/>
      <name val="Calibri"/>
      <family val="2"/>
      <scheme val="minor"/>
    </font>
    <font>
      <sz val="11"/>
      <color theme="4" tint="-0.499984740745262"/>
      <name val="Calibri"/>
      <family val="2"/>
      <scheme val="minor"/>
    </font>
    <font>
      <b/>
      <sz val="11"/>
      <name val="Calibri"/>
      <family val="2"/>
      <scheme val="minor"/>
    </font>
    <font>
      <i/>
      <sz val="11"/>
      <name val="Calibri"/>
      <family val="2"/>
      <scheme val="minor"/>
    </font>
    <font>
      <sz val="10"/>
      <color theme="1"/>
      <name val="Calibri"/>
      <family val="2"/>
      <scheme val="minor"/>
    </font>
    <font>
      <sz val="10"/>
      <color rgb="FF000000"/>
      <name val="Calibri"/>
      <family val="2"/>
      <scheme val="minor"/>
    </font>
    <font>
      <sz val="10"/>
      <color rgb="FF777777"/>
      <name val="Arial"/>
      <family val="2"/>
    </font>
    <font>
      <i/>
      <sz val="11"/>
      <color theme="4" tint="-0.249977111117893"/>
      <name val="Calibri"/>
      <family val="2"/>
      <scheme val="minor"/>
    </font>
    <font>
      <sz val="16"/>
      <name val="Calibri"/>
      <family val="2"/>
      <scheme val="minor"/>
    </font>
    <font>
      <b/>
      <i/>
      <sz val="11"/>
      <name val="Calibri"/>
      <family val="2"/>
      <scheme val="minor"/>
    </font>
    <font>
      <sz val="11"/>
      <color rgb="FF000000"/>
      <name val="Calibri"/>
      <family val="2"/>
      <scheme val="minor"/>
    </font>
    <font>
      <b/>
      <sz val="11"/>
      <color theme="5"/>
      <name val="Calibri"/>
      <family val="2"/>
      <scheme val="minor"/>
    </font>
    <font>
      <sz val="11"/>
      <color theme="5"/>
      <name val="Calibri"/>
      <family val="2"/>
      <scheme val="minor"/>
    </font>
    <font>
      <sz val="11"/>
      <color theme="4"/>
      <name val="Calibri"/>
      <family val="2"/>
      <scheme val="minor"/>
    </font>
    <font>
      <sz val="11"/>
      <color theme="8"/>
      <name val="Calibri"/>
      <family val="2"/>
      <scheme val="minor"/>
    </font>
    <font>
      <sz val="10"/>
      <color rgb="FFFF0000"/>
      <name val="Calibri"/>
      <family val="2"/>
      <scheme val="minor"/>
    </font>
    <font>
      <sz val="11"/>
      <color theme="1"/>
      <name val="Calibri"/>
      <family val="2"/>
      <scheme val="minor"/>
    </font>
    <font>
      <sz val="11"/>
      <color theme="9"/>
      <name val="Calibri"/>
      <family val="2"/>
      <scheme val="minor"/>
    </font>
    <font>
      <b/>
      <sz val="11"/>
      <color theme="9"/>
      <name val="Calibri"/>
      <family val="2"/>
      <scheme val="minor"/>
    </font>
    <font>
      <u/>
      <sz val="11"/>
      <color theme="10"/>
      <name val="Calibri"/>
      <family val="2"/>
      <scheme val="minor"/>
    </font>
    <font>
      <sz val="11"/>
      <color theme="1"/>
      <name val="Calibri"/>
      <family val="2"/>
      <charset val="1"/>
    </font>
    <font>
      <sz val="11"/>
      <color theme="5"/>
      <name val="Calibri"/>
      <family val="2"/>
      <charset val="1"/>
    </font>
    <font>
      <sz val="10"/>
      <color theme="1"/>
      <name val="Calibri"/>
      <family val="2"/>
      <charset val="1"/>
    </font>
    <font>
      <i/>
      <sz val="11"/>
      <color theme="1"/>
      <name val="Calibri"/>
      <family val="2"/>
      <charset val="1"/>
    </font>
  </fonts>
  <fills count="17">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2"/>
        <bgColor indexed="64"/>
      </patternFill>
    </fill>
    <fill>
      <patternFill patternType="solid">
        <fgColor theme="0" tint="-4.9989318521683403E-2"/>
        <bgColor indexed="64"/>
      </patternFill>
    </fill>
    <fill>
      <patternFill patternType="solid">
        <fgColor theme="4" tint="0.39997558519241921"/>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2"/>
        <bgColor rgb="FFEDEDED"/>
      </patternFill>
    </fill>
  </fills>
  <borders count="14">
    <border>
      <left/>
      <right/>
      <top/>
      <bottom/>
      <diagonal/>
    </border>
    <border>
      <left/>
      <right/>
      <top style="thin">
        <color indexed="64"/>
      </top>
      <bottom/>
      <diagonal/>
    </border>
    <border>
      <left style="thin">
        <color indexed="64"/>
      </left>
      <right/>
      <top/>
      <bottom/>
      <diagonal/>
    </border>
    <border>
      <left/>
      <right/>
      <top/>
      <bottom style="thin">
        <color indexed="64"/>
      </bottom>
      <diagonal/>
    </border>
    <border>
      <left/>
      <right style="double">
        <color theme="9" tint="-0.249977111117893"/>
      </right>
      <top/>
      <bottom style="thin">
        <color indexed="64"/>
      </bottom>
      <diagonal/>
    </border>
    <border>
      <left style="double">
        <color theme="9" tint="-0.249977111117893"/>
      </left>
      <right style="double">
        <color theme="9" tint="-0.249977111117893"/>
      </right>
      <top style="double">
        <color theme="9" tint="-0.249977111117893"/>
      </top>
      <bottom style="double">
        <color theme="9" tint="-0.249977111117893"/>
      </bottom>
      <diagonal/>
    </border>
    <border>
      <left style="double">
        <color theme="9" tint="-0.249977111117893"/>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1">
    <xf numFmtId="0" fontId="0" fillId="0" borderId="0"/>
    <xf numFmtId="0" fontId="5" fillId="0" borderId="0"/>
    <xf numFmtId="0" fontId="25" fillId="0" borderId="0"/>
    <xf numFmtId="0" fontId="31" fillId="0" borderId="0"/>
    <xf numFmtId="9" fontId="25" fillId="0" borderId="0"/>
    <xf numFmtId="0" fontId="31" fillId="0" borderId="0"/>
    <xf numFmtId="43" fontId="25" fillId="0" borderId="0"/>
    <xf numFmtId="0" fontId="31" fillId="0" borderId="0"/>
    <xf numFmtId="0" fontId="34" fillId="0" borderId="0"/>
    <xf numFmtId="0" fontId="35" fillId="0" borderId="0"/>
    <xf numFmtId="0" fontId="35" fillId="0" borderId="0"/>
  </cellStyleXfs>
  <cellXfs count="334">
    <xf numFmtId="0" fontId="0" fillId="0" borderId="0" xfId="0"/>
    <xf numFmtId="0" fontId="3" fillId="0" borderId="0" xfId="0" applyFont="1"/>
    <xf numFmtId="0" fontId="4" fillId="0" borderId="0" xfId="0" applyFont="1"/>
    <xf numFmtId="0" fontId="7" fillId="0" borderId="0" xfId="0" applyFont="1"/>
    <xf numFmtId="164" fontId="0" fillId="0" borderId="0" xfId="0" applyNumberFormat="1"/>
    <xf numFmtId="165" fontId="0" fillId="0" borderId="0" xfId="0" applyNumberFormat="1"/>
    <xf numFmtId="0" fontId="9" fillId="0" borderId="0" xfId="0" applyFont="1"/>
    <xf numFmtId="4" fontId="2" fillId="0" borderId="0" xfId="0" applyNumberFormat="1" applyFont="1"/>
    <xf numFmtId="0" fontId="1" fillId="0" borderId="0" xfId="0" applyFont="1"/>
    <xf numFmtId="0" fontId="10" fillId="0" borderId="0" xfId="0" applyFont="1"/>
    <xf numFmtId="0" fontId="0" fillId="0" borderId="0" xfId="0" applyAlignment="1">
      <alignment vertical="center"/>
    </xf>
    <xf numFmtId="4" fontId="0" fillId="0" borderId="0" xfId="0" applyNumberFormat="1"/>
    <xf numFmtId="2" fontId="0" fillId="0" borderId="0" xfId="0" applyNumberFormat="1"/>
    <xf numFmtId="0" fontId="0" fillId="0" borderId="0" xfId="0" applyAlignment="1">
      <alignment horizontal="left" vertical="top"/>
    </xf>
    <xf numFmtId="0" fontId="14" fillId="0" borderId="0" xfId="0" applyFont="1"/>
    <xf numFmtId="165" fontId="14" fillId="0" borderId="0" xfId="0" applyNumberFormat="1" applyFont="1"/>
    <xf numFmtId="2" fontId="14" fillId="0" borderId="0" xfId="0" applyNumberFormat="1" applyFont="1"/>
    <xf numFmtId="0" fontId="8" fillId="0" borderId="0" xfId="0" applyFont="1"/>
    <xf numFmtId="3" fontId="0" fillId="0" borderId="0" xfId="0" applyNumberFormat="1"/>
    <xf numFmtId="2" fontId="8" fillId="0" borderId="0" xfId="0" applyNumberFormat="1" applyFont="1"/>
    <xf numFmtId="164" fontId="8" fillId="0" borderId="0" xfId="0" applyNumberFormat="1" applyFont="1"/>
    <xf numFmtId="2" fontId="16" fillId="0" borderId="0" xfId="0" applyNumberFormat="1" applyFont="1"/>
    <xf numFmtId="49" fontId="0" fillId="0" borderId="0" xfId="0" applyNumberFormat="1"/>
    <xf numFmtId="0" fontId="8" fillId="0" borderId="0" xfId="0" applyFont="1" applyAlignment="1">
      <alignment horizontal="left"/>
    </xf>
    <xf numFmtId="2" fontId="16" fillId="0" borderId="0" xfId="0" applyNumberFormat="1" applyFont="1" applyAlignment="1">
      <alignment horizontal="right"/>
    </xf>
    <xf numFmtId="3" fontId="2" fillId="5" borderId="3" xfId="0" applyNumberFormat="1" applyFont="1" applyFill="1" applyBorder="1"/>
    <xf numFmtId="0" fontId="8" fillId="5" borderId="3" xfId="0" applyFont="1" applyFill="1" applyBorder="1"/>
    <xf numFmtId="164" fontId="8" fillId="5" borderId="3" xfId="0" applyNumberFormat="1" applyFont="1" applyFill="1" applyBorder="1"/>
    <xf numFmtId="11" fontId="16" fillId="0" borderId="0" xfId="0" applyNumberFormat="1" applyFont="1"/>
    <xf numFmtId="11" fontId="8" fillId="0" borderId="0" xfId="0" applyNumberFormat="1" applyFont="1"/>
    <xf numFmtId="11" fontId="8" fillId="5" borderId="3" xfId="0" applyNumberFormat="1" applyFont="1" applyFill="1" applyBorder="1"/>
    <xf numFmtId="0" fontId="0" fillId="0" borderId="0" xfId="0" applyAlignment="1">
      <alignment horizontal="left"/>
    </xf>
    <xf numFmtId="166" fontId="8" fillId="0" borderId="0" xfId="0" applyNumberFormat="1" applyFont="1"/>
    <xf numFmtId="166" fontId="0" fillId="0" borderId="0" xfId="0" applyNumberFormat="1"/>
    <xf numFmtId="11" fontId="8" fillId="0" borderId="0" xfId="0" applyNumberFormat="1" applyFont="1" applyAlignment="1">
      <alignment horizontal="left" vertical="top"/>
    </xf>
    <xf numFmtId="3" fontId="0" fillId="0" borderId="0" xfId="0" applyNumberFormat="1" applyAlignment="1">
      <alignment horizontal="left" vertical="top"/>
    </xf>
    <xf numFmtId="3" fontId="0" fillId="4" borderId="0" xfId="0" applyNumberFormat="1" applyFill="1"/>
    <xf numFmtId="11" fontId="8" fillId="4" borderId="0" xfId="0" applyNumberFormat="1" applyFont="1" applyFill="1" applyAlignment="1">
      <alignment horizontal="left" vertical="top"/>
    </xf>
    <xf numFmtId="164" fontId="16" fillId="0" borderId="0" xfId="0" applyNumberFormat="1" applyFont="1"/>
    <xf numFmtId="2" fontId="2" fillId="3" borderId="0" xfId="0" applyNumberFormat="1" applyFont="1" applyFill="1" applyAlignment="1">
      <alignment horizontal="left" vertical="center"/>
    </xf>
    <xf numFmtId="11" fontId="2" fillId="3" borderId="0" xfId="0" applyNumberFormat="1" applyFont="1" applyFill="1" applyAlignment="1">
      <alignment horizontal="left" vertical="center"/>
    </xf>
    <xf numFmtId="0" fontId="0" fillId="5" borderId="0" xfId="0" applyFill="1"/>
    <xf numFmtId="3" fontId="2" fillId="5" borderId="0" xfId="0" applyNumberFormat="1" applyFont="1" applyFill="1"/>
    <xf numFmtId="0" fontId="8" fillId="5" borderId="0" xfId="0" applyFont="1" applyFill="1"/>
    <xf numFmtId="0" fontId="8" fillId="5" borderId="0" xfId="0" applyFont="1" applyFill="1" applyAlignment="1">
      <alignment horizontal="left"/>
    </xf>
    <xf numFmtId="11" fontId="8" fillId="5" borderId="0" xfId="0" applyNumberFormat="1" applyFont="1" applyFill="1"/>
    <xf numFmtId="0" fontId="8" fillId="3" borderId="0" xfId="0" applyFont="1" applyFill="1"/>
    <xf numFmtId="11" fontId="0" fillId="0" borderId="0" xfId="0" applyNumberFormat="1"/>
    <xf numFmtId="0" fontId="13" fillId="7" borderId="0" xfId="0" applyFont="1" applyFill="1"/>
    <xf numFmtId="0" fontId="12" fillId="7" borderId="0" xfId="0" applyFont="1" applyFill="1"/>
    <xf numFmtId="166" fontId="12" fillId="7" borderId="0" xfId="0" applyNumberFormat="1" applyFont="1" applyFill="1"/>
    <xf numFmtId="0" fontId="0" fillId="4" borderId="0" xfId="0" applyFill="1" applyAlignment="1">
      <alignment horizontal="left" vertical="top"/>
    </xf>
    <xf numFmtId="166" fontId="0" fillId="2" borderId="0" xfId="0" applyNumberFormat="1" applyFill="1" applyAlignment="1">
      <alignment horizontal="center" vertical="center" wrapText="1"/>
    </xf>
    <xf numFmtId="0" fontId="0" fillId="3" borderId="0" xfId="0" applyFill="1"/>
    <xf numFmtId="0" fontId="0" fillId="3" borderId="0" xfId="0" applyFill="1" applyAlignment="1">
      <alignment horizontal="left" vertical="top"/>
    </xf>
    <xf numFmtId="166" fontId="2" fillId="3" borderId="0" xfId="0" applyNumberFormat="1" applyFont="1" applyFill="1" applyAlignment="1">
      <alignment horizontal="left" vertical="center"/>
    </xf>
    <xf numFmtId="166" fontId="0" fillId="3" borderId="0" xfId="0" applyNumberFormat="1" applyFill="1" applyAlignment="1">
      <alignment horizontal="center" vertical="center" wrapText="1"/>
    </xf>
    <xf numFmtId="166" fontId="0" fillId="3" borderId="0" xfId="0" applyNumberFormat="1" applyFill="1"/>
    <xf numFmtId="166" fontId="2" fillId="3" borderId="0" xfId="0" applyNumberFormat="1" applyFont="1" applyFill="1"/>
    <xf numFmtId="0" fontId="13" fillId="3" borderId="0" xfId="0" applyFont="1" applyFill="1"/>
    <xf numFmtId="166" fontId="13" fillId="3" borderId="0" xfId="0" applyNumberFormat="1" applyFont="1" applyFill="1"/>
    <xf numFmtId="0" fontId="11" fillId="7" borderId="0" xfId="0" applyFont="1" applyFill="1"/>
    <xf numFmtId="0" fontId="10" fillId="3" borderId="0" xfId="0" applyFont="1" applyFill="1"/>
    <xf numFmtId="11" fontId="10" fillId="0" borderId="0" xfId="0" applyNumberFormat="1" applyFont="1"/>
    <xf numFmtId="0" fontId="4" fillId="0" borderId="0" xfId="0" applyFont="1" applyAlignment="1">
      <alignment horizontal="left"/>
    </xf>
    <xf numFmtId="0" fontId="13" fillId="7" borderId="0" xfId="0" applyFont="1" applyFill="1" applyAlignment="1">
      <alignment horizontal="left"/>
    </xf>
    <xf numFmtId="49" fontId="2" fillId="3" borderId="0" xfId="0" applyNumberFormat="1" applyFont="1" applyFill="1" applyAlignment="1">
      <alignment horizontal="left"/>
    </xf>
    <xf numFmtId="0" fontId="8" fillId="2" borderId="0" xfId="0" applyFont="1" applyFill="1" applyAlignment="1">
      <alignment horizontal="center" vertical="center" wrapText="1"/>
    </xf>
    <xf numFmtId="49" fontId="0" fillId="2" borderId="0" xfId="0" applyNumberFormat="1" applyFill="1" applyAlignment="1">
      <alignment horizontal="center" vertical="center" wrapText="1"/>
    </xf>
    <xf numFmtId="0" fontId="0" fillId="2" borderId="0" xfId="0" applyFill="1" applyAlignment="1">
      <alignment horizontal="center" vertical="center"/>
    </xf>
    <xf numFmtId="0" fontId="0" fillId="2" borderId="0" xfId="0" applyFill="1" applyAlignment="1">
      <alignment horizontal="center" vertical="center" wrapText="1"/>
    </xf>
    <xf numFmtId="0" fontId="10" fillId="2" borderId="0" xfId="0" applyFont="1" applyFill="1" applyAlignment="1">
      <alignment horizontal="center" vertical="center" wrapText="1"/>
    </xf>
    <xf numFmtId="0" fontId="8" fillId="4" borderId="0" xfId="0" applyFont="1" applyFill="1"/>
    <xf numFmtId="166" fontId="0" fillId="2" borderId="0" xfId="0" applyNumberFormat="1" applyFill="1" applyAlignment="1">
      <alignment vertical="center" wrapText="1"/>
    </xf>
    <xf numFmtId="1" fontId="8" fillId="2" borderId="0" xfId="0" applyNumberFormat="1" applyFont="1" applyFill="1" applyAlignment="1">
      <alignment horizontal="center" vertical="center" wrapText="1"/>
    </xf>
    <xf numFmtId="2" fontId="8" fillId="2" borderId="0" xfId="0" applyNumberFormat="1" applyFont="1" applyFill="1" applyAlignment="1">
      <alignment horizontal="center" vertical="center" wrapText="1"/>
    </xf>
    <xf numFmtId="167" fontId="0" fillId="2" borderId="0" xfId="0" applyNumberFormat="1" applyFill="1" applyAlignment="1">
      <alignment horizontal="center" vertical="center" wrapText="1"/>
    </xf>
    <xf numFmtId="11" fontId="0" fillId="2" borderId="0" xfId="0" applyNumberFormat="1" applyFill="1" applyAlignment="1">
      <alignment horizontal="center" vertical="center" wrapText="1"/>
    </xf>
    <xf numFmtId="49" fontId="0" fillId="0" borderId="2" xfId="0" applyNumberFormat="1" applyBorder="1"/>
    <xf numFmtId="164" fontId="14" fillId="0" borderId="0" xfId="0" applyNumberFormat="1" applyFont="1"/>
    <xf numFmtId="2" fontId="8" fillId="0" borderId="0" xfId="0" applyNumberFormat="1" applyFont="1" applyAlignment="1">
      <alignment horizontal="right" vertical="center"/>
    </xf>
    <xf numFmtId="11" fontId="8" fillId="0" borderId="0" xfId="0" applyNumberFormat="1" applyFont="1" applyAlignment="1">
      <alignment horizontal="right" vertical="center"/>
    </xf>
    <xf numFmtId="0" fontId="6" fillId="0" borderId="0" xfId="0" applyFont="1" applyAlignment="1">
      <alignment horizontal="left" vertical="center"/>
    </xf>
    <xf numFmtId="2" fontId="8" fillId="0" borderId="0" xfId="0" applyNumberFormat="1" applyFont="1" applyAlignment="1">
      <alignment horizontal="left" vertical="center"/>
    </xf>
    <xf numFmtId="0" fontId="0" fillId="3" borderId="0" xfId="0" applyFill="1" applyAlignment="1">
      <alignment horizontal="left"/>
    </xf>
    <xf numFmtId="0" fontId="0" fillId="7" borderId="0" xfId="0" applyFill="1" applyAlignment="1">
      <alignment horizontal="left"/>
    </xf>
    <xf numFmtId="0" fontId="0" fillId="7" borderId="0" xfId="0" applyFill="1"/>
    <xf numFmtId="0" fontId="0" fillId="7" borderId="0" xfId="0" applyFill="1" applyAlignment="1">
      <alignment horizontal="left" vertical="top"/>
    </xf>
    <xf numFmtId="0" fontId="1" fillId="7" borderId="0" xfId="0" applyFont="1" applyFill="1"/>
    <xf numFmtId="0" fontId="10" fillId="7" borderId="0" xfId="0" applyFont="1" applyFill="1"/>
    <xf numFmtId="0" fontId="18" fillId="0" borderId="0" xfId="0" applyFont="1"/>
    <xf numFmtId="3" fontId="7" fillId="0" borderId="0" xfId="0" applyNumberFormat="1" applyFont="1"/>
    <xf numFmtId="168" fontId="7" fillId="0" borderId="0" xfId="0" applyNumberFormat="1" applyFont="1"/>
    <xf numFmtId="0" fontId="7" fillId="0" borderId="0" xfId="0" applyFont="1" applyAlignment="1">
      <alignment horizontal="left" vertical="center"/>
    </xf>
    <xf numFmtId="0" fontId="7" fillId="0" borderId="0" xfId="0" applyFont="1" applyAlignment="1">
      <alignment vertical="center"/>
    </xf>
    <xf numFmtId="0" fontId="15" fillId="0" borderId="0" xfId="0" applyFont="1"/>
    <xf numFmtId="0" fontId="19" fillId="0" borderId="0" xfId="0" applyFont="1"/>
    <xf numFmtId="0" fontId="0" fillId="8" borderId="0" xfId="0" applyFill="1" applyAlignment="1">
      <alignment horizontal="left" vertical="center"/>
    </xf>
    <xf numFmtId="166" fontId="0" fillId="8" borderId="0" xfId="0" applyNumberFormat="1" applyFill="1" applyAlignment="1">
      <alignment horizontal="center" vertical="center" wrapText="1"/>
    </xf>
    <xf numFmtId="166" fontId="14" fillId="0" borderId="0" xfId="0" applyNumberFormat="1" applyFont="1"/>
    <xf numFmtId="169" fontId="14" fillId="0" borderId="0" xfId="0" applyNumberFormat="1" applyFont="1"/>
    <xf numFmtId="11" fontId="14" fillId="0" borderId="0" xfId="0" applyNumberFormat="1" applyFont="1"/>
    <xf numFmtId="0" fontId="8" fillId="5" borderId="3" xfId="0" applyFont="1" applyFill="1" applyBorder="1" applyAlignment="1">
      <alignment horizontal="left"/>
    </xf>
    <xf numFmtId="166" fontId="0" fillId="6" borderId="0" xfId="0" applyNumberFormat="1" applyFill="1" applyAlignment="1">
      <alignment horizontal="center" vertical="center"/>
    </xf>
    <xf numFmtId="166" fontId="2" fillId="6" borderId="0" xfId="0" applyNumberFormat="1" applyFont="1" applyFill="1" applyAlignment="1">
      <alignment horizontal="center" vertical="center" wrapText="1"/>
    </xf>
    <xf numFmtId="2" fontId="0" fillId="0" borderId="0" xfId="0" applyNumberFormat="1" applyAlignment="1">
      <alignment horizontal="center"/>
    </xf>
    <xf numFmtId="164" fontId="1" fillId="0" borderId="0" xfId="0" applyNumberFormat="1" applyFont="1"/>
    <xf numFmtId="164" fontId="8" fillId="0" borderId="0" xfId="0" applyNumberFormat="1" applyFont="1" applyAlignment="1">
      <alignment horizontal="right" vertical="center"/>
    </xf>
    <xf numFmtId="170" fontId="0" fillId="0" borderId="0" xfId="0" applyNumberFormat="1"/>
    <xf numFmtId="0" fontId="0" fillId="6" borderId="0" xfId="0" applyFill="1" applyAlignment="1">
      <alignment horizontal="left"/>
    </xf>
    <xf numFmtId="0" fontId="0" fillId="4" borderId="0" xfId="0" applyFill="1" applyAlignment="1">
      <alignment horizontal="left"/>
    </xf>
    <xf numFmtId="0" fontId="20" fillId="0" borderId="0" xfId="0" applyFont="1" applyAlignment="1">
      <alignment horizontal="left" vertical="center"/>
    </xf>
    <xf numFmtId="0" fontId="2" fillId="0" borderId="0" xfId="0" applyFont="1" applyAlignment="1">
      <alignment horizontal="left"/>
    </xf>
    <xf numFmtId="2" fontId="8" fillId="4" borderId="0" xfId="0" applyNumberFormat="1" applyFont="1" applyFill="1"/>
    <xf numFmtId="0" fontId="21" fillId="0" borderId="0" xfId="0" applyFont="1" applyAlignment="1">
      <alignment horizontal="left" vertical="center" wrapText="1" indent="1"/>
    </xf>
    <xf numFmtId="0" fontId="0" fillId="4" borderId="0" xfId="0" applyFill="1"/>
    <xf numFmtId="2" fontId="8" fillId="0" borderId="0" xfId="0" applyNumberFormat="1" applyFont="1" applyAlignment="1">
      <alignment horizontal="right"/>
    </xf>
    <xf numFmtId="1" fontId="8" fillId="0" borderId="0" xfId="0" applyNumberFormat="1" applyFont="1" applyAlignment="1">
      <alignment vertical="center"/>
    </xf>
    <xf numFmtId="165" fontId="8" fillId="0" borderId="0" xfId="0" applyNumberFormat="1" applyFont="1" applyAlignment="1">
      <alignment vertical="center"/>
    </xf>
    <xf numFmtId="165" fontId="8" fillId="0" borderId="0" xfId="0" applyNumberFormat="1" applyFont="1"/>
    <xf numFmtId="1" fontId="0" fillId="0" borderId="0" xfId="0" applyNumberFormat="1"/>
    <xf numFmtId="0" fontId="8" fillId="4" borderId="0" xfId="0" applyFont="1" applyFill="1" applyAlignment="1">
      <alignment horizontal="center" wrapText="1"/>
    </xf>
    <xf numFmtId="0" fontId="0" fillId="4" borderId="0" xfId="0" applyFill="1" applyAlignment="1">
      <alignment horizontal="center" wrapText="1"/>
    </xf>
    <xf numFmtId="0" fontId="0" fillId="9" borderId="0" xfId="0" applyFill="1"/>
    <xf numFmtId="166" fontId="0" fillId="9" borderId="0" xfId="0" applyNumberFormat="1" applyFill="1" applyAlignment="1">
      <alignment horizontal="center" vertical="center"/>
    </xf>
    <xf numFmtId="166" fontId="2" fillId="9" borderId="0" xfId="0" applyNumberFormat="1" applyFont="1" applyFill="1" applyAlignment="1">
      <alignment horizontal="center" vertical="center" wrapText="1"/>
    </xf>
    <xf numFmtId="166" fontId="0" fillId="4" borderId="0" xfId="0" applyNumberFormat="1" applyFill="1" applyAlignment="1">
      <alignment horizontal="center" vertical="center" wrapText="1"/>
    </xf>
    <xf numFmtId="166" fontId="0" fillId="9" borderId="0" xfId="0" applyNumberFormat="1" applyFill="1" applyAlignment="1">
      <alignment horizontal="center" vertical="center" wrapText="1"/>
    </xf>
    <xf numFmtId="166" fontId="2" fillId="9" borderId="0" xfId="0" applyNumberFormat="1" applyFont="1" applyFill="1" applyAlignment="1">
      <alignment horizontal="center" vertical="center"/>
    </xf>
    <xf numFmtId="0" fontId="2" fillId="9" borderId="0" xfId="0" applyFont="1" applyFill="1" applyAlignment="1">
      <alignment horizontal="center" vertical="center"/>
    </xf>
    <xf numFmtId="0" fontId="2" fillId="4" borderId="0" xfId="0" applyFont="1" applyFill="1" applyAlignment="1">
      <alignment horizontal="left" vertical="center" wrapText="1"/>
    </xf>
    <xf numFmtId="0" fontId="0" fillId="4" borderId="0" xfId="0" applyFill="1" applyAlignment="1">
      <alignment horizontal="center" vertical="center" wrapText="1"/>
    </xf>
    <xf numFmtId="0" fontId="22" fillId="0" borderId="0" xfId="0" applyFont="1"/>
    <xf numFmtId="0" fontId="0" fillId="11" borderId="0" xfId="0" applyFill="1"/>
    <xf numFmtId="0" fontId="7" fillId="4" borderId="0" xfId="0" applyFont="1" applyFill="1" applyAlignment="1">
      <alignment horizontal="left" vertical="center" wrapText="1"/>
    </xf>
    <xf numFmtId="49" fontId="7" fillId="0" borderId="0" xfId="0" applyNumberFormat="1" applyFont="1"/>
    <xf numFmtId="2" fontId="18" fillId="0" borderId="0" xfId="0" applyNumberFormat="1" applyFont="1" applyAlignment="1">
      <alignment horizontal="right"/>
    </xf>
    <xf numFmtId="164" fontId="18" fillId="0" borderId="0" xfId="0" applyNumberFormat="1" applyFont="1"/>
    <xf numFmtId="11" fontId="8" fillId="0" borderId="0" xfId="0" applyNumberFormat="1" applyFont="1" applyAlignment="1">
      <alignment horizontal="right"/>
    </xf>
    <xf numFmtId="169" fontId="8" fillId="0" borderId="0" xfId="0" applyNumberFormat="1" applyFont="1"/>
    <xf numFmtId="0" fontId="23" fillId="0" borderId="0" xfId="0" applyFont="1"/>
    <xf numFmtId="49" fontId="0" fillId="10" borderId="0" xfId="0" applyNumberFormat="1" applyFill="1"/>
    <xf numFmtId="0" fontId="8" fillId="10" borderId="0" xfId="0" applyFont="1" applyFill="1"/>
    <xf numFmtId="0" fontId="18" fillId="10" borderId="0" xfId="0" applyFont="1" applyFill="1"/>
    <xf numFmtId="2" fontId="18" fillId="10" borderId="0" xfId="0" applyNumberFormat="1" applyFont="1" applyFill="1" applyAlignment="1">
      <alignment horizontal="right"/>
    </xf>
    <xf numFmtId="164" fontId="18" fillId="10" borderId="0" xfId="0" applyNumberFormat="1" applyFont="1" applyFill="1"/>
    <xf numFmtId="167" fontId="8" fillId="0" borderId="0" xfId="0" applyNumberFormat="1" applyFont="1"/>
    <xf numFmtId="0" fontId="8" fillId="11" borderId="0" xfId="0" applyFont="1" applyFill="1"/>
    <xf numFmtId="2" fontId="0" fillId="11" borderId="0" xfId="0" applyNumberFormat="1" applyFill="1"/>
    <xf numFmtId="2" fontId="8" fillId="11" borderId="0" xfId="0" applyNumberFormat="1" applyFont="1" applyFill="1"/>
    <xf numFmtId="164" fontId="8" fillId="11" borderId="0" xfId="0" applyNumberFormat="1" applyFont="1" applyFill="1"/>
    <xf numFmtId="11" fontId="0" fillId="11" borderId="0" xfId="0" applyNumberFormat="1" applyFill="1"/>
    <xf numFmtId="166" fontId="8" fillId="11" borderId="0" xfId="0" applyNumberFormat="1" applyFont="1" applyFill="1"/>
    <xf numFmtId="166" fontId="0" fillId="11" borderId="0" xfId="0" applyNumberFormat="1" applyFill="1"/>
    <xf numFmtId="0" fontId="0" fillId="0" borderId="1" xfId="0" applyBorder="1"/>
    <xf numFmtId="3" fontId="0" fillId="0" borderId="1" xfId="0" applyNumberFormat="1" applyBorder="1"/>
    <xf numFmtId="0" fontId="8" fillId="11" borderId="1" xfId="0" applyFont="1" applyFill="1" applyBorder="1"/>
    <xf numFmtId="2" fontId="0" fillId="11" borderId="1" xfId="0" applyNumberFormat="1" applyFill="1" applyBorder="1"/>
    <xf numFmtId="2" fontId="8" fillId="11" borderId="1" xfId="0" applyNumberFormat="1" applyFont="1" applyFill="1" applyBorder="1"/>
    <xf numFmtId="164" fontId="0" fillId="11" borderId="1" xfId="0" applyNumberFormat="1" applyFill="1" applyBorder="1"/>
    <xf numFmtId="0" fontId="0" fillId="11" borderId="1" xfId="0" applyFill="1" applyBorder="1"/>
    <xf numFmtId="0" fontId="20" fillId="0" borderId="0" xfId="0" applyFont="1" applyAlignment="1">
      <alignment horizontal="left" vertical="center" wrapText="1"/>
    </xf>
    <xf numFmtId="0" fontId="0" fillId="8" borderId="0" xfId="0" applyFill="1"/>
    <xf numFmtId="4" fontId="0" fillId="4" borderId="0" xfId="0" applyNumberFormat="1" applyFill="1"/>
    <xf numFmtId="0" fontId="0" fillId="4" borderId="3" xfId="0" applyFill="1" applyBorder="1" applyAlignment="1">
      <alignment horizontal="left" vertical="top"/>
    </xf>
    <xf numFmtId="0" fontId="8" fillId="4" borderId="3" xfId="0" applyFont="1" applyFill="1" applyBorder="1"/>
    <xf numFmtId="3" fontId="0" fillId="4" borderId="3" xfId="0" applyNumberFormat="1" applyFill="1" applyBorder="1"/>
    <xf numFmtId="11" fontId="8" fillId="4" borderId="3" xfId="0" applyNumberFormat="1" applyFont="1" applyFill="1" applyBorder="1" applyAlignment="1">
      <alignment horizontal="left" vertical="top"/>
    </xf>
    <xf numFmtId="164" fontId="8" fillId="4" borderId="3" xfId="0" applyNumberFormat="1" applyFont="1" applyFill="1" applyBorder="1"/>
    <xf numFmtId="164" fontId="10" fillId="4" borderId="3" xfId="0" applyNumberFormat="1" applyFont="1" applyFill="1" applyBorder="1"/>
    <xf numFmtId="0" fontId="0" fillId="0" borderId="1" xfId="0" applyBorder="1" applyAlignment="1">
      <alignment horizontal="left" vertical="top"/>
    </xf>
    <xf numFmtId="0" fontId="8" fillId="0" borderId="1" xfId="0" applyFont="1" applyBorder="1"/>
    <xf numFmtId="3" fontId="0" fillId="0" borderId="1" xfId="0" applyNumberFormat="1" applyBorder="1" applyAlignment="1">
      <alignment horizontal="left" vertical="top"/>
    </xf>
    <xf numFmtId="164" fontId="8" fillId="0" borderId="1" xfId="0" applyNumberFormat="1" applyFont="1" applyBorder="1"/>
    <xf numFmtId="0" fontId="10" fillId="0" borderId="1" xfId="0" applyFont="1" applyBorder="1"/>
    <xf numFmtId="164" fontId="0" fillId="0" borderId="1" xfId="0" applyNumberFormat="1" applyBorder="1"/>
    <xf numFmtId="2" fontId="0" fillId="0" borderId="1" xfId="0" applyNumberFormat="1" applyBorder="1"/>
    <xf numFmtId="11" fontId="8" fillId="4" borderId="4" xfId="0" applyNumberFormat="1" applyFont="1" applyFill="1" applyBorder="1" applyAlignment="1">
      <alignment horizontal="left" vertical="top"/>
    </xf>
    <xf numFmtId="2" fontId="8" fillId="4" borderId="5" xfId="0" applyNumberFormat="1" applyFont="1" applyFill="1" applyBorder="1"/>
    <xf numFmtId="0" fontId="0" fillId="6" borderId="0" xfId="0" applyFill="1" applyAlignment="1">
      <alignment horizontal="center" vertical="center"/>
    </xf>
    <xf numFmtId="166" fontId="2" fillId="6" borderId="0" xfId="0" applyNumberFormat="1" applyFont="1" applyFill="1" applyAlignment="1">
      <alignment horizontal="center" vertical="center"/>
    </xf>
    <xf numFmtId="166" fontId="0" fillId="6" borderId="0" xfId="0" applyNumberFormat="1" applyFill="1" applyAlignment="1">
      <alignment horizontal="center" vertical="center" wrapText="1"/>
    </xf>
    <xf numFmtId="0" fontId="2" fillId="6" borderId="0" xfId="0" applyFont="1" applyFill="1" applyAlignment="1">
      <alignment horizontal="center" vertical="center"/>
    </xf>
    <xf numFmtId="0" fontId="2" fillId="8" borderId="0" xfId="0" applyFont="1" applyFill="1" applyAlignment="1">
      <alignment horizontal="left" vertical="center" wrapText="1"/>
    </xf>
    <xf numFmtId="0" fontId="0" fillId="8" borderId="0" xfId="0" applyFill="1" applyAlignment="1">
      <alignment horizontal="center" vertical="center" wrapText="1"/>
    </xf>
    <xf numFmtId="0" fontId="0" fillId="5" borderId="3" xfId="0" applyFill="1" applyBorder="1"/>
    <xf numFmtId="0" fontId="17" fillId="5" borderId="3" xfId="0" applyFont="1" applyFill="1" applyBorder="1"/>
    <xf numFmtId="2" fontId="18" fillId="0" borderId="0" xfId="0" applyNumberFormat="1" applyFont="1"/>
    <xf numFmtId="0" fontId="24" fillId="5" borderId="3" xfId="0" applyFont="1" applyFill="1" applyBorder="1"/>
    <xf numFmtId="49" fontId="0" fillId="0" borderId="1" xfId="0" applyNumberFormat="1" applyBorder="1"/>
    <xf numFmtId="0" fontId="8" fillId="0" borderId="1" xfId="0" applyFont="1" applyBorder="1" applyAlignment="1">
      <alignment horizontal="left"/>
    </xf>
    <xf numFmtId="166" fontId="14" fillId="0" borderId="1" xfId="0" applyNumberFormat="1" applyFont="1" applyBorder="1"/>
    <xf numFmtId="169" fontId="14" fillId="0" borderId="1" xfId="0" applyNumberFormat="1" applyFont="1" applyBorder="1"/>
    <xf numFmtId="2" fontId="14" fillId="0" borderId="1" xfId="0" applyNumberFormat="1" applyFont="1" applyBorder="1"/>
    <xf numFmtId="0" fontId="14" fillId="0" borderId="1" xfId="0" applyFont="1" applyBorder="1"/>
    <xf numFmtId="11" fontId="14" fillId="0" borderId="1" xfId="0" applyNumberFormat="1" applyFont="1" applyBorder="1"/>
    <xf numFmtId="0" fontId="2" fillId="6" borderId="0" xfId="0" applyFont="1" applyFill="1" applyAlignment="1">
      <alignment vertical="center"/>
    </xf>
    <xf numFmtId="0" fontId="24" fillId="5" borderId="0" xfId="0" applyFont="1" applyFill="1"/>
    <xf numFmtId="2" fontId="18" fillId="0" borderId="1" xfId="0" applyNumberFormat="1" applyFont="1" applyBorder="1"/>
    <xf numFmtId="2" fontId="8" fillId="5" borderId="3" xfId="0" applyNumberFormat="1" applyFont="1" applyFill="1" applyBorder="1"/>
    <xf numFmtId="2" fontId="0" fillId="12" borderId="0" xfId="0" applyNumberFormat="1" applyFill="1"/>
    <xf numFmtId="0" fontId="0" fillId="4" borderId="3" xfId="0" applyFill="1" applyBorder="1"/>
    <xf numFmtId="0" fontId="2" fillId="6" borderId="0" xfId="0" applyFont="1" applyFill="1"/>
    <xf numFmtId="0" fontId="0" fillId="6" borderId="0" xfId="0" applyFill="1"/>
    <xf numFmtId="2" fontId="2" fillId="6" borderId="0" xfId="0" applyNumberFormat="1" applyFont="1" applyFill="1" applyAlignment="1">
      <alignment horizontal="left" vertical="center"/>
    </xf>
    <xf numFmtId="11" fontId="2" fillId="6" borderId="0" xfId="0" applyNumberFormat="1" applyFont="1" applyFill="1" applyAlignment="1">
      <alignment horizontal="left" vertical="center"/>
    </xf>
    <xf numFmtId="166" fontId="2" fillId="6" borderId="0" xfId="0" applyNumberFormat="1" applyFont="1" applyFill="1"/>
    <xf numFmtId="0" fontId="0" fillId="8" borderId="0" xfId="0" applyFill="1" applyAlignment="1">
      <alignment horizontal="center" vertical="center"/>
    </xf>
    <xf numFmtId="0" fontId="7" fillId="4" borderId="0" xfId="0" applyFont="1" applyFill="1"/>
    <xf numFmtId="2" fontId="2" fillId="0" borderId="0" xfId="0" applyNumberFormat="1" applyFont="1"/>
    <xf numFmtId="2" fontId="0" fillId="0" borderId="0" xfId="0" applyNumberFormat="1" applyAlignment="1">
      <alignment horizontal="right"/>
    </xf>
    <xf numFmtId="11" fontId="14" fillId="0" borderId="0" xfId="0" applyNumberFormat="1" applyFont="1" applyAlignment="1">
      <alignment horizontal="right"/>
    </xf>
    <xf numFmtId="11" fontId="0" fillId="0" borderId="0" xfId="0" applyNumberFormat="1" applyAlignment="1">
      <alignment horizontal="right"/>
    </xf>
    <xf numFmtId="11" fontId="14" fillId="0" borderId="1" xfId="0" applyNumberFormat="1" applyFont="1" applyBorder="1" applyAlignment="1">
      <alignment horizontal="right"/>
    </xf>
    <xf numFmtId="0" fontId="19" fillId="0" borderId="0" xfId="0" applyFont="1" applyAlignment="1">
      <alignment horizontal="left"/>
    </xf>
    <xf numFmtId="164" fontId="8" fillId="4" borderId="6" xfId="0" applyNumberFormat="1" applyFont="1" applyFill="1" applyBorder="1"/>
    <xf numFmtId="167" fontId="8" fillId="0" borderId="0" xfId="0" applyNumberFormat="1" applyFont="1" applyAlignment="1">
      <alignment horizontal="right" vertical="center"/>
    </xf>
    <xf numFmtId="1" fontId="8" fillId="8" borderId="0" xfId="0" applyNumberFormat="1" applyFont="1" applyFill="1" applyAlignment="1">
      <alignment horizontal="center" vertical="center" wrapText="1"/>
    </xf>
    <xf numFmtId="2" fontId="8" fillId="8" borderId="0" xfId="0" applyNumberFormat="1" applyFont="1" applyFill="1" applyAlignment="1">
      <alignment horizontal="center" vertical="center" wrapText="1"/>
    </xf>
    <xf numFmtId="167" fontId="0" fillId="8" borderId="0" xfId="0" applyNumberFormat="1" applyFill="1" applyAlignment="1">
      <alignment horizontal="center" vertical="center" wrapText="1"/>
    </xf>
    <xf numFmtId="11" fontId="0" fillId="8" borderId="0" xfId="0" applyNumberFormat="1" applyFill="1" applyAlignment="1">
      <alignment horizontal="center" vertical="center" wrapText="1"/>
    </xf>
    <xf numFmtId="0" fontId="0" fillId="8" borderId="7" xfId="0" applyFill="1" applyBorder="1"/>
    <xf numFmtId="0" fontId="14" fillId="0" borderId="7" xfId="0" applyFont="1" applyBorder="1"/>
    <xf numFmtId="165" fontId="14" fillId="0" borderId="7" xfId="0" applyNumberFormat="1" applyFont="1" applyBorder="1"/>
    <xf numFmtId="0" fontId="0" fillId="0" borderId="7" xfId="0" applyBorder="1"/>
    <xf numFmtId="2" fontId="0" fillId="0" borderId="7" xfId="0" applyNumberFormat="1" applyBorder="1"/>
    <xf numFmtId="164" fontId="8" fillId="0" borderId="7" xfId="0" applyNumberFormat="1" applyFont="1" applyBorder="1"/>
    <xf numFmtId="164" fontId="0" fillId="0" borderId="7" xfId="0" applyNumberFormat="1" applyBorder="1"/>
    <xf numFmtId="170" fontId="0" fillId="0" borderId="7" xfId="0" applyNumberFormat="1" applyBorder="1"/>
    <xf numFmtId="2" fontId="14" fillId="0" borderId="7" xfId="0" applyNumberFormat="1" applyFont="1" applyBorder="1"/>
    <xf numFmtId="169" fontId="0" fillId="0" borderId="0" xfId="0" applyNumberFormat="1"/>
    <xf numFmtId="4" fontId="8" fillId="0" borderId="0" xfId="0" applyNumberFormat="1" applyFont="1"/>
    <xf numFmtId="0" fontId="2" fillId="0" borderId="0" xfId="0" applyFont="1"/>
    <xf numFmtId="1" fontId="8" fillId="2" borderId="0" xfId="0" applyNumberFormat="1" applyFont="1" applyFill="1" applyAlignment="1">
      <alignment horizontal="left" vertical="top" wrapText="1"/>
    </xf>
    <xf numFmtId="1" fontId="0" fillId="2" borderId="0" xfId="0" applyNumberFormat="1" applyFill="1" applyAlignment="1">
      <alignment horizontal="left" vertical="top" wrapText="1"/>
    </xf>
    <xf numFmtId="0" fontId="2" fillId="3" borderId="0" xfId="0" applyFont="1" applyFill="1"/>
    <xf numFmtId="0" fontId="26" fillId="0" borderId="0" xfId="0" applyFont="1"/>
    <xf numFmtId="165" fontId="26" fillId="0" borderId="0" xfId="0" applyNumberFormat="1" applyFont="1"/>
    <xf numFmtId="164" fontId="27" fillId="0" borderId="0" xfId="0" applyNumberFormat="1" applyFont="1"/>
    <xf numFmtId="170" fontId="27" fillId="0" borderId="0" xfId="0" applyNumberFormat="1" applyFont="1"/>
    <xf numFmtId="164" fontId="27" fillId="0" borderId="7" xfId="0" applyNumberFormat="1" applyFont="1" applyBorder="1"/>
    <xf numFmtId="171" fontId="27" fillId="0" borderId="0" xfId="0" applyNumberFormat="1" applyFont="1"/>
    <xf numFmtId="171" fontId="27" fillId="0" borderId="7" xfId="0" applyNumberFormat="1" applyFont="1" applyBorder="1"/>
    <xf numFmtId="166" fontId="27" fillId="0" borderId="0" xfId="0" applyNumberFormat="1" applyFont="1"/>
    <xf numFmtId="166" fontId="27" fillId="0" borderId="7" xfId="0" applyNumberFormat="1" applyFont="1" applyBorder="1"/>
    <xf numFmtId="165" fontId="27" fillId="0" borderId="0" xfId="0" applyNumberFormat="1" applyFont="1" applyAlignment="1">
      <alignment vertical="center"/>
    </xf>
    <xf numFmtId="165" fontId="27" fillId="0" borderId="7" xfId="0" applyNumberFormat="1" applyFont="1" applyBorder="1" applyAlignment="1">
      <alignment vertical="center"/>
    </xf>
    <xf numFmtId="164" fontId="26" fillId="0" borderId="0" xfId="0" applyNumberFormat="1" applyFont="1"/>
    <xf numFmtId="0" fontId="26" fillId="8" borderId="0" xfId="0" applyFont="1" applyFill="1"/>
    <xf numFmtId="2" fontId="26" fillId="0" borderId="0" xfId="0" applyNumberFormat="1" applyFont="1"/>
    <xf numFmtId="0" fontId="0" fillId="2" borderId="0" xfId="0" applyFill="1" applyAlignment="1">
      <alignment horizontal="left" vertical="center"/>
    </xf>
    <xf numFmtId="0" fontId="0" fillId="2" borderId="0" xfId="0" applyFill="1" applyAlignment="1">
      <alignment horizontal="left" vertical="top" wrapText="1"/>
    </xf>
    <xf numFmtId="166" fontId="0" fillId="0" borderId="0" xfId="0" applyNumberFormat="1" applyAlignment="1">
      <alignment horizontal="center" vertical="center" wrapText="1"/>
    </xf>
    <xf numFmtId="166" fontId="2" fillId="13" borderId="0" xfId="0" applyNumberFormat="1" applyFont="1" applyFill="1"/>
    <xf numFmtId="166" fontId="0" fillId="0" borderId="0" xfId="0" applyNumberFormat="1" applyAlignment="1">
      <alignment horizontal="left" vertical="center" wrapText="1"/>
    </xf>
    <xf numFmtId="0" fontId="0" fillId="0" borderId="3" xfId="0" applyBorder="1"/>
    <xf numFmtId="0" fontId="2" fillId="13" borderId="0" xfId="0" applyFont="1" applyFill="1"/>
    <xf numFmtId="0" fontId="0" fillId="13" borderId="0" xfId="0" applyFill="1"/>
    <xf numFmtId="166" fontId="2" fillId="13" borderId="0" xfId="0" applyNumberFormat="1" applyFont="1" applyFill="1" applyAlignment="1">
      <alignment horizontal="left" vertical="center"/>
    </xf>
    <xf numFmtId="166" fontId="0" fillId="13" borderId="0" xfId="0" applyNumberFormat="1" applyFill="1" applyAlignment="1">
      <alignment horizontal="center" vertical="center" wrapText="1"/>
    </xf>
    <xf numFmtId="166" fontId="0" fillId="13" borderId="0" xfId="0" applyNumberFormat="1" applyFill="1"/>
    <xf numFmtId="0" fontId="2" fillId="2" borderId="0" xfId="0" applyFont="1" applyFill="1" applyAlignment="1">
      <alignment horizontal="left" vertical="center" wrapText="1"/>
    </xf>
    <xf numFmtId="166" fontId="2" fillId="0" borderId="0" xfId="0" applyNumberFormat="1" applyFont="1"/>
    <xf numFmtId="0" fontId="0" fillId="0" borderId="0" xfId="0" applyAlignment="1">
      <alignment horizontal="center" vertical="center" wrapText="1"/>
    </xf>
    <xf numFmtId="0" fontId="3" fillId="4" borderId="0" xfId="0" applyFont="1" applyFill="1"/>
    <xf numFmtId="0" fontId="0" fillId="0" borderId="8" xfId="0" applyBorder="1"/>
    <xf numFmtId="164" fontId="0" fillId="0" borderId="9" xfId="0" applyNumberFormat="1" applyBorder="1"/>
    <xf numFmtId="0" fontId="0" fillId="0" borderId="2" xfId="0" applyBorder="1"/>
    <xf numFmtId="0" fontId="0" fillId="0" borderId="10" xfId="0" applyBorder="1"/>
    <xf numFmtId="164" fontId="0" fillId="0" borderId="3" xfId="0" applyNumberFormat="1" applyBorder="1"/>
    <xf numFmtId="164" fontId="0" fillId="0" borderId="11" xfId="0" applyNumberFormat="1" applyBorder="1"/>
    <xf numFmtId="49" fontId="0" fillId="0" borderId="12" xfId="0" applyNumberFormat="1" applyBorder="1"/>
    <xf numFmtId="0" fontId="0" fillId="0" borderId="13" xfId="0" applyBorder="1"/>
    <xf numFmtId="170" fontId="0" fillId="0" borderId="13" xfId="0" applyNumberFormat="1" applyBorder="1"/>
    <xf numFmtId="2" fontId="0" fillId="0" borderId="13" xfId="0" applyNumberFormat="1" applyBorder="1"/>
    <xf numFmtId="11" fontId="0" fillId="0" borderId="13" xfId="0" applyNumberFormat="1" applyBorder="1"/>
    <xf numFmtId="2" fontId="0" fillId="0" borderId="0" xfId="0" applyNumberFormat="1" applyAlignment="1">
      <alignment horizontal="left"/>
    </xf>
    <xf numFmtId="0" fontId="0" fillId="0" borderId="12" xfId="0" applyBorder="1"/>
    <xf numFmtId="167" fontId="0" fillId="0" borderId="0" xfId="0" applyNumberFormat="1"/>
    <xf numFmtId="0" fontId="28" fillId="0" borderId="0" xfId="0" applyFont="1"/>
    <xf numFmtId="2" fontId="14" fillId="0" borderId="0" xfId="1" applyNumberFormat="1" applyFont="1" applyAlignment="1">
      <alignment horizontal="right" vertical="center"/>
    </xf>
    <xf numFmtId="0" fontId="25" fillId="0" borderId="0" xfId="0" applyFont="1"/>
    <xf numFmtId="0" fontId="25" fillId="0" borderId="0" xfId="0" applyFont="1" applyAlignment="1">
      <alignment horizontal="right" vertical="center"/>
    </xf>
    <xf numFmtId="11" fontId="25" fillId="0" borderId="7" xfId="0" applyNumberFormat="1" applyFont="1" applyBorder="1" applyAlignment="1">
      <alignment horizontal="right" vertical="center"/>
    </xf>
    <xf numFmtId="2" fontId="29" fillId="0" borderId="0" xfId="0" applyNumberFormat="1" applyFont="1" applyAlignment="1">
      <alignment horizontal="right"/>
    </xf>
    <xf numFmtId="0" fontId="30" fillId="0" borderId="0" xfId="0" applyFont="1"/>
    <xf numFmtId="166" fontId="8" fillId="0" borderId="0" xfId="0" applyNumberFormat="1" applyFont="1" applyAlignment="1">
      <alignment horizontal="left" vertical="center" wrapText="1"/>
    </xf>
    <xf numFmtId="0" fontId="8" fillId="0" borderId="0" xfId="0" applyFont="1" applyAlignment="1">
      <alignment horizontal="left" vertical="center" wrapText="1"/>
    </xf>
    <xf numFmtId="0" fontId="0" fillId="0" borderId="0" xfId="0" applyAlignment="1">
      <alignment wrapText="1"/>
    </xf>
    <xf numFmtId="171" fontId="0" fillId="0" borderId="0" xfId="0" applyNumberFormat="1"/>
    <xf numFmtId="170" fontId="0" fillId="0" borderId="3" xfId="0" applyNumberFormat="1" applyBorder="1"/>
    <xf numFmtId="171" fontId="0" fillId="0" borderId="3" xfId="0" applyNumberFormat="1" applyBorder="1"/>
    <xf numFmtId="164" fontId="2" fillId="0" borderId="0" xfId="0" applyNumberFormat="1" applyFont="1"/>
    <xf numFmtId="172" fontId="0" fillId="0" borderId="0" xfId="0" applyNumberFormat="1"/>
    <xf numFmtId="0" fontId="0" fillId="14" borderId="0" xfId="0" applyFill="1" applyAlignment="1">
      <alignment horizontal="left"/>
    </xf>
    <xf numFmtId="171" fontId="8" fillId="4" borderId="3" xfId="0" applyNumberFormat="1" applyFont="1" applyFill="1" applyBorder="1"/>
    <xf numFmtId="0" fontId="0" fillId="2" borderId="3" xfId="0" applyFill="1" applyBorder="1" applyAlignment="1">
      <alignment horizontal="center" vertical="center" wrapText="1"/>
    </xf>
    <xf numFmtId="11" fontId="16" fillId="0" borderId="0" xfId="0" applyNumberFormat="1" applyFont="1" applyAlignment="1">
      <alignment horizontal="right" vertical="center"/>
    </xf>
    <xf numFmtId="0" fontId="25" fillId="0" borderId="1" xfId="0" applyFont="1" applyBorder="1"/>
    <xf numFmtId="11" fontId="25" fillId="0" borderId="0" xfId="0" applyNumberFormat="1" applyFont="1" applyAlignment="1">
      <alignment horizontal="right" vertical="center"/>
    </xf>
    <xf numFmtId="11" fontId="25" fillId="0" borderId="1" xfId="0" applyNumberFormat="1" applyFont="1" applyBorder="1" applyAlignment="1">
      <alignment horizontal="right" vertical="center"/>
    </xf>
    <xf numFmtId="2" fontId="18" fillId="5" borderId="3" xfId="0" applyNumberFormat="1" applyFont="1" applyFill="1" applyBorder="1"/>
    <xf numFmtId="2" fontId="28" fillId="0" borderId="0" xfId="0" applyNumberFormat="1" applyFont="1"/>
    <xf numFmtId="164" fontId="14" fillId="0" borderId="7" xfId="0" applyNumberFormat="1" applyFont="1" applyBorder="1"/>
    <xf numFmtId="173" fontId="0" fillId="0" borderId="0" xfId="0" applyNumberFormat="1"/>
    <xf numFmtId="0" fontId="32" fillId="0" borderId="0" xfId="0" applyFont="1"/>
    <xf numFmtId="2" fontId="33" fillId="0" borderId="0" xfId="0" applyNumberFormat="1" applyFont="1"/>
    <xf numFmtId="165" fontId="32" fillId="0" borderId="0" xfId="0" applyNumberFormat="1" applyFont="1"/>
    <xf numFmtId="0" fontId="33" fillId="0" borderId="0" xfId="0" applyFont="1"/>
    <xf numFmtId="2" fontId="32" fillId="0" borderId="0" xfId="0" applyNumberFormat="1" applyFont="1"/>
    <xf numFmtId="165" fontId="33" fillId="0" borderId="0" xfId="0" applyNumberFormat="1" applyFont="1"/>
    <xf numFmtId="164" fontId="33" fillId="0" borderId="0" xfId="0" applyNumberFormat="1" applyFont="1"/>
    <xf numFmtId="164" fontId="32" fillId="0" borderId="0" xfId="0" applyNumberFormat="1" applyFont="1"/>
    <xf numFmtId="2" fontId="32" fillId="0" borderId="0" xfId="1" applyNumberFormat="1" applyFont="1" applyAlignment="1">
      <alignment horizontal="right" vertical="center"/>
    </xf>
    <xf numFmtId="165" fontId="0" fillId="0" borderId="7" xfId="0" applyNumberFormat="1" applyBorder="1"/>
    <xf numFmtId="2" fontId="29" fillId="0" borderId="0" xfId="0" applyNumberFormat="1" applyFont="1" applyAlignment="1">
      <alignment vertical="center"/>
    </xf>
    <xf numFmtId="2" fontId="29" fillId="0" borderId="7" xfId="0" applyNumberFormat="1" applyFont="1" applyBorder="1" applyAlignment="1">
      <alignment vertical="center"/>
    </xf>
    <xf numFmtId="165" fontId="27" fillId="0" borderId="0" xfId="0" applyNumberFormat="1" applyFont="1"/>
    <xf numFmtId="165" fontId="27" fillId="0" borderId="0" xfId="0" applyNumberFormat="1" applyFont="1" applyAlignment="1">
      <alignment horizontal="right" vertical="center"/>
    </xf>
    <xf numFmtId="2" fontId="27" fillId="0" borderId="7" xfId="0" applyNumberFormat="1" applyFont="1" applyBorder="1"/>
    <xf numFmtId="2" fontId="27" fillId="0" borderId="7" xfId="0" applyNumberFormat="1" applyFont="1" applyBorder="1" applyAlignment="1">
      <alignment horizontal="right" vertical="center"/>
    </xf>
    <xf numFmtId="2" fontId="29" fillId="0" borderId="0" xfId="0" applyNumberFormat="1" applyFont="1"/>
    <xf numFmtId="2" fontId="29" fillId="0" borderId="7" xfId="0" applyNumberFormat="1" applyFont="1" applyBorder="1"/>
    <xf numFmtId="0" fontId="34" fillId="0" borderId="0" xfId="8"/>
    <xf numFmtId="164" fontId="36" fillId="0" borderId="0" xfId="9" applyNumberFormat="1" applyFont="1" applyAlignment="1">
      <alignment vertical="center"/>
    </xf>
    <xf numFmtId="0" fontId="37" fillId="0" borderId="0" xfId="9" applyFont="1"/>
    <xf numFmtId="0" fontId="36" fillId="0" borderId="7" xfId="0" applyFont="1" applyBorder="1"/>
    <xf numFmtId="0" fontId="29" fillId="0" borderId="0" xfId="0" applyFont="1"/>
    <xf numFmtId="170" fontId="28" fillId="0" borderId="0" xfId="0" applyNumberFormat="1" applyFont="1"/>
    <xf numFmtId="0" fontId="0" fillId="15" borderId="0" xfId="0" applyFill="1"/>
    <xf numFmtId="0" fontId="0" fillId="16" borderId="0" xfId="10" applyFont="1" applyFill="1"/>
    <xf numFmtId="0" fontId="38" fillId="0" borderId="0" xfId="10" applyFont="1"/>
    <xf numFmtId="49" fontId="0" fillId="2" borderId="3" xfId="0" applyNumberFormat="1" applyFill="1" applyBorder="1" applyAlignment="1">
      <alignment horizontal="center" vertical="center" wrapText="1"/>
    </xf>
    <xf numFmtId="0" fontId="8" fillId="2" borderId="3" xfId="0" applyFont="1" applyFill="1" applyBorder="1" applyAlignment="1">
      <alignment horizontal="center" vertical="center" wrapText="1"/>
    </xf>
  </cellXfs>
  <cellStyles count="11">
    <cellStyle name="AggGreen 2 3 2 27" xfId="9" xr:uid="{00000000-0005-0000-0000-000009000000}"/>
    <cellStyle name="AggOrangeRBorder 3 2 3 8" xfId="10" xr:uid="{00000000-0005-0000-0000-00000A000000}"/>
    <cellStyle name="Comma 2" xfId="6" xr:uid="{00000000-0005-0000-0000-000006000000}"/>
    <cellStyle name="Hyperlink" xfId="8" builtinId="8"/>
    <cellStyle name="Normal" xfId="0" builtinId="0"/>
    <cellStyle name="Normal 2" xfId="3" xr:uid="{00000000-0005-0000-0000-000003000000}"/>
    <cellStyle name="Normal 3" xfId="1" xr:uid="{00000000-0005-0000-0000-000001000000}"/>
    <cellStyle name="Normal 3 2" xfId="5" xr:uid="{00000000-0005-0000-0000-000005000000}"/>
    <cellStyle name="Normal 4" xfId="7" xr:uid="{00000000-0005-0000-0000-000007000000}"/>
    <cellStyle name="Normal 5" xfId="2" xr:uid="{00000000-0005-0000-0000-000002000000}"/>
    <cellStyle name="Percent 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autoTitleDeleted val="1"/>
    <c:plotArea>
      <c:layout/>
      <c:barChart>
        <c:barDir val="col"/>
        <c:grouping val="stacked"/>
        <c:varyColors val="0"/>
        <c:ser>
          <c:idx val="0"/>
          <c:order val="0"/>
          <c:tx>
            <c:strRef>
              <c:f>Figures!$B$71</c:f>
              <c:strCache>
                <c:ptCount val="1"/>
                <c:pt idx="0">
                  <c:v>Production of mineral fertilizer</c:v>
                </c:pt>
              </c:strCache>
            </c:strRef>
          </c:tx>
          <c:spPr>
            <a:solidFill>
              <a:schemeClr val="accent1"/>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Figures!$B$72:$B$83</c:f>
              <c:numCache>
                <c:formatCode>General</c:formatCode>
                <c:ptCount val="12"/>
                <c:pt idx="0">
                  <c:v>0.14182589030893067</c:v>
                </c:pt>
                <c:pt idx="1">
                  <c:v>0.11906285917231932</c:v>
                </c:pt>
                <c:pt idx="2">
                  <c:v>8.5456252781013847E-2</c:v>
                </c:pt>
                <c:pt idx="3">
                  <c:v>0.11959261573702391</c:v>
                </c:pt>
                <c:pt idx="4">
                  <c:v>9.3166572330003167E-2</c:v>
                </c:pt>
                <c:pt idx="5">
                  <c:v>0.13284786163725093</c:v>
                </c:pt>
                <c:pt idx="6">
                  <c:v>7.9091032558217075E-2</c:v>
                </c:pt>
                <c:pt idx="7">
                  <c:v>0.14520261021801248</c:v>
                </c:pt>
                <c:pt idx="8">
                  <c:v>8.860161292388849E-2</c:v>
                </c:pt>
                <c:pt idx="9">
                  <c:v>0.10192608576753485</c:v>
                </c:pt>
                <c:pt idx="10">
                  <c:v>8.931492246760056E-2</c:v>
                </c:pt>
                <c:pt idx="11">
                  <c:v>0.130303063365317</c:v>
                </c:pt>
              </c:numCache>
            </c:numRef>
          </c:val>
          <c:extLst>
            <c:ext xmlns:c16="http://schemas.microsoft.com/office/drawing/2014/chart" uri="{C3380CC4-5D6E-409C-BE32-E72D297353CC}">
              <c16:uniqueId val="{00000000-F50D-5041-86B2-36CE9D53E419}"/>
            </c:ext>
          </c:extLst>
        </c:ser>
        <c:ser>
          <c:idx val="1"/>
          <c:order val="1"/>
          <c:tx>
            <c:strRef>
              <c:f>Figures!$C$71</c:f>
              <c:strCache>
                <c:ptCount val="1"/>
                <c:pt idx="0">
                  <c:v>Production of capital goods </c:v>
                </c:pt>
              </c:strCache>
            </c:strRef>
          </c:tx>
          <c:spPr>
            <a:solidFill>
              <a:schemeClr val="accent2"/>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Figures!$C$72:$C$83</c:f>
              <c:numCache>
                <c:formatCode>General</c:formatCode>
                <c:ptCount val="12"/>
                <c:pt idx="0">
                  <c:v>8.7209413865151686E-2</c:v>
                </c:pt>
                <c:pt idx="1">
                  <c:v>0.1003133145372106</c:v>
                </c:pt>
                <c:pt idx="2">
                  <c:v>7.8980020177101998E-2</c:v>
                </c:pt>
                <c:pt idx="3">
                  <c:v>8.8556933476482844E-2</c:v>
                </c:pt>
                <c:pt idx="4">
                  <c:v>8.1982797149030159E-2</c:v>
                </c:pt>
                <c:pt idx="5">
                  <c:v>8.6959835343506861E-2</c:v>
                </c:pt>
                <c:pt idx="6">
                  <c:v>8.0623471140318398E-2</c:v>
                </c:pt>
                <c:pt idx="7">
                  <c:v>8.5374835917830044E-2</c:v>
                </c:pt>
                <c:pt idx="8">
                  <c:v>8.9761711249717699E-2</c:v>
                </c:pt>
                <c:pt idx="9">
                  <c:v>8.5868898378355277E-2</c:v>
                </c:pt>
                <c:pt idx="10">
                  <c:v>8.0783957551538069E-2</c:v>
                </c:pt>
                <c:pt idx="11">
                  <c:v>8.4783462380159588E-2</c:v>
                </c:pt>
              </c:numCache>
            </c:numRef>
          </c:val>
          <c:extLst>
            <c:ext xmlns:c16="http://schemas.microsoft.com/office/drawing/2014/chart" uri="{C3380CC4-5D6E-409C-BE32-E72D297353CC}">
              <c16:uniqueId val="{00000001-F50D-5041-86B2-36CE9D53E419}"/>
            </c:ext>
          </c:extLst>
        </c:ser>
        <c:ser>
          <c:idx val="2"/>
          <c:order val="2"/>
          <c:tx>
            <c:strRef>
              <c:f>Figures!$D$71</c:f>
              <c:strCache>
                <c:ptCount val="1"/>
                <c:pt idx="0">
                  <c:v>Emissions from soil </c:v>
                </c:pt>
              </c:strCache>
            </c:strRef>
          </c:tx>
          <c:spPr>
            <a:solidFill>
              <a:schemeClr val="accent3"/>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Figures!$D$72:$D$83</c:f>
              <c:numCache>
                <c:formatCode>General</c:formatCode>
                <c:ptCount val="12"/>
                <c:pt idx="0">
                  <c:v>0.47869873339254421</c:v>
                </c:pt>
                <c:pt idx="1">
                  <c:v>0.35586016493638062</c:v>
                </c:pt>
                <c:pt idx="2">
                  <c:v>0.34915927495820642</c:v>
                </c:pt>
                <c:pt idx="3">
                  <c:v>0.45248518580355479</c:v>
                </c:pt>
                <c:pt idx="4">
                  <c:v>0.3462383604337087</c:v>
                </c:pt>
                <c:pt idx="5">
                  <c:v>0.37162780230828518</c:v>
                </c:pt>
                <c:pt idx="6">
                  <c:v>0.28988863765578599</c:v>
                </c:pt>
                <c:pt idx="7">
                  <c:v>0.43109578813912852</c:v>
                </c:pt>
                <c:pt idx="8">
                  <c:v>0.36103751917324906</c:v>
                </c:pt>
                <c:pt idx="9">
                  <c:v>0.41016510067501383</c:v>
                </c:pt>
                <c:pt idx="10">
                  <c:v>0.33739746380463698</c:v>
                </c:pt>
                <c:pt idx="11">
                  <c:v>0.38748891759640147</c:v>
                </c:pt>
              </c:numCache>
            </c:numRef>
          </c:val>
          <c:extLst>
            <c:ext xmlns:c16="http://schemas.microsoft.com/office/drawing/2014/chart" uri="{C3380CC4-5D6E-409C-BE32-E72D297353CC}">
              <c16:uniqueId val="{00000002-F50D-5041-86B2-36CE9D53E419}"/>
            </c:ext>
          </c:extLst>
        </c:ser>
        <c:ser>
          <c:idx val="3"/>
          <c:order val="3"/>
          <c:tx>
            <c:strRef>
              <c:f>Figures!$E$71</c:f>
              <c:strCache>
                <c:ptCount val="1"/>
                <c:pt idx="0">
                  <c:v>Diesel use field machinary</c:v>
                </c:pt>
              </c:strCache>
            </c:strRef>
          </c:tx>
          <c:spPr>
            <a:solidFill>
              <a:schemeClr val="accent4"/>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Figures!$E$72:$E$83</c:f>
              <c:numCache>
                <c:formatCode>General</c:formatCode>
                <c:ptCount val="12"/>
                <c:pt idx="0">
                  <c:v>0.11587266637204043</c:v>
                </c:pt>
                <c:pt idx="1">
                  <c:v>0.10993817827073814</c:v>
                </c:pt>
                <c:pt idx="2">
                  <c:v>0.14758025795654392</c:v>
                </c:pt>
                <c:pt idx="3">
                  <c:v>0.16706857822750495</c:v>
                </c:pt>
                <c:pt idx="4">
                  <c:v>9.1810537683648497E-2</c:v>
                </c:pt>
                <c:pt idx="5">
                  <c:v>9.9269175673005569E-2</c:v>
                </c:pt>
                <c:pt idx="6">
                  <c:v>8.3717797830787491E-2</c:v>
                </c:pt>
                <c:pt idx="7">
                  <c:v>0.10402696491229446</c:v>
                </c:pt>
                <c:pt idx="8">
                  <c:v>8.7252238761104856E-2</c:v>
                </c:pt>
                <c:pt idx="9">
                  <c:v>0.10320102174266391</c:v>
                </c:pt>
                <c:pt idx="10">
                  <c:v>9.6654448160504988E-2</c:v>
                </c:pt>
                <c:pt idx="11">
                  <c:v>9.2696922188693492E-2</c:v>
                </c:pt>
              </c:numCache>
            </c:numRef>
          </c:val>
          <c:extLst>
            <c:ext xmlns:c16="http://schemas.microsoft.com/office/drawing/2014/chart" uri="{C3380CC4-5D6E-409C-BE32-E72D297353CC}">
              <c16:uniqueId val="{00000003-F50D-5041-86B2-36CE9D53E419}"/>
            </c:ext>
          </c:extLst>
        </c:ser>
        <c:ser>
          <c:idx val="4"/>
          <c:order val="4"/>
          <c:tx>
            <c:strRef>
              <c:f>Figures!$F$71</c:f>
              <c:strCache>
                <c:ptCount val="1"/>
                <c:pt idx="0">
                  <c:v>Energy use for feed processing</c:v>
                </c:pt>
              </c:strCache>
            </c:strRef>
          </c:tx>
          <c:spPr>
            <a:solidFill>
              <a:schemeClr val="accent5"/>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Figures!$F$72:$F$83</c:f>
              <c:numCache>
                <c:formatCode>General</c:formatCode>
                <c:ptCount val="12"/>
                <c:pt idx="0">
                  <c:v>0.15365027384382648</c:v>
                </c:pt>
                <c:pt idx="1">
                  <c:v>0.14896507040137574</c:v>
                </c:pt>
                <c:pt idx="2">
                  <c:v>0.12077628777993152</c:v>
                </c:pt>
                <c:pt idx="3">
                  <c:v>0.11737352952134456</c:v>
                </c:pt>
                <c:pt idx="4">
                  <c:v>0.11337825586506189</c:v>
                </c:pt>
                <c:pt idx="5">
                  <c:v>0.1229209564847815</c:v>
                </c:pt>
                <c:pt idx="6">
                  <c:v>0.10934813291674637</c:v>
                </c:pt>
                <c:pt idx="7">
                  <c:v>0.1060361558226675</c:v>
                </c:pt>
                <c:pt idx="8">
                  <c:v>0.13433333810246961</c:v>
                </c:pt>
                <c:pt idx="9">
                  <c:v>0.12261656629674957</c:v>
                </c:pt>
                <c:pt idx="10">
                  <c:v>0.11376981156059619</c:v>
                </c:pt>
                <c:pt idx="11">
                  <c:v>0.10839290327316987</c:v>
                </c:pt>
              </c:numCache>
            </c:numRef>
          </c:val>
          <c:extLst>
            <c:ext xmlns:c16="http://schemas.microsoft.com/office/drawing/2014/chart" uri="{C3380CC4-5D6E-409C-BE32-E72D297353CC}">
              <c16:uniqueId val="{00000004-F50D-5041-86B2-36CE9D53E419}"/>
            </c:ext>
          </c:extLst>
        </c:ser>
        <c:ser>
          <c:idx val="5"/>
          <c:order val="5"/>
          <c:tx>
            <c:strRef>
              <c:f>Figures!$G$71</c:f>
              <c:strCache>
                <c:ptCount val="1"/>
                <c:pt idx="0">
                  <c:v>Land use change emissions</c:v>
                </c:pt>
              </c:strCache>
            </c:strRef>
          </c:tx>
          <c:spPr>
            <a:solidFill>
              <a:schemeClr val="accent6"/>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Figures!$G$72:$G$83</c:f>
              <c:numCache>
                <c:formatCode>General</c:formatCode>
                <c:ptCount val="12"/>
                <c:pt idx="0">
                  <c:v>0.15633033300729995</c:v>
                </c:pt>
                <c:pt idx="1">
                  <c:v>0.18806865613563159</c:v>
                </c:pt>
                <c:pt idx="2">
                  <c:v>0.22046761555307084</c:v>
                </c:pt>
                <c:pt idx="3">
                  <c:v>0.17889596424503415</c:v>
                </c:pt>
                <c:pt idx="4">
                  <c:v>0.27794174774745456</c:v>
                </c:pt>
                <c:pt idx="5">
                  <c:v>0.1871499229406047</c:v>
                </c:pt>
                <c:pt idx="6">
                  <c:v>0.27555354739824978</c:v>
                </c:pt>
                <c:pt idx="7">
                  <c:v>0.23472272626242752</c:v>
                </c:pt>
                <c:pt idx="8">
                  <c:v>0.10160661063511113</c:v>
                </c:pt>
                <c:pt idx="9">
                  <c:v>0.12041668325213123</c:v>
                </c:pt>
                <c:pt idx="10">
                  <c:v>0.1253073776867886</c:v>
                </c:pt>
                <c:pt idx="11">
                  <c:v>9.9075411511305084E-2</c:v>
                </c:pt>
              </c:numCache>
            </c:numRef>
          </c:val>
          <c:extLst>
            <c:ext xmlns:c16="http://schemas.microsoft.com/office/drawing/2014/chart" uri="{C3380CC4-5D6E-409C-BE32-E72D297353CC}">
              <c16:uniqueId val="{00000005-F50D-5041-86B2-36CE9D53E419}"/>
            </c:ext>
          </c:extLst>
        </c:ser>
        <c:ser>
          <c:idx val="6"/>
          <c:order val="6"/>
          <c:tx>
            <c:strRef>
              <c:f>Figures!$H$71</c:f>
              <c:strCache>
                <c:ptCount val="1"/>
                <c:pt idx="0">
                  <c:v>Feed transports</c:v>
                </c:pt>
              </c:strCache>
            </c:strRef>
          </c:tx>
          <c:spPr>
            <a:solidFill>
              <a:schemeClr val="accent1">
                <a:lumMod val="60000"/>
              </a:schemeClr>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Figures!$H$72:$H$83</c:f>
              <c:numCache>
                <c:formatCode>General</c:formatCode>
                <c:ptCount val="12"/>
                <c:pt idx="0">
                  <c:v>9.3510057818236819E-2</c:v>
                </c:pt>
                <c:pt idx="1">
                  <c:v>0.18349894885881349</c:v>
                </c:pt>
                <c:pt idx="2">
                  <c:v>0.18269950918057767</c:v>
                </c:pt>
                <c:pt idx="3">
                  <c:v>0.15390876477548007</c:v>
                </c:pt>
                <c:pt idx="4">
                  <c:v>0.22863941613368885</c:v>
                </c:pt>
                <c:pt idx="5">
                  <c:v>0.17296399352250316</c:v>
                </c:pt>
                <c:pt idx="6">
                  <c:v>0.21693015229173673</c:v>
                </c:pt>
                <c:pt idx="7">
                  <c:v>0.15985253492247123</c:v>
                </c:pt>
                <c:pt idx="8">
                  <c:v>9.8051944550827913E-2</c:v>
                </c:pt>
                <c:pt idx="9">
                  <c:v>8.1917852588737614E-2</c:v>
                </c:pt>
                <c:pt idx="10">
                  <c:v>0.11300434545990885</c:v>
                </c:pt>
                <c:pt idx="11">
                  <c:v>9.7482979671635481E-2</c:v>
                </c:pt>
              </c:numCache>
            </c:numRef>
          </c:val>
          <c:extLst>
            <c:ext xmlns:c16="http://schemas.microsoft.com/office/drawing/2014/chart" uri="{C3380CC4-5D6E-409C-BE32-E72D297353CC}">
              <c16:uniqueId val="{00000006-F50D-5041-86B2-36CE9D53E419}"/>
            </c:ext>
          </c:extLst>
        </c:ser>
        <c:ser>
          <c:idx val="7"/>
          <c:order val="7"/>
          <c:tx>
            <c:strRef>
              <c:f>Figures!$I$71</c:f>
              <c:strCache>
                <c:ptCount val="1"/>
                <c:pt idx="0">
                  <c:v>Enteric fermentation</c:v>
                </c:pt>
              </c:strCache>
            </c:strRef>
          </c:tx>
          <c:spPr>
            <a:solidFill>
              <a:schemeClr val="accent2">
                <a:lumMod val="60000"/>
              </a:schemeClr>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Figures!$I$72:$I$83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50D-5041-86B2-36CE9D53E419}"/>
            </c:ext>
          </c:extLst>
        </c:ser>
        <c:ser>
          <c:idx val="8"/>
          <c:order val="8"/>
          <c:tx>
            <c:strRef>
              <c:f>Figures!$J$71</c:f>
              <c:strCache>
                <c:ptCount val="1"/>
                <c:pt idx="0">
                  <c:v>Manure management</c:v>
                </c:pt>
              </c:strCache>
            </c:strRef>
          </c:tx>
          <c:spPr>
            <a:solidFill>
              <a:schemeClr val="accent3">
                <a:lumMod val="60000"/>
              </a:schemeClr>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Figures!$J$72:$J$83</c:f>
              <c:numCache>
                <c:formatCode>General</c:formatCode>
                <c:ptCount val="12"/>
                <c:pt idx="0">
                  <c:v>0.13493193578594725</c:v>
                </c:pt>
                <c:pt idx="1">
                  <c:v>0.17500499955385898</c:v>
                </c:pt>
                <c:pt idx="2">
                  <c:v>0.14086885701709909</c:v>
                </c:pt>
                <c:pt idx="3">
                  <c:v>0.1519825872072284</c:v>
                </c:pt>
                <c:pt idx="4">
                  <c:v>9.7409280950466665E-2</c:v>
                </c:pt>
                <c:pt idx="5">
                  <c:v>9.0979991211224215E-2</c:v>
                </c:pt>
                <c:pt idx="6">
                  <c:v>8.5783505094092272E-2</c:v>
                </c:pt>
                <c:pt idx="7">
                  <c:v>9.5642890832451255E-2</c:v>
                </c:pt>
                <c:pt idx="8">
                  <c:v>0.17092470370446172</c:v>
                </c:pt>
                <c:pt idx="9">
                  <c:v>0.11621092494143098</c:v>
                </c:pt>
                <c:pt idx="10">
                  <c:v>0.10003053959263787</c:v>
                </c:pt>
                <c:pt idx="11">
                  <c:v>0.11578241920431788</c:v>
                </c:pt>
              </c:numCache>
            </c:numRef>
          </c:val>
          <c:extLst>
            <c:ext xmlns:c16="http://schemas.microsoft.com/office/drawing/2014/chart" uri="{C3380CC4-5D6E-409C-BE32-E72D297353CC}">
              <c16:uniqueId val="{00000008-F50D-5041-86B2-36CE9D53E419}"/>
            </c:ext>
          </c:extLst>
        </c:ser>
        <c:ser>
          <c:idx val="9"/>
          <c:order val="9"/>
          <c:tx>
            <c:strRef>
              <c:f>Figures!$K$71</c:f>
              <c:strCache>
                <c:ptCount val="1"/>
                <c:pt idx="0">
                  <c:v>Energy use in stables</c:v>
                </c:pt>
              </c:strCache>
            </c:strRef>
          </c:tx>
          <c:spPr>
            <a:solidFill>
              <a:schemeClr val="accent4">
                <a:lumMod val="60000"/>
              </a:schemeClr>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Figures!$K$72:$K$83</c:f>
              <c:numCache>
                <c:formatCode>General</c:formatCode>
                <c:ptCount val="12"/>
                <c:pt idx="0">
                  <c:v>0.18848012962060898</c:v>
                </c:pt>
                <c:pt idx="1">
                  <c:v>0.18288500714974945</c:v>
                </c:pt>
                <c:pt idx="2">
                  <c:v>0.14842219170035933</c:v>
                </c:pt>
                <c:pt idx="3">
                  <c:v>0.10435440964687527</c:v>
                </c:pt>
                <c:pt idx="4">
                  <c:v>0.11752266480025438</c:v>
                </c:pt>
                <c:pt idx="5">
                  <c:v>0.11782558699067439</c:v>
                </c:pt>
                <c:pt idx="6">
                  <c:v>0.11406221682689352</c:v>
                </c:pt>
                <c:pt idx="7">
                  <c:v>7.9453601866809637E-2</c:v>
                </c:pt>
                <c:pt idx="8">
                  <c:v>0.144454052967282</c:v>
                </c:pt>
                <c:pt idx="9">
                  <c:v>0.12459752733178922</c:v>
                </c:pt>
                <c:pt idx="10">
                  <c:v>0.11973363913307442</c:v>
                </c:pt>
                <c:pt idx="11">
                  <c:v>9.5025782073278317E-2</c:v>
                </c:pt>
              </c:numCache>
            </c:numRef>
          </c:val>
          <c:extLst>
            <c:ext xmlns:c16="http://schemas.microsoft.com/office/drawing/2014/chart" uri="{C3380CC4-5D6E-409C-BE32-E72D297353CC}">
              <c16:uniqueId val="{00000009-F50D-5041-86B2-36CE9D53E419}"/>
            </c:ext>
          </c:extLst>
        </c:ser>
        <c:ser>
          <c:idx val="10"/>
          <c:order val="10"/>
          <c:tx>
            <c:strRef>
              <c:f>Figures!$L$71</c:f>
              <c:strCache>
                <c:ptCount val="1"/>
                <c:pt idx="0">
                  <c:v>Energy use for slaughter</c:v>
                </c:pt>
              </c:strCache>
            </c:strRef>
          </c:tx>
          <c:spPr>
            <a:solidFill>
              <a:schemeClr val="accent5">
                <a:lumMod val="60000"/>
              </a:schemeClr>
            </a:solidFill>
            <a:ln>
              <a:noFill/>
              <a:prstDash val="solid"/>
            </a:ln>
          </c:spPr>
          <c:invertIfNegative val="0"/>
          <c:cat>
            <c:strRef>
              <c:f>Figures!$A$72:$A$83</c:f>
              <c:strCache>
                <c:ptCount val="12"/>
                <c:pt idx="0">
                  <c:v>Poland</c:v>
                </c:pt>
                <c:pt idx="1">
                  <c:v>Netherlands</c:v>
                </c:pt>
                <c:pt idx="2">
                  <c:v>Greece</c:v>
                </c:pt>
                <c:pt idx="3">
                  <c:v>Spain</c:v>
                </c:pt>
                <c:pt idx="4">
                  <c:v>Denmark </c:v>
                </c:pt>
                <c:pt idx="5">
                  <c:v>UK</c:v>
                </c:pt>
                <c:pt idx="6">
                  <c:v>Ireland</c:v>
                </c:pt>
                <c:pt idx="7">
                  <c:v>Sweden</c:v>
                </c:pt>
                <c:pt idx="8">
                  <c:v>Germany</c:v>
                </c:pt>
                <c:pt idx="9">
                  <c:v>Hungary </c:v>
                </c:pt>
                <c:pt idx="10">
                  <c:v>Italy</c:v>
                </c:pt>
                <c:pt idx="11">
                  <c:v>France</c:v>
                </c:pt>
              </c:strCache>
            </c:strRef>
          </c:cat>
          <c:val>
            <c:numRef>
              <c:f>Figures!$L$72:$L$83</c:f>
              <c:numCache>
                <c:formatCode>General</c:formatCode>
                <c:ptCount val="12"/>
                <c:pt idx="0">
                  <c:v>0.41940393093351269</c:v>
                </c:pt>
                <c:pt idx="1">
                  <c:v>0.25559746822167556</c:v>
                </c:pt>
                <c:pt idx="2">
                  <c:v>0.30495267973279938</c:v>
                </c:pt>
                <c:pt idx="3">
                  <c:v>0.17904473100855914</c:v>
                </c:pt>
                <c:pt idx="4">
                  <c:v>0.20399743819056709</c:v>
                </c:pt>
                <c:pt idx="5">
                  <c:v>0.21753380913369938</c:v>
                </c:pt>
                <c:pt idx="6">
                  <c:v>0.20988536490670037</c:v>
                </c:pt>
                <c:pt idx="7">
                  <c:v>5.6285414421603369E-2</c:v>
                </c:pt>
                <c:pt idx="8">
                  <c:v>0.24383327814653336</c:v>
                </c:pt>
                <c:pt idx="9">
                  <c:v>0.23688221010831328</c:v>
                </c:pt>
                <c:pt idx="10">
                  <c:v>0.22298538668341386</c:v>
                </c:pt>
                <c:pt idx="11">
                  <c:v>0.11443774572789947</c:v>
                </c:pt>
              </c:numCache>
            </c:numRef>
          </c:val>
          <c:extLst>
            <c:ext xmlns:c16="http://schemas.microsoft.com/office/drawing/2014/chart" uri="{C3380CC4-5D6E-409C-BE32-E72D297353CC}">
              <c16:uniqueId val="{0000000A-F50D-5041-86B2-36CE9D53E419}"/>
            </c:ext>
          </c:extLst>
        </c:ser>
        <c:dLbls>
          <c:showLegendKey val="0"/>
          <c:showVal val="0"/>
          <c:showCatName val="0"/>
          <c:showSerName val="0"/>
          <c:showPercent val="0"/>
          <c:showBubbleSize val="0"/>
        </c:dLbls>
        <c:gapWidth val="150"/>
        <c:overlap val="100"/>
        <c:axId val="1097164863"/>
        <c:axId val="1097163423"/>
      </c:barChart>
      <c:catAx>
        <c:axId val="109716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sv-SE"/>
          </a:p>
        </c:txPr>
        <c:crossAx val="1097163423"/>
        <c:crosses val="autoZero"/>
        <c:auto val="1"/>
        <c:lblAlgn val="ctr"/>
        <c:lblOffset val="100"/>
        <c:noMultiLvlLbl val="0"/>
      </c:catAx>
      <c:valAx>
        <c:axId val="1097163423"/>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sv-SE"/>
                  <a:t>kg CO2e per kg of</a:t>
                </a:r>
                <a:r>
                  <a:rPr lang="sv-SE" baseline="0"/>
                  <a:t> bonefree chicken meat and offal</a:t>
                </a:r>
                <a:endParaRPr lang="sv-SE"/>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sv-SE"/>
          </a:p>
        </c:txPr>
        <c:crossAx val="109716486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sv-SE"/>
        </a:p>
      </c:txPr>
    </c:legend>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167066</xdr:rowOff>
    </xdr:from>
    <xdr:to>
      <xdr:col>9</xdr:col>
      <xdr:colOff>252249</xdr:colOff>
      <xdr:row>30</xdr:row>
      <xdr:rowOff>75407</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99060</xdr:colOff>
      <xdr:row>42</xdr:row>
      <xdr:rowOff>30480</xdr:rowOff>
    </xdr:from>
    <xdr:to>
      <xdr:col>8</xdr:col>
      <xdr:colOff>288210</xdr:colOff>
      <xdr:row>67</xdr:row>
      <xdr:rowOff>48522</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a:stretch>
          <a:fillRect/>
        </a:stretch>
      </xdr:blipFill>
      <xdr:spPr>
        <a:xfrm>
          <a:off x="99060" y="6438900"/>
          <a:ext cx="6658530" cy="4586232"/>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106</xdr:row>
      <xdr:rowOff>27085</xdr:rowOff>
    </xdr:from>
    <xdr:to>
      <xdr:col>9</xdr:col>
      <xdr:colOff>840146</xdr:colOff>
      <xdr:row>133</xdr:row>
      <xdr:rowOff>112057</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0" y="20914850"/>
          <a:ext cx="9009234" cy="4925913"/>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197;terst&#228;lldExternL&#228;n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Footprints, results per kg"/>
      <sheetName val="Crops, input data per ha"/>
      <sheetName val="Crops CO2e"/>
      <sheetName val="Crops CO2"/>
      <sheetName val="Crops CH4, fossil"/>
      <sheetName val="Crops CH4, bio"/>
      <sheetName val="Crops N2O"/>
      <sheetName val="Energy"/>
      <sheetName val="Emission factors"/>
      <sheetName val="CF climate"/>
      <sheetName val="Reference list"/>
    </sheetNames>
    <sheetDataSet>
      <sheetData sheetId="0" refreshError="1"/>
      <sheetData sheetId="1" refreshError="1"/>
      <sheetData sheetId="2" refreshError="1">
        <row r="6">
          <cell r="A6" t="str">
            <v>01371</v>
          </cell>
          <cell r="B6" t="str">
            <v>Almonds, in shell</v>
          </cell>
          <cell r="C6" t="str">
            <v>Nuts</v>
          </cell>
          <cell r="D6" t="str">
            <v>No</v>
          </cell>
          <cell r="G6">
            <v>114</v>
          </cell>
          <cell r="I6">
            <v>0</v>
          </cell>
          <cell r="J6">
            <v>0</v>
          </cell>
          <cell r="K6">
            <v>450</v>
          </cell>
          <cell r="L6">
            <v>537.25699999999995</v>
          </cell>
          <cell r="M6">
            <v>0</v>
          </cell>
          <cell r="N6">
            <v>0.14299999999999999</v>
          </cell>
          <cell r="O6">
            <v>1.6E-2</v>
          </cell>
          <cell r="P6">
            <v>1</v>
          </cell>
          <cell r="Q6">
            <v>0.22</v>
          </cell>
          <cell r="R6">
            <v>8.9999999999999993E-3</v>
          </cell>
          <cell r="S6">
            <v>0.85</v>
          </cell>
          <cell r="T6">
            <v>1</v>
          </cell>
          <cell r="U6">
            <v>3.7738174209626004E-12</v>
          </cell>
          <cell r="V6">
            <v>2.5819413353737599E-12</v>
          </cell>
          <cell r="W6">
            <v>3.8726446962259297E-12</v>
          </cell>
          <cell r="X6">
            <v>7.3859179387853007E-12</v>
          </cell>
          <cell r="Y6">
            <v>6.7025422877374503E-10</v>
          </cell>
        </row>
        <row r="7">
          <cell r="A7" t="str">
            <v>01654</v>
          </cell>
          <cell r="B7" t="str">
            <v>Anise, badian, coriander, cumin, caraway, fennel and juniper berries, raw</v>
          </cell>
          <cell r="C7" t="str">
            <v>Vegetables</v>
          </cell>
          <cell r="D7" t="str">
            <v>No</v>
          </cell>
          <cell r="G7">
            <v>121</v>
          </cell>
          <cell r="I7">
            <v>0</v>
          </cell>
          <cell r="J7">
            <v>21</v>
          </cell>
          <cell r="K7">
            <v>140</v>
          </cell>
          <cell r="L7">
            <v>2081.5229999999997</v>
          </cell>
          <cell r="M7">
            <v>0</v>
          </cell>
          <cell r="N7">
            <v>0.14299999999999999</v>
          </cell>
          <cell r="O7">
            <v>8.0000000000000002E-3</v>
          </cell>
          <cell r="P7">
            <v>1</v>
          </cell>
          <cell r="Q7">
            <v>0.22</v>
          </cell>
          <cell r="R7">
            <v>8.9999999999999993E-3</v>
          </cell>
          <cell r="S7">
            <v>0.85</v>
          </cell>
          <cell r="T7">
            <v>1</v>
          </cell>
          <cell r="U7">
            <v>3.7738174209626004E-12</v>
          </cell>
          <cell r="V7">
            <v>2.5819413353737599E-12</v>
          </cell>
          <cell r="W7">
            <v>3.8726446962259297E-12</v>
          </cell>
          <cell r="X7">
            <v>7.3859179387853007E-12</v>
          </cell>
          <cell r="Y7">
            <v>6.7025422877374503E-10</v>
          </cell>
        </row>
        <row r="8">
          <cell r="A8" t="str">
            <v>01341</v>
          </cell>
          <cell r="B8" t="str">
            <v>Apples</v>
          </cell>
          <cell r="C8" t="str">
            <v>Fruits</v>
          </cell>
          <cell r="D8" t="str">
            <v>No</v>
          </cell>
          <cell r="G8">
            <v>0</v>
          </cell>
          <cell r="I8">
            <v>0</v>
          </cell>
          <cell r="J8">
            <v>0</v>
          </cell>
          <cell r="K8">
            <v>450</v>
          </cell>
          <cell r="L8">
            <v>3220.7402399999996</v>
          </cell>
          <cell r="M8">
            <v>0</v>
          </cell>
          <cell r="N8">
            <v>0.14299999999999999</v>
          </cell>
          <cell r="O8">
            <v>8.0000000000000002E-3</v>
          </cell>
          <cell r="P8">
            <v>1</v>
          </cell>
          <cell r="Q8">
            <v>0.22</v>
          </cell>
          <cell r="R8">
            <v>8.9999999999999993E-3</v>
          </cell>
          <cell r="S8">
            <v>0.85</v>
          </cell>
          <cell r="T8">
            <v>1</v>
          </cell>
          <cell r="U8">
            <v>3.7738174209626004E-12</v>
          </cell>
          <cell r="V8">
            <v>2.5819413353737599E-12</v>
          </cell>
          <cell r="W8">
            <v>3.8726446962259297E-12</v>
          </cell>
          <cell r="X8">
            <v>7.3859179387853007E-12</v>
          </cell>
          <cell r="Y8">
            <v>6.7025422877374503E-10</v>
          </cell>
        </row>
        <row r="9">
          <cell r="A9" t="str">
            <v>01343</v>
          </cell>
          <cell r="B9" t="str">
            <v>Apricots</v>
          </cell>
          <cell r="C9" t="str">
            <v>Fruits</v>
          </cell>
          <cell r="D9" t="str">
            <v>No</v>
          </cell>
          <cell r="G9">
            <v>0</v>
          </cell>
          <cell r="I9">
            <v>0</v>
          </cell>
          <cell r="J9">
            <v>0</v>
          </cell>
          <cell r="K9">
            <v>450</v>
          </cell>
          <cell r="L9">
            <v>2019.7212199999999</v>
          </cell>
          <cell r="M9">
            <v>0</v>
          </cell>
          <cell r="N9">
            <v>0.14299999999999999</v>
          </cell>
          <cell r="O9">
            <v>8.0000000000000002E-3</v>
          </cell>
          <cell r="P9">
            <v>1</v>
          </cell>
          <cell r="Q9">
            <v>0.22</v>
          </cell>
          <cell r="R9">
            <v>8.9999999999999993E-3</v>
          </cell>
          <cell r="S9">
            <v>0.85</v>
          </cell>
          <cell r="T9">
            <v>1</v>
          </cell>
          <cell r="U9">
            <v>3.7738174209626004E-12</v>
          </cell>
          <cell r="V9">
            <v>2.5819413353737599E-12</v>
          </cell>
          <cell r="W9">
            <v>3.8726446962259297E-12</v>
          </cell>
          <cell r="X9">
            <v>7.3859179387853007E-12</v>
          </cell>
          <cell r="Y9">
            <v>6.7025422877374503E-10</v>
          </cell>
        </row>
        <row r="10">
          <cell r="A10" t="str">
            <v>01216</v>
          </cell>
          <cell r="B10" t="str">
            <v>Artichokes</v>
          </cell>
          <cell r="C10" t="str">
            <v>Vegetables</v>
          </cell>
          <cell r="D10" t="str">
            <v>No</v>
          </cell>
          <cell r="G10">
            <v>0</v>
          </cell>
          <cell r="I10">
            <v>0</v>
          </cell>
          <cell r="J10">
            <v>0</v>
          </cell>
          <cell r="K10">
            <v>140</v>
          </cell>
          <cell r="L10">
            <v>1071.7583800000002</v>
          </cell>
          <cell r="M10">
            <v>0</v>
          </cell>
          <cell r="N10">
            <v>0.14299999999999999</v>
          </cell>
          <cell r="O10">
            <v>8.0000000000000002E-3</v>
          </cell>
          <cell r="P10">
            <v>1</v>
          </cell>
          <cell r="Q10">
            <v>0.22</v>
          </cell>
          <cell r="R10">
            <v>8.9999999999999993E-3</v>
          </cell>
          <cell r="S10">
            <v>0.85</v>
          </cell>
          <cell r="T10">
            <v>1</v>
          </cell>
          <cell r="U10">
            <v>3.7738174209626004E-12</v>
          </cell>
          <cell r="V10">
            <v>2.5819413353737599E-12</v>
          </cell>
          <cell r="W10">
            <v>3.8726446962259297E-12</v>
          </cell>
          <cell r="X10">
            <v>7.3859179387853007E-12</v>
          </cell>
          <cell r="Y10">
            <v>6.7025422877374503E-10</v>
          </cell>
        </row>
        <row r="11">
          <cell r="A11" t="str">
            <v>01211</v>
          </cell>
          <cell r="B11" t="str">
            <v>Asparagus</v>
          </cell>
          <cell r="C11" t="str">
            <v>Vegetables</v>
          </cell>
          <cell r="D11" t="str">
            <v>No</v>
          </cell>
          <cell r="G11">
            <v>0</v>
          </cell>
          <cell r="I11">
            <v>0</v>
          </cell>
          <cell r="J11">
            <v>0</v>
          </cell>
          <cell r="K11">
            <v>140</v>
          </cell>
          <cell r="L11">
            <v>351.54041999999998</v>
          </cell>
          <cell r="M11">
            <v>0</v>
          </cell>
          <cell r="N11">
            <v>0.14299999999999999</v>
          </cell>
          <cell r="O11">
            <v>8.0000000000000002E-3</v>
          </cell>
          <cell r="P11">
            <v>1</v>
          </cell>
          <cell r="Q11">
            <v>0.22</v>
          </cell>
          <cell r="R11">
            <v>8.9999999999999993E-3</v>
          </cell>
          <cell r="S11">
            <v>0.85</v>
          </cell>
          <cell r="T11">
            <v>1</v>
          </cell>
          <cell r="U11">
            <v>3.7738174209626004E-12</v>
          </cell>
          <cell r="V11">
            <v>2.5819413353737599E-12</v>
          </cell>
          <cell r="W11">
            <v>3.8726446962259297E-12</v>
          </cell>
          <cell r="X11">
            <v>7.3859179387853007E-12</v>
          </cell>
          <cell r="Y11">
            <v>6.7025422877374503E-10</v>
          </cell>
        </row>
        <row r="12">
          <cell r="A12" t="str">
            <v>01311</v>
          </cell>
          <cell r="B12" t="str">
            <v>Avocados</v>
          </cell>
          <cell r="C12" t="str">
            <v>Vegetables</v>
          </cell>
          <cell r="D12" t="str">
            <v>No</v>
          </cell>
          <cell r="G12">
            <v>136</v>
          </cell>
          <cell r="I12">
            <v>0</v>
          </cell>
          <cell r="J12">
            <v>77</v>
          </cell>
          <cell r="K12">
            <v>140</v>
          </cell>
          <cell r="L12">
            <v>537.19666000000007</v>
          </cell>
          <cell r="M12">
            <v>0</v>
          </cell>
          <cell r="N12">
            <v>0.14299999999999999</v>
          </cell>
          <cell r="O12">
            <v>8.0000000000000002E-3</v>
          </cell>
          <cell r="P12">
            <v>1</v>
          </cell>
          <cell r="Q12">
            <v>0.22</v>
          </cell>
          <cell r="R12">
            <v>8.9999999999999993E-3</v>
          </cell>
          <cell r="S12">
            <v>0.85</v>
          </cell>
          <cell r="T12">
            <v>1</v>
          </cell>
          <cell r="U12">
            <v>3.7738174209626004E-12</v>
          </cell>
          <cell r="V12">
            <v>2.5819413353737599E-12</v>
          </cell>
          <cell r="W12">
            <v>3.8726446962259297E-12</v>
          </cell>
          <cell r="X12">
            <v>7.3859179387853007E-12</v>
          </cell>
          <cell r="Y12">
            <v>6.7025422877374503E-10</v>
          </cell>
        </row>
        <row r="13">
          <cell r="A13" t="str">
            <v>01312</v>
          </cell>
          <cell r="B13" t="str">
            <v>Bananas</v>
          </cell>
          <cell r="C13" t="str">
            <v>Fruits</v>
          </cell>
          <cell r="D13" t="str">
            <v>No</v>
          </cell>
          <cell r="G13">
            <v>44</v>
          </cell>
          <cell r="I13">
            <v>0</v>
          </cell>
          <cell r="J13">
            <v>0</v>
          </cell>
          <cell r="K13">
            <v>450</v>
          </cell>
          <cell r="L13">
            <v>5018.6124800000007</v>
          </cell>
          <cell r="M13">
            <v>0</v>
          </cell>
          <cell r="N13">
            <v>0.14299999999999999</v>
          </cell>
          <cell r="O13">
            <v>8.0000000000000002E-3</v>
          </cell>
          <cell r="P13">
            <v>1</v>
          </cell>
          <cell r="Q13">
            <v>0.22</v>
          </cell>
          <cell r="R13">
            <v>8.9999999999999993E-3</v>
          </cell>
          <cell r="S13">
            <v>0.85</v>
          </cell>
          <cell r="T13">
            <v>1</v>
          </cell>
          <cell r="U13">
            <v>3.7738174209626004E-12</v>
          </cell>
          <cell r="V13">
            <v>2.5819413353737599E-12</v>
          </cell>
          <cell r="W13">
            <v>3.8726446962259297E-12</v>
          </cell>
          <cell r="X13">
            <v>7.3859179387853007E-12</v>
          </cell>
          <cell r="Y13">
            <v>6.7025422877374503E-10</v>
          </cell>
        </row>
        <row r="14">
          <cell r="A14" t="str">
            <v>0115</v>
          </cell>
          <cell r="B14" t="str">
            <v>Barley, average</v>
          </cell>
          <cell r="C14" t="str">
            <v>Cereals, incl feed</v>
          </cell>
          <cell r="D14" t="str">
            <v>No</v>
          </cell>
          <cell r="G14">
            <v>0</v>
          </cell>
          <cell r="I14">
            <v>58</v>
          </cell>
          <cell r="J14">
            <v>0</v>
          </cell>
          <cell r="K14">
            <v>70</v>
          </cell>
          <cell r="L14">
            <v>256.88123999999999</v>
          </cell>
          <cell r="M14">
            <v>0</v>
          </cell>
          <cell r="N14">
            <v>0.112</v>
          </cell>
          <cell r="O14">
            <v>7.0000000000000001E-3</v>
          </cell>
          <cell r="P14">
            <v>1.2</v>
          </cell>
          <cell r="Q14">
            <v>0.22</v>
          </cell>
          <cell r="R14">
            <v>1.4E-2</v>
          </cell>
          <cell r="S14">
            <v>0.89</v>
          </cell>
          <cell r="T14">
            <v>1</v>
          </cell>
          <cell r="U14">
            <v>3.7738174209626004E-12</v>
          </cell>
          <cell r="V14">
            <v>2.5819413353737599E-12</v>
          </cell>
          <cell r="W14">
            <v>3.8726446962259297E-12</v>
          </cell>
          <cell r="X14">
            <v>7.3859179387853007E-12</v>
          </cell>
          <cell r="Y14">
            <v>6.7025422877374503E-10</v>
          </cell>
        </row>
        <row r="15">
          <cell r="A15" t="str">
            <v>0115_s</v>
          </cell>
          <cell r="B15" t="str">
            <v>Barley, spring</v>
          </cell>
          <cell r="C15" t="str">
            <v>Cereals</v>
          </cell>
          <cell r="D15" t="str">
            <v>No</v>
          </cell>
        </row>
        <row r="16">
          <cell r="A16" t="str">
            <v>0115_w</v>
          </cell>
          <cell r="B16" t="str">
            <v>Barley, winter</v>
          </cell>
          <cell r="C16" t="str">
            <v>Cereals</v>
          </cell>
          <cell r="D16" t="str">
            <v>No</v>
          </cell>
        </row>
        <row r="17">
          <cell r="A17" t="str">
            <v>01701</v>
          </cell>
          <cell r="B17" t="str">
            <v>Beans, dry</v>
          </cell>
          <cell r="C17" t="str">
            <v>Pulses</v>
          </cell>
          <cell r="D17" t="str">
            <v>No</v>
          </cell>
          <cell r="G17">
            <v>0</v>
          </cell>
          <cell r="H17">
            <v>25</v>
          </cell>
          <cell r="I17">
            <v>0</v>
          </cell>
          <cell r="J17">
            <v>0</v>
          </cell>
          <cell r="K17">
            <v>65</v>
          </cell>
          <cell r="L17">
            <v>402.65129999999999</v>
          </cell>
          <cell r="M17">
            <v>0</v>
          </cell>
          <cell r="N17">
            <v>2.1999999999999999E-2</v>
          </cell>
          <cell r="O17">
            <v>8.0000000000000002E-3</v>
          </cell>
          <cell r="P17">
            <v>2.1</v>
          </cell>
          <cell r="Q17">
            <v>0.19</v>
          </cell>
          <cell r="R17">
            <v>8.0000000000000002E-3</v>
          </cell>
          <cell r="S17">
            <v>0.91</v>
          </cell>
          <cell r="T17">
            <v>1</v>
          </cell>
          <cell r="U17">
            <v>3.7738174209626004E-12</v>
          </cell>
          <cell r="V17">
            <v>2.5819413353737599E-12</v>
          </cell>
          <cell r="W17">
            <v>3.8726446962259297E-12</v>
          </cell>
          <cell r="X17">
            <v>7.3859179387853007E-12</v>
          </cell>
          <cell r="Y17">
            <v>6.7025422877374503E-10</v>
          </cell>
        </row>
        <row r="18">
          <cell r="A18" t="str">
            <v>01355.01</v>
          </cell>
          <cell r="B18" t="str">
            <v>Blueberries</v>
          </cell>
          <cell r="C18" t="str">
            <v>Berries</v>
          </cell>
          <cell r="D18" t="str">
            <v>No</v>
          </cell>
          <cell r="G18">
            <v>0</v>
          </cell>
          <cell r="I18">
            <v>0</v>
          </cell>
          <cell r="J18">
            <v>0</v>
          </cell>
          <cell r="K18">
            <v>300</v>
          </cell>
          <cell r="L18">
            <v>934.97712000000001</v>
          </cell>
          <cell r="M18">
            <v>0</v>
          </cell>
          <cell r="N18">
            <v>0.14299999999999999</v>
          </cell>
          <cell r="O18">
            <v>8.0000000000000002E-3</v>
          </cell>
          <cell r="P18">
            <v>1</v>
          </cell>
          <cell r="Q18">
            <v>0.22</v>
          </cell>
          <cell r="R18">
            <v>8.9999999999999993E-3</v>
          </cell>
          <cell r="S18">
            <v>0.85</v>
          </cell>
          <cell r="T18">
            <v>1</v>
          </cell>
          <cell r="U18">
            <v>3.7738174209626004E-12</v>
          </cell>
          <cell r="V18">
            <v>2.5819413353737599E-12</v>
          </cell>
          <cell r="W18">
            <v>3.8726446962259297E-12</v>
          </cell>
          <cell r="X18">
            <v>7.3859179387853007E-12</v>
          </cell>
          <cell r="Y18">
            <v>6.7025422877374503E-10</v>
          </cell>
        </row>
        <row r="19">
          <cell r="A19" t="str">
            <v>01377</v>
          </cell>
          <cell r="B19" t="str">
            <v>Brazil nuts, in shell</v>
          </cell>
          <cell r="C19" t="str">
            <v>Nuts</v>
          </cell>
          <cell r="D19" t="str">
            <v>No</v>
          </cell>
        </row>
        <row r="20">
          <cell r="A20" t="str">
            <v>01702</v>
          </cell>
          <cell r="B20" t="str">
            <v>Broad beans and horse beans, dry</v>
          </cell>
          <cell r="C20" t="str">
            <v>Pulses, incl feed</v>
          </cell>
          <cell r="D20" t="str">
            <v>No</v>
          </cell>
          <cell r="G20">
            <v>0</v>
          </cell>
          <cell r="H20">
            <v>24</v>
          </cell>
          <cell r="I20">
            <v>0</v>
          </cell>
          <cell r="J20">
            <v>0</v>
          </cell>
          <cell r="K20">
            <v>63.2</v>
          </cell>
          <cell r="L20">
            <v>272.98758000000004</v>
          </cell>
          <cell r="M20">
            <v>0</v>
          </cell>
          <cell r="N20">
            <v>2.1999999999999999E-2</v>
          </cell>
          <cell r="O20">
            <v>8.0000000000000002E-3</v>
          </cell>
          <cell r="P20">
            <v>2.1</v>
          </cell>
          <cell r="Q20">
            <v>0.19</v>
          </cell>
          <cell r="R20">
            <v>8.0000000000000002E-3</v>
          </cell>
          <cell r="S20">
            <v>0.91</v>
          </cell>
          <cell r="T20">
            <v>1</v>
          </cell>
          <cell r="U20">
            <v>3.7738174209626004E-12</v>
          </cell>
          <cell r="V20">
            <v>2.5819413353737599E-12</v>
          </cell>
          <cell r="W20">
            <v>3.8726446962259297E-12</v>
          </cell>
          <cell r="X20">
            <v>7.3859179387853007E-12</v>
          </cell>
          <cell r="Y20">
            <v>6.7025422877374503E-10</v>
          </cell>
        </row>
        <row r="21">
          <cell r="A21" t="str">
            <v>01243</v>
          </cell>
          <cell r="B21" t="str">
            <v>Broad beans and horse beans, green</v>
          </cell>
          <cell r="C21" t="str">
            <v>Vegetables</v>
          </cell>
          <cell r="D21" t="str">
            <v>No</v>
          </cell>
          <cell r="G21">
            <v>0</v>
          </cell>
          <cell r="H21">
            <v>24</v>
          </cell>
          <cell r="I21">
            <v>0</v>
          </cell>
          <cell r="J21">
            <v>0</v>
          </cell>
          <cell r="K21">
            <v>140</v>
          </cell>
          <cell r="L21">
            <v>1825.9602399999999</v>
          </cell>
          <cell r="M21">
            <v>0</v>
          </cell>
          <cell r="N21">
            <v>0.14299999999999999</v>
          </cell>
          <cell r="O21">
            <v>8.0000000000000002E-3</v>
          </cell>
          <cell r="P21">
            <v>1</v>
          </cell>
          <cell r="Q21">
            <v>0.22</v>
          </cell>
          <cell r="R21">
            <v>8.9999999999999993E-3</v>
          </cell>
          <cell r="S21">
            <v>0.85</v>
          </cell>
          <cell r="T21">
            <v>1</v>
          </cell>
          <cell r="U21">
            <v>3.7738174209626004E-12</v>
          </cell>
          <cell r="V21">
            <v>2.5819413353737599E-12</v>
          </cell>
          <cell r="W21">
            <v>3.8726446962259297E-12</v>
          </cell>
          <cell r="X21">
            <v>7.3859179387853007E-12</v>
          </cell>
          <cell r="Y21">
            <v>6.7025422877374503E-10</v>
          </cell>
        </row>
        <row r="22">
          <cell r="A22" t="str">
            <v>01213_b</v>
          </cell>
          <cell r="B22" t="str">
            <v>Broccoli</v>
          </cell>
          <cell r="C22" t="str">
            <v>Vegetables</v>
          </cell>
          <cell r="D22" t="str">
            <v>No</v>
          </cell>
        </row>
        <row r="23">
          <cell r="A23" t="str">
            <v>01192</v>
          </cell>
          <cell r="B23" t="str">
            <v>Buckwheat</v>
          </cell>
          <cell r="C23" t="str">
            <v>Seeds</v>
          </cell>
          <cell r="D23" t="str">
            <v>No</v>
          </cell>
        </row>
        <row r="24">
          <cell r="A24" t="str">
            <v>01212</v>
          </cell>
          <cell r="B24" t="str">
            <v>Cabbages</v>
          </cell>
          <cell r="C24" t="str">
            <v>Vegetables</v>
          </cell>
          <cell r="D24" t="str">
            <v>No</v>
          </cell>
          <cell r="G24">
            <v>0</v>
          </cell>
          <cell r="I24">
            <v>0</v>
          </cell>
          <cell r="J24">
            <v>0</v>
          </cell>
          <cell r="K24">
            <v>140</v>
          </cell>
          <cell r="L24">
            <v>2079.0554400000001</v>
          </cell>
          <cell r="M24">
            <v>0</v>
          </cell>
          <cell r="N24">
            <v>0.14299999999999999</v>
          </cell>
          <cell r="O24">
            <v>8.0000000000000002E-3</v>
          </cell>
          <cell r="P24">
            <v>1</v>
          </cell>
          <cell r="Q24">
            <v>0.22</v>
          </cell>
          <cell r="R24">
            <v>8.9999999999999993E-3</v>
          </cell>
          <cell r="S24">
            <v>0.85</v>
          </cell>
          <cell r="T24">
            <v>1</v>
          </cell>
          <cell r="U24">
            <v>3.7738174209626004E-12</v>
          </cell>
          <cell r="V24">
            <v>2.5819413353737599E-12</v>
          </cell>
          <cell r="W24">
            <v>3.8726446962259297E-12</v>
          </cell>
          <cell r="X24">
            <v>7.3859179387853007E-12</v>
          </cell>
          <cell r="Y24">
            <v>6.7025422877374503E-10</v>
          </cell>
        </row>
        <row r="25">
          <cell r="A25" t="str">
            <v>01229</v>
          </cell>
          <cell r="B25" t="str">
            <v>Cantaloupes and other melons</v>
          </cell>
          <cell r="C25" t="str">
            <v>Fruits</v>
          </cell>
          <cell r="D25" t="str">
            <v>Yes</v>
          </cell>
          <cell r="F25">
            <v>25162.959999999999</v>
          </cell>
          <cell r="G25">
            <v>135</v>
          </cell>
          <cell r="I25">
            <v>231.33818905599998</v>
          </cell>
          <cell r="J25">
            <v>49</v>
          </cell>
          <cell r="K25">
            <v>450</v>
          </cell>
          <cell r="L25">
            <v>830.37767999999994</v>
          </cell>
          <cell r="M25">
            <v>13.458138639894823</v>
          </cell>
          <cell r="N25">
            <v>0.14299999999999999</v>
          </cell>
          <cell r="O25">
            <v>8.0000000000000002E-3</v>
          </cell>
          <cell r="P25">
            <v>1</v>
          </cell>
          <cell r="Q25">
            <v>0.22</v>
          </cell>
          <cell r="R25">
            <v>8.9999999999999993E-3</v>
          </cell>
          <cell r="S25">
            <v>0.85</v>
          </cell>
          <cell r="T25">
            <v>1</v>
          </cell>
          <cell r="U25">
            <v>1.0040933916203999E-11</v>
          </cell>
          <cell r="V25">
            <v>1.5382109589240001E-11</v>
          </cell>
          <cell r="W25">
            <v>2.1977455618085499E-11</v>
          </cell>
          <cell r="X25">
            <v>1.14038353262019E-12</v>
          </cell>
          <cell r="Y25">
            <v>1.19148547693904E-10</v>
          </cell>
          <cell r="Z25">
            <v>1.869588449214089E-2</v>
          </cell>
        </row>
        <row r="26">
          <cell r="A26" t="str">
            <v>01251</v>
          </cell>
          <cell r="B26" t="str">
            <v>Carrots and turnips</v>
          </cell>
          <cell r="C26" t="str">
            <v>Vegetables</v>
          </cell>
          <cell r="D26" t="str">
            <v>No</v>
          </cell>
          <cell r="G26">
            <v>0</v>
          </cell>
          <cell r="I26">
            <v>0</v>
          </cell>
          <cell r="J26">
            <v>0</v>
          </cell>
          <cell r="K26">
            <v>140</v>
          </cell>
          <cell r="L26">
            <v>4499.1916200000005</v>
          </cell>
          <cell r="M26">
            <v>0</v>
          </cell>
          <cell r="N26">
            <v>0.01</v>
          </cell>
          <cell r="O26">
            <v>1.9E-2</v>
          </cell>
          <cell r="P26">
            <v>0.4</v>
          </cell>
          <cell r="Q26">
            <v>0.2</v>
          </cell>
          <cell r="R26">
            <v>1.4E-2</v>
          </cell>
          <cell r="S26">
            <v>0.22</v>
          </cell>
          <cell r="T26">
            <v>1</v>
          </cell>
          <cell r="U26">
            <v>3.7738174209626004E-12</v>
          </cell>
          <cell r="V26">
            <v>2.5819413353737599E-12</v>
          </cell>
          <cell r="W26">
            <v>3.8726446962259297E-12</v>
          </cell>
          <cell r="X26">
            <v>7.3859179387853007E-12</v>
          </cell>
          <cell r="Y26">
            <v>6.7025422877374503E-10</v>
          </cell>
        </row>
        <row r="27">
          <cell r="A27" t="str">
            <v>01372</v>
          </cell>
          <cell r="B27" t="str">
            <v>Cashew nuts, in shell</v>
          </cell>
          <cell r="C27" t="str">
            <v>Nuts</v>
          </cell>
          <cell r="D27" t="str">
            <v>No</v>
          </cell>
        </row>
        <row r="28">
          <cell r="A28" t="str">
            <v>01213_cf</v>
          </cell>
          <cell r="B28" t="str">
            <v>Cauliflowers</v>
          </cell>
          <cell r="C28" t="str">
            <v>Vegetables</v>
          </cell>
          <cell r="D28" t="str">
            <v>No</v>
          </cell>
        </row>
        <row r="29">
          <cell r="A29" t="str">
            <v>01213</v>
          </cell>
          <cell r="B29" t="str">
            <v>Cauliflowers and broccoli, average</v>
          </cell>
          <cell r="C29" t="str">
            <v>Vegetables</v>
          </cell>
          <cell r="D29" t="str">
            <v>No</v>
          </cell>
          <cell r="G29">
            <v>0</v>
          </cell>
          <cell r="I29">
            <v>0</v>
          </cell>
          <cell r="J29">
            <v>0</v>
          </cell>
          <cell r="K29">
            <v>140</v>
          </cell>
          <cell r="L29">
            <v>1373.29654</v>
          </cell>
          <cell r="M29">
            <v>0</v>
          </cell>
          <cell r="N29">
            <v>0.14299999999999999</v>
          </cell>
          <cell r="O29">
            <v>8.0000000000000002E-3</v>
          </cell>
          <cell r="P29">
            <v>1</v>
          </cell>
          <cell r="Q29">
            <v>0.22</v>
          </cell>
          <cell r="R29">
            <v>8.9999999999999993E-3</v>
          </cell>
          <cell r="S29">
            <v>0.85</v>
          </cell>
          <cell r="T29">
            <v>1</v>
          </cell>
          <cell r="U29">
            <v>3.7738174209626004E-12</v>
          </cell>
          <cell r="V29">
            <v>2.5819413353737599E-12</v>
          </cell>
          <cell r="W29">
            <v>3.8726446962259297E-12</v>
          </cell>
          <cell r="X29">
            <v>7.3859179387853007E-12</v>
          </cell>
          <cell r="Y29">
            <v>6.7025422877374503E-10</v>
          </cell>
        </row>
        <row r="30">
          <cell r="A30" t="str">
            <v>01199.90</v>
          </cell>
          <cell r="B30" t="str">
            <v>Cereals n.e.c.</v>
          </cell>
          <cell r="C30" t="str">
            <v>Cereals</v>
          </cell>
          <cell r="D30" t="str">
            <v>No</v>
          </cell>
          <cell r="G30">
            <v>88</v>
          </cell>
          <cell r="I30">
            <v>0</v>
          </cell>
          <cell r="J30">
            <v>30</v>
          </cell>
          <cell r="K30">
            <v>69</v>
          </cell>
          <cell r="L30">
            <v>2312.5902799999999</v>
          </cell>
          <cell r="M30">
            <v>0</v>
          </cell>
          <cell r="N30">
            <v>0.14299999999999999</v>
          </cell>
          <cell r="O30">
            <v>8.0000000000000002E-3</v>
          </cell>
          <cell r="P30">
            <v>1</v>
          </cell>
          <cell r="Q30">
            <v>0.22</v>
          </cell>
          <cell r="R30">
            <v>8.9999999999999993E-3</v>
          </cell>
          <cell r="S30">
            <v>0.85</v>
          </cell>
          <cell r="T30">
            <v>1</v>
          </cell>
          <cell r="U30">
            <v>3.7738174209626004E-12</v>
          </cell>
          <cell r="V30">
            <v>2.5819413353737599E-12</v>
          </cell>
          <cell r="W30">
            <v>3.8726446962259297E-12</v>
          </cell>
          <cell r="X30">
            <v>7.3859179387853007E-12</v>
          </cell>
          <cell r="Y30">
            <v>6.7025422877374503E-10</v>
          </cell>
        </row>
        <row r="31">
          <cell r="A31" t="str">
            <v>01344.02</v>
          </cell>
          <cell r="B31" t="str">
            <v>Cherries</v>
          </cell>
          <cell r="C31" t="str">
            <v>Berries</v>
          </cell>
          <cell r="D31" t="str">
            <v>No</v>
          </cell>
          <cell r="G31">
            <v>0</v>
          </cell>
          <cell r="I31">
            <v>0</v>
          </cell>
          <cell r="J31">
            <v>0</v>
          </cell>
          <cell r="K31">
            <v>300</v>
          </cell>
          <cell r="L31">
            <v>301.55202000000003</v>
          </cell>
          <cell r="M31">
            <v>0</v>
          </cell>
          <cell r="N31">
            <v>0.14299999999999999</v>
          </cell>
          <cell r="O31">
            <v>8.0000000000000002E-3</v>
          </cell>
          <cell r="P31">
            <v>1</v>
          </cell>
          <cell r="Q31">
            <v>0.22</v>
          </cell>
          <cell r="R31">
            <v>8.9999999999999993E-3</v>
          </cell>
          <cell r="S31">
            <v>0.85</v>
          </cell>
          <cell r="T31">
            <v>1</v>
          </cell>
          <cell r="U31">
            <v>3.7738174209626004E-12</v>
          </cell>
          <cell r="V31">
            <v>2.5819413353737599E-12</v>
          </cell>
          <cell r="W31">
            <v>3.8726446962259297E-12</v>
          </cell>
          <cell r="X31">
            <v>7.3859179387853007E-12</v>
          </cell>
          <cell r="Y31">
            <v>6.7025422877374503E-10</v>
          </cell>
        </row>
        <row r="32">
          <cell r="A32" t="str">
            <v>01373</v>
          </cell>
          <cell r="B32" t="str">
            <v>Chestnuts, in shell</v>
          </cell>
          <cell r="C32" t="str">
            <v>Nuts</v>
          </cell>
          <cell r="D32" t="str">
            <v>No</v>
          </cell>
          <cell r="G32">
            <v>0</v>
          </cell>
          <cell r="I32">
            <v>0</v>
          </cell>
          <cell r="J32">
            <v>0</v>
          </cell>
          <cell r="K32">
            <v>450</v>
          </cell>
          <cell r="L32">
            <v>4423.3006599999999</v>
          </cell>
          <cell r="M32">
            <v>0</v>
          </cell>
          <cell r="N32">
            <v>0.14299999999999999</v>
          </cell>
          <cell r="O32">
            <v>1.6E-2</v>
          </cell>
          <cell r="P32">
            <v>1</v>
          </cell>
          <cell r="Q32">
            <v>0.22</v>
          </cell>
          <cell r="R32">
            <v>8.9999999999999993E-3</v>
          </cell>
          <cell r="S32">
            <v>0.85</v>
          </cell>
          <cell r="T32">
            <v>1</v>
          </cell>
          <cell r="U32">
            <v>3.7738174209626004E-12</v>
          </cell>
          <cell r="V32">
            <v>2.5819413353737599E-12</v>
          </cell>
          <cell r="W32">
            <v>3.8726446962259297E-12</v>
          </cell>
          <cell r="X32">
            <v>7.3859179387853007E-12</v>
          </cell>
          <cell r="Y32">
            <v>6.7025422877374503E-10</v>
          </cell>
        </row>
        <row r="33">
          <cell r="A33" t="str">
            <v>01703</v>
          </cell>
          <cell r="B33" t="str">
            <v>Chick peas, dry</v>
          </cell>
          <cell r="C33" t="str">
            <v>Pulses</v>
          </cell>
          <cell r="D33" t="str">
            <v>No</v>
          </cell>
          <cell r="G33">
            <v>0</v>
          </cell>
          <cell r="H33">
            <v>63</v>
          </cell>
          <cell r="I33">
            <v>0</v>
          </cell>
          <cell r="J33">
            <v>0</v>
          </cell>
          <cell r="K33">
            <v>63.2</v>
          </cell>
          <cell r="L33">
            <v>155.79849999999999</v>
          </cell>
          <cell r="M33">
            <v>0</v>
          </cell>
          <cell r="N33">
            <v>2.1999999999999999E-2</v>
          </cell>
          <cell r="O33">
            <v>8.0000000000000002E-3</v>
          </cell>
          <cell r="P33">
            <v>2.1</v>
          </cell>
          <cell r="Q33">
            <v>0.19</v>
          </cell>
          <cell r="R33">
            <v>8.0000000000000002E-3</v>
          </cell>
          <cell r="S33">
            <v>0.91</v>
          </cell>
          <cell r="T33">
            <v>1</v>
          </cell>
          <cell r="U33">
            <v>3.7738174209626004E-12</v>
          </cell>
          <cell r="V33">
            <v>2.5819413353737599E-12</v>
          </cell>
          <cell r="W33">
            <v>3.8726446962259297E-12</v>
          </cell>
          <cell r="X33">
            <v>7.3859179387853007E-12</v>
          </cell>
          <cell r="Y33">
            <v>6.7025422877374503E-10</v>
          </cell>
        </row>
        <row r="34">
          <cell r="A34" t="str">
            <v>01231</v>
          </cell>
          <cell r="B34" t="str">
            <v>Chillies and peppers, green (Capsicum spp. and Pimenta spp.), raw</v>
          </cell>
          <cell r="C34" t="str">
            <v>Spices</v>
          </cell>
          <cell r="D34" t="str">
            <v>No</v>
          </cell>
          <cell r="G34">
            <v>260</v>
          </cell>
          <cell r="I34">
            <v>0</v>
          </cell>
          <cell r="J34">
            <v>0</v>
          </cell>
          <cell r="K34">
            <v>140</v>
          </cell>
          <cell r="L34">
            <v>5011.8037199999999</v>
          </cell>
          <cell r="M34">
            <v>0</v>
          </cell>
          <cell r="N34">
            <v>0.14299999999999999</v>
          </cell>
          <cell r="O34">
            <v>8.0000000000000002E-3</v>
          </cell>
          <cell r="P34">
            <v>1</v>
          </cell>
          <cell r="Q34">
            <v>0.22</v>
          </cell>
          <cell r="R34">
            <v>8.9999999999999993E-3</v>
          </cell>
          <cell r="S34">
            <v>0.85</v>
          </cell>
          <cell r="T34">
            <v>1</v>
          </cell>
          <cell r="U34">
            <v>3.7738174209626004E-12</v>
          </cell>
          <cell r="V34">
            <v>2.5819413353737599E-12</v>
          </cell>
          <cell r="W34">
            <v>3.8726446962259297E-12</v>
          </cell>
          <cell r="X34">
            <v>7.3859179387853007E-12</v>
          </cell>
          <cell r="Y34">
            <v>6.7025422877374503E-10</v>
          </cell>
        </row>
        <row r="35">
          <cell r="A35" t="str">
            <v>01640</v>
          </cell>
          <cell r="B35" t="str">
            <v>Cocoa beans</v>
          </cell>
          <cell r="C35" t="str">
            <v>Stimulants</v>
          </cell>
          <cell r="D35" t="str">
            <v>No</v>
          </cell>
        </row>
        <row r="36">
          <cell r="A36" t="str">
            <v>01460</v>
          </cell>
          <cell r="B36" t="str">
            <v>Coconut, in shell</v>
          </cell>
          <cell r="C36" t="str">
            <v>Nuts</v>
          </cell>
          <cell r="D36" t="str">
            <v>No</v>
          </cell>
        </row>
        <row r="37">
          <cell r="A37" t="str">
            <v>01610</v>
          </cell>
          <cell r="B37" t="str">
            <v>Coffee, green</v>
          </cell>
          <cell r="C37" t="str">
            <v>Stimulants</v>
          </cell>
          <cell r="D37" t="str">
            <v>Yes</v>
          </cell>
          <cell r="F37">
            <v>1724.92</v>
          </cell>
          <cell r="G37">
            <v>80</v>
          </cell>
          <cell r="I37">
            <v>15.858224512</v>
          </cell>
          <cell r="J37">
            <v>50</v>
          </cell>
          <cell r="K37">
            <v>140</v>
          </cell>
          <cell r="L37">
            <v>312.21052000000003</v>
          </cell>
          <cell r="M37">
            <v>5.94</v>
          </cell>
          <cell r="N37">
            <v>0.14299999999999999</v>
          </cell>
          <cell r="O37">
            <v>8.0000000000000002E-3</v>
          </cell>
          <cell r="P37">
            <v>1</v>
          </cell>
          <cell r="Q37">
            <v>0.22</v>
          </cell>
          <cell r="R37">
            <v>8.9999999999999993E-3</v>
          </cell>
          <cell r="S37">
            <v>0.85</v>
          </cell>
          <cell r="T37">
            <v>1</v>
          </cell>
          <cell r="U37">
            <v>1.0040933916203999E-11</v>
          </cell>
          <cell r="V37">
            <v>1.5382109589240001E-11</v>
          </cell>
          <cell r="W37">
            <v>2.1977455618085499E-11</v>
          </cell>
          <cell r="X37">
            <v>1.14038353262019E-12</v>
          </cell>
          <cell r="Y37">
            <v>1.19148547693904E-10</v>
          </cell>
          <cell r="Z37">
            <v>0.20384677277211433</v>
          </cell>
        </row>
        <row r="38">
          <cell r="A38" t="str">
            <v>01232</v>
          </cell>
          <cell r="B38" t="str">
            <v>Cucumbers and gherkins, averrage</v>
          </cell>
          <cell r="C38" t="str">
            <v>Vegetables</v>
          </cell>
          <cell r="D38" t="str">
            <v>No</v>
          </cell>
          <cell r="E38">
            <v>100</v>
          </cell>
          <cell r="G38">
            <v>0</v>
          </cell>
          <cell r="I38">
            <v>0</v>
          </cell>
          <cell r="J38">
            <v>0</v>
          </cell>
          <cell r="K38">
            <v>7</v>
          </cell>
          <cell r="L38">
            <v>7229.1511600000003</v>
          </cell>
          <cell r="M38">
            <v>0</v>
          </cell>
          <cell r="N38">
            <v>0.14299999999999999</v>
          </cell>
          <cell r="O38">
            <v>8.0000000000000002E-3</v>
          </cell>
          <cell r="P38">
            <v>1</v>
          </cell>
          <cell r="Q38">
            <v>0.22</v>
          </cell>
          <cell r="R38">
            <v>8.9999999999999993E-3</v>
          </cell>
          <cell r="S38">
            <v>0.85</v>
          </cell>
          <cell r="T38">
            <v>1</v>
          </cell>
          <cell r="U38">
            <v>4.3152628010601102E-12</v>
          </cell>
          <cell r="V38">
            <v>2.9820702145484398E-12</v>
          </cell>
          <cell r="W38">
            <v>3.9945103972923203E-12</v>
          </cell>
          <cell r="X38">
            <v>8.5069857698406102E-12</v>
          </cell>
          <cell r="Y38">
            <v>7.80206488939318E-10</v>
          </cell>
        </row>
        <row r="39">
          <cell r="A39" t="str">
            <v>01232_gh</v>
          </cell>
          <cell r="B39" t="str">
            <v>Cucumbers and gherkins, greenhouse</v>
          </cell>
          <cell r="C39" t="str">
            <v>Vegetables</v>
          </cell>
          <cell r="D39" t="str">
            <v>No</v>
          </cell>
        </row>
        <row r="40">
          <cell r="A40" t="str">
            <v>01232_of</v>
          </cell>
          <cell r="B40" t="str">
            <v>Cucumbers and gherkins, openfield</v>
          </cell>
          <cell r="C40" t="str">
            <v>Vegetables</v>
          </cell>
          <cell r="D40" t="str">
            <v>No</v>
          </cell>
        </row>
        <row r="41">
          <cell r="A41" t="str">
            <v>01351.01</v>
          </cell>
          <cell r="B41" t="str">
            <v>Currants</v>
          </cell>
          <cell r="C41" t="str">
            <v>Berries</v>
          </cell>
          <cell r="D41" t="str">
            <v>No</v>
          </cell>
          <cell r="G41">
            <v>0</v>
          </cell>
          <cell r="I41">
            <v>0</v>
          </cell>
          <cell r="J41">
            <v>0</v>
          </cell>
          <cell r="K41">
            <v>300</v>
          </cell>
          <cell r="L41">
            <v>298.375</v>
          </cell>
          <cell r="M41">
            <v>0</v>
          </cell>
          <cell r="N41">
            <v>0.14299999999999999</v>
          </cell>
          <cell r="O41">
            <v>8.0000000000000002E-3</v>
          </cell>
          <cell r="P41">
            <v>1</v>
          </cell>
          <cell r="Q41">
            <v>0.22</v>
          </cell>
          <cell r="R41">
            <v>8.9999999999999993E-3</v>
          </cell>
          <cell r="S41">
            <v>0.85</v>
          </cell>
          <cell r="T41">
            <v>1</v>
          </cell>
          <cell r="U41">
            <v>3.7738174209626004E-12</v>
          </cell>
          <cell r="V41">
            <v>2.5819413353737599E-12</v>
          </cell>
          <cell r="W41">
            <v>3.8726446962259297E-12</v>
          </cell>
          <cell r="X41">
            <v>7.3859179387853007E-12</v>
          </cell>
          <cell r="Y41">
            <v>6.7025422877374503E-10</v>
          </cell>
        </row>
        <row r="42">
          <cell r="A42" t="str">
            <v>01314</v>
          </cell>
          <cell r="B42" t="str">
            <v>Dates</v>
          </cell>
          <cell r="C42" t="str">
            <v>Fruits</v>
          </cell>
          <cell r="D42" t="str">
            <v>No</v>
          </cell>
          <cell r="G42">
            <v>0</v>
          </cell>
          <cell r="I42">
            <v>0</v>
          </cell>
          <cell r="J42">
            <v>257</v>
          </cell>
          <cell r="K42">
            <v>450</v>
          </cell>
          <cell r="L42">
            <v>4946.7837</v>
          </cell>
          <cell r="M42">
            <v>0</v>
          </cell>
          <cell r="N42">
            <v>0.14299999999999999</v>
          </cell>
          <cell r="O42">
            <v>8.0000000000000002E-3</v>
          </cell>
          <cell r="P42">
            <v>1</v>
          </cell>
          <cell r="Q42">
            <v>0.22</v>
          </cell>
          <cell r="R42">
            <v>8.9999999999999993E-3</v>
          </cell>
          <cell r="S42">
            <v>0.85</v>
          </cell>
          <cell r="T42">
            <v>1</v>
          </cell>
          <cell r="U42">
            <v>3.7738174209626004E-12</v>
          </cell>
          <cell r="V42">
            <v>2.5819413353737599E-12</v>
          </cell>
          <cell r="W42">
            <v>3.8726446962259297E-12</v>
          </cell>
          <cell r="X42">
            <v>7.3859179387853007E-12</v>
          </cell>
          <cell r="Y42">
            <v>6.7025422877374503E-10</v>
          </cell>
        </row>
        <row r="43">
          <cell r="A43" t="str">
            <v>01599.10</v>
          </cell>
          <cell r="B43" t="str">
            <v>Edible roots and tubers with high starch or inulin content, n.e.c., fresh</v>
          </cell>
          <cell r="C43" t="str">
            <v>Roots</v>
          </cell>
          <cell r="D43" t="str">
            <v>No</v>
          </cell>
          <cell r="G43">
            <v>0</v>
          </cell>
          <cell r="I43">
            <v>0</v>
          </cell>
          <cell r="J43">
            <v>0</v>
          </cell>
          <cell r="K43">
            <v>135.5</v>
          </cell>
          <cell r="L43">
            <v>939.57680000000005</v>
          </cell>
          <cell r="M43">
            <v>0</v>
          </cell>
          <cell r="N43">
            <v>1.2999999999999999E-2</v>
          </cell>
          <cell r="O43">
            <v>1.9E-2</v>
          </cell>
          <cell r="P43">
            <v>0.4</v>
          </cell>
          <cell r="Q43">
            <v>0.2</v>
          </cell>
          <cell r="R43">
            <v>1.4E-2</v>
          </cell>
          <cell r="S43">
            <v>0.22</v>
          </cell>
          <cell r="T43">
            <v>1</v>
          </cell>
          <cell r="U43">
            <v>3.7738174209626004E-12</v>
          </cell>
          <cell r="V43">
            <v>2.5819413353737599E-12</v>
          </cell>
          <cell r="W43">
            <v>3.8726446962259297E-12</v>
          </cell>
          <cell r="X43">
            <v>7.3859179387853007E-12</v>
          </cell>
          <cell r="Y43">
            <v>6.7025422877374503E-10</v>
          </cell>
        </row>
        <row r="44">
          <cell r="A44" t="str">
            <v>01233</v>
          </cell>
          <cell r="B44" t="str">
            <v>Eggplants (aubergines)</v>
          </cell>
          <cell r="C44" t="str">
            <v>Vegetables</v>
          </cell>
          <cell r="D44" t="str">
            <v>No</v>
          </cell>
          <cell r="G44">
            <v>0</v>
          </cell>
          <cell r="I44">
            <v>0</v>
          </cell>
          <cell r="J44">
            <v>0</v>
          </cell>
          <cell r="K44">
            <v>140</v>
          </cell>
          <cell r="L44">
            <v>5386.2501000000002</v>
          </cell>
          <cell r="M44">
            <v>0</v>
          </cell>
          <cell r="N44">
            <v>0.14299999999999999</v>
          </cell>
          <cell r="O44">
            <v>8.0000000000000002E-3</v>
          </cell>
          <cell r="P44">
            <v>1</v>
          </cell>
          <cell r="Q44">
            <v>0.22</v>
          </cell>
          <cell r="R44">
            <v>8.9999999999999993E-3</v>
          </cell>
          <cell r="S44">
            <v>0.85</v>
          </cell>
          <cell r="T44">
            <v>1</v>
          </cell>
          <cell r="U44">
            <v>3.7738174209626004E-12</v>
          </cell>
          <cell r="V44">
            <v>2.5819413353737599E-12</v>
          </cell>
          <cell r="W44">
            <v>3.8726446962259297E-12</v>
          </cell>
          <cell r="X44">
            <v>7.3859179387853007E-12</v>
          </cell>
          <cell r="Y44">
            <v>6.7025422877374503E-10</v>
          </cell>
        </row>
        <row r="45">
          <cell r="A45" t="str">
            <v>01315</v>
          </cell>
          <cell r="B45" t="str">
            <v>Figs</v>
          </cell>
          <cell r="C45" t="str">
            <v>Fruits</v>
          </cell>
          <cell r="D45" t="str">
            <v>No</v>
          </cell>
          <cell r="G45">
            <v>0</v>
          </cell>
          <cell r="I45">
            <v>0</v>
          </cell>
          <cell r="J45">
            <v>0</v>
          </cell>
          <cell r="K45">
            <v>450</v>
          </cell>
          <cell r="L45">
            <v>952.58438000000001</v>
          </cell>
          <cell r="M45">
            <v>0</v>
          </cell>
          <cell r="N45">
            <v>0.14299999999999999</v>
          </cell>
          <cell r="O45">
            <v>8.0000000000000002E-3</v>
          </cell>
          <cell r="P45">
            <v>1</v>
          </cell>
          <cell r="Q45">
            <v>0.22</v>
          </cell>
          <cell r="R45">
            <v>8.9999999999999993E-3</v>
          </cell>
          <cell r="S45">
            <v>0.85</v>
          </cell>
          <cell r="T45">
            <v>1</v>
          </cell>
          <cell r="U45">
            <v>3.7738174209626004E-12</v>
          </cell>
          <cell r="V45">
            <v>2.5819413353737599E-12</v>
          </cell>
          <cell r="W45">
            <v>3.8726446962259297E-12</v>
          </cell>
          <cell r="X45">
            <v>7.3859179387853007E-12</v>
          </cell>
          <cell r="Y45">
            <v>6.7025422877374503E-10</v>
          </cell>
        </row>
        <row r="46">
          <cell r="A46" t="str">
            <v>01351.02</v>
          </cell>
          <cell r="B46" t="str">
            <v>Gooseberries</v>
          </cell>
          <cell r="C46" t="str">
            <v>Berries</v>
          </cell>
          <cell r="D46" t="str">
            <v>No</v>
          </cell>
          <cell r="G46">
            <v>0</v>
          </cell>
          <cell r="I46">
            <v>0</v>
          </cell>
          <cell r="J46">
            <v>0</v>
          </cell>
          <cell r="K46">
            <v>300</v>
          </cell>
          <cell r="L46">
            <v>138.6</v>
          </cell>
          <cell r="M46">
            <v>0</v>
          </cell>
          <cell r="N46">
            <v>0.14299999999999999</v>
          </cell>
          <cell r="O46">
            <v>8.0000000000000002E-3</v>
          </cell>
          <cell r="P46">
            <v>1</v>
          </cell>
          <cell r="Q46">
            <v>0.22</v>
          </cell>
          <cell r="R46">
            <v>8.9999999999999993E-3</v>
          </cell>
          <cell r="S46">
            <v>0.85</v>
          </cell>
          <cell r="T46">
            <v>1</v>
          </cell>
          <cell r="U46">
            <v>3.7738174209626004E-12</v>
          </cell>
          <cell r="V46">
            <v>2.5819413353737599E-12</v>
          </cell>
          <cell r="W46">
            <v>3.8726446962259297E-12</v>
          </cell>
          <cell r="X46">
            <v>7.3859179387853007E-12</v>
          </cell>
          <cell r="Y46">
            <v>6.7025422877374503E-10</v>
          </cell>
        </row>
        <row r="47">
          <cell r="A47" t="str">
            <v>01330</v>
          </cell>
          <cell r="B47" t="str">
            <v>Grapes</v>
          </cell>
          <cell r="C47" t="str">
            <v>Fruits</v>
          </cell>
          <cell r="D47" t="str">
            <v>No</v>
          </cell>
          <cell r="G47">
            <v>13</v>
          </cell>
          <cell r="I47">
            <v>0</v>
          </cell>
          <cell r="J47">
            <v>9</v>
          </cell>
          <cell r="K47">
            <v>450</v>
          </cell>
          <cell r="L47">
            <v>882.44435999999996</v>
          </cell>
          <cell r="M47">
            <v>0</v>
          </cell>
          <cell r="N47">
            <v>0.14299999999999999</v>
          </cell>
          <cell r="O47">
            <v>8.0000000000000002E-3</v>
          </cell>
          <cell r="P47">
            <v>1</v>
          </cell>
          <cell r="Q47">
            <v>0.22</v>
          </cell>
          <cell r="R47">
            <v>8.9999999999999993E-3</v>
          </cell>
          <cell r="S47">
            <v>0.85</v>
          </cell>
          <cell r="T47">
            <v>1</v>
          </cell>
          <cell r="U47">
            <v>3.7738174209626004E-12</v>
          </cell>
          <cell r="V47">
            <v>2.5819413353737599E-12</v>
          </cell>
          <cell r="W47">
            <v>3.8726446962259297E-12</v>
          </cell>
          <cell r="X47">
            <v>7.3859179387853007E-12</v>
          </cell>
          <cell r="Y47">
            <v>6.7025422877374503E-10</v>
          </cell>
        </row>
        <row r="48">
          <cell r="A48" t="str">
            <v>01290.01</v>
          </cell>
          <cell r="B48" t="str">
            <v>Green corn (maize)</v>
          </cell>
          <cell r="C48" t="str">
            <v>Vegetables</v>
          </cell>
          <cell r="D48" t="str">
            <v>No</v>
          </cell>
        </row>
        <row r="49">
          <cell r="A49" t="str">
            <v>01252</v>
          </cell>
          <cell r="B49" t="str">
            <v>Green garlic</v>
          </cell>
          <cell r="C49" t="str">
            <v>Vegetables</v>
          </cell>
          <cell r="D49" t="str">
            <v>No</v>
          </cell>
          <cell r="G49">
            <v>0</v>
          </cell>
          <cell r="I49">
            <v>0</v>
          </cell>
          <cell r="J49">
            <v>0</v>
          </cell>
          <cell r="K49">
            <v>140</v>
          </cell>
          <cell r="L49">
            <v>771.10418000000004</v>
          </cell>
          <cell r="M49">
            <v>0</v>
          </cell>
          <cell r="N49">
            <v>0.01</v>
          </cell>
          <cell r="O49">
            <v>1.9E-2</v>
          </cell>
          <cell r="P49">
            <v>0.4</v>
          </cell>
          <cell r="Q49">
            <v>0.2</v>
          </cell>
          <cell r="R49">
            <v>1.4E-2</v>
          </cell>
          <cell r="S49">
            <v>0.22</v>
          </cell>
          <cell r="T49">
            <v>1</v>
          </cell>
          <cell r="U49">
            <v>3.7738174209626004E-12</v>
          </cell>
          <cell r="V49">
            <v>2.5819413353737599E-12</v>
          </cell>
          <cell r="W49">
            <v>3.8726446962259297E-12</v>
          </cell>
          <cell r="X49">
            <v>7.3859179387853007E-12</v>
          </cell>
          <cell r="Y49">
            <v>6.7025422877374503E-10</v>
          </cell>
        </row>
        <row r="50">
          <cell r="A50" t="str">
            <v>0142</v>
          </cell>
          <cell r="B50" t="str">
            <v>Groundnuts, excluding shelled</v>
          </cell>
          <cell r="C50" t="str">
            <v>Nuts</v>
          </cell>
          <cell r="D50" t="str">
            <v>No</v>
          </cell>
          <cell r="G50">
            <v>38</v>
          </cell>
          <cell r="I50">
            <v>0</v>
          </cell>
          <cell r="J50">
            <v>13</v>
          </cell>
          <cell r="K50">
            <v>450</v>
          </cell>
          <cell r="L50">
            <v>550.82899999999995</v>
          </cell>
          <cell r="M50">
            <v>0</v>
          </cell>
          <cell r="N50">
            <v>0.14299999999999999</v>
          </cell>
          <cell r="O50">
            <v>1.6E-2</v>
          </cell>
          <cell r="P50">
            <v>1</v>
          </cell>
          <cell r="Q50">
            <v>0.22</v>
          </cell>
          <cell r="R50">
            <v>8.9999999999999993E-3</v>
          </cell>
          <cell r="S50">
            <v>0.85</v>
          </cell>
          <cell r="T50">
            <v>1</v>
          </cell>
          <cell r="U50">
            <v>3.7738174209626004E-12</v>
          </cell>
          <cell r="V50">
            <v>2.5819413353737599E-12</v>
          </cell>
          <cell r="W50">
            <v>3.8726446962259297E-12</v>
          </cell>
          <cell r="X50">
            <v>7.3859179387853007E-12</v>
          </cell>
          <cell r="Y50">
            <v>6.7025422877374503E-10</v>
          </cell>
        </row>
        <row r="51">
          <cell r="A51" t="str">
            <v>01374</v>
          </cell>
          <cell r="B51" t="str">
            <v>Hazelnuts, in shell</v>
          </cell>
          <cell r="C51" t="str">
            <v>Nuts</v>
          </cell>
          <cell r="D51" t="str">
            <v>No</v>
          </cell>
          <cell r="G51">
            <v>0</v>
          </cell>
          <cell r="I51">
            <v>0</v>
          </cell>
          <cell r="J51">
            <v>0</v>
          </cell>
          <cell r="K51">
            <v>450</v>
          </cell>
          <cell r="L51">
            <v>729.41555999999991</v>
          </cell>
          <cell r="M51">
            <v>0</v>
          </cell>
          <cell r="N51">
            <v>0.14299999999999999</v>
          </cell>
          <cell r="O51">
            <v>1.6E-2</v>
          </cell>
          <cell r="P51">
            <v>1</v>
          </cell>
          <cell r="Q51">
            <v>0.22</v>
          </cell>
          <cell r="R51">
            <v>8.9999999999999993E-3</v>
          </cell>
          <cell r="S51">
            <v>0.85</v>
          </cell>
          <cell r="T51">
            <v>1</v>
          </cell>
          <cell r="U51">
            <v>3.7738174209626004E-12</v>
          </cell>
          <cell r="V51">
            <v>2.5819413353737599E-12</v>
          </cell>
          <cell r="W51">
            <v>3.8726446962259297E-12</v>
          </cell>
          <cell r="X51">
            <v>7.3859179387853007E-12</v>
          </cell>
          <cell r="Y51">
            <v>6.7025422877374503E-10</v>
          </cell>
        </row>
        <row r="52">
          <cell r="A52" t="str">
            <v>01352</v>
          </cell>
          <cell r="B52" t="str">
            <v>Kiwi fruit</v>
          </cell>
          <cell r="C52" t="str">
            <v>Fruits</v>
          </cell>
          <cell r="D52" t="str">
            <v>No</v>
          </cell>
          <cell r="G52">
            <v>80</v>
          </cell>
          <cell r="I52">
            <v>0</v>
          </cell>
          <cell r="J52">
            <v>133</v>
          </cell>
          <cell r="K52">
            <v>450</v>
          </cell>
          <cell r="L52">
            <v>4552.3348800000003</v>
          </cell>
          <cell r="M52">
            <v>0</v>
          </cell>
          <cell r="N52">
            <v>0.14299999999999999</v>
          </cell>
          <cell r="O52">
            <v>8.0000000000000002E-3</v>
          </cell>
          <cell r="P52">
            <v>1</v>
          </cell>
          <cell r="Q52">
            <v>0.22</v>
          </cell>
          <cell r="R52">
            <v>8.9999999999999993E-3</v>
          </cell>
          <cell r="S52">
            <v>0.85</v>
          </cell>
          <cell r="T52">
            <v>1</v>
          </cell>
          <cell r="U52">
            <v>3.7738174209626004E-12</v>
          </cell>
          <cell r="V52">
            <v>2.5819413353737599E-12</v>
          </cell>
          <cell r="W52">
            <v>3.8726446962259297E-12</v>
          </cell>
          <cell r="X52">
            <v>7.3859179387853007E-12</v>
          </cell>
          <cell r="Y52">
            <v>6.7025422877374503E-10</v>
          </cell>
        </row>
        <row r="53">
          <cell r="A53" t="str">
            <v>01254</v>
          </cell>
          <cell r="B53" t="str">
            <v>Leeks and other alliaceous vegetables</v>
          </cell>
          <cell r="C53" t="str">
            <v>Vegetables</v>
          </cell>
          <cell r="D53" t="str">
            <v>No</v>
          </cell>
          <cell r="G53">
            <v>0</v>
          </cell>
          <cell r="I53">
            <v>0</v>
          </cell>
          <cell r="J53">
            <v>0</v>
          </cell>
          <cell r="K53">
            <v>140</v>
          </cell>
          <cell r="L53">
            <v>2188.8743799999997</v>
          </cell>
          <cell r="M53">
            <v>0</v>
          </cell>
          <cell r="N53">
            <v>0.01</v>
          </cell>
          <cell r="O53">
            <v>1.9E-2</v>
          </cell>
          <cell r="P53">
            <v>0.4</v>
          </cell>
          <cell r="Q53">
            <v>0.2</v>
          </cell>
          <cell r="R53">
            <v>1.4E-2</v>
          </cell>
          <cell r="S53">
            <v>0.22</v>
          </cell>
          <cell r="T53">
            <v>1</v>
          </cell>
          <cell r="U53">
            <v>3.7738174209626004E-12</v>
          </cell>
          <cell r="V53">
            <v>2.5819413353737599E-12</v>
          </cell>
          <cell r="W53">
            <v>3.8726446962259297E-12</v>
          </cell>
          <cell r="X53">
            <v>7.3859179387853007E-12</v>
          </cell>
          <cell r="Y53">
            <v>6.7025422877374503E-10</v>
          </cell>
        </row>
        <row r="54">
          <cell r="A54" t="str">
            <v>01322</v>
          </cell>
          <cell r="B54" t="str">
            <v>Lemons and limes</v>
          </cell>
          <cell r="C54" t="str">
            <v>Fruits</v>
          </cell>
          <cell r="D54" t="str">
            <v>No</v>
          </cell>
          <cell r="G54">
            <v>260</v>
          </cell>
          <cell r="I54">
            <v>0</v>
          </cell>
          <cell r="J54">
            <v>75</v>
          </cell>
          <cell r="K54">
            <v>450</v>
          </cell>
          <cell r="L54">
            <v>3289.0673200000001</v>
          </cell>
          <cell r="M54">
            <v>0</v>
          </cell>
          <cell r="N54">
            <v>0.14299999999999999</v>
          </cell>
          <cell r="O54">
            <v>8.0000000000000002E-3</v>
          </cell>
          <cell r="P54">
            <v>1</v>
          </cell>
          <cell r="Q54">
            <v>0.22</v>
          </cell>
          <cell r="R54">
            <v>8.9999999999999993E-3</v>
          </cell>
          <cell r="S54">
            <v>0.85</v>
          </cell>
          <cell r="T54">
            <v>1</v>
          </cell>
          <cell r="U54">
            <v>3.7738174209626004E-12</v>
          </cell>
          <cell r="V54">
            <v>2.5819413353737599E-12</v>
          </cell>
          <cell r="W54">
            <v>3.8726446962259297E-12</v>
          </cell>
          <cell r="X54">
            <v>7.3859179387853007E-12</v>
          </cell>
          <cell r="Y54">
            <v>6.7025422877374503E-10</v>
          </cell>
        </row>
        <row r="55">
          <cell r="A55" t="str">
            <v>01704</v>
          </cell>
          <cell r="B55" t="str">
            <v>Lentils, dry</v>
          </cell>
          <cell r="C55" t="str">
            <v>Pulses</v>
          </cell>
          <cell r="D55" t="str">
            <v>No</v>
          </cell>
          <cell r="G55">
            <v>0</v>
          </cell>
          <cell r="I55">
            <v>0</v>
          </cell>
          <cell r="J55">
            <v>0</v>
          </cell>
          <cell r="K55">
            <v>79</v>
          </cell>
          <cell r="L55">
            <v>95.409600000000012</v>
          </cell>
          <cell r="M55">
            <v>0</v>
          </cell>
          <cell r="N55">
            <v>2.1999999999999999E-2</v>
          </cell>
          <cell r="O55">
            <v>8.0000000000000002E-3</v>
          </cell>
          <cell r="P55">
            <v>2.1</v>
          </cell>
          <cell r="Q55">
            <v>0.19</v>
          </cell>
          <cell r="R55">
            <v>8.0000000000000002E-3</v>
          </cell>
          <cell r="S55">
            <v>0.91</v>
          </cell>
          <cell r="T55">
            <v>1</v>
          </cell>
          <cell r="U55">
            <v>3.7738174209626004E-12</v>
          </cell>
          <cell r="V55">
            <v>2.5819413353737599E-12</v>
          </cell>
          <cell r="W55">
            <v>3.8726446962259297E-12</v>
          </cell>
          <cell r="X55">
            <v>7.3859179387853007E-12</v>
          </cell>
          <cell r="Y55">
            <v>6.7025422877374503E-10</v>
          </cell>
        </row>
        <row r="56">
          <cell r="A56" t="str">
            <v>01214</v>
          </cell>
          <cell r="B56" t="str">
            <v>Lettuce and chicory</v>
          </cell>
          <cell r="C56" t="str">
            <v>Vegetables</v>
          </cell>
          <cell r="D56" t="str">
            <v>No</v>
          </cell>
          <cell r="G56">
            <v>0</v>
          </cell>
          <cell r="I56">
            <v>0</v>
          </cell>
          <cell r="J56">
            <v>0</v>
          </cell>
          <cell r="K56">
            <v>140</v>
          </cell>
          <cell r="L56">
            <v>2216.1200600000002</v>
          </cell>
          <cell r="M56">
            <v>0</v>
          </cell>
          <cell r="N56">
            <v>0.14299999999999999</v>
          </cell>
          <cell r="O56">
            <v>8.0000000000000002E-3</v>
          </cell>
          <cell r="P56">
            <v>1</v>
          </cell>
          <cell r="Q56">
            <v>0.22</v>
          </cell>
          <cell r="R56">
            <v>8.9999999999999993E-3</v>
          </cell>
          <cell r="S56">
            <v>0.85</v>
          </cell>
          <cell r="T56">
            <v>1</v>
          </cell>
          <cell r="U56">
            <v>3.7738174209626004E-12</v>
          </cell>
          <cell r="V56">
            <v>2.5819413353737599E-12</v>
          </cell>
          <cell r="W56">
            <v>3.8726446962259297E-12</v>
          </cell>
          <cell r="X56">
            <v>7.3859179387853007E-12</v>
          </cell>
          <cell r="Y56">
            <v>6.7025422877374503E-10</v>
          </cell>
        </row>
        <row r="57">
          <cell r="A57" t="str">
            <v>01441</v>
          </cell>
          <cell r="B57" t="str">
            <v>Linseed</v>
          </cell>
          <cell r="C57" t="str">
            <v>Seeds</v>
          </cell>
          <cell r="D57" t="str">
            <v>No</v>
          </cell>
          <cell r="G57">
            <v>0</v>
          </cell>
          <cell r="I57">
            <v>0</v>
          </cell>
          <cell r="J57">
            <v>0</v>
          </cell>
          <cell r="K57">
            <v>65.400000000000006</v>
          </cell>
          <cell r="L57">
            <v>870.90479999999991</v>
          </cell>
          <cell r="M57">
            <v>0</v>
          </cell>
          <cell r="N57">
            <v>0.14299999999999999</v>
          </cell>
          <cell r="O57">
            <v>8.0000000000000002E-3</v>
          </cell>
          <cell r="P57">
            <v>1</v>
          </cell>
          <cell r="Q57">
            <v>0.22</v>
          </cell>
          <cell r="R57">
            <v>8.9999999999999993E-3</v>
          </cell>
          <cell r="S57">
            <v>0.85</v>
          </cell>
          <cell r="T57">
            <v>1</v>
          </cell>
          <cell r="U57">
            <v>3.7738174209626004E-12</v>
          </cell>
          <cell r="V57">
            <v>2.5819413353737599E-12</v>
          </cell>
          <cell r="W57">
            <v>3.8726446962259297E-12</v>
          </cell>
          <cell r="X57">
            <v>7.3859179387853007E-12</v>
          </cell>
          <cell r="Y57">
            <v>6.7025422877374503E-10</v>
          </cell>
        </row>
        <row r="58">
          <cell r="A58" t="str">
            <v>01709.02</v>
          </cell>
          <cell r="B58" t="str">
            <v>Lupins</v>
          </cell>
          <cell r="C58" t="str">
            <v>Pulses</v>
          </cell>
          <cell r="D58" t="str">
            <v>No</v>
          </cell>
          <cell r="G58">
            <v>0</v>
          </cell>
          <cell r="H58">
            <v>24</v>
          </cell>
          <cell r="I58">
            <v>0</v>
          </cell>
          <cell r="J58">
            <v>0</v>
          </cell>
          <cell r="K58">
            <v>63.2</v>
          </cell>
          <cell r="L58">
            <v>131.02232000000001</v>
          </cell>
          <cell r="M58">
            <v>0</v>
          </cell>
          <cell r="N58">
            <v>2.1999999999999999E-2</v>
          </cell>
          <cell r="O58">
            <v>8.0000000000000002E-3</v>
          </cell>
          <cell r="P58">
            <v>2.1</v>
          </cell>
          <cell r="Q58">
            <v>0.19</v>
          </cell>
          <cell r="R58">
            <v>8.0000000000000002E-3</v>
          </cell>
          <cell r="S58">
            <v>0.91</v>
          </cell>
          <cell r="T58">
            <v>1</v>
          </cell>
          <cell r="U58">
            <v>3.7738174209626004E-12</v>
          </cell>
          <cell r="V58">
            <v>2.5819413353737599E-12</v>
          </cell>
          <cell r="W58">
            <v>3.8726446962259297E-12</v>
          </cell>
          <cell r="X58">
            <v>7.3859179387853007E-12</v>
          </cell>
          <cell r="Y58">
            <v>6.7025422877374503E-10</v>
          </cell>
        </row>
        <row r="59">
          <cell r="A59" t="str">
            <v>0112</v>
          </cell>
          <cell r="B59" t="str">
            <v>Maize (corn)</v>
          </cell>
          <cell r="C59" t="str">
            <v>Cereals, incl feed</v>
          </cell>
          <cell r="D59" t="str">
            <v>No</v>
          </cell>
          <cell r="G59">
            <v>0</v>
          </cell>
          <cell r="I59">
            <v>0</v>
          </cell>
          <cell r="J59">
            <v>0</v>
          </cell>
          <cell r="K59">
            <v>69</v>
          </cell>
          <cell r="L59">
            <v>2822.5520999999999</v>
          </cell>
          <cell r="M59">
            <v>0</v>
          </cell>
          <cell r="N59">
            <v>0.14299999999999999</v>
          </cell>
          <cell r="O59">
            <v>6.0000000000000001E-3</v>
          </cell>
          <cell r="P59">
            <v>1</v>
          </cell>
          <cell r="Q59">
            <v>0.22</v>
          </cell>
          <cell r="R59">
            <v>7.0000000000000001E-3</v>
          </cell>
          <cell r="S59">
            <v>0.98</v>
          </cell>
          <cell r="T59">
            <v>1</v>
          </cell>
          <cell r="U59">
            <v>3.7738174209626004E-12</v>
          </cell>
          <cell r="V59">
            <v>2.5819413353737599E-12</v>
          </cell>
          <cell r="W59">
            <v>3.8726446962259297E-12</v>
          </cell>
          <cell r="X59">
            <v>7.3859179387853007E-12</v>
          </cell>
          <cell r="Y59">
            <v>6.7025422877374503E-10</v>
          </cell>
        </row>
        <row r="60">
          <cell r="A60" t="str">
            <v>01316</v>
          </cell>
          <cell r="B60" t="str">
            <v>Mangoes, guavas and mangosteens</v>
          </cell>
          <cell r="C60" t="str">
            <v>Fruits</v>
          </cell>
          <cell r="D60" t="str">
            <v>Yes</v>
          </cell>
          <cell r="F60">
            <v>21299.3</v>
          </cell>
          <cell r="G60">
            <v>227.27645079208733</v>
          </cell>
          <cell r="I60">
            <v>195.81724448</v>
          </cell>
          <cell r="J60">
            <v>65.560514651563651</v>
          </cell>
          <cell r="K60">
            <v>450</v>
          </cell>
          <cell r="L60">
            <v>702.87689999999998</v>
          </cell>
          <cell r="M60">
            <v>4.2521176457105412</v>
          </cell>
          <cell r="N60">
            <v>0.14299999999999999</v>
          </cell>
          <cell r="O60">
            <v>8.0000000000000002E-3</v>
          </cell>
          <cell r="P60">
            <v>1</v>
          </cell>
          <cell r="Q60">
            <v>0.22</v>
          </cell>
          <cell r="R60">
            <v>8.9999999999999993E-3</v>
          </cell>
          <cell r="S60">
            <v>0.85</v>
          </cell>
          <cell r="T60">
            <v>1</v>
          </cell>
          <cell r="U60">
            <v>1.0040933916203999E-11</v>
          </cell>
          <cell r="V60">
            <v>1.5382109589240001E-11</v>
          </cell>
          <cell r="W60">
            <v>2.1977455618085499E-11</v>
          </cell>
          <cell r="X60">
            <v>1.14038353262019E-12</v>
          </cell>
          <cell r="Y60">
            <v>1.19148547693904E-10</v>
          </cell>
          <cell r="Z60">
            <v>4.3739718577830485E-3</v>
          </cell>
        </row>
        <row r="61">
          <cell r="A61" t="str">
            <v>0118</v>
          </cell>
          <cell r="B61" t="str">
            <v>Millet</v>
          </cell>
          <cell r="C61" t="str">
            <v>Cereals</v>
          </cell>
          <cell r="D61" t="str">
            <v>No</v>
          </cell>
          <cell r="G61">
            <v>88</v>
          </cell>
          <cell r="I61">
            <v>0</v>
          </cell>
          <cell r="J61">
            <v>30</v>
          </cell>
          <cell r="K61">
            <v>69</v>
          </cell>
          <cell r="L61">
            <v>71.467400000000012</v>
          </cell>
          <cell r="M61">
            <v>0</v>
          </cell>
          <cell r="N61">
            <v>0.14299999999999999</v>
          </cell>
          <cell r="O61">
            <v>7.0000000000000001E-3</v>
          </cell>
          <cell r="P61">
            <v>1.4</v>
          </cell>
          <cell r="Q61">
            <v>0.22</v>
          </cell>
          <cell r="R61">
            <v>8.9999999999999993E-3</v>
          </cell>
          <cell r="S61">
            <v>0.9</v>
          </cell>
          <cell r="T61">
            <v>1</v>
          </cell>
          <cell r="U61">
            <v>3.7738174209626004E-12</v>
          </cell>
          <cell r="V61">
            <v>2.5819413353737599E-12</v>
          </cell>
          <cell r="W61">
            <v>3.8726446962259297E-12</v>
          </cell>
          <cell r="X61">
            <v>7.3859179387853007E-12</v>
          </cell>
          <cell r="Y61">
            <v>6.7025422877374503E-10</v>
          </cell>
        </row>
        <row r="62">
          <cell r="A62" t="str">
            <v>01199.02</v>
          </cell>
          <cell r="B62" t="str">
            <v>Mixed grain</v>
          </cell>
          <cell r="C62" t="str">
            <v>Cereals</v>
          </cell>
          <cell r="D62" t="str">
            <v>No</v>
          </cell>
          <cell r="G62">
            <v>88</v>
          </cell>
          <cell r="I62">
            <v>0</v>
          </cell>
          <cell r="J62">
            <v>30</v>
          </cell>
          <cell r="K62">
            <v>69</v>
          </cell>
          <cell r="L62">
            <v>1992.5254800000002</v>
          </cell>
          <cell r="M62">
            <v>0</v>
          </cell>
          <cell r="N62">
            <v>0.14299999999999999</v>
          </cell>
          <cell r="O62">
            <v>8.0000000000000002E-3</v>
          </cell>
          <cell r="P62">
            <v>1</v>
          </cell>
          <cell r="Q62">
            <v>0.22</v>
          </cell>
          <cell r="R62">
            <v>8.9999999999999993E-3</v>
          </cell>
          <cell r="S62">
            <v>0.85</v>
          </cell>
          <cell r="T62">
            <v>1</v>
          </cell>
          <cell r="U62">
            <v>3.7738174209626004E-12</v>
          </cell>
          <cell r="V62">
            <v>2.5819413353737599E-12</v>
          </cell>
          <cell r="W62">
            <v>3.8726446962259297E-12</v>
          </cell>
          <cell r="X62">
            <v>7.3859179387853007E-12</v>
          </cell>
          <cell r="Y62">
            <v>6.7025422877374503E-10</v>
          </cell>
        </row>
        <row r="63">
          <cell r="A63" t="str">
            <v>01270</v>
          </cell>
          <cell r="B63" t="str">
            <v>Mushrooms and truffles</v>
          </cell>
          <cell r="C63" t="str">
            <v>Mushrooms</v>
          </cell>
          <cell r="D63" t="str">
            <v>No</v>
          </cell>
        </row>
        <row r="64">
          <cell r="A64" t="str">
            <v>0117</v>
          </cell>
          <cell r="B64" t="str">
            <v>Oats</v>
          </cell>
          <cell r="C64" t="str">
            <v>Cereals, incl feed</v>
          </cell>
          <cell r="D64" t="str">
            <v>No</v>
          </cell>
          <cell r="G64">
            <v>0</v>
          </cell>
          <cell r="I64">
            <v>0</v>
          </cell>
          <cell r="J64">
            <v>0</v>
          </cell>
          <cell r="K64">
            <v>68.599999999999994</v>
          </cell>
          <cell r="L64">
            <v>2566.4851200000003</v>
          </cell>
          <cell r="M64">
            <v>0</v>
          </cell>
          <cell r="N64">
            <v>0.1</v>
          </cell>
          <cell r="O64">
            <v>7.0000000000000001E-3</v>
          </cell>
          <cell r="P64">
            <v>1.3</v>
          </cell>
          <cell r="Q64">
            <v>0.25</v>
          </cell>
          <cell r="R64">
            <v>8.0000000000000002E-3</v>
          </cell>
          <cell r="S64">
            <v>0.89</v>
          </cell>
          <cell r="T64">
            <v>1</v>
          </cell>
          <cell r="U64">
            <v>3.7738174209626004E-12</v>
          </cell>
          <cell r="V64">
            <v>2.5819413353737599E-12</v>
          </cell>
          <cell r="W64">
            <v>3.8726446962259297E-12</v>
          </cell>
          <cell r="X64">
            <v>7.3859179387853007E-12</v>
          </cell>
          <cell r="Y64">
            <v>6.7025422877374503E-10</v>
          </cell>
        </row>
        <row r="65">
          <cell r="A65" t="str">
            <v>01491.01</v>
          </cell>
          <cell r="B65" t="str">
            <v>Oil palm fruit</v>
          </cell>
          <cell r="C65" t="str">
            <v>Oil crops, tree</v>
          </cell>
          <cell r="D65" t="str">
            <v>No</v>
          </cell>
        </row>
        <row r="66">
          <cell r="A66" t="str">
            <v>01450</v>
          </cell>
          <cell r="B66" t="str">
            <v>Olives</v>
          </cell>
          <cell r="C66" t="str">
            <v>Oil crops, tree</v>
          </cell>
          <cell r="D66" t="str">
            <v>No</v>
          </cell>
          <cell r="G66">
            <v>32</v>
          </cell>
          <cell r="I66">
            <v>0</v>
          </cell>
          <cell r="J66">
            <v>32</v>
          </cell>
          <cell r="K66">
            <v>450</v>
          </cell>
          <cell r="L66">
            <v>1410.7414199999998</v>
          </cell>
          <cell r="M66">
            <v>0</v>
          </cell>
          <cell r="N66">
            <v>0.14299999999999999</v>
          </cell>
          <cell r="O66">
            <v>8.0000000000000002E-3</v>
          </cell>
          <cell r="P66">
            <v>1</v>
          </cell>
          <cell r="Q66">
            <v>0.22</v>
          </cell>
          <cell r="R66">
            <v>8.9999999999999993E-3</v>
          </cell>
          <cell r="S66">
            <v>0.85</v>
          </cell>
          <cell r="T66">
            <v>1</v>
          </cell>
          <cell r="U66">
            <v>3.7738174209626004E-12</v>
          </cell>
          <cell r="V66">
            <v>2.5819413353737599E-12</v>
          </cell>
          <cell r="W66">
            <v>3.8726446962259297E-12</v>
          </cell>
          <cell r="X66">
            <v>7.3859179387853007E-12</v>
          </cell>
          <cell r="Y66">
            <v>6.7025422877374503E-10</v>
          </cell>
        </row>
        <row r="67">
          <cell r="A67" t="str">
            <v>01253.02</v>
          </cell>
          <cell r="B67" t="str">
            <v>Onions and shallots, dry (excluding dehydrated)</v>
          </cell>
          <cell r="C67" t="str">
            <v>Vegetables</v>
          </cell>
          <cell r="D67" t="str">
            <v>No</v>
          </cell>
          <cell r="G67">
            <v>0</v>
          </cell>
          <cell r="I67">
            <v>0</v>
          </cell>
          <cell r="J67">
            <v>0</v>
          </cell>
          <cell r="K67">
            <v>140</v>
          </cell>
          <cell r="L67">
            <v>1816.4717599999999</v>
          </cell>
          <cell r="M67">
            <v>0</v>
          </cell>
          <cell r="N67">
            <v>0.01</v>
          </cell>
          <cell r="O67">
            <v>1.9E-2</v>
          </cell>
          <cell r="P67">
            <v>0.4</v>
          </cell>
          <cell r="Q67">
            <v>0.2</v>
          </cell>
          <cell r="R67">
            <v>1.4E-2</v>
          </cell>
          <cell r="S67">
            <v>0.22</v>
          </cell>
          <cell r="T67">
            <v>1</v>
          </cell>
          <cell r="U67">
            <v>3.7738174209626004E-12</v>
          </cell>
          <cell r="V67">
            <v>2.5819413353737599E-12</v>
          </cell>
          <cell r="W67">
            <v>3.8726446962259297E-12</v>
          </cell>
          <cell r="X67">
            <v>7.3859179387853007E-12</v>
          </cell>
          <cell r="Y67">
            <v>6.7025422877374503E-10</v>
          </cell>
        </row>
        <row r="68">
          <cell r="A68" t="str">
            <v>01323</v>
          </cell>
          <cell r="B68" t="str">
            <v>Oranges</v>
          </cell>
          <cell r="C68" t="str">
            <v>Fruits</v>
          </cell>
          <cell r="D68" t="str">
            <v>Yes</v>
          </cell>
          <cell r="F68">
            <v>28483.620000000003</v>
          </cell>
          <cell r="G68">
            <v>303.93750307805965</v>
          </cell>
          <cell r="I68">
            <v>261.86700883200001</v>
          </cell>
          <cell r="J68">
            <v>87.674279734055659</v>
          </cell>
          <cell r="K68">
            <v>450</v>
          </cell>
          <cell r="L68">
            <v>56.967240000000004</v>
          </cell>
          <cell r="M68">
            <v>5.6863701255775396</v>
          </cell>
          <cell r="N68">
            <v>0.14299999999999999</v>
          </cell>
          <cell r="O68">
            <v>8.0000000000000002E-3</v>
          </cell>
          <cell r="P68">
            <v>1</v>
          </cell>
          <cell r="Q68">
            <v>0.22</v>
          </cell>
          <cell r="R68">
            <v>8.9999999999999993E-3</v>
          </cell>
          <cell r="S68">
            <v>0.85</v>
          </cell>
          <cell r="T68">
            <v>1</v>
          </cell>
          <cell r="U68">
            <v>1.0040933916203999E-11</v>
          </cell>
          <cell r="V68">
            <v>1.5382109589240001E-11</v>
          </cell>
          <cell r="W68">
            <v>2.1977455618085499E-11</v>
          </cell>
          <cell r="X68">
            <v>1.14038353262019E-12</v>
          </cell>
          <cell r="Y68">
            <v>1.19148547693904E-10</v>
          </cell>
          <cell r="Z68">
            <v>7.2469878653181486E-3</v>
          </cell>
        </row>
        <row r="69">
          <cell r="A69" t="str">
            <v>01241.90</v>
          </cell>
          <cell r="B69" t="str">
            <v>Other beans, green</v>
          </cell>
          <cell r="C69" t="str">
            <v>Vegetables</v>
          </cell>
          <cell r="D69" t="str">
            <v>No</v>
          </cell>
          <cell r="G69">
            <v>0</v>
          </cell>
          <cell r="H69">
            <v>24</v>
          </cell>
          <cell r="I69">
            <v>0</v>
          </cell>
          <cell r="J69">
            <v>0</v>
          </cell>
          <cell r="K69">
            <v>61.1</v>
          </cell>
          <cell r="L69">
            <v>3960.3434000000002</v>
          </cell>
          <cell r="M69">
            <v>0</v>
          </cell>
          <cell r="N69">
            <v>2.1999999999999999E-2</v>
          </cell>
          <cell r="O69">
            <v>8.0000000000000002E-3</v>
          </cell>
          <cell r="P69">
            <v>2.1</v>
          </cell>
          <cell r="Q69">
            <v>0.19</v>
          </cell>
          <cell r="R69">
            <v>8.0000000000000002E-3</v>
          </cell>
          <cell r="S69">
            <v>0.91</v>
          </cell>
          <cell r="T69">
            <v>1</v>
          </cell>
          <cell r="U69">
            <v>3.7738174209626004E-12</v>
          </cell>
          <cell r="V69">
            <v>2.5819413353737599E-12</v>
          </cell>
          <cell r="W69">
            <v>3.8726446962259297E-12</v>
          </cell>
          <cell r="X69">
            <v>7.3859179387853007E-12</v>
          </cell>
          <cell r="Y69">
            <v>6.7025422877374503E-10</v>
          </cell>
        </row>
        <row r="70">
          <cell r="A70" t="str">
            <v>01359.90</v>
          </cell>
          <cell r="B70" t="str">
            <v>Other fruits, n.e.c.</v>
          </cell>
          <cell r="C70" t="str">
            <v>Fruits</v>
          </cell>
          <cell r="D70" t="str">
            <v>No</v>
          </cell>
          <cell r="G70">
            <v>99.65535430974461</v>
          </cell>
          <cell r="I70">
            <v>0</v>
          </cell>
          <cell r="J70">
            <v>50.461877603167295</v>
          </cell>
          <cell r="K70">
            <v>450</v>
          </cell>
          <cell r="L70">
            <v>2632.3237000000004</v>
          </cell>
          <cell r="M70">
            <v>0</v>
          </cell>
          <cell r="N70">
            <v>0.14299999999999999</v>
          </cell>
          <cell r="O70">
            <v>8.0000000000000002E-3</v>
          </cell>
          <cell r="P70">
            <v>1</v>
          </cell>
          <cell r="Q70">
            <v>0.22</v>
          </cell>
          <cell r="R70">
            <v>8.9999999999999993E-3</v>
          </cell>
          <cell r="S70">
            <v>0.85</v>
          </cell>
          <cell r="T70">
            <v>1</v>
          </cell>
          <cell r="U70">
            <v>3.7738174209626004E-12</v>
          </cell>
          <cell r="V70">
            <v>2.5819413353737599E-12</v>
          </cell>
          <cell r="W70">
            <v>3.8726446962259297E-12</v>
          </cell>
          <cell r="X70">
            <v>7.3859179387853007E-12</v>
          </cell>
          <cell r="Y70">
            <v>6.7025422877374503E-10</v>
          </cell>
        </row>
        <row r="71">
          <cell r="A71" t="str">
            <v>01449.90</v>
          </cell>
          <cell r="B71" t="str">
            <v>Other oil seeds, n.e.c.</v>
          </cell>
          <cell r="C71" t="str">
            <v>Oil crops</v>
          </cell>
          <cell r="D71" t="str">
            <v>No</v>
          </cell>
          <cell r="G71">
            <v>0</v>
          </cell>
          <cell r="I71">
            <v>0</v>
          </cell>
          <cell r="J71">
            <v>0</v>
          </cell>
          <cell r="K71">
            <v>60</v>
          </cell>
          <cell r="L71">
            <v>1385.4084</v>
          </cell>
          <cell r="M71">
            <v>0</v>
          </cell>
          <cell r="N71">
            <v>0.14299999999999999</v>
          </cell>
          <cell r="O71">
            <v>8.0000000000000002E-3</v>
          </cell>
          <cell r="P71">
            <v>1</v>
          </cell>
          <cell r="Q71">
            <v>0.22</v>
          </cell>
          <cell r="R71">
            <v>8.9999999999999993E-3</v>
          </cell>
          <cell r="S71">
            <v>0.85</v>
          </cell>
          <cell r="T71">
            <v>1</v>
          </cell>
          <cell r="U71">
            <v>3.7738174209626004E-12</v>
          </cell>
          <cell r="V71">
            <v>2.5819413353737599E-12</v>
          </cell>
          <cell r="W71">
            <v>3.8726446962259297E-12</v>
          </cell>
          <cell r="X71">
            <v>7.3859179387853007E-12</v>
          </cell>
          <cell r="Y71">
            <v>6.7025422877374503E-10</v>
          </cell>
        </row>
        <row r="72">
          <cell r="A72" t="str">
            <v>01709.90</v>
          </cell>
          <cell r="B72" t="str">
            <v>Other pulses n.e.c.</v>
          </cell>
          <cell r="C72" t="str">
            <v>Pulses</v>
          </cell>
          <cell r="D72" t="str">
            <v>No</v>
          </cell>
          <cell r="G72">
            <v>0</v>
          </cell>
          <cell r="H72">
            <v>24</v>
          </cell>
          <cell r="I72">
            <v>0</v>
          </cell>
          <cell r="J72">
            <v>0</v>
          </cell>
          <cell r="K72">
            <v>63.2</v>
          </cell>
          <cell r="L72">
            <v>154.39424000000002</v>
          </cell>
          <cell r="M72">
            <v>0</v>
          </cell>
          <cell r="N72">
            <v>2.1999999999999999E-2</v>
          </cell>
          <cell r="O72">
            <v>8.0000000000000002E-3</v>
          </cell>
          <cell r="P72">
            <v>2.1</v>
          </cell>
          <cell r="Q72">
            <v>0.19</v>
          </cell>
          <cell r="R72">
            <v>8.0000000000000002E-3</v>
          </cell>
          <cell r="S72">
            <v>0.91</v>
          </cell>
          <cell r="T72">
            <v>1</v>
          </cell>
          <cell r="U72">
            <v>3.7738174209626004E-12</v>
          </cell>
          <cell r="V72">
            <v>2.5819413353737599E-12</v>
          </cell>
          <cell r="W72">
            <v>3.8726446962259297E-12</v>
          </cell>
          <cell r="X72">
            <v>7.3859179387853007E-12</v>
          </cell>
          <cell r="Y72">
            <v>6.7025422877374503E-10</v>
          </cell>
        </row>
        <row r="73">
          <cell r="A73" t="str">
            <v>01699</v>
          </cell>
          <cell r="B73" t="str">
            <v>Other stimulant, spice and aromatic crops, n.e.c.</v>
          </cell>
          <cell r="C73" t="str">
            <v>Stimulants</v>
          </cell>
          <cell r="D73" t="str">
            <v>No</v>
          </cell>
          <cell r="G73">
            <v>0</v>
          </cell>
          <cell r="I73">
            <v>0</v>
          </cell>
          <cell r="J73">
            <v>0</v>
          </cell>
          <cell r="K73">
            <v>140</v>
          </cell>
          <cell r="L73">
            <v>2920.7669999999998</v>
          </cell>
          <cell r="M73">
            <v>0</v>
          </cell>
          <cell r="N73">
            <v>0.14299999999999999</v>
          </cell>
          <cell r="O73">
            <v>8.0000000000000002E-3</v>
          </cell>
          <cell r="P73">
            <v>1</v>
          </cell>
          <cell r="Q73">
            <v>0.22</v>
          </cell>
          <cell r="R73">
            <v>8.9999999999999993E-3</v>
          </cell>
          <cell r="S73">
            <v>0.85</v>
          </cell>
          <cell r="T73">
            <v>1</v>
          </cell>
          <cell r="U73">
            <v>3.7738174209626004E-12</v>
          </cell>
          <cell r="V73">
            <v>2.5819413353737599E-12</v>
          </cell>
          <cell r="W73">
            <v>3.8726446962259297E-12</v>
          </cell>
          <cell r="X73">
            <v>7.3859179387853007E-12</v>
          </cell>
          <cell r="Y73">
            <v>6.7025422877374503E-10</v>
          </cell>
        </row>
        <row r="74">
          <cell r="A74" t="str">
            <v>01290.90</v>
          </cell>
          <cell r="B74" t="str">
            <v>Other vegetables, fresh n.e.c.</v>
          </cell>
          <cell r="C74" t="str">
            <v>Vegetables</v>
          </cell>
          <cell r="D74" t="str">
            <v>No</v>
          </cell>
          <cell r="G74">
            <v>0</v>
          </cell>
          <cell r="I74">
            <v>0</v>
          </cell>
          <cell r="J74">
            <v>0</v>
          </cell>
          <cell r="K74">
            <v>140</v>
          </cell>
          <cell r="L74">
            <v>1503.8346399999998</v>
          </cell>
          <cell r="M74">
            <v>0</v>
          </cell>
          <cell r="N74">
            <v>0.14599999999999999</v>
          </cell>
          <cell r="O74">
            <v>8.0000000000000002E-3</v>
          </cell>
          <cell r="P74">
            <v>1</v>
          </cell>
          <cell r="Q74">
            <v>0.22</v>
          </cell>
          <cell r="R74">
            <v>8.9999999999999993E-3</v>
          </cell>
          <cell r="S74">
            <v>0.85</v>
          </cell>
          <cell r="T74">
            <v>1</v>
          </cell>
          <cell r="U74">
            <v>3.7738174209626004E-12</v>
          </cell>
          <cell r="V74">
            <v>2.5819413353737599E-12</v>
          </cell>
          <cell r="W74">
            <v>3.8726446962259297E-12</v>
          </cell>
          <cell r="X74">
            <v>7.3859179387853007E-12</v>
          </cell>
          <cell r="Y74">
            <v>6.7025422877374503E-10</v>
          </cell>
        </row>
        <row r="75">
          <cell r="A75" t="str">
            <v>01317</v>
          </cell>
          <cell r="B75" t="str">
            <v>Papayas</v>
          </cell>
          <cell r="C75" t="str">
            <v>Fruits</v>
          </cell>
          <cell r="D75" t="str">
            <v>Yes</v>
          </cell>
          <cell r="F75">
            <v>41562.020000000004</v>
          </cell>
          <cell r="G75">
            <v>443.49196421242721</v>
          </cell>
          <cell r="I75">
            <v>382.10458707200007</v>
          </cell>
          <cell r="J75">
            <v>127.93037429204631</v>
          </cell>
          <cell r="K75">
            <v>450</v>
          </cell>
          <cell r="L75">
            <v>1371.5466600000002</v>
          </cell>
          <cell r="M75">
            <v>8.2972960911097751</v>
          </cell>
          <cell r="N75">
            <v>0.14299999999999999</v>
          </cell>
          <cell r="O75">
            <v>8.0000000000000002E-3</v>
          </cell>
          <cell r="P75">
            <v>1</v>
          </cell>
          <cell r="Q75">
            <v>0.22</v>
          </cell>
          <cell r="R75">
            <v>8.9999999999999993E-3</v>
          </cell>
          <cell r="S75">
            <v>0.85</v>
          </cell>
          <cell r="T75">
            <v>1</v>
          </cell>
          <cell r="U75">
            <v>1.0040933916203999E-11</v>
          </cell>
          <cell r="V75">
            <v>1.5382109589240001E-11</v>
          </cell>
          <cell r="W75">
            <v>2.1977455618085499E-11</v>
          </cell>
          <cell r="X75">
            <v>1.14038353262019E-12</v>
          </cell>
          <cell r="Y75">
            <v>1.19148547693904E-10</v>
          </cell>
          <cell r="Z75">
            <v>1.0160319957557904E-2</v>
          </cell>
        </row>
        <row r="76">
          <cell r="A76" t="str">
            <v>01345</v>
          </cell>
          <cell r="B76" t="str">
            <v>Peaches and nectarines</v>
          </cell>
          <cell r="C76" t="str">
            <v>Fruits</v>
          </cell>
          <cell r="D76" t="str">
            <v>No</v>
          </cell>
          <cell r="G76">
            <v>9</v>
          </cell>
          <cell r="I76">
            <v>0</v>
          </cell>
          <cell r="J76">
            <v>34</v>
          </cell>
          <cell r="K76">
            <v>450</v>
          </cell>
          <cell r="L76">
            <v>5285.8741399999999</v>
          </cell>
          <cell r="M76">
            <v>0</v>
          </cell>
          <cell r="N76">
            <v>0.14299999999999999</v>
          </cell>
          <cell r="O76">
            <v>8.0000000000000002E-3</v>
          </cell>
          <cell r="P76">
            <v>1</v>
          </cell>
          <cell r="Q76">
            <v>0.22</v>
          </cell>
          <cell r="R76">
            <v>8.9999999999999993E-3</v>
          </cell>
          <cell r="S76">
            <v>0.85</v>
          </cell>
          <cell r="T76">
            <v>1</v>
          </cell>
          <cell r="U76">
            <v>3.7738174209626004E-12</v>
          </cell>
          <cell r="V76">
            <v>2.5819413353737599E-12</v>
          </cell>
          <cell r="W76">
            <v>3.8726446962259297E-12</v>
          </cell>
          <cell r="X76">
            <v>7.3859179387853007E-12</v>
          </cell>
          <cell r="Y76">
            <v>6.7025422877374503E-10</v>
          </cell>
        </row>
        <row r="77">
          <cell r="A77" t="str">
            <v>01342.01</v>
          </cell>
          <cell r="B77" t="str">
            <v>Pears</v>
          </cell>
          <cell r="C77" t="str">
            <v>Fruits</v>
          </cell>
          <cell r="D77" t="str">
            <v>No</v>
          </cell>
          <cell r="G77">
            <v>0</v>
          </cell>
          <cell r="I77">
            <v>0</v>
          </cell>
          <cell r="J77">
            <v>0</v>
          </cell>
          <cell r="K77">
            <v>450</v>
          </cell>
          <cell r="L77">
            <v>4491.2511000000004</v>
          </cell>
          <cell r="M77">
            <v>0</v>
          </cell>
          <cell r="N77">
            <v>0.14299999999999999</v>
          </cell>
          <cell r="O77">
            <v>8.0000000000000002E-3</v>
          </cell>
          <cell r="P77">
            <v>1</v>
          </cell>
          <cell r="Q77">
            <v>0.22</v>
          </cell>
          <cell r="R77">
            <v>8.9999999999999993E-3</v>
          </cell>
          <cell r="S77">
            <v>0.85</v>
          </cell>
          <cell r="T77">
            <v>1</v>
          </cell>
          <cell r="U77">
            <v>3.7738174209626004E-12</v>
          </cell>
          <cell r="V77">
            <v>2.5819413353737599E-12</v>
          </cell>
          <cell r="W77">
            <v>3.8726446962259297E-12</v>
          </cell>
          <cell r="X77">
            <v>7.3859179387853007E-12</v>
          </cell>
          <cell r="Y77">
            <v>6.7025422877374503E-10</v>
          </cell>
        </row>
        <row r="78">
          <cell r="A78" t="str">
            <v>01705</v>
          </cell>
          <cell r="B78" t="str">
            <v>Peas, dry</v>
          </cell>
          <cell r="C78" t="str">
            <v>Pulses, incl feed</v>
          </cell>
          <cell r="D78" t="str">
            <v>No</v>
          </cell>
          <cell r="G78">
            <v>0</v>
          </cell>
          <cell r="H78">
            <v>63</v>
          </cell>
          <cell r="I78">
            <v>0</v>
          </cell>
          <cell r="J78">
            <v>0</v>
          </cell>
          <cell r="K78">
            <v>63.2</v>
          </cell>
          <cell r="L78">
            <v>26.961119999999998</v>
          </cell>
          <cell r="M78">
            <v>0</v>
          </cell>
          <cell r="N78">
            <v>0</v>
          </cell>
          <cell r="O78">
            <v>8.0000000000000002E-3</v>
          </cell>
          <cell r="P78">
            <v>2.1</v>
          </cell>
          <cell r="Q78">
            <v>0.19</v>
          </cell>
          <cell r="R78">
            <v>8.0000000000000002E-3</v>
          </cell>
          <cell r="S78">
            <v>0.91</v>
          </cell>
          <cell r="T78">
            <v>1</v>
          </cell>
          <cell r="U78">
            <v>3.7738174209626004E-12</v>
          </cell>
          <cell r="V78">
            <v>2.5819413353737599E-12</v>
          </cell>
          <cell r="W78">
            <v>3.8726446962259297E-12</v>
          </cell>
          <cell r="X78">
            <v>7.3859179387853007E-12</v>
          </cell>
          <cell r="Y78">
            <v>6.7025422877374503E-10</v>
          </cell>
        </row>
        <row r="79">
          <cell r="A79" t="str">
            <v>01242</v>
          </cell>
          <cell r="B79" t="str">
            <v>Peas, green</v>
          </cell>
          <cell r="C79" t="str">
            <v>Vegetables</v>
          </cell>
          <cell r="D79" t="str">
            <v>No</v>
          </cell>
          <cell r="G79">
            <v>0</v>
          </cell>
          <cell r="H79">
            <v>63</v>
          </cell>
          <cell r="I79">
            <v>0</v>
          </cell>
          <cell r="J79">
            <v>0</v>
          </cell>
          <cell r="K79">
            <v>63.2</v>
          </cell>
          <cell r="L79">
            <v>135.39095999999998</v>
          </cell>
          <cell r="M79">
            <v>0</v>
          </cell>
          <cell r="N79">
            <v>0</v>
          </cell>
          <cell r="O79">
            <v>8.0000000000000002E-3</v>
          </cell>
          <cell r="P79">
            <v>2.1</v>
          </cell>
          <cell r="Q79">
            <v>0.19</v>
          </cell>
          <cell r="R79">
            <v>8.0000000000000002E-3</v>
          </cell>
          <cell r="S79">
            <v>0.91</v>
          </cell>
          <cell r="T79">
            <v>1</v>
          </cell>
          <cell r="U79">
            <v>3.7738174209626004E-12</v>
          </cell>
          <cell r="V79">
            <v>2.5819413353737599E-12</v>
          </cell>
          <cell r="W79">
            <v>3.8726446962259297E-12</v>
          </cell>
          <cell r="X79">
            <v>7.3859179387853007E-12</v>
          </cell>
          <cell r="Y79">
            <v>6.7025422877374503E-10</v>
          </cell>
        </row>
        <row r="80">
          <cell r="A80" t="str">
            <v>01651</v>
          </cell>
          <cell r="B80" t="str">
            <v>Pepper (Piper spp.), raw</v>
          </cell>
          <cell r="C80" t="str">
            <v>Vegetables</v>
          </cell>
          <cell r="D80" t="str">
            <v>Yes</v>
          </cell>
          <cell r="F80">
            <v>3000.6400000000003</v>
          </cell>
          <cell r="G80">
            <v>11.986266054329837</v>
          </cell>
          <cell r="I80">
            <v>27.586683904000004</v>
          </cell>
          <cell r="J80">
            <v>0</v>
          </cell>
          <cell r="K80">
            <v>450</v>
          </cell>
          <cell r="L80">
            <v>297.06336000000005</v>
          </cell>
          <cell r="M80">
            <v>1.6988227080848253</v>
          </cell>
          <cell r="N80">
            <v>0.14299999999999999</v>
          </cell>
          <cell r="O80">
            <v>8.0000000000000002E-3</v>
          </cell>
          <cell r="P80">
            <v>1</v>
          </cell>
          <cell r="Q80">
            <v>0.22</v>
          </cell>
          <cell r="R80">
            <v>8.9999999999999993E-3</v>
          </cell>
          <cell r="S80">
            <v>0.85</v>
          </cell>
          <cell r="T80">
            <v>1</v>
          </cell>
          <cell r="U80">
            <v>1.0040933916203999E-11</v>
          </cell>
          <cell r="V80">
            <v>1.5382109589240001E-11</v>
          </cell>
          <cell r="W80">
            <v>2.1977455618085499E-11</v>
          </cell>
          <cell r="X80">
            <v>1.14038353262019E-12</v>
          </cell>
          <cell r="Y80">
            <v>1.19148547693904E-10</v>
          </cell>
          <cell r="Z80">
            <v>1.5982467327121055</v>
          </cell>
        </row>
        <row r="81">
          <cell r="A81" t="str">
            <v>01318</v>
          </cell>
          <cell r="B81" t="str">
            <v>Pineapples</v>
          </cell>
          <cell r="C81" t="str">
            <v>Fruits</v>
          </cell>
          <cell r="D81" t="str">
            <v>No</v>
          </cell>
        </row>
        <row r="82">
          <cell r="A82" t="str">
            <v>01313</v>
          </cell>
          <cell r="B82" t="str">
            <v>Plantains and cooking bananas</v>
          </cell>
          <cell r="C82" t="str">
            <v>Fruits</v>
          </cell>
          <cell r="D82" t="str">
            <v>No</v>
          </cell>
        </row>
        <row r="83">
          <cell r="A83" t="str">
            <v>01346</v>
          </cell>
          <cell r="B83" t="str">
            <v>Plums and sloes</v>
          </cell>
          <cell r="C83" t="str">
            <v>Fruits</v>
          </cell>
          <cell r="D83" t="str">
            <v>No</v>
          </cell>
          <cell r="G83">
            <v>0</v>
          </cell>
          <cell r="I83">
            <v>0</v>
          </cell>
          <cell r="J83">
            <v>0</v>
          </cell>
          <cell r="K83">
            <v>450</v>
          </cell>
          <cell r="L83">
            <v>3240.2109999999998</v>
          </cell>
          <cell r="M83">
            <v>0</v>
          </cell>
          <cell r="N83">
            <v>0.14299999999999999</v>
          </cell>
          <cell r="O83">
            <v>8.0000000000000002E-3</v>
          </cell>
          <cell r="P83">
            <v>1</v>
          </cell>
          <cell r="Q83">
            <v>0.22</v>
          </cell>
          <cell r="R83">
            <v>8.9999999999999993E-3</v>
          </cell>
          <cell r="S83">
            <v>0.85</v>
          </cell>
          <cell r="T83">
            <v>1</v>
          </cell>
          <cell r="U83">
            <v>3.7738174209626004E-12</v>
          </cell>
          <cell r="V83">
            <v>2.5819413353737599E-12</v>
          </cell>
          <cell r="W83">
            <v>3.8726446962259297E-12</v>
          </cell>
          <cell r="X83">
            <v>7.3859179387853007E-12</v>
          </cell>
          <cell r="Y83">
            <v>6.7025422877374503E-10</v>
          </cell>
        </row>
        <row r="84">
          <cell r="A84" t="str">
            <v>01321</v>
          </cell>
          <cell r="B84" t="str">
            <v>Pomelos and grapefruits</v>
          </cell>
          <cell r="C84" t="str">
            <v>Fruits</v>
          </cell>
          <cell r="D84" t="str">
            <v>No</v>
          </cell>
          <cell r="G84">
            <v>140</v>
          </cell>
          <cell r="I84">
            <v>0</v>
          </cell>
          <cell r="J84">
            <v>32</v>
          </cell>
          <cell r="K84">
            <v>450</v>
          </cell>
          <cell r="L84">
            <v>3459.3085999999998</v>
          </cell>
          <cell r="M84">
            <v>0</v>
          </cell>
          <cell r="N84">
            <v>0.14299999999999999</v>
          </cell>
          <cell r="O84">
            <v>8.0000000000000002E-3</v>
          </cell>
          <cell r="P84">
            <v>1</v>
          </cell>
          <cell r="Q84">
            <v>0.22</v>
          </cell>
          <cell r="R84">
            <v>8.9999999999999993E-3</v>
          </cell>
          <cell r="S84">
            <v>0.85</v>
          </cell>
          <cell r="T84">
            <v>1</v>
          </cell>
          <cell r="U84">
            <v>3.7738174209626004E-12</v>
          </cell>
          <cell r="V84">
            <v>2.5819413353737599E-12</v>
          </cell>
          <cell r="W84">
            <v>3.8726446962259297E-12</v>
          </cell>
          <cell r="X84">
            <v>7.3859179387853007E-12</v>
          </cell>
          <cell r="Y84">
            <v>6.7025422877374503E-10</v>
          </cell>
        </row>
        <row r="85">
          <cell r="A85" t="str">
            <v>01448</v>
          </cell>
          <cell r="B85" t="str">
            <v>Poppy seed</v>
          </cell>
          <cell r="C85" t="str">
            <v>Seeds</v>
          </cell>
          <cell r="D85" t="str">
            <v>No</v>
          </cell>
          <cell r="G85">
            <v>0</v>
          </cell>
          <cell r="I85">
            <v>0</v>
          </cell>
          <cell r="J85">
            <v>0</v>
          </cell>
          <cell r="K85">
            <v>65.400000000000006</v>
          </cell>
          <cell r="L85">
            <v>1116.4175999999998</v>
          </cell>
          <cell r="M85">
            <v>0</v>
          </cell>
          <cell r="N85">
            <v>0.14299999999999999</v>
          </cell>
          <cell r="O85">
            <v>8.0000000000000002E-3</v>
          </cell>
          <cell r="P85">
            <v>1</v>
          </cell>
          <cell r="Q85">
            <v>0.22</v>
          </cell>
          <cell r="R85">
            <v>8.9999999999999993E-3</v>
          </cell>
          <cell r="S85">
            <v>0.85</v>
          </cell>
          <cell r="T85">
            <v>1</v>
          </cell>
          <cell r="U85">
            <v>3.7738174209626004E-12</v>
          </cell>
          <cell r="V85">
            <v>2.5819413353737599E-12</v>
          </cell>
          <cell r="W85">
            <v>3.8726446962259297E-12</v>
          </cell>
          <cell r="X85">
            <v>7.3859179387853007E-12</v>
          </cell>
          <cell r="Y85">
            <v>6.7025422877374503E-10</v>
          </cell>
        </row>
        <row r="86">
          <cell r="A86" t="str">
            <v>01510</v>
          </cell>
          <cell r="B86" t="str">
            <v>Potatoes</v>
          </cell>
          <cell r="C86" t="str">
            <v>Roots</v>
          </cell>
          <cell r="D86" t="str">
            <v>No</v>
          </cell>
          <cell r="G86">
            <v>0</v>
          </cell>
          <cell r="I86">
            <v>0</v>
          </cell>
          <cell r="J86">
            <v>0</v>
          </cell>
          <cell r="K86">
            <v>135.5</v>
          </cell>
          <cell r="L86">
            <v>1978.43488</v>
          </cell>
          <cell r="M86">
            <v>0</v>
          </cell>
          <cell r="N86">
            <v>1.2999999999999999E-2</v>
          </cell>
          <cell r="O86">
            <v>1.9E-2</v>
          </cell>
          <cell r="P86">
            <v>0.4</v>
          </cell>
          <cell r="Q86">
            <v>0.2</v>
          </cell>
          <cell r="R86">
            <v>1.4E-2</v>
          </cell>
          <cell r="S86">
            <v>0.22</v>
          </cell>
          <cell r="T86">
            <v>1</v>
          </cell>
          <cell r="U86">
            <v>3.7738174209626004E-12</v>
          </cell>
          <cell r="V86">
            <v>2.5819413353737599E-12</v>
          </cell>
          <cell r="W86">
            <v>3.8726446962259297E-12</v>
          </cell>
          <cell r="X86">
            <v>7.3859179387853007E-12</v>
          </cell>
          <cell r="Y86">
            <v>6.7025422877374503E-10</v>
          </cell>
        </row>
        <row r="87">
          <cell r="A87" t="str">
            <v>01235</v>
          </cell>
          <cell r="B87" t="str">
            <v>Pumpkins, squash and gourds</v>
          </cell>
          <cell r="C87" t="str">
            <v>Vegetables</v>
          </cell>
          <cell r="D87" t="str">
            <v>No</v>
          </cell>
          <cell r="G87">
            <v>0</v>
          </cell>
          <cell r="I87">
            <v>0</v>
          </cell>
          <cell r="K87">
            <v>140</v>
          </cell>
          <cell r="L87">
            <v>3709.5843399999999</v>
          </cell>
          <cell r="M87">
            <v>0</v>
          </cell>
          <cell r="N87">
            <v>0.14299999999999999</v>
          </cell>
          <cell r="O87">
            <v>8.0000000000000002E-3</v>
          </cell>
          <cell r="P87">
            <v>1</v>
          </cell>
          <cell r="Q87">
            <v>0.22</v>
          </cell>
          <cell r="R87">
            <v>8.9999999999999993E-3</v>
          </cell>
          <cell r="S87">
            <v>0.85</v>
          </cell>
          <cell r="T87">
            <v>1</v>
          </cell>
          <cell r="U87">
            <v>3.7738174209626004E-12</v>
          </cell>
          <cell r="V87">
            <v>2.5819413353737599E-12</v>
          </cell>
          <cell r="W87">
            <v>3.8726446962259297E-12</v>
          </cell>
          <cell r="X87">
            <v>7.3859179387853007E-12</v>
          </cell>
          <cell r="Y87">
            <v>6.7025422877374503E-10</v>
          </cell>
        </row>
        <row r="88">
          <cell r="A88" t="str">
            <v>01342.02</v>
          </cell>
          <cell r="B88" t="str">
            <v>Quinces</v>
          </cell>
          <cell r="C88" t="str">
            <v>Other</v>
          </cell>
          <cell r="D88" t="str">
            <v>No</v>
          </cell>
          <cell r="G88">
            <v>0</v>
          </cell>
          <cell r="I88">
            <v>0</v>
          </cell>
          <cell r="J88">
            <v>0</v>
          </cell>
          <cell r="K88">
            <v>450</v>
          </cell>
          <cell r="L88">
            <v>1663.239</v>
          </cell>
          <cell r="M88">
            <v>0</v>
          </cell>
          <cell r="N88">
            <v>0.14299999999999999</v>
          </cell>
          <cell r="O88">
            <v>8.0000000000000002E-3</v>
          </cell>
          <cell r="P88">
            <v>1</v>
          </cell>
          <cell r="Q88">
            <v>0.22</v>
          </cell>
          <cell r="R88">
            <v>8.9999999999999993E-3</v>
          </cell>
          <cell r="S88">
            <v>0.85</v>
          </cell>
          <cell r="T88">
            <v>1</v>
          </cell>
          <cell r="U88">
            <v>3.7738174209626004E-12</v>
          </cell>
          <cell r="V88">
            <v>2.5819413353737599E-12</v>
          </cell>
          <cell r="W88">
            <v>3.8726446962259297E-12</v>
          </cell>
          <cell r="X88">
            <v>7.3859179387853007E-12</v>
          </cell>
          <cell r="Y88">
            <v>6.7025422877374503E-10</v>
          </cell>
        </row>
        <row r="89">
          <cell r="A89" t="str">
            <v>01194</v>
          </cell>
          <cell r="B89" t="str">
            <v>Quinoa</v>
          </cell>
          <cell r="C89" t="str">
            <v>Seeds</v>
          </cell>
          <cell r="D89" t="str">
            <v>No</v>
          </cell>
        </row>
        <row r="90">
          <cell r="A90" t="str">
            <v>01443</v>
          </cell>
          <cell r="B90" t="str">
            <v>Rape or colza seed, average</v>
          </cell>
          <cell r="C90" t="str">
            <v>Oil crops</v>
          </cell>
          <cell r="D90" t="str">
            <v>No</v>
          </cell>
          <cell r="G90">
            <v>0</v>
          </cell>
          <cell r="I90">
            <v>0</v>
          </cell>
          <cell r="J90">
            <v>0</v>
          </cell>
          <cell r="K90">
            <v>60</v>
          </cell>
          <cell r="L90">
            <v>580.16721999999993</v>
          </cell>
          <cell r="M90">
            <v>0</v>
          </cell>
          <cell r="N90">
            <v>0.14299999999999999</v>
          </cell>
          <cell r="O90">
            <v>8.0000000000000002E-3</v>
          </cell>
          <cell r="P90">
            <v>1</v>
          </cell>
          <cell r="Q90">
            <v>0.22</v>
          </cell>
          <cell r="R90">
            <v>8.9999999999999993E-3</v>
          </cell>
          <cell r="S90">
            <v>0.85</v>
          </cell>
          <cell r="T90">
            <v>1</v>
          </cell>
          <cell r="U90">
            <v>3.7738174209626004E-12</v>
          </cell>
          <cell r="V90">
            <v>2.5819413353737599E-12</v>
          </cell>
          <cell r="W90">
            <v>3.8726446962259297E-12</v>
          </cell>
          <cell r="X90">
            <v>7.3859179387853007E-12</v>
          </cell>
          <cell r="Y90">
            <v>6.7025422877374503E-10</v>
          </cell>
        </row>
        <row r="91">
          <cell r="A91" t="str">
            <v>01443_s</v>
          </cell>
          <cell r="B91" t="str">
            <v>Rape or colza seed, spring</v>
          </cell>
          <cell r="C91" t="str">
            <v>Oil crops</v>
          </cell>
          <cell r="D91" t="str">
            <v>No</v>
          </cell>
        </row>
        <row r="92">
          <cell r="A92" t="str">
            <v>01443_w</v>
          </cell>
          <cell r="B92" t="str">
            <v>Rape or colza seed, winter</v>
          </cell>
          <cell r="C92" t="str">
            <v>Oil crops</v>
          </cell>
          <cell r="D92" t="str">
            <v>No</v>
          </cell>
        </row>
        <row r="93">
          <cell r="A93" t="str">
            <v>01353.01</v>
          </cell>
          <cell r="B93" t="str">
            <v>Raspberries</v>
          </cell>
          <cell r="C93" t="str">
            <v>Berries</v>
          </cell>
          <cell r="D93" t="str">
            <v>No</v>
          </cell>
          <cell r="G93">
            <v>0</v>
          </cell>
          <cell r="I93">
            <v>0</v>
          </cell>
          <cell r="J93">
            <v>0</v>
          </cell>
          <cell r="K93">
            <v>300</v>
          </cell>
          <cell r="L93">
            <v>1500.0770400000001</v>
          </cell>
          <cell r="M93">
            <v>0</v>
          </cell>
          <cell r="N93">
            <v>0.14299999999999999</v>
          </cell>
          <cell r="O93">
            <v>8.0000000000000002E-3</v>
          </cell>
          <cell r="P93">
            <v>1</v>
          </cell>
          <cell r="Q93">
            <v>0.22</v>
          </cell>
          <cell r="R93">
            <v>8.9999999999999993E-3</v>
          </cell>
          <cell r="S93">
            <v>0.85</v>
          </cell>
          <cell r="T93">
            <v>1</v>
          </cell>
          <cell r="U93">
            <v>3.7738174209626004E-12</v>
          </cell>
          <cell r="V93">
            <v>2.5819413353737599E-12</v>
          </cell>
          <cell r="W93">
            <v>3.8726446962259297E-12</v>
          </cell>
          <cell r="X93">
            <v>7.3859179387853007E-12</v>
          </cell>
          <cell r="Y93">
            <v>6.7025422877374503E-10</v>
          </cell>
        </row>
        <row r="94">
          <cell r="A94" t="str">
            <v>0113</v>
          </cell>
          <cell r="B94" t="str">
            <v>Rice</v>
          </cell>
          <cell r="C94" t="str">
            <v>Cereals</v>
          </cell>
          <cell r="D94" t="str">
            <v>No</v>
          </cell>
          <cell r="G94">
            <v>95</v>
          </cell>
          <cell r="I94">
            <v>0</v>
          </cell>
          <cell r="J94">
            <v>95</v>
          </cell>
          <cell r="K94">
            <v>69</v>
          </cell>
          <cell r="L94">
            <v>13132.09276</v>
          </cell>
          <cell r="M94">
            <v>0</v>
          </cell>
          <cell r="N94">
            <v>0.14299999999999999</v>
          </cell>
          <cell r="O94">
            <v>7.0000000000000001E-3</v>
          </cell>
          <cell r="P94">
            <v>1.4</v>
          </cell>
          <cell r="Q94">
            <v>0.16</v>
          </cell>
          <cell r="R94">
            <v>8.9999999999999993E-3</v>
          </cell>
          <cell r="S94">
            <v>0.89</v>
          </cell>
          <cell r="T94">
            <v>1</v>
          </cell>
          <cell r="U94">
            <v>3.7738174209626004E-12</v>
          </cell>
          <cell r="V94">
            <v>2.5819413353737599E-12</v>
          </cell>
          <cell r="W94">
            <v>3.8726446962259297E-12</v>
          </cell>
          <cell r="X94">
            <v>7.3859179387853007E-12</v>
          </cell>
          <cell r="Y94">
            <v>6.7025422877374503E-10</v>
          </cell>
        </row>
        <row r="95">
          <cell r="A95" t="str">
            <v>0116</v>
          </cell>
          <cell r="B95" t="str">
            <v>Rye</v>
          </cell>
          <cell r="C95" t="str">
            <v>Cereals, incl feed</v>
          </cell>
          <cell r="D95" t="str">
            <v>No</v>
          </cell>
          <cell r="G95">
            <v>0</v>
          </cell>
          <cell r="I95">
            <v>0</v>
          </cell>
          <cell r="J95">
            <v>0</v>
          </cell>
          <cell r="K95">
            <v>68.7</v>
          </cell>
          <cell r="L95">
            <v>7.0697399999999995</v>
          </cell>
          <cell r="M95">
            <v>0</v>
          </cell>
          <cell r="N95">
            <v>0.22</v>
          </cell>
          <cell r="O95">
            <v>5.0000000000000001E-3</v>
          </cell>
          <cell r="P95">
            <v>1.6</v>
          </cell>
          <cell r="Q95">
            <v>0.22</v>
          </cell>
          <cell r="R95">
            <v>1.0999999999999999E-2</v>
          </cell>
          <cell r="S95">
            <v>0.88</v>
          </cell>
          <cell r="T95">
            <v>1</v>
          </cell>
          <cell r="U95">
            <v>3.7738174209626004E-12</v>
          </cell>
          <cell r="V95">
            <v>2.5819413353737599E-12</v>
          </cell>
          <cell r="W95">
            <v>3.8726446962259297E-12</v>
          </cell>
          <cell r="X95">
            <v>7.3859179387853007E-12</v>
          </cell>
          <cell r="Y95">
            <v>6.7025422877374503E-10</v>
          </cell>
        </row>
        <row r="96">
          <cell r="A96" t="str">
            <v>0114</v>
          </cell>
          <cell r="B96" t="str">
            <v>Sorghum</v>
          </cell>
          <cell r="C96" t="str">
            <v>Cereals</v>
          </cell>
          <cell r="D96" t="str">
            <v>No</v>
          </cell>
          <cell r="G96">
            <v>88</v>
          </cell>
          <cell r="I96">
            <v>0</v>
          </cell>
          <cell r="J96">
            <v>30</v>
          </cell>
          <cell r="K96">
            <v>69</v>
          </cell>
          <cell r="L96">
            <v>168.54280000000003</v>
          </cell>
          <cell r="M96">
            <v>0</v>
          </cell>
          <cell r="N96">
            <v>0.14299999999999999</v>
          </cell>
          <cell r="O96">
            <v>7.0000000000000001E-3</v>
          </cell>
          <cell r="P96">
            <v>1.4</v>
          </cell>
          <cell r="Q96">
            <v>0.22</v>
          </cell>
          <cell r="R96">
            <v>6.0000000000000001E-3</v>
          </cell>
          <cell r="S96">
            <v>0.9</v>
          </cell>
          <cell r="T96">
            <v>1</v>
          </cell>
          <cell r="U96">
            <v>3.7738174209626004E-12</v>
          </cell>
          <cell r="V96">
            <v>2.5819413353737599E-12</v>
          </cell>
          <cell r="W96">
            <v>3.8726446962259297E-12</v>
          </cell>
          <cell r="X96">
            <v>7.3859179387853007E-12</v>
          </cell>
          <cell r="Y96">
            <v>6.7025422877374503E-10</v>
          </cell>
        </row>
        <row r="97">
          <cell r="A97" t="str">
            <v>01344.01</v>
          </cell>
          <cell r="B97" t="str">
            <v>Sour cherries</v>
          </cell>
          <cell r="C97" t="str">
            <v>Fruits</v>
          </cell>
          <cell r="D97" t="str">
            <v>No</v>
          </cell>
          <cell r="G97">
            <v>0</v>
          </cell>
          <cell r="I97">
            <v>0</v>
          </cell>
          <cell r="J97">
            <v>0</v>
          </cell>
          <cell r="K97">
            <v>450</v>
          </cell>
          <cell r="L97">
            <v>965.70707999999991</v>
          </cell>
          <cell r="M97">
            <v>0</v>
          </cell>
          <cell r="N97">
            <v>0.14299999999999999</v>
          </cell>
          <cell r="O97">
            <v>8.0000000000000002E-3</v>
          </cell>
          <cell r="P97">
            <v>1</v>
          </cell>
          <cell r="Q97">
            <v>0.22</v>
          </cell>
          <cell r="R97">
            <v>8.9999999999999993E-3</v>
          </cell>
          <cell r="S97">
            <v>0.85</v>
          </cell>
          <cell r="T97">
            <v>1</v>
          </cell>
          <cell r="U97">
            <v>3.7738174209626004E-12</v>
          </cell>
          <cell r="V97">
            <v>2.5819413353737599E-12</v>
          </cell>
          <cell r="W97">
            <v>3.8726446962259297E-12</v>
          </cell>
          <cell r="X97">
            <v>7.3859179387853007E-12</v>
          </cell>
          <cell r="Y97">
            <v>6.7025422877374503E-10</v>
          </cell>
        </row>
        <row r="98">
          <cell r="A98" t="str">
            <v>0141</v>
          </cell>
          <cell r="B98" t="str">
            <v>Soya beans</v>
          </cell>
          <cell r="C98" t="str">
            <v>Pulses</v>
          </cell>
          <cell r="D98" t="str">
            <v>Yes</v>
          </cell>
          <cell r="F98">
            <v>3334.7599999999998</v>
          </cell>
          <cell r="G98">
            <v>3</v>
          </cell>
          <cell r="H98">
            <v>249</v>
          </cell>
          <cell r="I98">
            <v>64.159395139840001</v>
          </cell>
          <cell r="J98">
            <v>22</v>
          </cell>
          <cell r="K98">
            <v>63.2</v>
          </cell>
          <cell r="L98">
            <v>3.3347599999999997</v>
          </cell>
          <cell r="M98">
            <v>1.1263426282303064</v>
          </cell>
          <cell r="N98">
            <v>2.1999999999999999E-2</v>
          </cell>
          <cell r="O98">
            <v>8.0000000000000002E-3</v>
          </cell>
          <cell r="P98">
            <v>2.1</v>
          </cell>
          <cell r="Q98">
            <v>0.19</v>
          </cell>
          <cell r="R98">
            <v>8.0000000000000002E-3</v>
          </cell>
          <cell r="S98">
            <v>0.91</v>
          </cell>
          <cell r="T98">
            <v>1</v>
          </cell>
          <cell r="U98">
            <v>1.0040933916203999E-11</v>
          </cell>
          <cell r="V98">
            <v>1.5382109589240001E-11</v>
          </cell>
          <cell r="W98">
            <v>2.1977455618085499E-11</v>
          </cell>
          <cell r="X98">
            <v>1.14038353262019E-12</v>
          </cell>
          <cell r="Y98">
            <v>1.19148547693904E-10</v>
          </cell>
          <cell r="Z98">
            <v>0.80081929551722919</v>
          </cell>
        </row>
        <row r="99">
          <cell r="A99" t="str">
            <v>01215</v>
          </cell>
          <cell r="B99" t="str">
            <v>Spinach</v>
          </cell>
          <cell r="C99" t="str">
            <v>Vegetables</v>
          </cell>
          <cell r="D99" t="str">
            <v>No</v>
          </cell>
          <cell r="G99">
            <v>0</v>
          </cell>
          <cell r="I99">
            <v>0</v>
          </cell>
          <cell r="J99">
            <v>0</v>
          </cell>
          <cell r="K99">
            <v>140</v>
          </cell>
          <cell r="L99">
            <v>1389.6898399999998</v>
          </cell>
          <cell r="M99">
            <v>0</v>
          </cell>
          <cell r="N99">
            <v>0.14299999999999999</v>
          </cell>
          <cell r="O99">
            <v>8.0000000000000002E-3</v>
          </cell>
          <cell r="P99">
            <v>1</v>
          </cell>
          <cell r="Q99">
            <v>0.22</v>
          </cell>
          <cell r="R99">
            <v>8.9999999999999993E-3</v>
          </cell>
          <cell r="S99">
            <v>0.85</v>
          </cell>
          <cell r="T99">
            <v>1</v>
          </cell>
          <cell r="U99">
            <v>3.7738174209626004E-12</v>
          </cell>
          <cell r="V99">
            <v>2.5819413353737599E-12</v>
          </cell>
          <cell r="W99">
            <v>3.8726446962259297E-12</v>
          </cell>
          <cell r="X99">
            <v>7.3859179387853007E-12</v>
          </cell>
          <cell r="Y99">
            <v>6.7025422877374503E-10</v>
          </cell>
        </row>
        <row r="100">
          <cell r="A100" t="str">
            <v>01354</v>
          </cell>
          <cell r="B100" t="str">
            <v>Strawberries</v>
          </cell>
          <cell r="C100" t="str">
            <v>Fruits</v>
          </cell>
          <cell r="D100" t="str">
            <v>No</v>
          </cell>
          <cell r="G100">
            <v>0</v>
          </cell>
          <cell r="I100">
            <v>0</v>
          </cell>
          <cell r="J100">
            <v>0</v>
          </cell>
          <cell r="K100">
            <v>300</v>
          </cell>
          <cell r="L100">
            <v>13341.087579999999</v>
          </cell>
          <cell r="M100">
            <v>0</v>
          </cell>
          <cell r="N100">
            <v>0.14299999999999999</v>
          </cell>
          <cell r="O100">
            <v>8.0000000000000002E-3</v>
          </cell>
          <cell r="P100">
            <v>1</v>
          </cell>
          <cell r="Q100">
            <v>0.22</v>
          </cell>
          <cell r="R100">
            <v>8.9999999999999993E-3</v>
          </cell>
          <cell r="S100">
            <v>0.85</v>
          </cell>
          <cell r="T100">
            <v>1</v>
          </cell>
          <cell r="U100">
            <v>3.7738174209626004E-12</v>
          </cell>
          <cell r="V100">
            <v>2.5819413353737599E-12</v>
          </cell>
          <cell r="W100">
            <v>3.8726446962259297E-12</v>
          </cell>
          <cell r="X100">
            <v>7.3859179387853007E-12</v>
          </cell>
          <cell r="Y100">
            <v>6.7025422877374503E-10</v>
          </cell>
        </row>
        <row r="101">
          <cell r="A101" t="str">
            <v>01801</v>
          </cell>
          <cell r="B101" t="str">
            <v>Sugar beet</v>
          </cell>
          <cell r="C101" t="str">
            <v>Sugar crops</v>
          </cell>
          <cell r="D101" t="str">
            <v>No</v>
          </cell>
          <cell r="G101">
            <v>0</v>
          </cell>
          <cell r="I101">
            <v>0</v>
          </cell>
          <cell r="J101">
            <v>0</v>
          </cell>
          <cell r="K101">
            <v>130</v>
          </cell>
          <cell r="L101">
            <v>4876.1641600000003</v>
          </cell>
          <cell r="M101">
            <v>0</v>
          </cell>
          <cell r="N101">
            <v>7.0000000000000001E-3</v>
          </cell>
          <cell r="O101">
            <v>1.9E-2</v>
          </cell>
          <cell r="P101">
            <v>0.4</v>
          </cell>
          <cell r="Q101">
            <v>0.2</v>
          </cell>
          <cell r="R101">
            <v>1.4E-2</v>
          </cell>
          <cell r="S101">
            <v>0.22</v>
          </cell>
          <cell r="T101">
            <v>1</v>
          </cell>
          <cell r="U101">
            <v>3.7738174209626004E-12</v>
          </cell>
          <cell r="V101">
            <v>2.5819413353737599E-12</v>
          </cell>
          <cell r="W101">
            <v>3.8726446962259297E-12</v>
          </cell>
          <cell r="X101">
            <v>7.3859179387853007E-12</v>
          </cell>
          <cell r="Y101">
            <v>6.7025422877374503E-10</v>
          </cell>
        </row>
        <row r="102">
          <cell r="A102" t="str">
            <v>01802</v>
          </cell>
          <cell r="B102" t="str">
            <v>Sugar cane</v>
          </cell>
          <cell r="C102" t="str">
            <v>Sugar crops</v>
          </cell>
          <cell r="D102" t="str">
            <v>No</v>
          </cell>
          <cell r="G102">
            <v>0</v>
          </cell>
          <cell r="I102">
            <v>0</v>
          </cell>
          <cell r="J102">
            <v>0</v>
          </cell>
          <cell r="K102">
            <v>130</v>
          </cell>
          <cell r="L102">
            <v>6831.5745999999999</v>
          </cell>
          <cell r="M102">
            <v>0</v>
          </cell>
          <cell r="N102">
            <v>0.14299999999999999</v>
          </cell>
          <cell r="O102">
            <v>8.0000000000000002E-3</v>
          </cell>
          <cell r="P102">
            <v>1</v>
          </cell>
          <cell r="Q102">
            <v>0.22</v>
          </cell>
          <cell r="R102">
            <v>8.9999999999999993E-3</v>
          </cell>
          <cell r="S102">
            <v>0.85</v>
          </cell>
          <cell r="T102">
            <v>1</v>
          </cell>
          <cell r="U102">
            <v>3.7738174209626004E-12</v>
          </cell>
          <cell r="V102">
            <v>2.5819413353737599E-12</v>
          </cell>
          <cell r="W102">
            <v>3.8726446962259297E-12</v>
          </cell>
          <cell r="X102">
            <v>7.3859179387853007E-12</v>
          </cell>
          <cell r="Y102">
            <v>6.7025422877374503E-10</v>
          </cell>
        </row>
        <row r="103">
          <cell r="A103" t="str">
            <v>01445</v>
          </cell>
          <cell r="B103" t="str">
            <v>Sunflower seed</v>
          </cell>
          <cell r="C103" t="str">
            <v>Oil crops</v>
          </cell>
          <cell r="D103" t="str">
            <v>No</v>
          </cell>
          <cell r="G103">
            <v>130</v>
          </cell>
          <cell r="I103">
            <v>0</v>
          </cell>
          <cell r="J103">
            <v>80</v>
          </cell>
          <cell r="K103">
            <v>65.400000000000006</v>
          </cell>
          <cell r="L103">
            <v>718.30360000000007</v>
          </cell>
          <cell r="M103">
            <v>5.5436975513993201E-4</v>
          </cell>
          <cell r="N103">
            <v>0.14299999999999999</v>
          </cell>
          <cell r="O103">
            <v>8.0000000000000002E-3</v>
          </cell>
          <cell r="P103">
            <v>1</v>
          </cell>
          <cell r="Q103">
            <v>0.22</v>
          </cell>
          <cell r="R103">
            <v>8.9999999999999993E-3</v>
          </cell>
          <cell r="S103">
            <v>0.85</v>
          </cell>
          <cell r="T103">
            <v>1</v>
          </cell>
          <cell r="U103">
            <v>3.7738174209626004E-12</v>
          </cell>
          <cell r="V103">
            <v>2.5819413353737599E-12</v>
          </cell>
          <cell r="W103">
            <v>3.8726446962259297E-12</v>
          </cell>
          <cell r="X103">
            <v>7.3859179387853007E-12</v>
          </cell>
          <cell r="Y103">
            <v>6.7025422877374503E-10</v>
          </cell>
        </row>
        <row r="104">
          <cell r="A104" t="str">
            <v>01530</v>
          </cell>
          <cell r="B104" t="str">
            <v>Sweet potatoes</v>
          </cell>
          <cell r="C104" t="str">
            <v>Roots</v>
          </cell>
          <cell r="D104" t="str">
            <v>No</v>
          </cell>
          <cell r="G104">
            <v>125</v>
          </cell>
          <cell r="I104">
            <v>0</v>
          </cell>
          <cell r="J104">
            <v>50</v>
          </cell>
          <cell r="K104">
            <v>135.5</v>
          </cell>
          <cell r="L104">
            <v>3950.1472000000003</v>
          </cell>
          <cell r="M104">
            <v>1978.43488</v>
          </cell>
          <cell r="N104">
            <v>1.2999999999999999E-2</v>
          </cell>
          <cell r="O104">
            <v>1.9E-2</v>
          </cell>
          <cell r="P104">
            <v>0.4</v>
          </cell>
          <cell r="Q104">
            <v>0.2</v>
          </cell>
          <cell r="R104">
            <v>1.4E-2</v>
          </cell>
          <cell r="S104">
            <v>0.22</v>
          </cell>
          <cell r="T104">
            <v>1</v>
          </cell>
          <cell r="U104">
            <v>3.7738174209626004E-12</v>
          </cell>
          <cell r="V104">
            <v>2.5819413353737599E-12</v>
          </cell>
          <cell r="W104">
            <v>3.8726446962259297E-12</v>
          </cell>
          <cell r="X104">
            <v>7.3859179387853007E-12</v>
          </cell>
          <cell r="Y104">
            <v>6.7025422877374503E-10</v>
          </cell>
        </row>
        <row r="105">
          <cell r="A105" t="str">
            <v>01324</v>
          </cell>
          <cell r="B105" t="str">
            <v>Tangerines, mandarins, clementines</v>
          </cell>
          <cell r="C105" t="str">
            <v>Fruits</v>
          </cell>
          <cell r="D105" t="str">
            <v>No</v>
          </cell>
          <cell r="G105">
            <v>0</v>
          </cell>
          <cell r="I105">
            <v>0</v>
          </cell>
          <cell r="J105">
            <v>0</v>
          </cell>
          <cell r="K105">
            <v>450</v>
          </cell>
          <cell r="L105">
            <v>3109.3788000000004</v>
          </cell>
          <cell r="M105">
            <v>0</v>
          </cell>
          <cell r="N105">
            <v>0.14299999999999999</v>
          </cell>
          <cell r="O105">
            <v>8.0000000000000002E-3</v>
          </cell>
          <cell r="P105">
            <v>1</v>
          </cell>
          <cell r="Q105">
            <v>0.22</v>
          </cell>
          <cell r="R105">
            <v>8.9999999999999993E-3</v>
          </cell>
          <cell r="S105">
            <v>0.85</v>
          </cell>
          <cell r="T105">
            <v>1</v>
          </cell>
          <cell r="U105">
            <v>3.7738174209626004E-12</v>
          </cell>
          <cell r="V105">
            <v>2.5819413353737599E-12</v>
          </cell>
          <cell r="W105">
            <v>3.8726446962259297E-12</v>
          </cell>
          <cell r="X105">
            <v>7.3859179387853007E-12</v>
          </cell>
          <cell r="Y105">
            <v>6.7025422877374503E-10</v>
          </cell>
        </row>
        <row r="106">
          <cell r="A106" t="str">
            <v>01234</v>
          </cell>
          <cell r="B106" t="str">
            <v>Tomatoes, average</v>
          </cell>
          <cell r="C106" t="str">
            <v>Vegetables</v>
          </cell>
          <cell r="D106" t="str">
            <v>No</v>
          </cell>
          <cell r="E106">
            <v>100</v>
          </cell>
          <cell r="G106">
            <v>0</v>
          </cell>
          <cell r="I106">
            <v>0</v>
          </cell>
          <cell r="J106">
            <v>0</v>
          </cell>
          <cell r="K106">
            <v>0</v>
          </cell>
          <cell r="L106">
            <v>1932.5335999999998</v>
          </cell>
          <cell r="M106">
            <v>0</v>
          </cell>
          <cell r="N106">
            <v>0.14299999999999999</v>
          </cell>
          <cell r="O106">
            <v>8.0000000000000002E-3</v>
          </cell>
          <cell r="P106">
            <v>1</v>
          </cell>
          <cell r="Q106">
            <v>0.22</v>
          </cell>
          <cell r="R106">
            <v>8.9999999999999993E-3</v>
          </cell>
          <cell r="S106">
            <v>0.85</v>
          </cell>
          <cell r="T106">
            <v>1</v>
          </cell>
          <cell r="U106">
            <v>4.3152628010601102E-12</v>
          </cell>
          <cell r="V106">
            <v>2.9820702145484398E-12</v>
          </cell>
          <cell r="W106">
            <v>3.9945103972923203E-12</v>
          </cell>
          <cell r="X106">
            <v>8.5069857698406102E-12</v>
          </cell>
          <cell r="Y106">
            <v>7.80206488939318E-10</v>
          </cell>
        </row>
        <row r="107">
          <cell r="A107" t="str">
            <v>01234_gh</v>
          </cell>
          <cell r="B107" t="str">
            <v>Tomatoes, greenhouse</v>
          </cell>
          <cell r="C107" t="str">
            <v>Vegetables</v>
          </cell>
          <cell r="D107" t="str">
            <v>No</v>
          </cell>
        </row>
        <row r="108">
          <cell r="A108" t="str">
            <v>01234_of</v>
          </cell>
          <cell r="B108" t="str">
            <v>Tomatoes, openfield</v>
          </cell>
          <cell r="C108" t="str">
            <v>Vegetables</v>
          </cell>
          <cell r="D108" t="str">
            <v>No</v>
          </cell>
        </row>
        <row r="109">
          <cell r="A109" t="str">
            <v>01191</v>
          </cell>
          <cell r="B109" t="str">
            <v>Triticale</v>
          </cell>
          <cell r="C109" t="str">
            <v>Cereals</v>
          </cell>
          <cell r="D109" t="str">
            <v>No</v>
          </cell>
          <cell r="G109">
            <v>0</v>
          </cell>
          <cell r="I109">
            <v>0</v>
          </cell>
          <cell r="J109">
            <v>0</v>
          </cell>
          <cell r="K109">
            <v>66.7</v>
          </cell>
          <cell r="L109">
            <v>2178.9803200000001</v>
          </cell>
          <cell r="M109">
            <v>0</v>
          </cell>
          <cell r="N109">
            <v>0.14299999999999999</v>
          </cell>
          <cell r="O109">
            <v>8.0000000000000002E-3</v>
          </cell>
          <cell r="P109">
            <v>1</v>
          </cell>
          <cell r="Q109">
            <v>0.22</v>
          </cell>
          <cell r="R109">
            <v>8.9999999999999993E-3</v>
          </cell>
          <cell r="S109">
            <v>0.85</v>
          </cell>
          <cell r="T109">
            <v>1</v>
          </cell>
          <cell r="U109">
            <v>3.7738174209626004E-12</v>
          </cell>
          <cell r="V109">
            <v>2.5819413353737599E-12</v>
          </cell>
          <cell r="W109">
            <v>3.8726446962259297E-12</v>
          </cell>
          <cell r="X109">
            <v>7.3859179387853007E-12</v>
          </cell>
          <cell r="Y109">
            <v>6.7025422877374503E-10</v>
          </cell>
        </row>
        <row r="110">
          <cell r="A110" t="str">
            <v>01929.02</v>
          </cell>
          <cell r="B110" t="str">
            <v>True hemp, raw or retted</v>
          </cell>
          <cell r="C110" t="str">
            <v>Other</v>
          </cell>
          <cell r="D110" t="str">
            <v>No</v>
          </cell>
          <cell r="G110">
            <v>88</v>
          </cell>
          <cell r="I110">
            <v>0</v>
          </cell>
          <cell r="J110">
            <v>30</v>
          </cell>
          <cell r="K110">
            <v>69</v>
          </cell>
          <cell r="L110">
            <v>2930.3023200000002</v>
          </cell>
          <cell r="M110">
            <v>0</v>
          </cell>
          <cell r="N110">
            <v>0.14299999999999999</v>
          </cell>
          <cell r="O110">
            <v>8.0000000000000002E-3</v>
          </cell>
          <cell r="P110">
            <v>1</v>
          </cell>
          <cell r="Q110">
            <v>0.22</v>
          </cell>
          <cell r="R110">
            <v>8.9999999999999993E-3</v>
          </cell>
          <cell r="S110">
            <v>0.85</v>
          </cell>
          <cell r="T110">
            <v>1</v>
          </cell>
          <cell r="U110">
            <v>3.7738174209626004E-12</v>
          </cell>
          <cell r="V110">
            <v>2.5819413353737599E-12</v>
          </cell>
          <cell r="W110">
            <v>3.8726446962259297E-12</v>
          </cell>
          <cell r="X110">
            <v>7.3859179387853007E-12</v>
          </cell>
          <cell r="Y110">
            <v>6.7025422877374503E-10</v>
          </cell>
        </row>
        <row r="111">
          <cell r="A111" t="str">
            <v>01709.01</v>
          </cell>
          <cell r="B111" t="str">
            <v>Vetches</v>
          </cell>
          <cell r="C111" t="str">
            <v>Other</v>
          </cell>
          <cell r="D111" t="str">
            <v>No</v>
          </cell>
          <cell r="G111">
            <v>0</v>
          </cell>
          <cell r="I111">
            <v>0</v>
          </cell>
          <cell r="J111">
            <v>0</v>
          </cell>
          <cell r="K111">
            <v>63.2</v>
          </cell>
          <cell r="L111">
            <v>81.324100000000001</v>
          </cell>
          <cell r="M111">
            <v>0</v>
          </cell>
          <cell r="N111">
            <v>2.1999999999999999E-2</v>
          </cell>
          <cell r="O111">
            <v>8.0000000000000002E-3</v>
          </cell>
          <cell r="P111">
            <v>2.1</v>
          </cell>
          <cell r="Q111">
            <v>0.19</v>
          </cell>
          <cell r="R111">
            <v>8.0000000000000002E-3</v>
          </cell>
          <cell r="S111">
            <v>0.91</v>
          </cell>
          <cell r="T111">
            <v>1</v>
          </cell>
          <cell r="U111">
            <v>3.7738174209626004E-12</v>
          </cell>
          <cell r="V111">
            <v>2.5819413353737599E-12</v>
          </cell>
          <cell r="W111">
            <v>3.8726446962259297E-12</v>
          </cell>
          <cell r="X111">
            <v>7.3859179387853007E-12</v>
          </cell>
          <cell r="Y111">
            <v>6.7025422877374503E-10</v>
          </cell>
        </row>
        <row r="112">
          <cell r="A112" t="str">
            <v>01376</v>
          </cell>
          <cell r="B112" t="str">
            <v>Walnuts, in shell</v>
          </cell>
          <cell r="C112" t="str">
            <v>Nuts</v>
          </cell>
          <cell r="D112" t="str">
            <v>No</v>
          </cell>
          <cell r="G112">
            <v>0</v>
          </cell>
          <cell r="I112">
            <v>0</v>
          </cell>
          <cell r="J112">
            <v>0</v>
          </cell>
          <cell r="K112">
            <v>450</v>
          </cell>
          <cell r="L112">
            <v>1578.56268</v>
          </cell>
          <cell r="M112">
            <v>0</v>
          </cell>
          <cell r="N112">
            <v>0.14299999999999999</v>
          </cell>
          <cell r="O112">
            <v>1.6E-2</v>
          </cell>
          <cell r="P112">
            <v>1</v>
          </cell>
          <cell r="Q112">
            <v>0.22</v>
          </cell>
          <cell r="R112">
            <v>8.9999999999999993E-3</v>
          </cell>
          <cell r="S112">
            <v>0.85</v>
          </cell>
          <cell r="T112">
            <v>1</v>
          </cell>
          <cell r="U112">
            <v>3.7738174209626004E-12</v>
          </cell>
          <cell r="V112">
            <v>2.5819413353737599E-12</v>
          </cell>
          <cell r="W112">
            <v>3.8726446962259297E-12</v>
          </cell>
          <cell r="X112">
            <v>7.3859179387853007E-12</v>
          </cell>
          <cell r="Y112">
            <v>6.7025422877374503E-10</v>
          </cell>
        </row>
        <row r="113">
          <cell r="A113" t="str">
            <v>01221</v>
          </cell>
          <cell r="B113" t="str">
            <v>Watermelons</v>
          </cell>
          <cell r="C113" t="str">
            <v>Fruits</v>
          </cell>
          <cell r="D113" t="str">
            <v>Yes</v>
          </cell>
          <cell r="F113">
            <v>22626.44</v>
          </cell>
          <cell r="G113">
            <v>91.268357834349217</v>
          </cell>
          <cell r="I113">
            <v>208.01843878399995</v>
          </cell>
          <cell r="J113">
            <v>33.127033584319349</v>
          </cell>
          <cell r="K113">
            <v>450</v>
          </cell>
          <cell r="L113">
            <v>746.67251999999985</v>
          </cell>
          <cell r="M113">
            <v>7.2359214327861601</v>
          </cell>
          <cell r="N113">
            <v>0.14299999999999999</v>
          </cell>
          <cell r="O113">
            <v>8.0000000000000002E-3</v>
          </cell>
          <cell r="P113">
            <v>1</v>
          </cell>
          <cell r="Q113">
            <v>0.22</v>
          </cell>
          <cell r="R113">
            <v>8.9999999999999993E-3</v>
          </cell>
          <cell r="S113">
            <v>0.85</v>
          </cell>
          <cell r="T113">
            <v>1</v>
          </cell>
          <cell r="U113">
            <v>9.9999999999999994E-12</v>
          </cell>
          <cell r="V113">
            <v>1.56E-11</v>
          </cell>
          <cell r="W113">
            <v>2.2200000000000002E-11</v>
          </cell>
          <cell r="X113">
            <v>1.33E-12</v>
          </cell>
          <cell r="Y113">
            <v>1.4399999999999999E-10</v>
          </cell>
          <cell r="Z113">
            <v>0.16039547871764137</v>
          </cell>
        </row>
        <row r="114">
          <cell r="A114" t="str">
            <v>01221_gh</v>
          </cell>
          <cell r="B114" t="str">
            <v>Watermelons, greenhouse</v>
          </cell>
          <cell r="C114" t="str">
            <v>Fruits</v>
          </cell>
          <cell r="D114" t="str">
            <v>No</v>
          </cell>
        </row>
        <row r="115">
          <cell r="A115" t="str">
            <v>01221_of</v>
          </cell>
          <cell r="B115" t="str">
            <v>Watermelons, openfield</v>
          </cell>
          <cell r="C115" t="str">
            <v>Fruits</v>
          </cell>
          <cell r="D115" t="str">
            <v>No</v>
          </cell>
        </row>
        <row r="116">
          <cell r="A116" t="str">
            <v>0111</v>
          </cell>
          <cell r="B116" t="str">
            <v>Wheat, average</v>
          </cell>
          <cell r="C116" t="str">
            <v>Cereals, incl feed</v>
          </cell>
          <cell r="D116" t="str">
            <v>No</v>
          </cell>
          <cell r="G116">
            <v>0</v>
          </cell>
          <cell r="I116">
            <v>0</v>
          </cell>
          <cell r="J116">
            <v>0</v>
          </cell>
          <cell r="K116">
            <v>71</v>
          </cell>
          <cell r="L116">
            <v>128.03327999999999</v>
          </cell>
          <cell r="M116">
            <v>0</v>
          </cell>
          <cell r="N116">
            <v>0.11799999999999999</v>
          </cell>
          <cell r="O116">
            <v>6.0000000000000001E-3</v>
          </cell>
          <cell r="P116">
            <v>1.3</v>
          </cell>
          <cell r="Q116">
            <v>0.24</v>
          </cell>
          <cell r="R116">
            <v>8.9999999999999993E-3</v>
          </cell>
          <cell r="S116">
            <v>0.89</v>
          </cell>
          <cell r="T116">
            <v>1</v>
          </cell>
          <cell r="U116">
            <v>3.7738174209626004E-12</v>
          </cell>
          <cell r="V116">
            <v>2.5819413353737599E-12</v>
          </cell>
          <cell r="W116">
            <v>3.8726446962259297E-12</v>
          </cell>
          <cell r="X116">
            <v>7.3859179387853007E-12</v>
          </cell>
          <cell r="Y116">
            <v>6.7025422877374503E-10</v>
          </cell>
        </row>
        <row r="117">
          <cell r="A117" t="str">
            <v>0111_s</v>
          </cell>
          <cell r="B117" t="str">
            <v>Wheat, spring</v>
          </cell>
          <cell r="C117" t="str">
            <v>Cereals</v>
          </cell>
          <cell r="D117" t="str">
            <v>No</v>
          </cell>
        </row>
        <row r="118">
          <cell r="A118" t="str">
            <v>0111_w</v>
          </cell>
          <cell r="B118" t="str">
            <v>Wheat, winter</v>
          </cell>
          <cell r="C118" t="str">
            <v>Cereals</v>
          </cell>
          <cell r="D118" t="str">
            <v>No</v>
          </cell>
        </row>
      </sheetData>
      <sheetData sheetId="3" refreshError="1"/>
      <sheetData sheetId="4" refreshError="1">
        <row r="6">
          <cell r="A6" t="str">
            <v>01371</v>
          </cell>
          <cell r="E6"/>
          <cell r="F6"/>
          <cell r="G6"/>
          <cell r="H6"/>
          <cell r="J6"/>
          <cell r="L6"/>
          <cell r="M6"/>
          <cell r="N6"/>
        </row>
        <row r="7">
          <cell r="A7" t="str">
            <v>01654</v>
          </cell>
          <cell r="E7"/>
          <cell r="F7"/>
          <cell r="G7"/>
          <cell r="H7"/>
          <cell r="J7"/>
          <cell r="L7"/>
          <cell r="M7"/>
          <cell r="N7"/>
        </row>
        <row r="8">
          <cell r="A8" t="str">
            <v>01341</v>
          </cell>
          <cell r="E8"/>
          <cell r="F8"/>
          <cell r="G8"/>
          <cell r="H8"/>
          <cell r="J8"/>
          <cell r="L8"/>
          <cell r="M8"/>
          <cell r="N8"/>
        </row>
        <row r="9">
          <cell r="A9" t="str">
            <v>01343</v>
          </cell>
          <cell r="E9"/>
          <cell r="F9"/>
          <cell r="G9"/>
          <cell r="H9"/>
          <cell r="J9"/>
          <cell r="L9"/>
          <cell r="M9"/>
          <cell r="N9"/>
        </row>
        <row r="10">
          <cell r="A10" t="str">
            <v>01216</v>
          </cell>
          <cell r="E10"/>
          <cell r="F10"/>
          <cell r="G10"/>
          <cell r="H10"/>
          <cell r="J10"/>
          <cell r="L10"/>
          <cell r="M10"/>
          <cell r="N10"/>
        </row>
        <row r="11">
          <cell r="A11" t="str">
            <v>01211</v>
          </cell>
          <cell r="E11"/>
          <cell r="F11"/>
          <cell r="G11"/>
          <cell r="H11"/>
          <cell r="J11"/>
          <cell r="L11"/>
          <cell r="M11"/>
          <cell r="N11"/>
        </row>
        <row r="12">
          <cell r="A12" t="str">
            <v>01311</v>
          </cell>
          <cell r="E12"/>
          <cell r="F12"/>
          <cell r="G12"/>
          <cell r="H12"/>
          <cell r="J12"/>
          <cell r="L12"/>
          <cell r="M12"/>
          <cell r="N12"/>
        </row>
        <row r="13">
          <cell r="A13" t="str">
            <v>01312</v>
          </cell>
          <cell r="E13"/>
          <cell r="F13"/>
          <cell r="G13"/>
          <cell r="H13"/>
          <cell r="J13"/>
          <cell r="L13"/>
          <cell r="M13"/>
          <cell r="N13"/>
        </row>
        <row r="14">
          <cell r="A14" t="str">
            <v>0115</v>
          </cell>
          <cell r="E14"/>
          <cell r="F14"/>
          <cell r="G14"/>
          <cell r="H14"/>
          <cell r="J14"/>
          <cell r="L14"/>
          <cell r="M14"/>
          <cell r="N14"/>
        </row>
        <row r="15">
          <cell r="A15" t="str">
            <v>0115_s</v>
          </cell>
          <cell r="E15"/>
          <cell r="F15"/>
          <cell r="G15"/>
          <cell r="H15"/>
          <cell r="J15"/>
          <cell r="L15"/>
          <cell r="M15"/>
          <cell r="N15"/>
        </row>
        <row r="16">
          <cell r="A16" t="str">
            <v>0115_w</v>
          </cell>
          <cell r="E16"/>
          <cell r="F16"/>
          <cell r="G16"/>
          <cell r="H16"/>
          <cell r="J16"/>
          <cell r="L16"/>
          <cell r="M16"/>
          <cell r="N16"/>
        </row>
        <row r="17">
          <cell r="A17" t="str">
            <v>01701</v>
          </cell>
          <cell r="E17"/>
          <cell r="F17"/>
          <cell r="G17"/>
          <cell r="H17"/>
          <cell r="J17"/>
          <cell r="L17"/>
          <cell r="M17"/>
          <cell r="N17"/>
        </row>
        <row r="18">
          <cell r="A18" t="str">
            <v>01355.01</v>
          </cell>
          <cell r="E18"/>
          <cell r="F18"/>
          <cell r="G18"/>
          <cell r="H18"/>
          <cell r="J18"/>
          <cell r="L18"/>
          <cell r="M18"/>
          <cell r="N18"/>
        </row>
        <row r="19">
          <cell r="A19" t="str">
            <v>01377</v>
          </cell>
          <cell r="E19"/>
          <cell r="F19"/>
          <cell r="G19"/>
          <cell r="H19"/>
          <cell r="J19"/>
          <cell r="L19"/>
          <cell r="M19"/>
          <cell r="N19"/>
        </row>
        <row r="20">
          <cell r="A20" t="str">
            <v>01702</v>
          </cell>
          <cell r="E20"/>
          <cell r="F20"/>
          <cell r="G20"/>
          <cell r="H20"/>
          <cell r="J20"/>
          <cell r="L20"/>
          <cell r="M20"/>
          <cell r="N20"/>
        </row>
        <row r="21">
          <cell r="A21" t="str">
            <v>01243</v>
          </cell>
          <cell r="E21"/>
          <cell r="F21"/>
          <cell r="G21"/>
          <cell r="H21"/>
          <cell r="J21"/>
          <cell r="L21"/>
          <cell r="M21"/>
          <cell r="N21"/>
        </row>
        <row r="22">
          <cell r="A22" t="str">
            <v>01213_b</v>
          </cell>
          <cell r="E22"/>
          <cell r="F22"/>
          <cell r="G22"/>
          <cell r="H22"/>
          <cell r="J22"/>
          <cell r="L22"/>
          <cell r="M22"/>
          <cell r="N22"/>
        </row>
        <row r="23">
          <cell r="A23" t="str">
            <v>01192</v>
          </cell>
          <cell r="E23"/>
          <cell r="F23"/>
          <cell r="G23"/>
          <cell r="H23"/>
          <cell r="J23"/>
          <cell r="L23"/>
          <cell r="M23"/>
          <cell r="N23"/>
        </row>
        <row r="24">
          <cell r="A24" t="str">
            <v>01212</v>
          </cell>
          <cell r="E24"/>
          <cell r="F24"/>
          <cell r="G24"/>
          <cell r="H24"/>
          <cell r="J24"/>
          <cell r="L24"/>
          <cell r="M24"/>
          <cell r="N24"/>
        </row>
        <row r="25">
          <cell r="A25" t="str">
            <v>01229</v>
          </cell>
          <cell r="E25">
            <v>0.13508846060406662</v>
          </cell>
          <cell r="F25">
            <v>2.2669368498924671E-2</v>
          </cell>
          <cell r="G25">
            <v>2.7E-2</v>
          </cell>
          <cell r="H25">
            <v>0</v>
          </cell>
          <cell r="J25">
            <v>4.779138861246849E-2</v>
          </cell>
          <cell r="L25">
            <v>2.4759290005325705E-3</v>
          </cell>
          <cell r="M25">
            <v>1.6455890000000001E-2</v>
          </cell>
          <cell r="N25">
            <v>1.869588449214089E-2</v>
          </cell>
        </row>
        <row r="26">
          <cell r="A26" t="str">
            <v>01251</v>
          </cell>
          <cell r="E26"/>
          <cell r="F26"/>
          <cell r="G26"/>
          <cell r="H26"/>
          <cell r="J26"/>
          <cell r="L26"/>
          <cell r="M26"/>
          <cell r="N26"/>
        </row>
        <row r="27">
          <cell r="A27" t="str">
            <v>01372</v>
          </cell>
          <cell r="E27"/>
          <cell r="F27"/>
          <cell r="G27"/>
          <cell r="H27"/>
          <cell r="J27"/>
          <cell r="L27"/>
          <cell r="M27"/>
          <cell r="N27"/>
        </row>
        <row r="28">
          <cell r="A28" t="str">
            <v>01213_cf</v>
          </cell>
          <cell r="E28"/>
          <cell r="F28"/>
          <cell r="G28"/>
          <cell r="H28"/>
          <cell r="J28"/>
          <cell r="L28"/>
          <cell r="M28"/>
          <cell r="N28"/>
        </row>
        <row r="29">
          <cell r="A29" t="str">
            <v>01213</v>
          </cell>
          <cell r="E29"/>
          <cell r="F29"/>
          <cell r="G29"/>
          <cell r="H29"/>
          <cell r="J29"/>
          <cell r="L29"/>
          <cell r="M29"/>
          <cell r="N29"/>
        </row>
        <row r="30">
          <cell r="A30" t="str">
            <v>01199.90</v>
          </cell>
          <cell r="E30"/>
          <cell r="F30"/>
          <cell r="G30"/>
          <cell r="H30"/>
          <cell r="J30"/>
          <cell r="L30"/>
          <cell r="M30"/>
          <cell r="N30"/>
        </row>
        <row r="31">
          <cell r="A31" t="str">
            <v>01344.02</v>
          </cell>
          <cell r="E31"/>
          <cell r="F31"/>
          <cell r="G31"/>
          <cell r="H31"/>
          <cell r="J31"/>
          <cell r="L31"/>
          <cell r="M31"/>
          <cell r="N31"/>
        </row>
        <row r="32">
          <cell r="A32" t="str">
            <v>01373</v>
          </cell>
          <cell r="E32"/>
          <cell r="F32"/>
          <cell r="G32"/>
          <cell r="H32"/>
          <cell r="J32"/>
          <cell r="L32"/>
          <cell r="M32"/>
          <cell r="N32"/>
        </row>
        <row r="33">
          <cell r="A33" t="str">
            <v>01703</v>
          </cell>
          <cell r="E33"/>
          <cell r="F33"/>
          <cell r="G33"/>
          <cell r="H33"/>
          <cell r="J33"/>
          <cell r="L33"/>
          <cell r="M33"/>
          <cell r="N33"/>
        </row>
        <row r="34">
          <cell r="A34" t="str">
            <v>01231</v>
          </cell>
          <cell r="E34"/>
          <cell r="F34"/>
          <cell r="G34"/>
          <cell r="H34"/>
          <cell r="J34"/>
          <cell r="L34"/>
          <cell r="M34"/>
          <cell r="N34"/>
        </row>
        <row r="35">
          <cell r="A35" t="str">
            <v>01640</v>
          </cell>
          <cell r="E35"/>
          <cell r="F35"/>
          <cell r="G35"/>
          <cell r="H35"/>
          <cell r="J35"/>
          <cell r="L35"/>
          <cell r="M35"/>
          <cell r="N35"/>
        </row>
        <row r="36">
          <cell r="A36" t="str">
            <v>01460</v>
          </cell>
          <cell r="E36"/>
          <cell r="F36"/>
          <cell r="G36"/>
          <cell r="H36"/>
          <cell r="J36"/>
          <cell r="L36"/>
          <cell r="M36"/>
          <cell r="N36"/>
        </row>
        <row r="37">
          <cell r="A37" t="str">
            <v>01610</v>
          </cell>
          <cell r="E37">
            <v>0.65729552993902196</v>
          </cell>
          <cell r="F37">
            <v>0.19596946641474355</v>
          </cell>
          <cell r="G37">
            <v>2.7E-2</v>
          </cell>
          <cell r="H37">
            <v>0</v>
          </cell>
          <cell r="J37">
            <v>0.21689919532500057</v>
          </cell>
          <cell r="L37">
            <v>1.3580095427163494E-2</v>
          </cell>
          <cell r="M37">
            <v>0</v>
          </cell>
          <cell r="N37">
            <v>0.20384677277211433</v>
          </cell>
        </row>
        <row r="38">
          <cell r="A38" t="str">
            <v>01232</v>
          </cell>
          <cell r="E38"/>
          <cell r="F38"/>
          <cell r="G38"/>
          <cell r="H38"/>
          <cell r="J38"/>
          <cell r="K38" t="e">
            <v>#DIV/0!</v>
          </cell>
          <cell r="L38"/>
          <cell r="M38"/>
          <cell r="N38"/>
        </row>
        <row r="39">
          <cell r="A39" t="str">
            <v>01232_gh</v>
          </cell>
          <cell r="E39"/>
          <cell r="F39"/>
          <cell r="G39"/>
          <cell r="H39"/>
          <cell r="K39" t="e">
            <v>#DIV/0!</v>
          </cell>
          <cell r="L39"/>
          <cell r="M39"/>
          <cell r="N39"/>
        </row>
        <row r="40">
          <cell r="A40" t="str">
            <v>01232_of</v>
          </cell>
          <cell r="E40"/>
          <cell r="F40"/>
          <cell r="G40"/>
          <cell r="H40"/>
          <cell r="J40"/>
          <cell r="L40"/>
          <cell r="M40"/>
          <cell r="N40"/>
        </row>
        <row r="41">
          <cell r="A41" t="str">
            <v>01351.01</v>
          </cell>
          <cell r="E41"/>
          <cell r="F41"/>
          <cell r="G41"/>
          <cell r="H41"/>
          <cell r="J41"/>
          <cell r="L41"/>
          <cell r="M41"/>
          <cell r="N41"/>
        </row>
        <row r="42">
          <cell r="A42" t="str">
            <v>01314</v>
          </cell>
          <cell r="E42"/>
          <cell r="F42"/>
          <cell r="G42"/>
          <cell r="H42"/>
          <cell r="J42"/>
          <cell r="L42"/>
          <cell r="M42"/>
          <cell r="N42"/>
        </row>
        <row r="43">
          <cell r="A43" t="str">
            <v>01599.10</v>
          </cell>
          <cell r="E43"/>
          <cell r="F43"/>
          <cell r="G43"/>
          <cell r="H43"/>
          <cell r="J43"/>
          <cell r="L43"/>
          <cell r="M43"/>
          <cell r="N43"/>
        </row>
        <row r="44">
          <cell r="A44" t="str">
            <v>01233</v>
          </cell>
          <cell r="E44"/>
          <cell r="F44"/>
          <cell r="G44"/>
          <cell r="H44"/>
          <cell r="J44"/>
          <cell r="L44"/>
          <cell r="M44"/>
          <cell r="N44"/>
        </row>
        <row r="45">
          <cell r="A45" t="str">
            <v>01315</v>
          </cell>
          <cell r="E45"/>
          <cell r="F45"/>
          <cell r="G45"/>
          <cell r="H45"/>
          <cell r="J45"/>
          <cell r="L45"/>
          <cell r="M45"/>
          <cell r="N45"/>
        </row>
        <row r="46">
          <cell r="A46" t="str">
            <v>01351.02</v>
          </cell>
          <cell r="E46"/>
          <cell r="F46"/>
          <cell r="G46"/>
          <cell r="H46"/>
          <cell r="J46"/>
          <cell r="L46"/>
          <cell r="M46"/>
          <cell r="N46"/>
        </row>
        <row r="47">
          <cell r="A47" t="str">
            <v>01330</v>
          </cell>
          <cell r="E47"/>
          <cell r="F47"/>
          <cell r="G47"/>
          <cell r="H47"/>
          <cell r="J47"/>
          <cell r="L47"/>
          <cell r="M47"/>
          <cell r="N47"/>
        </row>
        <row r="48">
          <cell r="A48" t="str">
            <v>01290.01</v>
          </cell>
          <cell r="E48"/>
          <cell r="F48"/>
          <cell r="G48"/>
          <cell r="H48"/>
          <cell r="J48"/>
          <cell r="L48"/>
          <cell r="M48"/>
          <cell r="N48"/>
        </row>
        <row r="49">
          <cell r="A49" t="str">
            <v>01252</v>
          </cell>
          <cell r="E49"/>
          <cell r="F49"/>
          <cell r="G49"/>
          <cell r="H49"/>
          <cell r="J49"/>
          <cell r="L49"/>
          <cell r="M49"/>
          <cell r="N49"/>
        </row>
        <row r="50">
          <cell r="A50" t="str">
            <v>0142</v>
          </cell>
          <cell r="E50"/>
          <cell r="F50"/>
          <cell r="G50"/>
          <cell r="H50"/>
          <cell r="J50"/>
          <cell r="L50"/>
          <cell r="M50"/>
          <cell r="N50"/>
        </row>
        <row r="51">
          <cell r="A51" t="str">
            <v>01374</v>
          </cell>
          <cell r="E51"/>
          <cell r="F51"/>
          <cell r="G51"/>
          <cell r="H51"/>
          <cell r="J51"/>
          <cell r="L51"/>
          <cell r="M51"/>
          <cell r="N51"/>
        </row>
        <row r="52">
          <cell r="A52" t="str">
            <v>01352</v>
          </cell>
          <cell r="E52"/>
          <cell r="F52"/>
          <cell r="G52"/>
          <cell r="H52"/>
          <cell r="J52"/>
          <cell r="L52"/>
          <cell r="M52"/>
          <cell r="N52"/>
        </row>
        <row r="53">
          <cell r="A53" t="str">
            <v>01254</v>
          </cell>
          <cell r="E53"/>
          <cell r="F53"/>
          <cell r="G53"/>
          <cell r="H53"/>
          <cell r="J53"/>
          <cell r="L53"/>
          <cell r="M53"/>
          <cell r="N53"/>
        </row>
        <row r="54">
          <cell r="A54" t="str">
            <v>01322</v>
          </cell>
          <cell r="E54"/>
          <cell r="F54"/>
          <cell r="G54"/>
          <cell r="H54"/>
          <cell r="J54"/>
          <cell r="L54"/>
          <cell r="M54"/>
          <cell r="N54"/>
        </row>
        <row r="55">
          <cell r="A55" t="str">
            <v>01704</v>
          </cell>
          <cell r="E55"/>
          <cell r="F55"/>
          <cell r="G55"/>
          <cell r="H55"/>
          <cell r="J55"/>
          <cell r="L55"/>
          <cell r="M55"/>
          <cell r="N55"/>
        </row>
        <row r="56">
          <cell r="A56" t="str">
            <v>01214</v>
          </cell>
          <cell r="E56"/>
          <cell r="F56"/>
          <cell r="G56"/>
          <cell r="H56"/>
          <cell r="J56"/>
          <cell r="L56"/>
          <cell r="M56"/>
          <cell r="N56"/>
        </row>
        <row r="57">
          <cell r="A57" t="str">
            <v>01441</v>
          </cell>
          <cell r="E57"/>
          <cell r="F57"/>
          <cell r="G57"/>
          <cell r="H57"/>
          <cell r="J57"/>
          <cell r="L57"/>
          <cell r="M57"/>
          <cell r="N57"/>
        </row>
        <row r="58">
          <cell r="A58" t="str">
            <v>01709.02</v>
          </cell>
          <cell r="E58"/>
          <cell r="F58"/>
          <cell r="G58"/>
          <cell r="H58"/>
          <cell r="J58"/>
          <cell r="L58"/>
          <cell r="M58"/>
          <cell r="N58"/>
        </row>
        <row r="59">
          <cell r="A59" t="str">
            <v>0112</v>
          </cell>
          <cell r="E59"/>
          <cell r="F59"/>
          <cell r="G59"/>
          <cell r="H59"/>
          <cell r="J59"/>
          <cell r="L59"/>
          <cell r="M59"/>
          <cell r="N59"/>
        </row>
        <row r="60">
          <cell r="A60" t="str">
            <v>01316</v>
          </cell>
          <cell r="E60">
            <v>0.1518539979142936</v>
          </cell>
          <cell r="F60">
            <v>4.50875346395136E-2</v>
          </cell>
          <cell r="G60">
            <v>2.7E-2</v>
          </cell>
          <cell r="H60">
            <v>0</v>
          </cell>
          <cell r="J60">
            <v>5.6460672416464401E-2</v>
          </cell>
          <cell r="L60">
            <v>2.4759290005325705E-3</v>
          </cell>
          <cell r="M60">
            <v>1.6455890000000001E-2</v>
          </cell>
          <cell r="N60">
            <v>4.3739718577830485E-3</v>
          </cell>
        </row>
        <row r="61">
          <cell r="A61" t="str">
            <v>0118</v>
          </cell>
          <cell r="E61"/>
          <cell r="F61"/>
          <cell r="G61"/>
          <cell r="H61"/>
          <cell r="J61"/>
          <cell r="L61"/>
          <cell r="M61"/>
          <cell r="N61"/>
        </row>
        <row r="62">
          <cell r="A62" t="str">
            <v>01199.02</v>
          </cell>
          <cell r="E62"/>
          <cell r="F62"/>
          <cell r="G62"/>
          <cell r="H62"/>
          <cell r="J62"/>
          <cell r="L62"/>
          <cell r="M62"/>
          <cell r="N62"/>
        </row>
        <row r="63">
          <cell r="A63" t="str">
            <v>01270</v>
          </cell>
          <cell r="E63"/>
          <cell r="F63"/>
          <cell r="G63"/>
          <cell r="H63"/>
          <cell r="J63"/>
          <cell r="L63"/>
          <cell r="M63"/>
          <cell r="N63"/>
        </row>
        <row r="64">
          <cell r="A64" t="str">
            <v>0117</v>
          </cell>
          <cell r="E64"/>
          <cell r="F64"/>
          <cell r="G64"/>
          <cell r="H64"/>
          <cell r="J64"/>
          <cell r="L64"/>
          <cell r="M64"/>
          <cell r="N64"/>
        </row>
        <row r="65">
          <cell r="A65" t="str">
            <v>01491.01</v>
          </cell>
          <cell r="E65"/>
          <cell r="F65"/>
          <cell r="G65"/>
          <cell r="H65"/>
          <cell r="J65"/>
          <cell r="L65"/>
          <cell r="M65"/>
          <cell r="N65"/>
        </row>
        <row r="66">
          <cell r="A66" t="str">
            <v>01450</v>
          </cell>
          <cell r="E66"/>
          <cell r="F66"/>
          <cell r="G66"/>
          <cell r="H66"/>
          <cell r="J66"/>
          <cell r="L66"/>
          <cell r="M66"/>
          <cell r="N66"/>
        </row>
        <row r="67">
          <cell r="A67" t="str">
            <v>01253.02</v>
          </cell>
          <cell r="E67"/>
          <cell r="F67"/>
          <cell r="G67"/>
          <cell r="H67"/>
          <cell r="J67"/>
          <cell r="L67"/>
          <cell r="M67"/>
          <cell r="N67"/>
        </row>
        <row r="68">
          <cell r="A68" t="str">
            <v>01323</v>
          </cell>
          <cell r="E68">
            <v>0.13816027092574315</v>
          </cell>
          <cell r="F68">
            <v>4.50875346395136E-2</v>
          </cell>
          <cell r="G68">
            <v>2.7E-2</v>
          </cell>
          <cell r="H68">
            <v>0</v>
          </cell>
          <cell r="J68">
            <v>4.2219802117848787E-2</v>
          </cell>
          <cell r="L68">
            <v>1.5005630306258002E-4</v>
          </cell>
          <cell r="M68">
            <v>1.6455890000000001E-2</v>
          </cell>
          <cell r="N68">
            <v>7.2469878653181486E-3</v>
          </cell>
        </row>
        <row r="69">
          <cell r="A69" t="str">
            <v>01241.90</v>
          </cell>
          <cell r="E69"/>
          <cell r="F69"/>
          <cell r="G69"/>
          <cell r="H69"/>
          <cell r="J69"/>
          <cell r="L69"/>
          <cell r="M69"/>
          <cell r="N69"/>
        </row>
        <row r="70">
          <cell r="A70" t="str">
            <v>01359.90</v>
          </cell>
          <cell r="E70"/>
          <cell r="F70"/>
          <cell r="G70"/>
          <cell r="H70"/>
          <cell r="J70"/>
          <cell r="L70"/>
          <cell r="M70"/>
          <cell r="N70"/>
        </row>
        <row r="71">
          <cell r="A71" t="str">
            <v>01449.90</v>
          </cell>
          <cell r="E71"/>
          <cell r="F71"/>
          <cell r="G71"/>
          <cell r="H71"/>
          <cell r="J71"/>
          <cell r="L71"/>
          <cell r="M71"/>
          <cell r="N71"/>
        </row>
        <row r="72">
          <cell r="A72" t="str">
            <v>01709.90</v>
          </cell>
          <cell r="E72"/>
          <cell r="F72"/>
          <cell r="G72"/>
          <cell r="H72"/>
          <cell r="J72"/>
          <cell r="L72"/>
          <cell r="M72"/>
          <cell r="N72"/>
        </row>
        <row r="73">
          <cell r="A73" t="str">
            <v>01699</v>
          </cell>
          <cell r="E73"/>
          <cell r="F73"/>
          <cell r="G73"/>
          <cell r="H73"/>
          <cell r="J73"/>
          <cell r="L73"/>
          <cell r="M73"/>
          <cell r="N73"/>
        </row>
        <row r="74">
          <cell r="A74" t="str">
            <v>01290.90</v>
          </cell>
          <cell r="E74"/>
          <cell r="F74"/>
          <cell r="G74"/>
          <cell r="H74"/>
          <cell r="J74"/>
          <cell r="L74"/>
          <cell r="M74"/>
          <cell r="N74"/>
        </row>
        <row r="75">
          <cell r="A75" t="str">
            <v>01317</v>
          </cell>
          <cell r="E75">
            <v>0.13011409016349765</v>
          </cell>
          <cell r="F75">
            <v>4.5087534639513593E-2</v>
          </cell>
          <cell r="G75">
            <v>2.7E-2</v>
          </cell>
          <cell r="H75">
            <v>0</v>
          </cell>
          <cell r="J75">
            <v>2.8934416565893573E-2</v>
          </cell>
          <cell r="L75">
            <v>2.4759290005325705E-3</v>
          </cell>
          <cell r="M75">
            <v>1.6455890000000001E-2</v>
          </cell>
          <cell r="N75">
            <v>1.0160319957557904E-2</v>
          </cell>
        </row>
        <row r="76">
          <cell r="A76" t="str">
            <v>01345</v>
          </cell>
          <cell r="E76"/>
          <cell r="F76"/>
          <cell r="G76"/>
          <cell r="H76"/>
          <cell r="J76"/>
          <cell r="L76"/>
          <cell r="M76"/>
          <cell r="N76"/>
        </row>
        <row r="77">
          <cell r="A77" t="str">
            <v>01342.01</v>
          </cell>
          <cell r="E77"/>
          <cell r="F77"/>
          <cell r="G77"/>
          <cell r="H77"/>
          <cell r="J77"/>
          <cell r="L77"/>
          <cell r="M77"/>
          <cell r="N77"/>
        </row>
        <row r="78">
          <cell r="A78" t="str">
            <v>01705</v>
          </cell>
          <cell r="E78"/>
          <cell r="F78"/>
          <cell r="G78"/>
          <cell r="H78"/>
          <cell r="J78"/>
          <cell r="L78"/>
          <cell r="M78"/>
          <cell r="N78"/>
        </row>
        <row r="79">
          <cell r="A79" t="str">
            <v>01242</v>
          </cell>
          <cell r="E79"/>
          <cell r="F79"/>
          <cell r="G79"/>
          <cell r="H79"/>
          <cell r="J79"/>
          <cell r="L79"/>
          <cell r="M79"/>
          <cell r="N79"/>
        </row>
        <row r="80">
          <cell r="A80" t="str">
            <v>01651</v>
          </cell>
          <cell r="E80">
            <v>2.0667811497048132</v>
          </cell>
          <cell r="F80">
            <v>1.6878638039526394E-2</v>
          </cell>
          <cell r="G80">
            <v>2.7E-2</v>
          </cell>
          <cell r="H80">
            <v>0</v>
          </cell>
          <cell r="J80">
            <v>0.40077210195158369</v>
          </cell>
          <cell r="L80">
            <v>7.4277870015977123E-3</v>
          </cell>
          <cell r="M80">
            <v>1.6455890000000001E-2</v>
          </cell>
          <cell r="N80">
            <v>1.5982467327121055</v>
          </cell>
        </row>
        <row r="81">
          <cell r="A81" t="str">
            <v>01318</v>
          </cell>
          <cell r="E81"/>
          <cell r="F81"/>
          <cell r="G81"/>
          <cell r="H81"/>
          <cell r="J81"/>
          <cell r="L81"/>
          <cell r="M81"/>
          <cell r="N81"/>
        </row>
        <row r="82">
          <cell r="A82" t="str">
            <v>01313</v>
          </cell>
          <cell r="E82"/>
          <cell r="F82"/>
          <cell r="G82"/>
          <cell r="H82"/>
          <cell r="J82"/>
          <cell r="L82"/>
          <cell r="M82"/>
          <cell r="N82"/>
        </row>
        <row r="83">
          <cell r="A83" t="str">
            <v>01346</v>
          </cell>
          <cell r="E83"/>
          <cell r="F83"/>
          <cell r="G83"/>
          <cell r="H83"/>
          <cell r="J83"/>
          <cell r="L83"/>
          <cell r="M83"/>
          <cell r="N83"/>
        </row>
        <row r="84">
          <cell r="A84" t="str">
            <v>01321</v>
          </cell>
          <cell r="E84"/>
          <cell r="F84"/>
          <cell r="G84"/>
          <cell r="H84"/>
          <cell r="J84"/>
          <cell r="L84"/>
          <cell r="M84"/>
          <cell r="N84"/>
        </row>
        <row r="85">
          <cell r="A85" t="str">
            <v>01448</v>
          </cell>
          <cell r="E85"/>
          <cell r="F85"/>
          <cell r="G85"/>
          <cell r="H85"/>
          <cell r="J85"/>
          <cell r="L85"/>
          <cell r="M85"/>
          <cell r="N85"/>
        </row>
        <row r="86">
          <cell r="A86" t="str">
            <v>01510</v>
          </cell>
          <cell r="E86"/>
          <cell r="F86"/>
          <cell r="G86"/>
          <cell r="H86"/>
          <cell r="J86"/>
          <cell r="L86"/>
          <cell r="M86"/>
          <cell r="N86"/>
        </row>
        <row r="87">
          <cell r="A87" t="str">
            <v>01235</v>
          </cell>
          <cell r="E87"/>
          <cell r="F87"/>
          <cell r="G87"/>
          <cell r="H87"/>
          <cell r="J87"/>
          <cell r="L87"/>
          <cell r="M87"/>
          <cell r="N87"/>
        </row>
        <row r="88">
          <cell r="A88" t="str">
            <v>01342.02</v>
          </cell>
          <cell r="E88"/>
          <cell r="F88"/>
          <cell r="G88"/>
          <cell r="H88"/>
          <cell r="J88"/>
          <cell r="L88"/>
          <cell r="M88"/>
          <cell r="N88"/>
        </row>
        <row r="89">
          <cell r="A89" t="str">
            <v>01194</v>
          </cell>
          <cell r="E89"/>
          <cell r="F89"/>
          <cell r="G89"/>
          <cell r="H89"/>
          <cell r="J89"/>
          <cell r="L89"/>
          <cell r="M89"/>
          <cell r="N89"/>
        </row>
        <row r="90">
          <cell r="A90" t="str">
            <v>01443</v>
          </cell>
          <cell r="E90"/>
          <cell r="F90"/>
          <cell r="G90"/>
          <cell r="H90"/>
          <cell r="J90"/>
          <cell r="L90"/>
          <cell r="M90"/>
          <cell r="N90"/>
        </row>
        <row r="91">
          <cell r="A91" t="str">
            <v>01443_s</v>
          </cell>
          <cell r="E91"/>
          <cell r="F91"/>
          <cell r="G91"/>
          <cell r="H91"/>
          <cell r="J91"/>
          <cell r="L91"/>
          <cell r="M91"/>
          <cell r="N91"/>
        </row>
        <row r="92">
          <cell r="A92" t="str">
            <v>01443_w</v>
          </cell>
          <cell r="E92"/>
          <cell r="F92"/>
          <cell r="G92"/>
          <cell r="H92"/>
          <cell r="J92"/>
          <cell r="L92"/>
          <cell r="M92"/>
          <cell r="N92"/>
        </row>
        <row r="93">
          <cell r="A93" t="str">
            <v>01353.01</v>
          </cell>
          <cell r="E93"/>
          <cell r="F93"/>
          <cell r="G93"/>
          <cell r="H93"/>
          <cell r="J93"/>
          <cell r="L93"/>
          <cell r="M93"/>
          <cell r="N93"/>
        </row>
        <row r="94">
          <cell r="A94" t="str">
            <v>0113</v>
          </cell>
          <cell r="E94"/>
          <cell r="F94"/>
          <cell r="G94"/>
          <cell r="H94"/>
          <cell r="J94"/>
          <cell r="L94"/>
          <cell r="M94"/>
          <cell r="N94"/>
        </row>
        <row r="95">
          <cell r="A95" t="str">
            <v>0116</v>
          </cell>
          <cell r="E95"/>
          <cell r="F95"/>
          <cell r="G95"/>
          <cell r="H95"/>
          <cell r="J95"/>
          <cell r="L95"/>
          <cell r="M95"/>
          <cell r="N95"/>
        </row>
        <row r="96">
          <cell r="A96" t="str">
            <v>0114</v>
          </cell>
          <cell r="E96"/>
          <cell r="F96"/>
          <cell r="G96"/>
          <cell r="H96"/>
          <cell r="J96"/>
          <cell r="L96"/>
          <cell r="M96"/>
          <cell r="N96"/>
        </row>
        <row r="97">
          <cell r="A97" t="str">
            <v>01344.01</v>
          </cell>
          <cell r="E97"/>
          <cell r="F97"/>
          <cell r="G97"/>
          <cell r="H97"/>
          <cell r="J97"/>
          <cell r="L97"/>
          <cell r="M97"/>
          <cell r="N97"/>
        </row>
        <row r="98">
          <cell r="A98" t="str">
            <v>0141</v>
          </cell>
          <cell r="E98">
            <v>0.92075744066996734</v>
          </cell>
          <cell r="F98">
            <v>3.8012291590112874E-3</v>
          </cell>
          <cell r="G98">
            <v>2.7E-2</v>
          </cell>
          <cell r="H98">
            <v>0</v>
          </cell>
          <cell r="J98">
            <v>5.0646723842195554E-2</v>
          </cell>
          <cell r="L98">
            <v>7.5028151531290012E-5</v>
          </cell>
          <cell r="M98">
            <v>3.8415164000000009E-2</v>
          </cell>
          <cell r="N98">
            <v>0.80081929551722919</v>
          </cell>
        </row>
        <row r="99">
          <cell r="A99" t="str">
            <v>01215</v>
          </cell>
          <cell r="E99"/>
          <cell r="F99"/>
          <cell r="G99"/>
          <cell r="H99"/>
          <cell r="J99"/>
          <cell r="L99"/>
          <cell r="M99"/>
          <cell r="N99"/>
        </row>
        <row r="100">
          <cell r="A100" t="str">
            <v>01354</v>
          </cell>
          <cell r="E100"/>
          <cell r="F100"/>
          <cell r="G100"/>
          <cell r="H100"/>
          <cell r="J100"/>
          <cell r="L100"/>
          <cell r="M100"/>
          <cell r="N100"/>
        </row>
        <row r="101">
          <cell r="A101" t="str">
            <v>01801</v>
          </cell>
          <cell r="E101"/>
          <cell r="F101"/>
          <cell r="G101"/>
          <cell r="H101"/>
          <cell r="J101"/>
          <cell r="L101"/>
          <cell r="M101"/>
          <cell r="N101"/>
        </row>
        <row r="102">
          <cell r="A102" t="str">
            <v>01802</v>
          </cell>
          <cell r="E102"/>
          <cell r="F102"/>
          <cell r="G102"/>
          <cell r="H102"/>
          <cell r="J102"/>
          <cell r="L102"/>
          <cell r="M102"/>
          <cell r="N102"/>
        </row>
        <row r="103">
          <cell r="A103" t="str">
            <v>01445</v>
          </cell>
          <cell r="E103"/>
          <cell r="F103"/>
          <cell r="G103"/>
          <cell r="H103"/>
          <cell r="J103"/>
          <cell r="L103"/>
          <cell r="M103"/>
          <cell r="N103"/>
        </row>
        <row r="104">
          <cell r="A104" t="str">
            <v>01530</v>
          </cell>
          <cell r="E104"/>
          <cell r="F104"/>
          <cell r="G104"/>
          <cell r="H104"/>
          <cell r="J104"/>
          <cell r="L104"/>
          <cell r="M104"/>
          <cell r="N104"/>
        </row>
        <row r="105">
          <cell r="A105" t="str">
            <v>01324</v>
          </cell>
          <cell r="E105"/>
          <cell r="F105"/>
          <cell r="G105"/>
          <cell r="H105"/>
          <cell r="J105"/>
          <cell r="L105"/>
          <cell r="M105"/>
          <cell r="N105"/>
        </row>
        <row r="106">
          <cell r="A106" t="str">
            <v>01234</v>
          </cell>
          <cell r="E106"/>
          <cell r="F106"/>
          <cell r="G106"/>
          <cell r="J106"/>
          <cell r="K106" t="e">
            <v>#DIV/0!</v>
          </cell>
          <cell r="M106"/>
          <cell r="N106"/>
        </row>
        <row r="107">
          <cell r="A107" t="str">
            <v>01234_gh</v>
          </cell>
          <cell r="E107"/>
          <cell r="F107"/>
          <cell r="G107"/>
          <cell r="J107"/>
          <cell r="M107"/>
          <cell r="N107"/>
        </row>
        <row r="108">
          <cell r="A108" t="str">
            <v>01234_of</v>
          </cell>
          <cell r="E108"/>
          <cell r="F108"/>
          <cell r="G108"/>
          <cell r="H108"/>
          <cell r="J108"/>
          <cell r="L108"/>
          <cell r="M108"/>
          <cell r="N108"/>
        </row>
        <row r="109">
          <cell r="A109" t="str">
            <v>01191</v>
          </cell>
          <cell r="E109"/>
          <cell r="F109"/>
          <cell r="G109"/>
          <cell r="H109"/>
          <cell r="J109"/>
          <cell r="L109"/>
          <cell r="M109"/>
          <cell r="N109"/>
        </row>
        <row r="110">
          <cell r="A110" t="str">
            <v>01929.02</v>
          </cell>
          <cell r="E110"/>
          <cell r="F110"/>
          <cell r="G110"/>
          <cell r="H110"/>
          <cell r="J110"/>
          <cell r="L110"/>
          <cell r="M110"/>
          <cell r="N110"/>
        </row>
        <row r="111">
          <cell r="A111" t="str">
            <v>01709.01</v>
          </cell>
          <cell r="E111"/>
          <cell r="F111"/>
          <cell r="G111"/>
          <cell r="H111"/>
          <cell r="J111"/>
          <cell r="L111"/>
          <cell r="M111"/>
          <cell r="N111"/>
        </row>
        <row r="112">
          <cell r="A112" t="str">
            <v>01376</v>
          </cell>
          <cell r="E112"/>
          <cell r="F112"/>
          <cell r="G112"/>
          <cell r="H112"/>
          <cell r="J112"/>
          <cell r="L112"/>
          <cell r="M112"/>
          <cell r="N112"/>
        </row>
        <row r="113">
          <cell r="A113" t="str">
            <v>01221</v>
          </cell>
          <cell r="E113">
            <v>0.27652029856961879</v>
          </cell>
          <cell r="F113">
            <v>1.7043994644547075E-2</v>
          </cell>
          <cell r="G113">
            <v>2.7E-2</v>
          </cell>
          <cell r="H113">
            <v>0</v>
          </cell>
          <cell r="J113">
            <v>5.3149006206897782E-2</v>
          </cell>
          <cell r="L113">
            <v>2.4759290005325701E-3</v>
          </cell>
          <cell r="M113">
            <v>1.6455890000000001E-2</v>
          </cell>
          <cell r="N113">
            <v>0.16039547871764137</v>
          </cell>
        </row>
        <row r="114">
          <cell r="A114" t="str">
            <v>01221_gh</v>
          </cell>
          <cell r="E114"/>
          <cell r="F114"/>
          <cell r="G114"/>
          <cell r="H114"/>
          <cell r="J114"/>
          <cell r="L114"/>
          <cell r="M114"/>
          <cell r="N114"/>
        </row>
        <row r="115">
          <cell r="A115" t="str">
            <v>01221_of</v>
          </cell>
          <cell r="E115"/>
          <cell r="F115"/>
          <cell r="G115"/>
          <cell r="H115"/>
          <cell r="J115"/>
          <cell r="L115"/>
          <cell r="M115"/>
          <cell r="N115"/>
        </row>
        <row r="116">
          <cell r="A116" t="str">
            <v>0111</v>
          </cell>
          <cell r="E116"/>
          <cell r="F116"/>
          <cell r="G116"/>
          <cell r="H116"/>
          <cell r="J116"/>
          <cell r="L116"/>
          <cell r="M116"/>
          <cell r="N116"/>
        </row>
        <row r="117">
          <cell r="A117" t="str">
            <v>0111_s</v>
          </cell>
          <cell r="E117"/>
          <cell r="F117"/>
          <cell r="G117"/>
          <cell r="H117"/>
          <cell r="J117"/>
          <cell r="L117"/>
          <cell r="M117"/>
          <cell r="N117"/>
        </row>
        <row r="118">
          <cell r="A118" t="str">
            <v>0111_w</v>
          </cell>
          <cell r="E118"/>
          <cell r="F118"/>
          <cell r="G118"/>
          <cell r="H118"/>
          <cell r="J118"/>
          <cell r="L118"/>
          <cell r="M118"/>
          <cell r="N118"/>
        </row>
      </sheetData>
      <sheetData sheetId="5" refreshError="1">
        <row r="6">
          <cell r="A6" t="str">
            <v>01371</v>
          </cell>
          <cell r="E6"/>
          <cell r="F6"/>
          <cell r="G6"/>
          <cell r="J6"/>
          <cell r="L6"/>
        </row>
        <row r="7">
          <cell r="A7" t="str">
            <v>01654</v>
          </cell>
          <cell r="E7"/>
          <cell r="F7"/>
          <cell r="G7"/>
          <cell r="J7"/>
          <cell r="L7"/>
        </row>
        <row r="8">
          <cell r="A8" t="str">
            <v>01341</v>
          </cell>
          <cell r="E8"/>
          <cell r="F8"/>
          <cell r="G8"/>
          <cell r="J8"/>
          <cell r="L8"/>
          <cell r="M8"/>
        </row>
        <row r="9">
          <cell r="A9" t="str">
            <v>01343</v>
          </cell>
          <cell r="E9"/>
          <cell r="F9"/>
          <cell r="G9"/>
          <cell r="J9"/>
          <cell r="L9"/>
          <cell r="M9"/>
        </row>
        <row r="10">
          <cell r="A10" t="str">
            <v>01216</v>
          </cell>
          <cell r="E10"/>
          <cell r="F10"/>
          <cell r="G10"/>
          <cell r="J10"/>
          <cell r="L10"/>
          <cell r="M10"/>
        </row>
        <row r="11">
          <cell r="A11" t="str">
            <v>01211</v>
          </cell>
          <cell r="E11"/>
          <cell r="F11"/>
          <cell r="G11"/>
          <cell r="J11"/>
          <cell r="L11"/>
          <cell r="M11"/>
        </row>
        <row r="12">
          <cell r="A12" t="str">
            <v>01311</v>
          </cell>
          <cell r="E12"/>
          <cell r="F12"/>
          <cell r="G12"/>
          <cell r="J12"/>
          <cell r="L12"/>
          <cell r="M12"/>
        </row>
        <row r="13">
          <cell r="A13" t="str">
            <v>01312</v>
          </cell>
          <cell r="E13"/>
          <cell r="F13"/>
          <cell r="G13"/>
          <cell r="J13"/>
          <cell r="L13"/>
          <cell r="M13"/>
        </row>
        <row r="14">
          <cell r="A14" t="str">
            <v>0115</v>
          </cell>
          <cell r="E14"/>
          <cell r="F14"/>
          <cell r="G14"/>
          <cell r="J14"/>
          <cell r="L14"/>
          <cell r="M14"/>
        </row>
        <row r="15">
          <cell r="A15" t="str">
            <v>0115_s</v>
          </cell>
          <cell r="E15"/>
          <cell r="F15"/>
          <cell r="G15"/>
          <cell r="J15"/>
          <cell r="L15"/>
          <cell r="M15"/>
        </row>
        <row r="16">
          <cell r="A16" t="str">
            <v>0115_w</v>
          </cell>
          <cell r="E16"/>
          <cell r="F16"/>
          <cell r="G16"/>
          <cell r="J16"/>
          <cell r="L16"/>
          <cell r="M16"/>
        </row>
        <row r="17">
          <cell r="A17" t="str">
            <v>01701</v>
          </cell>
          <cell r="E17"/>
          <cell r="F17"/>
          <cell r="G17"/>
          <cell r="J17"/>
          <cell r="L17"/>
          <cell r="M17"/>
        </row>
        <row r="18">
          <cell r="A18" t="str">
            <v>01355.01</v>
          </cell>
          <cell r="E18"/>
          <cell r="F18"/>
          <cell r="G18"/>
          <cell r="J18"/>
          <cell r="L18"/>
          <cell r="M18"/>
        </row>
        <row r="19">
          <cell r="A19" t="str">
            <v>01377</v>
          </cell>
          <cell r="E19"/>
          <cell r="F19"/>
          <cell r="G19"/>
          <cell r="J19"/>
          <cell r="L19"/>
          <cell r="M19"/>
        </row>
        <row r="20">
          <cell r="A20" t="str">
            <v>01702</v>
          </cell>
          <cell r="E20"/>
          <cell r="F20"/>
          <cell r="G20"/>
          <cell r="J20"/>
          <cell r="L20"/>
          <cell r="M20"/>
        </row>
        <row r="21">
          <cell r="A21" t="str">
            <v>01243</v>
          </cell>
          <cell r="E21"/>
          <cell r="F21"/>
          <cell r="G21"/>
          <cell r="J21"/>
          <cell r="L21"/>
          <cell r="M21"/>
        </row>
        <row r="22">
          <cell r="A22" t="str">
            <v>01213_b</v>
          </cell>
          <cell r="E22"/>
          <cell r="F22"/>
          <cell r="G22"/>
          <cell r="J22"/>
          <cell r="L22"/>
          <cell r="M22"/>
        </row>
        <row r="23">
          <cell r="A23" t="str">
            <v>01192</v>
          </cell>
          <cell r="E23"/>
          <cell r="F23"/>
          <cell r="G23"/>
          <cell r="J23"/>
          <cell r="L23"/>
          <cell r="M23"/>
        </row>
        <row r="24">
          <cell r="A24" t="str">
            <v>01212</v>
          </cell>
          <cell r="E24"/>
          <cell r="F24"/>
          <cell r="G24"/>
          <cell r="J24"/>
          <cell r="L24"/>
          <cell r="M24"/>
        </row>
        <row r="25">
          <cell r="A25" t="str">
            <v>01229</v>
          </cell>
          <cell r="E25">
            <v>2.3307872820487615E-4</v>
          </cell>
          <cell r="F25">
            <v>4.8700103501075899E-5</v>
          </cell>
          <cell r="G25">
            <v>9.5000000000000005E-5</v>
          </cell>
          <cell r="J25">
            <v>2.1169973643800255E-5</v>
          </cell>
          <cell r="L25">
            <v>8.2806510600000001E-6</v>
          </cell>
          <cell r="M25">
            <v>5.9927999999999999E-5</v>
          </cell>
        </row>
        <row r="26">
          <cell r="A26" t="str">
            <v>01251</v>
          </cell>
          <cell r="E26"/>
          <cell r="F26"/>
          <cell r="G26"/>
          <cell r="J26"/>
          <cell r="L26"/>
          <cell r="M26"/>
        </row>
        <row r="27">
          <cell r="A27" t="str">
            <v>01372</v>
          </cell>
          <cell r="E27"/>
          <cell r="F27"/>
          <cell r="G27"/>
          <cell r="J27"/>
          <cell r="L27"/>
          <cell r="M27"/>
        </row>
        <row r="28">
          <cell r="A28" t="str">
            <v>01213_cf</v>
          </cell>
          <cell r="E28"/>
          <cell r="F28"/>
          <cell r="G28"/>
          <cell r="J28"/>
          <cell r="L28"/>
          <cell r="M28"/>
        </row>
        <row r="29">
          <cell r="A29" t="str">
            <v>01213</v>
          </cell>
          <cell r="E29"/>
          <cell r="F29"/>
          <cell r="G29"/>
          <cell r="J29"/>
          <cell r="L29"/>
          <cell r="M29"/>
        </row>
        <row r="30">
          <cell r="A30" t="str">
            <v>01199.90</v>
          </cell>
          <cell r="E30"/>
          <cell r="F30"/>
          <cell r="G30"/>
          <cell r="J30"/>
          <cell r="L30"/>
          <cell r="M30"/>
        </row>
        <row r="31">
          <cell r="A31" t="str">
            <v>01344.02</v>
          </cell>
          <cell r="E31"/>
          <cell r="F31"/>
          <cell r="G31"/>
          <cell r="J31"/>
          <cell r="L31"/>
          <cell r="M31"/>
        </row>
        <row r="32">
          <cell r="A32" t="str">
            <v>01373</v>
          </cell>
          <cell r="E32"/>
          <cell r="F32"/>
          <cell r="G32"/>
          <cell r="J32"/>
          <cell r="L32"/>
          <cell r="M32"/>
        </row>
        <row r="33">
          <cell r="A33" t="str">
            <v>01703</v>
          </cell>
          <cell r="E33"/>
          <cell r="F33"/>
          <cell r="G33"/>
          <cell r="J33"/>
          <cell r="L33"/>
          <cell r="M33"/>
        </row>
        <row r="34">
          <cell r="A34" t="str">
            <v>01231</v>
          </cell>
          <cell r="E34"/>
          <cell r="F34"/>
          <cell r="G34"/>
          <cell r="L34"/>
          <cell r="M34"/>
        </row>
        <row r="35">
          <cell r="A35" t="str">
            <v>01640</v>
          </cell>
          <cell r="E35"/>
          <cell r="F35"/>
          <cell r="G35"/>
          <cell r="J35"/>
          <cell r="L35"/>
          <cell r="M35"/>
        </row>
        <row r="36">
          <cell r="A36" t="str">
            <v>01460</v>
          </cell>
          <cell r="E36"/>
          <cell r="F36"/>
          <cell r="G36"/>
          <cell r="J36"/>
          <cell r="L36"/>
          <cell r="M36"/>
        </row>
        <row r="37">
          <cell r="A37" t="str">
            <v>01610</v>
          </cell>
          <cell r="E37">
            <v>6.5749402122406439E-4</v>
          </cell>
          <cell r="F37">
            <v>4.2099687505195996E-4</v>
          </cell>
          <cell r="G37">
            <v>9.5000000000000005E-5</v>
          </cell>
          <cell r="J37">
            <v>9.6079029752104453E-5</v>
          </cell>
          <cell r="L37">
            <v>4.5418116420000008E-5</v>
          </cell>
          <cell r="M37">
            <v>0</v>
          </cell>
        </row>
        <row r="38">
          <cell r="A38" t="str">
            <v>01232</v>
          </cell>
          <cell r="E38"/>
          <cell r="F38"/>
          <cell r="G38"/>
          <cell r="J38"/>
          <cell r="K38" t="e">
            <v>#DIV/0!</v>
          </cell>
          <cell r="L38"/>
          <cell r="M38"/>
        </row>
        <row r="39">
          <cell r="A39" t="str">
            <v>01232_gh</v>
          </cell>
          <cell r="E39"/>
          <cell r="F39"/>
          <cell r="G39"/>
          <cell r="J39"/>
          <cell r="K39" t="e">
            <v>#DIV/0!</v>
          </cell>
          <cell r="M39"/>
        </row>
        <row r="40">
          <cell r="A40" t="str">
            <v>01232_of</v>
          </cell>
          <cell r="E40"/>
          <cell r="F40"/>
          <cell r="G40"/>
          <cell r="J40"/>
          <cell r="L40"/>
          <cell r="M40"/>
        </row>
        <row r="41">
          <cell r="A41" t="str">
            <v>01351.01</v>
          </cell>
          <cell r="E41"/>
          <cell r="F41"/>
          <cell r="G41"/>
          <cell r="J41"/>
          <cell r="L41"/>
          <cell r="M41"/>
        </row>
        <row r="42">
          <cell r="A42" t="str">
            <v>01314</v>
          </cell>
          <cell r="E42"/>
          <cell r="F42"/>
          <cell r="G42"/>
          <cell r="J42"/>
          <cell r="L42"/>
          <cell r="M42"/>
        </row>
        <row r="43">
          <cell r="A43" t="str">
            <v>01599.10</v>
          </cell>
          <cell r="E43"/>
          <cell r="F43"/>
          <cell r="G43"/>
          <cell r="J43"/>
          <cell r="L43"/>
          <cell r="M43"/>
        </row>
        <row r="44">
          <cell r="A44" t="str">
            <v>01233</v>
          </cell>
          <cell r="E44"/>
          <cell r="F44"/>
          <cell r="G44"/>
          <cell r="J44"/>
          <cell r="L44"/>
          <cell r="M44"/>
        </row>
        <row r="45">
          <cell r="A45" t="str">
            <v>01315</v>
          </cell>
          <cell r="E45"/>
          <cell r="F45"/>
          <cell r="G45"/>
          <cell r="J45"/>
          <cell r="L45"/>
          <cell r="M45"/>
        </row>
        <row r="46">
          <cell r="A46" t="str">
            <v>01351.02</v>
          </cell>
          <cell r="E46"/>
          <cell r="F46"/>
          <cell r="G46"/>
          <cell r="J46"/>
          <cell r="L46"/>
          <cell r="M46"/>
        </row>
        <row r="47">
          <cell r="A47" t="str">
            <v>01330</v>
          </cell>
          <cell r="E47"/>
          <cell r="F47"/>
          <cell r="G47"/>
          <cell r="J47"/>
          <cell r="L47"/>
          <cell r="M47"/>
        </row>
        <row r="48">
          <cell r="A48" t="str">
            <v>01290.01</v>
          </cell>
          <cell r="E48"/>
          <cell r="F48"/>
          <cell r="G48"/>
          <cell r="J48"/>
          <cell r="L48"/>
          <cell r="M48"/>
        </row>
        <row r="49">
          <cell r="A49" t="str">
            <v>01252</v>
          </cell>
          <cell r="E49"/>
          <cell r="F49"/>
          <cell r="G49"/>
          <cell r="J49"/>
          <cell r="L49"/>
          <cell r="M49"/>
        </row>
        <row r="50">
          <cell r="A50" t="str">
            <v>0142</v>
          </cell>
          <cell r="E50"/>
          <cell r="F50"/>
          <cell r="G50"/>
          <cell r="J50"/>
          <cell r="L50"/>
          <cell r="M50"/>
        </row>
        <row r="51">
          <cell r="A51" t="str">
            <v>01374</v>
          </cell>
          <cell r="E51"/>
          <cell r="F51"/>
          <cell r="G51"/>
          <cell r="J51"/>
          <cell r="L51"/>
          <cell r="M51"/>
        </row>
        <row r="52">
          <cell r="A52" t="str">
            <v>01352</v>
          </cell>
          <cell r="E52"/>
          <cell r="F52"/>
          <cell r="G52"/>
          <cell r="J52"/>
          <cell r="L52"/>
          <cell r="M52"/>
        </row>
        <row r="53">
          <cell r="A53" t="str">
            <v>01254</v>
          </cell>
          <cell r="E53"/>
          <cell r="F53"/>
          <cell r="G53"/>
          <cell r="J53"/>
          <cell r="L53"/>
          <cell r="M53"/>
        </row>
        <row r="54">
          <cell r="A54" t="str">
            <v>01322</v>
          </cell>
          <cell r="E54"/>
          <cell r="F54"/>
          <cell r="G54"/>
          <cell r="J54"/>
          <cell r="L54"/>
          <cell r="M54"/>
        </row>
        <row r="55">
          <cell r="A55" t="str">
            <v>01704</v>
          </cell>
          <cell r="E55"/>
          <cell r="F55"/>
          <cell r="G55"/>
          <cell r="J55"/>
          <cell r="L55"/>
          <cell r="M55"/>
        </row>
        <row r="56">
          <cell r="A56" t="str">
            <v>01214</v>
          </cell>
          <cell r="E56"/>
          <cell r="F56"/>
          <cell r="G56"/>
          <cell r="J56"/>
          <cell r="L56"/>
          <cell r="M56"/>
        </row>
        <row r="57">
          <cell r="A57" t="str">
            <v>01441</v>
          </cell>
          <cell r="E57"/>
          <cell r="F57"/>
          <cell r="G57"/>
          <cell r="J57"/>
          <cell r="L57"/>
          <cell r="M57"/>
        </row>
        <row r="58">
          <cell r="A58" t="str">
            <v>01709.02</v>
          </cell>
          <cell r="E58"/>
          <cell r="F58"/>
          <cell r="G58"/>
          <cell r="J58"/>
          <cell r="L58"/>
          <cell r="M58"/>
        </row>
        <row r="59">
          <cell r="A59" t="str">
            <v>0112</v>
          </cell>
          <cell r="E59"/>
          <cell r="F59"/>
          <cell r="G59"/>
          <cell r="J59"/>
          <cell r="L59"/>
          <cell r="M59"/>
        </row>
        <row r="60">
          <cell r="A60" t="str">
            <v>01316</v>
          </cell>
          <cell r="E60">
            <v>2.8507937962895093E-4</v>
          </cell>
          <cell r="F60">
            <v>9.686055452567255E-5</v>
          </cell>
          <cell r="G60">
            <v>9.5000000000000005E-5</v>
          </cell>
          <cell r="J60">
            <v>2.5010174043278419E-5</v>
          </cell>
          <cell r="L60">
            <v>8.2806510600000001E-6</v>
          </cell>
          <cell r="M60">
            <v>5.9927999999999999E-5</v>
          </cell>
        </row>
        <row r="61">
          <cell r="A61" t="str">
            <v>0118</v>
          </cell>
          <cell r="E61"/>
          <cell r="F61"/>
          <cell r="G61"/>
          <cell r="J61"/>
          <cell r="L61"/>
          <cell r="M61"/>
        </row>
        <row r="62">
          <cell r="A62" t="str">
            <v>01199.02</v>
          </cell>
          <cell r="E62"/>
          <cell r="F62"/>
          <cell r="G62"/>
          <cell r="J62"/>
          <cell r="L62"/>
          <cell r="M62"/>
        </row>
        <row r="63">
          <cell r="A63" t="str">
            <v>01270</v>
          </cell>
          <cell r="E63"/>
          <cell r="F63"/>
          <cell r="G63"/>
          <cell r="J63"/>
          <cell r="L63"/>
          <cell r="M63"/>
        </row>
        <row r="64">
          <cell r="A64" t="str">
            <v>0117</v>
          </cell>
          <cell r="E64"/>
          <cell r="F64"/>
          <cell r="G64"/>
          <cell r="J64"/>
          <cell r="L64"/>
          <cell r="M64"/>
        </row>
        <row r="65">
          <cell r="A65" t="str">
            <v>01491.01</v>
          </cell>
          <cell r="E65"/>
          <cell r="F65"/>
          <cell r="G65"/>
          <cell r="J65"/>
          <cell r="L65"/>
          <cell r="M65"/>
        </row>
        <row r="66">
          <cell r="A66" t="str">
            <v>01450</v>
          </cell>
          <cell r="E66"/>
          <cell r="F66"/>
          <cell r="G66"/>
          <cell r="J66"/>
          <cell r="L66"/>
          <cell r="M66"/>
        </row>
        <row r="67">
          <cell r="A67" t="str">
            <v>01253.02</v>
          </cell>
          <cell r="E67"/>
          <cell r="F67"/>
          <cell r="G67"/>
          <cell r="J67"/>
          <cell r="L67"/>
          <cell r="M67"/>
        </row>
        <row r="68">
          <cell r="A68" t="str">
            <v>01323</v>
          </cell>
          <cell r="E68">
            <v>2.7099236086460904E-4</v>
          </cell>
          <cell r="F68">
            <v>9.6860554525672563E-5</v>
          </cell>
          <cell r="G68">
            <v>9.5000000000000005E-5</v>
          </cell>
          <cell r="J68">
            <v>1.8701948698936442E-5</v>
          </cell>
          <cell r="L68">
            <v>5.0185763999999998E-7</v>
          </cell>
          <cell r="M68">
            <v>5.9927999999999999E-5</v>
          </cell>
        </row>
        <row r="69">
          <cell r="A69" t="str">
            <v>01241.90</v>
          </cell>
          <cell r="E69"/>
          <cell r="F69"/>
          <cell r="G69"/>
          <cell r="J69"/>
          <cell r="L69"/>
          <cell r="M69"/>
        </row>
        <row r="70">
          <cell r="A70" t="str">
            <v>01359.90</v>
          </cell>
          <cell r="E70"/>
          <cell r="F70"/>
          <cell r="G70"/>
          <cell r="J70"/>
          <cell r="L70"/>
          <cell r="M70"/>
        </row>
        <row r="71">
          <cell r="A71" t="str">
            <v>01449.90</v>
          </cell>
          <cell r="E71"/>
          <cell r="F71"/>
          <cell r="G71"/>
          <cell r="J71"/>
          <cell r="L71"/>
          <cell r="M71"/>
        </row>
        <row r="72">
          <cell r="A72" t="str">
            <v>01709.90</v>
          </cell>
          <cell r="E72"/>
          <cell r="F72"/>
          <cell r="G72"/>
          <cell r="J72"/>
          <cell r="L72"/>
          <cell r="M72"/>
        </row>
        <row r="73">
          <cell r="A73" t="str">
            <v>01699</v>
          </cell>
          <cell r="E73"/>
          <cell r="F73"/>
          <cell r="G73"/>
          <cell r="J73"/>
          <cell r="L73"/>
          <cell r="M73"/>
        </row>
        <row r="74">
          <cell r="A74" t="str">
            <v>01290.90</v>
          </cell>
          <cell r="E74"/>
          <cell r="F74"/>
          <cell r="G74"/>
          <cell r="J74"/>
          <cell r="L74"/>
          <cell r="M74"/>
        </row>
        <row r="75">
          <cell r="A75" t="str">
            <v>01317</v>
          </cell>
          <cell r="E75">
            <v>2.7288617646437378E-4</v>
          </cell>
          <cell r="F75">
            <v>9.6860554525672536E-5</v>
          </cell>
          <cell r="G75">
            <v>9.5000000000000005E-5</v>
          </cell>
          <cell r="J75">
            <v>1.2816970878701275E-5</v>
          </cell>
          <cell r="L75">
            <v>8.2806510600000001E-6</v>
          </cell>
          <cell r="M75">
            <v>5.9927999999999999E-5</v>
          </cell>
        </row>
        <row r="76">
          <cell r="A76" t="str">
            <v>01345</v>
          </cell>
          <cell r="E76"/>
          <cell r="F76"/>
          <cell r="G76"/>
          <cell r="J76"/>
          <cell r="L76"/>
          <cell r="M76"/>
        </row>
        <row r="77">
          <cell r="A77" t="str">
            <v>01342.01</v>
          </cell>
          <cell r="E77"/>
          <cell r="F77"/>
          <cell r="G77"/>
          <cell r="J77"/>
          <cell r="L77"/>
          <cell r="M77"/>
        </row>
        <row r="78">
          <cell r="A78" t="str">
            <v>01705</v>
          </cell>
          <cell r="E78"/>
          <cell r="F78"/>
          <cell r="G78"/>
          <cell r="J78"/>
          <cell r="L78"/>
          <cell r="M78"/>
        </row>
        <row r="79">
          <cell r="A79" t="str">
            <v>01242</v>
          </cell>
          <cell r="E79"/>
          <cell r="F79"/>
          <cell r="G79"/>
          <cell r="J79"/>
          <cell r="L79"/>
          <cell r="M79"/>
        </row>
        <row r="80">
          <cell r="A80" t="str">
            <v>01651</v>
          </cell>
          <cell r="E80">
            <v>3.9355848562003937E-4</v>
          </cell>
          <cell r="F80">
            <v>3.6260005192518861E-5</v>
          </cell>
          <cell r="G80">
            <v>9.5000000000000005E-5</v>
          </cell>
          <cell r="J80">
            <v>1.7752852724752053E-4</v>
          </cell>
          <cell r="L80">
            <v>2.4841953180000002E-5</v>
          </cell>
          <cell r="M80">
            <v>5.9927999999999999E-5</v>
          </cell>
        </row>
        <row r="81">
          <cell r="A81" t="str">
            <v>01318</v>
          </cell>
          <cell r="E81"/>
          <cell r="F81"/>
          <cell r="G81"/>
          <cell r="J81"/>
          <cell r="L81"/>
          <cell r="M81"/>
        </row>
        <row r="82">
          <cell r="A82" t="str">
            <v>01313</v>
          </cell>
          <cell r="E82"/>
          <cell r="F82"/>
          <cell r="G82"/>
          <cell r="J82"/>
          <cell r="L82"/>
          <cell r="M82"/>
        </row>
        <row r="83">
          <cell r="A83" t="str">
            <v>01346</v>
          </cell>
          <cell r="E83"/>
          <cell r="F83"/>
          <cell r="G83"/>
          <cell r="J83"/>
          <cell r="L83"/>
          <cell r="M83"/>
        </row>
        <row r="84">
          <cell r="A84" t="str">
            <v>01321</v>
          </cell>
          <cell r="E84"/>
          <cell r="F84"/>
          <cell r="G84"/>
          <cell r="J84"/>
          <cell r="L84"/>
          <cell r="M84"/>
        </row>
        <row r="85">
          <cell r="A85" t="str">
            <v>01448</v>
          </cell>
          <cell r="E85"/>
          <cell r="F85"/>
          <cell r="G85"/>
          <cell r="J85"/>
          <cell r="L85"/>
          <cell r="M85"/>
        </row>
        <row r="86">
          <cell r="A86" t="str">
            <v>01510</v>
          </cell>
          <cell r="E86"/>
          <cell r="F86"/>
          <cell r="G86"/>
          <cell r="J86"/>
          <cell r="L86"/>
          <cell r="M86"/>
        </row>
        <row r="87">
          <cell r="A87" t="str">
            <v>01235</v>
          </cell>
          <cell r="E87"/>
          <cell r="F87"/>
          <cell r="G87"/>
          <cell r="J87"/>
          <cell r="L87"/>
          <cell r="M87"/>
        </row>
        <row r="88">
          <cell r="A88" t="str">
            <v>01342.02</v>
          </cell>
          <cell r="E88"/>
          <cell r="F88"/>
          <cell r="G88"/>
          <cell r="J88"/>
          <cell r="L88"/>
          <cell r="M88"/>
        </row>
        <row r="89">
          <cell r="A89" t="str">
            <v>01194</v>
          </cell>
          <cell r="E89"/>
          <cell r="F89"/>
          <cell r="G89"/>
          <cell r="J89"/>
          <cell r="L89"/>
          <cell r="M89"/>
        </row>
        <row r="90">
          <cell r="A90" t="str">
            <v>01443</v>
          </cell>
          <cell r="E90"/>
          <cell r="F90"/>
          <cell r="G90"/>
          <cell r="J90"/>
          <cell r="L90"/>
          <cell r="M90"/>
        </row>
        <row r="91">
          <cell r="A91" t="str">
            <v>01443_s</v>
          </cell>
          <cell r="E91"/>
          <cell r="F91"/>
          <cell r="G91"/>
          <cell r="J91"/>
          <cell r="L91"/>
          <cell r="M91"/>
        </row>
        <row r="92">
          <cell r="A92" t="str">
            <v>01443_w</v>
          </cell>
          <cell r="E92"/>
          <cell r="F92"/>
          <cell r="G92"/>
          <cell r="J92"/>
          <cell r="L92"/>
          <cell r="M92"/>
        </row>
        <row r="93">
          <cell r="A93" t="str">
            <v>01353.01</v>
          </cell>
          <cell r="E93"/>
          <cell r="F93"/>
          <cell r="G93"/>
          <cell r="J93"/>
          <cell r="L93"/>
          <cell r="M93"/>
        </row>
        <row r="94">
          <cell r="A94" t="str">
            <v>0113</v>
          </cell>
          <cell r="E94"/>
          <cell r="F94"/>
          <cell r="G94"/>
          <cell r="J94"/>
          <cell r="L94"/>
          <cell r="M94"/>
        </row>
        <row r="95">
          <cell r="A95" t="str">
            <v>0116</v>
          </cell>
          <cell r="E95"/>
          <cell r="F95"/>
          <cell r="G95"/>
          <cell r="J95"/>
          <cell r="L95"/>
          <cell r="M95"/>
        </row>
        <row r="96">
          <cell r="A96" t="str">
            <v>0114</v>
          </cell>
          <cell r="E96"/>
          <cell r="F96"/>
          <cell r="G96"/>
          <cell r="J96"/>
          <cell r="L96"/>
          <cell r="M96"/>
        </row>
        <row r="97">
          <cell r="A97" t="str">
            <v>01344.01</v>
          </cell>
          <cell r="E97"/>
          <cell r="F97"/>
          <cell r="G97"/>
          <cell r="J97"/>
          <cell r="L97"/>
          <cell r="M97"/>
        </row>
        <row r="98">
          <cell r="A98" t="str">
            <v>0141</v>
          </cell>
          <cell r="E98">
            <v>1.5801061630944411E-4</v>
          </cell>
          <cell r="F98">
            <v>8.1660966199362198E-6</v>
          </cell>
          <cell r="G98">
            <v>9.5000000000000005E-5</v>
          </cell>
          <cell r="J98">
            <v>2.2434790869507859E-5</v>
          </cell>
          <cell r="L98">
            <v>2.5092881999999999E-7</v>
          </cell>
          <cell r="M98">
            <v>3.2158800000000008E-5</v>
          </cell>
        </row>
        <row r="99">
          <cell r="A99" t="str">
            <v>01215</v>
          </cell>
          <cell r="E99"/>
          <cell r="F99"/>
          <cell r="G99"/>
          <cell r="J99"/>
          <cell r="L99"/>
          <cell r="M99"/>
        </row>
        <row r="100">
          <cell r="A100" t="str">
            <v>01354</v>
          </cell>
          <cell r="E100"/>
          <cell r="F100"/>
          <cell r="G100"/>
          <cell r="J100"/>
          <cell r="L100"/>
          <cell r="M100"/>
        </row>
        <row r="101">
          <cell r="A101" t="str">
            <v>01801</v>
          </cell>
          <cell r="E101"/>
          <cell r="F101"/>
          <cell r="G101"/>
          <cell r="J101"/>
          <cell r="L101"/>
          <cell r="M101"/>
        </row>
        <row r="102">
          <cell r="A102" t="str">
            <v>01802</v>
          </cell>
          <cell r="E102"/>
          <cell r="F102"/>
          <cell r="G102"/>
          <cell r="J102"/>
          <cell r="L102"/>
          <cell r="M102"/>
        </row>
        <row r="103">
          <cell r="A103" t="str">
            <v>01445</v>
          </cell>
          <cell r="E103"/>
          <cell r="F103"/>
          <cell r="G103"/>
          <cell r="J103"/>
          <cell r="L103"/>
          <cell r="M103"/>
        </row>
        <row r="104">
          <cell r="A104" t="str">
            <v>01530</v>
          </cell>
          <cell r="E104"/>
          <cell r="F104"/>
          <cell r="G104"/>
          <cell r="J104"/>
          <cell r="L104"/>
          <cell r="M104"/>
        </row>
        <row r="105">
          <cell r="A105" t="str">
            <v>01324</v>
          </cell>
          <cell r="E105"/>
          <cell r="F105"/>
          <cell r="G105"/>
          <cell r="J105"/>
          <cell r="L105"/>
          <cell r="M105"/>
        </row>
        <row r="106">
          <cell r="A106" t="str">
            <v>01234</v>
          </cell>
          <cell r="E106"/>
          <cell r="F106"/>
          <cell r="G106"/>
          <cell r="J106"/>
          <cell r="K106" t="e">
            <v>#DIV/0!</v>
          </cell>
          <cell r="M106"/>
        </row>
        <row r="107">
          <cell r="A107" t="str">
            <v>01234_gh</v>
          </cell>
          <cell r="E107"/>
          <cell r="F107"/>
          <cell r="G107"/>
          <cell r="J107"/>
          <cell r="M107"/>
        </row>
        <row r="108">
          <cell r="A108" t="str">
            <v>01234_of</v>
          </cell>
          <cell r="E108"/>
          <cell r="F108"/>
          <cell r="G108"/>
          <cell r="J108"/>
          <cell r="L108"/>
          <cell r="M108"/>
        </row>
        <row r="109">
          <cell r="A109" t="str">
            <v>01191</v>
          </cell>
          <cell r="E109"/>
          <cell r="F109"/>
          <cell r="G109"/>
          <cell r="J109"/>
          <cell r="L109"/>
          <cell r="M109"/>
        </row>
        <row r="110">
          <cell r="A110" t="str">
            <v>01929.02</v>
          </cell>
          <cell r="E110"/>
          <cell r="F110"/>
          <cell r="G110"/>
          <cell r="J110"/>
          <cell r="L110"/>
          <cell r="M110"/>
        </row>
        <row r="111">
          <cell r="A111" t="str">
            <v>01709.01</v>
          </cell>
          <cell r="E111"/>
          <cell r="F111"/>
          <cell r="G111"/>
          <cell r="J111"/>
          <cell r="L111"/>
          <cell r="M111"/>
        </row>
        <row r="112">
          <cell r="A112" t="str">
            <v>01376</v>
          </cell>
          <cell r="E112"/>
          <cell r="F112"/>
          <cell r="G112"/>
          <cell r="J112"/>
          <cell r="L112"/>
          <cell r="M112"/>
        </row>
        <row r="113">
          <cell r="A113" t="str">
            <v>01221</v>
          </cell>
          <cell r="E113">
            <v>2.2336710577463041E-4</v>
          </cell>
          <cell r="F113">
            <v>3.6615237133782501E-5</v>
          </cell>
          <cell r="G113">
            <v>9.5000000000000005E-5</v>
          </cell>
          <cell r="J113">
            <v>2.3543217580847895E-5</v>
          </cell>
          <cell r="L113">
            <v>8.2806510599999984E-6</v>
          </cell>
          <cell r="M113">
            <v>5.9927999999999999E-5</v>
          </cell>
        </row>
        <row r="114">
          <cell r="A114" t="str">
            <v>01221_gh</v>
          </cell>
          <cell r="E114"/>
          <cell r="F114"/>
          <cell r="G114"/>
          <cell r="J114"/>
          <cell r="L114"/>
          <cell r="M114"/>
        </row>
        <row r="115">
          <cell r="A115" t="str">
            <v>01221_of</v>
          </cell>
          <cell r="E115"/>
          <cell r="F115"/>
          <cell r="G115"/>
          <cell r="J115"/>
          <cell r="L115"/>
          <cell r="M115"/>
        </row>
        <row r="116">
          <cell r="A116" t="str">
            <v>0111</v>
          </cell>
          <cell r="E116"/>
          <cell r="F116"/>
          <cell r="G116"/>
          <cell r="J116"/>
          <cell r="L116"/>
          <cell r="M116"/>
        </row>
        <row r="117">
          <cell r="A117" t="str">
            <v>0111_s</v>
          </cell>
          <cell r="E117"/>
          <cell r="F117"/>
          <cell r="G117"/>
          <cell r="J117"/>
          <cell r="L117"/>
          <cell r="M117"/>
        </row>
        <row r="118">
          <cell r="A118" t="str">
            <v>0111_w</v>
          </cell>
          <cell r="E118"/>
          <cell r="F118"/>
          <cell r="G118"/>
          <cell r="J118"/>
          <cell r="L118"/>
          <cell r="M118"/>
        </row>
      </sheetData>
      <sheetData sheetId="6" refreshError="1">
        <row r="6">
          <cell r="A6" t="str">
            <v>01371</v>
          </cell>
        </row>
        <row r="7">
          <cell r="A7" t="str">
            <v>01654</v>
          </cell>
        </row>
        <row r="8">
          <cell r="A8" t="str">
            <v>01341</v>
          </cell>
        </row>
        <row r="9">
          <cell r="A9" t="str">
            <v>01343</v>
          </cell>
        </row>
        <row r="10">
          <cell r="A10" t="str">
            <v>01216</v>
          </cell>
        </row>
        <row r="11">
          <cell r="A11" t="str">
            <v>01211</v>
          </cell>
        </row>
        <row r="12">
          <cell r="A12" t="str">
            <v>01311</v>
          </cell>
        </row>
        <row r="13">
          <cell r="A13" t="str">
            <v>01312</v>
          </cell>
        </row>
        <row r="14">
          <cell r="A14" t="str">
            <v>0115</v>
          </cell>
        </row>
        <row r="15">
          <cell r="A15" t="str">
            <v>0115_s</v>
          </cell>
        </row>
        <row r="16">
          <cell r="A16" t="str">
            <v>0115_w</v>
          </cell>
        </row>
        <row r="17">
          <cell r="A17" t="str">
            <v>01701</v>
          </cell>
        </row>
        <row r="18">
          <cell r="A18" t="str">
            <v>01355.01</v>
          </cell>
        </row>
        <row r="19">
          <cell r="A19" t="str">
            <v>01377</v>
          </cell>
        </row>
        <row r="20">
          <cell r="A20" t="str">
            <v>01702</v>
          </cell>
        </row>
        <row r="21">
          <cell r="A21" t="str">
            <v>01243</v>
          </cell>
        </row>
        <row r="22">
          <cell r="A22" t="str">
            <v>01213_b</v>
          </cell>
        </row>
        <row r="23">
          <cell r="A23" t="str">
            <v>01192</v>
          </cell>
        </row>
        <row r="24">
          <cell r="A24" t="str">
            <v>01212</v>
          </cell>
        </row>
        <row r="25">
          <cell r="A25" t="str">
            <v>01229</v>
          </cell>
        </row>
        <row r="26">
          <cell r="A26" t="str">
            <v>01251</v>
          </cell>
        </row>
        <row r="27">
          <cell r="A27" t="str">
            <v>01372</v>
          </cell>
        </row>
        <row r="28">
          <cell r="A28" t="str">
            <v>01213_cf</v>
          </cell>
        </row>
        <row r="29">
          <cell r="A29" t="str">
            <v>01213</v>
          </cell>
        </row>
        <row r="30">
          <cell r="A30" t="str">
            <v>01199.90</v>
          </cell>
        </row>
        <row r="31">
          <cell r="A31" t="str">
            <v>01344.02</v>
          </cell>
        </row>
        <row r="32">
          <cell r="A32" t="str">
            <v>01373</v>
          </cell>
        </row>
        <row r="33">
          <cell r="A33" t="str">
            <v>01703</v>
          </cell>
        </row>
        <row r="34">
          <cell r="A34" t="str">
            <v>01231</v>
          </cell>
        </row>
        <row r="35">
          <cell r="A35" t="str">
            <v>01640</v>
          </cell>
        </row>
        <row r="36">
          <cell r="A36" t="str">
            <v>01460</v>
          </cell>
        </row>
        <row r="37">
          <cell r="A37" t="str">
            <v>01610</v>
          </cell>
        </row>
        <row r="38">
          <cell r="A38" t="str">
            <v>01232</v>
          </cell>
        </row>
        <row r="39">
          <cell r="A39" t="str">
            <v>01232_gh</v>
          </cell>
        </row>
        <row r="40">
          <cell r="A40" t="str">
            <v>01232_of</v>
          </cell>
        </row>
        <row r="41">
          <cell r="A41" t="str">
            <v>01351.01</v>
          </cell>
        </row>
        <row r="42">
          <cell r="A42" t="str">
            <v>01314</v>
          </cell>
        </row>
        <row r="43">
          <cell r="A43" t="str">
            <v>01599.10</v>
          </cell>
        </row>
        <row r="44">
          <cell r="A44" t="str">
            <v>01233</v>
          </cell>
        </row>
        <row r="45">
          <cell r="A45" t="str">
            <v>01315</v>
          </cell>
        </row>
        <row r="46">
          <cell r="A46" t="str">
            <v>01351.02</v>
          </cell>
        </row>
        <row r="47">
          <cell r="A47" t="str">
            <v>01330</v>
          </cell>
        </row>
        <row r="48">
          <cell r="A48" t="str">
            <v>01290.01</v>
          </cell>
        </row>
        <row r="49">
          <cell r="A49" t="str">
            <v>01252</v>
          </cell>
        </row>
        <row r="50">
          <cell r="A50" t="str">
            <v>0142</v>
          </cell>
        </row>
        <row r="51">
          <cell r="A51" t="str">
            <v>01374</v>
          </cell>
        </row>
        <row r="52">
          <cell r="A52" t="str">
            <v>01352</v>
          </cell>
        </row>
        <row r="53">
          <cell r="A53" t="str">
            <v>01254</v>
          </cell>
        </row>
        <row r="54">
          <cell r="A54" t="str">
            <v>01322</v>
          </cell>
        </row>
        <row r="55">
          <cell r="A55" t="str">
            <v>01704</v>
          </cell>
        </row>
        <row r="56">
          <cell r="A56" t="str">
            <v>01214</v>
          </cell>
        </row>
        <row r="57">
          <cell r="A57" t="str">
            <v>01441</v>
          </cell>
        </row>
        <row r="58">
          <cell r="A58" t="str">
            <v>01709.02</v>
          </cell>
        </row>
        <row r="59">
          <cell r="A59" t="str">
            <v>0112</v>
          </cell>
        </row>
        <row r="60">
          <cell r="A60" t="str">
            <v>01316</v>
          </cell>
        </row>
        <row r="61">
          <cell r="A61" t="str">
            <v>0118</v>
          </cell>
        </row>
        <row r="62">
          <cell r="A62" t="str">
            <v>01199.02</v>
          </cell>
        </row>
        <row r="63">
          <cell r="A63" t="str">
            <v>01270</v>
          </cell>
        </row>
        <row r="64">
          <cell r="A64" t="str">
            <v>0117</v>
          </cell>
        </row>
        <row r="65">
          <cell r="A65" t="str">
            <v>01491.01</v>
          </cell>
        </row>
        <row r="66">
          <cell r="A66" t="str">
            <v>01450</v>
          </cell>
        </row>
        <row r="67">
          <cell r="A67" t="str">
            <v>01253.02</v>
          </cell>
        </row>
        <row r="68">
          <cell r="A68" t="str">
            <v>01323</v>
          </cell>
        </row>
        <row r="69">
          <cell r="A69" t="str">
            <v>01241.90</v>
          </cell>
        </row>
        <row r="70">
          <cell r="A70" t="str">
            <v>01359.90</v>
          </cell>
        </row>
        <row r="71">
          <cell r="A71" t="str">
            <v>01449.90</v>
          </cell>
        </row>
        <row r="72">
          <cell r="A72" t="str">
            <v>01709.90</v>
          </cell>
        </row>
        <row r="73">
          <cell r="A73" t="str">
            <v>01699</v>
          </cell>
        </row>
        <row r="74">
          <cell r="A74" t="str">
            <v>01290.90</v>
          </cell>
        </row>
        <row r="75">
          <cell r="A75" t="str">
            <v>01317</v>
          </cell>
        </row>
        <row r="76">
          <cell r="A76" t="str">
            <v>01345</v>
          </cell>
        </row>
        <row r="77">
          <cell r="A77" t="str">
            <v>01342.01</v>
          </cell>
        </row>
        <row r="78">
          <cell r="A78" t="str">
            <v>01705</v>
          </cell>
        </row>
        <row r="79">
          <cell r="A79" t="str">
            <v>01242</v>
          </cell>
        </row>
        <row r="80">
          <cell r="A80" t="str">
            <v>01651</v>
          </cell>
        </row>
        <row r="81">
          <cell r="A81" t="str">
            <v>01318</v>
          </cell>
        </row>
        <row r="82">
          <cell r="A82" t="str">
            <v>01313</v>
          </cell>
        </row>
        <row r="83">
          <cell r="A83" t="str">
            <v>01346</v>
          </cell>
        </row>
        <row r="84">
          <cell r="A84" t="str">
            <v>01321</v>
          </cell>
        </row>
        <row r="85">
          <cell r="A85" t="str">
            <v>01448</v>
          </cell>
        </row>
        <row r="86">
          <cell r="A86" t="str">
            <v>01510</v>
          </cell>
        </row>
        <row r="87">
          <cell r="A87" t="str">
            <v>01235</v>
          </cell>
        </row>
        <row r="88">
          <cell r="A88" t="str">
            <v>01342.02</v>
          </cell>
        </row>
        <row r="89">
          <cell r="A89" t="str">
            <v>01194</v>
          </cell>
        </row>
        <row r="90">
          <cell r="A90" t="str">
            <v>01443</v>
          </cell>
        </row>
        <row r="91">
          <cell r="A91" t="str">
            <v>01443_s</v>
          </cell>
        </row>
        <row r="92">
          <cell r="A92" t="str">
            <v>01443_w</v>
          </cell>
        </row>
        <row r="93">
          <cell r="A93" t="str">
            <v>01353.01</v>
          </cell>
        </row>
        <row r="94">
          <cell r="A94" t="str">
            <v>0113</v>
          </cell>
        </row>
        <row r="95">
          <cell r="A95" t="str">
            <v>0116</v>
          </cell>
        </row>
        <row r="96">
          <cell r="A96" t="str">
            <v>0114</v>
          </cell>
        </row>
        <row r="97">
          <cell r="A97" t="str">
            <v>01344.01</v>
          </cell>
        </row>
        <row r="98">
          <cell r="A98" t="str">
            <v>0141</v>
          </cell>
        </row>
        <row r="99">
          <cell r="A99" t="str">
            <v>01215</v>
          </cell>
        </row>
        <row r="100">
          <cell r="A100" t="str">
            <v>01354</v>
          </cell>
        </row>
        <row r="101">
          <cell r="A101" t="str">
            <v>01801</v>
          </cell>
        </row>
        <row r="102">
          <cell r="A102" t="str">
            <v>01802</v>
          </cell>
        </row>
        <row r="103">
          <cell r="A103" t="str">
            <v>01445</v>
          </cell>
        </row>
        <row r="104">
          <cell r="A104" t="str">
            <v>01530</v>
          </cell>
        </row>
        <row r="105">
          <cell r="A105" t="str">
            <v>01324</v>
          </cell>
        </row>
        <row r="106">
          <cell r="A106" t="str">
            <v>01234</v>
          </cell>
        </row>
        <row r="107">
          <cell r="A107" t="str">
            <v>01234_gh</v>
          </cell>
        </row>
        <row r="108">
          <cell r="A108" t="str">
            <v>01234_of</v>
          </cell>
        </row>
        <row r="109">
          <cell r="A109" t="str">
            <v>01191</v>
          </cell>
        </row>
        <row r="110">
          <cell r="A110" t="str">
            <v>01929.02</v>
          </cell>
        </row>
        <row r="111">
          <cell r="A111" t="str">
            <v>01709.01</v>
          </cell>
        </row>
        <row r="112">
          <cell r="A112" t="str">
            <v>01376</v>
          </cell>
        </row>
        <row r="113">
          <cell r="A113" t="str">
            <v>01221</v>
          </cell>
        </row>
        <row r="114">
          <cell r="A114" t="str">
            <v>01221_gh</v>
          </cell>
        </row>
        <row r="115">
          <cell r="A115" t="str">
            <v>01221_of</v>
          </cell>
        </row>
        <row r="116">
          <cell r="A116" t="str">
            <v>0111</v>
          </cell>
        </row>
        <row r="117">
          <cell r="A117" t="str">
            <v>0111_s</v>
          </cell>
        </row>
        <row r="118">
          <cell r="A118" t="str">
            <v>0111_w</v>
          </cell>
        </row>
      </sheetData>
      <sheetData sheetId="7" refreshError="1">
        <row r="6">
          <cell r="A6" t="str">
            <v>01371</v>
          </cell>
          <cell r="E6"/>
          <cell r="F6"/>
          <cell r="G6"/>
          <cell r="H6"/>
          <cell r="I6"/>
          <cell r="J6"/>
          <cell r="L6"/>
        </row>
        <row r="7">
          <cell r="A7" t="str">
            <v>01654</v>
          </cell>
          <cell r="E7"/>
          <cell r="F7"/>
          <cell r="G7"/>
          <cell r="H7"/>
          <cell r="I7"/>
          <cell r="J7"/>
          <cell r="L7"/>
        </row>
        <row r="8">
          <cell r="A8" t="str">
            <v>01341</v>
          </cell>
          <cell r="E8"/>
          <cell r="F8"/>
          <cell r="G8"/>
          <cell r="H8"/>
          <cell r="I8"/>
          <cell r="J8"/>
          <cell r="L8"/>
          <cell r="M8"/>
        </row>
        <row r="9">
          <cell r="A9" t="str">
            <v>01343</v>
          </cell>
          <cell r="E9"/>
          <cell r="F9"/>
          <cell r="G9"/>
          <cell r="H9"/>
          <cell r="I9"/>
          <cell r="J9"/>
          <cell r="L9"/>
          <cell r="M9"/>
        </row>
        <row r="10">
          <cell r="A10" t="str">
            <v>01216</v>
          </cell>
          <cell r="E10"/>
          <cell r="F10"/>
          <cell r="G10"/>
          <cell r="H10"/>
          <cell r="I10"/>
          <cell r="J10"/>
          <cell r="L10"/>
          <cell r="M10"/>
        </row>
        <row r="11">
          <cell r="A11" t="str">
            <v>01211</v>
          </cell>
          <cell r="E11"/>
          <cell r="F11"/>
          <cell r="G11"/>
          <cell r="H11"/>
          <cell r="I11"/>
          <cell r="J11"/>
          <cell r="L11"/>
          <cell r="M11"/>
        </row>
        <row r="12">
          <cell r="A12" t="str">
            <v>01311</v>
          </cell>
          <cell r="E12"/>
          <cell r="F12"/>
          <cell r="G12"/>
          <cell r="H12"/>
          <cell r="I12"/>
          <cell r="J12"/>
          <cell r="L12"/>
          <cell r="M12"/>
        </row>
        <row r="13">
          <cell r="A13" t="str">
            <v>01312</v>
          </cell>
          <cell r="E13"/>
          <cell r="F13"/>
          <cell r="G13"/>
          <cell r="H13"/>
          <cell r="I13"/>
          <cell r="J13"/>
          <cell r="L13"/>
          <cell r="M13"/>
        </row>
        <row r="14">
          <cell r="A14" t="str">
            <v>0115</v>
          </cell>
          <cell r="E14"/>
          <cell r="F14"/>
          <cell r="G14"/>
          <cell r="H14"/>
          <cell r="I14"/>
          <cell r="J14"/>
          <cell r="L14"/>
          <cell r="M14"/>
        </row>
        <row r="15">
          <cell r="A15" t="str">
            <v>0115_s</v>
          </cell>
          <cell r="E15"/>
          <cell r="F15"/>
          <cell r="G15"/>
          <cell r="H15"/>
          <cell r="I15"/>
          <cell r="J15"/>
          <cell r="L15"/>
          <cell r="M15"/>
        </row>
        <row r="16">
          <cell r="A16" t="str">
            <v>0115_w</v>
          </cell>
          <cell r="E16"/>
          <cell r="F16"/>
          <cell r="G16"/>
          <cell r="H16"/>
          <cell r="I16"/>
          <cell r="J16"/>
          <cell r="L16"/>
          <cell r="M16"/>
        </row>
        <row r="17">
          <cell r="A17" t="str">
            <v>01701</v>
          </cell>
          <cell r="E17"/>
          <cell r="F17"/>
          <cell r="G17"/>
          <cell r="H17"/>
          <cell r="I17"/>
          <cell r="J17"/>
          <cell r="L17"/>
          <cell r="M17"/>
        </row>
        <row r="18">
          <cell r="A18" t="str">
            <v>01355.01</v>
          </cell>
          <cell r="E18"/>
          <cell r="F18"/>
          <cell r="G18"/>
          <cell r="H18"/>
          <cell r="I18"/>
          <cell r="J18"/>
          <cell r="L18"/>
          <cell r="M18"/>
        </row>
        <row r="19">
          <cell r="A19" t="str">
            <v>01377</v>
          </cell>
          <cell r="E19"/>
          <cell r="F19"/>
          <cell r="G19"/>
          <cell r="H19"/>
          <cell r="I19"/>
          <cell r="J19"/>
          <cell r="L19"/>
          <cell r="M19"/>
        </row>
        <row r="20">
          <cell r="A20" t="str">
            <v>01702</v>
          </cell>
          <cell r="E20"/>
          <cell r="F20"/>
          <cell r="G20"/>
          <cell r="H20"/>
          <cell r="I20"/>
          <cell r="J20"/>
          <cell r="L20"/>
          <cell r="M20"/>
        </row>
        <row r="21">
          <cell r="A21" t="str">
            <v>01243</v>
          </cell>
          <cell r="E21"/>
          <cell r="F21"/>
          <cell r="G21"/>
          <cell r="H21"/>
          <cell r="I21"/>
          <cell r="J21"/>
          <cell r="L21"/>
          <cell r="M21"/>
        </row>
        <row r="22">
          <cell r="A22" t="str">
            <v>01213_b</v>
          </cell>
          <cell r="E22"/>
          <cell r="F22"/>
          <cell r="G22"/>
          <cell r="H22"/>
          <cell r="I22"/>
          <cell r="J22"/>
          <cell r="L22"/>
          <cell r="M22"/>
        </row>
        <row r="23">
          <cell r="A23" t="str">
            <v>01192</v>
          </cell>
          <cell r="E23"/>
          <cell r="F23"/>
          <cell r="G23"/>
          <cell r="H23"/>
          <cell r="I23"/>
          <cell r="J23"/>
          <cell r="L23"/>
          <cell r="M23"/>
        </row>
        <row r="24">
          <cell r="A24" t="str">
            <v>01212</v>
          </cell>
          <cell r="E24"/>
          <cell r="F24"/>
          <cell r="G24"/>
          <cell r="H24"/>
          <cell r="I24"/>
          <cell r="J24"/>
          <cell r="L24"/>
          <cell r="M24"/>
        </row>
        <row r="25">
          <cell r="A25" t="str">
            <v>01229</v>
          </cell>
          <cell r="E25">
            <v>3.0725049178961203E-4</v>
          </cell>
          <cell r="F25">
            <v>5.0974115163884109E-5</v>
          </cell>
          <cell r="G25">
            <v>1.1000000000000001E-6</v>
          </cell>
          <cell r="H25">
            <v>2.2877844939069172E-4</v>
          </cell>
          <cell r="I25">
            <v>2.2877844939069172E-5</v>
          </cell>
          <cell r="J25">
            <v>1.2841732451190163E-6</v>
          </cell>
          <cell r="L25">
            <v>1.0190905084799998E-7</v>
          </cell>
          <cell r="M25">
            <v>2.1340000000000002E-6</v>
          </cell>
        </row>
        <row r="26">
          <cell r="A26" t="str">
            <v>01251</v>
          </cell>
          <cell r="E26"/>
          <cell r="F26"/>
          <cell r="G26"/>
          <cell r="H26"/>
          <cell r="I26"/>
          <cell r="J26"/>
          <cell r="L26"/>
          <cell r="M26"/>
        </row>
        <row r="27">
          <cell r="A27" t="str">
            <v>01372</v>
          </cell>
          <cell r="E27"/>
          <cell r="F27"/>
          <cell r="G27"/>
          <cell r="H27"/>
          <cell r="I27"/>
          <cell r="J27"/>
          <cell r="L27"/>
          <cell r="M27"/>
        </row>
        <row r="28">
          <cell r="A28" t="str">
            <v>01213_cf</v>
          </cell>
          <cell r="E28"/>
          <cell r="F28"/>
          <cell r="G28"/>
          <cell r="H28"/>
          <cell r="I28"/>
          <cell r="J28"/>
          <cell r="L28"/>
          <cell r="M28"/>
        </row>
        <row r="29">
          <cell r="A29" t="str">
            <v>01213</v>
          </cell>
          <cell r="E29"/>
          <cell r="F29"/>
          <cell r="G29"/>
          <cell r="H29"/>
          <cell r="I29"/>
          <cell r="J29"/>
          <cell r="L29"/>
          <cell r="M29"/>
        </row>
        <row r="30">
          <cell r="A30" t="str">
            <v>01199.90</v>
          </cell>
          <cell r="E30"/>
          <cell r="F30"/>
          <cell r="G30"/>
          <cell r="H30"/>
          <cell r="I30"/>
          <cell r="J30"/>
          <cell r="L30"/>
          <cell r="M30"/>
        </row>
        <row r="31">
          <cell r="A31" t="str">
            <v>01344.02</v>
          </cell>
          <cell r="E31"/>
          <cell r="F31"/>
          <cell r="G31"/>
          <cell r="H31"/>
          <cell r="I31"/>
          <cell r="J31"/>
          <cell r="L31"/>
          <cell r="M31"/>
        </row>
        <row r="32">
          <cell r="A32" t="str">
            <v>01373</v>
          </cell>
          <cell r="E32"/>
          <cell r="F32"/>
          <cell r="G32"/>
          <cell r="H32"/>
          <cell r="I32"/>
          <cell r="J32"/>
          <cell r="L32"/>
          <cell r="M32"/>
        </row>
        <row r="33">
          <cell r="A33" t="str">
            <v>01703</v>
          </cell>
          <cell r="E33"/>
          <cell r="F33"/>
          <cell r="G33"/>
          <cell r="H33"/>
          <cell r="I33"/>
          <cell r="J33"/>
          <cell r="L33"/>
          <cell r="M33"/>
        </row>
        <row r="34">
          <cell r="A34" t="str">
            <v>01231</v>
          </cell>
          <cell r="E34"/>
          <cell r="F34"/>
          <cell r="G34"/>
          <cell r="H34"/>
          <cell r="I34"/>
          <cell r="L34"/>
          <cell r="M34"/>
        </row>
        <row r="35">
          <cell r="A35" t="str">
            <v>01640</v>
          </cell>
          <cell r="E35"/>
          <cell r="F35"/>
          <cell r="G35"/>
          <cell r="H35"/>
          <cell r="I35"/>
          <cell r="J35"/>
          <cell r="L35"/>
          <cell r="M35"/>
        </row>
        <row r="36">
          <cell r="A36" t="str">
            <v>01460</v>
          </cell>
          <cell r="E36"/>
          <cell r="F36"/>
          <cell r="G36"/>
          <cell r="H36"/>
          <cell r="I36"/>
          <cell r="J36"/>
          <cell r="L36"/>
          <cell r="M36"/>
        </row>
        <row r="37">
          <cell r="A37" t="str">
            <v>01610</v>
          </cell>
          <cell r="E37">
            <v>1.408753540388654E-3</v>
          </cell>
          <cell r="F37">
            <v>4.4065498119649446E-4</v>
          </cell>
          <cell r="G37">
            <v>1.1000000000000001E-6</v>
          </cell>
          <cell r="H37">
            <v>8.7328312504099577E-4</v>
          </cell>
          <cell r="I37">
            <v>8.7328312504099585E-5</v>
          </cell>
          <cell r="J37">
            <v>5.8281659439278341E-6</v>
          </cell>
          <cell r="L37">
            <v>5.5895570313599993E-7</v>
          </cell>
          <cell r="M37">
            <v>0</v>
          </cell>
        </row>
        <row r="38">
          <cell r="A38" t="str">
            <v>01232</v>
          </cell>
          <cell r="E38"/>
          <cell r="F38"/>
          <cell r="G38"/>
          <cell r="H38"/>
          <cell r="I38"/>
          <cell r="J38"/>
          <cell r="K38" t="e">
            <v>#DIV/0!</v>
          </cell>
          <cell r="L38"/>
          <cell r="M38"/>
        </row>
        <row r="39">
          <cell r="A39" t="str">
            <v>01232_gh</v>
          </cell>
          <cell r="E39"/>
          <cell r="F39"/>
          <cell r="G39"/>
          <cell r="H39"/>
          <cell r="I39"/>
          <cell r="J39"/>
          <cell r="K39" t="e">
            <v>#DIV/0!</v>
          </cell>
          <cell r="M39"/>
        </row>
        <row r="40">
          <cell r="A40" t="str">
            <v>01232_of</v>
          </cell>
          <cell r="E40"/>
          <cell r="F40"/>
          <cell r="G40"/>
          <cell r="H40"/>
          <cell r="I40"/>
          <cell r="J40"/>
          <cell r="L40"/>
          <cell r="M40"/>
        </row>
        <row r="41">
          <cell r="A41" t="str">
            <v>01351.01</v>
          </cell>
          <cell r="E41"/>
          <cell r="F41"/>
          <cell r="G41"/>
          <cell r="H41"/>
          <cell r="I41"/>
          <cell r="J41"/>
          <cell r="L41"/>
          <cell r="M41"/>
        </row>
        <row r="42">
          <cell r="A42" t="str">
            <v>01314</v>
          </cell>
          <cell r="E42"/>
          <cell r="F42"/>
          <cell r="G42"/>
          <cell r="H42"/>
          <cell r="I42"/>
          <cell r="J42"/>
          <cell r="L42"/>
          <cell r="M42"/>
        </row>
        <row r="43">
          <cell r="A43" t="str">
            <v>01599.10</v>
          </cell>
          <cell r="E43"/>
          <cell r="F43"/>
          <cell r="G43"/>
          <cell r="H43"/>
          <cell r="I43"/>
          <cell r="J43"/>
          <cell r="L43"/>
          <cell r="M43"/>
        </row>
        <row r="44">
          <cell r="A44" t="str">
            <v>01233</v>
          </cell>
          <cell r="E44"/>
          <cell r="F44"/>
          <cell r="G44"/>
          <cell r="H44"/>
          <cell r="I44"/>
          <cell r="J44"/>
          <cell r="L44"/>
          <cell r="M44"/>
        </row>
        <row r="45">
          <cell r="A45" t="str">
            <v>01315</v>
          </cell>
          <cell r="E45"/>
          <cell r="F45"/>
          <cell r="G45"/>
          <cell r="H45"/>
          <cell r="I45"/>
          <cell r="J45"/>
          <cell r="L45"/>
          <cell r="M45"/>
        </row>
        <row r="46">
          <cell r="A46" t="str">
            <v>01351.02</v>
          </cell>
          <cell r="E46"/>
          <cell r="F46"/>
          <cell r="G46"/>
          <cell r="H46"/>
          <cell r="I46"/>
          <cell r="J46"/>
          <cell r="L46"/>
          <cell r="M46"/>
        </row>
        <row r="47">
          <cell r="A47" t="str">
            <v>01330</v>
          </cell>
          <cell r="E47"/>
          <cell r="F47"/>
          <cell r="G47"/>
          <cell r="H47"/>
          <cell r="I47"/>
          <cell r="J47"/>
          <cell r="L47"/>
          <cell r="M47"/>
        </row>
        <row r="48">
          <cell r="A48" t="str">
            <v>01290.01</v>
          </cell>
          <cell r="E48"/>
          <cell r="F48"/>
          <cell r="G48"/>
          <cell r="H48"/>
          <cell r="I48"/>
          <cell r="J48"/>
          <cell r="L48"/>
          <cell r="M48"/>
        </row>
        <row r="49">
          <cell r="A49" t="str">
            <v>01252</v>
          </cell>
          <cell r="E49"/>
          <cell r="F49"/>
          <cell r="G49"/>
          <cell r="H49"/>
          <cell r="I49"/>
          <cell r="J49"/>
          <cell r="L49"/>
          <cell r="M49"/>
        </row>
        <row r="50">
          <cell r="A50" t="str">
            <v>0142</v>
          </cell>
          <cell r="E50"/>
          <cell r="F50"/>
          <cell r="G50"/>
          <cell r="H50"/>
          <cell r="I50"/>
          <cell r="J50"/>
          <cell r="L50"/>
          <cell r="M50"/>
        </row>
        <row r="51">
          <cell r="A51" t="str">
            <v>01374</v>
          </cell>
          <cell r="E51"/>
          <cell r="F51"/>
          <cell r="G51"/>
          <cell r="H51"/>
          <cell r="I51"/>
          <cell r="J51"/>
          <cell r="L51"/>
          <cell r="M51"/>
        </row>
        <row r="52">
          <cell r="A52" t="str">
            <v>01352</v>
          </cell>
          <cell r="E52"/>
          <cell r="F52"/>
          <cell r="G52"/>
          <cell r="H52"/>
          <cell r="I52"/>
          <cell r="J52"/>
          <cell r="L52"/>
          <cell r="M52"/>
        </row>
        <row r="53">
          <cell r="A53" t="str">
            <v>01254</v>
          </cell>
          <cell r="E53"/>
          <cell r="F53"/>
          <cell r="G53"/>
          <cell r="H53"/>
          <cell r="I53"/>
          <cell r="J53"/>
          <cell r="L53"/>
          <cell r="M53"/>
        </row>
        <row r="54">
          <cell r="A54" t="str">
            <v>01322</v>
          </cell>
          <cell r="E54"/>
          <cell r="F54"/>
          <cell r="G54"/>
          <cell r="H54"/>
          <cell r="I54"/>
          <cell r="J54"/>
          <cell r="L54"/>
          <cell r="M54"/>
        </row>
        <row r="55">
          <cell r="A55" t="str">
            <v>01704</v>
          </cell>
          <cell r="E55"/>
          <cell r="F55"/>
          <cell r="G55"/>
          <cell r="H55"/>
          <cell r="I55"/>
          <cell r="J55"/>
          <cell r="L55"/>
          <cell r="M55"/>
        </row>
        <row r="56">
          <cell r="A56" t="str">
            <v>01214</v>
          </cell>
          <cell r="E56"/>
          <cell r="F56"/>
          <cell r="G56"/>
          <cell r="H56"/>
          <cell r="I56"/>
          <cell r="J56"/>
          <cell r="L56"/>
          <cell r="M56"/>
        </row>
        <row r="57">
          <cell r="A57" t="str">
            <v>01441</v>
          </cell>
          <cell r="E57"/>
          <cell r="F57"/>
          <cell r="G57"/>
          <cell r="H57"/>
          <cell r="I57"/>
          <cell r="J57"/>
          <cell r="L57"/>
          <cell r="M57"/>
        </row>
        <row r="58">
          <cell r="A58" t="str">
            <v>01709.02</v>
          </cell>
          <cell r="E58"/>
          <cell r="F58"/>
          <cell r="G58"/>
          <cell r="H58"/>
          <cell r="I58"/>
          <cell r="J58"/>
          <cell r="L58"/>
          <cell r="M58"/>
        </row>
        <row r="59">
          <cell r="A59" t="str">
            <v>0112</v>
          </cell>
          <cell r="E59"/>
          <cell r="F59"/>
          <cell r="G59"/>
          <cell r="H59"/>
          <cell r="I59"/>
          <cell r="J59"/>
          <cell r="L59"/>
          <cell r="M59"/>
        </row>
        <row r="60">
          <cell r="A60" t="str">
            <v>01316</v>
          </cell>
          <cell r="E60">
            <v>4.4960340805545192E-4</v>
          </cell>
          <cell r="F60">
            <v>1.0138337921849036E-4</v>
          </cell>
          <cell r="G60">
            <v>1.1000000000000001E-6</v>
          </cell>
          <cell r="H60">
            <v>3.121518177319685E-4</v>
          </cell>
          <cell r="I60">
            <v>3.1215181773196848E-5</v>
          </cell>
          <cell r="J60">
            <v>1.5171202809482004E-6</v>
          </cell>
          <cell r="L60">
            <v>1.0190905084799999E-7</v>
          </cell>
          <cell r="M60">
            <v>2.1340000000000002E-6</v>
          </cell>
        </row>
        <row r="61">
          <cell r="A61" t="str">
            <v>0118</v>
          </cell>
          <cell r="E61"/>
          <cell r="F61"/>
          <cell r="G61"/>
          <cell r="H61"/>
          <cell r="I61"/>
          <cell r="J61"/>
          <cell r="L61"/>
          <cell r="M61"/>
        </row>
        <row r="62">
          <cell r="A62" t="str">
            <v>01199.02</v>
          </cell>
          <cell r="E62"/>
          <cell r="F62"/>
          <cell r="G62"/>
          <cell r="H62"/>
          <cell r="I62"/>
          <cell r="J62"/>
          <cell r="L62"/>
          <cell r="M62"/>
        </row>
        <row r="63">
          <cell r="A63" t="str">
            <v>01270</v>
          </cell>
          <cell r="E63"/>
          <cell r="F63"/>
          <cell r="G63"/>
          <cell r="H63"/>
          <cell r="I63"/>
          <cell r="J63"/>
          <cell r="L63"/>
          <cell r="M63"/>
        </row>
        <row r="64">
          <cell r="A64" t="str">
            <v>0117</v>
          </cell>
          <cell r="E64"/>
          <cell r="F64"/>
          <cell r="G64"/>
          <cell r="H64"/>
          <cell r="I64"/>
          <cell r="J64"/>
          <cell r="L64"/>
          <cell r="M64"/>
        </row>
        <row r="65">
          <cell r="A65" t="str">
            <v>01491.01</v>
          </cell>
          <cell r="E65"/>
          <cell r="F65"/>
          <cell r="G65"/>
          <cell r="H65"/>
          <cell r="I65"/>
          <cell r="J65"/>
          <cell r="L65"/>
          <cell r="M65"/>
        </row>
        <row r="66">
          <cell r="A66" t="str">
            <v>01450</v>
          </cell>
          <cell r="E66"/>
          <cell r="F66"/>
          <cell r="G66"/>
          <cell r="H66"/>
          <cell r="I66"/>
          <cell r="J66"/>
          <cell r="L66"/>
          <cell r="M66"/>
        </row>
        <row r="67">
          <cell r="A67" t="str">
            <v>01253.02</v>
          </cell>
          <cell r="E67"/>
          <cell r="F67"/>
          <cell r="G67"/>
          <cell r="H67"/>
          <cell r="I67"/>
          <cell r="J67"/>
          <cell r="L67"/>
          <cell r="M67"/>
        </row>
        <row r="68">
          <cell r="A68" t="str">
            <v>01323</v>
          </cell>
          <cell r="E68">
            <v>4.4912501757350329E-4</v>
          </cell>
          <cell r="F68">
            <v>1.0138337921849036E-4</v>
          </cell>
          <cell r="G68">
            <v>1.1000000000000001E-6</v>
          </cell>
          <cell r="H68">
            <v>3.1215181773196844E-4</v>
          </cell>
          <cell r="I68">
            <v>3.1215181773196848E-5</v>
          </cell>
          <cell r="J68">
            <v>1.1344625437356628E-6</v>
          </cell>
          <cell r="L68">
            <v>6.1763061119999986E-9</v>
          </cell>
          <cell r="M68">
            <v>2.1340000000000002E-6</v>
          </cell>
        </row>
        <row r="69">
          <cell r="A69" t="str">
            <v>01241.90</v>
          </cell>
          <cell r="E69"/>
          <cell r="F69"/>
          <cell r="G69"/>
          <cell r="H69"/>
          <cell r="I69"/>
          <cell r="J69"/>
          <cell r="L69"/>
          <cell r="M69"/>
        </row>
        <row r="70">
          <cell r="A70" t="str">
            <v>01359.90</v>
          </cell>
          <cell r="E70"/>
          <cell r="F70"/>
          <cell r="G70"/>
          <cell r="H70"/>
          <cell r="I70"/>
          <cell r="J70"/>
          <cell r="L70"/>
          <cell r="M70"/>
        </row>
        <row r="71">
          <cell r="A71" t="str">
            <v>01449.90</v>
          </cell>
          <cell r="E71"/>
          <cell r="F71"/>
          <cell r="G71"/>
          <cell r="H71"/>
          <cell r="I71"/>
          <cell r="J71"/>
          <cell r="L71"/>
          <cell r="M71"/>
        </row>
        <row r="72">
          <cell r="A72" t="str">
            <v>01709.90</v>
          </cell>
          <cell r="E72"/>
          <cell r="F72"/>
          <cell r="G72"/>
          <cell r="H72"/>
          <cell r="I72"/>
          <cell r="J72"/>
          <cell r="L72"/>
          <cell r="M72"/>
        </row>
        <row r="73">
          <cell r="A73" t="str">
            <v>01699</v>
          </cell>
          <cell r="E73"/>
          <cell r="F73"/>
          <cell r="G73"/>
          <cell r="H73"/>
          <cell r="I73"/>
          <cell r="J73"/>
          <cell r="L73"/>
          <cell r="M73"/>
        </row>
        <row r="74">
          <cell r="A74" t="str">
            <v>01290.90</v>
          </cell>
          <cell r="E74"/>
          <cell r="F74"/>
          <cell r="G74"/>
          <cell r="H74"/>
          <cell r="I74"/>
          <cell r="J74"/>
          <cell r="L74"/>
          <cell r="M74"/>
        </row>
        <row r="75">
          <cell r="A75" t="str">
            <v>01317</v>
          </cell>
          <cell r="E75">
            <v>4.488637668286979E-4</v>
          </cell>
          <cell r="F75">
            <v>1.0138337921849036E-4</v>
          </cell>
          <cell r="G75">
            <v>1.1000000000000001E-6</v>
          </cell>
          <cell r="H75">
            <v>3.121518177319685E-4</v>
          </cell>
          <cell r="I75">
            <v>3.1215181773196848E-5</v>
          </cell>
          <cell r="J75">
            <v>7.7747905419418983E-7</v>
          </cell>
          <cell r="L75">
            <v>1.0190905084799998E-7</v>
          </cell>
          <cell r="M75">
            <v>2.1340000000000002E-6</v>
          </cell>
        </row>
        <row r="76">
          <cell r="A76" t="str">
            <v>01345</v>
          </cell>
          <cell r="E76"/>
          <cell r="F76"/>
          <cell r="G76"/>
          <cell r="H76"/>
          <cell r="I76"/>
          <cell r="J76"/>
          <cell r="L76"/>
          <cell r="M76"/>
        </row>
        <row r="77">
          <cell r="A77" t="str">
            <v>01342.01</v>
          </cell>
          <cell r="E77"/>
          <cell r="F77"/>
          <cell r="G77"/>
          <cell r="H77"/>
          <cell r="I77"/>
          <cell r="J77"/>
          <cell r="L77"/>
          <cell r="M77"/>
        </row>
        <row r="78">
          <cell r="A78" t="str">
            <v>01705</v>
          </cell>
          <cell r="E78"/>
          <cell r="F78"/>
          <cell r="G78"/>
          <cell r="H78"/>
          <cell r="I78"/>
          <cell r="J78"/>
          <cell r="L78"/>
          <cell r="M78"/>
        </row>
        <row r="79">
          <cell r="A79" t="str">
            <v>01242</v>
          </cell>
          <cell r="E79"/>
          <cell r="F79"/>
          <cell r="G79"/>
          <cell r="H79"/>
          <cell r="I79"/>
          <cell r="J79"/>
          <cell r="L79"/>
          <cell r="M79"/>
        </row>
        <row r="80">
          <cell r="A80" t="str">
            <v>01651</v>
          </cell>
          <cell r="E80">
            <v>2.8022870224612674E-4</v>
          </cell>
          <cell r="F80">
            <v>3.7953136598275572E-5</v>
          </cell>
          <cell r="G80">
            <v>1.1000000000000001E-6</v>
          </cell>
          <cell r="H80">
            <v>2.0724266896472951E-4</v>
          </cell>
          <cell r="I80">
            <v>2.0724266896472954E-5</v>
          </cell>
          <cell r="J80">
            <v>1.0768902634104724E-5</v>
          </cell>
          <cell r="L80">
            <v>3.0572715254399994E-7</v>
          </cell>
          <cell r="M80">
            <v>2.1340000000000002E-6</v>
          </cell>
        </row>
        <row r="81">
          <cell r="A81" t="str">
            <v>01318</v>
          </cell>
          <cell r="E81"/>
          <cell r="F81"/>
          <cell r="G81"/>
          <cell r="H81"/>
          <cell r="I81"/>
          <cell r="J81"/>
          <cell r="L81"/>
          <cell r="M81"/>
        </row>
        <row r="82">
          <cell r="A82" t="str">
            <v>01313</v>
          </cell>
          <cell r="E82"/>
          <cell r="F82"/>
          <cell r="G82"/>
          <cell r="H82"/>
          <cell r="I82"/>
          <cell r="J82"/>
          <cell r="L82"/>
          <cell r="M82"/>
        </row>
        <row r="83">
          <cell r="A83" t="str">
            <v>01346</v>
          </cell>
          <cell r="E83"/>
          <cell r="F83"/>
          <cell r="G83"/>
          <cell r="H83"/>
          <cell r="I83"/>
          <cell r="J83"/>
          <cell r="L83"/>
          <cell r="M83"/>
        </row>
        <row r="84">
          <cell r="A84" t="str">
            <v>01321</v>
          </cell>
          <cell r="E84"/>
          <cell r="F84"/>
          <cell r="G84"/>
          <cell r="H84"/>
          <cell r="I84"/>
          <cell r="J84"/>
          <cell r="L84"/>
          <cell r="M84"/>
        </row>
        <row r="85">
          <cell r="A85" t="str">
            <v>01448</v>
          </cell>
          <cell r="E85"/>
          <cell r="F85"/>
          <cell r="G85"/>
          <cell r="H85"/>
          <cell r="I85"/>
          <cell r="J85"/>
          <cell r="L85"/>
          <cell r="M85"/>
        </row>
        <row r="86">
          <cell r="A86" t="str">
            <v>01510</v>
          </cell>
          <cell r="E86"/>
          <cell r="F86"/>
          <cell r="G86"/>
          <cell r="H86"/>
          <cell r="I86"/>
          <cell r="J86"/>
          <cell r="L86"/>
          <cell r="M86"/>
        </row>
        <row r="87">
          <cell r="A87" t="str">
            <v>01235</v>
          </cell>
          <cell r="E87"/>
          <cell r="F87"/>
          <cell r="G87"/>
          <cell r="H87"/>
          <cell r="I87"/>
          <cell r="J87"/>
          <cell r="L87"/>
          <cell r="M87"/>
        </row>
        <row r="88">
          <cell r="A88" t="str">
            <v>01342.02</v>
          </cell>
          <cell r="E88"/>
          <cell r="F88"/>
          <cell r="G88"/>
          <cell r="H88"/>
          <cell r="I88"/>
          <cell r="J88"/>
          <cell r="L88"/>
          <cell r="M88"/>
        </row>
        <row r="89">
          <cell r="A89" t="str">
            <v>01194</v>
          </cell>
          <cell r="E89"/>
          <cell r="F89"/>
          <cell r="G89"/>
          <cell r="H89"/>
          <cell r="I89"/>
          <cell r="J89"/>
          <cell r="L89"/>
          <cell r="M89"/>
        </row>
        <row r="90">
          <cell r="A90" t="str">
            <v>01443</v>
          </cell>
          <cell r="E90"/>
          <cell r="F90"/>
          <cell r="G90"/>
          <cell r="H90"/>
          <cell r="I90"/>
          <cell r="J90"/>
          <cell r="L90"/>
          <cell r="M90"/>
        </row>
        <row r="91">
          <cell r="A91" t="str">
            <v>01443_s</v>
          </cell>
          <cell r="E91"/>
          <cell r="F91"/>
          <cell r="G91"/>
          <cell r="H91"/>
          <cell r="I91"/>
          <cell r="J91"/>
          <cell r="L91"/>
          <cell r="M91"/>
        </row>
        <row r="92">
          <cell r="A92" t="str">
            <v>01443_w</v>
          </cell>
          <cell r="E92"/>
          <cell r="F92"/>
          <cell r="G92"/>
          <cell r="H92"/>
          <cell r="I92"/>
          <cell r="J92"/>
          <cell r="L92"/>
          <cell r="M92"/>
        </row>
        <row r="93">
          <cell r="A93" t="str">
            <v>01353.01</v>
          </cell>
          <cell r="E93"/>
          <cell r="F93"/>
          <cell r="G93"/>
          <cell r="H93"/>
          <cell r="I93"/>
          <cell r="J93"/>
          <cell r="L93"/>
          <cell r="M93"/>
        </row>
        <row r="94">
          <cell r="A94" t="str">
            <v>0113</v>
          </cell>
          <cell r="E94"/>
          <cell r="F94"/>
          <cell r="G94"/>
          <cell r="H94"/>
          <cell r="I94"/>
          <cell r="J94"/>
          <cell r="L94"/>
          <cell r="M94"/>
        </row>
        <row r="95">
          <cell r="A95" t="str">
            <v>0116</v>
          </cell>
          <cell r="E95"/>
          <cell r="F95"/>
          <cell r="G95"/>
          <cell r="H95"/>
          <cell r="I95"/>
          <cell r="J95"/>
          <cell r="L95"/>
          <cell r="M95"/>
        </row>
        <row r="96">
          <cell r="A96" t="str">
            <v>0114</v>
          </cell>
          <cell r="E96"/>
          <cell r="F96"/>
          <cell r="G96"/>
          <cell r="H96"/>
          <cell r="I96"/>
          <cell r="J96"/>
          <cell r="L96"/>
          <cell r="M96"/>
        </row>
        <row r="97">
          <cell r="A97" t="str">
            <v>01344.01</v>
          </cell>
          <cell r="E97"/>
          <cell r="F97"/>
          <cell r="G97"/>
          <cell r="H97"/>
          <cell r="I97"/>
          <cell r="J97"/>
          <cell r="L97"/>
          <cell r="M97"/>
        </row>
        <row r="98">
          <cell r="A98" t="str">
            <v>0141</v>
          </cell>
          <cell r="E98">
            <v>3.6099979646730582E-4</v>
          </cell>
          <cell r="F98">
            <v>8.5474058496577423E-6</v>
          </cell>
          <cell r="G98">
            <v>1.1000000000000001E-6</v>
          </cell>
          <cell r="H98">
            <v>3.1647312658963683E-4</v>
          </cell>
          <cell r="I98">
            <v>3.1647312658963685E-5</v>
          </cell>
          <cell r="J98">
            <v>1.360897215991556E-6</v>
          </cell>
          <cell r="L98">
            <v>3.0881530559999997E-9</v>
          </cell>
          <cell r="M98">
            <v>1.8679660000000001E-6</v>
          </cell>
        </row>
        <row r="99">
          <cell r="A99" t="str">
            <v>01215</v>
          </cell>
          <cell r="E99"/>
          <cell r="F99"/>
          <cell r="G99"/>
          <cell r="H99"/>
          <cell r="I99"/>
          <cell r="J99"/>
          <cell r="L99"/>
          <cell r="M99"/>
        </row>
        <row r="100">
          <cell r="A100" t="str">
            <v>01354</v>
          </cell>
          <cell r="E100"/>
          <cell r="F100"/>
          <cell r="G100"/>
          <cell r="H100"/>
          <cell r="I100"/>
          <cell r="J100"/>
          <cell r="L100"/>
          <cell r="M100"/>
        </row>
        <row r="101">
          <cell r="A101" t="str">
            <v>01801</v>
          </cell>
          <cell r="E101"/>
          <cell r="F101"/>
          <cell r="G101"/>
          <cell r="H101"/>
          <cell r="I101"/>
          <cell r="J101"/>
          <cell r="L101"/>
          <cell r="M101"/>
        </row>
        <row r="102">
          <cell r="A102" t="str">
            <v>01802</v>
          </cell>
          <cell r="E102"/>
          <cell r="F102"/>
          <cell r="G102"/>
          <cell r="H102"/>
          <cell r="I102"/>
          <cell r="J102"/>
          <cell r="L102"/>
          <cell r="M102"/>
        </row>
        <row r="103">
          <cell r="A103" t="str">
            <v>01445</v>
          </cell>
          <cell r="E103"/>
          <cell r="F103"/>
          <cell r="G103"/>
          <cell r="H103"/>
          <cell r="I103"/>
          <cell r="J103"/>
          <cell r="L103"/>
          <cell r="M103"/>
        </row>
        <row r="104">
          <cell r="A104" t="str">
            <v>01530</v>
          </cell>
          <cell r="E104"/>
          <cell r="F104"/>
          <cell r="G104"/>
          <cell r="H104"/>
          <cell r="I104"/>
          <cell r="J104"/>
          <cell r="L104"/>
          <cell r="M104"/>
        </row>
        <row r="105">
          <cell r="A105" t="str">
            <v>01324</v>
          </cell>
          <cell r="E105"/>
          <cell r="F105"/>
          <cell r="G105"/>
          <cell r="H105"/>
          <cell r="I105"/>
          <cell r="J105"/>
          <cell r="L105"/>
          <cell r="M105"/>
        </row>
        <row r="106">
          <cell r="A106" t="str">
            <v>01234</v>
          </cell>
          <cell r="E106"/>
          <cell r="F106"/>
          <cell r="G106"/>
          <cell r="H106"/>
          <cell r="I106"/>
          <cell r="J106"/>
          <cell r="K106" t="e">
            <v>#DIV/0!</v>
          </cell>
          <cell r="M106"/>
        </row>
        <row r="107">
          <cell r="A107" t="str">
            <v>01234_gh</v>
          </cell>
          <cell r="E107"/>
          <cell r="F107"/>
          <cell r="G107"/>
          <cell r="H107"/>
          <cell r="I107"/>
          <cell r="J107"/>
          <cell r="K107" t="e">
            <v>#DIV/0!</v>
          </cell>
          <cell r="M107"/>
        </row>
        <row r="108">
          <cell r="A108" t="str">
            <v>01234_of</v>
          </cell>
          <cell r="E108"/>
          <cell r="F108"/>
          <cell r="G108"/>
          <cell r="H108"/>
          <cell r="I108"/>
          <cell r="J108"/>
          <cell r="L108"/>
          <cell r="M108"/>
        </row>
        <row r="109">
          <cell r="A109" t="str">
            <v>01191</v>
          </cell>
          <cell r="E109"/>
          <cell r="F109"/>
          <cell r="G109"/>
          <cell r="H109"/>
          <cell r="I109"/>
          <cell r="J109"/>
          <cell r="L109"/>
          <cell r="M109"/>
        </row>
        <row r="110">
          <cell r="A110" t="str">
            <v>01929.02</v>
          </cell>
          <cell r="E110"/>
          <cell r="F110"/>
          <cell r="G110"/>
          <cell r="H110"/>
          <cell r="I110"/>
          <cell r="J110"/>
          <cell r="L110"/>
          <cell r="M110"/>
        </row>
        <row r="111">
          <cell r="A111" t="str">
            <v>01709.01</v>
          </cell>
          <cell r="E111"/>
          <cell r="F111"/>
          <cell r="G111"/>
          <cell r="H111"/>
          <cell r="I111"/>
          <cell r="J111"/>
          <cell r="L111"/>
          <cell r="M111"/>
        </row>
        <row r="112">
          <cell r="A112" t="str">
            <v>01376</v>
          </cell>
          <cell r="E112"/>
          <cell r="F112"/>
          <cell r="G112"/>
          <cell r="H112"/>
          <cell r="I112"/>
          <cell r="J112"/>
          <cell r="L112"/>
          <cell r="M112"/>
        </row>
        <row r="113">
          <cell r="A113" t="str">
            <v>01221</v>
          </cell>
          <cell r="E113">
            <v>2.717323942633313E-4</v>
          </cell>
          <cell r="F113">
            <v>3.832495580567136E-5</v>
          </cell>
          <cell r="G113">
            <v>1.1000000000000001E-6</v>
          </cell>
          <cell r="H113">
            <v>2.0785763171643699E-4</v>
          </cell>
          <cell r="I113">
            <v>2.0785763171643701E-5</v>
          </cell>
          <cell r="J113">
            <v>1.4281345187311838E-6</v>
          </cell>
          <cell r="L113">
            <v>1.0190905084799997E-7</v>
          </cell>
          <cell r="M113">
            <v>2.1340000000000002E-6</v>
          </cell>
        </row>
        <row r="114">
          <cell r="A114" t="str">
            <v>01221_gh</v>
          </cell>
          <cell r="E114"/>
          <cell r="F114"/>
          <cell r="G114"/>
          <cell r="H114"/>
          <cell r="I114"/>
          <cell r="J114"/>
          <cell r="L114"/>
          <cell r="M114"/>
        </row>
        <row r="115">
          <cell r="A115" t="str">
            <v>01221_of</v>
          </cell>
          <cell r="E115"/>
          <cell r="F115"/>
          <cell r="G115"/>
          <cell r="H115"/>
          <cell r="I115"/>
          <cell r="J115"/>
          <cell r="L115"/>
          <cell r="M115"/>
        </row>
        <row r="116">
          <cell r="A116" t="str">
            <v>0111</v>
          </cell>
          <cell r="E116"/>
          <cell r="F116"/>
          <cell r="G116"/>
          <cell r="H116"/>
          <cell r="I116"/>
          <cell r="J116"/>
          <cell r="L116"/>
          <cell r="M116"/>
        </row>
        <row r="117">
          <cell r="A117" t="str">
            <v>0111_s</v>
          </cell>
          <cell r="E117"/>
          <cell r="F117"/>
          <cell r="G117"/>
          <cell r="H117"/>
          <cell r="I117"/>
          <cell r="J117"/>
          <cell r="L117"/>
          <cell r="M117"/>
        </row>
        <row r="118">
          <cell r="A118" t="str">
            <v>0111_w</v>
          </cell>
          <cell r="E118"/>
          <cell r="F118"/>
          <cell r="G118"/>
          <cell r="H118"/>
          <cell r="I118"/>
          <cell r="J118"/>
          <cell r="L118"/>
          <cell r="M118"/>
        </row>
      </sheetData>
      <sheetData sheetId="8" refreshError="1">
        <row r="28">
          <cell r="A28" t="str">
            <v>Berries</v>
          </cell>
        </row>
        <row r="29">
          <cell r="A29" t="str">
            <v>Cereals</v>
          </cell>
          <cell r="B29">
            <v>0.41000000000000003</v>
          </cell>
          <cell r="C29">
            <v>7.2000000000000008E-2</v>
          </cell>
        </row>
        <row r="30">
          <cell r="A30" t="str">
            <v>Cereals, incl feed</v>
          </cell>
          <cell r="B30">
            <v>0.41000000000000003</v>
          </cell>
          <cell r="C30">
            <v>7.2000000000000008E-2</v>
          </cell>
        </row>
        <row r="31">
          <cell r="A31" t="str">
            <v>Fruits</v>
          </cell>
          <cell r="C31">
            <v>0.22</v>
          </cell>
        </row>
        <row r="32">
          <cell r="A32" t="str">
            <v>Mushrooms</v>
          </cell>
        </row>
        <row r="33">
          <cell r="A33" t="str">
            <v>Nuts</v>
          </cell>
          <cell r="B33">
            <v>0.82000000000000006</v>
          </cell>
          <cell r="C33">
            <v>7.2000000000000008E-2</v>
          </cell>
        </row>
        <row r="34">
          <cell r="A34" t="str">
            <v>Oil crops</v>
          </cell>
          <cell r="B34">
            <v>0.82000000000000006</v>
          </cell>
          <cell r="C34">
            <v>7.2000000000000008E-2</v>
          </cell>
        </row>
        <row r="35">
          <cell r="A35" t="str">
            <v>Oil crops, tree</v>
          </cell>
          <cell r="B35">
            <v>0.82000000000000006</v>
          </cell>
          <cell r="C35">
            <v>7.2000000000000008E-2</v>
          </cell>
        </row>
        <row r="36">
          <cell r="A36" t="str">
            <v>Other</v>
          </cell>
        </row>
        <row r="37">
          <cell r="A37" t="str">
            <v>Pulses</v>
          </cell>
          <cell r="B37">
            <v>0.41000000000000003</v>
          </cell>
          <cell r="C37">
            <v>7.2000000000000008E-2</v>
          </cell>
        </row>
        <row r="38">
          <cell r="A38" t="str">
            <v>Pulses, incl feed</v>
          </cell>
          <cell r="B38">
            <v>0.41000000000000003</v>
          </cell>
          <cell r="C38">
            <v>7.2000000000000008E-2</v>
          </cell>
        </row>
        <row r="39">
          <cell r="A39" t="str">
            <v>Roots</v>
          </cell>
          <cell r="C39">
            <v>0.22</v>
          </cell>
        </row>
        <row r="40">
          <cell r="A40" t="str">
            <v>Seeds</v>
          </cell>
          <cell r="B40">
            <v>0.41000000000000003</v>
          </cell>
          <cell r="C40">
            <v>7.2000000000000008E-2</v>
          </cell>
        </row>
        <row r="41">
          <cell r="A41" t="str">
            <v>Spices</v>
          </cell>
          <cell r="B41">
            <v>0.41000000000000003</v>
          </cell>
          <cell r="C41">
            <v>7.2000000000000008E-2</v>
          </cell>
        </row>
        <row r="42">
          <cell r="A42" t="str">
            <v>Stimulants</v>
          </cell>
        </row>
        <row r="43">
          <cell r="A43" t="str">
            <v>Sugar crops</v>
          </cell>
          <cell r="C43">
            <v>0.22</v>
          </cell>
        </row>
        <row r="44">
          <cell r="A44" t="str">
            <v>Vegetables</v>
          </cell>
          <cell r="C44">
            <v>0.22</v>
          </cell>
        </row>
      </sheetData>
      <sheetData sheetId="9" refreshError="1">
        <row r="6">
          <cell r="B6">
            <v>7.4799500000000005E-2</v>
          </cell>
        </row>
        <row r="7">
          <cell r="B7">
            <v>8.0560000000000007E-2</v>
          </cell>
        </row>
        <row r="10">
          <cell r="B10">
            <v>1.6999999999999999E-3</v>
          </cell>
        </row>
        <row r="13">
          <cell r="B13">
            <v>7.5920000000000001E-2</v>
          </cell>
          <cell r="E13">
            <v>35.200000000000003</v>
          </cell>
        </row>
        <row r="20">
          <cell r="E20">
            <v>0.08</v>
          </cell>
        </row>
        <row r="21">
          <cell r="E21">
            <v>0.92</v>
          </cell>
        </row>
        <row r="28">
          <cell r="B28">
            <v>7.5028151531290013E-2</v>
          </cell>
        </row>
        <row r="35">
          <cell r="B35">
            <v>2.7E-2</v>
          </cell>
        </row>
        <row r="41">
          <cell r="A41" t="str">
            <v>Berries</v>
          </cell>
        </row>
        <row r="42">
          <cell r="A42" t="str">
            <v>Cereals</v>
          </cell>
        </row>
        <row r="43">
          <cell r="A43" t="str">
            <v>Cereals, incl feed</v>
          </cell>
        </row>
        <row r="44">
          <cell r="A44" t="str">
            <v>Fruits</v>
          </cell>
        </row>
        <row r="45">
          <cell r="A45" t="str">
            <v>Mushrooms</v>
          </cell>
        </row>
        <row r="46">
          <cell r="A46" t="str">
            <v>Nuts</v>
          </cell>
        </row>
        <row r="47">
          <cell r="A47" t="str">
            <v>Oil crops</v>
          </cell>
        </row>
        <row r="48">
          <cell r="A48" t="str">
            <v>Oil crops, tree</v>
          </cell>
        </row>
        <row r="49">
          <cell r="A49" t="str">
            <v>Other</v>
          </cell>
        </row>
        <row r="50">
          <cell r="A50" t="str">
            <v>Pulses</v>
          </cell>
        </row>
        <row r="51">
          <cell r="A51" t="str">
            <v>Pulses, incl feed</v>
          </cell>
        </row>
        <row r="52">
          <cell r="A52" t="str">
            <v>Roots</v>
          </cell>
        </row>
        <row r="53">
          <cell r="A53" t="str">
            <v>Seeds</v>
          </cell>
        </row>
        <row r="54">
          <cell r="A54" t="str">
            <v>Spices</v>
          </cell>
        </row>
        <row r="55">
          <cell r="A55" t="str">
            <v>Stimulants</v>
          </cell>
        </row>
        <row r="56">
          <cell r="A56" t="str">
            <v>Sugar crops</v>
          </cell>
        </row>
        <row r="57">
          <cell r="A57" t="str">
            <v>Vegetables</v>
          </cell>
        </row>
        <row r="69">
          <cell r="B69">
            <v>352323</v>
          </cell>
        </row>
        <row r="73">
          <cell r="B73">
            <v>0.05</v>
          </cell>
        </row>
        <row r="74">
          <cell r="B74">
            <v>1.2158920539730134</v>
          </cell>
        </row>
      </sheetData>
      <sheetData sheetId="10" refreshError="1">
        <row r="5">
          <cell r="C5">
            <v>27</v>
          </cell>
          <cell r="D5">
            <v>29.8</v>
          </cell>
          <cell r="E5">
            <v>273</v>
          </cell>
        </row>
      </sheetData>
      <sheetData sheetId="1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2:B26"/>
  <sheetViews>
    <sheetView topLeftCell="A17" zoomScale="80" zoomScaleNormal="80" workbookViewId="0">
      <selection activeCell="D19" sqref="D19"/>
    </sheetView>
  </sheetViews>
  <sheetFormatPr baseColWidth="10" defaultColWidth="8.83203125" defaultRowHeight="15" x14ac:dyDescent="0.2"/>
  <cols>
    <col min="1" max="1" width="8.83203125" style="31" customWidth="1"/>
    <col min="2" max="2" width="18.33203125" customWidth="1"/>
    <col min="3" max="3" width="31.5" customWidth="1"/>
    <col min="4" max="4" width="24.6640625" customWidth="1"/>
  </cols>
  <sheetData>
    <row r="2" spans="1:2" ht="21" customHeight="1" x14ac:dyDescent="0.25">
      <c r="A2" s="64" t="s">
        <v>71</v>
      </c>
    </row>
    <row r="4" spans="1:2" x14ac:dyDescent="0.2">
      <c r="A4" s="31" t="s">
        <v>72</v>
      </c>
    </row>
    <row r="7" spans="1:2" x14ac:dyDescent="0.2">
      <c r="A7" s="31" t="s">
        <v>73</v>
      </c>
    </row>
    <row r="8" spans="1:2" x14ac:dyDescent="0.2">
      <c r="A8" s="31" t="s">
        <v>74</v>
      </c>
    </row>
    <row r="9" spans="1:2" x14ac:dyDescent="0.2">
      <c r="A9" s="31" t="s">
        <v>75</v>
      </c>
    </row>
    <row r="13" spans="1:2" x14ac:dyDescent="0.2">
      <c r="A13" s="31" t="s">
        <v>76</v>
      </c>
    </row>
    <row r="15" spans="1:2" x14ac:dyDescent="0.2">
      <c r="A15" s="84"/>
      <c r="B15" t="s">
        <v>77</v>
      </c>
    </row>
    <row r="16" spans="1:2" x14ac:dyDescent="0.2">
      <c r="A16" s="109"/>
      <c r="B16" t="s">
        <v>78</v>
      </c>
    </row>
    <row r="17" spans="1:2" x14ac:dyDescent="0.2">
      <c r="A17" s="110"/>
      <c r="B17" t="s">
        <v>79</v>
      </c>
    </row>
    <row r="18" spans="1:2" x14ac:dyDescent="0.2">
      <c r="A18" s="294"/>
      <c r="B18" t="s">
        <v>80</v>
      </c>
    </row>
    <row r="20" spans="1:2" x14ac:dyDescent="0.2">
      <c r="A20" s="112" t="s">
        <v>81</v>
      </c>
    </row>
    <row r="23" spans="1:2" x14ac:dyDescent="0.2">
      <c r="A23" s="31" t="s">
        <v>82</v>
      </c>
    </row>
    <row r="24" spans="1:2" x14ac:dyDescent="0.2">
      <c r="A24" s="31" t="s">
        <v>83</v>
      </c>
    </row>
    <row r="25" spans="1:2" x14ac:dyDescent="0.2">
      <c r="A25" s="31" t="s">
        <v>84</v>
      </c>
    </row>
    <row r="26" spans="1:2" x14ac:dyDescent="0.2">
      <c r="A26" s="31" t="s">
        <v>85</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tint="0.499984740745262"/>
  </sheetPr>
  <dimension ref="A2:M83"/>
  <sheetViews>
    <sheetView topLeftCell="A45" workbookViewId="0">
      <selection activeCell="J55" sqref="J55"/>
    </sheetView>
  </sheetViews>
  <sheetFormatPr baseColWidth="10" defaultColWidth="8.83203125" defaultRowHeight="15" x14ac:dyDescent="0.2"/>
  <cols>
    <col min="1" max="1" width="13.83203125" customWidth="1"/>
    <col min="2" max="2" width="12.6640625" bestFit="1" customWidth="1"/>
    <col min="3" max="3" width="11" bestFit="1" customWidth="1"/>
    <col min="4" max="7" width="12" bestFit="1" customWidth="1"/>
    <col min="13" max="13" width="11" bestFit="1" customWidth="1"/>
  </cols>
  <sheetData>
    <row r="2" spans="1:13" ht="21" customHeight="1" x14ac:dyDescent="0.25">
      <c r="A2" s="2" t="s">
        <v>80</v>
      </c>
      <c r="B2" s="288"/>
      <c r="C2" s="288"/>
      <c r="D2" s="288"/>
      <c r="E2" s="288"/>
      <c r="F2" s="288"/>
      <c r="G2" s="288"/>
      <c r="H2" s="288"/>
      <c r="I2" s="288"/>
      <c r="J2" s="288"/>
      <c r="K2" s="288"/>
      <c r="L2" s="288"/>
      <c r="M2" s="288"/>
    </row>
    <row r="4" spans="1:13" x14ac:dyDescent="0.2">
      <c r="A4" t="s">
        <v>86</v>
      </c>
    </row>
    <row r="7" spans="1:13" ht="15" customHeight="1" x14ac:dyDescent="0.2"/>
    <row r="8" spans="1:13" ht="15" customHeight="1" x14ac:dyDescent="0.2"/>
    <row r="9" spans="1:13" ht="15" customHeight="1" x14ac:dyDescent="0.2"/>
    <row r="10" spans="1:13" ht="15" customHeight="1" x14ac:dyDescent="0.2"/>
    <row r="11" spans="1:13" ht="15" customHeight="1" x14ac:dyDescent="0.2"/>
    <row r="12" spans="1:13" ht="15" customHeight="1" x14ac:dyDescent="0.2"/>
    <row r="13" spans="1:13" ht="15" customHeight="1" x14ac:dyDescent="0.2"/>
    <row r="14" spans="1:13" ht="15" customHeight="1" x14ac:dyDescent="0.2"/>
    <row r="15" spans="1:13" ht="15" customHeight="1" x14ac:dyDescent="0.2"/>
    <row r="16" spans="1:13" ht="15" customHeight="1" x14ac:dyDescent="0.2"/>
    <row r="17" spans="1:1" ht="15" customHeight="1" x14ac:dyDescent="0.2"/>
    <row r="18" spans="1:1" ht="15" customHeight="1" x14ac:dyDescent="0.2"/>
    <row r="19" spans="1:1" ht="15" customHeight="1" x14ac:dyDescent="0.2">
      <c r="A19" s="286"/>
    </row>
    <row r="20" spans="1:1" ht="15" customHeight="1" x14ac:dyDescent="0.2">
      <c r="A20" s="286"/>
    </row>
    <row r="42" spans="1:12" x14ac:dyDescent="0.2">
      <c r="A42" t="s">
        <v>87</v>
      </c>
    </row>
    <row r="45" spans="1:12" x14ac:dyDescent="0.2">
      <c r="J45" t="s">
        <v>88</v>
      </c>
      <c r="L45" t="s">
        <v>89</v>
      </c>
    </row>
    <row r="47" spans="1:12" x14ac:dyDescent="0.2">
      <c r="J47" t="str">
        <f t="shared" ref="J47:J58" si="0">A72</f>
        <v>Poland</v>
      </c>
      <c r="L47" t="s">
        <v>90</v>
      </c>
    </row>
    <row r="48" spans="1:12" x14ac:dyDescent="0.2">
      <c r="J48" t="str">
        <f t="shared" si="0"/>
        <v>Netherlands</v>
      </c>
      <c r="L48" t="s">
        <v>53</v>
      </c>
    </row>
    <row r="49" spans="10:12" x14ac:dyDescent="0.2">
      <c r="J49" t="str">
        <f t="shared" si="0"/>
        <v>Greece</v>
      </c>
      <c r="L49" t="s">
        <v>63</v>
      </c>
    </row>
    <row r="50" spans="10:12" x14ac:dyDescent="0.2">
      <c r="J50" s="329" t="str">
        <f t="shared" si="0"/>
        <v>Spain</v>
      </c>
      <c r="L50" t="s">
        <v>51</v>
      </c>
    </row>
    <row r="51" spans="10:12" x14ac:dyDescent="0.2">
      <c r="J51" t="str">
        <f t="shared" si="0"/>
        <v xml:space="preserve">Denmark </v>
      </c>
      <c r="L51" t="s">
        <v>55</v>
      </c>
    </row>
    <row r="52" spans="10:12" x14ac:dyDescent="0.2">
      <c r="J52" t="str">
        <f t="shared" si="0"/>
        <v>UK</v>
      </c>
      <c r="L52" t="s">
        <v>91</v>
      </c>
    </row>
    <row r="53" spans="10:12" x14ac:dyDescent="0.2">
      <c r="J53" t="str">
        <f t="shared" si="0"/>
        <v>Ireland</v>
      </c>
      <c r="L53" t="s">
        <v>69</v>
      </c>
    </row>
    <row r="54" spans="10:12" x14ac:dyDescent="0.2">
      <c r="J54" s="329" t="str">
        <f t="shared" si="0"/>
        <v>Sweden</v>
      </c>
      <c r="L54" t="s">
        <v>42</v>
      </c>
    </row>
    <row r="55" spans="10:12" x14ac:dyDescent="0.2">
      <c r="J55" t="str">
        <f t="shared" si="0"/>
        <v>Germany</v>
      </c>
      <c r="L55" t="s">
        <v>59</v>
      </c>
    </row>
    <row r="56" spans="10:12" x14ac:dyDescent="0.2">
      <c r="J56" t="str">
        <f t="shared" si="0"/>
        <v xml:space="preserve">Hungary </v>
      </c>
      <c r="L56" t="s">
        <v>49</v>
      </c>
    </row>
    <row r="57" spans="10:12" x14ac:dyDescent="0.2">
      <c r="J57" t="str">
        <f t="shared" si="0"/>
        <v>Italy</v>
      </c>
      <c r="L57" t="s">
        <v>65</v>
      </c>
    </row>
    <row r="58" spans="10:12" x14ac:dyDescent="0.2">
      <c r="J58" t="str">
        <f t="shared" si="0"/>
        <v>France</v>
      </c>
      <c r="L58" t="s">
        <v>67</v>
      </c>
    </row>
    <row r="71" spans="1:13" ht="43.5" customHeight="1" x14ac:dyDescent="0.2">
      <c r="B71" s="286" t="s">
        <v>92</v>
      </c>
      <c r="C71" s="286" t="s">
        <v>24</v>
      </c>
      <c r="D71" s="286" t="s">
        <v>93</v>
      </c>
      <c r="E71" s="286" t="s">
        <v>94</v>
      </c>
      <c r="F71" s="286" t="s">
        <v>95</v>
      </c>
      <c r="G71" s="286" t="s">
        <v>96</v>
      </c>
      <c r="H71" s="286" t="s">
        <v>32</v>
      </c>
      <c r="I71" s="287" t="s">
        <v>33</v>
      </c>
      <c r="J71" s="287" t="s">
        <v>97</v>
      </c>
      <c r="K71" s="286" t="s">
        <v>37</v>
      </c>
      <c r="L71" s="286" t="s">
        <v>38</v>
      </c>
      <c r="M71" s="286" t="s">
        <v>98</v>
      </c>
    </row>
    <row r="72" spans="1:13" x14ac:dyDescent="0.2">
      <c r="A72" t="s">
        <v>63</v>
      </c>
      <c r="B72">
        <f>'GHG det, per kg meat'!H51</f>
        <v>0.14182589030893067</v>
      </c>
      <c r="C72">
        <f>'GHG det, per kg meat'!I51</f>
        <v>8.7209413865151686E-2</v>
      </c>
      <c r="D72">
        <f>'GHG det, per kg meat'!J51+'GHG det, per kg meat'!K51</f>
        <v>0.47869873339254421</v>
      </c>
      <c r="E72">
        <f>'GHG det, per kg meat'!L51+'GHG det, per kg meat'!N51</f>
        <v>0.11587266637204043</v>
      </c>
      <c r="F72">
        <f>'GHG det, per kg meat'!O51</f>
        <v>0.15365027384382648</v>
      </c>
      <c r="G72">
        <f>'GHG det, per kg meat'!P51</f>
        <v>0.15633033300729995</v>
      </c>
      <c r="H72">
        <f>'GHG det, per kg meat'!R51</f>
        <v>9.3510057818236819E-2</v>
      </c>
      <c r="I72">
        <f>'GHG det, per kg meat'!S51</f>
        <v>0</v>
      </c>
      <c r="J72">
        <f>'GHG det, per kg meat'!T51</f>
        <v>0.13493193578594725</v>
      </c>
      <c r="K72">
        <f>'GHG det, per kg meat'!W51</f>
        <v>0.18848012962060898</v>
      </c>
      <c r="L72">
        <f>'GHG det, per kg meat'!X51</f>
        <v>0.41940393093351269</v>
      </c>
      <c r="M72">
        <f t="shared" ref="M72:M83" si="1">SUM(B72:L72)</f>
        <v>1.9699133649480991</v>
      </c>
    </row>
    <row r="73" spans="1:13" x14ac:dyDescent="0.2">
      <c r="A73" t="s">
        <v>90</v>
      </c>
      <c r="B73">
        <f>'GHG det, per kg meat'!H46</f>
        <v>0.11906285917231932</v>
      </c>
      <c r="C73">
        <f>'GHG det, per kg meat'!I46</f>
        <v>0.1003133145372106</v>
      </c>
      <c r="D73">
        <f>'GHG det, per kg meat'!J46+'GHG det, per kg meat'!K46</f>
        <v>0.35586016493638062</v>
      </c>
      <c r="E73">
        <f>'GHG det, per kg meat'!L46+'GHG det, per kg meat'!N46</f>
        <v>0.10993817827073814</v>
      </c>
      <c r="F73">
        <f>'GHG det, per kg meat'!O46</f>
        <v>0.14896507040137574</v>
      </c>
      <c r="G73">
        <f>'GHG det, per kg meat'!P46</f>
        <v>0.18806865613563159</v>
      </c>
      <c r="H73">
        <f>'GHG det, per kg meat'!R46</f>
        <v>0.18349894885881349</v>
      </c>
      <c r="I73">
        <f>'GHG det, per kg meat'!S46</f>
        <v>0</v>
      </c>
      <c r="J73">
        <f>'GHG det, per kg meat'!T46</f>
        <v>0.17500499955385898</v>
      </c>
      <c r="K73">
        <f>'GHG det, per kg meat'!W46</f>
        <v>0.18288500714974945</v>
      </c>
      <c r="L73">
        <f>'GHG det, per kg meat'!X46</f>
        <v>0.25559746822167556</v>
      </c>
      <c r="M73">
        <f t="shared" si="1"/>
        <v>1.8191946672377532</v>
      </c>
    </row>
    <row r="74" spans="1:13" x14ac:dyDescent="0.2">
      <c r="A74" t="s">
        <v>53</v>
      </c>
      <c r="B74">
        <f>'GHG det, per kg meat'!H26</f>
        <v>8.5456252781013847E-2</v>
      </c>
      <c r="C74">
        <f>'GHG det, per kg meat'!I26</f>
        <v>7.8980020177101998E-2</v>
      </c>
      <c r="D74">
        <f>'GHG det, per kg meat'!J26+'GHG det, per kg meat'!K26</f>
        <v>0.34915927495820642</v>
      </c>
      <c r="E74">
        <f>'GHG det, per kg meat'!L26+'GHG det, per kg meat'!N26</f>
        <v>0.14758025795654392</v>
      </c>
      <c r="F74">
        <f>'GHG det, per kg meat'!O26</f>
        <v>0.12077628777993152</v>
      </c>
      <c r="G74">
        <f>'GHG det, per kg meat'!P26</f>
        <v>0.22046761555307084</v>
      </c>
      <c r="H74">
        <f>'GHG det, per kg meat'!R26</f>
        <v>0.18269950918057767</v>
      </c>
      <c r="I74">
        <f>'GHG det, per kg meat'!S26</f>
        <v>0</v>
      </c>
      <c r="J74">
        <f>'GHG det, per kg meat'!T26</f>
        <v>0.14086885701709909</v>
      </c>
      <c r="K74">
        <f>'GHG det, per kg meat'!W26</f>
        <v>0.14842219170035933</v>
      </c>
      <c r="L74">
        <f>'GHG det, per kg meat'!X26</f>
        <v>0.30495267973279938</v>
      </c>
      <c r="M74">
        <f t="shared" si="1"/>
        <v>1.779362946836704</v>
      </c>
    </row>
    <row r="75" spans="1:13" x14ac:dyDescent="0.2">
      <c r="A75" t="s">
        <v>65</v>
      </c>
      <c r="B75">
        <f>'GHG det, per kg meat'!H56</f>
        <v>0.11959261573702391</v>
      </c>
      <c r="C75">
        <f>'GHG det, per kg meat'!I56</f>
        <v>8.8556933476482844E-2</v>
      </c>
      <c r="D75">
        <f>'GHG det, per kg meat'!J56+'GHG det, per kg meat'!K56</f>
        <v>0.45248518580355479</v>
      </c>
      <c r="E75">
        <f>'GHG det, per kg meat'!L56+'GHG det, per kg meat'!N56</f>
        <v>0.16706857822750495</v>
      </c>
      <c r="F75">
        <f>'GHG det, per kg meat'!O56</f>
        <v>0.11737352952134456</v>
      </c>
      <c r="G75">
        <f>'GHG det, per kg meat'!P56</f>
        <v>0.17889596424503415</v>
      </c>
      <c r="H75">
        <f>'GHG det, per kg meat'!R56</f>
        <v>0.15390876477548007</v>
      </c>
      <c r="I75">
        <f>'GHG det, per kg meat'!S56</f>
        <v>0</v>
      </c>
      <c r="J75">
        <f>'GHG det, per kg meat'!T56</f>
        <v>0.1519825872072284</v>
      </c>
      <c r="K75">
        <f>'GHG det, per kg meat'!W56</f>
        <v>0.10435440964687527</v>
      </c>
      <c r="L75">
        <f>'GHG det, per kg meat'!X56</f>
        <v>0.17904473100855914</v>
      </c>
      <c r="M75">
        <f t="shared" si="1"/>
        <v>1.7132632996490882</v>
      </c>
    </row>
    <row r="76" spans="1:13" x14ac:dyDescent="0.2">
      <c r="A76" t="s">
        <v>99</v>
      </c>
      <c r="B76">
        <f>'GHG det, per kg meat'!H11</f>
        <v>9.3166572330003167E-2</v>
      </c>
      <c r="C76">
        <f>'GHG det, per kg meat'!I11</f>
        <v>8.1982797149030159E-2</v>
      </c>
      <c r="D76">
        <f>'GHG det, per kg meat'!J11+'GHG det, per kg meat'!K11</f>
        <v>0.3462383604337087</v>
      </c>
      <c r="E76">
        <f>'GHG det, per kg meat'!L11+'GHG det, per kg meat'!N11</f>
        <v>9.1810537683648497E-2</v>
      </c>
      <c r="F76">
        <f>'GHG det, per kg meat'!O11</f>
        <v>0.11337825586506189</v>
      </c>
      <c r="G76">
        <f>'GHG det, per kg meat'!P11</f>
        <v>0.27794174774745456</v>
      </c>
      <c r="H76">
        <f>'GHG det, per kg meat'!R11</f>
        <v>0.22863941613368885</v>
      </c>
      <c r="I76">
        <f>'GHG det, per kg meat'!S11</f>
        <v>0</v>
      </c>
      <c r="J76">
        <f>'GHG det, per kg meat'!T11</f>
        <v>9.7409280950466665E-2</v>
      </c>
      <c r="K76">
        <f>'GHG det, per kg meat'!W11</f>
        <v>0.11752266480025438</v>
      </c>
      <c r="L76">
        <f>'GHG det, per kg meat'!X11</f>
        <v>0.20399743819056709</v>
      </c>
      <c r="M76">
        <f t="shared" si="1"/>
        <v>1.652087071283884</v>
      </c>
    </row>
    <row r="77" spans="1:13" ht="16" x14ac:dyDescent="0.2">
      <c r="A77" s="287" t="s">
        <v>69</v>
      </c>
      <c r="B77">
        <f>'GHG det, per kg meat'!H66</f>
        <v>0.13284786163725093</v>
      </c>
      <c r="C77">
        <f>'GHG det, per kg meat'!I66</f>
        <v>8.6959835343506861E-2</v>
      </c>
      <c r="D77">
        <f>'GHG det, per kg meat'!J66+'GHG det, per kg meat'!K66</f>
        <v>0.37162780230828518</v>
      </c>
      <c r="E77">
        <f>'GHG det, per kg meat'!L66+'GHG det, per kg meat'!N66</f>
        <v>9.9269175673005569E-2</v>
      </c>
      <c r="F77">
        <f>'GHG det, per kg meat'!O66</f>
        <v>0.1229209564847815</v>
      </c>
      <c r="G77">
        <f>'GHG det, per kg meat'!P66</f>
        <v>0.1871499229406047</v>
      </c>
      <c r="H77">
        <f>'GHG det, per kg meat'!R66</f>
        <v>0.17296399352250316</v>
      </c>
      <c r="I77">
        <f>'GHG det, per kg meat'!S66</f>
        <v>0</v>
      </c>
      <c r="J77">
        <f>'GHG det, per kg meat'!T66</f>
        <v>9.0979991211224215E-2</v>
      </c>
      <c r="K77">
        <f>'GHG det, per kg meat'!W66</f>
        <v>0.11782558699067439</v>
      </c>
      <c r="L77">
        <f>'GHG det, per kg meat'!X66</f>
        <v>0.21753380913369938</v>
      </c>
      <c r="M77">
        <f t="shared" si="1"/>
        <v>1.6000789352455356</v>
      </c>
    </row>
    <row r="78" spans="1:13" x14ac:dyDescent="0.2">
      <c r="A78" t="s">
        <v>91</v>
      </c>
      <c r="B78">
        <f>'GHG det, per kg meat'!H36</f>
        <v>7.9091032558217075E-2</v>
      </c>
      <c r="C78">
        <f>'GHG det, per kg meat'!I36</f>
        <v>8.0623471140318398E-2</v>
      </c>
      <c r="D78">
        <f>'GHG det, per kg meat'!J36+'GHG det, per kg meat'!K36</f>
        <v>0.28988863765578599</v>
      </c>
      <c r="E78">
        <f>'GHG det, per kg meat'!L36+'GHG det, per kg meat'!N36</f>
        <v>8.3717797830787491E-2</v>
      </c>
      <c r="F78">
        <f>'GHG det, per kg meat'!O36</f>
        <v>0.10934813291674637</v>
      </c>
      <c r="G78">
        <f>'GHG det, per kg meat'!P36</f>
        <v>0.27555354739824978</v>
      </c>
      <c r="H78">
        <f>'GHG det, per kg meat'!R36</f>
        <v>0.21693015229173673</v>
      </c>
      <c r="I78">
        <f>'GHG det, per kg meat'!S36</f>
        <v>0</v>
      </c>
      <c r="J78">
        <f>'GHG det, per kg meat'!T36</f>
        <v>8.5783505094092272E-2</v>
      </c>
      <c r="K78">
        <f>'GHG det, per kg meat'!W36</f>
        <v>0.11406221682689352</v>
      </c>
      <c r="L78">
        <f>'GHG det, per kg meat'!X36</f>
        <v>0.20988536490670037</v>
      </c>
      <c r="M78">
        <f t="shared" si="1"/>
        <v>1.5448838586195277</v>
      </c>
    </row>
    <row r="79" spans="1:13" x14ac:dyDescent="0.2">
      <c r="A79" s="17" t="s">
        <v>67</v>
      </c>
      <c r="B79">
        <f>'GHG det, per kg meat'!H61</f>
        <v>0.14520261021801248</v>
      </c>
      <c r="C79">
        <f>'GHG det, per kg meat'!I61</f>
        <v>8.5374835917830044E-2</v>
      </c>
      <c r="D79">
        <f>'GHG det, per kg meat'!J61+'GHG det, per kg meat'!K61</f>
        <v>0.43109578813912852</v>
      </c>
      <c r="E79">
        <f>'GHG det, per kg meat'!L61+'GHG det, per kg meat'!N61</f>
        <v>0.10402696491229446</v>
      </c>
      <c r="F79">
        <f>'GHG det, per kg meat'!O61</f>
        <v>0.1060361558226675</v>
      </c>
      <c r="G79">
        <f>'GHG det, per kg meat'!P61</f>
        <v>0.23472272626242752</v>
      </c>
      <c r="H79">
        <f>'GHG det, per kg meat'!R61</f>
        <v>0.15985253492247123</v>
      </c>
      <c r="I79">
        <f>'GHG det, per kg meat'!S61</f>
        <v>0</v>
      </c>
      <c r="J79">
        <f>'GHG det, per kg meat'!T61</f>
        <v>9.5642890832451255E-2</v>
      </c>
      <c r="K79">
        <f>'GHG det, per kg meat'!W61</f>
        <v>7.9453601866809637E-2</v>
      </c>
      <c r="L79">
        <f>'GHG det, per kg meat'!X61</f>
        <v>5.6285414421603369E-2</v>
      </c>
      <c r="M79">
        <f t="shared" si="1"/>
        <v>1.4976935233156963</v>
      </c>
    </row>
    <row r="80" spans="1:13" x14ac:dyDescent="0.2">
      <c r="A80" t="s">
        <v>51</v>
      </c>
      <c r="B80">
        <f>'GHG det, per kg meat'!H21</f>
        <v>8.860161292388849E-2</v>
      </c>
      <c r="C80">
        <f>'GHG det, per kg meat'!I21</f>
        <v>8.9761711249717699E-2</v>
      </c>
      <c r="D80">
        <f>'GHG det, per kg meat'!J21+'GHG det, per kg meat'!K21</f>
        <v>0.36103751917324906</v>
      </c>
      <c r="E80">
        <f>'GHG det, per kg meat'!L21+'GHG det, per kg meat'!N21</f>
        <v>8.7252238761104856E-2</v>
      </c>
      <c r="F80">
        <f>'GHG det, per kg meat'!O21</f>
        <v>0.13433333810246961</v>
      </c>
      <c r="G80">
        <f>'GHG det, per kg meat'!P21</f>
        <v>0.10160661063511113</v>
      </c>
      <c r="H80">
        <f>'GHG det, per kg meat'!R21</f>
        <v>9.8051944550827913E-2</v>
      </c>
      <c r="I80">
        <f>'GHG det, per kg meat'!S1</f>
        <v>0</v>
      </c>
      <c r="J80">
        <f>'GHG det, per kg meat'!T21</f>
        <v>0.17092470370446172</v>
      </c>
      <c r="K80">
        <f>'GHG det, per kg meat'!W21</f>
        <v>0.144454052967282</v>
      </c>
      <c r="L80">
        <f>'GHG det, per kg meat'!X21</f>
        <v>0.24383327814653336</v>
      </c>
      <c r="M80">
        <f t="shared" si="1"/>
        <v>1.5198570102146458</v>
      </c>
    </row>
    <row r="81" spans="1:13" x14ac:dyDescent="0.2">
      <c r="A81" t="s">
        <v>100</v>
      </c>
      <c r="B81">
        <f>'GHG det, per kg meat'!H31</f>
        <v>0.10192608576753485</v>
      </c>
      <c r="C81">
        <f>'GHG det, per kg meat'!I31</f>
        <v>8.5868898378355277E-2</v>
      </c>
      <c r="D81">
        <f>'GHG det, per kg meat'!J31+'GHG det, per kg meat'!K31</f>
        <v>0.41016510067501383</v>
      </c>
      <c r="E81">
        <f>'GHG det, per kg meat'!L31+'GHG det, per kg meat'!N31</f>
        <v>0.10320102174266391</v>
      </c>
      <c r="F81">
        <f>'GHG det, per kg meat'!O31</f>
        <v>0.12261656629674957</v>
      </c>
      <c r="G81">
        <f>'GHG det, per kg meat'!P31</f>
        <v>0.12041668325213123</v>
      </c>
      <c r="H81">
        <f>'GHG det, per kg meat'!R31</f>
        <v>8.1917852588737614E-2</v>
      </c>
      <c r="I81">
        <f>'GHG det, per kg meat'!S31</f>
        <v>0</v>
      </c>
      <c r="J81">
        <f>'GHG det, per kg meat'!T31</f>
        <v>0.11621092494143098</v>
      </c>
      <c r="K81">
        <f>'GHG det, per kg meat'!W31</f>
        <v>0.12459752733178922</v>
      </c>
      <c r="L81">
        <f>'GHG det, per kg meat'!X31</f>
        <v>0.23688221010831328</v>
      </c>
      <c r="M81">
        <f t="shared" si="1"/>
        <v>1.5038028710827196</v>
      </c>
    </row>
    <row r="82" spans="1:13" x14ac:dyDescent="0.2">
      <c r="A82" t="s">
        <v>59</v>
      </c>
      <c r="B82">
        <f>'GHG det, per kg meat'!H41</f>
        <v>8.931492246760056E-2</v>
      </c>
      <c r="C82">
        <f>'GHG det, per kg meat'!I41</f>
        <v>8.0783957551538069E-2</v>
      </c>
      <c r="D82">
        <f>'GHG det, per kg meat'!J41+'GHG det, per kg meat'!K41</f>
        <v>0.33739746380463698</v>
      </c>
      <c r="E82">
        <f>'GHG det, per kg meat'!L41+'GHG det, per kg meat'!N41</f>
        <v>9.6654448160504988E-2</v>
      </c>
      <c r="F82">
        <f>'GHG det, per kg meat'!O41</f>
        <v>0.11376981156059619</v>
      </c>
      <c r="G82">
        <f>'GHG det, per kg meat'!P41</f>
        <v>0.1253073776867886</v>
      </c>
      <c r="H82">
        <f>'GHG det, per kg meat'!R41</f>
        <v>0.11300434545990885</v>
      </c>
      <c r="I82">
        <f>'GHG det, per kg meat'!S41</f>
        <v>0</v>
      </c>
      <c r="J82">
        <f>'GHG det, per kg meat'!T41</f>
        <v>0.10003053959263787</v>
      </c>
      <c r="K82">
        <f>'GHG det, per kg meat'!W41</f>
        <v>0.11973363913307442</v>
      </c>
      <c r="L82">
        <f>'GHG det, per kg meat'!X41</f>
        <v>0.22298538668341386</v>
      </c>
      <c r="M82">
        <f t="shared" si="1"/>
        <v>1.3989818921007005</v>
      </c>
    </row>
    <row r="83" spans="1:13" x14ac:dyDescent="0.2">
      <c r="A83" t="s">
        <v>49</v>
      </c>
      <c r="B83">
        <f>'GHG det, per kg meat'!H16</f>
        <v>0.130303063365317</v>
      </c>
      <c r="C83">
        <f>'GHG det, per kg meat'!I16</f>
        <v>8.4783462380159588E-2</v>
      </c>
      <c r="D83">
        <f>'GHG det, per kg meat'!J16+'GHG det, per kg meat'!K16</f>
        <v>0.38748891759640147</v>
      </c>
      <c r="E83">
        <f>'GHG det, per kg meat'!L16+'GHG det, per kg meat'!N16</f>
        <v>9.2696922188693492E-2</v>
      </c>
      <c r="F83">
        <f>'GHG det, per kg meat'!O16</f>
        <v>0.10839290327316987</v>
      </c>
      <c r="G83">
        <f>'GHG det, per kg meat'!P16</f>
        <v>9.9075411511305084E-2</v>
      </c>
      <c r="H83">
        <f>'GHG det, per kg meat'!R16</f>
        <v>9.7482979671635481E-2</v>
      </c>
      <c r="I83">
        <f>'GHG det, per kg meat'!S16</f>
        <v>0</v>
      </c>
      <c r="J83">
        <f>'GHG det, per kg meat'!T16</f>
        <v>0.11578241920431788</v>
      </c>
      <c r="K83">
        <f>'GHG det, per kg meat'!W16</f>
        <v>9.5025782073278317E-2</v>
      </c>
      <c r="L83">
        <f>'GHG det, per kg meat'!X16</f>
        <v>0.11443774572789947</v>
      </c>
      <c r="M83">
        <f t="shared" si="1"/>
        <v>1.3254696069921779</v>
      </c>
    </row>
  </sheetData>
  <autoFilter ref="A71:M83" xr:uid="{00000000-0009-0000-0000-000001000000}">
    <sortState xmlns:xlrd2="http://schemas.microsoft.com/office/spreadsheetml/2017/richdata2" ref="A72:M83">
      <sortCondition descending="1" ref="M71:M83"/>
    </sortState>
  </autoFilter>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1">
    <tabColor theme="9" tint="0.59999389629810485"/>
  </sheetPr>
  <dimension ref="A2:V20"/>
  <sheetViews>
    <sheetView zoomScale="90" zoomScaleNormal="90" workbookViewId="0">
      <selection activeCell="A6" sqref="A6:C7"/>
    </sheetView>
  </sheetViews>
  <sheetFormatPr baseColWidth="10" defaultColWidth="8.83203125" defaultRowHeight="15" x14ac:dyDescent="0.2"/>
  <cols>
    <col min="1" max="1" width="8.83203125" style="31" customWidth="1"/>
    <col min="2" max="2" width="22.83203125" customWidth="1"/>
    <col min="3" max="3" width="25.5" customWidth="1"/>
    <col min="4" max="4" width="16.5" customWidth="1"/>
    <col min="5" max="11" width="10.5" customWidth="1"/>
    <col min="12" max="13" width="14.6640625" customWidth="1"/>
    <col min="14" max="14" width="14.6640625" style="13" customWidth="1"/>
    <col min="15" max="20" width="14.6640625" customWidth="1"/>
    <col min="21" max="21" width="15.83203125" customWidth="1"/>
  </cols>
  <sheetData>
    <row r="2" spans="1:21" ht="21" customHeight="1" x14ac:dyDescent="0.25">
      <c r="A2" s="64" t="s">
        <v>101</v>
      </c>
      <c r="M2" s="214" t="s">
        <v>102</v>
      </c>
    </row>
    <row r="3" spans="1:21" x14ac:dyDescent="0.2">
      <c r="P3" s="8"/>
      <c r="R3" s="8"/>
      <c r="S3" s="9"/>
      <c r="T3" s="9"/>
      <c r="U3" s="9"/>
    </row>
    <row r="4" spans="1:21" x14ac:dyDescent="0.2">
      <c r="A4" s="85"/>
      <c r="B4" s="86"/>
      <c r="C4" s="86"/>
      <c r="D4" s="86"/>
      <c r="E4" s="86"/>
      <c r="F4" s="86"/>
      <c r="G4" s="86"/>
      <c r="H4" s="86"/>
      <c r="I4" s="86"/>
      <c r="J4" s="86"/>
      <c r="K4" s="86"/>
      <c r="L4" s="86"/>
      <c r="M4" s="86"/>
      <c r="N4" s="87"/>
      <c r="O4" s="86"/>
      <c r="P4" s="88"/>
      <c r="Q4" s="86"/>
      <c r="R4" s="88"/>
      <c r="S4" s="89"/>
      <c r="T4" s="89"/>
      <c r="U4" s="89"/>
    </row>
    <row r="5" spans="1:21" x14ac:dyDescent="0.2">
      <c r="A5" s="66" t="s">
        <v>8</v>
      </c>
      <c r="B5" s="46"/>
      <c r="C5" s="46"/>
      <c r="D5" s="53"/>
      <c r="E5" s="53"/>
      <c r="F5" s="235" t="s">
        <v>103</v>
      </c>
      <c r="G5" s="53"/>
      <c r="H5" s="53"/>
      <c r="I5" s="53"/>
      <c r="J5" s="53"/>
      <c r="K5" s="53"/>
      <c r="L5" s="39" t="s">
        <v>104</v>
      </c>
      <c r="M5" s="39" t="s">
        <v>105</v>
      </c>
      <c r="N5" s="39" t="s">
        <v>106</v>
      </c>
      <c r="O5" s="39" t="s">
        <v>107</v>
      </c>
      <c r="P5" s="40" t="s">
        <v>108</v>
      </c>
      <c r="Q5" s="40" t="s">
        <v>109</v>
      </c>
      <c r="R5" s="40" t="s">
        <v>110</v>
      </c>
      <c r="S5" s="40" t="s">
        <v>111</v>
      </c>
      <c r="T5" s="58" t="s">
        <v>112</v>
      </c>
      <c r="U5" s="58" t="s">
        <v>113</v>
      </c>
    </row>
    <row r="6" spans="1:21" s="10" customFormat="1" ht="43.5" customHeight="1" x14ac:dyDescent="0.2">
      <c r="A6" s="68" t="s">
        <v>114</v>
      </c>
      <c r="B6" s="67" t="s">
        <v>115</v>
      </c>
      <c r="C6" s="67" t="s">
        <v>116</v>
      </c>
      <c r="D6" s="69" t="s">
        <v>19</v>
      </c>
      <c r="E6" s="70" t="s">
        <v>20</v>
      </c>
      <c r="F6" s="234" t="s">
        <v>117</v>
      </c>
      <c r="G6" s="233" t="s">
        <v>118</v>
      </c>
      <c r="H6" s="234" t="s">
        <v>119</v>
      </c>
      <c r="I6" s="234" t="s">
        <v>120</v>
      </c>
      <c r="J6" s="234" t="s">
        <v>121</v>
      </c>
      <c r="K6" s="233" t="s">
        <v>122</v>
      </c>
      <c r="L6" s="74" t="s">
        <v>123</v>
      </c>
      <c r="M6" s="74" t="s">
        <v>124</v>
      </c>
      <c r="N6" s="74" t="s">
        <v>125</v>
      </c>
      <c r="O6" s="75" t="s">
        <v>126</v>
      </c>
      <c r="P6" s="76" t="s">
        <v>127</v>
      </c>
      <c r="Q6" s="77" t="s">
        <v>128</v>
      </c>
      <c r="R6" s="77" t="s">
        <v>129</v>
      </c>
      <c r="S6" s="77" t="s">
        <v>130</v>
      </c>
      <c r="T6" s="73" t="s">
        <v>131</v>
      </c>
      <c r="U6" s="73"/>
    </row>
    <row r="7" spans="1:21" x14ac:dyDescent="0.2">
      <c r="A7" s="13">
        <v>21121</v>
      </c>
      <c r="B7" s="13" t="s">
        <v>132</v>
      </c>
      <c r="C7" s="17" t="s">
        <v>133</v>
      </c>
      <c r="D7" t="s">
        <v>99</v>
      </c>
      <c r="E7" t="s">
        <v>43</v>
      </c>
      <c r="F7" s="12">
        <f>'Footprints, absolute'!F7/Production!$B$24*AF_meat</f>
        <v>1.690761470184394</v>
      </c>
      <c r="G7" s="12">
        <f>'Footprints, absolute'!G7/Production!$B$24*AF_meat</f>
        <v>1.1803367850847264</v>
      </c>
      <c r="H7" s="47">
        <f>'Footprints, absolute'!H7/Production!$B$24*AF_meat</f>
        <v>1.2744446152597498E-3</v>
      </c>
      <c r="I7" s="47">
        <f>'Footprints, absolute'!I7/Production!$B$24*AF_meat</f>
        <v>1.6439484164572054E-3</v>
      </c>
      <c r="J7" s="47">
        <f>'Footprints, absolute'!J7/Production!$B$24*AF_meat</f>
        <v>1.5679839865222816E-3</v>
      </c>
      <c r="L7" s="19">
        <f>'Footprints, absolute'!L7/Production!$B$24*AF_meat</f>
        <v>5.1036114331262903</v>
      </c>
      <c r="M7" s="20">
        <f>'Footprints, absolute'!M7/Production!$B$24*AF_meat</f>
        <v>5.8596435320457177E-2</v>
      </c>
      <c r="N7" s="20">
        <f>'Footprints, absolute'!N7/Production!$B$24*AF_meat</f>
        <v>7.5024498321599065E-3</v>
      </c>
      <c r="O7" s="32">
        <f>'Footprints, absolute'!O7/Production!$B$24*AF_meat</f>
        <v>1.5933180334400669E-2</v>
      </c>
      <c r="P7" s="32">
        <f>'Footprints, absolute'!P7/Production!$B$24*AF_meat</f>
        <v>0.42693651672231553</v>
      </c>
      <c r="Q7" s="32">
        <f>'Footprints, absolute'!Q7/Production!$B$24*AF_meat</f>
        <v>1.372543150792247E-10</v>
      </c>
      <c r="R7" s="32">
        <f>'Footprints, absolute'!R7/Production!$B$24*AF_meat</f>
        <v>4.7156524741534998E-2</v>
      </c>
      <c r="S7" s="11"/>
      <c r="T7" s="5">
        <f>'Footprints, absolute'!T7*AF_meat</f>
        <v>55.857489776791667</v>
      </c>
      <c r="U7" s="5">
        <f>'Footprints, absolute'!U7*AF_meat</f>
        <v>16.471808037365115</v>
      </c>
    </row>
    <row r="8" spans="1:21" x14ac:dyDescent="0.2">
      <c r="A8" s="13">
        <v>21121</v>
      </c>
      <c r="B8" s="13" t="s">
        <v>132</v>
      </c>
      <c r="C8" s="17" t="s">
        <v>133</v>
      </c>
      <c r="D8" t="s">
        <v>49</v>
      </c>
      <c r="E8" t="s">
        <v>50</v>
      </c>
      <c r="F8" s="12">
        <f>'Footprints, absolute'!F8/Production!$C$24*AF_meat</f>
        <v>1.3754703895754228</v>
      </c>
      <c r="G8" s="12">
        <f>'Footprints, absolute'!G8/Production!$C$24*AF_meat</f>
        <v>0.80425890787543675</v>
      </c>
      <c r="H8" s="47">
        <f>'Footprints, absolute'!H8/Production!$C$24*AF_meat</f>
        <v>1.1466291495211012E-3</v>
      </c>
      <c r="I8" s="47">
        <f>'Footprints, absolute'!I8/Production!$C$24*AF_meat</f>
        <v>2.1328674680529264E-3</v>
      </c>
      <c r="J8" s="47">
        <f>'Footprints, absolute'!J8/Production!$C$24*AF_meat</f>
        <v>1.7562436315268432E-3</v>
      </c>
      <c r="L8" s="19">
        <f>'Footprints, absolute'!L8/Production!$C$24*AF_meat</f>
        <v>4.9086031799519629</v>
      </c>
      <c r="M8" s="20">
        <f>'Footprints, absolute'!M8/Production!$C$24*AF_meat</f>
        <v>4.2581566321736229E-2</v>
      </c>
      <c r="N8" s="20">
        <f>'Footprints, absolute'!N8/Production!$C$24*AF_meat</f>
        <v>8.0546119225787787E-3</v>
      </c>
      <c r="O8" s="32">
        <f>'Footprints, absolute'!O8/Production!$C$24*AF_meat</f>
        <v>4.3208848808859453E-2</v>
      </c>
      <c r="P8" s="32">
        <f>'Footprints, absolute'!P8/Production!$C$24*AF_meat</f>
        <v>0.97686868426519191</v>
      </c>
      <c r="Q8" s="32">
        <f>'Footprints, absolute'!Q8/Production!$C$24*AF_meat</f>
        <v>9.265123993995018E-11</v>
      </c>
      <c r="R8" s="32">
        <f>'Footprints, absolute'!R8/Production!$C$24*AF_meat</f>
        <v>5.3714465348849029E-2</v>
      </c>
      <c r="S8" s="11"/>
      <c r="T8" s="5">
        <f>'Footprints, absolute'!T8*AF_meat</f>
        <v>69.846310730365332</v>
      </c>
      <c r="U8" s="5">
        <f>'Footprints, absolute'!U8*AF_meat</f>
        <v>24.088424370338796</v>
      </c>
    </row>
    <row r="9" spans="1:21" x14ac:dyDescent="0.2">
      <c r="A9" s="13">
        <v>21121</v>
      </c>
      <c r="B9" s="13" t="s">
        <v>132</v>
      </c>
      <c r="C9" s="17" t="s">
        <v>133</v>
      </c>
      <c r="D9" t="s">
        <v>51</v>
      </c>
      <c r="E9" t="s">
        <v>52</v>
      </c>
      <c r="F9" s="12">
        <f>'Footprints, absolute'!F9/Production!$D$24*AF_meat</f>
        <v>1.572925067772978</v>
      </c>
      <c r="G9" s="12">
        <f>'Footprints, absolute'!G9/Production!$D$24*AF_meat</f>
        <v>0.96664011606669131</v>
      </c>
      <c r="H9" s="47">
        <f>'Footprints, absolute'!H9/Production!$D$24*AF_meat</f>
        <v>1.4419747526501162E-3</v>
      </c>
      <c r="I9" s="47">
        <f>'Footprints, absolute'!I9/Production!$D$24*AF_meat</f>
        <v>3.1458802491446257E-3</v>
      </c>
      <c r="J9" s="47">
        <f>'Footprints, absolute'!J9/Production!$D$24*AF_meat</f>
        <v>1.7522906130051582E-3</v>
      </c>
      <c r="K9" s="47"/>
      <c r="L9" s="19">
        <f>'Footprints, absolute'!L9/Production!$D$24*AF_meat</f>
        <v>4.7063181416005131</v>
      </c>
      <c r="M9" s="20">
        <f>'Footprints, absolute'!M9/Production!$D$24*AF_meat</f>
        <v>2.998712013969549E-2</v>
      </c>
      <c r="N9" s="20">
        <f>'Footprints, absolute'!N9/Production!$D$24*AF_meat</f>
        <v>7.5014876720580449E-3</v>
      </c>
      <c r="O9" s="32">
        <f>'Footprints, absolute'!O9/Production!$D$24*AF_meat</f>
        <v>1.4955171011811094E-2</v>
      </c>
      <c r="P9" s="32">
        <f>'Footprints, absolute'!P9/Production!$D$24*AF_meat</f>
        <v>0.81924396977169822</v>
      </c>
      <c r="Q9" s="32">
        <f>'Footprints, absolute'!Q9/Production!$D$24*AF_meat</f>
        <v>7.9948937782872431E-11</v>
      </c>
      <c r="R9" s="32">
        <f>'Footprints, absolute'!R9/Production!$D$24*AF_meat</f>
        <v>7.7117293617087843E-2</v>
      </c>
      <c r="S9" s="11"/>
      <c r="T9" s="5">
        <f>'Footprints, absolute'!T9*AF_meat</f>
        <v>61.914238129848606</v>
      </c>
      <c r="U9" s="5">
        <f>'Footprints, absolute'!U9*AF_meat</f>
        <v>40.358056673029168</v>
      </c>
    </row>
    <row r="10" spans="1:21" x14ac:dyDescent="0.2">
      <c r="A10" s="13">
        <v>21121</v>
      </c>
      <c r="B10" s="13" t="s">
        <v>132</v>
      </c>
      <c r="C10" s="17" t="s">
        <v>133</v>
      </c>
      <c r="D10" t="s">
        <v>53</v>
      </c>
      <c r="E10" t="s">
        <v>54</v>
      </c>
      <c r="F10" s="12">
        <f>'Footprints, absolute'!F10/Production!$E$24*AF_meat</f>
        <v>2.1182996584865554</v>
      </c>
      <c r="G10" s="12">
        <f>'Footprints, absolute'!G10/Production!$E$24*AF_meat</f>
        <v>1.5386706485927415</v>
      </c>
      <c r="H10" s="47">
        <f>'Footprints, absolute'!H10/Production!$E$24*AF_meat</f>
        <v>2.259683861738439E-3</v>
      </c>
      <c r="I10" s="47">
        <f>'Footprints, absolute'!I10/Production!$E$24*AF_meat</f>
        <v>2.7997891456729347E-3</v>
      </c>
      <c r="J10" s="47">
        <f>'Footprints, absolute'!J10/Production!$E$24*AF_meat</f>
        <v>1.5996195013950141E-3</v>
      </c>
      <c r="L10" s="19">
        <f>'Footprints, absolute'!L10/Production!$E$24*AF_meat</f>
        <v>11.074866963271811</v>
      </c>
      <c r="M10" s="20">
        <f>'Footprints, absolute'!M10/Production!$E$24*AF_meat</f>
        <v>7.6581520427118951E-2</v>
      </c>
      <c r="N10" s="20">
        <f>'Footprints, absolute'!N10/Production!$E$24*AF_meat</f>
        <v>7.7524068742902772E-3</v>
      </c>
      <c r="O10" s="32">
        <f>'Footprints, absolute'!O10/Production!$E$24*AF_meat</f>
        <v>7.6920617784821208E-3</v>
      </c>
      <c r="P10" s="32">
        <f>'Footprints, absolute'!P10/Production!$E$24*AF_meat</f>
        <v>1.1701660133925154</v>
      </c>
      <c r="Q10" s="32">
        <f>'Footprints, absolute'!Q10/Production!$E$24*AF_meat</f>
        <v>5.214183525156181E-10</v>
      </c>
      <c r="R10" s="32">
        <f>'Footprints, absolute'!R10/Production!$E$24*AF_meat</f>
        <v>6.8669542544588791E-2</v>
      </c>
      <c r="S10" s="11"/>
      <c r="T10" s="5">
        <f>'Footprints, absolute'!T10*AF_meat</f>
        <v>70.131803139847051</v>
      </c>
      <c r="U10" s="5">
        <f>'Footprints, absolute'!U10*AF_meat</f>
        <v>78.744648266826729</v>
      </c>
    </row>
    <row r="11" spans="1:21" x14ac:dyDescent="0.2">
      <c r="A11" s="13">
        <v>21121</v>
      </c>
      <c r="B11" s="13" t="s">
        <v>132</v>
      </c>
      <c r="C11" s="17" t="s">
        <v>133</v>
      </c>
      <c r="D11" t="s">
        <v>100</v>
      </c>
      <c r="E11" t="s">
        <v>56</v>
      </c>
      <c r="F11" s="12">
        <f>'Footprints, absolute'!F11/Production!$F$24*AF_meat</f>
        <v>1.6492161277266835</v>
      </c>
      <c r="G11" s="12">
        <f>'Footprints, absolute'!G11/Production!$F$24*AF_meat</f>
        <v>1.0509439926373803</v>
      </c>
      <c r="H11" s="47">
        <f>'Footprints, absolute'!H11/Production!$F$24*AF_meat</f>
        <v>1.683235634789724E-3</v>
      </c>
      <c r="I11" s="47">
        <f>'Footprints, absolute'!I11/Production!$F$24*AF_meat</f>
        <v>1.8665260971152896E-3</v>
      </c>
      <c r="J11" s="47">
        <f>'Footprints, absolute'!J11/Production!$F$24*AF_meat</f>
        <v>1.8231337309540534E-3</v>
      </c>
      <c r="L11" s="19">
        <f>'Footprints, absolute'!L11/Production!$F$24*AF_meat</f>
        <v>5.7509474636793056</v>
      </c>
      <c r="M11" s="20">
        <f>'Footprints, absolute'!M11/Production!$F$24*AF_meat</f>
        <v>4.3732353845141694E-2</v>
      </c>
      <c r="N11" s="20">
        <f>'Footprints, absolute'!N11/Production!$F$24*AF_meat</f>
        <v>1.3122637107615525E-2</v>
      </c>
      <c r="O11" s="32">
        <f>'Footprints, absolute'!O11/Production!$F$24*AF_meat</f>
        <v>3.0487369269421614E-2</v>
      </c>
      <c r="P11" s="32">
        <f>'Footprints, absolute'!P11/Production!$F$24*AF_meat</f>
        <v>0.66903549642869586</v>
      </c>
      <c r="Q11" s="32">
        <f>'Footprints, absolute'!Q11/Production!$F$24*AF_meat</f>
        <v>1.1010387548209706E-10</v>
      </c>
      <c r="R11" s="32">
        <f>'Footprints, absolute'!R11/Production!$F$24*AF_meat</f>
        <v>5.9514080574641998E-2</v>
      </c>
      <c r="S11" s="11"/>
      <c r="T11" s="5">
        <f>'Footprints, absolute'!T11*AF_meat</f>
        <v>70.118547749225073</v>
      </c>
      <c r="U11" s="5">
        <f>'Footprints, absolute'!U11*AF_meat</f>
        <v>61.373599301786506</v>
      </c>
    </row>
    <row r="12" spans="1:21" x14ac:dyDescent="0.2">
      <c r="A12" s="13">
        <v>21121</v>
      </c>
      <c r="B12" s="13" t="s">
        <v>132</v>
      </c>
      <c r="C12" s="17" t="s">
        <v>133</v>
      </c>
      <c r="D12" t="s">
        <v>91</v>
      </c>
      <c r="E12" t="s">
        <v>58</v>
      </c>
      <c r="F12" s="12">
        <f>'Footprints, absolute'!F12/Production!$G$24*AF_meat</f>
        <v>1.5816148521358608</v>
      </c>
      <c r="G12" s="12">
        <f>'Footprints, absolute'!G12/Production!$G$24*AF_meat</f>
        <v>1.1450780695291225</v>
      </c>
      <c r="H12" s="47">
        <f>'Footprints, absolute'!H12/Production!$G$24*AF_meat</f>
        <v>1.2059877622613597E-3</v>
      </c>
      <c r="I12" s="47">
        <f>'Footprints, absolute'!I12/Production!$G$24*AF_meat</f>
        <v>1.6896986288644036E-3</v>
      </c>
      <c r="J12" s="47">
        <f>'Footprints, absolute'!J12/Production!$G$24*AF_meat</f>
        <v>1.3002801623150583E-3</v>
      </c>
      <c r="L12" s="19">
        <f>'Footprints, absolute'!L12/Production!$G$24*AF_meat</f>
        <v>4.5546303802138395</v>
      </c>
      <c r="M12" s="20">
        <f>'Footprints, absolute'!M12/Production!$G$24*AF_meat</f>
        <v>5.3986923382306977E-2</v>
      </c>
      <c r="N12" s="20">
        <f>'Footprints, absolute'!N12/Production!$G$24*AF_meat</f>
        <v>7.315794693125377E-3</v>
      </c>
      <c r="O12" s="32">
        <f>'Footprints, absolute'!O12/Production!$G$24*AF_meat</f>
        <v>2.8340086723943139E-2</v>
      </c>
      <c r="P12" s="32">
        <f>'Footprints, absolute'!P12/Production!$G$24*AF_meat</f>
        <v>1.3725796277633548</v>
      </c>
      <c r="Q12" s="32">
        <f>'Footprints, absolute'!Q12/Production!$G$24*AF_meat</f>
        <v>1.3696419332259648E-10</v>
      </c>
      <c r="R12" s="32">
        <f>'Footprints, absolute'!R12/Production!$G$24*AF_meat</f>
        <v>3.6292171996547655E-2</v>
      </c>
      <c r="S12" s="11"/>
      <c r="T12" s="5">
        <f>'Footprints, absolute'!T12*AF_meat</f>
        <v>60.797319298496504</v>
      </c>
      <c r="U12" s="5">
        <f>'Footprints, absolute'!U12*AF_meat</f>
        <v>26.71821991639203</v>
      </c>
    </row>
    <row r="13" spans="1:21" x14ac:dyDescent="0.2">
      <c r="A13" s="13">
        <v>21121</v>
      </c>
      <c r="B13" s="13" t="s">
        <v>132</v>
      </c>
      <c r="C13" s="17" t="s">
        <v>133</v>
      </c>
      <c r="D13" t="s">
        <v>59</v>
      </c>
      <c r="E13" t="s">
        <v>60</v>
      </c>
      <c r="F13" s="12">
        <f>'Footprints, absolute'!F13/Production!$H$24*AF_meat</f>
        <v>1.6059069364861462</v>
      </c>
      <c r="G13" s="12">
        <f>'Footprints, absolute'!G13/Production!$H$24*AF_meat</f>
        <v>1.0780096289118164</v>
      </c>
      <c r="H13" s="47">
        <f>'Footprints, absolute'!H13/Production!$H$24*AF_meat</f>
        <v>2.4490944526710488E-3</v>
      </c>
      <c r="I13" s="47">
        <f>'Footprints, absolute'!I13/Production!$H$24*AF_meat</f>
        <v>1.8665260971152896E-3</v>
      </c>
      <c r="J13" s="47">
        <f>'Footprints, absolute'!J13/Production!$H$24*AF_meat</f>
        <v>1.4817512390572149E-3</v>
      </c>
      <c r="L13" s="19">
        <f>'Footprints, absolute'!L13/Production!$H$24*AF_meat</f>
        <v>5.1254127908076397</v>
      </c>
      <c r="M13" s="20">
        <f>'Footprints, absolute'!M13/Production!$H$24*AF_meat</f>
        <v>4.4579930243005952E-2</v>
      </c>
      <c r="N13" s="20">
        <f>'Footprints, absolute'!N13/Production!$H$24*AF_meat</f>
        <v>9.4517656000283699E-3</v>
      </c>
      <c r="O13" s="32">
        <f>'Footprints, absolute'!O13/Production!$H$24*AF_meat</f>
        <v>6.424598188978245E-2</v>
      </c>
      <c r="P13" s="32">
        <f>'Footprints, absolute'!P13/Production!$H$24*AF_meat</f>
        <v>0.58036675188068132</v>
      </c>
      <c r="Q13" s="32">
        <f>'Footprints, absolute'!Q13/Production!$H$24*AF_meat</f>
        <v>2.7473553973454369E-10</v>
      </c>
      <c r="R13" s="32">
        <f>'Footprints, absolute'!R13/Production!$H$24*AF_meat</f>
        <v>4.8136729302289079E-2</v>
      </c>
      <c r="S13" s="11"/>
      <c r="T13" s="5">
        <f>'Footprints, absolute'!T13*AF_meat</f>
        <v>70.131803139847051</v>
      </c>
      <c r="U13" s="5">
        <f>'Footprints, absolute'!U13*AF_meat</f>
        <v>99.286099064003082</v>
      </c>
    </row>
    <row r="14" spans="1:21" x14ac:dyDescent="0.2">
      <c r="A14" s="13">
        <v>21121</v>
      </c>
      <c r="B14" s="13" t="s">
        <v>132</v>
      </c>
      <c r="C14" s="17" t="s">
        <v>133</v>
      </c>
      <c r="D14" t="s">
        <v>90</v>
      </c>
      <c r="E14" t="s">
        <v>62</v>
      </c>
      <c r="F14" s="12">
        <f>'Footprints, absolute'!F14/Production!$I$24*AF_meat</f>
        <v>1.8915472647780229</v>
      </c>
      <c r="G14" s="12">
        <f>'Footprints, absolute'!G14/Production!$I$24*AF_meat</f>
        <v>1.2590152035595534</v>
      </c>
      <c r="H14" s="47">
        <f>'Footprints, absolute'!H14/Production!$I$24*AF_meat</f>
        <v>1.8357023049105285E-3</v>
      </c>
      <c r="I14" s="47">
        <f>'Footprints, absolute'!I14/Production!$I$24*AF_meat</f>
        <v>3.6200750255535497E-3</v>
      </c>
      <c r="J14" s="47">
        <f>'Footprints, absolute'!J14/Production!$I$24*AF_meat</f>
        <v>1.7585571679201088E-3</v>
      </c>
      <c r="L14" s="19">
        <f>'Footprints, absolute'!L14/Production!$I$24*AF_meat</f>
        <v>6.0777121815145376</v>
      </c>
      <c r="M14" s="20">
        <f>'Footprints, absolute'!M14/Production!$I$24*AF_meat</f>
        <v>5.2400427602126182E-2</v>
      </c>
      <c r="N14" s="20">
        <f>'Footprints, absolute'!N14/Production!$I$24*AF_meat</f>
        <v>9.5050731395976956E-3</v>
      </c>
      <c r="O14" s="32">
        <f>'Footprints, absolute'!O14/Production!$I$24*AF_meat</f>
        <v>2.5520412157178672E-2</v>
      </c>
      <c r="P14" s="32">
        <f>'Footprints, absolute'!P14/Production!$I$24*AF_meat</f>
        <v>0.83220707386079795</v>
      </c>
      <c r="Q14" s="32">
        <f>'Footprints, absolute'!Q14/Production!$I$24*AF_meat</f>
        <v>1.3466021614889747E-10</v>
      </c>
      <c r="R14" s="32">
        <f>'Footprints, absolute'!R14/Production!$I$24*AF_meat</f>
        <v>6.8517027195845459E-2</v>
      </c>
      <c r="S14" s="11"/>
      <c r="T14" s="5">
        <f>'Footprints, absolute'!T14*AF_meat</f>
        <v>68.75473012650896</v>
      </c>
      <c r="U14" s="5">
        <f>'Footprints, absolute'!U14*AF_meat</f>
        <v>20.365535489509274</v>
      </c>
    </row>
    <row r="15" spans="1:21" x14ac:dyDescent="0.2">
      <c r="A15" s="13">
        <v>21121</v>
      </c>
      <c r="B15" s="13" t="s">
        <v>132</v>
      </c>
      <c r="C15" s="17" t="s">
        <v>133</v>
      </c>
      <c r="D15" t="s">
        <v>63</v>
      </c>
      <c r="E15" t="s">
        <v>64</v>
      </c>
      <c r="F15" s="12">
        <f>'Footprints, absolute'!F15/Production!$J$24*AF_meat</f>
        <v>2.1760601111367794</v>
      </c>
      <c r="G15" s="12">
        <f>'Footprints, absolute'!G15/Production!$J$24*AF_meat</f>
        <v>1.4677571276835195</v>
      </c>
      <c r="H15" s="47">
        <f>'Footprints, absolute'!H15/Production!$J$24*AF_meat</f>
        <v>2.1843675268827987E-3</v>
      </c>
      <c r="I15" s="47">
        <f>'Footprints, absolute'!I15/Production!$J$24*AF_meat</f>
        <v>2.7997891456729347E-3</v>
      </c>
      <c r="J15" s="47">
        <f>'Footprints, absolute'!J15/Production!$J$24*AF_meat</f>
        <v>2.079174081388217E-3</v>
      </c>
      <c r="L15" s="19">
        <f>'Footprints, absolute'!L15/Production!$J$24*AF_meat</f>
        <v>6.2403918481098408</v>
      </c>
      <c r="M15" s="20">
        <f>'Footprints, absolute'!M15/Production!$J$24*AF_meat</f>
        <v>5.4981568852664621E-2</v>
      </c>
      <c r="N15" s="20">
        <f>'Footprints, absolute'!N15/Production!$J$24*AF_meat</f>
        <v>9.460135253417613E-3</v>
      </c>
      <c r="O15" s="32">
        <f>'Footprints, absolute'!O15/Production!$J$24*AF_meat</f>
        <v>9.4039225636327484E-3</v>
      </c>
      <c r="P15" s="32">
        <f>'Footprints, absolute'!P15/Production!$J$24*AF_meat</f>
        <v>0.61881163610875489</v>
      </c>
      <c r="Q15" s="32">
        <f>'Footprints, absolute'!Q15/Production!$J$24*AF_meat</f>
        <v>7.3515127557716725E-11</v>
      </c>
      <c r="R15" s="32">
        <f>'Footprints, absolute'!R15/Production!$J$24*AF_meat</f>
        <v>5.4449126156719568E-2</v>
      </c>
      <c r="S15" s="11"/>
      <c r="T15" s="5">
        <f>'Footprints, absolute'!T15*AF_meat</f>
        <v>70.118547749225073</v>
      </c>
      <c r="U15" s="5">
        <f>'Footprints, absolute'!U15*AF_meat</f>
        <v>127.57634997661391</v>
      </c>
    </row>
    <row r="16" spans="1:21" x14ac:dyDescent="0.2">
      <c r="A16" s="13">
        <v>21121</v>
      </c>
      <c r="B16" s="13" t="s">
        <v>132</v>
      </c>
      <c r="C16" s="17" t="s">
        <v>133</v>
      </c>
      <c r="D16" t="s">
        <v>65</v>
      </c>
      <c r="E16" t="s">
        <v>66</v>
      </c>
      <c r="F16" s="12">
        <f>'Footprints, absolute'!F16/Production!$K$24*AF_meat</f>
        <v>1.7662256588191267</v>
      </c>
      <c r="G16" s="12">
        <f>'Footprints, absolute'!G16/Production!$K$24*AF_meat</f>
        <v>1.0944467661064305</v>
      </c>
      <c r="H16" s="47">
        <f>'Footprints, absolute'!H16/Production!$K$24*AF_meat</f>
        <v>1.5316647904596778E-3</v>
      </c>
      <c r="I16" s="47">
        <f>'Footprints, absolute'!I16/Production!$K$24*AF_meat</f>
        <v>2.5344875222147478E-3</v>
      </c>
      <c r="J16" s="47">
        <f>'Footprints, absolute'!J16/Production!$K$24*AF_meat</f>
        <v>2.0428722302461536E-3</v>
      </c>
      <c r="L16" s="19">
        <f>'Footprints, absolute'!L16/Production!$K$24*AF_meat</f>
        <v>7.5674208872360742</v>
      </c>
      <c r="M16" s="20">
        <f>'Footprints, absolute'!M16/Production!$K$24*AF_meat</f>
        <v>5.6456620439897624E-2</v>
      </c>
      <c r="N16" s="20">
        <f>'Footprints, absolute'!N16/Production!$K$24*AF_meat</f>
        <v>1.0106370994429435E-2</v>
      </c>
      <c r="O16" s="32">
        <f>'Footprints, absolute'!O16/Production!$K$24*AF_meat</f>
        <v>0.30827873048056681</v>
      </c>
      <c r="P16" s="32">
        <f>'Footprints, absolute'!P16/Production!$K$24*AF_meat</f>
        <v>0.56197066157216202</v>
      </c>
      <c r="Q16" s="32">
        <f>'Footprints, absolute'!Q16/Production!$K$24*AF_meat</f>
        <v>4.9420260065700713E-10</v>
      </c>
      <c r="R16" s="32">
        <f>'Footprints, absolute'!R16/Production!$K$24*AF_meat</f>
        <v>7.8157621017568943E-2</v>
      </c>
      <c r="S16" s="11"/>
      <c r="T16" s="5">
        <f>'Footprints, absolute'!T16*AF_meat</f>
        <v>70.118547749225073</v>
      </c>
      <c r="U16" s="119">
        <f>'Footprints, absolute'!U16*AF_meat</f>
        <v>65.984870012616554</v>
      </c>
    </row>
    <row r="17" spans="1:22" x14ac:dyDescent="0.2">
      <c r="A17" s="13">
        <v>21121</v>
      </c>
      <c r="B17" s="13" t="s">
        <v>132</v>
      </c>
      <c r="C17" s="17" t="s">
        <v>133</v>
      </c>
      <c r="D17" s="18" t="s">
        <v>67</v>
      </c>
      <c r="E17" s="18" t="s">
        <v>68</v>
      </c>
      <c r="F17" s="11">
        <f>'Footprints, absolute'!F17/Production!$L$24*AF_meat</f>
        <v>1.5267277283974021</v>
      </c>
      <c r="G17" s="12">
        <f>'Footprints, absolute'!G17/Production!$L$24*AF_meat</f>
        <v>0.93952370165940591</v>
      </c>
      <c r="H17" s="47">
        <f>'Footprints, absolute'!H17/Production!$L$24*AF_meat</f>
        <v>7.9340019268673515E-4</v>
      </c>
      <c r="I17" s="47">
        <f>'Footprints, absolute'!I17/Production!$L$24*AF_meat</f>
        <v>1.6243742314501824E-3</v>
      </c>
      <c r="J17" s="47">
        <f>'Footprints, absolute'!J17/Production!$L$24*AF_meat</f>
        <v>1.9036725155559607E-3</v>
      </c>
      <c r="K17" s="18"/>
      <c r="L17" s="19">
        <f>'Footprints, absolute'!L17/Production!$L$24*AF_meat</f>
        <v>5.5877090910781426</v>
      </c>
      <c r="M17" s="20">
        <f>'Footprints, absolute'!M17/Production!$L$24*AF_meat</f>
        <v>6.0285290611859492E-2</v>
      </c>
      <c r="N17" s="20">
        <f>'Footprints, absolute'!N17/Production!$L$24*AF_meat</f>
        <v>7.8901330082273274E-3</v>
      </c>
      <c r="O17" s="32">
        <f>'Footprints, absolute'!O17/Production!$L$24*AF_meat</f>
        <v>1.0061953615843389E-2</v>
      </c>
      <c r="P17" s="32">
        <f>'Footprints, absolute'!P17/Production!$L$24*AF_meat</f>
        <v>0.38134906404375202</v>
      </c>
      <c r="Q17" s="32">
        <f>'Footprints, absolute'!Q17/Production!$L$24*AF_meat</f>
        <v>9.6520081404767231E-11</v>
      </c>
      <c r="R17" s="32">
        <f>'Footprints, absolute'!R17/Production!$L$24*AF_meat</f>
        <v>4.6384485351661717E-2</v>
      </c>
      <c r="S17" s="11"/>
      <c r="T17" s="5">
        <f>'Footprints, absolute'!T17*AF_meat</f>
        <v>48.955274132847308</v>
      </c>
      <c r="U17" s="5">
        <f>'Footprints, absolute'!U17*AF_meat</f>
        <v>7.9817692244707832</v>
      </c>
      <c r="V17" s="18"/>
    </row>
    <row r="18" spans="1:22" x14ac:dyDescent="0.2">
      <c r="A18" s="13">
        <v>21121</v>
      </c>
      <c r="B18" s="13" t="s">
        <v>132</v>
      </c>
      <c r="C18" s="17" t="s">
        <v>133</v>
      </c>
      <c r="D18" t="s">
        <v>69</v>
      </c>
      <c r="E18" t="s">
        <v>70</v>
      </c>
      <c r="F18" s="12">
        <f>'Footprints, absolute'!F18/Production!$M$24*AF_meat</f>
        <v>1.6500846760202561</v>
      </c>
      <c r="G18" s="12">
        <f>'Footprints, absolute'!G18/Production!$M$24*AF_meat</f>
        <v>1.1104177275388949</v>
      </c>
      <c r="H18" s="47">
        <f>'Footprints, absolute'!H18/Production!$M$24*AF_meat</f>
        <v>1.369576857113882E-3</v>
      </c>
      <c r="I18" s="47">
        <f>'Footprints, absolute'!I18/Production!$M$24*AF_meat</f>
        <v>1.8665260971152896E-3</v>
      </c>
      <c r="J18" s="47">
        <f>'Footprints, absolute'!J18/Production!$M$24*AF_meat</f>
        <v>1.6427009286346323E-3</v>
      </c>
      <c r="L18" s="19">
        <f>'Footprints, absolute'!L18/Production!$M$24*AF_meat</f>
        <v>5.3445966809300112</v>
      </c>
      <c r="M18" s="20">
        <f>'Footprints, absolute'!M18/Production!$M$24*AF_meat</f>
        <v>5.6521968461492905E-2</v>
      </c>
      <c r="N18" s="20">
        <f>'Footprints, absolute'!N18/Production!$M$24*AF_meat</f>
        <v>6.4239984403260224E-3</v>
      </c>
      <c r="O18" s="32">
        <f>'Footprints, absolute'!O18/Production!$M$24*AF_meat</f>
        <v>1.1585619750249547E-2</v>
      </c>
      <c r="P18" s="32">
        <f>'Footprints, absolute'!P18/Production!$M$24*AF_meat</f>
        <v>0.71272353519421272</v>
      </c>
      <c r="Q18" s="32">
        <f>'Footprints, absolute'!Q18/Production!$M$24*AF_meat</f>
        <v>1.0662461540955618E-10</v>
      </c>
      <c r="R18" s="32">
        <f>'Footprints, absolute'!R18/Production!$M$24*AF_meat</f>
        <v>3.7420318475683174E-2</v>
      </c>
      <c r="S18" s="12"/>
      <c r="T18" s="5">
        <f>'Footprints, absolute'!T18*AF_meat</f>
        <v>72.289284434261901</v>
      </c>
      <c r="U18" s="5">
        <f>'Footprints, absolute'!U18*AF_meat</f>
        <v>22.490133440957006</v>
      </c>
    </row>
    <row r="19" spans="1:22" x14ac:dyDescent="0.2">
      <c r="A19" s="13"/>
      <c r="B19" s="13"/>
      <c r="C19" s="17"/>
      <c r="T19" s="5"/>
    </row>
    <row r="20" spans="1:22" x14ac:dyDescent="0.2">
      <c r="Q20" s="33"/>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tabColor theme="9" tint="0.59999389629810485"/>
  </sheetPr>
  <dimension ref="A1:AC68"/>
  <sheetViews>
    <sheetView workbookViewId="0">
      <selection activeCell="A6" sqref="A6:C6"/>
    </sheetView>
  </sheetViews>
  <sheetFormatPr baseColWidth="10" defaultColWidth="8.83203125" defaultRowHeight="15" x14ac:dyDescent="0.2"/>
  <cols>
    <col min="1" max="1" width="8.1640625" style="31" customWidth="1"/>
    <col min="2" max="2" width="22.5" customWidth="1"/>
    <col min="3" max="3" width="27.33203125" customWidth="1"/>
    <col min="4" max="5" width="10.1640625" customWidth="1"/>
    <col min="6" max="6" width="15.33203125" customWidth="1"/>
    <col min="7" max="7" width="9.33203125" style="13" customWidth="1"/>
    <col min="8" max="20" width="14.6640625" customWidth="1"/>
    <col min="21" max="22" width="14.6640625" style="9" customWidth="1"/>
    <col min="23" max="24" width="14.6640625" customWidth="1"/>
    <col min="26" max="26" width="16" customWidth="1"/>
    <col min="27" max="27" width="19.33203125" customWidth="1"/>
    <col min="29" max="29" width="17.6640625" bestFit="1" customWidth="1"/>
    <col min="30" max="30" width="15.5" customWidth="1"/>
  </cols>
  <sheetData>
    <row r="1" spans="1:27" x14ac:dyDescent="0.2">
      <c r="H1" s="214" t="s">
        <v>0</v>
      </c>
    </row>
    <row r="2" spans="1:27" ht="21" customHeight="1" x14ac:dyDescent="0.25">
      <c r="A2" s="64" t="s">
        <v>134</v>
      </c>
      <c r="F2" s="47"/>
      <c r="H2" s="214" t="s">
        <v>2</v>
      </c>
    </row>
    <row r="3" spans="1:27" x14ac:dyDescent="0.2">
      <c r="H3" s="214" t="s">
        <v>3</v>
      </c>
      <c r="J3" s="8"/>
      <c r="K3" s="9"/>
      <c r="L3" s="9"/>
      <c r="M3" s="9"/>
      <c r="N3" s="9"/>
      <c r="O3" s="9"/>
      <c r="P3" s="9"/>
      <c r="Q3" s="9"/>
      <c r="R3" s="9"/>
      <c r="S3" s="9"/>
      <c r="T3" s="9"/>
    </row>
    <row r="4" spans="1:27" x14ac:dyDescent="0.2">
      <c r="A4" s="65"/>
      <c r="B4" s="48"/>
      <c r="C4" s="48"/>
      <c r="D4" s="48"/>
      <c r="E4" s="48"/>
      <c r="F4" s="48"/>
      <c r="G4" s="48"/>
      <c r="H4" s="49"/>
      <c r="I4" s="49"/>
      <c r="J4" s="50"/>
      <c r="K4" s="50"/>
      <c r="L4" s="50"/>
      <c r="M4" s="50"/>
      <c r="N4" s="50"/>
      <c r="O4" s="50"/>
      <c r="P4" s="50"/>
      <c r="Q4" s="50"/>
      <c r="R4" s="50"/>
      <c r="S4" s="49" t="s">
        <v>4</v>
      </c>
      <c r="T4" s="49"/>
      <c r="U4" s="61"/>
      <c r="V4" s="61"/>
      <c r="W4" s="50" t="s">
        <v>5</v>
      </c>
      <c r="X4" s="50" t="s">
        <v>6</v>
      </c>
      <c r="Z4" s="49" t="s">
        <v>7</v>
      </c>
      <c r="AA4" s="49"/>
    </row>
    <row r="5" spans="1:27" x14ac:dyDescent="0.2">
      <c r="A5" s="66" t="s">
        <v>8</v>
      </c>
      <c r="B5" s="46"/>
      <c r="C5" s="46"/>
      <c r="D5" s="53"/>
      <c r="E5" s="53"/>
      <c r="F5" s="54"/>
      <c r="G5" s="55" t="s">
        <v>9</v>
      </c>
      <c r="H5" s="55" t="s">
        <v>10</v>
      </c>
      <c r="I5" s="56"/>
      <c r="J5" s="55" t="s">
        <v>11</v>
      </c>
      <c r="K5" s="57"/>
      <c r="L5" s="58" t="s">
        <v>12</v>
      </c>
      <c r="M5" s="57"/>
      <c r="N5" s="57"/>
      <c r="O5" s="57"/>
      <c r="P5" s="58" t="s">
        <v>13</v>
      </c>
      <c r="Q5" s="58" t="s">
        <v>14</v>
      </c>
      <c r="R5" s="58" t="s">
        <v>15</v>
      </c>
      <c r="S5" s="59"/>
      <c r="T5" s="59"/>
      <c r="U5" s="62"/>
      <c r="V5" s="62"/>
      <c r="W5" s="60"/>
      <c r="X5" s="60"/>
      <c r="Z5" s="55"/>
      <c r="AA5" s="55"/>
    </row>
    <row r="6" spans="1:27" ht="58" customHeight="1" x14ac:dyDescent="0.2">
      <c r="A6" s="332" t="s">
        <v>114</v>
      </c>
      <c r="B6" s="333" t="s">
        <v>115</v>
      </c>
      <c r="C6" s="333" t="s">
        <v>116</v>
      </c>
      <c r="D6" s="69" t="s">
        <v>19</v>
      </c>
      <c r="E6" s="70" t="s">
        <v>20</v>
      </c>
      <c r="F6" s="69" t="s">
        <v>21</v>
      </c>
      <c r="G6" s="296" t="s">
        <v>22</v>
      </c>
      <c r="H6" s="52" t="s">
        <v>23</v>
      </c>
      <c r="I6" s="52" t="s">
        <v>24</v>
      </c>
      <c r="J6" s="52" t="s">
        <v>25</v>
      </c>
      <c r="K6" s="52" t="s">
        <v>26</v>
      </c>
      <c r="L6" s="52" t="s">
        <v>27</v>
      </c>
      <c r="M6" s="52" t="s">
        <v>28</v>
      </c>
      <c r="N6" s="52" t="s">
        <v>29</v>
      </c>
      <c r="O6" s="52" t="s">
        <v>30</v>
      </c>
      <c r="P6" s="52" t="s">
        <v>31</v>
      </c>
      <c r="Q6" s="52" t="s">
        <v>14</v>
      </c>
      <c r="R6" s="52" t="s">
        <v>32</v>
      </c>
      <c r="S6" s="70" t="s">
        <v>33</v>
      </c>
      <c r="T6" s="70" t="s">
        <v>34</v>
      </c>
      <c r="U6" s="71" t="s">
        <v>35</v>
      </c>
      <c r="V6" s="71" t="s">
        <v>36</v>
      </c>
      <c r="W6" s="52" t="s">
        <v>37</v>
      </c>
      <c r="X6" s="52" t="s">
        <v>38</v>
      </c>
      <c r="Z6" s="70" t="s">
        <v>39</v>
      </c>
      <c r="AA6" s="70" t="s">
        <v>40</v>
      </c>
    </row>
    <row r="7" spans="1:27" x14ac:dyDescent="0.2">
      <c r="A7" s="13">
        <v>21121</v>
      </c>
      <c r="B7" s="13" t="s">
        <v>132</v>
      </c>
      <c r="C7" s="17" t="s">
        <v>133</v>
      </c>
      <c r="D7" s="155" t="s">
        <v>42</v>
      </c>
      <c r="E7" s="155" t="s">
        <v>43</v>
      </c>
      <c r="F7" s="172" t="s">
        <v>44</v>
      </c>
      <c r="G7" s="20">
        <f>'GHG detailed, absolute'!G7/Production!$B$24*AF_meat</f>
        <v>1.1803367850847264</v>
      </c>
      <c r="H7" s="173">
        <f>'GHG detailed, absolute'!H7/Production!$B$24*AF_meat</f>
        <v>7.5994532778129009E-2</v>
      </c>
      <c r="I7" s="173">
        <f>'GHG detailed, absolute'!I7/Production!$B$24*AF_meat</f>
        <v>7.3445512638799712E-2</v>
      </c>
      <c r="J7" s="173">
        <f>'GHG detailed, absolute'!J7/Production!$B$24*AF_meat</f>
        <v>0</v>
      </c>
      <c r="K7" s="173"/>
      <c r="L7" s="173">
        <f>'GHG detailed, absolute'!L7/Production!$B$24*AF_meat</f>
        <v>8.948461424055229E-2</v>
      </c>
      <c r="M7" s="173"/>
      <c r="N7" s="173">
        <f>'GHG detailed, absolute'!N7/Production!$B$24*AF_meat</f>
        <v>3.9929518058677804E-4</v>
      </c>
      <c r="O7" s="173">
        <f>'GHG detailed, absolute'!O7/Production!$B$24*AF_meat</f>
        <v>0.11022365857181006</v>
      </c>
      <c r="P7" s="173">
        <f>'GHG detailed, absolute'!P7/Production!$B$24*AF_meat</f>
        <v>0.27794174774745456</v>
      </c>
      <c r="Q7" s="173">
        <f>'GHG detailed, absolute'!Q7/Production!$B$24*AF_meat</f>
        <v>3.201931643277333E-2</v>
      </c>
      <c r="R7" s="173">
        <f>'GHG detailed, absolute'!R7/Production!$B$24*AF_meat</f>
        <v>0.22086605556588179</v>
      </c>
      <c r="S7" s="154"/>
      <c r="T7" s="154"/>
      <c r="U7" s="174"/>
      <c r="V7" s="174"/>
      <c r="W7" s="175">
        <f>'GHG detailed, absolute'!W7/Production!$B$24*AF_meat</f>
        <v>0.11251953220929239</v>
      </c>
      <c r="X7" s="176">
        <f>'GHG detailed, absolute'!X7/Production!$B$24*AF_meat</f>
        <v>0.18744251971944659</v>
      </c>
      <c r="Z7" s="20"/>
      <c r="AA7" s="20"/>
    </row>
    <row r="8" spans="1:27" x14ac:dyDescent="0.2">
      <c r="A8" s="13">
        <v>21121</v>
      </c>
      <c r="B8" s="13" t="s">
        <v>132</v>
      </c>
      <c r="C8" s="17" t="s">
        <v>133</v>
      </c>
      <c r="D8" s="18" t="s">
        <v>42</v>
      </c>
      <c r="E8" s="18" t="s">
        <v>43</v>
      </c>
      <c r="F8" s="13" t="s">
        <v>45</v>
      </c>
      <c r="G8" s="32">
        <f>'GHG detailed, absolute'!G8/Production!$B$24*AF_meat</f>
        <v>1.2744446152597498E-3</v>
      </c>
      <c r="H8" s="33">
        <f>'GHG detailed, absolute'!H8/Production!$B$24*AF_meat</f>
        <v>3.0143213837194102E-5</v>
      </c>
      <c r="I8" s="33">
        <f>'GHG detailed, absolute'!I8/Production!$B$24*AF_meat</f>
        <v>2.5901128236575607E-4</v>
      </c>
      <c r="J8" s="33"/>
      <c r="K8" s="33"/>
      <c r="L8" s="33">
        <f>'GHG detailed, absolute'!L8/Production!$B$24*AF_meat</f>
        <v>3.995270691270343E-5</v>
      </c>
      <c r="M8" s="33"/>
      <c r="N8" s="33">
        <f>'GHG detailed, absolute'!N8/Production!$B$24*AF_meat</f>
        <v>2.2139046037896812E-6</v>
      </c>
      <c r="O8" s="33">
        <f>'GHG detailed, absolute'!O8/Production!$B$24*AF_meat</f>
        <v>6.7517206552626874E-5</v>
      </c>
      <c r="P8" s="33">
        <f>'GHG detailed, absolute'!P8/Production!$B$24*AF_meat</f>
        <v>0</v>
      </c>
      <c r="Q8" s="33">
        <f>'GHG detailed, absolute'!Q8/Production!$B$24*AF_meat</f>
        <v>1.1470158698770432E-4</v>
      </c>
      <c r="R8" s="33">
        <f>'GHG detailed, absolute'!R8/Production!$B$24*AF_meat</f>
        <v>1.8796613219622242E-4</v>
      </c>
      <c r="W8" s="4">
        <f>'GHG detailed, absolute'!W8/Production!$B$24*AF_meat</f>
        <v>9.3363421006669746E-5</v>
      </c>
      <c r="X8" s="12">
        <f>'GHG detailed, absolute'!X8/Production!$B$24*AF_meat</f>
        <v>4.795751607970831E-4</v>
      </c>
      <c r="Z8" s="32"/>
      <c r="AA8" s="32"/>
    </row>
    <row r="9" spans="1:27" x14ac:dyDescent="0.2">
      <c r="A9" s="13">
        <v>21121</v>
      </c>
      <c r="B9" s="13" t="s">
        <v>132</v>
      </c>
      <c r="C9" s="17" t="s">
        <v>133</v>
      </c>
      <c r="D9" s="18" t="s">
        <v>42</v>
      </c>
      <c r="E9" s="18" t="s">
        <v>43</v>
      </c>
      <c r="F9" s="13" t="s">
        <v>46</v>
      </c>
      <c r="G9" s="32">
        <f>'GHG detailed, absolute'!G9/Production!$B$24*AF_meat</f>
        <v>1.6439484164572054E-3</v>
      </c>
      <c r="H9" s="33"/>
      <c r="I9" s="33"/>
      <c r="J9" s="33"/>
      <c r="K9" s="33"/>
      <c r="L9" s="33"/>
      <c r="M9" s="33"/>
      <c r="N9" s="33"/>
      <c r="O9" s="33"/>
      <c r="P9" s="33"/>
      <c r="Q9" s="33"/>
      <c r="R9" s="33"/>
      <c r="T9" s="47">
        <f>'GHG detailed, absolute'!T9/Production!$B$24*AF_meat</f>
        <v>1.6439484164572054E-3</v>
      </c>
      <c r="U9" s="63">
        <f>'GHG detailed, absolute'!U9/Production!$B$24*AF_meat</f>
        <v>1.6439484164572054E-3</v>
      </c>
      <c r="W9" s="4"/>
      <c r="X9" s="12"/>
    </row>
    <row r="10" spans="1:27" ht="15" customHeight="1" thickBot="1" x14ac:dyDescent="0.25">
      <c r="A10" s="13">
        <v>21121</v>
      </c>
      <c r="B10" s="13" t="s">
        <v>132</v>
      </c>
      <c r="C10" s="17" t="s">
        <v>133</v>
      </c>
      <c r="D10" s="18" t="s">
        <v>42</v>
      </c>
      <c r="E10" s="18" t="s">
        <v>43</v>
      </c>
      <c r="F10" s="34" t="s">
        <v>47</v>
      </c>
      <c r="G10" s="32">
        <f>'GHG detailed, absolute'!G10/Production!$B$24*AF_meat</f>
        <v>1.5679839865222816E-3</v>
      </c>
      <c r="H10" s="33">
        <f>'GHG detailed, absolute'!H10/Production!$B$24*AF_meat</f>
        <v>5.961088563928857E-5</v>
      </c>
      <c r="I10" s="32">
        <f>'GHG detailed, absolute'!I10/Production!$B$24*AF_meat</f>
        <v>2.9990780063403334E-6</v>
      </c>
      <c r="J10" s="32">
        <f>'GHG detailed, absolute'!J10/Production!$B$24*AF_meat</f>
        <v>1.1529748932191434E-3</v>
      </c>
      <c r="K10" s="32">
        <f>'GHG detailed, absolute'!K10/Production!$B$24*AF_meat</f>
        <v>1.1529748932191433E-4</v>
      </c>
      <c r="L10" s="32">
        <f>'GHG detailed, absolute'!L10/Production!$B$24*AF_meat</f>
        <v>2.4235361909579273E-6</v>
      </c>
      <c r="M10" s="32"/>
      <c r="N10" s="32">
        <f>'GHG detailed, absolute'!N10/Production!$B$24*AF_meat</f>
        <v>3.0907909107766647E-8</v>
      </c>
      <c r="O10" s="32">
        <f>'GHG detailed, absolute'!O10/Production!$B$24*AF_meat</f>
        <v>4.1852913479250773E-6</v>
      </c>
      <c r="P10" s="32">
        <f>'GHG detailed, absolute'!P10/Production!$B$24*AF_meat</f>
        <v>0</v>
      </c>
      <c r="Q10" s="32">
        <f>'GHG detailed, absolute'!Q10/Production!$B$24*AF_meat</f>
        <v>1.1857051924921675E-5</v>
      </c>
      <c r="R10" s="32">
        <f>'GHG detailed, absolute'!R10/Production!$B$24*AF_meat</f>
        <v>7.955933437214736E-6</v>
      </c>
      <c r="T10" s="47">
        <f>'GHG detailed, absolute'!T10/Production!$B$24*AF_meat</f>
        <v>1.9422224800777331E-4</v>
      </c>
      <c r="U10" s="9">
        <f>'GHG detailed, absolute'!U10/Production!$B$24*AF_meat</f>
        <v>7.1979486346133962E-5</v>
      </c>
      <c r="V10" s="63">
        <f>'GHG detailed, absolute'!V10/Production!$B$24*AF_meat</f>
        <v>1.2224276166163933E-4</v>
      </c>
      <c r="W10" s="4">
        <f>'GHG detailed, absolute'!W10/Production!$B$24*AF_meat</f>
        <v>8.1351745236748232E-6</v>
      </c>
      <c r="X10" s="12">
        <f>'GHG detailed, absolute'!X10/Production!$B$24*AF_meat</f>
        <v>8.2914969940198884E-6</v>
      </c>
      <c r="Z10" s="32"/>
      <c r="AA10" s="32"/>
    </row>
    <row r="11" spans="1:27" ht="15.5" customHeight="1" thickTop="1" thickBot="1" x14ac:dyDescent="0.25">
      <c r="A11" s="164">
        <v>21121</v>
      </c>
      <c r="B11" s="164" t="s">
        <v>132</v>
      </c>
      <c r="C11" s="165" t="s">
        <v>133</v>
      </c>
      <c r="D11" s="166" t="s">
        <v>42</v>
      </c>
      <c r="E11" s="166" t="s">
        <v>43</v>
      </c>
      <c r="F11" s="167" t="s">
        <v>48</v>
      </c>
      <c r="G11" s="178">
        <f>'GHG detailed, absolute'!G11/Production!$B$24*AF_meat</f>
        <v>1.690761470184394</v>
      </c>
      <c r="H11" s="168">
        <f>'GHG detailed, absolute'!H11/Production!$B$24*AF_meat</f>
        <v>9.3166572330003167E-2</v>
      </c>
      <c r="I11" s="168">
        <f>'GHG detailed, absolute'!I11/Production!$B$24*AF_meat</f>
        <v>8.1982797149030159E-2</v>
      </c>
      <c r="J11" s="168">
        <f>'GHG detailed, absolute'!J11/Production!$B$24*AF_meat</f>
        <v>0.31476214584882611</v>
      </c>
      <c r="K11" s="168">
        <f>'GHG detailed, absolute'!K11/Production!$B$24*AF_meat</f>
        <v>3.1476214584882617E-2</v>
      </c>
      <c r="L11" s="168">
        <f>'GHG detailed, absolute'!L11/Production!$B$24*AF_meat</f>
        <v>9.1336830286682366E-2</v>
      </c>
      <c r="M11" s="168">
        <f>'GHG detailed, absolute'!M11/Production!$B$24*AF_meat</f>
        <v>0</v>
      </c>
      <c r="N11" s="168">
        <f>'GHG detailed, absolute'!N11/Production!$B$24*AF_meat</f>
        <v>4.7370739696613083E-4</v>
      </c>
      <c r="O11" s="168">
        <f>'GHG detailed, absolute'!O11/Production!$B$24*AF_meat</f>
        <v>0.11337825586506189</v>
      </c>
      <c r="P11" s="168">
        <f>'GHG detailed, absolute'!P11/Production!$B$24*AF_meat</f>
        <v>0.27794174774745456</v>
      </c>
      <c r="Q11" s="168">
        <f>'GHG detailed, absolute'!Q11/Production!$B$24*AF_meat</f>
        <v>3.867439890051054E-2</v>
      </c>
      <c r="R11" s="168">
        <f>'GHG detailed, absolute'!R11/Production!$B$24*AF_meat</f>
        <v>0.22863941613368885</v>
      </c>
      <c r="S11" s="168">
        <f>'GHG detailed, absolute'!S11/Production!$B$24*AF_meat</f>
        <v>0</v>
      </c>
      <c r="T11" s="168">
        <f>'GHG detailed, absolute'!T11/Production!$B$24*AF_meat</f>
        <v>9.7409280950466665E-2</v>
      </c>
      <c r="U11" s="169"/>
      <c r="V11" s="169"/>
      <c r="W11" s="168">
        <f>'GHG detailed, absolute'!W11/Production!$B$24*AF_meat</f>
        <v>0.11752266480025438</v>
      </c>
      <c r="X11" s="168">
        <f>'GHG detailed, absolute'!X11/Production!$B$24*AF_meat</f>
        <v>0.20399743819056709</v>
      </c>
      <c r="Z11" s="113">
        <f>'GHG detailed, absolute'!Z11/Production!$B$24*AF_meat</f>
        <v>1.2718320862431063</v>
      </c>
      <c r="AA11" s="200">
        <f>'GHG detailed, absolute'!AA11/Production!$B$24*AF_meat</f>
        <v>0.34089084196893815</v>
      </c>
    </row>
    <row r="12" spans="1:27" ht="15" customHeight="1" thickTop="1" x14ac:dyDescent="0.2">
      <c r="A12" s="13">
        <v>21121</v>
      </c>
      <c r="B12" s="13" t="s">
        <v>132</v>
      </c>
      <c r="C12" s="17" t="s">
        <v>133</v>
      </c>
      <c r="D12" s="18" t="s">
        <v>49</v>
      </c>
      <c r="E12" s="18" t="s">
        <v>50</v>
      </c>
      <c r="F12" s="35" t="s">
        <v>44</v>
      </c>
      <c r="G12" s="20">
        <f>'GHG detailed, absolute'!G12/Production!$C$24*AF_meat</f>
        <v>0.80425890787543675</v>
      </c>
      <c r="H12" s="173">
        <f>'GHG detailed, absolute'!H12/Production!$C$24*AF_meat</f>
        <v>0.10374703139178507</v>
      </c>
      <c r="I12" s="173">
        <f>'GHG detailed, absolute'!I12/Production!$C$24*AF_meat</f>
        <v>7.5972609355199033E-2</v>
      </c>
      <c r="J12" s="173">
        <f>'GHG detailed, absolute'!J12/Production!$C$24*AF_meat</f>
        <v>0</v>
      </c>
      <c r="K12" s="173"/>
      <c r="L12" s="173">
        <f>'GHG detailed, absolute'!L12/Production!$C$24*AF_meat</f>
        <v>8.7846243663871768E-2</v>
      </c>
      <c r="M12" s="173"/>
      <c r="N12" s="173">
        <f>'GHG detailed, absolute'!N12/Production!$C$24*AF_meat</f>
        <v>2.7690310197599787E-3</v>
      </c>
      <c r="O12" s="173">
        <f>'GHG detailed, absolute'!O12/Production!$C$24*AF_meat</f>
        <v>0.10558259458935315</v>
      </c>
      <c r="P12" s="173">
        <f>'GHG detailed, absolute'!P12/Production!$C$24*AF_meat</f>
        <v>9.9075411511305084E-2</v>
      </c>
      <c r="Q12" s="173">
        <f>'GHG detailed, absolute'!Q12/Production!$C$24*AF_meat</f>
        <v>4.3979053325885975E-2</v>
      </c>
      <c r="R12" s="173">
        <f>'GHG detailed, absolute'!R12/Production!$C$24*AF_meat</f>
        <v>9.3900773802473164E-2</v>
      </c>
      <c r="S12" s="154"/>
      <c r="T12" s="154"/>
      <c r="U12" s="174"/>
      <c r="V12" s="174"/>
      <c r="W12" s="175">
        <f>'GHG detailed, absolute'!W12/Production!$C$24*AF_meat</f>
        <v>9.0671170224295383E-2</v>
      </c>
      <c r="X12" s="176">
        <f>'GHG detailed, absolute'!X12/Production!$C$24*AF_meat</f>
        <v>0.10071498899150812</v>
      </c>
      <c r="Z12" s="20"/>
      <c r="AA12" s="20"/>
    </row>
    <row r="13" spans="1:27" x14ac:dyDescent="0.2">
      <c r="A13" s="13">
        <v>21121</v>
      </c>
      <c r="B13" s="13" t="s">
        <v>132</v>
      </c>
      <c r="C13" s="17" t="s">
        <v>133</v>
      </c>
      <c r="D13" s="18" t="s">
        <v>49</v>
      </c>
      <c r="E13" s="18" t="s">
        <v>50</v>
      </c>
      <c r="F13" s="13" t="s">
        <v>45</v>
      </c>
      <c r="G13" s="32">
        <f>'GHG detailed, absolute'!G13/Production!$C$24*AF_meat</f>
        <v>1.1466291495211012E-3</v>
      </c>
      <c r="H13" s="33">
        <f>'GHG detailed, absolute'!H13/Production!$C$24*AF_meat</f>
        <v>6.2507153057421097E-5</v>
      </c>
      <c r="I13" s="33">
        <f>'GHG detailed, absolute'!I13/Production!$C$24*AF_meat</f>
        <v>2.6731103291644111E-4</v>
      </c>
      <c r="J13" s="33"/>
      <c r="K13" s="33"/>
      <c r="L13" s="33">
        <f>'GHG detailed, absolute'!L13/Production!$C$24*AF_meat</f>
        <v>3.891292379367757E-5</v>
      </c>
      <c r="M13" s="33"/>
      <c r="N13" s="33">
        <f>'GHG detailed, absolute'!N13/Production!$C$24*AF_meat</f>
        <v>8.2282439229779361E-6</v>
      </c>
      <c r="O13" s="33">
        <f>'GHG detailed, absolute'!O13/Production!$C$24*AF_meat</f>
        <v>5.7776280220184686E-5</v>
      </c>
      <c r="P13" s="33">
        <f>'GHG detailed, absolute'!P13/Production!$C$24*AF_meat</f>
        <v>0</v>
      </c>
      <c r="Q13" s="33">
        <f>'GHG detailed, absolute'!Q13/Production!$C$24*AF_meat</f>
        <v>1.3251909986951497E-4</v>
      </c>
      <c r="R13" s="33">
        <f>'GHG detailed, absolute'!R13/Production!$C$24*AF_meat</f>
        <v>9.0097871162332188E-5</v>
      </c>
      <c r="W13" s="4">
        <f>'GHG detailed, absolute'!W13/Production!$C$24*AF_meat</f>
        <v>7.4464538294278628E-5</v>
      </c>
      <c r="X13" s="12">
        <f>'GHG detailed, absolute'!X13/Production!$C$24*AF_meat</f>
        <v>4.1481200628427304E-4</v>
      </c>
      <c r="Z13" s="32"/>
      <c r="AA13" s="32"/>
    </row>
    <row r="14" spans="1:27" x14ac:dyDescent="0.2">
      <c r="A14" s="13">
        <v>21121</v>
      </c>
      <c r="B14" s="13" t="s">
        <v>132</v>
      </c>
      <c r="C14" s="17" t="s">
        <v>133</v>
      </c>
      <c r="D14" s="18" t="s">
        <v>49</v>
      </c>
      <c r="E14" s="18" t="s">
        <v>50</v>
      </c>
      <c r="F14" s="13" t="s">
        <v>46</v>
      </c>
      <c r="G14" s="32">
        <f>'GHG detailed, absolute'!G14/Production!$C$24*AF_meat</f>
        <v>2.1328674680529264E-3</v>
      </c>
      <c r="H14" s="33"/>
      <c r="I14" s="33"/>
      <c r="J14" s="33"/>
      <c r="K14" s="33"/>
      <c r="L14" s="33"/>
      <c r="M14" s="33"/>
      <c r="N14" s="33"/>
      <c r="O14" s="33"/>
      <c r="P14" s="33"/>
      <c r="Q14" s="33"/>
      <c r="R14" s="33"/>
      <c r="T14" s="47">
        <f>'GHG detailed, absolute'!T14/Production!$C$24*AF_meat</f>
        <v>2.1328674680529264E-3</v>
      </c>
      <c r="U14" s="63">
        <f>'GHG detailed, absolute'!U14/Production!$C$24*AF_meat</f>
        <v>2.1328674680529264E-3</v>
      </c>
      <c r="W14" s="4"/>
      <c r="X14" s="12"/>
    </row>
    <row r="15" spans="1:27" ht="15" customHeight="1" thickBot="1" x14ac:dyDescent="0.25">
      <c r="A15" s="13">
        <v>21121</v>
      </c>
      <c r="B15" s="13" t="s">
        <v>132</v>
      </c>
      <c r="C15" s="17" t="s">
        <v>133</v>
      </c>
      <c r="D15" s="18" t="s">
        <v>49</v>
      </c>
      <c r="E15" s="18" t="s">
        <v>50</v>
      </c>
      <c r="F15" s="34" t="s">
        <v>47</v>
      </c>
      <c r="G15" s="32">
        <f>'GHG detailed, absolute'!G15/Production!$C$24*AF_meat</f>
        <v>1.7562436315268432E-3</v>
      </c>
      <c r="H15" s="33">
        <f>'GHG detailed, absolute'!H15/Production!$C$24*AF_meat</f>
        <v>9.0451717261614609E-5</v>
      </c>
      <c r="I15" s="32">
        <f>'GHG detailed, absolute'!I15/Production!$C$24*AF_meat</f>
        <v>3.0951803811377385E-6</v>
      </c>
      <c r="J15" s="32">
        <f>'GHG detailed, absolute'!J15/Production!$C$24*AF_meat</f>
        <v>1.2903393859354029E-3</v>
      </c>
      <c r="K15" s="32">
        <f>'GHG detailed, absolute'!K15/Production!$C$24*AF_meat</f>
        <v>1.2903393859354031E-4</v>
      </c>
      <c r="L15" s="32">
        <f>'GHG detailed, absolute'!L15/Production!$C$24*AF_meat</f>
        <v>2.3604628171008734E-6</v>
      </c>
      <c r="M15" s="32"/>
      <c r="N15" s="32">
        <f>'GHG detailed, absolute'!N15/Production!$C$24*AF_meat</f>
        <v>1.1880717229623399E-7</v>
      </c>
      <c r="O15" s="32">
        <f>'GHG detailed, absolute'!O15/Production!$C$24*AF_meat</f>
        <v>3.9874561657699983E-6</v>
      </c>
      <c r="P15" s="32">
        <f>'GHG detailed, absolute'!P15/Production!$C$24*AF_meat</f>
        <v>0</v>
      </c>
      <c r="Q15" s="32">
        <f>'GHG detailed, absolute'!Q15/Production!$C$24*AF_meat</f>
        <v>7.5921614697716028E-6</v>
      </c>
      <c r="R15" s="32">
        <f>'GHG detailed, absolute'!R15/Production!$C$24*AF_meat</f>
        <v>3.2867740239004374E-6</v>
      </c>
      <c r="T15" s="47">
        <f>'GHG detailed, absolute'!T15/Production!$C$24*AF_meat</f>
        <v>2.1316848925600316E-4</v>
      </c>
      <c r="U15" s="9">
        <f>'GHG detailed, absolute'!U15/Production!$C$24*AF_meat</f>
        <v>7.9001033708632536E-5</v>
      </c>
      <c r="V15" s="63">
        <f>'GHG detailed, absolute'!V15/Production!$C$24*AF_meat</f>
        <v>1.3416745554737061E-4</v>
      </c>
      <c r="W15" s="4">
        <f>'GHG detailed, absolute'!W15/Production!$C$24*AF_meat</f>
        <v>7.822595633016175E-6</v>
      </c>
      <c r="X15" s="12">
        <f>'GHG detailed, absolute'!X15/Production!$C$24*AF_meat</f>
        <v>4.986662817289378E-6</v>
      </c>
      <c r="Z15" s="32"/>
      <c r="AA15" s="32"/>
    </row>
    <row r="16" spans="1:27" ht="15.5" customHeight="1" thickTop="1" thickBot="1" x14ac:dyDescent="0.25">
      <c r="A16" s="164">
        <v>21121</v>
      </c>
      <c r="B16" s="164" t="s">
        <v>132</v>
      </c>
      <c r="C16" s="165" t="s">
        <v>133</v>
      </c>
      <c r="D16" s="36" t="s">
        <v>49</v>
      </c>
      <c r="E16" s="36" t="s">
        <v>50</v>
      </c>
      <c r="F16" s="177" t="s">
        <v>48</v>
      </c>
      <c r="G16" s="178">
        <f>'GHG detailed, absolute'!G16/Production!$C$24*AF_meat</f>
        <v>1.3754703895754228</v>
      </c>
      <c r="H16" s="168">
        <f>'GHG detailed, absolute'!H16/Production!$C$24*AF_meat</f>
        <v>0.130303063365317</v>
      </c>
      <c r="I16" s="168">
        <f>'GHG detailed, absolute'!I16/Production!$C$24*AF_meat</f>
        <v>8.4783462380159588E-2</v>
      </c>
      <c r="J16" s="168">
        <f>'GHG detailed, absolute'!J16/Production!$C$24*AF_meat</f>
        <v>0.35226265236036497</v>
      </c>
      <c r="K16" s="168">
        <f>'GHG detailed, absolute'!K16/Production!$C$24*AF_meat</f>
        <v>3.5226265236036496E-2</v>
      </c>
      <c r="L16" s="168">
        <f>'GHG detailed, absolute'!L16/Production!$C$24*AF_meat</f>
        <v>8.9650255141991902E-2</v>
      </c>
      <c r="M16" s="168">
        <f>'GHG detailed, absolute'!M16/Production!$C$24*AF_meat</f>
        <v>0</v>
      </c>
      <c r="N16" s="168">
        <f>'GHG detailed, absolute'!N16/Production!$C$24*AF_meat</f>
        <v>3.0466670467015925E-3</v>
      </c>
      <c r="O16" s="168">
        <f>'GHG detailed, absolute'!O16/Production!$C$24*AF_meat</f>
        <v>0.10839290327316987</v>
      </c>
      <c r="P16" s="168">
        <f>'GHG detailed, absolute'!P16/Production!$C$24*AF_meat</f>
        <v>9.9075411511305084E-2</v>
      </c>
      <c r="Q16" s="168">
        <f>'GHG detailed, absolute'!Q16/Production!$C$24*AF_meat</f>
        <v>5.0000782583245168E-2</v>
      </c>
      <c r="R16" s="168">
        <f>'GHG detailed, absolute'!R16/Production!$C$24*AF_meat</f>
        <v>9.7482979671635481E-2</v>
      </c>
      <c r="S16" s="168">
        <f>'GHG detailed, absolute'!S16/Production!$C$24*AF_meat</f>
        <v>0</v>
      </c>
      <c r="T16" s="168">
        <f>'GHG detailed, absolute'!T16/Production!$C$24*AF_meat</f>
        <v>0.11578241920431788</v>
      </c>
      <c r="U16" s="169"/>
      <c r="V16" s="169"/>
      <c r="W16" s="168">
        <f>'GHG detailed, absolute'!W16/Production!$C$24*AF_meat</f>
        <v>9.5025782073278317E-2</v>
      </c>
      <c r="X16" s="168">
        <f>'GHG detailed, absolute'!X16/Production!$C$24*AF_meat</f>
        <v>0.11443774572789947</v>
      </c>
      <c r="Z16" s="113">
        <f>'GHG detailed, absolute'!Z16/Production!$C$24*AF_meat</f>
        <v>1.0502244425699272</v>
      </c>
      <c r="AA16" s="200">
        <f>'GHG detailed, absolute'!AA16/Production!$C$24*AF_meat</f>
        <v>0.30650229390178763</v>
      </c>
    </row>
    <row r="17" spans="1:27" ht="15" customHeight="1" thickTop="1" x14ac:dyDescent="0.2">
      <c r="A17" s="170">
        <v>21121</v>
      </c>
      <c r="B17" s="170" t="s">
        <v>132</v>
      </c>
      <c r="C17" s="171" t="s">
        <v>133</v>
      </c>
      <c r="D17" s="155" t="s">
        <v>51</v>
      </c>
      <c r="E17" s="155" t="s">
        <v>52</v>
      </c>
      <c r="F17" s="172" t="s">
        <v>44</v>
      </c>
      <c r="G17" s="20">
        <f>'GHG detailed, absolute'!G17/Production!$D$24*AF_meat</f>
        <v>0.96664011606669131</v>
      </c>
      <c r="H17" s="173">
        <f>'GHG detailed, absolute'!H17/Production!$D$24*AF_meat</f>
        <v>6.6067144344313919E-2</v>
      </c>
      <c r="I17" s="173">
        <f>'GHG detailed, absolute'!I17/Production!$D$24*AF_meat</f>
        <v>8.0433509464987493E-2</v>
      </c>
      <c r="J17" s="173">
        <f>'GHG detailed, absolute'!J17/Production!$D$24*AF_meat</f>
        <v>0</v>
      </c>
      <c r="K17" s="173"/>
      <c r="L17" s="173">
        <f>'GHG detailed, absolute'!L17/Production!$D$24*AF_meat</f>
        <v>8.4909156201074032E-2</v>
      </c>
      <c r="M17" s="173"/>
      <c r="N17" s="173">
        <f>'GHG detailed, absolute'!N17/Production!$D$24*AF_meat</f>
        <v>5.4383743024801357E-4</v>
      </c>
      <c r="O17" s="173">
        <f>'GHG detailed, absolute'!O17/Production!$D$24*AF_meat</f>
        <v>0.13026304478262096</v>
      </c>
      <c r="P17" s="173">
        <f>'GHG detailed, absolute'!P17/Production!$D$24*AF_meat</f>
        <v>0.10160661063511113</v>
      </c>
      <c r="Q17" s="173">
        <f>'GHG detailed, absolute'!Q17/Production!$D$24*AF_meat</f>
        <v>4.7957867464319417E-2</v>
      </c>
      <c r="R17" s="173">
        <f>'GHG detailed, absolute'!R17/Production!$D$24*AF_meat</f>
        <v>9.4467135902762636E-2</v>
      </c>
      <c r="S17" s="154"/>
      <c r="T17" s="154"/>
      <c r="U17" s="174"/>
      <c r="V17" s="174"/>
      <c r="W17" s="175">
        <f>'GHG detailed, absolute'!W17/Production!$D$24*AF_meat</f>
        <v>0.13737371492566372</v>
      </c>
      <c r="X17" s="176">
        <f>'GHG detailed, absolute'!X17/Production!$D$24*AF_meat</f>
        <v>0.22301809491559002</v>
      </c>
      <c r="Z17" s="20"/>
      <c r="AA17" s="20"/>
    </row>
    <row r="18" spans="1:27" x14ac:dyDescent="0.2">
      <c r="A18" s="13">
        <v>21121</v>
      </c>
      <c r="B18" s="13" t="s">
        <v>132</v>
      </c>
      <c r="C18" s="17" t="s">
        <v>133</v>
      </c>
      <c r="D18" s="18" t="s">
        <v>51</v>
      </c>
      <c r="E18" s="18" t="s">
        <v>52</v>
      </c>
      <c r="F18" s="13" t="s">
        <v>45</v>
      </c>
      <c r="G18" s="32">
        <f>'GHG detailed, absolute'!G18/Production!$D$24*AF_meat</f>
        <v>1.4419747526501162E-3</v>
      </c>
      <c r="H18" s="33">
        <f>'GHG detailed, absolute'!H18/Production!$D$24*AF_meat</f>
        <v>5.8209375077222629E-5</v>
      </c>
      <c r="I18" s="33">
        <f>'GHG detailed, absolute'!I18/Production!$D$24*AF_meat</f>
        <v>2.8300679256199312E-4</v>
      </c>
      <c r="J18" s="33"/>
      <c r="K18" s="33"/>
      <c r="L18" s="33">
        <f>'GHG detailed, absolute'!L18/Production!$D$24*AF_meat</f>
        <v>3.7611893085380995E-5</v>
      </c>
      <c r="M18" s="33"/>
      <c r="N18" s="33">
        <f>'GHG detailed, absolute'!N18/Production!$D$24*AF_meat</f>
        <v>1.6518591004586473E-6</v>
      </c>
      <c r="O18" s="33">
        <f>'GHG detailed, absolute'!O18/Production!$D$24*AF_meat</f>
        <v>9.2226238345777232E-5</v>
      </c>
      <c r="P18" s="33">
        <f>'GHG detailed, absolute'!P18/Production!$D$24*AF_meat</f>
        <v>0</v>
      </c>
      <c r="Q18" s="33">
        <f>'GHG detailed, absolute'!Q18/Production!$D$24*AF_meat</f>
        <v>1.1128772612015576E-4</v>
      </c>
      <c r="R18" s="33">
        <f>'GHG detailed, absolute'!R18/Production!$D$24*AF_meat</f>
        <v>9.0110355328504457E-5</v>
      </c>
      <c r="W18" s="4">
        <f>'GHG detailed, absolute'!W18/Production!$D$24*AF_meat</f>
        <v>1.5255826437782699E-4</v>
      </c>
      <c r="X18" s="12">
        <f>'GHG detailed, absolute'!X18/Production!$D$24*AF_meat</f>
        <v>6.1531224865279651E-4</v>
      </c>
      <c r="Z18" s="32"/>
      <c r="AA18" s="32"/>
    </row>
    <row r="19" spans="1:27" x14ac:dyDescent="0.2">
      <c r="A19" s="13">
        <v>21121</v>
      </c>
      <c r="B19" s="13" t="s">
        <v>132</v>
      </c>
      <c r="C19" s="17" t="s">
        <v>133</v>
      </c>
      <c r="D19" s="18" t="s">
        <v>51</v>
      </c>
      <c r="E19" s="18" t="s">
        <v>52</v>
      </c>
      <c r="F19" s="13" t="s">
        <v>46</v>
      </c>
      <c r="G19" s="32">
        <f>'GHG detailed, absolute'!G19/Production!$D$24*AF_meat</f>
        <v>3.1458802491446257E-3</v>
      </c>
      <c r="H19" s="33"/>
      <c r="I19" s="33"/>
      <c r="J19" s="33"/>
      <c r="K19" s="33"/>
      <c r="L19" s="33"/>
      <c r="M19" s="33"/>
      <c r="N19" s="33"/>
      <c r="O19" s="33"/>
      <c r="P19" s="33"/>
      <c r="Q19" s="33"/>
      <c r="R19" s="33"/>
      <c r="T19" s="47">
        <f>'GHG detailed, absolute'!T19/Production!$D$24*AF_meat</f>
        <v>3.1458802491446257E-3</v>
      </c>
      <c r="U19" s="63">
        <f>'GHG detailed, absolute'!U19/Production!$D$24*AF_meat</f>
        <v>3.1458802491446257E-3</v>
      </c>
      <c r="W19" s="4"/>
      <c r="X19" s="12"/>
    </row>
    <row r="20" spans="1:27" ht="15" customHeight="1" thickBot="1" x14ac:dyDescent="0.25">
      <c r="A20" s="13">
        <v>21121</v>
      </c>
      <c r="B20" s="13" t="s">
        <v>132</v>
      </c>
      <c r="C20" s="17" t="s">
        <v>133</v>
      </c>
      <c r="D20" s="18" t="s">
        <v>51</v>
      </c>
      <c r="E20" s="18" t="s">
        <v>52</v>
      </c>
      <c r="F20" s="34" t="s">
        <v>47</v>
      </c>
      <c r="G20" s="32">
        <f>'GHG detailed, absolute'!G20/Production!$D$24*AF_meat</f>
        <v>1.7522906130051582E-3</v>
      </c>
      <c r="H20" s="33">
        <f>'GHG detailed, absolute'!H20/Production!$D$24*AF_meat</f>
        <v>7.6189850557777827E-5</v>
      </c>
      <c r="I20" s="32">
        <f>'GHG detailed, absolute'!I20/Production!$D$24*AF_meat</f>
        <v>3.2769207559809733E-6</v>
      </c>
      <c r="J20" s="32">
        <f>'GHG detailed, absolute'!J20/Production!$D$24*AF_meat</f>
        <v>1.2022561411030607E-3</v>
      </c>
      <c r="K20" s="32">
        <f>'GHG detailed, absolute'!K20/Production!$D$24*AF_meat</f>
        <v>1.2022561411030606E-4</v>
      </c>
      <c r="L20" s="32">
        <f>'GHG detailed, absolute'!L20/Production!$D$24*AF_meat</f>
        <v>2.2815421318518332E-6</v>
      </c>
      <c r="M20" s="32"/>
      <c r="N20" s="32">
        <f>'GHG detailed, absolute'!N20/Production!$D$24*AF_meat</f>
        <v>2.3165980400081627E-8</v>
      </c>
      <c r="O20" s="32">
        <f>'GHG detailed, absolute'!O20/Production!$D$24*AF_meat</f>
        <v>4.8423128833130283E-6</v>
      </c>
      <c r="P20" s="32">
        <f>'GHG detailed, absolute'!P20/Production!$D$24*AF_meat</f>
        <v>0</v>
      </c>
      <c r="Q20" s="32">
        <f>'GHG detailed, absolute'!Q20/Production!$D$24*AF_meat</f>
        <v>6.5707540499342421E-6</v>
      </c>
      <c r="R20" s="32">
        <f>'GHG detailed, absolute'!R20/Production!$D$24*AF_meat</f>
        <v>3.2949452720726541E-6</v>
      </c>
      <c r="T20" s="47">
        <f>'GHG detailed, absolute'!T20/Production!$D$24*AF_meat</f>
        <v>3.1496680211559282E-4</v>
      </c>
      <c r="U20" s="9">
        <f>'GHG detailed, absolute'!U20/Production!$D$24*AF_meat</f>
        <v>1.1672786647726079E-4</v>
      </c>
      <c r="V20" s="63">
        <f>'GHG detailed, absolute'!V20/Production!$D$24*AF_meat</f>
        <v>1.9823893563833202E-4</v>
      </c>
      <c r="W20" s="4">
        <f>'GHG detailed, absolute'!W20/Production!$D$24*AF_meat</f>
        <v>9.2824240408755062E-6</v>
      </c>
      <c r="X20" s="12">
        <f>'GHG detailed, absolute'!X20/Production!$D$24*AF_meat</f>
        <v>9.0801400039926888E-6</v>
      </c>
      <c r="Z20" s="32"/>
      <c r="AA20" s="32"/>
    </row>
    <row r="21" spans="1:27" ht="15.5" customHeight="1" thickTop="1" thickBot="1" x14ac:dyDescent="0.25">
      <c r="A21" s="164">
        <v>21121</v>
      </c>
      <c r="B21" s="164" t="s">
        <v>132</v>
      </c>
      <c r="C21" s="165" t="s">
        <v>133</v>
      </c>
      <c r="D21" s="166" t="s">
        <v>51</v>
      </c>
      <c r="E21" s="166" t="s">
        <v>52</v>
      </c>
      <c r="F21" s="167" t="s">
        <v>48</v>
      </c>
      <c r="G21" s="178">
        <f>'GHG detailed, absolute'!G21/Production!$D$24*AF_meat</f>
        <v>1.572925067772978</v>
      </c>
      <c r="H21" s="168">
        <f>'GHG detailed, absolute'!H21/Production!$D$24*AF_meat</f>
        <v>8.860161292388849E-2</v>
      </c>
      <c r="I21" s="168">
        <f>'GHG detailed, absolute'!I21/Production!$D$24*AF_meat</f>
        <v>8.9761711249717699E-2</v>
      </c>
      <c r="J21" s="168">
        <f>'GHG detailed, absolute'!J21/Production!$D$24*AF_meat</f>
        <v>0.32821592652113551</v>
      </c>
      <c r="K21" s="168">
        <f>'GHG detailed, absolute'!K21/Production!$D$24*AF_meat</f>
        <v>3.2821592652113547E-2</v>
      </c>
      <c r="L21" s="168">
        <f>'GHG detailed, absolute'!L21/Production!$D$24*AF_meat</f>
        <v>8.6652851617013957E-2</v>
      </c>
      <c r="M21" s="168">
        <f>'GHG detailed, absolute'!M21/Production!$D$24*AF_meat</f>
        <v>0</v>
      </c>
      <c r="N21" s="168">
        <f>'GHG detailed, absolute'!N21/Production!$D$24*AF_meat</f>
        <v>5.9938714409090365E-4</v>
      </c>
      <c r="O21" s="168">
        <f>'GHG detailed, absolute'!O21/Production!$D$24*AF_meat</f>
        <v>0.13433333810246961</v>
      </c>
      <c r="P21" s="168">
        <f>'GHG detailed, absolute'!P21/Production!$D$24*AF_meat</f>
        <v>0.10160661063511113</v>
      </c>
      <c r="Q21" s="168">
        <f>'GHG detailed, absolute'!Q21/Production!$D$24*AF_meat</f>
        <v>5.3068057558332112E-2</v>
      </c>
      <c r="R21" s="168">
        <f>'GHG detailed, absolute'!R21/Production!$D$24*AF_meat</f>
        <v>9.8051944550827913E-2</v>
      </c>
      <c r="S21" s="168">
        <f>'GHG detailed, absolute'!S21/Production!$D$24*AF_meat</f>
        <v>0</v>
      </c>
      <c r="T21" s="168">
        <f>'GHG detailed, absolute'!T21/Production!$D$24*AF_meat</f>
        <v>0.17092470370446172</v>
      </c>
      <c r="U21" s="169"/>
      <c r="V21" s="169"/>
      <c r="W21" s="168">
        <f>'GHG detailed, absolute'!W21/Production!$D$24*AF_meat</f>
        <v>0.144454052967282</v>
      </c>
      <c r="X21" s="168">
        <f>'GHG detailed, absolute'!X21/Production!$D$24*AF_meat</f>
        <v>0.24383327814653336</v>
      </c>
      <c r="Z21" s="113">
        <f>'GHG detailed, absolute'!Z21/Production!$D$24*AF_meat</f>
        <v>1.0137130329547008</v>
      </c>
      <c r="AA21" s="200">
        <f>'GHG detailed, absolute'!AA21/Production!$D$24*AF_meat</f>
        <v>0.32166961869275579</v>
      </c>
    </row>
    <row r="22" spans="1:27" ht="15" customHeight="1" thickTop="1" x14ac:dyDescent="0.2">
      <c r="A22" s="13">
        <v>21121</v>
      </c>
      <c r="B22" s="13" t="s">
        <v>132</v>
      </c>
      <c r="C22" s="17" t="s">
        <v>133</v>
      </c>
      <c r="D22" s="18" t="s">
        <v>53</v>
      </c>
      <c r="E22" s="18" t="s">
        <v>54</v>
      </c>
      <c r="F22" s="35" t="s">
        <v>44</v>
      </c>
      <c r="G22" s="20">
        <f>'GHG detailed, absolute'!G22/Production!$E$24*AF_meat</f>
        <v>1.5386706485927415</v>
      </c>
      <c r="H22" s="173">
        <f>'GHG detailed, absolute'!H22/Production!$E$24*AF_meat</f>
        <v>7.7441858222094803E-2</v>
      </c>
      <c r="I22" s="173">
        <f>'GHG detailed, absolute'!I22/Production!$E$24*AF_meat</f>
        <v>7.0772271517715923E-2</v>
      </c>
      <c r="J22" s="173">
        <f>'GHG detailed, absolute'!J22/Production!$E$24*AF_meat</f>
        <v>0</v>
      </c>
      <c r="K22" s="173"/>
      <c r="L22" s="173">
        <f>'GHG detailed, absolute'!L22/Production!$E$24*AF_meat</f>
        <v>0.12431988360037273</v>
      </c>
      <c r="M22" s="173"/>
      <c r="N22" s="173">
        <f>'GHG detailed, absolute'!N22/Production!$E$24*AF_meat</f>
        <v>1.8827345319734755E-2</v>
      </c>
      <c r="O22" s="173">
        <f>'GHG detailed, absolute'!O22/Production!$E$24*AF_meat</f>
        <v>0.11681974048228047</v>
      </c>
      <c r="P22" s="173">
        <f>'GHG detailed, absolute'!P22/Production!$E$24*AF_meat</f>
        <v>0.22046761555307084</v>
      </c>
      <c r="Q22" s="173">
        <f>'GHG detailed, absolute'!Q22/Production!$E$24*AF_meat</f>
        <v>0.31422181071972394</v>
      </c>
      <c r="R22" s="173">
        <f>'GHG detailed, absolute'!R22/Production!$E$24*AF_meat</f>
        <v>0.17463082279968573</v>
      </c>
      <c r="S22" s="154"/>
      <c r="T22" s="154"/>
      <c r="U22" s="174"/>
      <c r="V22" s="174"/>
      <c r="W22" s="175">
        <f>'GHG detailed, absolute'!W22/Production!$E$24*AF_meat</f>
        <v>0.14085692064711733</v>
      </c>
      <c r="X22" s="176">
        <f>'GHG detailed, absolute'!X22/Production!$E$24*AF_meat</f>
        <v>0.28031237973094503</v>
      </c>
      <c r="Z22" s="20"/>
      <c r="AA22" s="20"/>
    </row>
    <row r="23" spans="1:27" x14ac:dyDescent="0.2">
      <c r="A23" s="13">
        <v>21121</v>
      </c>
      <c r="B23" s="13" t="s">
        <v>132</v>
      </c>
      <c r="C23" s="17" t="s">
        <v>133</v>
      </c>
      <c r="D23" s="18" t="s">
        <v>53</v>
      </c>
      <c r="E23" s="18" t="s">
        <v>54</v>
      </c>
      <c r="F23" s="13" t="s">
        <v>45</v>
      </c>
      <c r="G23" s="32">
        <f>'GHG detailed, absolute'!G23/Production!$E$24*AF_meat</f>
        <v>2.259683861738439E-3</v>
      </c>
      <c r="H23" s="33">
        <f>'GHG detailed, absolute'!H23/Production!$E$24*AF_meat</f>
        <v>1.9153343532434285E-5</v>
      </c>
      <c r="I23" s="33">
        <f>'GHG detailed, absolute'!I23/Production!$E$24*AF_meat</f>
        <v>2.4901354793270428E-4</v>
      </c>
      <c r="J23" s="33"/>
      <c r="K23" s="33"/>
      <c r="L23" s="33">
        <f>'GHG detailed, absolute'!L23/Production!$E$24*AF_meat</f>
        <v>5.50695164051704E-5</v>
      </c>
      <c r="M23" s="33"/>
      <c r="N23" s="33">
        <f>'GHG detailed, absolute'!N23/Production!$E$24*AF_meat</f>
        <v>5.5675133418934712E-5</v>
      </c>
      <c r="O23" s="33">
        <f>'GHG detailed, absolute'!O23/Production!$E$24*AF_meat</f>
        <v>9.4862649362552473E-5</v>
      </c>
      <c r="P23" s="33">
        <f>'GHG detailed, absolute'!P23/Production!$E$24*AF_meat</f>
        <v>0</v>
      </c>
      <c r="Q23" s="33">
        <f>'GHG detailed, absolute'!Q23/Production!$E$24*AF_meat</f>
        <v>6.5866994435438361E-4</v>
      </c>
      <c r="R23" s="33">
        <f>'GHG detailed, absolute'!R23/Production!$E$24*AF_meat</f>
        <v>2.0954885540912075E-4</v>
      </c>
      <c r="W23" s="4">
        <f>'GHG detailed, absolute'!W23/Production!$E$24*AF_meat</f>
        <v>1.7777466887202958E-4</v>
      </c>
      <c r="X23" s="12">
        <f>'GHG detailed, absolute'!X23/Production!$E$24*AF_meat</f>
        <v>7.3991620245110912E-4</v>
      </c>
      <c r="Z23" s="32"/>
      <c r="AA23" s="32"/>
    </row>
    <row r="24" spans="1:27" x14ac:dyDescent="0.2">
      <c r="A24" s="13">
        <v>21121</v>
      </c>
      <c r="B24" s="13" t="s">
        <v>132</v>
      </c>
      <c r="C24" s="17" t="s">
        <v>133</v>
      </c>
      <c r="D24" s="18" t="s">
        <v>53</v>
      </c>
      <c r="E24" s="18" t="s">
        <v>54</v>
      </c>
      <c r="F24" s="13" t="s">
        <v>46</v>
      </c>
      <c r="G24" s="32">
        <f>'GHG detailed, absolute'!G24/Production!$E$24*AF_meat</f>
        <v>2.7997891456729347E-3</v>
      </c>
      <c r="H24" s="33"/>
      <c r="I24" s="33"/>
      <c r="J24" s="33"/>
      <c r="K24" s="33"/>
      <c r="L24" s="33"/>
      <c r="M24" s="33"/>
      <c r="N24" s="33"/>
      <c r="O24" s="33"/>
      <c r="P24" s="33"/>
      <c r="Q24" s="33"/>
      <c r="R24" s="33"/>
      <c r="T24" s="47">
        <f>'GHG detailed, absolute'!T24/Production!$E$24*AF_meat</f>
        <v>2.7997891456729347E-3</v>
      </c>
      <c r="U24" s="63">
        <f>'GHG detailed, absolute'!U24/Production!$E$24*AF_meat</f>
        <v>2.7997891456729347E-3</v>
      </c>
      <c r="W24" s="4"/>
      <c r="X24" s="12"/>
    </row>
    <row r="25" spans="1:27" ht="15" customHeight="1" thickBot="1" x14ac:dyDescent="0.25">
      <c r="A25" s="13">
        <v>21121</v>
      </c>
      <c r="B25" s="13" t="s">
        <v>132</v>
      </c>
      <c r="C25" s="17" t="s">
        <v>133</v>
      </c>
      <c r="D25" s="18" t="s">
        <v>53</v>
      </c>
      <c r="E25" s="18" t="s">
        <v>54</v>
      </c>
      <c r="F25" s="34" t="s">
        <v>47</v>
      </c>
      <c r="G25" s="32">
        <f>'GHG detailed, absolute'!G25/Production!$E$24*AF_meat</f>
        <v>1.5996195013950141E-3</v>
      </c>
      <c r="H25" s="33">
        <f>'GHG detailed, absolute'!H25/Production!$E$24*AF_meat</f>
        <v>2.7266025354038506E-5</v>
      </c>
      <c r="I25" s="32">
        <f>'GHG detailed, absolute'!I25/Production!$E$24*AF_meat</f>
        <v>2.8833147655365739E-6</v>
      </c>
      <c r="J25" s="32">
        <f>'GHG detailed, absolute'!J25/Production!$E$24*AF_meat</f>
        <v>1.1627015483123757E-3</v>
      </c>
      <c r="K25" s="32">
        <f>'GHG detailed, absolute'!K25/Production!$E$24*AF_meat</f>
        <v>1.162701548312376E-4</v>
      </c>
      <c r="L25" s="32">
        <f>'GHG detailed, absolute'!L25/Production!$E$24*AF_meat</f>
        <v>3.3405237426865168E-6</v>
      </c>
      <c r="M25" s="32"/>
      <c r="N25" s="32">
        <f>'GHG detailed, absolute'!N25/Production!$E$24*AF_meat</f>
        <v>8.090677286617727E-7</v>
      </c>
      <c r="O25" s="32">
        <f>'GHG detailed, absolute'!O25/Production!$E$24*AF_meat</f>
        <v>4.1378767276446096E-6</v>
      </c>
      <c r="P25" s="32">
        <f>'GHG detailed, absolute'!P25/Production!$E$24*AF_meat</f>
        <v>0</v>
      </c>
      <c r="Q25" s="32">
        <f>'GHG detailed, absolute'!Q25/Production!$E$24*AF_meat</f>
        <v>1.8632002155188704E-5</v>
      </c>
      <c r="R25" s="32">
        <f>'GHG detailed, absolute'!R25/Production!$E$24*AF_meat</f>
        <v>6.6817966655683136E-6</v>
      </c>
      <c r="T25" s="47">
        <f>'GHG detailed, absolute'!T25/Production!$E$24*AF_meat</f>
        <v>2.3910091605835109E-4</v>
      </c>
      <c r="U25" s="9">
        <f>'GHG detailed, absolute'!U25/Production!$E$24*AF_meat</f>
        <v>8.8611687380332473E-5</v>
      </c>
      <c r="V25" s="63">
        <f>'GHG detailed, absolute'!V25/Production!$E$24*AF_meat</f>
        <v>1.5048922867801862E-4</v>
      </c>
      <c r="W25" s="4">
        <f>'GHG detailed, absolute'!W25/Production!$E$24*AF_meat</f>
        <v>8.3061755342693063E-6</v>
      </c>
      <c r="X25" s="12">
        <f>'GHG detailed, absolute'!X25/Production!$E$24*AF_meat</f>
        <v>9.4900995194553959E-6</v>
      </c>
      <c r="Z25" s="32"/>
      <c r="AA25" s="32"/>
    </row>
    <row r="26" spans="1:27" ht="15.5" customHeight="1" thickTop="1" thickBot="1" x14ac:dyDescent="0.25">
      <c r="A26" s="164">
        <v>21121</v>
      </c>
      <c r="B26" s="164" t="s">
        <v>132</v>
      </c>
      <c r="C26" s="165" t="s">
        <v>133</v>
      </c>
      <c r="D26" s="36" t="s">
        <v>53</v>
      </c>
      <c r="E26" s="36" t="s">
        <v>54</v>
      </c>
      <c r="F26" s="167" t="s">
        <v>48</v>
      </c>
      <c r="G26" s="178">
        <f>'GHG detailed, absolute'!G26/Production!$E$24*AF_meat</f>
        <v>2.1182996584865554</v>
      </c>
      <c r="H26" s="168">
        <f>'GHG detailed, absolute'!H26/Production!$E$24*AF_meat</f>
        <v>8.5456252781013847E-2</v>
      </c>
      <c r="I26" s="168">
        <f>'GHG detailed, absolute'!I26/Production!$E$24*AF_meat</f>
        <v>7.8980020177101998E-2</v>
      </c>
      <c r="J26" s="168">
        <f>'GHG detailed, absolute'!J26/Production!$E$24*AF_meat</f>
        <v>0.31741752268927859</v>
      </c>
      <c r="K26" s="168">
        <f>'GHG detailed, absolute'!K26/Production!$E$24*AF_meat</f>
        <v>3.1741752268927857E-2</v>
      </c>
      <c r="L26" s="168">
        <f>'GHG detailed, absolute'!L26/Production!$E$24*AF_meat</f>
        <v>0.12687291817100024</v>
      </c>
      <c r="M26" s="168">
        <f>'GHG detailed, absolute'!M26/Production!$E$24*AF_meat</f>
        <v>0</v>
      </c>
      <c r="N26" s="168">
        <f>'GHG detailed, absolute'!N26/Production!$E$24*AF_meat</f>
        <v>2.070733978554367E-2</v>
      </c>
      <c r="O26" s="168">
        <f>'GHG detailed, absolute'!O26/Production!$E$24*AF_meat</f>
        <v>0.12077628777993152</v>
      </c>
      <c r="P26" s="168">
        <f>'GHG detailed, absolute'!P26/Production!$E$24*AF_meat</f>
        <v>0.22046761555307084</v>
      </c>
      <c r="Q26" s="168">
        <f>'GHG detailed, absolute'!Q26/Production!$E$24*AF_meat</f>
        <v>0.33893671164985106</v>
      </c>
      <c r="R26" s="168">
        <f>'GHG detailed, absolute'!R26/Production!$E$24*AF_meat</f>
        <v>0.18269950918057767</v>
      </c>
      <c r="S26" s="168">
        <f>'GHG detailed, absolute'!S26/Production!$E$24*AF_meat</f>
        <v>0</v>
      </c>
      <c r="T26" s="168">
        <f>'GHG detailed, absolute'!T26/Production!$E$24*AF_meat</f>
        <v>0.14086885701709909</v>
      </c>
      <c r="U26" s="169"/>
      <c r="V26" s="169"/>
      <c r="W26" s="168">
        <f>'GHG detailed, absolute'!W26/Production!$E$24*AF_meat</f>
        <v>0.14842219170035933</v>
      </c>
      <c r="X26" s="168">
        <f>'GHG detailed, absolute'!X26/Production!$E$24*AF_meat</f>
        <v>0.30495267973279938</v>
      </c>
      <c r="Z26" s="113">
        <f>'GHG detailed, absolute'!Z26/Production!$E$24*AF_meat</f>
        <v>1.5240559300362975</v>
      </c>
      <c r="AA26" s="200">
        <f>'GHG detailed, absolute'!AA26/Production!$E$24*AF_meat</f>
        <v>0.43019239047175784</v>
      </c>
    </row>
    <row r="27" spans="1:27" ht="15" customHeight="1" thickTop="1" x14ac:dyDescent="0.2">
      <c r="A27" s="170">
        <v>21121</v>
      </c>
      <c r="B27" s="170" t="s">
        <v>132</v>
      </c>
      <c r="C27" s="171" t="s">
        <v>133</v>
      </c>
      <c r="D27" s="155" t="s">
        <v>55</v>
      </c>
      <c r="E27" s="155" t="s">
        <v>56</v>
      </c>
      <c r="F27" s="172" t="s">
        <v>44</v>
      </c>
      <c r="G27" s="20">
        <f>'GHG detailed, absolute'!G27/Production!$F$24*AF_meat</f>
        <v>1.0509439926373803</v>
      </c>
      <c r="H27" s="173">
        <f>'GHG detailed, absolute'!H27/Production!$F$24*AF_meat</f>
        <v>8.9811160894632938E-2</v>
      </c>
      <c r="I27" s="173">
        <f>'GHG detailed, absolute'!I27/Production!$F$24*AF_meat</f>
        <v>7.6945244852216543E-2</v>
      </c>
      <c r="J27" s="173">
        <f>'GHG detailed, absolute'!J27/Production!$F$24*AF_meat</f>
        <v>0</v>
      </c>
      <c r="K27" s="173"/>
      <c r="L27" s="173">
        <f>'GHG detailed, absolute'!L27/Production!$F$24*AF_meat</f>
        <v>9.9184957185416187E-2</v>
      </c>
      <c r="M27" s="173"/>
      <c r="N27" s="173">
        <f>'GHG detailed, absolute'!N27/Production!$F$24*AF_meat</f>
        <v>1.7989847572700249E-3</v>
      </c>
      <c r="O27" s="173">
        <f>'GHG detailed, absolute'!O27/Production!$F$24*AF_meat</f>
        <v>0.11856847062149355</v>
      </c>
      <c r="P27" s="173">
        <f>'GHG detailed, absolute'!P27/Production!$F$24*AF_meat</f>
        <v>0.12041668325213123</v>
      </c>
      <c r="Q27" s="173">
        <f>'GHG detailed, absolute'!Q27/Production!$F$24*AF_meat</f>
        <v>0.13281097906592235</v>
      </c>
      <c r="R27" s="173">
        <f>'GHG detailed, absolute'!R27/Production!$F$24*AF_meat</f>
        <v>7.9153211260139952E-2</v>
      </c>
      <c r="S27" s="154"/>
      <c r="T27" s="154"/>
      <c r="U27" s="174"/>
      <c r="V27" s="174"/>
      <c r="W27" s="175">
        <f>'GHG detailed, absolute'!W27/Production!$F$24*AF_meat</f>
        <v>0.11780488370603089</v>
      </c>
      <c r="X27" s="176">
        <f>'GHG detailed, absolute'!X27/Production!$F$24*AF_meat</f>
        <v>0.21444941704212658</v>
      </c>
      <c r="Z27" s="20"/>
      <c r="AA27" s="20"/>
    </row>
    <row r="28" spans="1:27" x14ac:dyDescent="0.2">
      <c r="A28" s="13">
        <v>21121</v>
      </c>
      <c r="B28" s="13" t="s">
        <v>132</v>
      </c>
      <c r="C28" s="17" t="s">
        <v>133</v>
      </c>
      <c r="D28" s="18" t="s">
        <v>55</v>
      </c>
      <c r="E28" s="18" t="s">
        <v>56</v>
      </c>
      <c r="F28" s="13" t="s">
        <v>45</v>
      </c>
      <c r="G28" s="32">
        <f>'GHG detailed, absolute'!G28/Production!$F$24*AF_meat</f>
        <v>1.683235634789724E-3</v>
      </c>
      <c r="H28" s="33">
        <f>'GHG detailed, absolute'!H28/Production!$F$24*AF_meat</f>
        <v>9.5087011327639293E-6</v>
      </c>
      <c r="I28" s="33">
        <f>'GHG detailed, absolute'!I28/Production!$F$24*AF_meat</f>
        <v>2.7073326892446559E-4</v>
      </c>
      <c r="J28" s="33"/>
      <c r="K28" s="33"/>
      <c r="L28" s="33">
        <f>'GHG detailed, absolute'!L28/Production!$F$24*AF_meat</f>
        <v>4.3935591545647351E-5</v>
      </c>
      <c r="M28" s="33"/>
      <c r="N28" s="33">
        <f>'GHG detailed, absolute'!N28/Production!$F$24*AF_meat</f>
        <v>5.3401783999921824E-6</v>
      </c>
      <c r="O28" s="33">
        <f>'GHG detailed, absolute'!O28/Production!$F$24*AF_meat</f>
        <v>9.7333447417149023E-5</v>
      </c>
      <c r="P28" s="33">
        <f>'GHG detailed, absolute'!P28/Production!$F$24*AF_meat</f>
        <v>0</v>
      </c>
      <c r="Q28" s="33">
        <f>'GHG detailed, absolute'!Q28/Production!$F$24*AF_meat</f>
        <v>3.454317611453304E-4</v>
      </c>
      <c r="R28" s="33">
        <f>'GHG detailed, absolute'!R28/Production!$F$24*AF_meat</f>
        <v>6.6330429388979692E-5</v>
      </c>
      <c r="W28" s="4">
        <f>'GHG detailed, absolute'!W28/Production!$F$24*AF_meat</f>
        <v>1.5883095400483701E-4</v>
      </c>
      <c r="X28" s="12">
        <f>'GHG detailed, absolute'!X28/Production!$F$24*AF_meat</f>
        <v>6.8579130283055875E-4</v>
      </c>
      <c r="Z28" s="32"/>
      <c r="AA28" s="32"/>
    </row>
    <row r="29" spans="1:27" x14ac:dyDescent="0.2">
      <c r="A29" s="13">
        <v>21121</v>
      </c>
      <c r="B29" s="13" t="s">
        <v>132</v>
      </c>
      <c r="C29" s="17" t="s">
        <v>133</v>
      </c>
      <c r="D29" s="18" t="s">
        <v>55</v>
      </c>
      <c r="E29" s="18" t="s">
        <v>56</v>
      </c>
      <c r="F29" s="13" t="s">
        <v>46</v>
      </c>
      <c r="G29" s="32">
        <f>'GHG detailed, absolute'!G29/Production!$F$24*AF_meat</f>
        <v>1.8665260971152896E-3</v>
      </c>
      <c r="H29" s="33"/>
      <c r="I29" s="33"/>
      <c r="J29" s="33"/>
      <c r="K29" s="33"/>
      <c r="L29" s="33"/>
      <c r="M29" s="33"/>
      <c r="N29" s="33"/>
      <c r="O29" s="33"/>
      <c r="P29" s="33"/>
      <c r="Q29" s="33"/>
      <c r="R29" s="33"/>
      <c r="T29" s="47">
        <f>'GHG detailed, absolute'!T29/Production!$F$24*AF_meat</f>
        <v>1.8665260971152896E-3</v>
      </c>
      <c r="U29" s="63">
        <f>'GHG detailed, absolute'!U29/Production!$F$24*AF_meat</f>
        <v>1.8665260971152896E-3</v>
      </c>
      <c r="W29" s="4"/>
      <c r="X29" s="12"/>
    </row>
    <row r="30" spans="1:27" ht="15" customHeight="1" thickBot="1" x14ac:dyDescent="0.25">
      <c r="A30" s="13">
        <v>21121</v>
      </c>
      <c r="B30" s="13" t="s">
        <v>132</v>
      </c>
      <c r="C30" s="17" t="s">
        <v>133</v>
      </c>
      <c r="D30" s="18" t="s">
        <v>55</v>
      </c>
      <c r="E30" s="18" t="s">
        <v>56</v>
      </c>
      <c r="F30" s="34" t="s">
        <v>47</v>
      </c>
      <c r="G30" s="32">
        <f>'GHG detailed, absolute'!G30/Production!$F$24*AF_meat</f>
        <v>1.8231337309540534E-3</v>
      </c>
      <c r="H30" s="33">
        <f>'GHG detailed, absolute'!H30/Production!$F$24*AF_meat</f>
        <v>4.333906805547819E-5</v>
      </c>
      <c r="I30" s="32">
        <f>'GHG detailed, absolute'!I30/Production!$F$24*AF_meat</f>
        <v>3.1348062717569709E-6</v>
      </c>
      <c r="J30" s="32">
        <f>'GHG detailed, absolute'!J30/Production!$F$24*AF_meat</f>
        <v>1.3658511510989471E-3</v>
      </c>
      <c r="K30" s="32">
        <f>'GHG detailed, absolute'!K30/Production!$F$24*AF_meat</f>
        <v>1.3658511510989473E-4</v>
      </c>
      <c r="L30" s="32">
        <f>'GHG detailed, absolute'!L30/Production!$F$24*AF_meat</f>
        <v>2.665138470208759E-6</v>
      </c>
      <c r="M30" s="32"/>
      <c r="N30" s="32">
        <f>'GHG detailed, absolute'!N30/Production!$F$24*AF_meat</f>
        <v>7.7212649196462425E-8</v>
      </c>
      <c r="O30" s="32">
        <f>'GHG detailed, absolute'!O30/Production!$F$24*AF_meat</f>
        <v>4.2035126088826258E-6</v>
      </c>
      <c r="P30" s="32">
        <f>'GHG detailed, absolute'!P30/Production!$F$24*AF_meat</f>
        <v>0</v>
      </c>
      <c r="Q30" s="32">
        <f>'GHG detailed, absolute'!Q30/Production!$F$24*AF_meat</f>
        <v>8.4557183000385113E-6</v>
      </c>
      <c r="R30" s="32">
        <f>'GHG detailed, absolute'!R30/Production!$F$24*AF_meat</f>
        <v>2.8864268600955157E-6</v>
      </c>
      <c r="T30" s="47">
        <f>'GHG detailed, absolute'!T30/Production!$F$24*AF_meat</f>
        <v>2.4107956160922405E-4</v>
      </c>
      <c r="U30" s="9">
        <f>'GHG detailed, absolute'!U30/Production!$F$24*AF_meat</f>
        <v>8.9344980769085714E-5</v>
      </c>
      <c r="V30" s="63">
        <f>'GHG detailed, absolute'!V30/Production!$F$24*AF_meat</f>
        <v>1.5173458084013832E-4</v>
      </c>
      <c r="W30" s="4">
        <f>'GHG detailed, absolute'!W30/Production!$F$24*AF_meat</f>
        <v>7.5438871663523184E-6</v>
      </c>
      <c r="X30" s="12">
        <f>'GHG detailed, absolute'!X30/Production!$F$24*AF_meat</f>
        <v>7.3121327539782879E-6</v>
      </c>
      <c r="Z30" s="32"/>
      <c r="AA30" s="32"/>
    </row>
    <row r="31" spans="1:27" ht="15.5" customHeight="1" thickTop="1" thickBot="1" x14ac:dyDescent="0.25">
      <c r="A31" s="164">
        <v>21121</v>
      </c>
      <c r="B31" s="164" t="s">
        <v>132</v>
      </c>
      <c r="C31" s="165" t="s">
        <v>133</v>
      </c>
      <c r="D31" s="166" t="s">
        <v>55</v>
      </c>
      <c r="E31" s="166" t="s">
        <v>56</v>
      </c>
      <c r="F31" s="167" t="s">
        <v>48</v>
      </c>
      <c r="G31" s="178">
        <f>'GHG detailed, absolute'!G31/Production!$F$24*AF_meat</f>
        <v>1.6492161277266835</v>
      </c>
      <c r="H31" s="168">
        <f>'GHG detailed, absolute'!H31/Production!$F$24*AF_meat</f>
        <v>0.10192608576753485</v>
      </c>
      <c r="I31" s="168">
        <f>'GHG detailed, absolute'!I31/Production!$F$24*AF_meat</f>
        <v>8.5868898378355277E-2</v>
      </c>
      <c r="J31" s="168">
        <f>'GHG detailed, absolute'!J31/Production!$F$24*AF_meat</f>
        <v>0.37287736425001256</v>
      </c>
      <c r="K31" s="168">
        <f>'GHG detailed, absolute'!K31/Production!$F$24*AF_meat</f>
        <v>3.7287736425001265E-2</v>
      </c>
      <c r="L31" s="168">
        <f>'GHG detailed, absolute'!L31/Production!$F$24*AF_meat</f>
        <v>0.10122182061584348</v>
      </c>
      <c r="M31" s="168">
        <f>'GHG detailed, absolute'!M31/Production!$F$24*AF_meat</f>
        <v>0</v>
      </c>
      <c r="N31" s="168">
        <f>'GHG detailed, absolute'!N31/Production!$F$24*AF_meat</f>
        <v>1.9792011268204264E-3</v>
      </c>
      <c r="O31" s="168">
        <f>'GHG detailed, absolute'!O31/Production!$F$24*AF_meat</f>
        <v>0.12261656629674957</v>
      </c>
      <c r="P31" s="168">
        <f>'GHG detailed, absolute'!P31/Production!$F$24*AF_meat</f>
        <v>0.12041668325213123</v>
      </c>
      <c r="Q31" s="168">
        <f>'GHG detailed, absolute'!Q31/Production!$F$24*AF_meat</f>
        <v>0.14541325664396373</v>
      </c>
      <c r="R31" s="168">
        <f>'GHG detailed, absolute'!R31/Production!$F$24*AF_meat</f>
        <v>8.1917852588737614E-2</v>
      </c>
      <c r="S31" s="168">
        <f>'GHG detailed, absolute'!S31/Production!$F$24*AF_meat</f>
        <v>0</v>
      </c>
      <c r="T31" s="168">
        <f>'GHG detailed, absolute'!T31/Production!$F$24*AF_meat</f>
        <v>0.11621092494143098</v>
      </c>
      <c r="U31" s="169"/>
      <c r="V31" s="169"/>
      <c r="W31" s="168">
        <f>'GHG detailed, absolute'!W31/Production!$F$24*AF_meat</f>
        <v>0.12459752733178922</v>
      </c>
      <c r="X31" s="168">
        <f>'GHG detailed, absolute'!X31/Production!$F$24*AF_meat</f>
        <v>0.23688221010831328</v>
      </c>
      <c r="Z31" s="113">
        <f>'GHG detailed, absolute'!Z31/Production!$F$24*AF_meat</f>
        <v>1.1715254653451499</v>
      </c>
      <c r="AA31" s="200">
        <f>'GHG detailed, absolute'!AA31/Production!$F$24*AF_meat</f>
        <v>0.35898375808604627</v>
      </c>
    </row>
    <row r="32" spans="1:27" ht="15" customHeight="1" thickTop="1" x14ac:dyDescent="0.2">
      <c r="A32" s="170">
        <v>21121</v>
      </c>
      <c r="B32" s="170" t="s">
        <v>132</v>
      </c>
      <c r="C32" s="171" t="s">
        <v>133</v>
      </c>
      <c r="D32" s="155" t="s">
        <v>57</v>
      </c>
      <c r="E32" s="155" t="s">
        <v>58</v>
      </c>
      <c r="F32" s="172" t="s">
        <v>44</v>
      </c>
      <c r="G32" s="20">
        <f>'GHG detailed, absolute'!G32/Production!$G$24*AF_meat</f>
        <v>1.1450780695291225</v>
      </c>
      <c r="H32" s="173">
        <f>'GHG detailed, absolute'!H32/Production!$G$24*AF_meat</f>
        <v>6.4685938932756676E-2</v>
      </c>
      <c r="I32" s="173">
        <f>'GHG detailed, absolute'!I32/Production!$G$24*AF_meat</f>
        <v>7.2244932040389773E-2</v>
      </c>
      <c r="J32" s="173">
        <f>'GHG detailed, absolute'!J32/Production!$G$24*AF_meat</f>
        <v>0</v>
      </c>
      <c r="K32" s="173"/>
      <c r="L32" s="173">
        <f>'GHG detailed, absolute'!L32/Production!$G$24*AF_meat</f>
        <v>8.0177508187058835E-2</v>
      </c>
      <c r="M32" s="173"/>
      <c r="N32" s="173">
        <f>'GHG detailed, absolute'!N32/Production!$G$24*AF_meat</f>
        <v>1.7202428521766076E-3</v>
      </c>
      <c r="O32" s="173">
        <f>'GHG detailed, absolute'!O32/Production!$G$24*AF_meat</f>
        <v>0.10646670337075878</v>
      </c>
      <c r="P32" s="173">
        <f>'GHG detailed, absolute'!P32/Production!$G$24*AF_meat</f>
        <v>0.27555354739824978</v>
      </c>
      <c r="Q32" s="173">
        <f>'GHG detailed, absolute'!Q32/Production!$G$24*AF_meat</f>
        <v>3.0415199047513969E-2</v>
      </c>
      <c r="R32" s="173">
        <f>'GHG detailed, absolute'!R32/Production!$G$24*AF_meat</f>
        <v>0.2095522244655687</v>
      </c>
      <c r="S32" s="154"/>
      <c r="T32" s="154"/>
      <c r="U32" s="174"/>
      <c r="V32" s="174"/>
      <c r="W32" s="175">
        <f>'GHG detailed, absolute'!W32/Production!$G$24*AF_meat</f>
        <v>0.10972237061489325</v>
      </c>
      <c r="X32" s="176">
        <f>'GHG detailed, absolute'!X32/Production!$G$24*AF_meat</f>
        <v>0.19453940261975616</v>
      </c>
      <c r="Z32" s="20"/>
      <c r="AA32" s="20"/>
    </row>
    <row r="33" spans="1:27" x14ac:dyDescent="0.2">
      <c r="A33" s="13">
        <v>21121</v>
      </c>
      <c r="B33" s="13" t="s">
        <v>132</v>
      </c>
      <c r="C33" s="17" t="s">
        <v>133</v>
      </c>
      <c r="D33" s="18" t="s">
        <v>57</v>
      </c>
      <c r="E33" s="18" t="s">
        <v>58</v>
      </c>
      <c r="F33" s="13" t="s">
        <v>45</v>
      </c>
      <c r="G33" s="32">
        <f>'GHG detailed, absolute'!G33/Production!$G$24*AF_meat</f>
        <v>1.2059877622613597E-3</v>
      </c>
      <c r="H33" s="33">
        <f>'GHG detailed, absolute'!H33/Production!$G$24*AF_meat</f>
        <v>3.092217921973504E-5</v>
      </c>
      <c r="I33" s="33">
        <f>'GHG detailed, absolute'!I33/Production!$G$24*AF_meat</f>
        <v>2.5419513125322333E-4</v>
      </c>
      <c r="J33" s="33"/>
      <c r="K33" s="33"/>
      <c r="L33" s="33">
        <f>'GHG detailed, absolute'!L33/Production!$G$24*AF_meat</f>
        <v>3.5515932564947128E-5</v>
      </c>
      <c r="M33" s="33"/>
      <c r="N33" s="33">
        <f>'GHG detailed, absolute'!N33/Production!$G$24*AF_meat</f>
        <v>5.1482401341195386E-6</v>
      </c>
      <c r="O33" s="33">
        <f>'GHG detailed, absolute'!O33/Production!$G$24*AF_meat</f>
        <v>6.1251844050920764E-5</v>
      </c>
      <c r="P33" s="33">
        <f>'GHG detailed, absolute'!P33/Production!$G$24*AF_meat</f>
        <v>0</v>
      </c>
      <c r="Q33" s="33">
        <f>'GHG detailed, absolute'!Q33/Production!$G$24*AF_meat</f>
        <v>1.0886548275626336E-4</v>
      </c>
      <c r="R33" s="33">
        <f>'GHG detailed, absolute'!R33/Production!$G$24*AF_meat</f>
        <v>1.7844244534165758E-4</v>
      </c>
      <c r="W33" s="4">
        <f>'GHG detailed, absolute'!W33/Production!$G$24*AF_meat</f>
        <v>7.9256484795966637E-5</v>
      </c>
      <c r="X33" s="12">
        <f>'GHG detailed, absolute'!X33/Production!$G$24*AF_meat</f>
        <v>4.5239002214452612E-4</v>
      </c>
      <c r="Z33" s="32"/>
      <c r="AA33" s="32"/>
    </row>
    <row r="34" spans="1:27" x14ac:dyDescent="0.2">
      <c r="A34" s="13">
        <v>21121</v>
      </c>
      <c r="B34" s="13" t="s">
        <v>132</v>
      </c>
      <c r="C34" s="17" t="s">
        <v>133</v>
      </c>
      <c r="D34" s="18" t="s">
        <v>57</v>
      </c>
      <c r="E34" s="18" t="s">
        <v>58</v>
      </c>
      <c r="F34" s="13" t="s">
        <v>46</v>
      </c>
      <c r="G34" s="32">
        <f>'GHG detailed, absolute'!G34/Production!$G$24*AF_meat</f>
        <v>1.6896986288644036E-3</v>
      </c>
      <c r="H34" s="33"/>
      <c r="I34" s="33"/>
      <c r="J34" s="33"/>
      <c r="K34" s="33"/>
      <c r="L34" s="33"/>
      <c r="M34" s="33"/>
      <c r="N34" s="33"/>
      <c r="O34" s="33"/>
      <c r="P34" s="33"/>
      <c r="Q34" s="33"/>
      <c r="R34" s="33"/>
      <c r="T34" s="47">
        <f>'GHG detailed, absolute'!T34/Production!$G$24*AF_meat</f>
        <v>1.6896986288644036E-3</v>
      </c>
      <c r="U34" s="63">
        <f>'GHG detailed, absolute'!U34/Production!$G$24*AF_meat</f>
        <v>1.6896986288644036E-3</v>
      </c>
      <c r="W34" s="4"/>
      <c r="X34" s="12"/>
    </row>
    <row r="35" spans="1:27" ht="15" customHeight="1" thickBot="1" x14ac:dyDescent="0.25">
      <c r="A35" s="13">
        <v>21121</v>
      </c>
      <c r="B35" s="13" t="s">
        <v>132</v>
      </c>
      <c r="C35" s="17" t="s">
        <v>133</v>
      </c>
      <c r="D35" s="18" t="s">
        <v>57</v>
      </c>
      <c r="E35" s="18" t="s">
        <v>58</v>
      </c>
      <c r="F35" s="34" t="s">
        <v>47</v>
      </c>
      <c r="G35" s="32">
        <f>'GHG detailed, absolute'!G35/Production!$G$24*AF_meat</f>
        <v>1.3002801623150583E-3</v>
      </c>
      <c r="H35" s="33">
        <f>'GHG detailed, absolute'!H35/Production!$G$24*AF_meat</f>
        <v>4.9390522654623797E-5</v>
      </c>
      <c r="I35" s="32">
        <f>'GHG detailed, absolute'!I35/Production!$G$24*AF_meat</f>
        <v>2.9433120460899542E-6</v>
      </c>
      <c r="J35" s="32">
        <f>'GHG detailed, absolute'!J35/Production!$G$24*AF_meat</f>
        <v>9.6533012872389615E-4</v>
      </c>
      <c r="K35" s="32">
        <f>'GHG detailed, absolute'!K35/Production!$G$24*AF_meat</f>
        <v>9.6533012872389615E-5</v>
      </c>
      <c r="L35" s="32">
        <f>'GHG detailed, absolute'!L35/Production!$G$24*AF_meat</f>
        <v>2.1544009049209679E-6</v>
      </c>
      <c r="M35" s="32"/>
      <c r="N35" s="32">
        <f>'GHG detailed, absolute'!N35/Production!$G$24*AF_meat</f>
        <v>7.3637355591361138E-8</v>
      </c>
      <c r="O35" s="32">
        <f>'GHG detailed, absolute'!O35/Production!$G$24*AF_meat</f>
        <v>3.8685882537367401E-6</v>
      </c>
      <c r="P35" s="32">
        <f>'GHG detailed, absolute'!P35/Production!$G$24*AF_meat</f>
        <v>0</v>
      </c>
      <c r="Q35" s="32">
        <f>'GHG detailed, absolute'!Q35/Production!$G$24*AF_meat</f>
        <v>1.125129334315852E-5</v>
      </c>
      <c r="R35" s="32">
        <f>'GHG detailed, absolute'!R35/Production!$G$24*AF_meat</f>
        <v>7.5470437911598301E-6</v>
      </c>
      <c r="T35" s="47">
        <f>'GHG detailed, absolute'!T35/Production!$G$24*AF_meat</f>
        <v>1.471122421785838E-4</v>
      </c>
      <c r="U35" s="9">
        <f>'GHG detailed, absolute'!U35/Production!$G$24*AF_meat</f>
        <v>5.4520343245222467E-5</v>
      </c>
      <c r="V35" s="63">
        <f>'GHG detailed, absolute'!V35/Production!$G$24*AF_meat</f>
        <v>9.2591898933361324E-5</v>
      </c>
      <c r="W35" s="4">
        <f>'GHG detailed, absolute'!W35/Production!$G$24*AF_meat</f>
        <v>7.2454321065218463E-6</v>
      </c>
      <c r="X35" s="12">
        <f>'GHG detailed, absolute'!X35/Production!$G$24*AF_meat</f>
        <v>6.8305480843857316E-6</v>
      </c>
      <c r="Z35" s="32"/>
      <c r="AA35" s="32"/>
    </row>
    <row r="36" spans="1:27" ht="15.5" customHeight="1" thickTop="1" thickBot="1" x14ac:dyDescent="0.25">
      <c r="A36" s="164">
        <v>21121</v>
      </c>
      <c r="B36" s="164" t="s">
        <v>132</v>
      </c>
      <c r="C36" s="165" t="s">
        <v>133</v>
      </c>
      <c r="D36" s="36" t="s">
        <v>57</v>
      </c>
      <c r="E36" s="36" t="s">
        <v>58</v>
      </c>
      <c r="F36" s="167" t="s">
        <v>48</v>
      </c>
      <c r="G36" s="178">
        <f>'GHG detailed, absolute'!G36/Production!$G$24*AF_meat</f>
        <v>1.5816148521358608</v>
      </c>
      <c r="H36" s="168">
        <f>'GHG detailed, absolute'!H36/Production!$G$24*AF_meat</f>
        <v>7.9091032558217075E-2</v>
      </c>
      <c r="I36" s="168">
        <f>'GHG detailed, absolute'!I36/Production!$G$24*AF_meat</f>
        <v>8.0623471140318398E-2</v>
      </c>
      <c r="J36" s="168">
        <f>'GHG detailed, absolute'!J36/Production!$G$24*AF_meat</f>
        <v>0.26353512514162364</v>
      </c>
      <c r="K36" s="168">
        <f>'GHG detailed, absolute'!K36/Production!$G$24*AF_meat</f>
        <v>2.6353512514162365E-2</v>
      </c>
      <c r="L36" s="168">
        <f>'GHG detailed, absolute'!L36/Production!$G$24*AF_meat</f>
        <v>8.1824034424537673E-2</v>
      </c>
      <c r="M36" s="168">
        <f>'GHG detailed, absolute'!M36/Production!$G$24*AF_meat</f>
        <v>0</v>
      </c>
      <c r="N36" s="168">
        <f>'GHG detailed, absolute'!N36/Production!$G$24*AF_meat</f>
        <v>1.8937634062498115E-3</v>
      </c>
      <c r="O36" s="168">
        <f>'GHG detailed, absolute'!O36/Production!$G$24*AF_meat</f>
        <v>0.10934813291674637</v>
      </c>
      <c r="P36" s="168">
        <f>'GHG detailed, absolute'!P36/Production!$G$24*AF_meat</f>
        <v>0.27555354739824978</v>
      </c>
      <c r="Q36" s="168">
        <f>'GHG detailed, absolute'!Q36/Production!$G$24*AF_meat</f>
        <v>3.6730993516332897E-2</v>
      </c>
      <c r="R36" s="168">
        <f>'GHG detailed, absolute'!R36/Production!$G$24*AF_meat</f>
        <v>0.21693015229173673</v>
      </c>
      <c r="S36" s="168">
        <f>'GHG detailed, absolute'!S36/Production!$G$24*AF_meat</f>
        <v>0</v>
      </c>
      <c r="T36" s="168">
        <f>'GHG detailed, absolute'!T36/Production!$G$24*AF_meat</f>
        <v>8.5783505094092272E-2</v>
      </c>
      <c r="U36" s="169"/>
      <c r="V36" s="169"/>
      <c r="W36" s="168">
        <f>'GHG detailed, absolute'!W36/Production!$G$24*AF_meat</f>
        <v>0.11406221682689352</v>
      </c>
      <c r="X36" s="168">
        <f>'GHG detailed, absolute'!X36/Production!$G$24*AF_meat</f>
        <v>0.20988536490670037</v>
      </c>
      <c r="Z36" s="113">
        <f>'GHG detailed, absolute'!Z36/Production!$G$24*AF_meat</f>
        <v>1.1718837653081746</v>
      </c>
      <c r="AA36" s="200">
        <f>'GHG detailed, absolute'!AA36/Production!$G$24*AF_meat</f>
        <v>0.31759993106295153</v>
      </c>
    </row>
    <row r="37" spans="1:27" ht="15" customHeight="1" thickTop="1" x14ac:dyDescent="0.2">
      <c r="A37" s="170">
        <v>21121</v>
      </c>
      <c r="B37" s="170" t="s">
        <v>132</v>
      </c>
      <c r="C37" s="171" t="s">
        <v>133</v>
      </c>
      <c r="D37" s="155" t="s">
        <v>59</v>
      </c>
      <c r="E37" s="155" t="s">
        <v>60</v>
      </c>
      <c r="F37" s="172" t="s">
        <v>44</v>
      </c>
      <c r="G37" s="20">
        <f>'GHG detailed, absolute'!G37/Production!$H$24*AF_meat</f>
        <v>1.0780096289118164</v>
      </c>
      <c r="H37" s="173">
        <f>'GHG detailed, absolute'!H37/Production!$H$24*AF_meat</f>
        <v>8.2616466367268174E-2</v>
      </c>
      <c r="I37" s="173">
        <f>'GHG detailed, absolute'!I37/Production!$H$24*AF_meat</f>
        <v>7.2388740409193353E-2</v>
      </c>
      <c r="J37" s="173">
        <f>'GHG detailed, absolute'!J37/Production!$H$24*AF_meat</f>
        <v>0</v>
      </c>
      <c r="K37" s="173"/>
      <c r="L37" s="173">
        <f>'GHG detailed, absolute'!L37/Production!$H$24*AF_meat</f>
        <v>8.9892390654229035E-2</v>
      </c>
      <c r="M37" s="173"/>
      <c r="N37" s="173">
        <f>'GHG detailed, absolute'!N37/Production!$H$24*AF_meat</f>
        <v>4.4691410601145056E-3</v>
      </c>
      <c r="O37" s="173">
        <f>'GHG detailed, absolute'!O37/Production!$H$24*AF_meat</f>
        <v>0.10920425329731623</v>
      </c>
      <c r="P37" s="173">
        <f>'GHG detailed, absolute'!P37/Production!$H$24*AF_meat</f>
        <v>0.1253073776867886</v>
      </c>
      <c r="Q37" s="173">
        <f>'GHG detailed, absolute'!Q37/Production!$H$24*AF_meat</f>
        <v>0.18066218165208267</v>
      </c>
      <c r="R37" s="173">
        <f>'GHG detailed, absolute'!R37/Production!$H$24*AF_meat</f>
        <v>0.1071580805107713</v>
      </c>
      <c r="S37" s="154"/>
      <c r="T37" s="154"/>
      <c r="U37" s="174"/>
      <c r="V37" s="174"/>
      <c r="W37" s="175">
        <f>'GHG detailed, absolute'!W37/Production!$H$24*AF_meat</f>
        <v>0.11107884206459634</v>
      </c>
      <c r="X37" s="176">
        <f>'GHG detailed, absolute'!X37/Production!$H$24*AF_meat</f>
        <v>0.19523215520945641</v>
      </c>
      <c r="Z37" s="20"/>
      <c r="AA37" s="20"/>
    </row>
    <row r="38" spans="1:27" x14ac:dyDescent="0.2">
      <c r="A38" s="13">
        <v>21121</v>
      </c>
      <c r="B38" s="13" t="s">
        <v>132</v>
      </c>
      <c r="C38" s="17" t="s">
        <v>133</v>
      </c>
      <c r="D38" s="18" t="s">
        <v>59</v>
      </c>
      <c r="E38" s="18" t="s">
        <v>60</v>
      </c>
      <c r="F38" s="13" t="s">
        <v>45</v>
      </c>
      <c r="G38" s="32">
        <f>'GHG detailed, absolute'!G38/Production!$H$24*AF_meat</f>
        <v>2.4490944526710488E-3</v>
      </c>
      <c r="H38" s="33">
        <f>'GHG detailed, absolute'!H38/Production!$H$24*AF_meat</f>
        <v>1.7421320023444164E-5</v>
      </c>
      <c r="I38" s="33">
        <f>'GHG detailed, absolute'!I38/Production!$H$24*AF_meat</f>
        <v>2.5470112366197663E-4</v>
      </c>
      <c r="J38" s="33"/>
      <c r="K38" s="33"/>
      <c r="L38" s="33">
        <f>'GHG detailed, absolute'!L38/Production!$H$24*AF_meat</f>
        <v>3.9819297914933119E-5</v>
      </c>
      <c r="M38" s="33"/>
      <c r="N38" s="33">
        <f>'GHG detailed, absolute'!N38/Production!$H$24*AF_meat</f>
        <v>1.3237677891418305E-5</v>
      </c>
      <c r="O38" s="33">
        <f>'GHG detailed, absolute'!O38/Production!$H$24*AF_meat</f>
        <v>1.1633392667595477E-4</v>
      </c>
      <c r="P38" s="33">
        <f>'GHG detailed, absolute'!P38/Production!$H$24*AF_meat</f>
        <v>0</v>
      </c>
      <c r="Q38" s="33">
        <f>'GHG detailed, absolute'!Q38/Production!$H$24*AF_meat</f>
        <v>7.6878453782599349E-4</v>
      </c>
      <c r="R38" s="33">
        <f>'GHG detailed, absolute'!R38/Production!$H$24*AF_meat</f>
        <v>1.5769511795615598E-4</v>
      </c>
      <c r="W38" s="4">
        <f>'GHG detailed, absolute'!W38/Production!$H$24*AF_meat</f>
        <v>2.2014037464189017E-4</v>
      </c>
      <c r="X38" s="12">
        <f>'GHG detailed, absolute'!X38/Production!$H$24*AF_meat</f>
        <v>8.6096107607928202E-4</v>
      </c>
      <c r="Z38" s="32"/>
      <c r="AA38" s="32"/>
    </row>
    <row r="39" spans="1:27" x14ac:dyDescent="0.2">
      <c r="A39" s="13">
        <v>21121</v>
      </c>
      <c r="B39" s="13" t="s">
        <v>132</v>
      </c>
      <c r="C39" s="17" t="s">
        <v>133</v>
      </c>
      <c r="D39" s="18" t="s">
        <v>59</v>
      </c>
      <c r="E39" s="18" t="s">
        <v>60</v>
      </c>
      <c r="F39" s="13" t="s">
        <v>46</v>
      </c>
      <c r="G39" s="32">
        <f>'GHG detailed, absolute'!G39/Production!$H$24*AF_meat</f>
        <v>1.8665260971152896E-3</v>
      </c>
      <c r="H39" s="33"/>
      <c r="I39" s="33"/>
      <c r="J39" s="33"/>
      <c r="K39" s="33"/>
      <c r="L39" s="33"/>
      <c r="M39" s="33"/>
      <c r="N39" s="33"/>
      <c r="O39" s="33"/>
      <c r="P39" s="33"/>
      <c r="Q39" s="33"/>
      <c r="R39" s="33"/>
      <c r="T39" s="47">
        <f>'GHG detailed, absolute'!T39/Production!$H$24*AF_meat</f>
        <v>1.8665260971152896E-3</v>
      </c>
      <c r="U39" s="63">
        <f>'GHG detailed, absolute'!U39/Production!$H$24*AF_meat</f>
        <v>1.8665260971152896E-3</v>
      </c>
      <c r="W39" s="4"/>
      <c r="X39" s="12"/>
    </row>
    <row r="40" spans="1:27" ht="15" customHeight="1" thickBot="1" x14ac:dyDescent="0.25">
      <c r="A40" s="13">
        <v>21121</v>
      </c>
      <c r="B40" s="13" t="s">
        <v>132</v>
      </c>
      <c r="C40" s="17" t="s">
        <v>133</v>
      </c>
      <c r="D40" s="18" t="s">
        <v>59</v>
      </c>
      <c r="E40" s="18" t="s">
        <v>60</v>
      </c>
      <c r="F40" s="34" t="s">
        <v>47</v>
      </c>
      <c r="G40" s="32">
        <f>'GHG detailed, absolute'!G40/Production!$H$24*AF_meat</f>
        <v>1.4817512390572149E-3</v>
      </c>
      <c r="H40" s="33">
        <f>'GHG detailed, absolute'!H40/Production!$H$24*AF_meat</f>
        <v>2.2634801331991801E-5</v>
      </c>
      <c r="I40" s="32">
        <f>'GHG detailed, absolute'!I40/Production!$H$24*AF_meat</f>
        <v>2.9491709055597298E-6</v>
      </c>
      <c r="J40" s="32">
        <f>'GHG detailed, absolute'!J40/Production!$H$24*AF_meat</f>
        <v>1.123534678004119E-3</v>
      </c>
      <c r="K40" s="32">
        <f>'GHG detailed, absolute'!K40/Production!$H$24*AF_meat</f>
        <v>1.1235346780041191E-4</v>
      </c>
      <c r="L40" s="32">
        <f>'GHG detailed, absolute'!L40/Production!$H$24*AF_meat</f>
        <v>2.4154435844919283E-6</v>
      </c>
      <c r="M40" s="32"/>
      <c r="N40" s="32">
        <f>'GHG detailed, absolute'!N40/Production!$H$24*AF_meat</f>
        <v>1.9195043430720205E-7</v>
      </c>
      <c r="O40" s="32">
        <f>'GHG detailed, absolute'!O40/Production!$H$24*AF_meat</f>
        <v>4.0249349755916099E-6</v>
      </c>
      <c r="P40" s="32">
        <f>'GHG detailed, absolute'!P40/Production!$H$24*AF_meat</f>
        <v>0</v>
      </c>
      <c r="Q40" s="32">
        <f>'GHG detailed, absolute'!Q40/Production!$H$24*AF_meat</f>
        <v>1.2282357165379739E-5</v>
      </c>
      <c r="R40" s="32">
        <f>'GHG detailed, absolute'!R40/Production!$H$24*AF_meat</f>
        <v>4.2012836411871707E-6</v>
      </c>
      <c r="T40" s="47">
        <f>'GHG detailed, absolute'!T40/Production!$H$24*AF_meat</f>
        <v>1.8181075080778408E-4</v>
      </c>
      <c r="U40" s="9">
        <f>'GHG detailed, absolute'!U40/Production!$H$24*AF_meat</f>
        <v>6.7379739394353517E-5</v>
      </c>
      <c r="V40" s="63">
        <f>'GHG detailed, absolute'!V40/Production!$H$24*AF_meat</f>
        <v>1.1443101141343055E-4</v>
      </c>
      <c r="W40" s="4">
        <f>'GHG detailed, absolute'!W40/Production!$H$24*AF_meat</f>
        <v>7.6725784034789672E-6</v>
      </c>
      <c r="X40" s="12">
        <f>'GHG detailed, absolute'!X40/Production!$H$24*AF_meat</f>
        <v>7.6798220029115681E-6</v>
      </c>
      <c r="Z40" s="32"/>
      <c r="AA40" s="32"/>
    </row>
    <row r="41" spans="1:27" ht="15.5" customHeight="1" thickTop="1" thickBot="1" x14ac:dyDescent="0.25">
      <c r="A41" s="164">
        <v>21121</v>
      </c>
      <c r="B41" s="164" t="s">
        <v>132</v>
      </c>
      <c r="C41" s="165" t="s">
        <v>133</v>
      </c>
      <c r="D41" s="166" t="s">
        <v>59</v>
      </c>
      <c r="E41" s="166" t="s">
        <v>60</v>
      </c>
      <c r="F41" s="167" t="s">
        <v>48</v>
      </c>
      <c r="G41" s="178">
        <f>'GHG detailed, absolute'!G41/Production!$H$24*AF_meat</f>
        <v>1.6059069364861462</v>
      </c>
      <c r="H41" s="168">
        <f>'GHG detailed, absolute'!H41/Production!$H$24*AF_meat</f>
        <v>8.931492246760056E-2</v>
      </c>
      <c r="I41" s="168">
        <f>'GHG detailed, absolute'!I41/Production!$H$24*AF_meat</f>
        <v>8.0783957551538069E-2</v>
      </c>
      <c r="J41" s="168">
        <f>'GHG detailed, absolute'!J41/Production!$H$24*AF_meat</f>
        <v>0.30672496709512453</v>
      </c>
      <c r="K41" s="168">
        <f>'GHG detailed, absolute'!K41/Production!$H$24*AF_meat</f>
        <v>3.0672496709512449E-2</v>
      </c>
      <c r="L41" s="168">
        <f>'GHG detailed, absolute'!L41/Production!$H$24*AF_meat</f>
        <v>9.1738421830660347E-2</v>
      </c>
      <c r="M41" s="168">
        <f>'GHG detailed, absolute'!M41/Production!$H$24*AF_meat</f>
        <v>0</v>
      </c>
      <c r="N41" s="168">
        <f>'GHG detailed, absolute'!N41/Production!$H$24*AF_meat</f>
        <v>4.9160263298446373E-3</v>
      </c>
      <c r="O41" s="168">
        <f>'GHG detailed, absolute'!O41/Production!$H$24*AF_meat</f>
        <v>0.11376981156059619</v>
      </c>
      <c r="P41" s="168">
        <f>'GHG detailed, absolute'!P41/Production!$H$24*AF_meat</f>
        <v>0.1253073776867886</v>
      </c>
      <c r="Q41" s="168">
        <f>'GHG detailed, absolute'!Q41/Production!$H$24*AF_meat</f>
        <v>0.20692504438544596</v>
      </c>
      <c r="R41" s="168">
        <f>'GHG detailed, absolute'!R41/Production!$H$24*AF_meat</f>
        <v>0.11300434545990885</v>
      </c>
      <c r="S41" s="168">
        <f>'GHG detailed, absolute'!S41/Production!$H$24*AF_meat</f>
        <v>0</v>
      </c>
      <c r="T41" s="168">
        <f>'GHG detailed, absolute'!T41/Production!$H$24*AF_meat</f>
        <v>0.10003053959263787</v>
      </c>
      <c r="U41" s="169"/>
      <c r="V41" s="169"/>
      <c r="W41" s="168">
        <f>'GHG detailed, absolute'!W41/Production!$H$24*AF_meat</f>
        <v>0.11973363913307442</v>
      </c>
      <c r="X41" s="168">
        <f>'GHG detailed, absolute'!X41/Production!$H$24*AF_meat</f>
        <v>0.22298538668341386</v>
      </c>
      <c r="Z41" s="113">
        <f>'GHG detailed, absolute'!Z41/Production!$H$24*AF_meat</f>
        <v>1.16315737107702</v>
      </c>
      <c r="AA41" s="200">
        <f>'GHG detailed, absolute'!AA41/Production!$H$24*AF_meat</f>
        <v>0.34481845637882019</v>
      </c>
    </row>
    <row r="42" spans="1:27" ht="15" customHeight="1" thickTop="1" x14ac:dyDescent="0.2">
      <c r="A42" s="170">
        <v>21121</v>
      </c>
      <c r="B42" s="170" t="s">
        <v>132</v>
      </c>
      <c r="C42" s="171" t="s">
        <v>133</v>
      </c>
      <c r="D42" t="s">
        <v>61</v>
      </c>
      <c r="E42" s="18" t="s">
        <v>62</v>
      </c>
      <c r="F42" s="172" t="s">
        <v>44</v>
      </c>
      <c r="G42" s="20">
        <f>'GHG detailed, absolute'!G42/Production!$I$24*AF_meat</f>
        <v>1.2590152035595534</v>
      </c>
      <c r="H42" s="173">
        <f>'GHG detailed, absolute'!H42/Production!$I$24*AF_meat</f>
        <v>8.1502210191540719E-2</v>
      </c>
      <c r="I42" s="173">
        <f>'GHG detailed, absolute'!I42/Production!$I$24*AF_meat</f>
        <v>8.7398047189115063E-2</v>
      </c>
      <c r="J42" s="173">
        <f>'GHG detailed, absolute'!J42/Production!$I$24*AF_meat</f>
        <v>0</v>
      </c>
      <c r="K42" s="173"/>
      <c r="L42" s="173">
        <f>'GHG detailed, absolute'!L42/Production!$I$24*AF_meat</f>
        <v>0.10635361672646571</v>
      </c>
      <c r="M42" s="173"/>
      <c r="N42" s="173">
        <f>'GHG detailed, absolute'!N42/Production!$I$24*AF_meat</f>
        <v>1.2873769611595519E-3</v>
      </c>
      <c r="O42" s="173">
        <f>'GHG detailed, absolute'!O42/Production!$I$24*AF_meat</f>
        <v>0.14463808382846111</v>
      </c>
      <c r="P42" s="173">
        <f>'GHG detailed, absolute'!P42/Production!$I$24*AF_meat</f>
        <v>0.18776186521126728</v>
      </c>
      <c r="Q42" s="173">
        <f>'GHG detailed, absolute'!Q42/Production!$I$24*AF_meat</f>
        <v>6.4316249775721909E-2</v>
      </c>
      <c r="R42" s="173">
        <f>'GHG detailed, absolute'!R42/Production!$I$24*AF_meat</f>
        <v>0.17807175331195529</v>
      </c>
      <c r="S42" s="154"/>
      <c r="T42" s="154"/>
      <c r="U42" s="174"/>
      <c r="V42" s="174"/>
      <c r="W42" s="175">
        <f>'GHG detailed, absolute'!W42/Production!$I$24*AF_meat</f>
        <v>0.17377770431823086</v>
      </c>
      <c r="X42" s="176">
        <f>'GHG detailed, absolute'!X42/Production!$I$24*AF_meat</f>
        <v>0.23390829604563612</v>
      </c>
      <c r="Z42" s="20"/>
      <c r="AA42" s="20"/>
    </row>
    <row r="43" spans="1:27" x14ac:dyDescent="0.2">
      <c r="A43" s="13">
        <v>21121</v>
      </c>
      <c r="B43" s="13" t="s">
        <v>132</v>
      </c>
      <c r="C43" s="17" t="s">
        <v>133</v>
      </c>
      <c r="D43" t="s">
        <v>61</v>
      </c>
      <c r="E43" s="18" t="s">
        <v>62</v>
      </c>
      <c r="F43" s="13" t="s">
        <v>45</v>
      </c>
      <c r="G43" s="32">
        <f>'GHG detailed, absolute'!G43/Production!$I$24*AF_meat</f>
        <v>1.8357023049105285E-3</v>
      </c>
      <c r="H43" s="33">
        <f>'GHG detailed, absolute'!H43/Production!$I$24*AF_meat</f>
        <v>1.3617511920213752E-4</v>
      </c>
      <c r="I43" s="33">
        <f>'GHG detailed, absolute'!I43/Production!$I$24*AF_meat</f>
        <v>4.0077875320368851E-4</v>
      </c>
      <c r="J43" s="33"/>
      <c r="K43" s="33"/>
      <c r="L43" s="33">
        <f>'GHG detailed, absolute'!L43/Production!$I$24*AF_meat</f>
        <v>4.6730780037315273E-5</v>
      </c>
      <c r="M43" s="33"/>
      <c r="N43" s="33">
        <f>'GHG detailed, absolute'!N43/Production!$I$24*AF_meat</f>
        <v>3.6725710820024277E-6</v>
      </c>
      <c r="O43" s="33">
        <f>'GHG detailed, absolute'!O43/Production!$I$24*AF_meat</f>
        <v>9.7048320833971664E-5</v>
      </c>
      <c r="P43" s="33">
        <f>'GHG detailed, absolute'!P43/Production!$I$24*AF_meat</f>
        <v>1.0294997461889227E-5</v>
      </c>
      <c r="Q43" s="33">
        <f>'GHG detailed, absolute'!Q43/Production!$I$24*AF_meat</f>
        <v>1.6665351795269382E-4</v>
      </c>
      <c r="R43" s="33">
        <f>'GHG detailed, absolute'!R43/Production!$I$24*AF_meat</f>
        <v>1.2482232968582117E-4</v>
      </c>
      <c r="W43" s="4">
        <f>'GHG detailed, absolute'!W43/Production!$I$24*AF_meat</f>
        <v>2.0248981033578912E-4</v>
      </c>
      <c r="X43" s="12">
        <f>'GHG detailed, absolute'!X43/Production!$I$24*AF_meat</f>
        <v>6.4703610511521962E-4</v>
      </c>
      <c r="Z43" s="32"/>
      <c r="AA43" s="32"/>
    </row>
    <row r="44" spans="1:27" x14ac:dyDescent="0.2">
      <c r="A44" s="13">
        <v>21121</v>
      </c>
      <c r="B44" s="13" t="s">
        <v>132</v>
      </c>
      <c r="C44" s="17" t="s">
        <v>133</v>
      </c>
      <c r="D44" t="s">
        <v>61</v>
      </c>
      <c r="E44" s="18" t="s">
        <v>62</v>
      </c>
      <c r="F44" s="13" t="s">
        <v>46</v>
      </c>
      <c r="G44" s="32">
        <f>'GHG detailed, absolute'!G44/Production!$I$24*AF_meat</f>
        <v>3.6200750255535497E-3</v>
      </c>
      <c r="H44" s="33"/>
      <c r="I44" s="33"/>
      <c r="J44" s="33"/>
      <c r="K44" s="33"/>
      <c r="L44" s="33"/>
      <c r="M44" s="33"/>
      <c r="N44" s="33"/>
      <c r="O44" s="33"/>
      <c r="P44" s="33"/>
      <c r="Q44" s="33"/>
      <c r="R44" s="33"/>
      <c r="T44" s="47">
        <f>'GHG detailed, absolute'!T44/Production!$I$24*AF_meat</f>
        <v>3.6200750255535497E-3</v>
      </c>
      <c r="U44" s="63">
        <f>'GHG detailed, absolute'!U44/Production!$I$24*AF_meat</f>
        <v>3.6200750255535497E-3</v>
      </c>
      <c r="W44" s="4"/>
      <c r="X44" s="12"/>
    </row>
    <row r="45" spans="1:27" ht="15" customHeight="1" thickBot="1" x14ac:dyDescent="0.25">
      <c r="A45" s="13">
        <v>21121</v>
      </c>
      <c r="B45" s="13" t="s">
        <v>132</v>
      </c>
      <c r="C45" s="17" t="s">
        <v>133</v>
      </c>
      <c r="D45" t="s">
        <v>61</v>
      </c>
      <c r="E45" s="18" t="s">
        <v>62</v>
      </c>
      <c r="F45" s="34" t="s">
        <v>47</v>
      </c>
      <c r="G45" s="32">
        <f>'GHG detailed, absolute'!G45/Production!$I$24*AF_meat</f>
        <v>1.7585571679201088E-3</v>
      </c>
      <c r="H45" s="33">
        <f>'GHG detailed, absolute'!H45/Production!$I$24*AF_meat</f>
        <v>1.2272025798005457E-4</v>
      </c>
      <c r="I45" s="32">
        <f>'GHG detailed, absolute'!I45/Production!$I$24*AF_meat</f>
        <v>3.5606611817787614E-6</v>
      </c>
      <c r="J45" s="32">
        <f>'GHG detailed, absolute'!J45/Production!$I$24*AF_meat</f>
        <v>1.1850155342536816E-3</v>
      </c>
      <c r="K45" s="32">
        <f>'GHG detailed, absolute'!K45/Production!$I$24*AF_meat</f>
        <v>1.1850155342536818E-4</v>
      </c>
      <c r="L45" s="32">
        <f>'GHG detailed, absolute'!L45/Production!$I$24*AF_meat</f>
        <v>2.8577631470230514E-6</v>
      </c>
      <c r="M45" s="32"/>
      <c r="N45" s="32">
        <f>'GHG detailed, absolute'!N45/Production!$I$24*AF_meat</f>
        <v>5.4928134138884833E-8</v>
      </c>
      <c r="O45" s="32">
        <f>'GHG detailed, absolute'!O45/Production!$I$24*AF_meat</f>
        <v>5.2562146961988585E-6</v>
      </c>
      <c r="P45" s="32">
        <f>'GHG detailed, absolute'!P45/Production!$I$24*AF_meat</f>
        <v>0</v>
      </c>
      <c r="Q45" s="32">
        <f>'GHG detailed, absolute'!Q45/Production!$I$24*AF_meat</f>
        <v>1.1245688386656641E-5</v>
      </c>
      <c r="R45" s="32">
        <f>'GHG detailed, absolute'!R45/Production!$I$24*AF_meat</f>
        <v>6.2545425722370717E-6</v>
      </c>
      <c r="T45" s="47">
        <f>'GHG detailed, absolute'!T45/Production!$I$24*AF_meat</f>
        <v>2.8301455627807015E-4</v>
      </c>
      <c r="U45" s="9">
        <f>'GHG detailed, absolute'!U45/Production!$I$24*AF_meat</f>
        <v>1.0488624551683288E-4</v>
      </c>
      <c r="V45" s="63">
        <f>'GHG detailed, absolute'!V45/Production!$I$24*AF_meat</f>
        <v>1.781283107612373E-4</v>
      </c>
      <c r="W45" s="4">
        <f>'GHG detailed, absolute'!W45/Production!$I$24*AF_meat</f>
        <v>1.125680030590509E-5</v>
      </c>
      <c r="X45" s="12">
        <f>'GHG detailed, absolute'!X45/Production!$I$24*AF_meat</f>
        <v>8.8186675589960229E-6</v>
      </c>
      <c r="Z45" s="32"/>
      <c r="AA45" s="32"/>
    </row>
    <row r="46" spans="1:27" ht="15.5" customHeight="1" thickTop="1" thickBot="1" x14ac:dyDescent="0.25">
      <c r="A46" s="164">
        <v>21121</v>
      </c>
      <c r="B46" s="164" t="s">
        <v>132</v>
      </c>
      <c r="C46" s="165" t="s">
        <v>133</v>
      </c>
      <c r="D46" s="201" t="s">
        <v>61</v>
      </c>
      <c r="E46" s="166" t="s">
        <v>62</v>
      </c>
      <c r="F46" s="167" t="s">
        <v>48</v>
      </c>
      <c r="G46" s="178">
        <f>'GHG detailed, absolute'!G46/Production!$I$24*AF_meat</f>
        <v>1.8915472647780229</v>
      </c>
      <c r="H46" s="168">
        <f>'GHG detailed, absolute'!H46/Production!$I$24*AF_meat</f>
        <v>0.11906285917231932</v>
      </c>
      <c r="I46" s="168">
        <f>'GHG detailed, absolute'!I46/Production!$I$24*AF_meat</f>
        <v>0.1003133145372106</v>
      </c>
      <c r="J46" s="168">
        <f>'GHG detailed, absolute'!J46/Production!$I$24*AF_meat</f>
        <v>0.3235092408512551</v>
      </c>
      <c r="K46" s="168">
        <f>'GHG detailed, absolute'!K46/Production!$I$24*AF_meat</f>
        <v>3.2350924085125514E-2</v>
      </c>
      <c r="L46" s="168">
        <f>'GHG detailed, absolute'!L46/Production!$I$24*AF_meat</f>
        <v>0.108526363310715</v>
      </c>
      <c r="M46" s="168">
        <f>'GHG detailed, absolute'!M46/Production!$I$24*AF_meat</f>
        <v>0</v>
      </c>
      <c r="N46" s="168">
        <f>'GHG detailed, absolute'!N46/Production!$I$24*AF_meat</f>
        <v>1.4118149600231399E-3</v>
      </c>
      <c r="O46" s="168">
        <f>'GHG detailed, absolute'!O46/Production!$I$24*AF_meat</f>
        <v>0.14896507040137574</v>
      </c>
      <c r="P46" s="168">
        <f>'GHG detailed, absolute'!P46/Production!$I$24*AF_meat</f>
        <v>0.18806865613563159</v>
      </c>
      <c r="Q46" s="168">
        <f>'GHG detailed, absolute'!Q46/Production!$I$24*AF_meat</f>
        <v>7.2352597540269431E-2</v>
      </c>
      <c r="R46" s="168">
        <f>'GHG detailed, absolute'!R46/Production!$I$24*AF_meat</f>
        <v>0.18349894885881349</v>
      </c>
      <c r="S46" s="168">
        <f>'GHG detailed, absolute'!S46/Production!$I$24*AF_meat</f>
        <v>0</v>
      </c>
      <c r="T46" s="168">
        <f>'GHG detailed, absolute'!T46/Production!$I$24*AF_meat</f>
        <v>0.17500499955385898</v>
      </c>
      <c r="U46" s="169"/>
      <c r="V46" s="169"/>
      <c r="W46" s="168">
        <f>'GHG detailed, absolute'!W46/Production!$I$24*AF_meat</f>
        <v>0.18288500714974945</v>
      </c>
      <c r="X46" s="168">
        <f>'GHG detailed, absolute'!X46/Production!$I$24*AF_meat</f>
        <v>0.25559746822167556</v>
      </c>
      <c r="Z46" s="113">
        <f>'GHG detailed, absolute'!Z46/Production!$I$24*AF_meat</f>
        <v>1.2780597898527388</v>
      </c>
      <c r="AA46" s="200">
        <f>'GHG detailed, absolute'!AA46/Production!$I$24*AF_meat</f>
        <v>0.33748199897546183</v>
      </c>
    </row>
    <row r="47" spans="1:27" ht="15" customHeight="1" thickTop="1" x14ac:dyDescent="0.2">
      <c r="A47" s="170">
        <v>21121</v>
      </c>
      <c r="B47" s="170" t="s">
        <v>132</v>
      </c>
      <c r="C47" s="171" t="s">
        <v>133</v>
      </c>
      <c r="D47" t="s">
        <v>63</v>
      </c>
      <c r="E47" s="18" t="s">
        <v>64</v>
      </c>
      <c r="F47" s="172" t="s">
        <v>44</v>
      </c>
      <c r="G47" s="20">
        <f>'GHG detailed, absolute'!G47/Production!$J$24*AF_meat</f>
        <v>1.4677571276835195</v>
      </c>
      <c r="H47" s="173">
        <f>'GHG detailed, absolute'!H47/Production!$J$24*AF_meat</f>
        <v>0.12158219168883205</v>
      </c>
      <c r="I47" s="173">
        <f>'GHG detailed, absolute'!I47/Production!$J$24*AF_meat</f>
        <v>7.7606706455185581E-2</v>
      </c>
      <c r="J47" s="173">
        <f>'GHG detailed, absolute'!J47/Production!$J$24*AF_meat</f>
        <v>0</v>
      </c>
      <c r="K47" s="173"/>
      <c r="L47" s="173">
        <f>'GHG detailed, absolute'!L47/Production!$J$24*AF_meat</f>
        <v>0.11338712133325797</v>
      </c>
      <c r="M47" s="173"/>
      <c r="N47" s="173">
        <f>'GHG detailed, absolute'!N47/Production!$J$24*AF_meat</f>
        <v>1.4542880563300415E-4</v>
      </c>
      <c r="O47" s="173">
        <f>'GHG detailed, absolute'!O47/Production!$J$24*AF_meat</f>
        <v>0.14838719953490442</v>
      </c>
      <c r="P47" s="173">
        <f>'GHG detailed, absolute'!P47/Production!$J$24*AF_meat</f>
        <v>0.15619943310994006</v>
      </c>
      <c r="Q47" s="173">
        <f>'GHG detailed, absolute'!Q47/Production!$J$24*AF_meat</f>
        <v>0.1922892455338244</v>
      </c>
      <c r="R47" s="173">
        <f>'GHG detailed, absolute'!R47/Production!$J$24*AF_meat</f>
        <v>8.990822684734652E-2</v>
      </c>
      <c r="S47" s="154"/>
      <c r="T47" s="154"/>
      <c r="U47" s="174"/>
      <c r="V47" s="174"/>
      <c r="W47" s="175">
        <f>'GHG detailed, absolute'!W47/Production!$J$24*AF_meat</f>
        <v>0.17898936205362595</v>
      </c>
      <c r="X47" s="176">
        <f>'GHG detailed, absolute'!X47/Production!$J$24*AF_meat</f>
        <v>0.38926221232096969</v>
      </c>
      <c r="Z47" s="20"/>
      <c r="AA47" s="20"/>
    </row>
    <row r="48" spans="1:27" x14ac:dyDescent="0.2">
      <c r="A48" s="13">
        <v>21121</v>
      </c>
      <c r="B48" s="13" t="s">
        <v>132</v>
      </c>
      <c r="C48" s="17" t="s">
        <v>133</v>
      </c>
      <c r="D48" t="s">
        <v>63</v>
      </c>
      <c r="E48" s="18" t="s">
        <v>64</v>
      </c>
      <c r="F48" s="13" t="s">
        <v>45</v>
      </c>
      <c r="G48" s="32">
        <f>'GHG detailed, absolute'!G48/Production!$J$24*AF_meat</f>
        <v>2.1843675268827987E-3</v>
      </c>
      <c r="H48" s="33">
        <f>'GHG detailed, absolute'!H48/Production!$J$24*AF_meat</f>
        <v>3.2750940353970286E-5</v>
      </c>
      <c r="I48" s="33">
        <f>'GHG detailed, absolute'!I48/Production!$J$24*AF_meat</f>
        <v>2.9327343539720677E-4</v>
      </c>
      <c r="J48" s="33"/>
      <c r="K48" s="33"/>
      <c r="L48" s="33">
        <f>'GHG detailed, absolute'!L48/Production!$J$24*AF_meat</f>
        <v>5.0144255982930301E-5</v>
      </c>
      <c r="M48" s="33"/>
      <c r="N48" s="33">
        <f>'GHG detailed, absolute'!N48/Production!$J$24*AF_meat</f>
        <v>4.1574215728062517E-7</v>
      </c>
      <c r="O48" s="33">
        <f>'GHG detailed, absolute'!O48/Production!$J$24*AF_meat</f>
        <v>1.3624278310837807E-4</v>
      </c>
      <c r="P48" s="33">
        <f>'GHG detailed, absolute'!P48/Production!$J$24*AF_meat</f>
        <v>4.3926140053659368E-6</v>
      </c>
      <c r="Q48" s="33">
        <f>'GHG detailed, absolute'!Q48/Production!$J$24*AF_meat</f>
        <v>3.9118840122671022E-4</v>
      </c>
      <c r="R48" s="33">
        <f>'GHG detailed, absolute'!R48/Production!$J$24*AF_meat</f>
        <v>9.1281833409845729E-5</v>
      </c>
      <c r="W48" s="4">
        <f>'GHG detailed, absolute'!W48/Production!$J$24*AF_meat</f>
        <v>2.4699342996187414E-4</v>
      </c>
      <c r="X48" s="12">
        <f>'GHG detailed, absolute'!X48/Production!$J$24*AF_meat</f>
        <v>9.3768409127923638E-4</v>
      </c>
      <c r="Z48" s="32"/>
      <c r="AA48" s="32"/>
    </row>
    <row r="49" spans="1:29" x14ac:dyDescent="0.2">
      <c r="A49" s="13">
        <v>21121</v>
      </c>
      <c r="B49" s="13" t="s">
        <v>132</v>
      </c>
      <c r="C49" s="17" t="s">
        <v>133</v>
      </c>
      <c r="D49" t="s">
        <v>63</v>
      </c>
      <c r="E49" s="18" t="s">
        <v>64</v>
      </c>
      <c r="F49" s="13" t="s">
        <v>46</v>
      </c>
      <c r="G49" s="32">
        <f>'GHG detailed, absolute'!G49/Production!$J$24*AF_meat</f>
        <v>2.7997891456729347E-3</v>
      </c>
      <c r="H49" s="33"/>
      <c r="I49" s="33"/>
      <c r="J49" s="33"/>
      <c r="K49" s="33"/>
      <c r="L49" s="33"/>
      <c r="M49" s="33"/>
      <c r="N49" s="33"/>
      <c r="O49" s="33"/>
      <c r="P49" s="33"/>
      <c r="Q49" s="33"/>
      <c r="R49" s="33"/>
      <c r="T49" s="47">
        <f>'GHG detailed, absolute'!T49/Production!$J$24*AF_meat</f>
        <v>2.7997891456729347E-3</v>
      </c>
      <c r="U49" s="63">
        <f>'GHG detailed, absolute'!U49/Production!$J$24*AF_meat</f>
        <v>2.7997891456729347E-3</v>
      </c>
      <c r="W49" s="4"/>
      <c r="X49" s="12"/>
    </row>
    <row r="50" spans="1:29" ht="15" customHeight="1" thickBot="1" x14ac:dyDescent="0.25">
      <c r="A50" s="13">
        <v>21121</v>
      </c>
      <c r="B50" s="13" t="s">
        <v>132</v>
      </c>
      <c r="C50" s="17" t="s">
        <v>133</v>
      </c>
      <c r="D50" t="s">
        <v>63</v>
      </c>
      <c r="E50" s="18" t="s">
        <v>64</v>
      </c>
      <c r="F50" s="34" t="s">
        <v>47</v>
      </c>
      <c r="G50" s="32">
        <f>'GHG detailed, absolute'!G50/Production!$J$24*AF_meat</f>
        <v>2.079174081388217E-3</v>
      </c>
      <c r="H50" s="33">
        <f>'GHG detailed, absolute'!H50/Production!$J$24*AF_meat</f>
        <v>7.0577731126557976E-5</v>
      </c>
      <c r="I50" s="32">
        <f>'GHG detailed, absolute'!I50/Production!$J$24*AF_meat</f>
        <v>3.1617547074334874E-6</v>
      </c>
      <c r="J50" s="32">
        <f>'GHG detailed, absolute'!J50/Production!$J$24*AF_meat</f>
        <v>1.5940683762655484E-3</v>
      </c>
      <c r="K50" s="32">
        <f>'GHG detailed, absolute'!K50/Production!$J$24*AF_meat</f>
        <v>1.5940683762655488E-4</v>
      </c>
      <c r="L50" s="32">
        <f>'GHG detailed, absolute'!L50/Production!$J$24*AF_meat</f>
        <v>3.0467561580590922E-6</v>
      </c>
      <c r="M50" s="32"/>
      <c r="N50" s="32">
        <f>'GHG detailed, absolute'!N50/Production!$J$24*AF_meat</f>
        <v>6.0947158279127248E-9</v>
      </c>
      <c r="O50" s="32">
        <f>'GHG detailed, absolute'!O50/Production!$J$24*AF_meat</f>
        <v>4.4067376274445931E-6</v>
      </c>
      <c r="P50" s="32">
        <f>'GHG detailed, absolute'!P50/Production!$J$24*AF_meat</f>
        <v>0</v>
      </c>
      <c r="Q50" s="32">
        <f>'GHG detailed, absolute'!Q50/Production!$J$24*AF_meat</f>
        <v>8.0589241695975944E-6</v>
      </c>
      <c r="R50" s="32">
        <f>'GHG detailed, absolute'!R50/Production!$J$24*AF_meat</f>
        <v>3.2294224735417492E-6</v>
      </c>
      <c r="T50" s="47">
        <f>'GHG detailed, absolute'!T50/Production!$J$24*AF_meat</f>
        <v>2.1735395184167773E-4</v>
      </c>
      <c r="U50" s="9">
        <f>'GHG detailed, absolute'!U50/Production!$J$24*AF_meat</f>
        <v>8.0552181685386256E-5</v>
      </c>
      <c r="V50" s="63">
        <f>'GHG detailed, absolute'!V50/Production!$J$24*AF_meat</f>
        <v>1.3680177015629148E-4</v>
      </c>
      <c r="W50" s="4">
        <f>'GHG detailed, absolute'!W50/Production!$J$24*AF_meat</f>
        <v>7.8035287696672489E-6</v>
      </c>
      <c r="X50" s="12">
        <f>'GHG detailed, absolute'!X50/Production!$J$24*AF_meat</f>
        <v>8.0539659063066633E-6</v>
      </c>
      <c r="Z50" s="32"/>
      <c r="AA50" s="32"/>
    </row>
    <row r="51" spans="1:29" ht="15.5" customHeight="1" thickTop="1" thickBot="1" x14ac:dyDescent="0.25">
      <c r="A51" s="164">
        <v>21121</v>
      </c>
      <c r="B51" s="164" t="s">
        <v>132</v>
      </c>
      <c r="C51" s="165" t="s">
        <v>133</v>
      </c>
      <c r="D51" s="201" t="s">
        <v>63</v>
      </c>
      <c r="E51" s="36" t="s">
        <v>64</v>
      </c>
      <c r="F51" s="167" t="s">
        <v>48</v>
      </c>
      <c r="G51" s="178">
        <f>'GHG detailed, absolute'!G51/Production!$J$24*AF_meat</f>
        <v>2.1760601111367794</v>
      </c>
      <c r="H51" s="168">
        <f>'GHG detailed, absolute'!H51/Production!$J$24*AF_meat</f>
        <v>0.14182589030893067</v>
      </c>
      <c r="I51" s="168">
        <f>'GHG detailed, absolute'!I51/Production!$J$24*AF_meat</f>
        <v>8.7209413865151686E-2</v>
      </c>
      <c r="J51" s="168">
        <f>'GHG detailed, absolute'!J51/Production!$J$24*AF_meat</f>
        <v>0.43518066672049471</v>
      </c>
      <c r="K51" s="168">
        <f>'GHG detailed, absolute'!K51/Production!$J$24*AF_meat</f>
        <v>4.3518066672049473E-2</v>
      </c>
      <c r="L51" s="168">
        <f>'GHG detailed, absolute'!L51/Production!$J$24*AF_meat</f>
        <v>0.11571318459269944</v>
      </c>
      <c r="M51" s="168">
        <f>'GHG detailed, absolute'!M51/Production!$J$24*AF_meat</f>
        <v>0</v>
      </c>
      <c r="N51" s="168">
        <f>'GHG detailed, absolute'!N51/Production!$J$24*AF_meat</f>
        <v>1.5948177934098695E-4</v>
      </c>
      <c r="O51" s="168">
        <f>'GHG detailed, absolute'!O51/Production!$J$24*AF_meat</f>
        <v>0.15365027384382648</v>
      </c>
      <c r="P51" s="168">
        <f>'GHG detailed, absolute'!P51/Production!$J$24*AF_meat</f>
        <v>0.15633033300729995</v>
      </c>
      <c r="Q51" s="168">
        <f>'GHG detailed, absolute'!Q51/Production!$J$24*AF_meat</f>
        <v>0.20614674618868048</v>
      </c>
      <c r="R51" s="168">
        <f>'GHG detailed, absolute'!R51/Production!$J$24*AF_meat</f>
        <v>9.3510057818236819E-2</v>
      </c>
      <c r="S51" s="168">
        <f>'GHG detailed, absolute'!S51/Production!$J$24*AF_meat</f>
        <v>0</v>
      </c>
      <c r="T51" s="168">
        <f>'GHG detailed, absolute'!T51/Production!$J$24*AF_meat</f>
        <v>0.13493193578594725</v>
      </c>
      <c r="U51" s="169"/>
      <c r="V51" s="169"/>
      <c r="W51" s="168">
        <f>'GHG detailed, absolute'!W51/Production!$J$24*AF_meat</f>
        <v>0.18848012962060898</v>
      </c>
      <c r="X51" s="168">
        <f>'GHG detailed, absolute'!X51/Production!$J$24*AF_meat</f>
        <v>0.41940393093351269</v>
      </c>
      <c r="Z51" s="113">
        <f>'GHG detailed, absolute'!Z51/Production!$J$24*AF_meat</f>
        <v>1.4332441147967105</v>
      </c>
      <c r="AA51" s="200">
        <f>'GHG detailed, absolute'!AA51/Production!$J$24*AF_meat</f>
        <v>0.42309639963922924</v>
      </c>
    </row>
    <row r="52" spans="1:29" ht="15" customHeight="1" thickTop="1" x14ac:dyDescent="0.2">
      <c r="A52" s="170">
        <v>21121</v>
      </c>
      <c r="B52" s="170" t="s">
        <v>132</v>
      </c>
      <c r="C52" s="171" t="s">
        <v>133</v>
      </c>
      <c r="D52" t="s">
        <v>65</v>
      </c>
      <c r="E52" s="155" t="s">
        <v>66</v>
      </c>
      <c r="F52" s="172" t="s">
        <v>44</v>
      </c>
      <c r="G52" s="173">
        <f>'GHG detailed, absolute'!G52/Production!$K$24*AF_meat</f>
        <v>1.0944467661064305</v>
      </c>
      <c r="H52" s="173">
        <f>'GHG detailed, absolute'!H52/Production!$K$24*AF_meat</f>
        <v>0.10803623107169086</v>
      </c>
      <c r="I52" s="173">
        <f>'GHG detailed, absolute'!I52/Production!$K$24*AF_meat</f>
        <v>7.901149091354516E-2</v>
      </c>
      <c r="J52" s="173">
        <f>'GHG detailed, absolute'!J52/Production!$K$24*AF_meat</f>
        <v>0</v>
      </c>
      <c r="K52" s="173"/>
      <c r="L52" s="173">
        <f>'GHG detailed, absolute'!L52/Production!$K$24*AF_meat</f>
        <v>0.13812215549389892</v>
      </c>
      <c r="M52" s="173"/>
      <c r="N52" s="173">
        <f>'GHG detailed, absolute'!N52/Production!$K$24*AF_meat</f>
        <v>2.374222255765172E-2</v>
      </c>
      <c r="O52" s="173">
        <f>'GHG detailed, absolute'!O52/Production!$K$24*AF_meat</f>
        <v>0.11370817407280946</v>
      </c>
      <c r="P52" s="173">
        <f>'GHG detailed, absolute'!P52/Production!$K$24*AF_meat</f>
        <v>0.17885329114887613</v>
      </c>
      <c r="Q52" s="173">
        <f>'GHG detailed, absolute'!Q52/Production!$K$24*AF_meat</f>
        <v>4.6059132040585433E-2</v>
      </c>
      <c r="R52" s="173">
        <f>'GHG detailed, absolute'!R52/Production!$K$24*AF_meat</f>
        <v>0.14876765279082643</v>
      </c>
      <c r="S52" s="154"/>
      <c r="T52" s="154"/>
      <c r="U52" s="174"/>
      <c r="V52" s="174"/>
      <c r="W52" s="175">
        <f>'GHG detailed, absolute'!W52/Production!$K$24*AF_meat</f>
        <v>9.8591728405242773E-2</v>
      </c>
      <c r="X52" s="176">
        <f>'GHG detailed, absolute'!X52/Production!$K$24*AF_meat</f>
        <v>0.15955468761130337</v>
      </c>
      <c r="Z52" s="20"/>
      <c r="AA52" s="20"/>
    </row>
    <row r="53" spans="1:29" x14ac:dyDescent="0.2">
      <c r="A53" s="13">
        <v>21121</v>
      </c>
      <c r="B53" s="13" t="s">
        <v>132</v>
      </c>
      <c r="C53" s="17" t="s">
        <v>133</v>
      </c>
      <c r="D53" t="s">
        <v>65</v>
      </c>
      <c r="E53" s="18" t="s">
        <v>66</v>
      </c>
      <c r="F53" s="13" t="s">
        <v>45</v>
      </c>
      <c r="G53" s="32">
        <f>'GHG detailed, absolute'!G53/Production!$K$24*AF_meat</f>
        <v>1.5316647904596778E-3</v>
      </c>
      <c r="H53" s="33">
        <f>'GHG detailed, absolute'!H53/Production!$K$24*AF_meat</f>
        <v>2.5936936101195261E-5</v>
      </c>
      <c r="I53" s="33">
        <f>'GHG detailed, absolute'!I53/Production!$K$24*AF_meat</f>
        <v>2.9082749002980396E-4</v>
      </c>
      <c r="J53" s="33"/>
      <c r="K53" s="33"/>
      <c r="L53" s="33">
        <f>'GHG detailed, absolute'!L53/Production!$K$24*AF_meat</f>
        <v>6.1131168659938617E-5</v>
      </c>
      <c r="M53" s="33"/>
      <c r="N53" s="33">
        <f>'GHG detailed, absolute'!N53/Production!$K$24*AF_meat</f>
        <v>7.0158345583692781E-5</v>
      </c>
      <c r="O53" s="33">
        <f>'GHG detailed, absolute'!O53/Production!$K$24*AF_meat</f>
        <v>8.4728823867185905E-5</v>
      </c>
      <c r="P53" s="33">
        <f>'GHG detailed, absolute'!P53/Production!$K$24*AF_meat</f>
        <v>1.4319830925516964E-6</v>
      </c>
      <c r="Q53" s="33">
        <f>'GHG detailed, absolute'!Q53/Production!$K$24*AF_meat</f>
        <v>1.5187294567172758E-4</v>
      </c>
      <c r="R53" s="33">
        <f>'GHG detailed, absolute'!R53/Production!$K$24*AF_meat</f>
        <v>1.2150309239882675E-4</v>
      </c>
      <c r="W53" s="4">
        <f>'GHG detailed, absolute'!W53/Production!$K$24*AF_meat</f>
        <v>1.275777035431895E-4</v>
      </c>
      <c r="X53" s="12">
        <f>'GHG detailed, absolute'!X53/Production!$K$24*AF_meat</f>
        <v>5.9649630151156589E-4</v>
      </c>
      <c r="Z53" s="32"/>
      <c r="AA53" s="32"/>
    </row>
    <row r="54" spans="1:29" x14ac:dyDescent="0.2">
      <c r="A54" s="13">
        <v>21121</v>
      </c>
      <c r="B54" s="13" t="s">
        <v>132</v>
      </c>
      <c r="C54" s="17" t="s">
        <v>133</v>
      </c>
      <c r="D54" t="s">
        <v>65</v>
      </c>
      <c r="E54" s="18" t="s">
        <v>66</v>
      </c>
      <c r="F54" s="13" t="s">
        <v>46</v>
      </c>
      <c r="G54" s="32">
        <f>'GHG detailed, absolute'!G54/Production!$K$24*AF_meat</f>
        <v>2.5344875222147478E-3</v>
      </c>
      <c r="H54" s="33"/>
      <c r="I54" s="33"/>
      <c r="J54" s="33"/>
      <c r="K54" s="33"/>
      <c r="L54" s="33"/>
      <c r="M54" s="33"/>
      <c r="N54" s="33"/>
      <c r="O54" s="33"/>
      <c r="P54" s="33"/>
      <c r="Q54" s="33"/>
      <c r="R54" s="33"/>
      <c r="T54" s="47">
        <f>'GHG detailed, absolute'!T54/Production!$K$24*AF_meat</f>
        <v>2.5344875222147478E-3</v>
      </c>
      <c r="U54" s="63">
        <f>'GHG detailed, absolute'!U54/Production!$K$24*AF_meat</f>
        <v>2.5344875222147478E-3</v>
      </c>
      <c r="W54" s="4"/>
      <c r="X54" s="12"/>
    </row>
    <row r="55" spans="1:29" ht="15" customHeight="1" thickBot="1" x14ac:dyDescent="0.25">
      <c r="A55" s="13">
        <v>21121</v>
      </c>
      <c r="B55" s="13" t="s">
        <v>132</v>
      </c>
      <c r="C55" s="17" t="s">
        <v>133</v>
      </c>
      <c r="D55" t="s">
        <v>65</v>
      </c>
      <c r="E55" s="18" t="s">
        <v>66</v>
      </c>
      <c r="F55" s="34" t="s">
        <v>47</v>
      </c>
      <c r="G55" s="32">
        <f>'GHG detailed, absolute'!G55/Production!$K$24*AF_meat</f>
        <v>2.0428722302461536E-3</v>
      </c>
      <c r="H55" s="33">
        <f>'GHG detailed, absolute'!H55/Production!$K$24*AF_meat</f>
        <v>3.9499868020210379E-5</v>
      </c>
      <c r="I55" s="32">
        <f>'GHG detailed, absolute'!I55/Production!$K$24*AF_meat</f>
        <v>3.2189866668481351E-6</v>
      </c>
      <c r="J55" s="32">
        <f>'GHG detailed, absolute'!J55/Production!$K$24*AF_meat</f>
        <v>1.5067771755030129E-3</v>
      </c>
      <c r="K55" s="32">
        <f>'GHG detailed, absolute'!K55/Production!$K$24*AF_meat</f>
        <v>1.5067771755030129E-4</v>
      </c>
      <c r="L55" s="32">
        <f>'GHG detailed, absolute'!L55/Production!$K$24*AF_meat</f>
        <v>3.7113961697517626E-6</v>
      </c>
      <c r="M55" s="32"/>
      <c r="N55" s="32">
        <f>'GHG detailed, absolute'!N55/Production!$K$24*AF_meat</f>
        <v>1.0203717844390832E-6</v>
      </c>
      <c r="O55" s="32">
        <f>'GHG detailed, absolute'!O55/Production!$K$24*AF_meat</f>
        <v>4.1774230670070981E-6</v>
      </c>
      <c r="P55" s="32">
        <f>'GHG detailed, absolute'!P55/Production!$K$24*AF_meat</f>
        <v>0</v>
      </c>
      <c r="Q55" s="32">
        <f>'GHG detailed, absolute'!Q55/Production!$K$24*AF_meat</f>
        <v>8.7084738037947436E-6</v>
      </c>
      <c r="R55" s="32">
        <f>'GHG detailed, absolute'!R55/Production!$K$24*AF_meat</f>
        <v>5.5689371105076305E-6</v>
      </c>
      <c r="T55" s="47">
        <f>'GHG detailed, absolute'!T55/Production!$K$24*AF_meat</f>
        <v>3.0604917255468942E-4</v>
      </c>
      <c r="U55" s="9">
        <f>'GHG detailed, absolute'!U55/Production!$K$24*AF_meat</f>
        <v>1.1342295984682556E-4</v>
      </c>
      <c r="V55" s="63">
        <f>'GHG detailed, absolute'!V55/Production!$K$24*AF_meat</f>
        <v>1.9262621270786385E-4</v>
      </c>
      <c r="W55" s="4">
        <f>'GHG detailed, absolute'!W55/Production!$K$24*AF_meat</f>
        <v>7.1826581540126296E-6</v>
      </c>
      <c r="X55" s="12">
        <f>'GHG detailed, absolute'!X55/Production!$K$24*AF_meat</f>
        <v>6.2800498615791718E-6</v>
      </c>
      <c r="Z55" s="32"/>
      <c r="AA55" s="32"/>
    </row>
    <row r="56" spans="1:29" ht="15.5" customHeight="1" thickTop="1" thickBot="1" x14ac:dyDescent="0.25">
      <c r="A56" s="164">
        <v>21121</v>
      </c>
      <c r="B56" s="164" t="s">
        <v>132</v>
      </c>
      <c r="C56" s="165" t="s">
        <v>133</v>
      </c>
      <c r="D56" s="201" t="s">
        <v>65</v>
      </c>
      <c r="E56" s="166" t="s">
        <v>66</v>
      </c>
      <c r="F56" s="167" t="s">
        <v>48</v>
      </c>
      <c r="G56" s="178">
        <f>'GHG detailed, absolute'!G56/Production!$K$24*AF_meat</f>
        <v>1.7662256588191267</v>
      </c>
      <c r="H56" s="295">
        <f>'GHG detailed, absolute'!H56/Production!$K$24*AF_meat</f>
        <v>0.11959261573702391</v>
      </c>
      <c r="I56" s="295">
        <f>'GHG detailed, absolute'!I56/Production!$K$24*AF_meat</f>
        <v>8.8556933476482844E-2</v>
      </c>
      <c r="J56" s="295">
        <f>'GHG detailed, absolute'!J56/Production!$K$24*AF_meat</f>
        <v>0.41135016891232251</v>
      </c>
      <c r="K56" s="295">
        <f>'GHG detailed, absolute'!K56/Production!$K$24*AF_meat</f>
        <v>4.1135016891232251E-2</v>
      </c>
      <c r="L56" s="295">
        <f>'GHG detailed, absolute'!L56/Production!$K$24*AF_meat</f>
        <v>0.14095707547430733</v>
      </c>
      <c r="M56" s="295">
        <f>'GHG detailed, absolute'!M56/Production!$K$24*AF_meat</f>
        <v>0</v>
      </c>
      <c r="N56" s="295">
        <f>'GHG detailed, absolute'!N56/Production!$K$24*AF_meat</f>
        <v>2.6111502753197634E-2</v>
      </c>
      <c r="O56" s="295">
        <f>'GHG detailed, absolute'!O56/Production!$K$24*AF_meat</f>
        <v>0.11737352952134456</v>
      </c>
      <c r="P56" s="295">
        <f>'GHG detailed, absolute'!P56/Production!$K$24*AF_meat</f>
        <v>0.17889596424503415</v>
      </c>
      <c r="Q56" s="295">
        <f>'GHG detailed, absolute'!Q56/Production!$K$24*AF_meat</f>
        <v>5.2962359170038886E-2</v>
      </c>
      <c r="R56" s="295">
        <f>'GHG detailed, absolute'!R56/Production!$K$24*AF_meat</f>
        <v>0.15390876477548007</v>
      </c>
      <c r="S56" s="295">
        <f>'GHG detailed, absolute'!S56/Production!$K$24*AF_meat</f>
        <v>0</v>
      </c>
      <c r="T56" s="295">
        <f>'GHG detailed, absolute'!T56/Production!$K$24*AF_meat</f>
        <v>0.1519825872072284</v>
      </c>
      <c r="U56" s="295"/>
      <c r="V56" s="295"/>
      <c r="W56" s="295">
        <f>'GHG detailed, absolute'!W56/Production!$K$24*AF_meat</f>
        <v>0.10435440964687527</v>
      </c>
      <c r="X56" s="295">
        <f>'GHG detailed, absolute'!X56/Production!$K$24*AF_meat</f>
        <v>0.17904473100855914</v>
      </c>
      <c r="Z56" s="113">
        <f>'GHG detailed, absolute'!Z56/Production!$K$24*AF_meat</f>
        <v>1.3308439309564641</v>
      </c>
      <c r="AA56" s="200" t="e">
        <f>'GHG detailed, absolute'!AA56/Production!$K$24*AF_meat</f>
        <v>#REF!</v>
      </c>
    </row>
    <row r="57" spans="1:29" ht="15" customHeight="1" thickTop="1" x14ac:dyDescent="0.2">
      <c r="A57" s="13">
        <v>21121</v>
      </c>
      <c r="B57" s="13" t="s">
        <v>132</v>
      </c>
      <c r="C57" s="17" t="s">
        <v>133</v>
      </c>
      <c r="D57" s="18" t="s">
        <v>67</v>
      </c>
      <c r="E57" s="18" t="s">
        <v>68</v>
      </c>
      <c r="F57" s="35" t="s">
        <v>44</v>
      </c>
      <c r="G57" s="173">
        <f>'GHG detailed, absolute'!G57/Production!$L$24*AF_meat</f>
        <v>0.93952370165940591</v>
      </c>
      <c r="H57" s="20">
        <f>'GHG detailed, absolute'!H57/Production!$L$24*AF_meat</f>
        <v>0.11596744624381466</v>
      </c>
      <c r="I57" s="20">
        <f>'GHG detailed, absolute'!I57/Production!$L$24*AF_meat</f>
        <v>7.5433206822279816E-2</v>
      </c>
      <c r="J57" s="20">
        <f>'GHG detailed, absolute'!J57/Production!$L$24*AF_meat</f>
        <v>0</v>
      </c>
      <c r="K57" s="20"/>
      <c r="L57" s="20">
        <f>'GHG detailed, absolute'!L57/Production!$L$24*AF_meat</f>
        <v>0.10162943032365844</v>
      </c>
      <c r="M57" s="20"/>
      <c r="N57" s="20">
        <f>'GHG detailed, absolute'!N57/Production!$L$24*AF_meat</f>
        <v>2.8775129750147033E-4</v>
      </c>
      <c r="O57" s="20">
        <f>'GHG detailed, absolute'!O57/Production!$L$24*AF_meat</f>
        <v>0.10355379412983007</v>
      </c>
      <c r="P57" s="20">
        <f>'GHG detailed, absolute'!P57/Production!$L$24*AF_meat</f>
        <v>0.23458433875647264</v>
      </c>
      <c r="Q57" s="20">
        <f>'GHG detailed, absolute'!Q57/Production!$L$24*AF_meat</f>
        <v>2.4221567549340406E-2</v>
      </c>
      <c r="R57" s="20">
        <f>'GHG detailed, absolute'!R57/Production!$L$24*AF_meat</f>
        <v>0.15481376140748523</v>
      </c>
      <c r="W57" s="4">
        <f>'GHG detailed, absolute'!W57/Production!$L$24*AF_meat</f>
        <v>7.6361557050643999E-2</v>
      </c>
      <c r="X57" s="12">
        <f>'GHG detailed, absolute'!X57/Production!$L$24*AF_meat</f>
        <v>5.267084807837908E-2</v>
      </c>
    </row>
    <row r="58" spans="1:29" x14ac:dyDescent="0.2">
      <c r="A58" s="13">
        <v>21121</v>
      </c>
      <c r="B58" s="13" t="s">
        <v>132</v>
      </c>
      <c r="C58" s="17" t="s">
        <v>133</v>
      </c>
      <c r="D58" s="18" t="s">
        <v>67</v>
      </c>
      <c r="E58" s="18" t="s">
        <v>68</v>
      </c>
      <c r="F58" s="13" t="s">
        <v>45</v>
      </c>
      <c r="G58" s="32">
        <f>'GHG detailed, absolute'!G58/Production!$L$24*AF_meat</f>
        <v>7.9340019268673515E-4</v>
      </c>
      <c r="H58" s="33">
        <f>'GHG detailed, absolute'!H58/Production!$L$24*AF_meat</f>
        <v>6.3164633291856151E-5</v>
      </c>
      <c r="I58" s="33">
        <f>'GHG detailed, absolute'!I58/Production!$L$24*AF_meat</f>
        <v>3.0545785927308652E-4</v>
      </c>
      <c r="J58" s="33"/>
      <c r="K58" s="33"/>
      <c r="L58" s="33">
        <f>'GHG detailed, absolute'!L58/Production!$L$24*AF_meat</f>
        <v>4.4855132934654621E-5</v>
      </c>
      <c r="M58" s="33"/>
      <c r="N58" s="33">
        <f>'GHG detailed, absolute'!N58/Production!$L$24*AF_meat</f>
        <v>8.1489724621210498E-7</v>
      </c>
      <c r="O58" s="33">
        <f>'GHG detailed, absolute'!O58/Production!$L$24*AF_meat</f>
        <v>4.7489495498656793E-5</v>
      </c>
      <c r="P58" s="33">
        <f>'GHG detailed, absolute'!P58/Production!$L$24*AF_meat</f>
        <v>4.6438760387547574E-6</v>
      </c>
      <c r="Q58" s="33">
        <f>'GHG detailed, absolute'!Q58/Production!$L$24*AF_meat</f>
        <v>8.462920653275366E-5</v>
      </c>
      <c r="R58" s="33">
        <f>'GHG detailed, absolute'!R58/Production!$L$24*AF_meat</f>
        <v>1.186072682308894E-4</v>
      </c>
      <c r="W58" s="4">
        <f>'GHG detailed, absolute'!W58/Production!$L$24*AF_meat</f>
        <v>4.3515585537764541E-5</v>
      </c>
      <c r="X58" s="12">
        <f>'GHG detailed, absolute'!X58/Production!$L$24*AF_meat</f>
        <v>8.0222238102106654E-5</v>
      </c>
    </row>
    <row r="59" spans="1:29" x14ac:dyDescent="0.2">
      <c r="A59" s="13">
        <v>21121</v>
      </c>
      <c r="B59" s="13" t="s">
        <v>132</v>
      </c>
      <c r="C59" s="17" t="s">
        <v>133</v>
      </c>
      <c r="D59" s="18" t="s">
        <v>67</v>
      </c>
      <c r="E59" s="18" t="s">
        <v>68</v>
      </c>
      <c r="F59" s="13" t="s">
        <v>46</v>
      </c>
      <c r="G59" s="32">
        <f>'GHG detailed, absolute'!G59/Production!$L$24*AF_meat</f>
        <v>1.6243742314501824E-3</v>
      </c>
      <c r="H59" s="33"/>
      <c r="I59" s="33"/>
      <c r="J59" s="33"/>
      <c r="K59" s="33"/>
      <c r="L59" s="33"/>
      <c r="M59" s="33"/>
      <c r="N59" s="33"/>
      <c r="O59" s="33"/>
      <c r="P59" s="33"/>
      <c r="Q59" s="33"/>
      <c r="R59" s="33"/>
      <c r="T59" s="47">
        <f>'GHG detailed, absolute'!T59/Production!$L$24*AF_meat</f>
        <v>1.6243742314501824E-3</v>
      </c>
      <c r="U59" s="63">
        <f>'GHG detailed, absolute'!U59/Production!$L$24*AF_meat</f>
        <v>1.6243742314501824E-3</v>
      </c>
      <c r="W59" s="4"/>
      <c r="X59" s="12"/>
    </row>
    <row r="60" spans="1:29" ht="15" customHeight="1" thickBot="1" x14ac:dyDescent="0.25">
      <c r="A60" s="13">
        <v>21121</v>
      </c>
      <c r="B60" s="13" t="s">
        <v>132</v>
      </c>
      <c r="C60" s="17" t="s">
        <v>133</v>
      </c>
      <c r="D60" s="18" t="s">
        <v>67</v>
      </c>
      <c r="E60" s="18" t="s">
        <v>68</v>
      </c>
      <c r="F60" s="34" t="s">
        <v>47</v>
      </c>
      <c r="G60" s="32">
        <f>'GHG detailed, absolute'!G60/Production!$L$24*AF_meat</f>
        <v>1.9036725155559607E-3</v>
      </c>
      <c r="H60" s="33">
        <f>'GHG detailed, absolute'!H60/Production!$L$24*AF_meat</f>
        <v>1.0019361868901293E-4</v>
      </c>
      <c r="I60" s="32">
        <f>'GHG detailed, absolute'!I60/Production!$L$24*AF_meat</f>
        <v>3.0732047223891782E-6</v>
      </c>
      <c r="J60" s="32">
        <f>'GHG detailed, absolute'!J60/Production!$L$24*AF_meat</f>
        <v>1.4355504100537078E-3</v>
      </c>
      <c r="K60" s="32">
        <f>'GHG detailed, absolute'!K60/Production!$L$24*AF_meat</f>
        <v>1.435550410053708E-4</v>
      </c>
      <c r="L60" s="32">
        <f>'GHG detailed, absolute'!L60/Production!$L$24*AF_meat</f>
        <v>2.7308224164945094E-6</v>
      </c>
      <c r="M60" s="32"/>
      <c r="N60" s="32">
        <f>'GHG detailed, absolute'!N60/Production!$L$24*AF_meat</f>
        <v>1.2094769383494744E-8</v>
      </c>
      <c r="O60" s="32">
        <f>'GHG detailed, absolute'!O60/Production!$L$24*AF_meat</f>
        <v>3.9090649339833622E-6</v>
      </c>
      <c r="P60" s="32">
        <f>'GHG detailed, absolute'!P60/Production!$L$24*AF_meat</f>
        <v>0</v>
      </c>
      <c r="Q60" s="32">
        <f>'GHG detailed, absolute'!Q60/Production!$L$24*AF_meat</f>
        <v>8.3907955226746675E-6</v>
      </c>
      <c r="R60" s="32">
        <f>'GHG detailed, absolute'!R60/Production!$L$24*AF_meat</f>
        <v>5.5101718743790884E-6</v>
      </c>
      <c r="T60" s="47">
        <f>'GHG detailed, absolute'!T60/Production!$L$24*AF_meat</f>
        <v>1.8968786294247739E-4</v>
      </c>
      <c r="U60" s="9">
        <f>'GHG detailed, absolute'!U60/Production!$L$24*AF_meat</f>
        <v>7.0299026402726657E-5</v>
      </c>
      <c r="V60" s="63">
        <f>'GHG detailed, absolute'!V60/Production!$L$24*AF_meat</f>
        <v>1.1938883653975072E-4</v>
      </c>
      <c r="W60" s="4">
        <f>'GHG detailed, absolute'!W60/Production!$L$24*AF_meat</f>
        <v>6.5761185609533525E-6</v>
      </c>
      <c r="X60" s="12">
        <f>'GHG detailed, absolute'!X60/Production!$L$24*AF_meat</f>
        <v>4.4833100651337358E-6</v>
      </c>
    </row>
    <row r="61" spans="1:29" ht="15.5" customHeight="1" thickTop="1" thickBot="1" x14ac:dyDescent="0.25">
      <c r="A61" s="51">
        <v>21121</v>
      </c>
      <c r="B61" s="51" t="s">
        <v>132</v>
      </c>
      <c r="C61" s="72" t="s">
        <v>133</v>
      </c>
      <c r="D61" s="36" t="s">
        <v>67</v>
      </c>
      <c r="E61" s="36" t="s">
        <v>68</v>
      </c>
      <c r="F61" s="37" t="s">
        <v>48</v>
      </c>
      <c r="G61" s="178">
        <f>'GHG detailed, absolute'!G61/Production!$L$24*AF_meat</f>
        <v>1.5267277283974021</v>
      </c>
      <c r="H61" s="215">
        <f>'GHG detailed, absolute'!H61/Production!$L$24*AF_meat</f>
        <v>0.14520261021801248</v>
      </c>
      <c r="I61" s="168">
        <f>'GHG detailed, absolute'!I61/Production!$L$24*AF_meat</f>
        <v>8.5374835917830044E-2</v>
      </c>
      <c r="J61" s="168">
        <f>'GHG detailed, absolute'!J61/Production!$L$24*AF_meat</f>
        <v>0.3919052619446623</v>
      </c>
      <c r="K61" s="168">
        <f>'GHG detailed, absolute'!K61/Production!$L$24*AF_meat</f>
        <v>3.9190526194466231E-2</v>
      </c>
      <c r="L61" s="168">
        <f>'GHG detailed, absolute'!L61/Production!$L$24*AF_meat</f>
        <v>0.10371162780481417</v>
      </c>
      <c r="M61" s="168">
        <f>'GHG detailed, absolute'!M61/Production!$L$24*AF_meat</f>
        <v>0</v>
      </c>
      <c r="N61" s="168">
        <f>'GHG detailed, absolute'!N61/Production!$L$24*AF_meat</f>
        <v>3.1533710748028515E-4</v>
      </c>
      <c r="O61" s="168">
        <f>'GHG detailed, absolute'!O61/Production!$L$24*AF_meat</f>
        <v>0.1060361558226675</v>
      </c>
      <c r="P61" s="168">
        <f>'GHG detailed, absolute'!P61/Production!$L$24*AF_meat</f>
        <v>0.23472272626242752</v>
      </c>
      <c r="Q61" s="168">
        <f>'GHG detailed, absolute'!Q61/Production!$L$24*AF_meat</f>
        <v>2.9034205081706652E-2</v>
      </c>
      <c r="R61" s="168">
        <f>'GHG detailed, absolute'!R61/Production!$L$24*AF_meat</f>
        <v>0.15985253492247123</v>
      </c>
      <c r="S61" s="168">
        <f>'GHG detailed, absolute'!S61/Production!$L$24*AF_meat</f>
        <v>0</v>
      </c>
      <c r="T61" s="168">
        <f>'GHG detailed, absolute'!T61/Production!$L$24*AF_meat</f>
        <v>9.5642890832451255E-2</v>
      </c>
      <c r="U61" s="169"/>
      <c r="V61" s="169"/>
      <c r="W61" s="168">
        <f>'GHG detailed, absolute'!W61/Production!$L$24*AF_meat</f>
        <v>7.9453601866809637E-2</v>
      </c>
      <c r="X61" s="168">
        <f>'GHG detailed, absolute'!X61/Production!$L$24*AF_meat</f>
        <v>5.6285414421603369E-2</v>
      </c>
      <c r="Z61" s="113">
        <f>'GHG detailed, absolute'!Z61/Production!$L$24*AF_meat</f>
        <v>1.2953458212765383</v>
      </c>
      <c r="AA61" s="200">
        <f>'GHG detailed, absolute'!AA61/Production!$L$24*AF_meat</f>
        <v>0.34697361688371703</v>
      </c>
      <c r="AC61" s="293"/>
    </row>
    <row r="62" spans="1:29" ht="15" customHeight="1" thickTop="1" x14ac:dyDescent="0.2">
      <c r="A62" s="170">
        <v>21121</v>
      </c>
      <c r="B62" s="170" t="s">
        <v>132</v>
      </c>
      <c r="C62" s="171" t="s">
        <v>133</v>
      </c>
      <c r="D62" s="155" t="s">
        <v>69</v>
      </c>
      <c r="E62" s="155" t="s">
        <v>70</v>
      </c>
      <c r="F62" s="172" t="s">
        <v>44</v>
      </c>
      <c r="G62" s="173">
        <f>'GHG detailed, absolute'!G62/Production!$M$24*AF_meat</f>
        <v>1.1104177275388949</v>
      </c>
      <c r="H62" s="20">
        <f>'GHG detailed, absolute'!H62/Production!$M$24*AF_meat</f>
        <v>0.10503493260864628</v>
      </c>
      <c r="I62" s="20">
        <f>'GHG detailed, absolute'!I62/Production!$M$24*AF_meat</f>
        <v>7.6469323248139806E-2</v>
      </c>
      <c r="J62" s="20">
        <f>'GHG detailed, absolute'!J62/Production!$M$24*AF_meat</f>
        <v>0</v>
      </c>
      <c r="K62" s="20"/>
      <c r="L62" s="20">
        <f>'GHG detailed, absolute'!L62/Production!$M$24*AF_meat</f>
        <v>9.6913690772698596E-2</v>
      </c>
      <c r="M62" s="20"/>
      <c r="N62" s="20">
        <f>'GHG detailed, absolute'!N62/Production!$M$24*AF_meat</f>
        <v>3.398866343833614E-4</v>
      </c>
      <c r="O62" s="20">
        <f>'GHG detailed, absolute'!O62/Production!$M$24*AF_meat</f>
        <v>0.11971531412752565</v>
      </c>
      <c r="P62" s="20">
        <f>'GHG detailed, absolute'!P62/Production!$M$24*AF_meat</f>
        <v>0.18694975416143822</v>
      </c>
      <c r="Q62" s="20">
        <f>'GHG detailed, absolute'!Q62/Production!$M$24*AF_meat</f>
        <v>4.4047381199339063E-2</v>
      </c>
      <c r="R62" s="20">
        <f>'GHG detailed, absolute'!R62/Production!$M$24*AF_meat</f>
        <v>0.16762738730798285</v>
      </c>
      <c r="W62" s="4">
        <f>'GHG detailed, absolute'!W62/Production!$M$24*AF_meat</f>
        <v>0.11289600582136736</v>
      </c>
      <c r="X62" s="12">
        <f>'GHG detailed, absolute'!X62/Production!$M$24*AF_meat</f>
        <v>0.20042405165737359</v>
      </c>
    </row>
    <row r="63" spans="1:29" x14ac:dyDescent="0.2">
      <c r="A63" s="13">
        <v>21121</v>
      </c>
      <c r="B63" s="13" t="s">
        <v>132</v>
      </c>
      <c r="C63" s="17" t="s">
        <v>133</v>
      </c>
      <c r="D63" s="18" t="s">
        <v>69</v>
      </c>
      <c r="E63" s="18" t="s">
        <v>70</v>
      </c>
      <c r="F63" s="13" t="s">
        <v>45</v>
      </c>
      <c r="G63" s="32">
        <f>'GHG detailed, absolute'!G63/Production!$M$24*AF_meat</f>
        <v>1.369576857113882E-3</v>
      </c>
      <c r="H63" s="33">
        <f>'GHG detailed, absolute'!H63/Production!$M$24*AF_meat</f>
        <v>8.2774354742391689E-5</v>
      </c>
      <c r="I63" s="33">
        <f>'GHG detailed, absolute'!I63/Production!$M$24*AF_meat</f>
        <v>3.2349004325564777E-4</v>
      </c>
      <c r="J63" s="33"/>
      <c r="K63" s="33"/>
      <c r="L63" s="33">
        <f>'GHG detailed, absolute'!L63/Production!$M$24*AF_meat</f>
        <v>4.2707559654524414E-5</v>
      </c>
      <c r="M63" s="33"/>
      <c r="N63" s="33">
        <f>'GHG detailed, absolute'!N63/Production!$M$24*AF_meat</f>
        <v>9.4251623974580194E-7</v>
      </c>
      <c r="O63" s="33">
        <f>'GHG detailed, absolute'!O63/Production!$M$24*AF_meat</f>
        <v>6.850647355806071E-5</v>
      </c>
      <c r="P63" s="33">
        <f>'GHG detailed, absolute'!P63/Production!$M$24*AF_meat</f>
        <v>6.7170731263925055E-6</v>
      </c>
      <c r="Q63" s="33">
        <f>'GHG detailed, absolute'!Q63/Production!$M$24*AF_meat</f>
        <v>1.1115120460429896E-4</v>
      </c>
      <c r="R63" s="33">
        <f>'GHG detailed, absolute'!R63/Production!$M$24*AF_meat</f>
        <v>1.2451512752814455E-4</v>
      </c>
      <c r="W63" s="4">
        <f>'GHG detailed, absolute'!W63/Production!$M$24*AF_meat</f>
        <v>9.7684721893168773E-5</v>
      </c>
      <c r="X63" s="12">
        <f>'GHG detailed, absolute'!X63/Production!$M$24*AF_meat</f>
        <v>5.1108778251150657E-4</v>
      </c>
    </row>
    <row r="64" spans="1:29" x14ac:dyDescent="0.2">
      <c r="A64" s="13">
        <v>21121</v>
      </c>
      <c r="B64" s="13" t="s">
        <v>132</v>
      </c>
      <c r="C64" s="17" t="s">
        <v>133</v>
      </c>
      <c r="D64" s="18" t="s">
        <v>69</v>
      </c>
      <c r="E64" s="18" t="s">
        <v>70</v>
      </c>
      <c r="F64" s="13" t="s">
        <v>46</v>
      </c>
      <c r="G64" s="32">
        <f>'GHG detailed, absolute'!G64/Production!$M$24*AF_meat</f>
        <v>1.8665260971152896E-3</v>
      </c>
      <c r="H64" s="33"/>
      <c r="I64" s="33"/>
      <c r="J64" s="33"/>
      <c r="K64" s="33"/>
      <c r="L64" s="33"/>
      <c r="M64" s="33"/>
      <c r="N64" s="33"/>
      <c r="O64" s="33"/>
      <c r="P64" s="33"/>
      <c r="Q64" s="33"/>
      <c r="R64" s="33"/>
      <c r="T64" s="47">
        <f>'GHG detailed, absolute'!T64/Production!$M$24*AF_meat</f>
        <v>1.8665260971152896E-3</v>
      </c>
      <c r="U64" s="63">
        <f>'GHG detailed, absolute'!U64/Production!$M$24*AF_meat</f>
        <v>1.8665260971152896E-3</v>
      </c>
      <c r="W64" s="4"/>
      <c r="X64" s="12"/>
    </row>
    <row r="65" spans="1:27" ht="15" customHeight="1" thickBot="1" x14ac:dyDescent="0.25">
      <c r="A65" s="13">
        <v>21121</v>
      </c>
      <c r="B65" s="13" t="s">
        <v>132</v>
      </c>
      <c r="C65" s="17" t="s">
        <v>133</v>
      </c>
      <c r="D65" s="18" t="s">
        <v>69</v>
      </c>
      <c r="E65" s="18" t="s">
        <v>70</v>
      </c>
      <c r="F65" s="34" t="s">
        <v>47</v>
      </c>
      <c r="G65" s="32">
        <f>'GHG detailed, absolute'!G65/Production!$M$24*AF_meat</f>
        <v>1.6427009286346323E-3</v>
      </c>
      <c r="H65" s="33">
        <f>'GHG detailed, absolute'!H65/Production!$M$24*AF_meat</f>
        <v>9.2843418524840332E-5</v>
      </c>
      <c r="I65" s="32">
        <f>'GHG detailed, absolute'!I65/Production!$M$24*AF_meat</f>
        <v>3.1154168730723628E-6</v>
      </c>
      <c r="J65" s="32">
        <f>'GHG detailed, absolute'!J65/Production!$M$24*AF_meat</f>
        <v>1.2375218192084087E-3</v>
      </c>
      <c r="K65" s="32">
        <f>'GHG detailed, absolute'!K65/Production!$M$24*AF_meat</f>
        <v>1.2375218192084089E-4</v>
      </c>
      <c r="L65" s="32">
        <f>'GHG detailed, absolute'!L65/Production!$M$24*AF_meat</f>
        <v>2.6041086561684052E-6</v>
      </c>
      <c r="M65" s="32"/>
      <c r="N65" s="32">
        <f>'GHG detailed, absolute'!N65/Production!$M$24*AF_meat</f>
        <v>1.4301615898844485E-8</v>
      </c>
      <c r="O65" s="32">
        <f>'GHG detailed, absolute'!O65/Production!$M$24*AF_meat</f>
        <v>4.2642836821453016E-6</v>
      </c>
      <c r="P65" s="32">
        <f>'GHG detailed, absolute'!P65/Production!$M$24*AF_meat</f>
        <v>0</v>
      </c>
      <c r="Q65" s="32">
        <f>'GHG detailed, absolute'!Q65/Production!$M$24*AF_meat</f>
        <v>9.6925043156513459E-6</v>
      </c>
      <c r="R65" s="32">
        <f>'GHG detailed, absolute'!R65/Production!$M$24*AF_meat</f>
        <v>5.9562469383942223E-6</v>
      </c>
      <c r="T65" s="47">
        <f>'GHG detailed, absolute'!T65/Production!$M$24*AF_meat</f>
        <v>1.4865855893447395E-4</v>
      </c>
      <c r="U65" s="9">
        <f>'GHG detailed, absolute'!U65/Production!$M$24*AF_meat</f>
        <v>5.5093413977124108E-5</v>
      </c>
      <c r="V65" s="63">
        <f>'GHG detailed, absolute'!V65/Production!$M$24*AF_meat</f>
        <v>9.3565144957349864E-5</v>
      </c>
      <c r="W65" s="4">
        <f>'GHG detailed, absolute'!W65/Production!$M$24*AF_meat</f>
        <v>7.3940529556431629E-6</v>
      </c>
      <c r="X65" s="12">
        <f>'GHG detailed, absolute'!X65/Production!$M$24*AF_meat</f>
        <v>6.8840350090949887E-6</v>
      </c>
    </row>
    <row r="66" spans="1:27" ht="15.5" customHeight="1" thickTop="1" thickBot="1" x14ac:dyDescent="0.25">
      <c r="A66" s="164">
        <v>21121</v>
      </c>
      <c r="B66" s="164" t="s">
        <v>132</v>
      </c>
      <c r="C66" s="165" t="s">
        <v>133</v>
      </c>
      <c r="D66" s="166" t="s">
        <v>69</v>
      </c>
      <c r="E66" s="166" t="s">
        <v>70</v>
      </c>
      <c r="F66" s="167" t="s">
        <v>48</v>
      </c>
      <c r="G66" s="178">
        <f>'GHG detailed, absolute'!G66/Production!$M$24*AF_meat</f>
        <v>1.6500846760202561</v>
      </c>
      <c r="H66" s="215">
        <f>'GHG detailed, absolute'!H66/Production!$M$24*AF_meat</f>
        <v>0.13284786163725093</v>
      </c>
      <c r="I66" s="168">
        <f>'GHG detailed, absolute'!I66/Production!$M$24*AF_meat</f>
        <v>8.6959835343506861E-2</v>
      </c>
      <c r="J66" s="168">
        <f>'GHG detailed, absolute'!J66/Production!$M$24*AF_meat</f>
        <v>0.33784345664389559</v>
      </c>
      <c r="K66" s="168">
        <f>'GHG detailed, absolute'!K66/Production!$M$24*AF_meat</f>
        <v>3.3784345664389565E-2</v>
      </c>
      <c r="L66" s="168">
        <f>'GHG detailed, absolute'!L66/Production!$M$24*AF_meat</f>
        <v>9.8897297713537405E-2</v>
      </c>
      <c r="M66" s="168">
        <f>'GHG detailed, absolute'!M66/Production!$M$24*AF_meat</f>
        <v>0</v>
      </c>
      <c r="N66" s="168">
        <f>'GHG detailed, absolute'!N66/Production!$M$24*AF_meat</f>
        <v>3.7187795946817088E-4</v>
      </c>
      <c r="O66" s="168">
        <f>'GHG detailed, absolute'!O66/Production!$M$24*AF_meat</f>
        <v>0.1229209564847815</v>
      </c>
      <c r="P66" s="168">
        <f>'GHG detailed, absolute'!P66/Production!$M$24*AF_meat</f>
        <v>0.1871499229406047</v>
      </c>
      <c r="Q66" s="168">
        <f>'GHG detailed, absolute'!Q66/Production!$M$24*AF_meat</f>
        <v>5.0005740774719983E-2</v>
      </c>
      <c r="R66" s="168">
        <f>'GHG detailed, absolute'!R66/Production!$M$24*AF_meat</f>
        <v>0.17296399352250316</v>
      </c>
      <c r="S66" s="168">
        <f>'GHG detailed, absolute'!S66/Production!$M$24*AF_meat</f>
        <v>0</v>
      </c>
      <c r="T66" s="168">
        <f>'GHG detailed, absolute'!T66/Production!$M$24*AF_meat</f>
        <v>9.0979991211224215E-2</v>
      </c>
      <c r="U66" s="169"/>
      <c r="V66" s="169"/>
      <c r="W66" s="168">
        <f>'GHG detailed, absolute'!W66/Production!$M$24*AF_meat</f>
        <v>0.11782558699067439</v>
      </c>
      <c r="X66" s="168">
        <f>'GHG detailed, absolute'!X66/Production!$M$24*AF_meat</f>
        <v>0.21753380913369938</v>
      </c>
      <c r="Z66" s="113">
        <f>'GHG detailed, absolute'!Z66/Production!$M$24*AF_meat</f>
        <v>1.223745288684658</v>
      </c>
      <c r="AA66" s="200">
        <f>'GHG detailed, absolute'!AA66/Production!$M$24*AF_meat</f>
        <v>0.35037461603727088</v>
      </c>
    </row>
    <row r="67" spans="1:27" ht="15" customHeight="1" thickTop="1" x14ac:dyDescent="0.2"/>
    <row r="68" spans="1:27" x14ac:dyDescent="0.2">
      <c r="F68" s="33"/>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tabColor theme="8" tint="0.59999389629810485"/>
  </sheetPr>
  <dimension ref="A2:V20"/>
  <sheetViews>
    <sheetView zoomScale="57" workbookViewId="0">
      <selection activeCell="C7" sqref="A7:C7"/>
    </sheetView>
  </sheetViews>
  <sheetFormatPr baseColWidth="10" defaultColWidth="8.83203125" defaultRowHeight="15" x14ac:dyDescent="0.2"/>
  <cols>
    <col min="1" max="1" width="8.83203125" style="31" customWidth="1"/>
    <col min="2" max="2" width="22.83203125" customWidth="1"/>
    <col min="3" max="3" width="25.5" customWidth="1"/>
    <col min="4" max="4" width="16.5" customWidth="1"/>
    <col min="5" max="11" width="10.5" customWidth="1"/>
    <col min="12" max="13" width="14.6640625" customWidth="1"/>
    <col min="14" max="14" width="14.6640625" style="13" customWidth="1"/>
    <col min="15" max="20" width="14.6640625" customWidth="1"/>
    <col min="21" max="21" width="15.83203125" customWidth="1"/>
  </cols>
  <sheetData>
    <row r="2" spans="1:21" ht="21" customHeight="1" x14ac:dyDescent="0.25">
      <c r="A2" s="64" t="s">
        <v>135</v>
      </c>
      <c r="M2" s="214" t="s">
        <v>102</v>
      </c>
    </row>
    <row r="3" spans="1:21" x14ac:dyDescent="0.2">
      <c r="P3" s="8"/>
      <c r="R3" s="8"/>
      <c r="S3" s="9"/>
      <c r="T3" s="9"/>
      <c r="U3" s="9"/>
    </row>
    <row r="4" spans="1:21" x14ac:dyDescent="0.2">
      <c r="A4" s="85"/>
      <c r="B4" s="86"/>
      <c r="C4" s="86"/>
      <c r="D4" s="86"/>
      <c r="E4" s="86"/>
      <c r="F4" s="86"/>
      <c r="G4" s="86"/>
      <c r="H4" s="86"/>
      <c r="I4" s="86"/>
      <c r="J4" s="86"/>
      <c r="K4" s="86"/>
      <c r="L4" s="86"/>
      <c r="M4" s="86"/>
      <c r="N4" s="87"/>
      <c r="O4" s="86"/>
      <c r="P4" s="88"/>
      <c r="Q4" s="86"/>
      <c r="R4" s="88"/>
      <c r="S4" s="89"/>
      <c r="T4" s="89"/>
      <c r="U4" s="89"/>
    </row>
    <row r="5" spans="1:21" x14ac:dyDescent="0.2">
      <c r="A5" s="66" t="s">
        <v>8</v>
      </c>
      <c r="B5" s="46"/>
      <c r="C5" s="46"/>
      <c r="D5" s="53"/>
      <c r="E5" s="53"/>
      <c r="F5" s="235" t="s">
        <v>103</v>
      </c>
      <c r="G5" s="53"/>
      <c r="H5" s="53"/>
      <c r="I5" s="53"/>
      <c r="J5" s="53"/>
      <c r="K5" s="53"/>
      <c r="L5" s="39" t="s">
        <v>104</v>
      </c>
      <c r="M5" s="39" t="s">
        <v>105</v>
      </c>
      <c r="N5" s="39" t="s">
        <v>106</v>
      </c>
      <c r="O5" s="39" t="s">
        <v>107</v>
      </c>
      <c r="P5" s="40" t="s">
        <v>108</v>
      </c>
      <c r="Q5" s="40" t="s">
        <v>109</v>
      </c>
      <c r="R5" s="40" t="s">
        <v>110</v>
      </c>
      <c r="S5" s="40" t="s">
        <v>111</v>
      </c>
      <c r="T5" s="58" t="s">
        <v>112</v>
      </c>
      <c r="U5" s="58" t="s">
        <v>113</v>
      </c>
    </row>
    <row r="6" spans="1:21" s="10" customFormat="1" ht="43.5" customHeight="1" x14ac:dyDescent="0.2">
      <c r="A6" s="68" t="s">
        <v>114</v>
      </c>
      <c r="B6" s="67" t="s">
        <v>115</v>
      </c>
      <c r="C6" s="67" t="s">
        <v>116</v>
      </c>
      <c r="D6" s="69" t="s">
        <v>19</v>
      </c>
      <c r="E6" s="70" t="s">
        <v>20</v>
      </c>
      <c r="F6" s="234" t="s">
        <v>117</v>
      </c>
      <c r="G6" s="233" t="s">
        <v>118</v>
      </c>
      <c r="H6" s="234" t="s">
        <v>119</v>
      </c>
      <c r="I6" s="234" t="s">
        <v>120</v>
      </c>
      <c r="J6" s="234" t="s">
        <v>121</v>
      </c>
      <c r="K6" s="233" t="s">
        <v>122</v>
      </c>
      <c r="L6" s="74" t="s">
        <v>123</v>
      </c>
      <c r="M6" s="74" t="s">
        <v>124</v>
      </c>
      <c r="N6" s="74" t="s">
        <v>125</v>
      </c>
      <c r="O6" s="75" t="s">
        <v>126</v>
      </c>
      <c r="P6" s="76" t="s">
        <v>127</v>
      </c>
      <c r="Q6" s="77" t="s">
        <v>128</v>
      </c>
      <c r="R6" s="77" t="s">
        <v>129</v>
      </c>
      <c r="S6" s="77" t="s">
        <v>130</v>
      </c>
      <c r="T6" s="73" t="s">
        <v>131</v>
      </c>
      <c r="U6" s="73"/>
    </row>
    <row r="7" spans="1:21" x14ac:dyDescent="0.2">
      <c r="A7" s="13" t="s">
        <v>136</v>
      </c>
      <c r="B7" s="13" t="s">
        <v>137</v>
      </c>
      <c r="C7" s="17" t="s">
        <v>138</v>
      </c>
      <c r="D7" t="s">
        <v>99</v>
      </c>
      <c r="E7" t="s">
        <v>43</v>
      </c>
      <c r="F7" s="12">
        <f>'Footprints, absolute'!F7/Production!$B$31*AF_offal</f>
        <v>0.1898434628616803</v>
      </c>
      <c r="G7" s="12">
        <f>'Footprints, absolute'!G7/Production!$B$31*AF_offal</f>
        <v>0.13253154071406023</v>
      </c>
      <c r="H7" s="47">
        <f>'Footprints, absolute'!H7/Production!$B$31*AF_offal</f>
        <v>1.4309823310555231E-4</v>
      </c>
      <c r="I7" s="47">
        <f>'Footprints, absolute'!I7/Production!$B$31*AF_offal</f>
        <v>1.84587161258279E-4</v>
      </c>
      <c r="J7" s="47">
        <f>'Footprints, absolute'!J7/Production!$B$31*AF_offal</f>
        <v>1.760576609783923E-4</v>
      </c>
      <c r="L7" s="19">
        <f>'Footprints, absolute'!L7/Production!$B$31*AF_offal</f>
        <v>0.57304787496694676</v>
      </c>
      <c r="M7" s="20">
        <f>'Footprints, absolute'!M7/Production!$B$31*AF_offal</f>
        <v>6.5793728972146897E-3</v>
      </c>
      <c r="N7" s="20">
        <f>'Footprints, absolute'!N7/Production!$B$31*AF_offal</f>
        <v>8.4239621093798402E-4</v>
      </c>
      <c r="O7" s="32">
        <f>'Footprints, absolute'!O7/Production!$B$31*AF_offal</f>
        <v>1.7890223916401189E-3</v>
      </c>
      <c r="P7" s="32">
        <f>'Footprints, absolute'!P7/Production!$B$31*AF_offal</f>
        <v>4.7937635311637798E-2</v>
      </c>
      <c r="Q7" s="32">
        <f>'Footprints, absolute'!Q7/Production!$B$31*AF_offal</f>
        <v>1.5411301314138895E-11</v>
      </c>
      <c r="R7" s="32">
        <f>'Footprints, absolute'!R7/Production!$B$31*AF_offal</f>
        <v>5.2948674968794776E-3</v>
      </c>
      <c r="S7" s="11"/>
      <c r="T7" s="5">
        <f>'Footprints, absolute'!T7*AF_offal</f>
        <v>1.3022298362887867</v>
      </c>
      <c r="U7" s="5">
        <f>'Footprints, absolute'!U7*AF_offal</f>
        <v>0.38401439036364693</v>
      </c>
    </row>
    <row r="8" spans="1:21" x14ac:dyDescent="0.2">
      <c r="A8" s="13" t="s">
        <v>136</v>
      </c>
      <c r="B8" s="13" t="s">
        <v>137</v>
      </c>
      <c r="C8" s="17" t="s">
        <v>138</v>
      </c>
      <c r="D8" t="s">
        <v>49</v>
      </c>
      <c r="E8" t="s">
        <v>50</v>
      </c>
      <c r="F8" s="12">
        <f>'Footprints, absolute'!F8/Production!$C$31*AF_offal</f>
        <v>0.13143694985212279</v>
      </c>
      <c r="G8" s="12">
        <f>'Footprints, absolute'!G8/Production!$C$31*AF_offal</f>
        <v>7.6853226753341414E-2</v>
      </c>
      <c r="H8" s="47">
        <f>'Footprints, absolute'!H8/Production!$C$31*AF_offal</f>
        <v>1.0956938016754242E-4</v>
      </c>
      <c r="I8" s="47">
        <f>'Footprints, absolute'!I8/Production!$C$31*AF_offal</f>
        <v>2.0381216241683732E-4</v>
      </c>
      <c r="J8" s="47">
        <f>'Footprints, absolute'!J8/Production!$C$31*AF_offal</f>
        <v>1.6782281019975823E-4</v>
      </c>
      <c r="L8" s="19">
        <f>'Footprints, absolute'!L8/Production!$C$31*AF_offal</f>
        <v>0.46905541180458771</v>
      </c>
      <c r="M8" s="20">
        <f>'Footprints, absolute'!M8/Production!$C$31*AF_offal</f>
        <v>4.0690015864190939E-3</v>
      </c>
      <c r="N8" s="20">
        <f>'Footprints, absolute'!N8/Production!$C$31*AF_offal</f>
        <v>7.6968114426155434E-4</v>
      </c>
      <c r="O8" s="32">
        <f>'Footprints, absolute'!O8/Production!$C$31*AF_offal</f>
        <v>4.1289433324777497E-3</v>
      </c>
      <c r="P8" s="32">
        <f>'Footprints, absolute'!P8/Production!$C$31*AF_offal</f>
        <v>9.3347440438544343E-2</v>
      </c>
      <c r="Q8" s="32">
        <f>'Footprints, absolute'!Q8/Production!$C$31*AF_offal</f>
        <v>8.853550370854034E-12</v>
      </c>
      <c r="R8" s="32">
        <f>'Footprints, absolute'!R8/Production!$C$31*AF_offal</f>
        <v>5.1328371311355836E-3</v>
      </c>
      <c r="S8" s="11"/>
      <c r="T8" s="5">
        <f>'Footprints, absolute'!T8*AF_offal</f>
        <v>1.6283572740422509</v>
      </c>
      <c r="U8" s="5">
        <f>'Footprints, absolute'!U8*AF_offal</f>
        <v>0.56158386367864555</v>
      </c>
    </row>
    <row r="9" spans="1:21" x14ac:dyDescent="0.2">
      <c r="A9" s="13" t="s">
        <v>136</v>
      </c>
      <c r="B9" s="13" t="s">
        <v>137</v>
      </c>
      <c r="C9" s="17" t="s">
        <v>138</v>
      </c>
      <c r="D9" t="s">
        <v>51</v>
      </c>
      <c r="E9" t="s">
        <v>52</v>
      </c>
      <c r="F9" s="12">
        <f>'Footprints, absolute'!F9/Production!$D$31*AF_offal</f>
        <v>0.14990755279483195</v>
      </c>
      <c r="G9" s="12">
        <f>'Footprints, absolute'!G9/Production!$D$31*AF_offal</f>
        <v>9.2125592758233385E-2</v>
      </c>
      <c r="H9" s="47">
        <f>'Footprints, absolute'!H9/Production!$D$31*AF_offal</f>
        <v>1.3742733890544816E-4</v>
      </c>
      <c r="I9" s="47">
        <f>'Footprints, absolute'!I9/Production!$D$31*AF_offal</f>
        <v>2.9981797556482989E-4</v>
      </c>
      <c r="J9" s="47">
        <f>'Footprints, absolute'!J9/Production!$D$31*AF_offal</f>
        <v>1.6700197801086374E-4</v>
      </c>
      <c r="K9" s="47"/>
      <c r="L9" s="19">
        <f>'Footprints, absolute'!L9/Production!$D$31*AF_offal</f>
        <v>0.44853543867805012</v>
      </c>
      <c r="M9" s="20">
        <f>'Footprints, absolute'!M9/Production!$D$31*AF_offal</f>
        <v>2.8579211353475494E-3</v>
      </c>
      <c r="N9" s="20">
        <f>'Footprints, absolute'!N9/Production!$D$31*AF_offal</f>
        <v>7.149289449820931E-4</v>
      </c>
      <c r="O9" s="32">
        <f>'Footprints, absolute'!O9/Production!$D$31*AF_offal</f>
        <v>1.4253019002252857E-3</v>
      </c>
      <c r="P9" s="32">
        <f>'Footprints, absolute'!P9/Production!$D$31*AF_offal</f>
        <v>7.807800966913192E-2</v>
      </c>
      <c r="Q9" s="32">
        <f>'Footprints, absolute'!Q9/Production!$D$31*AF_offal</f>
        <v>7.6195299173059435E-12</v>
      </c>
      <c r="R9" s="32">
        <f>'Footprints, absolute'!R9/Production!$D$31*AF_offal</f>
        <v>7.3496601975235913E-3</v>
      </c>
      <c r="S9" s="11"/>
      <c r="T9" s="5">
        <f>'Footprints, absolute'!T9*AF_offal</f>
        <v>1.4434334322212488</v>
      </c>
      <c r="U9" s="5">
        <f>'Footprints, absolute'!U9*AF_offal</f>
        <v>0.94088484363092029</v>
      </c>
    </row>
    <row r="10" spans="1:21" x14ac:dyDescent="0.2">
      <c r="A10" s="13" t="s">
        <v>136</v>
      </c>
      <c r="B10" s="13" t="s">
        <v>137</v>
      </c>
      <c r="C10" s="17" t="s">
        <v>138</v>
      </c>
      <c r="D10" t="s">
        <v>53</v>
      </c>
      <c r="E10" t="s">
        <v>54</v>
      </c>
      <c r="F10" s="12">
        <f>'Footprints, absolute'!F10/Production!$E$31*AF_offal</f>
        <v>0.20192590976170049</v>
      </c>
      <c r="G10" s="12">
        <f>'Footprints, absolute'!G10/Production!$E$31*AF_offal</f>
        <v>0.14667304944131301</v>
      </c>
      <c r="H10" s="47">
        <f>'Footprints, absolute'!H10/Production!$E$31*AF_offal</f>
        <v>2.1540329184652177E-4</v>
      </c>
      <c r="I10" s="47">
        <f>'Footprints, absolute'!I10/Production!$E$31*AF_offal</f>
        <v>2.6688857174478445E-4</v>
      </c>
      <c r="J10" s="47">
        <f>'Footprints, absolute'!J10/Production!$E$31*AF_offal</f>
        <v>1.5248296991301054E-4</v>
      </c>
      <c r="L10" s="19">
        <f>'Footprints, absolute'!L10/Production!$E$31*AF_offal</f>
        <v>1.0557064379863115</v>
      </c>
      <c r="M10" s="20">
        <f>'Footprints, absolute'!M10/Production!$E$31*AF_offal</f>
        <v>7.3000970949636717E-3</v>
      </c>
      <c r="N10" s="20">
        <f>'Footprints, absolute'!N10/Production!$E$31*AF_offal</f>
        <v>7.389945065904189E-4</v>
      </c>
      <c r="O10" s="32">
        <f>'Footprints, absolute'!O10/Production!$E$31*AF_offal</f>
        <v>7.3324213896768843E-4</v>
      </c>
      <c r="P10" s="32">
        <f>'Footprints, absolute'!P10/Production!$E$31*AF_offal</f>
        <v>0.11154551995505857</v>
      </c>
      <c r="Q10" s="32">
        <f>'Footprints, absolute'!Q10/Production!$E$31*AF_offal</f>
        <v>4.9703957028151247E-11</v>
      </c>
      <c r="R10" s="32">
        <f>'Footprints, absolute'!R10/Production!$E$31*AF_offal</f>
        <v>6.545891557733022E-3</v>
      </c>
      <c r="S10" s="11"/>
      <c r="T10" s="5">
        <f>'Footprints, absolute'!T10*AF_offal</f>
        <v>1.6350130821558397</v>
      </c>
      <c r="U10" s="5">
        <f>'Footprints, absolute'!U10*AF_offal</f>
        <v>1.8358080685490079</v>
      </c>
    </row>
    <row r="11" spans="1:21" x14ac:dyDescent="0.2">
      <c r="A11" s="13" t="s">
        <v>136</v>
      </c>
      <c r="B11" s="13" t="s">
        <v>137</v>
      </c>
      <c r="C11" s="17" t="s">
        <v>138</v>
      </c>
      <c r="D11" t="s">
        <v>100</v>
      </c>
      <c r="E11" t="s">
        <v>56</v>
      </c>
      <c r="F11" s="12">
        <f>'Footprints, absolute'!F11/Production!$F$31*AF_offal</f>
        <v>0.15721074478329902</v>
      </c>
      <c r="G11" s="12">
        <f>'Footprints, absolute'!G11/Production!$F$31*AF_offal</f>
        <v>0.10018073740025754</v>
      </c>
      <c r="H11" s="47">
        <f>'Footprints, absolute'!H11/Production!$F$31*AF_offal</f>
        <v>1.6045363815101878E-4</v>
      </c>
      <c r="I11" s="47">
        <f>'Footprints, absolute'!I11/Production!$F$31*AF_offal</f>
        <v>1.7792571449652296E-4</v>
      </c>
      <c r="J11" s="47">
        <f>'Footprints, absolute'!J11/Production!$F$31*AF_offal</f>
        <v>1.7378935778291206E-4</v>
      </c>
      <c r="L11" s="19">
        <f>'Footprints, absolute'!L11/Production!$F$31*AF_offal</f>
        <v>0.548206338013984</v>
      </c>
      <c r="M11" s="20">
        <f>'Footprints, absolute'!M11/Production!$F$31*AF_offal</f>
        <v>4.1687658782469106E-3</v>
      </c>
      <c r="N11" s="20">
        <f>'Footprints, absolute'!N11/Production!$F$31*AF_offal</f>
        <v>1.2509091552802762E-3</v>
      </c>
      <c r="O11" s="32">
        <f>'Footprints, absolute'!O11/Production!$F$31*AF_offal</f>
        <v>2.9061940086263483E-3</v>
      </c>
      <c r="P11" s="32">
        <f>'Footprints, absolute'!P11/Production!$F$31*AF_offal</f>
        <v>6.3775491223822395E-2</v>
      </c>
      <c r="Q11" s="32">
        <f>'Footprints, absolute'!Q11/Production!$F$31*AF_offal</f>
        <v>1.0495599683425311E-11</v>
      </c>
      <c r="R11" s="32">
        <f>'Footprints, absolute'!R11/Production!$F$31*AF_offal</f>
        <v>5.6731514899321326E-3</v>
      </c>
      <c r="S11" s="11"/>
      <c r="T11" s="5">
        <f>'Footprints, absolute'!T11*AF_offal</f>
        <v>1.6347040534968618</v>
      </c>
      <c r="U11" s="5">
        <f>'Footprints, absolute'!U11*AF_offal</f>
        <v>1.4308292852147861</v>
      </c>
    </row>
    <row r="12" spans="1:21" x14ac:dyDescent="0.2">
      <c r="A12" s="13" t="s">
        <v>136</v>
      </c>
      <c r="B12" s="13" t="s">
        <v>137</v>
      </c>
      <c r="C12" s="17" t="s">
        <v>138</v>
      </c>
      <c r="D12" t="s">
        <v>91</v>
      </c>
      <c r="E12" t="s">
        <v>58</v>
      </c>
      <c r="F12" s="12">
        <f>'Footprints, absolute'!F12/Production!$G$31*AF_offal</f>
        <v>0.1756183898182436</v>
      </c>
      <c r="G12" s="12">
        <f>'Footprints, absolute'!G12/Production!$G$31*AF_offal</f>
        <v>0.12714648355465308</v>
      </c>
      <c r="H12" s="47">
        <f>'Footprints, absolute'!H12/Production!$G$31*AF_offal</f>
        <v>1.3390973704049009E-4</v>
      </c>
      <c r="I12" s="47">
        <f>'Footprints, absolute'!I12/Production!$G$31*AF_offal</f>
        <v>1.8761973060541946E-4</v>
      </c>
      <c r="J12" s="47">
        <f>'Footprints, absolute'!J12/Production!$G$31*AF_offal</f>
        <v>1.4437971931662122E-4</v>
      </c>
      <c r="L12" s="19">
        <f>'Footprints, absolute'!L12/Production!$G$31*AF_offal</f>
        <v>0.50573428322971992</v>
      </c>
      <c r="M12" s="20">
        <f>'Footprints, absolute'!M12/Production!$G$31*AF_offal</f>
        <v>5.9945672252875448E-3</v>
      </c>
      <c r="N12" s="20">
        <f>'Footprints, absolute'!N12/Production!$G$31*AF_offal</f>
        <v>8.1232677001769006E-4</v>
      </c>
      <c r="O12" s="32">
        <f>'Footprints, absolute'!O12/Production!$G$31*AF_offal</f>
        <v>3.1468093455540892E-3</v>
      </c>
      <c r="P12" s="32">
        <f>'Footprints, absolute'!P12/Production!$G$31*AF_offal</f>
        <v>0.15240766347104226</v>
      </c>
      <c r="Q12" s="32">
        <f>'Footprints, absolute'!Q12/Production!$G$31*AF_offal</f>
        <v>1.5208146952835287E-11</v>
      </c>
      <c r="R12" s="32">
        <f>'Footprints, absolute'!R12/Production!$G$31*AF_offal</f>
        <v>4.0297881626701875E-3</v>
      </c>
      <c r="S12" s="11"/>
      <c r="T12" s="5">
        <f>'Footprints, absolute'!T12*AF_offal</f>
        <v>1.4173942200634579</v>
      </c>
      <c r="U12" s="5">
        <f>'Footprints, absolute'!U12*AF_offal</f>
        <v>0.62289342551349869</v>
      </c>
    </row>
    <row r="13" spans="1:21" x14ac:dyDescent="0.2">
      <c r="A13" s="13" t="s">
        <v>136</v>
      </c>
      <c r="B13" s="13" t="s">
        <v>137</v>
      </c>
      <c r="C13" s="17" t="s">
        <v>138</v>
      </c>
      <c r="D13" t="s">
        <v>59</v>
      </c>
      <c r="E13" t="s">
        <v>60</v>
      </c>
      <c r="F13" s="12">
        <f>'Footprints, absolute'!F13/Production!$H$31*AF_offal</f>
        <v>0.15308231667953531</v>
      </c>
      <c r="G13" s="12">
        <f>'Footprints, absolute'!G13/Production!$H$31*AF_offal</f>
        <v>0.10276075633483053</v>
      </c>
      <c r="H13" s="47">
        <f>'Footprints, absolute'!H13/Production!$H$31*AF_offal</f>
        <v>2.3345876654734594E-4</v>
      </c>
      <c r="I13" s="47">
        <f>'Footprints, absolute'!I13/Production!$H$31*AF_offal</f>
        <v>1.7792571449652296E-4</v>
      </c>
      <c r="J13" s="47">
        <f>'Footprints, absolute'!J13/Production!$H$31*AF_offal</f>
        <v>1.4124723373695148E-4</v>
      </c>
      <c r="L13" s="19">
        <f>'Footprints, absolute'!L13/Production!$H$31*AF_offal</f>
        <v>0.48857754215356097</v>
      </c>
      <c r="M13" s="20">
        <f>'Footprints, absolute'!M13/Production!$H$31*AF_offal</f>
        <v>4.2495606961781771E-3</v>
      </c>
      <c r="N13" s="20">
        <f>'Footprints, absolute'!N13/Production!$H$31*AF_offal</f>
        <v>9.0098507073530106E-4</v>
      </c>
      <c r="O13" s="32">
        <f>'Footprints, absolute'!O13/Production!$H$31*AF_offal</f>
        <v>6.124217737398267E-3</v>
      </c>
      <c r="P13" s="32">
        <f>'Footprints, absolute'!P13/Production!$H$31*AF_offal</f>
        <v>5.5323185225209459E-2</v>
      </c>
      <c r="Q13" s="32">
        <f>'Footprints, absolute'!Q13/Production!$H$31*AF_offal</f>
        <v>2.6189034956652538E-11</v>
      </c>
      <c r="R13" s="32">
        <f>'Footprints, absolute'!R13/Production!$H$31*AF_offal</f>
        <v>4.5886108787186585E-3</v>
      </c>
      <c r="S13" s="11"/>
      <c r="T13" s="5">
        <f>'Footprints, absolute'!T13*AF_offal</f>
        <v>1.6350130821558397</v>
      </c>
      <c r="U13" s="5">
        <f>'Footprints, absolute'!U13*AF_offal</f>
        <v>2.3146998020592995</v>
      </c>
    </row>
    <row r="14" spans="1:21" x14ac:dyDescent="0.2">
      <c r="A14" s="13" t="s">
        <v>136</v>
      </c>
      <c r="B14" s="13" t="s">
        <v>137</v>
      </c>
      <c r="C14" s="17" t="s">
        <v>138</v>
      </c>
      <c r="D14" t="s">
        <v>90</v>
      </c>
      <c r="E14" t="s">
        <v>62</v>
      </c>
      <c r="F14" s="12">
        <f>'Footprints, absolute'!F14/Production!$I$31*AF_offal</f>
        <v>0.17995777920849296</v>
      </c>
      <c r="G14" s="12">
        <f>'Footprints, absolute'!G14/Production!$I$31*AF_offal</f>
        <v>0.11978002571820186</v>
      </c>
      <c r="H14" s="47">
        <f>'Footprints, absolute'!H14/Production!$I$31*AF_offal</f>
        <v>1.746448086341515E-4</v>
      </c>
      <c r="I14" s="47">
        <f>'Footprints, absolute'!I14/Production!$I$31*AF_offal</f>
        <v>3.444062299142155E-4</v>
      </c>
      <c r="J14" s="47">
        <f>'Footprints, absolute'!J14/Production!$I$31*AF_offal</f>
        <v>1.673053845615735E-4</v>
      </c>
      <c r="L14" s="19">
        <f>'Footprints, absolute'!L14/Production!$I$31*AF_offal</f>
        <v>0.57822059602730203</v>
      </c>
      <c r="M14" s="20">
        <f>'Footprints, absolute'!M14/Production!$I$31*AF_offal</f>
        <v>4.9852651088582011E-3</v>
      </c>
      <c r="N14" s="20">
        <f>'Footprints, absolute'!N14/Production!$I$31*AF_offal</f>
        <v>9.0429241989733262E-4</v>
      </c>
      <c r="O14" s="32">
        <f>'Footprints, absolute'!O14/Production!$I$31*AF_offal</f>
        <v>2.427957673492367E-3</v>
      </c>
      <c r="P14" s="32">
        <f>'Footprints, absolute'!P14/Production!$I$31*AF_offal</f>
        <v>7.9174409036594909E-2</v>
      </c>
      <c r="Q14" s="32">
        <f>'Footprints, absolute'!Q14/Production!$I$31*AF_offal</f>
        <v>1.2811286240174938E-11</v>
      </c>
      <c r="R14" s="32">
        <f>'Footprints, absolute'!R14/Production!$I$31*AF_offal</f>
        <v>6.5185640780587297E-3</v>
      </c>
      <c r="S14" s="11"/>
      <c r="T14" s="5">
        <f>'Footprints, absolute'!T14*AF_offal</f>
        <v>1.6029087829493605</v>
      </c>
      <c r="U14" s="5">
        <f>'Footprints, absolute'!U14*AF_offal</f>
        <v>0.47479054380020197</v>
      </c>
    </row>
    <row r="15" spans="1:21" x14ac:dyDescent="0.2">
      <c r="A15" s="13" t="s">
        <v>136</v>
      </c>
      <c r="B15" s="13" t="s">
        <v>137</v>
      </c>
      <c r="C15" s="17" t="s">
        <v>138</v>
      </c>
      <c r="D15" t="s">
        <v>63</v>
      </c>
      <c r="E15" t="s">
        <v>64</v>
      </c>
      <c r="F15" s="12">
        <f>'Footprints, absolute'!F15/Production!$J$31*AF_offal</f>
        <v>0.20743189750187557</v>
      </c>
      <c r="G15" s="12">
        <f>'Footprints, absolute'!G15/Production!$J$31*AF_offal</f>
        <v>0.13991325171079241</v>
      </c>
      <c r="H15" s="47">
        <f>'Footprints, absolute'!H15/Production!$J$31*AF_offal</f>
        <v>2.0822379796579866E-4</v>
      </c>
      <c r="I15" s="47">
        <f>'Footprints, absolute'!I15/Production!$J$31*AF_offal</f>
        <v>2.6688857174478445E-4</v>
      </c>
      <c r="J15" s="47">
        <f>'Footprints, absolute'!J15/Production!$J$31*AF_offal</f>
        <v>1.9819628269081752E-4</v>
      </c>
      <c r="L15" s="19">
        <f>'Footprints, absolute'!L15/Production!$J$31*AF_offal</f>
        <v>0.59486239170683253</v>
      </c>
      <c r="M15" s="20">
        <f>'Footprints, absolute'!M15/Production!$J$31*AF_offal</f>
        <v>5.2410919608191697E-3</v>
      </c>
      <c r="N15" s="20">
        <f>'Footprints, absolute'!N15/Production!$J$31*AF_offal</f>
        <v>9.0178290397303126E-4</v>
      </c>
      <c r="O15" s="32">
        <f>'Footprints, absolute'!O15/Production!$J$31*AF_offal</f>
        <v>8.9642445599354614E-4</v>
      </c>
      <c r="P15" s="32">
        <f>'Footprints, absolute'!P15/Production!$J$31*AF_offal</f>
        <v>5.8987925571239344E-2</v>
      </c>
      <c r="Q15" s="32">
        <f>'Footprints, absolute'!Q15/Production!$J$31*AF_offal</f>
        <v>7.0077946497641964E-12</v>
      </c>
      <c r="R15" s="32">
        <f>'Footprints, absolute'!R15/Production!$J$31*AF_offal</f>
        <v>5.19033711348492E-3</v>
      </c>
      <c r="S15" s="11"/>
      <c r="T15" s="5">
        <f>'Footprints, absolute'!T15*AF_offal</f>
        <v>1.6347040534968618</v>
      </c>
      <c r="U15" s="5">
        <f>'Footprints, absolute'!U15*AF_offal</f>
        <v>2.9742426666189736</v>
      </c>
    </row>
    <row r="16" spans="1:21" x14ac:dyDescent="0.2">
      <c r="A16" s="13" t="s">
        <v>136</v>
      </c>
      <c r="B16" s="13" t="s">
        <v>137</v>
      </c>
      <c r="C16" s="17" t="s">
        <v>138</v>
      </c>
      <c r="D16" t="s">
        <v>65</v>
      </c>
      <c r="E16" t="s">
        <v>66</v>
      </c>
      <c r="F16" s="12">
        <f>'Footprints, absolute'!F16/Production!$K$31*AF_offal</f>
        <v>0.16836462281088288</v>
      </c>
      <c r="G16" s="12">
        <f>'Footprints, absolute'!G16/Production!$K$31*AF_offal</f>
        <v>0.10432761863809487</v>
      </c>
      <c r="H16" s="47">
        <f>'Footprints, absolute'!H16/Production!$K$31*AF_offal</f>
        <v>1.4600521933922492E-4</v>
      </c>
      <c r="I16" s="47">
        <f>'Footprints, absolute'!I16/Production!$K$31*AF_offal</f>
        <v>2.4159882038055812E-4</v>
      </c>
      <c r="J16" s="47">
        <f>'Footprints, absolute'!J16/Production!$K$31*AF_offal</f>
        <v>1.9473582595679146E-4</v>
      </c>
      <c r="L16" s="19">
        <f>'Footprints, absolute'!L16/Production!$K$31*AF_offal</f>
        <v>0.72136080515472423</v>
      </c>
      <c r="M16" s="20">
        <f>'Footprints, absolute'!M16/Production!$K$31*AF_offal</f>
        <v>5.3817005534251214E-3</v>
      </c>
      <c r="N16" s="20">
        <f>'Footprints, absolute'!N16/Production!$K$31*AF_offal</f>
        <v>9.6338501933076581E-4</v>
      </c>
      <c r="O16" s="32">
        <f>'Footprints, absolute'!O16/Production!$K$31*AF_offal</f>
        <v>2.9386523697476016E-2</v>
      </c>
      <c r="P16" s="32">
        <f>'Footprints, absolute'!P16/Production!$K$31*AF_offal</f>
        <v>5.3569586645931901E-2</v>
      </c>
      <c r="Q16" s="32">
        <f>'Footprints, absolute'!Q16/Production!$K$31*AF_offal</f>
        <v>4.7109628396750206E-11</v>
      </c>
      <c r="R16" s="32">
        <f>'Footprints, absolute'!R16/Production!$K$31*AF_offal</f>
        <v>7.4503381358511315E-3</v>
      </c>
      <c r="S16" s="11"/>
      <c r="T16" s="5">
        <f>'Footprints, absolute'!T16*AF_offal</f>
        <v>1.6347040534968618</v>
      </c>
      <c r="U16" s="119">
        <f>'Footprints, absolute'!U16*AF_offal</f>
        <v>1.5383338352195104</v>
      </c>
    </row>
    <row r="17" spans="1:22" x14ac:dyDescent="0.2">
      <c r="A17" s="13" t="s">
        <v>136</v>
      </c>
      <c r="B17" s="13" t="s">
        <v>137</v>
      </c>
      <c r="C17" s="17" t="s">
        <v>138</v>
      </c>
      <c r="D17" s="18" t="s">
        <v>67</v>
      </c>
      <c r="E17" s="18" t="s">
        <v>68</v>
      </c>
      <c r="F17" s="11">
        <f>'Footprints, absolute'!F17/Production!$L$31*AF_offal</f>
        <v>0.16640717862928622</v>
      </c>
      <c r="G17" s="12">
        <f>'Footprints, absolute'!G17/Production!$L$31*AF_offal</f>
        <v>0.10240430270602205</v>
      </c>
      <c r="H17" s="47">
        <f>'Footprints, absolute'!H17/Production!$L$31*AF_offal</f>
        <v>8.6477428249449675E-5</v>
      </c>
      <c r="I17" s="47">
        <f>'Footprints, absolute'!I17/Production!$L$31*AF_offal</f>
        <v>1.7705025451884623E-4</v>
      </c>
      <c r="J17" s="47">
        <f>'Footprints, absolute'!J17/Production!$L$31*AF_offal</f>
        <v>2.0749264355099557E-4</v>
      </c>
      <c r="K17" s="18"/>
      <c r="L17" s="19">
        <f>'Footprints, absolute'!L17/Production!$L$31*AF_offal</f>
        <v>0.60903780520418649</v>
      </c>
      <c r="M17" s="20">
        <f>'Footprints, absolute'!M17/Production!$L$31*AF_offal</f>
        <v>6.5708540802468891E-3</v>
      </c>
      <c r="N17" s="20">
        <f>'Footprints, absolute'!N17/Production!$L$31*AF_offal</f>
        <v>8.5999274689740174E-4</v>
      </c>
      <c r="O17" s="32">
        <f>'Footprints, absolute'!O17/Production!$L$31*AF_offal</f>
        <v>1.0967124534175009E-3</v>
      </c>
      <c r="P17" s="32">
        <f>'Footprints, absolute'!P17/Production!$L$31*AF_offal</f>
        <v>4.1565513378768952E-2</v>
      </c>
      <c r="Q17" s="32">
        <f>'Footprints, absolute'!Q17/Production!$L$31*AF_offal</f>
        <v>1.0520300462804955E-11</v>
      </c>
      <c r="R17" s="32">
        <f>'Footprints, absolute'!R17/Production!$L$31*AF_offal</f>
        <v>5.0557222456709882E-3</v>
      </c>
      <c r="S17" s="11"/>
      <c r="T17" s="5">
        <f>'Footprints, absolute'!T17*AF_offal</f>
        <v>1.1413154954553375</v>
      </c>
      <c r="U17" s="5">
        <f>'Footprints, absolute'!U17*AF_offal</f>
        <v>0.18608244072572211</v>
      </c>
      <c r="V17" s="18"/>
    </row>
    <row r="18" spans="1:22" x14ac:dyDescent="0.2">
      <c r="A18" s="13" t="s">
        <v>136</v>
      </c>
      <c r="B18" s="13" t="s">
        <v>137</v>
      </c>
      <c r="C18" s="17" t="s">
        <v>138</v>
      </c>
      <c r="D18" t="s">
        <v>69</v>
      </c>
      <c r="E18" t="s">
        <v>70</v>
      </c>
      <c r="F18" s="12">
        <f>'Footprints, absolute'!F18/Production!$M$31*AF_offal</f>
        <v>0.15729353873723706</v>
      </c>
      <c r="G18" s="12">
        <f>'Footprints, absolute'!G18/Production!$M$31*AF_offal</f>
        <v>0.1058500429580438</v>
      </c>
      <c r="H18" s="47">
        <f>'Footprints, absolute'!H18/Production!$M$31*AF_offal</f>
        <v>1.3055426400761339E-4</v>
      </c>
      <c r="I18" s="47">
        <f>'Footprints, absolute'!I18/Production!$M$31*AF_offal</f>
        <v>1.7792571449652296E-4</v>
      </c>
      <c r="J18" s="47">
        <f>'Footprints, absolute'!J18/Production!$M$31*AF_offal</f>
        <v>1.5658968652146606E-4</v>
      </c>
      <c r="L18" s="19">
        <f>'Footprints, absolute'!L18/Production!$M$31*AF_offal</f>
        <v>0.50947114247151115</v>
      </c>
      <c r="M18" s="20">
        <f>'Footprints, absolute'!M18/Production!$M$31*AF_offal</f>
        <v>5.3879298225745021E-3</v>
      </c>
      <c r="N18" s="20">
        <f>'Footprints, absolute'!N18/Production!$M$31*AF_offal</f>
        <v>6.1236460298414851E-4</v>
      </c>
      <c r="O18" s="32">
        <f>'Footprints, absolute'!O18/Production!$M$31*AF_offal</f>
        <v>1.1043937050406283E-3</v>
      </c>
      <c r="P18" s="32">
        <f>'Footprints, absolute'!P18/Production!$M$31*AF_offal</f>
        <v>6.794003278813264E-2</v>
      </c>
      <c r="Q18" s="32">
        <f>'Footprints, absolute'!Q18/Production!$M$31*AF_offal</f>
        <v>1.0163940868001942E-11</v>
      </c>
      <c r="R18" s="32">
        <f>'Footprints, absolute'!R18/Production!$M$31*AF_offal</f>
        <v>3.5670741018640679E-3</v>
      </c>
      <c r="S18" s="12"/>
      <c r="T18" s="5">
        <f>'Footprints, absolute'!T18*AF_offal</f>
        <v>1.6853113774077202</v>
      </c>
      <c r="U18" s="5">
        <f>'Footprints, absolute'!U18*AF_offal</f>
        <v>0.52432221544440138</v>
      </c>
    </row>
    <row r="19" spans="1:22" x14ac:dyDescent="0.2">
      <c r="A19" s="13"/>
      <c r="B19" s="13"/>
      <c r="C19" s="17"/>
      <c r="T19" s="5"/>
    </row>
    <row r="20" spans="1:22" x14ac:dyDescent="0.2">
      <c r="Q20" s="33"/>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0">
    <tabColor theme="8" tint="0.59999389629810485"/>
  </sheetPr>
  <dimension ref="A1:AC68"/>
  <sheetViews>
    <sheetView zoomScale="50" workbookViewId="0">
      <selection activeCell="C36" sqref="C36"/>
    </sheetView>
  </sheetViews>
  <sheetFormatPr baseColWidth="10" defaultColWidth="8.83203125" defaultRowHeight="15" x14ac:dyDescent="0.2"/>
  <cols>
    <col min="1" max="1" width="8.1640625" style="31" customWidth="1"/>
    <col min="2" max="2" width="22.5" customWidth="1"/>
    <col min="3" max="3" width="27.33203125" customWidth="1"/>
    <col min="4" max="5" width="10.1640625" customWidth="1"/>
    <col min="6" max="6" width="15.33203125" customWidth="1"/>
    <col min="7" max="7" width="9.33203125" style="13" customWidth="1"/>
    <col min="8" max="20" width="14.6640625" customWidth="1"/>
    <col min="21" max="22" width="14.6640625" style="9" customWidth="1"/>
    <col min="23" max="24" width="14.6640625" customWidth="1"/>
    <col min="26" max="26" width="16" customWidth="1"/>
    <col min="27" max="27" width="19.33203125" customWidth="1"/>
    <col min="29" max="29" width="17.6640625" bestFit="1" customWidth="1"/>
    <col min="30" max="30" width="15.5" customWidth="1"/>
  </cols>
  <sheetData>
    <row r="1" spans="1:27" x14ac:dyDescent="0.2">
      <c r="H1" s="214" t="s">
        <v>0</v>
      </c>
    </row>
    <row r="2" spans="1:27" ht="21" customHeight="1" x14ac:dyDescent="0.25">
      <c r="A2" s="64" t="s">
        <v>139</v>
      </c>
      <c r="F2" s="47"/>
      <c r="H2" s="214" t="s">
        <v>2</v>
      </c>
    </row>
    <row r="3" spans="1:27" x14ac:dyDescent="0.2">
      <c r="H3" s="214" t="s">
        <v>3</v>
      </c>
      <c r="J3" s="8"/>
      <c r="K3" s="9"/>
      <c r="L3" s="9"/>
      <c r="M3" s="9"/>
      <c r="N3" s="9"/>
      <c r="O3" s="9"/>
      <c r="P3" s="9"/>
      <c r="Q3" s="9"/>
      <c r="R3" s="9"/>
      <c r="S3" s="9"/>
      <c r="T3" s="9"/>
    </row>
    <row r="4" spans="1:27" x14ac:dyDescent="0.2">
      <c r="A4" s="65"/>
      <c r="B4" s="48"/>
      <c r="C4" s="48"/>
      <c r="D4" s="48"/>
      <c r="E4" s="48"/>
      <c r="F4" s="48"/>
      <c r="G4" s="48"/>
      <c r="H4" s="49"/>
      <c r="I4" s="49"/>
      <c r="J4" s="50"/>
      <c r="K4" s="50"/>
      <c r="L4" s="50"/>
      <c r="M4" s="50"/>
      <c r="N4" s="50"/>
      <c r="O4" s="50"/>
      <c r="P4" s="50"/>
      <c r="Q4" s="50"/>
      <c r="R4" s="50"/>
      <c r="S4" s="49" t="s">
        <v>4</v>
      </c>
      <c r="T4" s="49"/>
      <c r="U4" s="61"/>
      <c r="V4" s="61"/>
      <c r="W4" s="50" t="s">
        <v>5</v>
      </c>
      <c r="X4" s="50" t="s">
        <v>6</v>
      </c>
      <c r="Z4" s="49" t="s">
        <v>7</v>
      </c>
      <c r="AA4" s="49"/>
    </row>
    <row r="5" spans="1:27" x14ac:dyDescent="0.2">
      <c r="A5" s="66" t="s">
        <v>8</v>
      </c>
      <c r="B5" s="46"/>
      <c r="C5" s="46"/>
      <c r="D5" s="53"/>
      <c r="E5" s="53"/>
      <c r="F5" s="54"/>
      <c r="G5" s="55" t="s">
        <v>9</v>
      </c>
      <c r="H5" s="55" t="s">
        <v>10</v>
      </c>
      <c r="I5" s="56"/>
      <c r="J5" s="55" t="s">
        <v>11</v>
      </c>
      <c r="K5" s="57"/>
      <c r="L5" s="58" t="s">
        <v>12</v>
      </c>
      <c r="M5" s="57"/>
      <c r="N5" s="57"/>
      <c r="O5" s="57"/>
      <c r="P5" s="58" t="s">
        <v>13</v>
      </c>
      <c r="Q5" s="58" t="s">
        <v>14</v>
      </c>
      <c r="R5" s="58" t="s">
        <v>15</v>
      </c>
      <c r="S5" s="59"/>
      <c r="T5" s="59"/>
      <c r="U5" s="62"/>
      <c r="V5" s="62"/>
      <c r="W5" s="60"/>
      <c r="X5" s="60"/>
      <c r="Z5" s="55"/>
      <c r="AA5" s="55"/>
    </row>
    <row r="6" spans="1:27" ht="58" customHeight="1" x14ac:dyDescent="0.2">
      <c r="A6" s="332" t="s">
        <v>114</v>
      </c>
      <c r="B6" s="333" t="s">
        <v>115</v>
      </c>
      <c r="C6" s="333" t="s">
        <v>140</v>
      </c>
      <c r="D6" s="69" t="s">
        <v>19</v>
      </c>
      <c r="E6" s="70" t="s">
        <v>20</v>
      </c>
      <c r="F6" s="69" t="s">
        <v>21</v>
      </c>
      <c r="G6" s="296" t="s">
        <v>22</v>
      </c>
      <c r="H6" s="52" t="s">
        <v>23</v>
      </c>
      <c r="I6" s="52" t="s">
        <v>24</v>
      </c>
      <c r="J6" s="52" t="s">
        <v>25</v>
      </c>
      <c r="K6" s="52" t="s">
        <v>26</v>
      </c>
      <c r="L6" s="52" t="s">
        <v>27</v>
      </c>
      <c r="M6" s="52" t="s">
        <v>28</v>
      </c>
      <c r="N6" s="52" t="s">
        <v>29</v>
      </c>
      <c r="O6" s="52" t="s">
        <v>30</v>
      </c>
      <c r="P6" s="52" t="s">
        <v>31</v>
      </c>
      <c r="Q6" s="52" t="s">
        <v>14</v>
      </c>
      <c r="R6" s="52" t="s">
        <v>32</v>
      </c>
      <c r="S6" s="70" t="s">
        <v>33</v>
      </c>
      <c r="T6" s="70" t="s">
        <v>34</v>
      </c>
      <c r="U6" s="71" t="s">
        <v>35</v>
      </c>
      <c r="V6" s="71" t="s">
        <v>36</v>
      </c>
      <c r="W6" s="52" t="s">
        <v>37</v>
      </c>
      <c r="X6" s="52" t="s">
        <v>38</v>
      </c>
      <c r="Z6" s="70" t="s">
        <v>39</v>
      </c>
      <c r="AA6" s="70" t="s">
        <v>40</v>
      </c>
    </row>
    <row r="7" spans="1:27" x14ac:dyDescent="0.2">
      <c r="A7" s="13" t="s">
        <v>136</v>
      </c>
      <c r="B7" s="13" t="s">
        <v>137</v>
      </c>
      <c r="C7" s="17" t="s">
        <v>138</v>
      </c>
      <c r="D7" s="155" t="s">
        <v>42</v>
      </c>
      <c r="E7" s="155" t="s">
        <v>43</v>
      </c>
      <c r="F7" s="172" t="s">
        <v>44</v>
      </c>
      <c r="G7" s="20">
        <f>'GHG detailed, absolute'!G7/Production!$B$31*AF_offal</f>
        <v>0.13253154071406023</v>
      </c>
      <c r="H7" s="173">
        <f>'GHG detailed, absolute'!H7/Production!$B$31*AF_offal</f>
        <v>8.5328803119591248E-3</v>
      </c>
      <c r="I7" s="173">
        <f>'GHG detailed, absolute'!I7/Production!$B$31*AF_offal</f>
        <v>8.2466691469379235E-3</v>
      </c>
      <c r="J7" s="173">
        <f>'GHG detailed, absolute'!J7/Production!$B$31*AF_offal</f>
        <v>0</v>
      </c>
      <c r="K7" s="173"/>
      <c r="L7" s="173">
        <f>'GHG detailed, absolute'!L7/Production!$B$31*AF_offal</f>
        <v>1.0047584676988977E-2</v>
      </c>
      <c r="M7" s="173"/>
      <c r="N7" s="173">
        <f>'GHG detailed, absolute'!N7/Production!$B$31*AF_offal</f>
        <v>4.4833988190129974E-5</v>
      </c>
      <c r="O7" s="173">
        <f>'GHG detailed, absolute'!O7/Production!$B$31*AF_offal</f>
        <v>1.2376223022324875E-2</v>
      </c>
      <c r="P7" s="173">
        <f>'GHG detailed, absolute'!P7/Production!$B$31*AF_offal</f>
        <v>3.1208082746556683E-2</v>
      </c>
      <c r="Q7" s="173">
        <f>'GHG detailed, absolute'!Q7/Production!$B$31*AF_offal</f>
        <v>3.5952190875266732E-3</v>
      </c>
      <c r="R7" s="173">
        <f>'GHG detailed, absolute'!R7/Production!$B$31*AF_offal</f>
        <v>2.4799463174811066E-2</v>
      </c>
      <c r="S7" s="154"/>
      <c r="T7" s="154"/>
      <c r="U7" s="174"/>
      <c r="V7" s="174"/>
      <c r="W7" s="175">
        <f>'GHG detailed, absolute'!W7/Production!$B$31*AF_offal</f>
        <v>1.2634010184688443E-2</v>
      </c>
      <c r="X7" s="176">
        <f>'GHG detailed, absolute'!X7/Production!$B$31*AF_offal</f>
        <v>2.1046574374076359E-2</v>
      </c>
      <c r="Z7" s="20"/>
      <c r="AA7" s="20"/>
    </row>
    <row r="8" spans="1:27" x14ac:dyDescent="0.2">
      <c r="A8" s="13" t="s">
        <v>136</v>
      </c>
      <c r="B8" s="13" t="s">
        <v>137</v>
      </c>
      <c r="C8" s="17" t="s">
        <v>138</v>
      </c>
      <c r="D8" s="18" t="s">
        <v>42</v>
      </c>
      <c r="E8" s="18" t="s">
        <v>43</v>
      </c>
      <c r="F8" s="13" t="s">
        <v>45</v>
      </c>
      <c r="G8" s="32">
        <f>'GHG detailed, absolute'!G8/Production!$B$31*AF_offal</f>
        <v>1.4309823310555231E-4</v>
      </c>
      <c r="H8" s="33">
        <f>'GHG detailed, absolute'!H8/Production!$B$31*AF_offal</f>
        <v>3.384565000767939E-6</v>
      </c>
      <c r="I8" s="33">
        <f>'GHG detailed, absolute'!I8/Production!$B$31*AF_offal</f>
        <v>2.9082516742705856E-5</v>
      </c>
      <c r="J8" s="33"/>
      <c r="K8" s="33"/>
      <c r="L8" s="33">
        <f>'GHG detailed, absolute'!L8/Production!$B$31*AF_offal</f>
        <v>4.4860025288949943E-6</v>
      </c>
      <c r="M8" s="33"/>
      <c r="N8" s="33">
        <f>'GHG detailed, absolute'!N8/Production!$B$31*AF_offal</f>
        <v>2.4858344825128527E-7</v>
      </c>
      <c r="O8" s="33">
        <f>'GHG detailed, absolute'!O8/Production!$B$31*AF_offal</f>
        <v>7.581022232130782E-6</v>
      </c>
      <c r="P8" s="33">
        <f>'GHG detailed, absolute'!P8/Production!$B$31*AF_offal</f>
        <v>0</v>
      </c>
      <c r="Q8" s="33">
        <f>'GHG detailed, absolute'!Q8/Production!$B$31*AF_offal</f>
        <v>1.2879017444785527E-5</v>
      </c>
      <c r="R8" s="33">
        <f>'GHG detailed, absolute'!R8/Production!$B$31*AF_offal</f>
        <v>2.1105367058639877E-5</v>
      </c>
      <c r="W8" s="4">
        <f>'GHG detailed, absolute'!W8/Production!$B$31*AF_offal</f>
        <v>1.0483108032137795E-5</v>
      </c>
      <c r="X8" s="12">
        <f>'GHG detailed, absolute'!X8/Production!$B$31*AF_offal</f>
        <v>5.3848050617238242E-5</v>
      </c>
      <c r="Z8" s="32"/>
      <c r="AA8" s="32"/>
    </row>
    <row r="9" spans="1:27" x14ac:dyDescent="0.2">
      <c r="A9" s="13" t="s">
        <v>136</v>
      </c>
      <c r="B9" s="13" t="s">
        <v>137</v>
      </c>
      <c r="C9" s="17" t="s">
        <v>138</v>
      </c>
      <c r="D9" s="18" t="s">
        <v>42</v>
      </c>
      <c r="E9" s="18" t="s">
        <v>43</v>
      </c>
      <c r="F9" s="13" t="s">
        <v>46</v>
      </c>
      <c r="G9" s="32">
        <f>'GHG detailed, absolute'!G9/Production!$B$31*AF_offal</f>
        <v>1.84587161258279E-4</v>
      </c>
      <c r="H9" s="33"/>
      <c r="I9" s="33"/>
      <c r="J9" s="33"/>
      <c r="K9" s="33"/>
      <c r="L9" s="33"/>
      <c r="M9" s="33"/>
      <c r="N9" s="33"/>
      <c r="O9" s="33"/>
      <c r="P9" s="33"/>
      <c r="Q9" s="33"/>
      <c r="R9" s="33"/>
      <c r="T9" s="47">
        <f>'GHG detailed, absolute'!T9/Production!$B$31*AF_offal</f>
        <v>1.84587161258279E-4</v>
      </c>
      <c r="U9" s="63">
        <f>'GHG detailed, absolute'!U9/Production!$B$31*AF_offal</f>
        <v>1.84587161258279E-4</v>
      </c>
      <c r="W9" s="4"/>
      <c r="X9" s="12"/>
    </row>
    <row r="10" spans="1:27" ht="15" customHeight="1" thickBot="1" x14ac:dyDescent="0.25">
      <c r="A10" s="13" t="s">
        <v>136</v>
      </c>
      <c r="B10" s="13" t="s">
        <v>137</v>
      </c>
      <c r="C10" s="17" t="s">
        <v>138</v>
      </c>
      <c r="D10" s="18" t="s">
        <v>42</v>
      </c>
      <c r="E10" s="18" t="s">
        <v>43</v>
      </c>
      <c r="F10" s="34" t="s">
        <v>47</v>
      </c>
      <c r="G10" s="32">
        <f>'GHG detailed, absolute'!G10/Production!$B$31*AF_offal</f>
        <v>1.760576609783923E-4</v>
      </c>
      <c r="H10" s="33">
        <f>'GHG detailed, absolute'!H10/Production!$B$31*AF_offal</f>
        <v>6.6932782379882067E-6</v>
      </c>
      <c r="I10" s="32">
        <f>'GHG detailed, absolute'!I10/Production!$B$31*AF_offal</f>
        <v>3.3674493070501514E-7</v>
      </c>
      <c r="J10" s="32">
        <f>'GHG detailed, absolute'!J10/Production!$B$31*AF_offal</f>
        <v>1.2945927038272685E-4</v>
      </c>
      <c r="K10" s="32">
        <f>'GHG detailed, absolute'!K10/Production!$B$31*AF_offal</f>
        <v>1.2945927038272685E-5</v>
      </c>
      <c r="L10" s="32">
        <f>'GHG detailed, absolute'!L10/Production!$B$31*AF_offal</f>
        <v>2.7212147365286354E-7</v>
      </c>
      <c r="M10" s="32"/>
      <c r="N10" s="32">
        <f>'GHG detailed, absolute'!N10/Production!$B$31*AF_offal</f>
        <v>3.4704271408506606E-9</v>
      </c>
      <c r="O10" s="32">
        <f>'GHG detailed, absolute'!O10/Production!$B$31*AF_offal</f>
        <v>4.6993630774450568E-7</v>
      </c>
      <c r="P10" s="32">
        <f>'GHG detailed, absolute'!P10/Production!$B$31*AF_offal</f>
        <v>0</v>
      </c>
      <c r="Q10" s="32">
        <f>'GHG detailed, absolute'!Q10/Production!$B$31*AF_offal</f>
        <v>1.3313432062728466E-6</v>
      </c>
      <c r="R10" s="32">
        <f>'GHG detailed, absolute'!R10/Production!$B$31*AF_offal</f>
        <v>8.9331462814394182E-7</v>
      </c>
      <c r="T10" s="47">
        <f>'GHG detailed, absolute'!T10/Production!$B$31*AF_offal</f>
        <v>2.1807821373262391E-5</v>
      </c>
      <c r="U10" s="9">
        <f>'GHG detailed, absolute'!U10/Production!$B$31*AF_offal</f>
        <v>8.0820595831680637E-6</v>
      </c>
      <c r="V10" s="63">
        <f>'GHG detailed, absolute'!V10/Production!$B$31*AF_offal</f>
        <v>1.3725761790094322E-5</v>
      </c>
      <c r="W10" s="4">
        <f>'GHG detailed, absolute'!W10/Production!$B$31*AF_offal</f>
        <v>9.1344032247796381E-7</v>
      </c>
      <c r="X10" s="12">
        <f>'GHG detailed, absolute'!X10/Production!$B$31*AF_offal</f>
        <v>9.3099265000418962E-7</v>
      </c>
      <c r="Z10" s="32"/>
      <c r="AA10" s="32"/>
    </row>
    <row r="11" spans="1:27" ht="15.5" customHeight="1" thickTop="1" thickBot="1" x14ac:dyDescent="0.25">
      <c r="A11" s="164" t="s">
        <v>136</v>
      </c>
      <c r="B11" s="164" t="s">
        <v>137</v>
      </c>
      <c r="C11" s="165" t="s">
        <v>138</v>
      </c>
      <c r="D11" s="166" t="s">
        <v>42</v>
      </c>
      <c r="E11" s="166" t="s">
        <v>43</v>
      </c>
      <c r="F11" s="167" t="s">
        <v>48</v>
      </c>
      <c r="G11" s="178">
        <f>'GHG detailed, absolute'!G11/Production!$B$31*AF_offal</f>
        <v>0.1898434628616803</v>
      </c>
      <c r="H11" s="168">
        <f>'GHG detailed, absolute'!H11/Production!$B$31*AF_offal</f>
        <v>1.0461005307952789E-2</v>
      </c>
      <c r="I11" s="168">
        <f>'GHG detailed, absolute'!I11/Production!$B$31*AF_offal</f>
        <v>9.2052595119530272E-3</v>
      </c>
      <c r="J11" s="168">
        <f>'GHG detailed, absolute'!J11/Production!$B$31*AF_offal</f>
        <v>3.5342380814484431E-2</v>
      </c>
      <c r="K11" s="168">
        <f>'GHG detailed, absolute'!K11/Production!$B$31*AF_offal</f>
        <v>3.5342380814484434E-3</v>
      </c>
      <c r="L11" s="168">
        <f>'GHG detailed, absolute'!L11/Production!$B$31*AF_offal</f>
        <v>1.0255556714657282E-2</v>
      </c>
      <c r="M11" s="168">
        <f>'GHG detailed, absolute'!M11/Production!$B$31*AF_offal</f>
        <v>0</v>
      </c>
      <c r="N11" s="168">
        <f>'GHG detailed, absolute'!N11/Production!$B$31*AF_offal</f>
        <v>5.3189201557470518E-5</v>
      </c>
      <c r="O11" s="168">
        <f>'GHG detailed, absolute'!O11/Production!$B$31*AF_offal</f>
        <v>1.2730430096856623E-2</v>
      </c>
      <c r="P11" s="168">
        <f>'GHG detailed, absolute'!P11/Production!$B$31*AF_offal</f>
        <v>3.1208082746556683E-2</v>
      </c>
      <c r="Q11" s="168">
        <f>'GHG detailed, absolute'!Q11/Production!$B$31*AF_offal</f>
        <v>4.3424705026937696E-3</v>
      </c>
      <c r="R11" s="168">
        <f>'GHG detailed, absolute'!R11/Production!$B$31*AF_offal</f>
        <v>2.5672278006641829E-2</v>
      </c>
      <c r="S11" s="168">
        <f>'GHG detailed, absolute'!S11/Production!$B$31*AF_offal</f>
        <v>0</v>
      </c>
      <c r="T11" s="168">
        <f>'GHG detailed, absolute'!T11/Production!$B$31*AF_offal</f>
        <v>1.0937388588874164E-2</v>
      </c>
      <c r="U11" s="169"/>
      <c r="V11" s="169"/>
      <c r="W11" s="168">
        <f>'GHG detailed, absolute'!W11/Production!$B$31*AF_offal</f>
        <v>1.3195776012082633E-2</v>
      </c>
      <c r="X11" s="168">
        <f>'GHG detailed, absolute'!X11/Production!$B$31*AF_offal</f>
        <v>2.2905407275921205E-2</v>
      </c>
      <c r="Z11" s="113">
        <f>'GHG detailed, absolute'!Z11/Production!$B$31*AF_offal</f>
        <v>0.14280489098480234</v>
      </c>
      <c r="AA11" s="200">
        <f>'GHG detailed, absolute'!AA11/Production!$B$31*AF_offal</f>
        <v>3.8276184452061789E-2</v>
      </c>
    </row>
    <row r="12" spans="1:27" ht="15" customHeight="1" thickTop="1" x14ac:dyDescent="0.2">
      <c r="A12" s="13" t="s">
        <v>136</v>
      </c>
      <c r="B12" s="13" t="s">
        <v>137</v>
      </c>
      <c r="C12" s="17" t="s">
        <v>138</v>
      </c>
      <c r="D12" s="18" t="s">
        <v>49</v>
      </c>
      <c r="E12" s="18" t="s">
        <v>50</v>
      </c>
      <c r="F12" s="35" t="s">
        <v>44</v>
      </c>
      <c r="G12" s="20">
        <f>'GHG detailed, absolute'!G12/Production!$C$31*AF_offal</f>
        <v>7.6853226753341414E-2</v>
      </c>
      <c r="H12" s="173">
        <f>'GHG detailed, absolute'!H12/Production!$C$31*AF_offal</f>
        <v>9.9138399966267922E-3</v>
      </c>
      <c r="I12" s="173">
        <f>'GHG detailed, absolute'!I12/Production!$C$31*AF_offal</f>
        <v>7.2597768164508044E-3</v>
      </c>
      <c r="J12" s="173">
        <f>'GHG detailed, absolute'!J12/Production!$C$31*AF_offal</f>
        <v>0</v>
      </c>
      <c r="K12" s="173"/>
      <c r="L12" s="173">
        <f>'GHG detailed, absolute'!L12/Production!$C$31*AF_offal</f>
        <v>8.3943954087661189E-3</v>
      </c>
      <c r="M12" s="173"/>
      <c r="N12" s="173">
        <f>'GHG detailed, absolute'!N12/Production!$C$31*AF_offal</f>
        <v>2.6460256363316478E-4</v>
      </c>
      <c r="O12" s="173">
        <f>'GHG detailed, absolute'!O12/Production!$C$31*AF_offal</f>
        <v>1.0089242411522566E-2</v>
      </c>
      <c r="P12" s="173">
        <f>'GHG detailed, absolute'!P12/Production!$C$31*AF_offal</f>
        <v>9.4674301919429101E-3</v>
      </c>
      <c r="Q12" s="173">
        <f>'GHG detailed, absolute'!Q12/Production!$C$31*AF_offal</f>
        <v>4.2025423959309019E-3</v>
      </c>
      <c r="R12" s="173">
        <f>'GHG detailed, absolute'!R12/Production!$C$31*AF_offal</f>
        <v>8.9729531009103743E-3</v>
      </c>
      <c r="S12" s="154"/>
      <c r="T12" s="154"/>
      <c r="U12" s="174"/>
      <c r="V12" s="174"/>
      <c r="W12" s="175">
        <f>'GHG detailed, absolute'!W12/Production!$C$31*AF_offal</f>
        <v>8.6643392283295047E-3</v>
      </c>
      <c r="X12" s="176">
        <f>'GHG detailed, absolute'!X12/Production!$C$31*AF_offal</f>
        <v>9.6241046392282759E-3</v>
      </c>
      <c r="Z12" s="20"/>
      <c r="AA12" s="20"/>
    </row>
    <row r="13" spans="1:27" x14ac:dyDescent="0.2">
      <c r="A13" s="13" t="s">
        <v>136</v>
      </c>
      <c r="B13" s="13" t="s">
        <v>137</v>
      </c>
      <c r="C13" s="17" t="s">
        <v>138</v>
      </c>
      <c r="D13" s="18" t="s">
        <v>49</v>
      </c>
      <c r="E13" s="18" t="s">
        <v>50</v>
      </c>
      <c r="F13" s="13" t="s">
        <v>45</v>
      </c>
      <c r="G13" s="32">
        <f>'GHG detailed, absolute'!G13/Production!$C$31*AF_offal</f>
        <v>1.0956938016754242E-4</v>
      </c>
      <c r="H13" s="33">
        <f>'GHG detailed, absolute'!H13/Production!$C$31*AF_offal</f>
        <v>5.9730471874012789E-6</v>
      </c>
      <c r="I13" s="33">
        <f>'GHG detailed, absolute'!I13/Production!$C$31*AF_offal</f>
        <v>2.5543659168993575E-5</v>
      </c>
      <c r="J13" s="33"/>
      <c r="K13" s="33"/>
      <c r="L13" s="33">
        <f>'GHG detailed, absolute'!L13/Production!$C$31*AF_offal</f>
        <v>3.7184341095469438E-6</v>
      </c>
      <c r="M13" s="33"/>
      <c r="N13" s="33">
        <f>'GHG detailed, absolute'!N13/Production!$C$31*AF_offal</f>
        <v>7.8627303944312372E-7</v>
      </c>
      <c r="O13" s="33">
        <f>'GHG detailed, absolute'!O13/Production!$C$31*AF_offal</f>
        <v>5.5209752994295207E-6</v>
      </c>
      <c r="P13" s="33">
        <f>'GHG detailed, absolute'!P13/Production!$C$31*AF_offal</f>
        <v>0</v>
      </c>
      <c r="Q13" s="33">
        <f>'GHG detailed, absolute'!Q13/Production!$C$31*AF_offal</f>
        <v>1.2663236094362172E-5</v>
      </c>
      <c r="R13" s="33">
        <f>'GHG detailed, absolute'!R13/Production!$C$31*AF_offal</f>
        <v>8.6095560206148077E-6</v>
      </c>
      <c r="W13" s="4">
        <f>'GHG detailed, absolute'!W13/Production!$C$31*AF_offal</f>
        <v>7.115668835712071E-6</v>
      </c>
      <c r="X13" s="12">
        <f>'GHG detailed, absolute'!X13/Production!$C$31*AF_offal</f>
        <v>3.9638530412038939E-5</v>
      </c>
      <c r="Z13" s="32"/>
      <c r="AA13" s="32"/>
    </row>
    <row r="14" spans="1:27" x14ac:dyDescent="0.2">
      <c r="A14" s="13" t="s">
        <v>136</v>
      </c>
      <c r="B14" s="13" t="s">
        <v>137</v>
      </c>
      <c r="C14" s="17" t="s">
        <v>138</v>
      </c>
      <c r="D14" s="18" t="s">
        <v>49</v>
      </c>
      <c r="E14" s="18" t="s">
        <v>50</v>
      </c>
      <c r="F14" s="13" t="s">
        <v>46</v>
      </c>
      <c r="G14" s="32">
        <f>'GHG detailed, absolute'!G14/Production!$C$31*AF_offal</f>
        <v>2.0381216241683732E-4</v>
      </c>
      <c r="H14" s="33"/>
      <c r="I14" s="33"/>
      <c r="J14" s="33"/>
      <c r="K14" s="33"/>
      <c r="L14" s="33"/>
      <c r="M14" s="33"/>
      <c r="N14" s="33"/>
      <c r="O14" s="33"/>
      <c r="P14" s="33"/>
      <c r="Q14" s="33"/>
      <c r="R14" s="33"/>
      <c r="T14" s="47">
        <f>'GHG detailed, absolute'!T14/Production!$C$31*AF_offal</f>
        <v>2.0381216241683732E-4</v>
      </c>
      <c r="U14" s="63">
        <f>'GHG detailed, absolute'!U14/Production!$C$31*AF_offal</f>
        <v>2.0381216241683732E-4</v>
      </c>
      <c r="W14" s="4"/>
      <c r="X14" s="12"/>
    </row>
    <row r="15" spans="1:27" ht="15" customHeight="1" thickBot="1" x14ac:dyDescent="0.25">
      <c r="A15" s="13" t="s">
        <v>136</v>
      </c>
      <c r="B15" s="13" t="s">
        <v>137</v>
      </c>
      <c r="C15" s="17" t="s">
        <v>138</v>
      </c>
      <c r="D15" s="18" t="s">
        <v>49</v>
      </c>
      <c r="E15" s="18" t="s">
        <v>50</v>
      </c>
      <c r="F15" s="34" t="s">
        <v>47</v>
      </c>
      <c r="G15" s="32">
        <f>'GHG detailed, absolute'!G15/Production!$C$31*AF_offal</f>
        <v>1.6782281019975823E-4</v>
      </c>
      <c r="H15" s="33">
        <f>'GHG detailed, absolute'!H15/Production!$C$31*AF_offal</f>
        <v>8.6433687819503018E-6</v>
      </c>
      <c r="I15" s="32">
        <f>'GHG detailed, absolute'!I15/Production!$C$31*AF_offal</f>
        <v>2.9576868511466238E-7</v>
      </c>
      <c r="J15" s="32">
        <f>'GHG detailed, absolute'!J15/Production!$C$31*AF_offal</f>
        <v>1.2330201685676541E-4</v>
      </c>
      <c r="K15" s="32">
        <f>'GHG detailed, absolute'!K15/Production!$C$31*AF_offal</f>
        <v>1.2330201685676541E-5</v>
      </c>
      <c r="L15" s="32">
        <f>'GHG detailed, absolute'!L15/Production!$C$31*AF_offal</f>
        <v>2.25560677474748E-7</v>
      </c>
      <c r="M15" s="32"/>
      <c r="N15" s="32">
        <f>'GHG detailed, absolute'!N15/Production!$C$31*AF_offal</f>
        <v>1.1352954207900344E-8</v>
      </c>
      <c r="O15" s="32">
        <f>'GHG detailed, absolute'!O15/Production!$C$31*AF_offal</f>
        <v>3.8103261260289785E-7</v>
      </c>
      <c r="P15" s="32">
        <f>'GHG detailed, absolute'!P15/Production!$C$31*AF_offal</f>
        <v>0</v>
      </c>
      <c r="Q15" s="32">
        <f>'GHG detailed, absolute'!Q15/Production!$C$31*AF_offal</f>
        <v>7.2549038782260933E-7</v>
      </c>
      <c r="R15" s="32">
        <f>'GHG detailed, absolute'!R15/Production!$C$31*AF_offal</f>
        <v>3.1407695565733815E-7</v>
      </c>
      <c r="T15" s="47">
        <f>'GHG detailed, absolute'!T15/Production!$C$31*AF_offal</f>
        <v>2.0369915808251361E-5</v>
      </c>
      <c r="U15" s="9">
        <f>'GHG detailed, absolute'!U15/Production!$C$31*AF_offal</f>
        <v>7.5491664411856961E-6</v>
      </c>
      <c r="V15" s="63">
        <f>'GHG detailed, absolute'!V15/Production!$C$31*AF_offal</f>
        <v>1.2820749367065666E-5</v>
      </c>
      <c r="W15" s="4">
        <f>'GHG detailed, absolute'!W15/Production!$C$31*AF_offal</f>
        <v>7.4751017377230304E-7</v>
      </c>
      <c r="X15" s="12">
        <f>'GHG detailed, absolute'!X15/Production!$C$31*AF_offal</f>
        <v>4.7651462046218713E-7</v>
      </c>
      <c r="Z15" s="32"/>
      <c r="AA15" s="32"/>
    </row>
    <row r="16" spans="1:27" ht="15.5" customHeight="1" thickTop="1" thickBot="1" x14ac:dyDescent="0.25">
      <c r="A16" s="164" t="s">
        <v>136</v>
      </c>
      <c r="B16" s="164" t="s">
        <v>137</v>
      </c>
      <c r="C16" s="165" t="s">
        <v>138</v>
      </c>
      <c r="D16" s="36" t="s">
        <v>49</v>
      </c>
      <c r="E16" s="36" t="s">
        <v>50</v>
      </c>
      <c r="F16" s="177" t="s">
        <v>48</v>
      </c>
      <c r="G16" s="178">
        <f>'GHG detailed, absolute'!G16/Production!$C$31*AF_offal</f>
        <v>0.13143694985212279</v>
      </c>
      <c r="H16" s="168">
        <f>'GHG detailed, absolute'!H16/Production!$C$31*AF_offal</f>
        <v>1.2451476480283781E-2</v>
      </c>
      <c r="I16" s="168">
        <f>'GHG detailed, absolute'!I16/Production!$C$31*AF_offal</f>
        <v>8.1017227107231162E-3</v>
      </c>
      <c r="J16" s="168">
        <f>'GHG detailed, absolute'!J16/Production!$C$31*AF_offal</f>
        <v>3.3661450601896951E-2</v>
      </c>
      <c r="K16" s="168">
        <f>'GHG detailed, absolute'!K16/Production!$C$31*AF_offal</f>
        <v>3.3661450601896953E-3</v>
      </c>
      <c r="L16" s="168">
        <f>'GHG detailed, absolute'!L16/Production!$C$31*AF_offal</f>
        <v>8.5667828101812227E-3</v>
      </c>
      <c r="M16" s="168">
        <f>'GHG detailed, absolute'!M16/Production!$C$31*AF_offal</f>
        <v>0</v>
      </c>
      <c r="N16" s="168">
        <f>'GHG detailed, absolute'!N16/Production!$C$31*AF_offal</f>
        <v>2.911328567073266E-4</v>
      </c>
      <c r="O16" s="168">
        <f>'GHG detailed, absolute'!O16/Production!$C$31*AF_offal</f>
        <v>1.0357789378686156E-2</v>
      </c>
      <c r="P16" s="168">
        <f>'GHG detailed, absolute'!P16/Production!$C$31*AF_offal</f>
        <v>9.4674301919429101E-3</v>
      </c>
      <c r="Q16" s="168">
        <f>'GHG detailed, absolute'!Q16/Production!$C$31*AF_offal</f>
        <v>4.777965707418467E-3</v>
      </c>
      <c r="R16" s="168">
        <f>'GHG detailed, absolute'!R16/Production!$C$31*AF_offal</f>
        <v>9.3152608792191494E-3</v>
      </c>
      <c r="S16" s="168">
        <f>'GHG detailed, absolute'!S16/Production!$C$31*AF_offal</f>
        <v>0</v>
      </c>
      <c r="T16" s="168">
        <f>'GHG detailed, absolute'!T16/Production!$C$31*AF_offal</f>
        <v>1.106391540090723E-2</v>
      </c>
      <c r="U16" s="169"/>
      <c r="V16" s="169"/>
      <c r="W16" s="168">
        <f>'GHG detailed, absolute'!W16/Production!$C$31*AF_offal</f>
        <v>9.080456437073562E-3</v>
      </c>
      <c r="X16" s="168">
        <f>'GHG detailed, absolute'!X16/Production!$C$31*AF_offal</f>
        <v>1.0935421336893214E-2</v>
      </c>
      <c r="Z16" s="113">
        <f>'GHG detailed, absolute'!Z16/Production!$C$31*AF_offal</f>
        <v>0.10035715667724877</v>
      </c>
      <c r="AA16" s="200">
        <f>'GHG detailed, absolute'!AA16/Production!$C$31*AF_offal</f>
        <v>2.9288690573386438E-2</v>
      </c>
    </row>
    <row r="17" spans="1:27" ht="15" customHeight="1" thickTop="1" x14ac:dyDescent="0.2">
      <c r="A17" s="170" t="s">
        <v>136</v>
      </c>
      <c r="B17" s="170" t="s">
        <v>137</v>
      </c>
      <c r="C17" s="171" t="s">
        <v>138</v>
      </c>
      <c r="D17" s="155" t="s">
        <v>51</v>
      </c>
      <c r="E17" s="155" t="s">
        <v>52</v>
      </c>
      <c r="F17" s="172" t="s">
        <v>44</v>
      </c>
      <c r="G17" s="20">
        <f>'GHG detailed, absolute'!G17/Production!$D$31*AF_offal</f>
        <v>9.2125592758233385E-2</v>
      </c>
      <c r="H17" s="173">
        <f>'GHG detailed, absolute'!H17/Production!$D$31*AF_offal</f>
        <v>6.296526218392288E-3</v>
      </c>
      <c r="I17" s="173">
        <f>'GHG detailed, absolute'!I17/Production!$D$31*AF_offal</f>
        <v>7.665711999661839E-3</v>
      </c>
      <c r="J17" s="173">
        <f>'GHG detailed, absolute'!J17/Production!$D$31*AF_offal</f>
        <v>0</v>
      </c>
      <c r="K17" s="173"/>
      <c r="L17" s="173">
        <f>'GHG detailed, absolute'!L17/Production!$D$31*AF_offal</f>
        <v>8.0922633104187139E-3</v>
      </c>
      <c r="M17" s="173"/>
      <c r="N17" s="173">
        <f>'GHG detailed, absolute'!N17/Production!$D$31*AF_offal</f>
        <v>5.1830401814459794E-5</v>
      </c>
      <c r="O17" s="173">
        <f>'GHG detailed, absolute'!O17/Production!$D$31*AF_offal</f>
        <v>1.241471362053766E-2</v>
      </c>
      <c r="P17" s="173">
        <f>'GHG detailed, absolute'!P17/Production!$D$31*AF_offal</f>
        <v>9.6836134537880286E-3</v>
      </c>
      <c r="Q17" s="173">
        <f>'GHG detailed, absolute'!Q17/Production!$D$31*AF_offal</f>
        <v>4.5706224003498738E-3</v>
      </c>
      <c r="R17" s="173">
        <f>'GHG detailed, absolute'!R17/Production!$D$31*AF_offal</f>
        <v>9.0031861357326125E-3</v>
      </c>
      <c r="S17" s="154"/>
      <c r="T17" s="154"/>
      <c r="U17" s="174"/>
      <c r="V17" s="174"/>
      <c r="W17" s="175">
        <f>'GHG detailed, absolute'!W17/Production!$D$31*AF_offal</f>
        <v>1.309239571850564E-2</v>
      </c>
      <c r="X17" s="176">
        <f>'GHG detailed, absolute'!X17/Production!$D$31*AF_offal</f>
        <v>2.1254729499032274E-2</v>
      </c>
      <c r="Z17" s="20"/>
      <c r="AA17" s="20"/>
    </row>
    <row r="18" spans="1:27" x14ac:dyDescent="0.2">
      <c r="A18" s="13" t="s">
        <v>136</v>
      </c>
      <c r="B18" s="13" t="s">
        <v>137</v>
      </c>
      <c r="C18" s="17" t="s">
        <v>138</v>
      </c>
      <c r="D18" s="18" t="s">
        <v>51</v>
      </c>
      <c r="E18" s="18" t="s">
        <v>52</v>
      </c>
      <c r="F18" s="13" t="s">
        <v>45</v>
      </c>
      <c r="G18" s="32">
        <f>'GHG detailed, absolute'!G18/Production!$D$31*AF_offal</f>
        <v>1.3742733890544816E-4</v>
      </c>
      <c r="H18" s="33">
        <f>'GHG detailed, absolute'!H18/Production!$D$31*AF_offal</f>
        <v>5.5476418720299548E-6</v>
      </c>
      <c r="I18" s="33">
        <f>'GHG detailed, absolute'!I18/Production!$D$31*AF_offal</f>
        <v>2.6971949628439808E-5</v>
      </c>
      <c r="J18" s="33"/>
      <c r="K18" s="33"/>
      <c r="L18" s="33">
        <f>'GHG detailed, absolute'!L18/Production!$D$31*AF_offal</f>
        <v>3.5845997777842711E-6</v>
      </c>
      <c r="M18" s="33"/>
      <c r="N18" s="33">
        <f>'GHG detailed, absolute'!N18/Production!$D$31*AF_offal</f>
        <v>1.5743035722752462E-7</v>
      </c>
      <c r="O18" s="33">
        <f>'GHG detailed, absolute'!O18/Production!$D$31*AF_offal</f>
        <v>8.7896174949153993E-6</v>
      </c>
      <c r="P18" s="33">
        <f>'GHG detailed, absolute'!P18/Production!$D$31*AF_offal</f>
        <v>0</v>
      </c>
      <c r="Q18" s="33">
        <f>'GHG detailed, absolute'!Q18/Production!$D$31*AF_offal</f>
        <v>1.0606271729392966E-5</v>
      </c>
      <c r="R18" s="33">
        <f>'GHG detailed, absolute'!R18/Production!$D$31*AF_offal</f>
        <v>8.5879633591792342E-6</v>
      </c>
      <c r="W18" s="4">
        <f>'GHG detailed, absolute'!W18/Production!$D$31*AF_offal</f>
        <v>1.4539558520665546E-5</v>
      </c>
      <c r="X18" s="12">
        <f>'GHG detailed, absolute'!X18/Production!$D$31*AF_offal</f>
        <v>5.8642306165813458E-5</v>
      </c>
      <c r="Z18" s="32"/>
      <c r="AA18" s="32"/>
    </row>
    <row r="19" spans="1:27" x14ac:dyDescent="0.2">
      <c r="A19" s="13" t="s">
        <v>136</v>
      </c>
      <c r="B19" s="13" t="s">
        <v>137</v>
      </c>
      <c r="C19" s="17" t="s">
        <v>138</v>
      </c>
      <c r="D19" s="18" t="s">
        <v>51</v>
      </c>
      <c r="E19" s="18" t="s">
        <v>52</v>
      </c>
      <c r="F19" s="13" t="s">
        <v>46</v>
      </c>
      <c r="G19" s="32">
        <f>'GHG detailed, absolute'!G19/Production!$D$31*AF_offal</f>
        <v>2.9981797556482989E-4</v>
      </c>
      <c r="H19" s="33"/>
      <c r="I19" s="33"/>
      <c r="J19" s="33"/>
      <c r="K19" s="33"/>
      <c r="L19" s="33"/>
      <c r="M19" s="33"/>
      <c r="N19" s="33"/>
      <c r="O19" s="33"/>
      <c r="P19" s="33"/>
      <c r="Q19" s="33"/>
      <c r="R19" s="33"/>
      <c r="T19" s="47">
        <f>'GHG detailed, absolute'!T19/Production!$D$31*AF_offal</f>
        <v>2.9981797556482989E-4</v>
      </c>
      <c r="U19" s="63">
        <f>'GHG detailed, absolute'!U19/Production!$D$31*AF_offal</f>
        <v>2.9981797556482989E-4</v>
      </c>
      <c r="W19" s="4"/>
      <c r="X19" s="12"/>
    </row>
    <row r="20" spans="1:27" ht="15" customHeight="1" thickBot="1" x14ac:dyDescent="0.25">
      <c r="A20" s="13" t="s">
        <v>136</v>
      </c>
      <c r="B20" s="13" t="s">
        <v>137</v>
      </c>
      <c r="C20" s="17" t="s">
        <v>138</v>
      </c>
      <c r="D20" s="18" t="s">
        <v>51</v>
      </c>
      <c r="E20" s="18" t="s">
        <v>52</v>
      </c>
      <c r="F20" s="34" t="s">
        <v>47</v>
      </c>
      <c r="G20" s="32">
        <f>'GHG detailed, absolute'!G20/Production!$D$31*AF_offal</f>
        <v>1.6700197801086374E-4</v>
      </c>
      <c r="H20" s="33">
        <f>'GHG detailed, absolute'!H20/Production!$D$31*AF_offal</f>
        <v>7.261270278495495E-6</v>
      </c>
      <c r="I20" s="32">
        <f>'GHG detailed, absolute'!I20/Production!$D$31*AF_offal</f>
        <v>3.123067851714084E-7</v>
      </c>
      <c r="J20" s="32">
        <f>'GHG detailed, absolute'!J20/Production!$D$31*AF_offal</f>
        <v>1.1458096742045846E-4</v>
      </c>
      <c r="K20" s="32">
        <f>'GHG detailed, absolute'!K20/Production!$D$31*AF_offal</f>
        <v>1.1458096742045846E-5</v>
      </c>
      <c r="L20" s="32">
        <f>'GHG detailed, absolute'!L20/Production!$D$31*AF_offal</f>
        <v>2.1744227019565587E-7</v>
      </c>
      <c r="M20" s="32"/>
      <c r="N20" s="32">
        <f>'GHG detailed, absolute'!N20/Production!$D$31*AF_offal</f>
        <v>2.207832719448086E-9</v>
      </c>
      <c r="O20" s="32">
        <f>'GHG detailed, absolute'!O20/Production!$D$31*AF_offal</f>
        <v>4.6149641141653708E-7</v>
      </c>
      <c r="P20" s="32">
        <f>'GHG detailed, absolute'!P20/Production!$D$31*AF_offal</f>
        <v>0</v>
      </c>
      <c r="Q20" s="32">
        <f>'GHG detailed, absolute'!Q20/Production!$D$31*AF_offal</f>
        <v>6.2622541901312003E-7</v>
      </c>
      <c r="R20" s="32">
        <f>'GHG detailed, absolute'!R20/Production!$D$31*AF_offal</f>
        <v>3.1402461086633524E-7</v>
      </c>
      <c r="T20" s="47">
        <f>'GHG detailed, absolute'!T20/Production!$D$31*AF_offal</f>
        <v>3.0017896900589894E-5</v>
      </c>
      <c r="U20" s="9">
        <f>'GHG detailed, absolute'!U20/Production!$D$31*AF_offal</f>
        <v>1.1124744061294109E-5</v>
      </c>
      <c r="V20" s="63">
        <f>'GHG detailed, absolute'!V20/Production!$D$31*AF_offal</f>
        <v>1.8893152839295785E-5</v>
      </c>
      <c r="W20" s="4">
        <f>'GHG detailed, absolute'!W20/Production!$D$31*AF_offal</f>
        <v>8.8466100546145018E-7</v>
      </c>
      <c r="X20" s="12">
        <f>'GHG detailed, absolute'!X20/Production!$D$31*AF_offal</f>
        <v>8.653823344300979E-7</v>
      </c>
      <c r="Z20" s="32"/>
      <c r="AA20" s="32"/>
    </row>
    <row r="21" spans="1:27" ht="15.5" customHeight="1" thickTop="1" thickBot="1" x14ac:dyDescent="0.25">
      <c r="A21" s="164" t="s">
        <v>136</v>
      </c>
      <c r="B21" s="164" t="s">
        <v>137</v>
      </c>
      <c r="C21" s="165" t="s">
        <v>138</v>
      </c>
      <c r="D21" s="166" t="s">
        <v>51</v>
      </c>
      <c r="E21" s="166" t="s">
        <v>52</v>
      </c>
      <c r="F21" s="167" t="s">
        <v>48</v>
      </c>
      <c r="G21" s="178">
        <f>'GHG detailed, absolute'!G21/Production!$D$31*AF_offal</f>
        <v>0.14990755279483195</v>
      </c>
      <c r="H21" s="168">
        <f>'GHG detailed, absolute'!H21/Production!$D$31*AF_offal</f>
        <v>8.4441727322080492E-3</v>
      </c>
      <c r="I21" s="168">
        <f>'GHG detailed, absolute'!I21/Production!$D$31*AF_offal</f>
        <v>8.5547358509411413E-3</v>
      </c>
      <c r="J21" s="168">
        <f>'GHG detailed, absolute'!J21/Production!$D$31*AF_offal</f>
        <v>3.1280604105785155E-2</v>
      </c>
      <c r="K21" s="168">
        <f>'GHG detailed, absolute'!K21/Production!$D$31*AF_offal</f>
        <v>3.1280604105785154E-3</v>
      </c>
      <c r="L21" s="168">
        <f>'GHG detailed, absolute'!L21/Production!$D$31*AF_offal</f>
        <v>8.2584461235601005E-3</v>
      </c>
      <c r="M21" s="168">
        <f>'GHG detailed, absolute'!M21/Production!$D$31*AF_offal</f>
        <v>0</v>
      </c>
      <c r="N21" s="168">
        <f>'GHG detailed, absolute'!N21/Production!$D$31*AF_offal</f>
        <v>5.712456479224935E-5</v>
      </c>
      <c r="O21" s="168">
        <f>'GHG detailed, absolute'!O21/Production!$D$31*AF_offal</f>
        <v>1.2802632742202856E-2</v>
      </c>
      <c r="P21" s="168">
        <f>'GHG detailed, absolute'!P21/Production!$D$31*AF_offal</f>
        <v>9.6836134537880286E-3</v>
      </c>
      <c r="Q21" s="168">
        <f>'GHG detailed, absolute'!Q21/Production!$D$31*AF_offal</f>
        <v>5.057648837276366E-3</v>
      </c>
      <c r="R21" s="168">
        <f>'GHG detailed, absolute'!R21/Production!$D$31*AF_offal</f>
        <v>9.3448361626026644E-3</v>
      </c>
      <c r="S21" s="168">
        <f>'GHG detailed, absolute'!S21/Production!$D$31*AF_offal</f>
        <v>0</v>
      </c>
      <c r="T21" s="168">
        <f>'GHG detailed, absolute'!T21/Production!$D$31*AF_offal</f>
        <v>1.6289971194111446E-2</v>
      </c>
      <c r="U21" s="169"/>
      <c r="V21" s="169"/>
      <c r="W21" s="168">
        <f>'GHG detailed, absolute'!W21/Production!$D$31*AF_offal</f>
        <v>1.3767187016912451E-2</v>
      </c>
      <c r="X21" s="168">
        <f>'GHG detailed, absolute'!X21/Production!$D$31*AF_offal</f>
        <v>2.3238519600072935E-2</v>
      </c>
      <c r="Z21" s="113">
        <f>'GHG detailed, absolute'!Z21/Production!$D$31*AF_offal</f>
        <v>9.6611874983735108E-2</v>
      </c>
      <c r="AA21" s="200">
        <f>'GHG detailed, absolute'!AA21/Production!$D$31*AF_offal</f>
        <v>3.0656708532817094E-2</v>
      </c>
    </row>
    <row r="22" spans="1:27" ht="15" customHeight="1" thickTop="1" x14ac:dyDescent="0.2">
      <c r="A22" s="13" t="s">
        <v>136</v>
      </c>
      <c r="B22" s="13" t="s">
        <v>137</v>
      </c>
      <c r="C22" s="17" t="s">
        <v>138</v>
      </c>
      <c r="D22" s="18" t="s">
        <v>53</v>
      </c>
      <c r="E22" s="18" t="s">
        <v>54</v>
      </c>
      <c r="F22" s="35" t="s">
        <v>44</v>
      </c>
      <c r="G22" s="20">
        <f>'GHG detailed, absolute'!G22/Production!$E$31*AF_offal</f>
        <v>0.14667304944131301</v>
      </c>
      <c r="H22" s="173">
        <f>'GHG detailed, absolute'!H22/Production!$E$31*AF_offal</f>
        <v>7.382108387019015E-3</v>
      </c>
      <c r="I22" s="173">
        <f>'GHG detailed, absolute'!I22/Production!$E$31*AF_offal</f>
        <v>6.7463331993014956E-3</v>
      </c>
      <c r="J22" s="173">
        <f>'GHG detailed, absolute'!J22/Production!$E$31*AF_offal</f>
        <v>0</v>
      </c>
      <c r="K22" s="173"/>
      <c r="L22" s="173">
        <f>'GHG detailed, absolute'!L22/Production!$E$31*AF_offal</f>
        <v>1.1850733911466236E-2</v>
      </c>
      <c r="M22" s="173"/>
      <c r="N22" s="173">
        <f>'GHG detailed, absolute'!N22/Production!$E$31*AF_offal</f>
        <v>1.7947077585809194E-3</v>
      </c>
      <c r="O22" s="173">
        <f>'GHG detailed, absolute'!O22/Production!$E$31*AF_offal</f>
        <v>1.1135786327730247E-2</v>
      </c>
      <c r="P22" s="173">
        <f>'GHG detailed, absolute'!P22/Production!$E$31*AF_offal</f>
        <v>2.1015970835473373E-2</v>
      </c>
      <c r="Q22" s="173">
        <f>'GHG detailed, absolute'!Q22/Production!$E$31*AF_offal</f>
        <v>2.9953045001140852E-2</v>
      </c>
      <c r="R22" s="173">
        <f>'GHG detailed, absolute'!R22/Production!$E$31*AF_offal</f>
        <v>1.6646600316904431E-2</v>
      </c>
      <c r="S22" s="154"/>
      <c r="T22" s="154"/>
      <c r="U22" s="174"/>
      <c r="V22" s="174"/>
      <c r="W22" s="175">
        <f>'GHG detailed, absolute'!W22/Production!$E$31*AF_offal</f>
        <v>1.3427119120730075E-2</v>
      </c>
      <c r="X22" s="176">
        <f>'GHG detailed, absolute'!X22/Production!$E$31*AF_offal</f>
        <v>2.6720644582966385E-2</v>
      </c>
      <c r="Z22" s="20"/>
      <c r="AA22" s="20"/>
    </row>
    <row r="23" spans="1:27" x14ac:dyDescent="0.2">
      <c r="A23" s="13" t="s">
        <v>136</v>
      </c>
      <c r="B23" s="13" t="s">
        <v>137</v>
      </c>
      <c r="C23" s="17" t="s">
        <v>138</v>
      </c>
      <c r="D23" s="18" t="s">
        <v>53</v>
      </c>
      <c r="E23" s="18" t="s">
        <v>54</v>
      </c>
      <c r="F23" s="13" t="s">
        <v>45</v>
      </c>
      <c r="G23" s="32">
        <f>'GHG detailed, absolute'!G23/Production!$E$31*AF_offal</f>
        <v>2.1540329184652177E-4</v>
      </c>
      <c r="H23" s="33">
        <f>'GHG detailed, absolute'!H23/Production!$E$31*AF_offal</f>
        <v>1.8257833835126029E-6</v>
      </c>
      <c r="I23" s="33">
        <f>'GHG detailed, absolute'!I23/Production!$E$31*AF_offal</f>
        <v>2.3737098293838604E-5</v>
      </c>
      <c r="J23" s="33"/>
      <c r="K23" s="33"/>
      <c r="L23" s="33">
        <f>'GHG detailed, absolute'!L23/Production!$E$31*AF_offal</f>
        <v>5.2494755195285792E-6</v>
      </c>
      <c r="M23" s="33"/>
      <c r="N23" s="33">
        <f>'GHG detailed, absolute'!N23/Production!$E$31*AF_offal</f>
        <v>5.3072056739859958E-6</v>
      </c>
      <c r="O23" s="33">
        <f>'GHG detailed, absolute'!O23/Production!$E$31*AF_offal</f>
        <v>9.0427370359037312E-6</v>
      </c>
      <c r="P23" s="33">
        <f>'GHG detailed, absolute'!P23/Production!$E$31*AF_offal</f>
        <v>0</v>
      </c>
      <c r="Q23" s="33">
        <f>'GHG detailed, absolute'!Q23/Production!$E$31*AF_offal</f>
        <v>6.2787399891039397E-5</v>
      </c>
      <c r="R23" s="33">
        <f>'GHG detailed, absolute'!R23/Production!$E$31*AF_offal</f>
        <v>1.9975145205962506E-5</v>
      </c>
      <c r="W23" s="4">
        <f>'GHG detailed, absolute'!W23/Production!$E$31*AF_offal</f>
        <v>1.6946285951920932E-5</v>
      </c>
      <c r="X23" s="12">
        <f>'GHG detailed, absolute'!X23/Production!$E$31*AF_offal</f>
        <v>7.0532160890829422E-5</v>
      </c>
      <c r="Z23" s="32"/>
      <c r="AA23" s="32"/>
    </row>
    <row r="24" spans="1:27" x14ac:dyDescent="0.2">
      <c r="A24" s="13" t="s">
        <v>136</v>
      </c>
      <c r="B24" s="13" t="s">
        <v>137</v>
      </c>
      <c r="C24" s="17" t="s">
        <v>138</v>
      </c>
      <c r="D24" s="18" t="s">
        <v>53</v>
      </c>
      <c r="E24" s="18" t="s">
        <v>54</v>
      </c>
      <c r="F24" s="13" t="s">
        <v>46</v>
      </c>
      <c r="G24" s="32">
        <f>'GHG detailed, absolute'!G24/Production!$E$31*AF_offal</f>
        <v>2.6688857174478445E-4</v>
      </c>
      <c r="H24" s="33"/>
      <c r="I24" s="33"/>
      <c r="J24" s="33"/>
      <c r="K24" s="33"/>
      <c r="L24" s="33"/>
      <c r="M24" s="33"/>
      <c r="N24" s="33"/>
      <c r="O24" s="33"/>
      <c r="P24" s="33"/>
      <c r="Q24" s="33"/>
      <c r="R24" s="33"/>
      <c r="T24" s="47">
        <f>'GHG detailed, absolute'!T24/Production!$E$31*AF_offal</f>
        <v>2.6688857174478445E-4</v>
      </c>
      <c r="U24" s="63">
        <f>'GHG detailed, absolute'!U24/Production!$E$31*AF_offal</f>
        <v>2.6688857174478445E-4</v>
      </c>
      <c r="W24" s="4"/>
      <c r="X24" s="12"/>
    </row>
    <row r="25" spans="1:27" ht="15" customHeight="1" thickBot="1" x14ac:dyDescent="0.25">
      <c r="A25" s="13" t="s">
        <v>136</v>
      </c>
      <c r="B25" s="13" t="s">
        <v>137</v>
      </c>
      <c r="C25" s="17" t="s">
        <v>138</v>
      </c>
      <c r="D25" s="18" t="s">
        <v>53</v>
      </c>
      <c r="E25" s="18" t="s">
        <v>54</v>
      </c>
      <c r="F25" s="34" t="s">
        <v>47</v>
      </c>
      <c r="G25" s="32">
        <f>'GHG detailed, absolute'!G25/Production!$E$31*AF_offal</f>
        <v>1.5248296991301054E-4</v>
      </c>
      <c r="H25" s="33">
        <f>'GHG detailed, absolute'!H25/Production!$E$31*AF_offal</f>
        <v>2.5991209284966988E-6</v>
      </c>
      <c r="I25" s="32">
        <f>'GHG detailed, absolute'!I25/Production!$E$31*AF_offal</f>
        <v>2.7485061182339421E-7</v>
      </c>
      <c r="J25" s="32">
        <f>'GHG detailed, absolute'!J25/Production!$E$31*AF_offal</f>
        <v>1.1083397336336036E-4</v>
      </c>
      <c r="K25" s="32">
        <f>'GHG detailed, absolute'!K25/Production!$E$31*AF_offal</f>
        <v>1.1083397336336036E-5</v>
      </c>
      <c r="L25" s="32">
        <f>'GHG detailed, absolute'!L25/Production!$E$31*AF_offal</f>
        <v>3.1843384061368705E-7</v>
      </c>
      <c r="M25" s="32"/>
      <c r="N25" s="32">
        <f>'GHG detailed, absolute'!N25/Production!$E$31*AF_offal</f>
        <v>7.7123997312818332E-8</v>
      </c>
      <c r="O25" s="32">
        <f>'GHG detailed, absolute'!O25/Production!$E$31*AF_offal</f>
        <v>3.9444113554187632E-7</v>
      </c>
      <c r="P25" s="32">
        <f>'GHG detailed, absolute'!P25/Production!$E$31*AF_offal</f>
        <v>0</v>
      </c>
      <c r="Q25" s="32">
        <f>'GHG detailed, absolute'!Q25/Production!$E$31*AF_offal</f>
        <v>1.7760867641155415E-6</v>
      </c>
      <c r="R25" s="32">
        <f>'GHG detailed, absolute'!R25/Production!$E$31*AF_offal</f>
        <v>6.3693909647398538E-7</v>
      </c>
      <c r="T25" s="47">
        <f>'GHG detailed, absolute'!T25/Production!$E$31*AF_offal</f>
        <v>2.279218136419529E-5</v>
      </c>
      <c r="U25" s="9">
        <f>'GHG detailed, absolute'!U25/Production!$E$31*AF_offal</f>
        <v>8.4468670511786286E-6</v>
      </c>
      <c r="V25" s="63">
        <f>'GHG detailed, absolute'!V25/Production!$E$31*AF_offal</f>
        <v>1.4345314313016661E-5</v>
      </c>
      <c r="W25" s="4">
        <f>'GHG detailed, absolute'!W25/Production!$E$31*AF_offal</f>
        <v>7.9178224132653008E-7</v>
      </c>
      <c r="X25" s="12">
        <f>'GHG detailed, absolute'!X25/Production!$E$31*AF_offal</f>
        <v>9.0463923341432649E-7</v>
      </c>
      <c r="Z25" s="32"/>
      <c r="AA25" s="32"/>
    </row>
    <row r="26" spans="1:27" ht="15.5" customHeight="1" thickTop="1" thickBot="1" x14ac:dyDescent="0.25">
      <c r="A26" s="164" t="s">
        <v>136</v>
      </c>
      <c r="B26" s="164" t="s">
        <v>137</v>
      </c>
      <c r="C26" s="165" t="s">
        <v>138</v>
      </c>
      <c r="D26" s="36" t="s">
        <v>53</v>
      </c>
      <c r="E26" s="36" t="s">
        <v>54</v>
      </c>
      <c r="F26" s="167" t="s">
        <v>48</v>
      </c>
      <c r="G26" s="178">
        <f>'GHG detailed, absolute'!G26/Production!$E$31*AF_offal</f>
        <v>0.20192590976170049</v>
      </c>
      <c r="H26" s="168">
        <f>'GHG detailed, absolute'!H26/Production!$E$31*AF_offal</f>
        <v>8.1460767453272881E-3</v>
      </c>
      <c r="I26" s="168">
        <f>'GHG detailed, absolute'!I26/Production!$E$31*AF_offal</f>
        <v>7.528732945485673E-3</v>
      </c>
      <c r="J26" s="168">
        <f>'GHG detailed, absolute'!J26/Production!$E$31*AF_offal</f>
        <v>3.0257674728197376E-2</v>
      </c>
      <c r="K26" s="168">
        <f>'GHG detailed, absolute'!K26/Production!$E$31*AF_offal</f>
        <v>3.0257674728197373E-3</v>
      </c>
      <c r="L26" s="168">
        <f>'GHG detailed, absolute'!L26/Production!$E$31*AF_offal</f>
        <v>1.2094100720435725E-2</v>
      </c>
      <c r="M26" s="168">
        <f>'GHG detailed, absolute'!M26/Production!$E$31*AF_offal</f>
        <v>0</v>
      </c>
      <c r="N26" s="168">
        <f>'GHG detailed, absolute'!N26/Production!$E$31*AF_offal</f>
        <v>1.9739173389321015E-3</v>
      </c>
      <c r="O26" s="168">
        <f>'GHG detailed, absolute'!O26/Production!$E$31*AF_offal</f>
        <v>1.1512942321403109E-2</v>
      </c>
      <c r="P26" s="168">
        <f>'GHG detailed, absolute'!P26/Production!$E$31*AF_offal</f>
        <v>2.1015970835473373E-2</v>
      </c>
      <c r="Q26" s="168">
        <f>'GHG detailed, absolute'!Q26/Production!$E$31*AF_offal</f>
        <v>3.2308981204497371E-2</v>
      </c>
      <c r="R26" s="168">
        <f>'GHG detailed, absolute'!R26/Production!$E$31*AF_offal</f>
        <v>1.7415744017379515E-2</v>
      </c>
      <c r="S26" s="168">
        <f>'GHG detailed, absolute'!S26/Production!$E$31*AF_offal</f>
        <v>0</v>
      </c>
      <c r="T26" s="168">
        <f>'GHG detailed, absolute'!T26/Production!$E$31*AF_offal</f>
        <v>1.3428256949534496E-2</v>
      </c>
      <c r="U26" s="169"/>
      <c r="V26" s="169"/>
      <c r="W26" s="168">
        <f>'GHG detailed, absolute'!W26/Production!$E$31*AF_offal</f>
        <v>1.4148274993979462E-2</v>
      </c>
      <c r="X26" s="168">
        <f>'GHG detailed, absolute'!X26/Production!$E$31*AF_offal</f>
        <v>2.906946948823521E-2</v>
      </c>
      <c r="Z26" s="113">
        <f>'GHG detailed, absolute'!Z26/Production!$E$31*AF_offal</f>
        <v>0.1452799083299513</v>
      </c>
      <c r="AA26" s="200">
        <f>'GHG detailed, absolute'!AA26/Production!$E$31*AF_offal</f>
        <v>4.1007885485207292E-2</v>
      </c>
    </row>
    <row r="27" spans="1:27" ht="15" customHeight="1" thickTop="1" x14ac:dyDescent="0.2">
      <c r="A27" s="170" t="s">
        <v>136</v>
      </c>
      <c r="B27" s="170" t="s">
        <v>137</v>
      </c>
      <c r="C27" s="171" t="s">
        <v>138</v>
      </c>
      <c r="D27" s="155" t="s">
        <v>55</v>
      </c>
      <c r="E27" s="155" t="s">
        <v>56</v>
      </c>
      <c r="F27" s="172" t="s">
        <v>44</v>
      </c>
      <c r="G27" s="20">
        <f>'GHG detailed, absolute'!G27/Production!$F$31*AF_offal</f>
        <v>0.10018073740025754</v>
      </c>
      <c r="H27" s="173">
        <f>'GHG detailed, absolute'!H27/Production!$F$31*AF_offal</f>
        <v>8.5612062947506319E-3</v>
      </c>
      <c r="I27" s="173">
        <f>'GHG detailed, absolute'!I27/Production!$F$31*AF_offal</f>
        <v>7.3347689531902171E-3</v>
      </c>
      <c r="J27" s="173">
        <f>'GHG detailed, absolute'!J27/Production!$F$31*AF_offal</f>
        <v>0</v>
      </c>
      <c r="K27" s="173"/>
      <c r="L27" s="173">
        <f>'GHG detailed, absolute'!L27/Production!$F$31*AF_offal</f>
        <v>9.4547589780804315E-3</v>
      </c>
      <c r="M27" s="173"/>
      <c r="N27" s="173">
        <f>'GHG detailed, absolute'!N27/Production!$F$31*AF_offal</f>
        <v>1.7148736832574399E-4</v>
      </c>
      <c r="O27" s="173">
        <f>'GHG detailed, absolute'!O27/Production!$F$31*AF_offal</f>
        <v>1.1302483198436721E-2</v>
      </c>
      <c r="P27" s="173">
        <f>'GHG detailed, absolute'!P27/Production!$F$31*AF_offal</f>
        <v>1.1478663190431442E-2</v>
      </c>
      <c r="Q27" s="173">
        <f>'GHG detailed, absolute'!Q27/Production!$F$31*AF_offal</f>
        <v>1.266014355749316E-2</v>
      </c>
      <c r="R27" s="173">
        <f>'GHG detailed, absolute'!R27/Production!$F$31*AF_offal</f>
        <v>7.5452423032929808E-3</v>
      </c>
      <c r="S27" s="154"/>
      <c r="T27" s="154"/>
      <c r="U27" s="174"/>
      <c r="V27" s="174"/>
      <c r="W27" s="175">
        <f>'GHG detailed, absolute'!W27/Production!$F$31*AF_offal</f>
        <v>1.1229694638060382E-2</v>
      </c>
      <c r="X27" s="176">
        <f>'GHG detailed, absolute'!X27/Production!$F$31*AF_offal</f>
        <v>2.0442288918195828E-2</v>
      </c>
      <c r="Z27" s="20"/>
      <c r="AA27" s="20"/>
    </row>
    <row r="28" spans="1:27" x14ac:dyDescent="0.2">
      <c r="A28" s="13" t="s">
        <v>136</v>
      </c>
      <c r="B28" s="13" t="s">
        <v>137</v>
      </c>
      <c r="C28" s="17" t="s">
        <v>138</v>
      </c>
      <c r="D28" s="18" t="s">
        <v>55</v>
      </c>
      <c r="E28" s="18" t="s">
        <v>56</v>
      </c>
      <c r="F28" s="13" t="s">
        <v>45</v>
      </c>
      <c r="G28" s="32">
        <f>'GHG detailed, absolute'!G28/Production!$F$31*AF_offal</f>
        <v>1.6045363815101878E-4</v>
      </c>
      <c r="H28" s="33">
        <f>'GHG detailed, absolute'!H28/Production!$F$31*AF_offal</f>
        <v>9.0641242337605476E-7</v>
      </c>
      <c r="I28" s="33">
        <f>'GHG detailed, absolute'!I28/Production!$F$31*AF_offal</f>
        <v>2.5807520390854461E-5</v>
      </c>
      <c r="J28" s="33"/>
      <c r="K28" s="33"/>
      <c r="L28" s="33">
        <f>'GHG detailed, absolute'!L28/Production!$F$31*AF_offal</f>
        <v>4.1881394156064935E-6</v>
      </c>
      <c r="M28" s="33"/>
      <c r="N28" s="33">
        <f>'GHG detailed, absolute'!N28/Production!$F$31*AF_offal</f>
        <v>5.0904997193769186E-7</v>
      </c>
      <c r="O28" s="33">
        <f>'GHG detailed, absolute'!O28/Production!$F$31*AF_offal</f>
        <v>9.2782646880057526E-6</v>
      </c>
      <c r="P28" s="33">
        <f>'GHG detailed, absolute'!P28/Production!$F$31*AF_offal</f>
        <v>0</v>
      </c>
      <c r="Q28" s="33">
        <f>'GHG detailed, absolute'!Q28/Production!$F$31*AF_offal</f>
        <v>3.2928118715598597E-5</v>
      </c>
      <c r="R28" s="33">
        <f>'GHG detailed, absolute'!R28/Production!$F$31*AF_offal</f>
        <v>6.322916706139366E-6</v>
      </c>
      <c r="W28" s="4">
        <f>'GHG detailed, absolute'!W28/Production!$F$31*AF_offal</f>
        <v>1.5140485321448711E-5</v>
      </c>
      <c r="X28" s="12">
        <f>'GHG detailed, absolute'!X28/Production!$F$31*AF_offal</f>
        <v>6.5372730518051633E-5</v>
      </c>
      <c r="Z28" s="32"/>
      <c r="AA28" s="32"/>
    </row>
    <row r="29" spans="1:27" x14ac:dyDescent="0.2">
      <c r="A29" s="13" t="s">
        <v>136</v>
      </c>
      <c r="B29" s="13" t="s">
        <v>137</v>
      </c>
      <c r="C29" s="17" t="s">
        <v>138</v>
      </c>
      <c r="D29" s="18" t="s">
        <v>55</v>
      </c>
      <c r="E29" s="18" t="s">
        <v>56</v>
      </c>
      <c r="F29" s="13" t="s">
        <v>46</v>
      </c>
      <c r="G29" s="32">
        <f>'GHG detailed, absolute'!G29/Production!$F$31*AF_offal</f>
        <v>1.7792571449652296E-4</v>
      </c>
      <c r="H29" s="33"/>
      <c r="I29" s="33"/>
      <c r="J29" s="33"/>
      <c r="K29" s="33"/>
      <c r="L29" s="33"/>
      <c r="M29" s="33"/>
      <c r="N29" s="33"/>
      <c r="O29" s="33"/>
      <c r="P29" s="33"/>
      <c r="Q29" s="33"/>
      <c r="R29" s="33"/>
      <c r="T29" s="47">
        <f>'GHG detailed, absolute'!T29/Production!$F$31*AF_offal</f>
        <v>1.7792571449652296E-4</v>
      </c>
      <c r="U29" s="63">
        <f>'GHG detailed, absolute'!U29/Production!$F$31*AF_offal</f>
        <v>1.7792571449652296E-4</v>
      </c>
      <c r="W29" s="4"/>
      <c r="X29" s="12"/>
    </row>
    <row r="30" spans="1:27" ht="15" customHeight="1" thickBot="1" x14ac:dyDescent="0.25">
      <c r="A30" s="13" t="s">
        <v>136</v>
      </c>
      <c r="B30" s="13" t="s">
        <v>137</v>
      </c>
      <c r="C30" s="17" t="s">
        <v>138</v>
      </c>
      <c r="D30" s="18" t="s">
        <v>55</v>
      </c>
      <c r="E30" s="18" t="s">
        <v>56</v>
      </c>
      <c r="F30" s="34" t="s">
        <v>47</v>
      </c>
      <c r="G30" s="32">
        <f>'GHG detailed, absolute'!G30/Production!$F$31*AF_offal</f>
        <v>1.7378935778291206E-4</v>
      </c>
      <c r="H30" s="33">
        <f>'GHG detailed, absolute'!H30/Production!$F$31*AF_offal</f>
        <v>4.1312760969706907E-6</v>
      </c>
      <c r="I30" s="32">
        <f>'GHG detailed, absolute'!I30/Production!$F$31*AF_offal</f>
        <v>2.9882392031515703E-7</v>
      </c>
      <c r="J30" s="32">
        <f>'GHG detailed, absolute'!J30/Production!$F$31*AF_offal</f>
        <v>1.3019911284967579E-4</v>
      </c>
      <c r="K30" s="32">
        <f>'GHG detailed, absolute'!K30/Production!$F$31*AF_offal</f>
        <v>1.301991128496758E-5</v>
      </c>
      <c r="L30" s="32">
        <f>'GHG detailed, absolute'!L30/Production!$F$31*AF_offal</f>
        <v>2.5405306000110745E-7</v>
      </c>
      <c r="M30" s="32"/>
      <c r="N30" s="32">
        <f>'GHG detailed, absolute'!N30/Production!$F$31*AF_offal</f>
        <v>7.3602591454157387E-9</v>
      </c>
      <c r="O30" s="32">
        <f>'GHG detailed, absolute'!O30/Production!$F$31*AF_offal</f>
        <v>4.0069784477510476E-7</v>
      </c>
      <c r="P30" s="32">
        <f>'GHG detailed, absolute'!P30/Production!$F$31*AF_offal</f>
        <v>0</v>
      </c>
      <c r="Q30" s="32">
        <f>'GHG detailed, absolute'!Q30/Production!$F$31*AF_offal</f>
        <v>8.0603733451188329E-7</v>
      </c>
      <c r="R30" s="32">
        <f>'GHG detailed, absolute'!R30/Production!$F$31*AF_offal</f>
        <v>2.751472707604625E-7</v>
      </c>
      <c r="T30" s="47">
        <f>'GHG detailed, absolute'!T30/Production!$F$31*AF_offal</f>
        <v>2.2980794812417915E-5</v>
      </c>
      <c r="U30" s="9">
        <f>'GHG detailed, absolute'!U30/Production!$F$31*AF_offal</f>
        <v>8.5167678954963923E-6</v>
      </c>
      <c r="V30" s="63">
        <f>'GHG detailed, absolute'!V30/Production!$F$31*AF_offal</f>
        <v>1.4464026916921524E-5</v>
      </c>
      <c r="W30" s="4">
        <f>'GHG detailed, absolute'!W30/Production!$F$31*AF_offal</f>
        <v>7.1911746437879002E-7</v>
      </c>
      <c r="X30" s="12">
        <f>'GHG detailed, absolute'!X30/Production!$F$31*AF_offal</f>
        <v>6.9702558499221176E-7</v>
      </c>
      <c r="Z30" s="32"/>
      <c r="AA30" s="32"/>
    </row>
    <row r="31" spans="1:27" ht="15.5" customHeight="1" thickTop="1" thickBot="1" x14ac:dyDescent="0.25">
      <c r="A31" s="164" t="s">
        <v>136</v>
      </c>
      <c r="B31" s="164" t="s">
        <v>137</v>
      </c>
      <c r="C31" s="165" t="s">
        <v>138</v>
      </c>
      <c r="D31" s="166" t="s">
        <v>55</v>
      </c>
      <c r="E31" s="166" t="s">
        <v>56</v>
      </c>
      <c r="F31" s="167" t="s">
        <v>48</v>
      </c>
      <c r="G31" s="178">
        <f>'GHG detailed, absolute'!G31/Production!$F$31*AF_offal</f>
        <v>0.15721074478329902</v>
      </c>
      <c r="H31" s="168">
        <f>'GHG detailed, absolute'!H31/Production!$F$31*AF_offal</f>
        <v>9.7160557594402376E-3</v>
      </c>
      <c r="I31" s="168">
        <f>'GHG detailed, absolute'!I31/Production!$F$31*AF_offal</f>
        <v>8.1854119910837186E-3</v>
      </c>
      <c r="J31" s="168">
        <f>'GHG detailed, absolute'!J31/Production!$F$31*AF_offal</f>
        <v>3.5544357807961488E-2</v>
      </c>
      <c r="K31" s="168">
        <f>'GHG detailed, absolute'!K31/Production!$F$31*AF_offal</f>
        <v>3.5544357807961494E-3</v>
      </c>
      <c r="L31" s="168">
        <f>'GHG detailed, absolute'!L31/Production!$F$31*AF_offal</f>
        <v>9.6489220180458069E-3</v>
      </c>
      <c r="M31" s="168">
        <f>'GHG detailed, absolute'!M31/Production!$F$31*AF_offal</f>
        <v>0</v>
      </c>
      <c r="N31" s="168">
        <f>'GHG detailed, absolute'!N31/Production!$F$31*AF_offal</f>
        <v>1.8866640823618573E-4</v>
      </c>
      <c r="O31" s="168">
        <f>'GHG detailed, absolute'!O31/Production!$F$31*AF_offal</f>
        <v>1.1688365997762898E-2</v>
      </c>
      <c r="P31" s="168">
        <f>'GHG detailed, absolute'!P31/Production!$F$31*AF_offal</f>
        <v>1.1478663190431442E-2</v>
      </c>
      <c r="Q31" s="168">
        <f>'GHG detailed, absolute'!Q31/Production!$F$31*AF_offal</f>
        <v>1.3861449687539744E-2</v>
      </c>
      <c r="R31" s="168">
        <f>'GHG detailed, absolute'!R31/Production!$F$31*AF_offal</f>
        <v>7.8087804260535409E-3</v>
      </c>
      <c r="S31" s="168">
        <f>'GHG detailed, absolute'!S31/Production!$F$31*AF_offal</f>
        <v>0</v>
      </c>
      <c r="T31" s="168">
        <f>'GHG detailed, absolute'!T31/Production!$F$31*AF_offal</f>
        <v>1.107775127519621E-2</v>
      </c>
      <c r="U31" s="169"/>
      <c r="V31" s="169"/>
      <c r="W31" s="168">
        <f>'GHG detailed, absolute'!W31/Production!$F$31*AF_offal</f>
        <v>1.1877200168414963E-2</v>
      </c>
      <c r="X31" s="168">
        <f>'GHG detailed, absolute'!X31/Production!$F$31*AF_offal</f>
        <v>2.258068427233664E-2</v>
      </c>
      <c r="Z31" s="113">
        <f>'GHG detailed, absolute'!Z31/Production!$F$31*AF_offal</f>
        <v>0.1116751090673512</v>
      </c>
      <c r="AA31" s="200">
        <f>'GHG detailed, absolute'!AA31/Production!$F$31*AF_offal</f>
        <v>3.4219956393227717E-2</v>
      </c>
    </row>
    <row r="32" spans="1:27" ht="15" customHeight="1" thickTop="1" x14ac:dyDescent="0.2">
      <c r="A32" s="170" t="s">
        <v>136</v>
      </c>
      <c r="B32" s="170" t="s">
        <v>137</v>
      </c>
      <c r="C32" s="171" t="s">
        <v>138</v>
      </c>
      <c r="D32" s="155" t="s">
        <v>57</v>
      </c>
      <c r="E32" s="155" t="s">
        <v>58</v>
      </c>
      <c r="F32" s="172" t="s">
        <v>44</v>
      </c>
      <c r="G32" s="20">
        <f>'GHG detailed, absolute'!G32/Production!$G$31*AF_offal</f>
        <v>0.12714648355465308</v>
      </c>
      <c r="H32" s="173">
        <f>'GHG detailed, absolute'!H32/Production!$G$31*AF_offal</f>
        <v>7.1825580190468105E-3</v>
      </c>
      <c r="I32" s="173">
        <f>'GHG detailed, absolute'!I32/Production!$G$31*AF_offal</f>
        <v>8.0218889069788701E-3</v>
      </c>
      <c r="J32" s="173">
        <f>'GHG detailed, absolute'!J32/Production!$G$31*AF_offal</f>
        <v>0</v>
      </c>
      <c r="K32" s="173"/>
      <c r="L32" s="173">
        <f>'GHG detailed, absolute'!L32/Production!$G$31*AF_offal</f>
        <v>8.9027014816125318E-3</v>
      </c>
      <c r="M32" s="173"/>
      <c r="N32" s="173">
        <f>'GHG detailed, absolute'!N32/Production!$G$31*AF_offal</f>
        <v>1.9101128153142032E-4</v>
      </c>
      <c r="O32" s="173">
        <f>'GHG detailed, absolute'!O32/Production!$G$31*AF_offal</f>
        <v>1.1821785177332863E-2</v>
      </c>
      <c r="P32" s="173">
        <f>'GHG detailed, absolute'!P32/Production!$G$31*AF_offal</f>
        <v>3.0596747518800361E-2</v>
      </c>
      <c r="Q32" s="173">
        <f>'GHG detailed, absolute'!Q32/Production!$G$31*AF_offal</f>
        <v>3.3772244080235449E-3</v>
      </c>
      <c r="R32" s="173">
        <f>'GHG detailed, absolute'!R32/Production!$G$31*AF_offal</f>
        <v>2.3268132689685379E-2</v>
      </c>
      <c r="S32" s="154"/>
      <c r="T32" s="154"/>
      <c r="U32" s="174"/>
      <c r="V32" s="174"/>
      <c r="W32" s="175">
        <f>'GHG detailed, absolute'!W32/Production!$G$31*AF_offal</f>
        <v>1.2183285980405606E-2</v>
      </c>
      <c r="X32" s="176">
        <f>'GHG detailed, absolute'!X32/Production!$G$31*AF_offal</f>
        <v>2.1601148091235697E-2</v>
      </c>
      <c r="Z32" s="20"/>
      <c r="AA32" s="20"/>
    </row>
    <row r="33" spans="1:27" x14ac:dyDescent="0.2">
      <c r="A33" s="13" t="s">
        <v>136</v>
      </c>
      <c r="B33" s="13" t="s">
        <v>137</v>
      </c>
      <c r="C33" s="17" t="s">
        <v>138</v>
      </c>
      <c r="D33" s="18" t="s">
        <v>57</v>
      </c>
      <c r="E33" s="18" t="s">
        <v>58</v>
      </c>
      <c r="F33" s="13" t="s">
        <v>45</v>
      </c>
      <c r="G33" s="32">
        <f>'GHG detailed, absolute'!G33/Production!$G$31*AF_offal</f>
        <v>1.3390973704049009E-4</v>
      </c>
      <c r="H33" s="33">
        <f>'GHG detailed, absolute'!H33/Production!$G$31*AF_offal</f>
        <v>3.4335181646198528E-6</v>
      </c>
      <c r="I33" s="33">
        <f>'GHG detailed, absolute'!I33/Production!$G$31*AF_offal</f>
        <v>2.8225164672703436E-5</v>
      </c>
      <c r="J33" s="33"/>
      <c r="K33" s="33"/>
      <c r="L33" s="33">
        <f>'GHG detailed, absolute'!L33/Production!$G$31*AF_offal</f>
        <v>3.9435965598871066E-6</v>
      </c>
      <c r="M33" s="33"/>
      <c r="N33" s="33">
        <f>'GHG detailed, absolute'!N33/Production!$G$31*AF_offal</f>
        <v>5.7164716272787451E-7</v>
      </c>
      <c r="O33" s="33">
        <f>'GHG detailed, absolute'!O33/Production!$G$31*AF_offal</f>
        <v>6.8012450762550406E-6</v>
      </c>
      <c r="P33" s="33">
        <f>'GHG detailed, absolute'!P33/Production!$G$31*AF_offal</f>
        <v>0</v>
      </c>
      <c r="Q33" s="33">
        <f>'GHG detailed, absolute'!Q33/Production!$G$31*AF_offal</f>
        <v>1.2088139386540377E-5</v>
      </c>
      <c r="R33" s="33">
        <f>'GHG detailed, absolute'!R33/Production!$G$31*AF_offal</f>
        <v>1.9813783920789791E-5</v>
      </c>
      <c r="W33" s="4">
        <f>'GHG detailed, absolute'!W33/Production!$G$31*AF_offal</f>
        <v>8.8004334454277946E-6</v>
      </c>
      <c r="X33" s="12">
        <f>'GHG detailed, absolute'!X33/Production!$G$31*AF_offal</f>
        <v>5.0232208651538792E-5</v>
      </c>
      <c r="Z33" s="32"/>
      <c r="AA33" s="32"/>
    </row>
    <row r="34" spans="1:27" x14ac:dyDescent="0.2">
      <c r="A34" s="13" t="s">
        <v>136</v>
      </c>
      <c r="B34" s="13" t="s">
        <v>137</v>
      </c>
      <c r="C34" s="17" t="s">
        <v>138</v>
      </c>
      <c r="D34" s="18" t="s">
        <v>57</v>
      </c>
      <c r="E34" s="18" t="s">
        <v>58</v>
      </c>
      <c r="F34" s="13" t="s">
        <v>46</v>
      </c>
      <c r="G34" s="32">
        <f>'GHG detailed, absolute'!G34/Production!$G$31*AF_offal</f>
        <v>1.8761973060541946E-4</v>
      </c>
      <c r="H34" s="33"/>
      <c r="I34" s="33"/>
      <c r="J34" s="33"/>
      <c r="K34" s="33"/>
      <c r="L34" s="33"/>
      <c r="M34" s="33"/>
      <c r="N34" s="33"/>
      <c r="O34" s="33"/>
      <c r="P34" s="33"/>
      <c r="Q34" s="33"/>
      <c r="R34" s="33"/>
      <c r="T34" s="47">
        <f>'GHG detailed, absolute'!T34/Production!$G$31*AF_offal</f>
        <v>1.8761973060541946E-4</v>
      </c>
      <c r="U34" s="63">
        <f>'GHG detailed, absolute'!U34/Production!$G$31*AF_offal</f>
        <v>1.8761973060541946E-4</v>
      </c>
      <c r="W34" s="4"/>
      <c r="X34" s="12"/>
    </row>
    <row r="35" spans="1:27" ht="15" customHeight="1" thickBot="1" x14ac:dyDescent="0.25">
      <c r="A35" s="13" t="s">
        <v>136</v>
      </c>
      <c r="B35" s="13" t="s">
        <v>137</v>
      </c>
      <c r="C35" s="17" t="s">
        <v>138</v>
      </c>
      <c r="D35" s="18" t="s">
        <v>57</v>
      </c>
      <c r="E35" s="18" t="s">
        <v>58</v>
      </c>
      <c r="F35" s="34" t="s">
        <v>47</v>
      </c>
      <c r="G35" s="32">
        <f>'GHG detailed, absolute'!G35/Production!$G$31*AF_offal</f>
        <v>1.4437971931662122E-4</v>
      </c>
      <c r="H35" s="33">
        <f>'GHG detailed, absolute'!H35/Production!$G$31*AF_offal</f>
        <v>5.4841948715725804E-6</v>
      </c>
      <c r="I35" s="32">
        <f>'GHG detailed, absolute'!I35/Production!$G$31*AF_offal</f>
        <v>3.2681769621025027E-7</v>
      </c>
      <c r="J35" s="32">
        <f>'GHG detailed, absolute'!J35/Production!$G$31*AF_offal</f>
        <v>1.0718774082109203E-4</v>
      </c>
      <c r="K35" s="32">
        <f>'GHG detailed, absolute'!K35/Production!$G$31*AF_offal</f>
        <v>1.0718774082109204E-5</v>
      </c>
      <c r="L35" s="32">
        <f>'GHG detailed, absolute'!L35/Production!$G$31*AF_offal</f>
        <v>2.3921905983258105E-7</v>
      </c>
      <c r="M35" s="32"/>
      <c r="N35" s="32">
        <f>'GHG detailed, absolute'!N35/Production!$G$31*AF_offal</f>
        <v>8.1764999879486539E-9</v>
      </c>
      <c r="O35" s="32">
        <f>'GHG detailed, absolute'!O35/Production!$G$31*AF_offal</f>
        <v>4.2955795405786758E-7</v>
      </c>
      <c r="P35" s="32">
        <f>'GHG detailed, absolute'!P35/Production!$G$31*AF_offal</f>
        <v>0</v>
      </c>
      <c r="Q35" s="32">
        <f>'GHG detailed, absolute'!Q35/Production!$G$31*AF_offal</f>
        <v>1.2493142800409724E-6</v>
      </c>
      <c r="R35" s="32">
        <f>'GHG detailed, absolute'!R35/Production!$G$31*AF_offal</f>
        <v>8.3800406698343913E-7</v>
      </c>
      <c r="T35" s="47">
        <f>'GHG detailed, absolute'!T35/Production!$G$31*AF_offal</f>
        <v>1.6334959841244019E-5</v>
      </c>
      <c r="U35" s="9">
        <f>'GHG detailed, absolute'!U35/Production!$G$31*AF_offal</f>
        <v>6.0537967762087306E-6</v>
      </c>
      <c r="V35" s="63">
        <f>'GHG detailed, absolute'!V35/Production!$G$31*AF_offal</f>
        <v>1.0281163065035289E-5</v>
      </c>
      <c r="W35" s="4">
        <f>'GHG detailed, absolute'!W35/Production!$G$31*AF_offal</f>
        <v>8.0451389184063475E-7</v>
      </c>
      <c r="X35" s="12">
        <f>'GHG detailed, absolute'!X35/Production!$G$31*AF_offal</f>
        <v>7.5844625164968239E-7</v>
      </c>
      <c r="Z35" s="32"/>
      <c r="AA35" s="32"/>
    </row>
    <row r="36" spans="1:27" ht="15.5" customHeight="1" thickTop="1" thickBot="1" x14ac:dyDescent="0.25">
      <c r="A36" s="164" t="s">
        <v>136</v>
      </c>
      <c r="B36" s="164" t="s">
        <v>137</v>
      </c>
      <c r="C36" s="165" t="s">
        <v>138</v>
      </c>
      <c r="D36" s="36" t="s">
        <v>57</v>
      </c>
      <c r="E36" s="36" t="s">
        <v>58</v>
      </c>
      <c r="F36" s="167" t="s">
        <v>48</v>
      </c>
      <c r="G36" s="178">
        <f>'GHG detailed, absolute'!G36/Production!$G$31*AF_offal</f>
        <v>0.1756183898182436</v>
      </c>
      <c r="H36" s="168">
        <f>'GHG detailed, absolute'!H36/Production!$G$31*AF_offal</f>
        <v>8.7820620602917961E-3</v>
      </c>
      <c r="I36" s="168">
        <f>'GHG detailed, absolute'!I36/Production!$G$31*AF_offal</f>
        <v>8.9522200452908322E-3</v>
      </c>
      <c r="J36" s="168">
        <f>'GHG detailed, absolute'!J36/Production!$G$31*AF_offal</f>
        <v>2.9262253244158123E-2</v>
      </c>
      <c r="K36" s="168">
        <f>'GHG detailed, absolute'!K36/Production!$G$31*AF_offal</f>
        <v>2.9262253244158125E-3</v>
      </c>
      <c r="L36" s="168">
        <f>'GHG detailed, absolute'!L36/Production!$G$31*AF_offal</f>
        <v>9.0855274624314624E-3</v>
      </c>
      <c r="M36" s="168">
        <f>'GHG detailed, absolute'!M36/Production!$G$31*AF_offal</f>
        <v>0</v>
      </c>
      <c r="N36" s="168">
        <f>'GHG detailed, absolute'!N36/Production!$G$31*AF_offal</f>
        <v>2.1027855147742099E-4</v>
      </c>
      <c r="O36" s="168">
        <f>'GHG detailed, absolute'!O36/Production!$G$31*AF_offal</f>
        <v>1.2141731602063058E-2</v>
      </c>
      <c r="P36" s="168">
        <f>'GHG detailed, absolute'!P36/Production!$G$31*AF_offal</f>
        <v>3.0596747518800361E-2</v>
      </c>
      <c r="Q36" s="168">
        <f>'GHG detailed, absolute'!Q36/Production!$G$31*AF_offal</f>
        <v>4.0785137601936335E-3</v>
      </c>
      <c r="R36" s="168">
        <f>'GHG detailed, absolute'!R36/Production!$G$31*AF_offal</f>
        <v>2.4087358560811387E-2</v>
      </c>
      <c r="S36" s="168">
        <f>'GHG detailed, absolute'!S36/Production!$G$31*AF_offal</f>
        <v>0</v>
      </c>
      <c r="T36" s="168">
        <f>'GHG detailed, absolute'!T36/Production!$G$31*AF_offal</f>
        <v>9.5251767630059429E-3</v>
      </c>
      <c r="U36" s="169"/>
      <c r="V36" s="169"/>
      <c r="W36" s="168">
        <f>'GHG detailed, absolute'!W36/Production!$G$31*AF_offal</f>
        <v>1.2665171189551848E-2</v>
      </c>
      <c r="X36" s="168">
        <f>'GHG detailed, absolute'!X36/Production!$G$31*AF_offal</f>
        <v>2.3305123735751918E-2</v>
      </c>
      <c r="Z36" s="113">
        <f>'GHG detailed, absolute'!Z36/Production!$G$31*AF_offal</f>
        <v>0.1301229181299339</v>
      </c>
      <c r="AA36" s="200">
        <f>'GHG detailed, absolute'!AA36/Production!$G$31*AF_offal</f>
        <v>3.5265468343534188E-2</v>
      </c>
    </row>
    <row r="37" spans="1:27" ht="15" customHeight="1" thickTop="1" x14ac:dyDescent="0.2">
      <c r="A37" s="170" t="s">
        <v>136</v>
      </c>
      <c r="B37" s="170" t="s">
        <v>137</v>
      </c>
      <c r="C37" s="171" t="s">
        <v>138</v>
      </c>
      <c r="D37" s="155" t="s">
        <v>59</v>
      </c>
      <c r="E37" s="155" t="s">
        <v>60</v>
      </c>
      <c r="F37" s="172" t="s">
        <v>44</v>
      </c>
      <c r="G37" s="20">
        <f>'GHG detailed, absolute'!G37/Production!$H$31*AF_offal</f>
        <v>0.10276075633483053</v>
      </c>
      <c r="H37" s="173">
        <f>'GHG detailed, absolute'!H37/Production!$H$31*AF_offal</f>
        <v>7.8753754529831237E-3</v>
      </c>
      <c r="I37" s="173">
        <f>'GHG detailed, absolute'!I37/Production!$H$31*AF_offal</f>
        <v>6.900422329328677E-3</v>
      </c>
      <c r="J37" s="173">
        <f>'GHG detailed, absolute'!J37/Production!$H$31*AF_offal</f>
        <v>0</v>
      </c>
      <c r="K37" s="173"/>
      <c r="L37" s="173">
        <f>'GHG detailed, absolute'!L37/Production!$H$31*AF_offal</f>
        <v>8.5689494830386778E-3</v>
      </c>
      <c r="M37" s="173"/>
      <c r="N37" s="173">
        <f>'GHG detailed, absolute'!N37/Production!$H$31*AF_offal</f>
        <v>4.2601875084177077E-4</v>
      </c>
      <c r="O37" s="173">
        <f>'GHG detailed, absolute'!O37/Production!$H$31*AF_offal</f>
        <v>1.0409843625553184E-2</v>
      </c>
      <c r="P37" s="173">
        <f>'GHG detailed, absolute'!P37/Production!$H$31*AF_offal</f>
        <v>1.1944866316664414E-2</v>
      </c>
      <c r="Q37" s="173">
        <f>'GHG detailed, absolute'!Q37/Production!$H$31*AF_offal</f>
        <v>1.7221536737486057E-2</v>
      </c>
      <c r="R37" s="173">
        <f>'GHG detailed, absolute'!R37/Production!$H$31*AF_offal</f>
        <v>1.0214793175633405E-2</v>
      </c>
      <c r="S37" s="154"/>
      <c r="T37" s="154"/>
      <c r="U37" s="174"/>
      <c r="V37" s="174"/>
      <c r="W37" s="175">
        <f>'GHG detailed, absolute'!W37/Production!$H$31*AF_offal</f>
        <v>1.058853791025724E-2</v>
      </c>
      <c r="X37" s="176">
        <f>'GHG detailed, absolute'!X37/Production!$H$31*AF_offal</f>
        <v>1.8610412553043992E-2</v>
      </c>
      <c r="Z37" s="20"/>
      <c r="AA37" s="20"/>
    </row>
    <row r="38" spans="1:27" x14ac:dyDescent="0.2">
      <c r="A38" s="13" t="s">
        <v>136</v>
      </c>
      <c r="B38" s="13" t="s">
        <v>137</v>
      </c>
      <c r="C38" s="17" t="s">
        <v>138</v>
      </c>
      <c r="D38" s="18" t="s">
        <v>59</v>
      </c>
      <c r="E38" s="18" t="s">
        <v>60</v>
      </c>
      <c r="F38" s="13" t="s">
        <v>45</v>
      </c>
      <c r="G38" s="32">
        <f>'GHG detailed, absolute'!G38/Production!$H$31*AF_offal</f>
        <v>2.3345876654734594E-4</v>
      </c>
      <c r="H38" s="33">
        <f>'GHG detailed, absolute'!H38/Production!$H$31*AF_offal</f>
        <v>1.660679064404437E-6</v>
      </c>
      <c r="I38" s="33">
        <f>'GHG detailed, absolute'!I38/Production!$H$31*AF_offal</f>
        <v>2.4279263751341645E-5</v>
      </c>
      <c r="J38" s="33"/>
      <c r="K38" s="33"/>
      <c r="L38" s="33">
        <f>'GHG detailed, absolute'!L38/Production!$H$31*AF_offal</f>
        <v>3.7957556785378131E-6</v>
      </c>
      <c r="M38" s="33"/>
      <c r="N38" s="33">
        <f>'GHG detailed, absolute'!N38/Production!$H$31*AF_offal</f>
        <v>1.26187536340669E-6</v>
      </c>
      <c r="O38" s="33">
        <f>'GHG detailed, absolute'!O38/Production!$H$31*AF_offal</f>
        <v>1.1089476357172442E-5</v>
      </c>
      <c r="P38" s="33">
        <f>'GHG detailed, absolute'!P38/Production!$H$31*AF_offal</f>
        <v>0</v>
      </c>
      <c r="Q38" s="33">
        <f>'GHG detailed, absolute'!Q38/Production!$H$31*AF_offal</f>
        <v>7.328402126172907E-5</v>
      </c>
      <c r="R38" s="33">
        <f>'GHG detailed, absolute'!R38/Production!$H$31*AF_offal</f>
        <v>1.5032212289089393E-5</v>
      </c>
      <c r="W38" s="4">
        <f>'GHG detailed, absolute'!W38/Production!$H$31*AF_offal</f>
        <v>2.0984776750898662E-5</v>
      </c>
      <c r="X38" s="12">
        <f>'GHG detailed, absolute'!X38/Production!$H$31*AF_offal</f>
        <v>8.2070706030765771E-5</v>
      </c>
      <c r="Z38" s="32"/>
      <c r="AA38" s="32"/>
    </row>
    <row r="39" spans="1:27" x14ac:dyDescent="0.2">
      <c r="A39" s="13" t="s">
        <v>136</v>
      </c>
      <c r="B39" s="13" t="s">
        <v>137</v>
      </c>
      <c r="C39" s="17" t="s">
        <v>138</v>
      </c>
      <c r="D39" s="18" t="s">
        <v>59</v>
      </c>
      <c r="E39" s="18" t="s">
        <v>60</v>
      </c>
      <c r="F39" s="13" t="s">
        <v>46</v>
      </c>
      <c r="G39" s="32">
        <f>'GHG detailed, absolute'!G39/Production!$H$31*AF_offal</f>
        <v>1.7792571449652296E-4</v>
      </c>
      <c r="H39" s="33"/>
      <c r="I39" s="33"/>
      <c r="J39" s="33"/>
      <c r="K39" s="33"/>
      <c r="L39" s="33"/>
      <c r="M39" s="33"/>
      <c r="N39" s="33"/>
      <c r="O39" s="33"/>
      <c r="P39" s="33"/>
      <c r="Q39" s="33"/>
      <c r="R39" s="33"/>
      <c r="T39" s="47">
        <f>'GHG detailed, absolute'!T39/Production!$H$31*AF_offal</f>
        <v>1.7792571449652296E-4</v>
      </c>
      <c r="U39" s="63">
        <f>'GHG detailed, absolute'!U39/Production!$H$31*AF_offal</f>
        <v>1.7792571449652296E-4</v>
      </c>
      <c r="W39" s="4"/>
      <c r="X39" s="12"/>
    </row>
    <row r="40" spans="1:27" ht="15" customHeight="1" thickBot="1" x14ac:dyDescent="0.25">
      <c r="A40" s="13" t="s">
        <v>136</v>
      </c>
      <c r="B40" s="13" t="s">
        <v>137</v>
      </c>
      <c r="C40" s="17" t="s">
        <v>138</v>
      </c>
      <c r="D40" s="18" t="s">
        <v>59</v>
      </c>
      <c r="E40" s="18" t="s">
        <v>60</v>
      </c>
      <c r="F40" s="34" t="s">
        <v>47</v>
      </c>
      <c r="G40" s="32">
        <f>'GHG detailed, absolute'!G40/Production!$H$31*AF_offal</f>
        <v>1.4124723373695148E-4</v>
      </c>
      <c r="H40" s="33">
        <f>'GHG detailed, absolute'!H40/Production!$H$31*AF_offal</f>
        <v>2.1576516962209585E-6</v>
      </c>
      <c r="I40" s="32">
        <f>'GHG detailed, absolute'!I40/Production!$H$31*AF_offal</f>
        <v>2.8112831712079798E-7</v>
      </c>
      <c r="J40" s="32">
        <f>'GHG detailed, absolute'!J40/Production!$H$31*AF_offal</f>
        <v>1.0710041003683654E-4</v>
      </c>
      <c r="K40" s="32">
        <f>'GHG detailed, absolute'!K40/Production!$H$31*AF_offal</f>
        <v>1.0710041003683656E-5</v>
      </c>
      <c r="L40" s="32">
        <f>'GHG detailed, absolute'!L40/Production!$H$31*AF_offal</f>
        <v>2.3025101350630792E-7</v>
      </c>
      <c r="M40" s="32"/>
      <c r="N40" s="32">
        <f>'GHG detailed, absolute'!N40/Production!$H$31*AF_offal</f>
        <v>1.8297584065291155E-8</v>
      </c>
      <c r="O40" s="32">
        <f>'GHG detailed, absolute'!O40/Production!$H$31*AF_offal</f>
        <v>3.8367501662096957E-7</v>
      </c>
      <c r="P40" s="32">
        <f>'GHG detailed, absolute'!P40/Production!$H$31*AF_offal</f>
        <v>0</v>
      </c>
      <c r="Q40" s="32">
        <f>'GHG detailed, absolute'!Q40/Production!$H$31*AF_offal</f>
        <v>1.1708098685194522E-6</v>
      </c>
      <c r="R40" s="32">
        <f>'GHG detailed, absolute'!R40/Production!$H$31*AF_offal</f>
        <v>4.0048536948723367E-7</v>
      </c>
      <c r="T40" s="47">
        <f>'GHG detailed, absolute'!T40/Production!$H$31*AF_offal</f>
        <v>1.7331023547229929E-5</v>
      </c>
      <c r="U40" s="9">
        <f>'GHG detailed, absolute'!U40/Production!$H$31*AF_offal</f>
        <v>6.422941684479092E-6</v>
      </c>
      <c r="V40" s="63">
        <f>'GHG detailed, absolute'!V40/Production!$H$31*AF_offal</f>
        <v>1.0908081862750841E-5</v>
      </c>
      <c r="W40" s="4">
        <f>'GHG detailed, absolute'!W40/Production!$H$31*AF_offal</f>
        <v>7.3138489549083722E-7</v>
      </c>
      <c r="X40" s="12">
        <f>'GHG detailed, absolute'!X40/Production!$H$31*AF_offal</f>
        <v>7.3207538816948994E-7</v>
      </c>
      <c r="Z40" s="32"/>
      <c r="AA40" s="32"/>
    </row>
    <row r="41" spans="1:27" ht="15.5" customHeight="1" thickTop="1" thickBot="1" x14ac:dyDescent="0.25">
      <c r="A41" s="164" t="s">
        <v>136</v>
      </c>
      <c r="B41" s="164" t="s">
        <v>137</v>
      </c>
      <c r="C41" s="165" t="s">
        <v>138</v>
      </c>
      <c r="D41" s="166" t="s">
        <v>59</v>
      </c>
      <c r="E41" s="166" t="s">
        <v>60</v>
      </c>
      <c r="F41" s="167" t="s">
        <v>48</v>
      </c>
      <c r="G41" s="178">
        <f>'GHG detailed, absolute'!G41/Production!$H$31*AF_offal</f>
        <v>0.15308231667953531</v>
      </c>
      <c r="H41" s="168">
        <f>'GHG detailed, absolute'!H41/Production!$H$31*AF_offal</f>
        <v>8.5139026021706973E-3</v>
      </c>
      <c r="I41" s="168">
        <f>'GHG detailed, absolute'!I41/Production!$H$31*AF_offal</f>
        <v>7.700692419692636E-3</v>
      </c>
      <c r="J41" s="168">
        <f>'GHG detailed, absolute'!J41/Production!$H$31*AF_offal</f>
        <v>2.9238411940056382E-2</v>
      </c>
      <c r="K41" s="168">
        <f>'GHG detailed, absolute'!K41/Production!$H$31*AF_offal</f>
        <v>2.9238411940056379E-3</v>
      </c>
      <c r="L41" s="168">
        <f>'GHG detailed, absolute'!L41/Production!$H$31*AF_offal</f>
        <v>8.744921528946327E-3</v>
      </c>
      <c r="M41" s="168">
        <f>'GHG detailed, absolute'!M41/Production!$H$31*AF_offal</f>
        <v>0</v>
      </c>
      <c r="N41" s="168">
        <f>'GHG detailed, absolute'!N41/Production!$H$31*AF_offal</f>
        <v>4.6861787712111467E-4</v>
      </c>
      <c r="O41" s="168">
        <f>'GHG detailed, absolute'!O41/Production!$H$31*AF_offal</f>
        <v>1.0845053300534448E-2</v>
      </c>
      <c r="P41" s="168">
        <f>'GHG detailed, absolute'!P41/Production!$H$31*AF_offal</f>
        <v>1.1944866316664414E-2</v>
      </c>
      <c r="Q41" s="168">
        <f>'GHG detailed, absolute'!Q41/Production!$H$31*AF_offal</f>
        <v>1.9725031665191392E-2</v>
      </c>
      <c r="R41" s="168">
        <f>'GHG detailed, absolute'!R41/Production!$H$31*AF_offal</f>
        <v>1.0772085607718283E-2</v>
      </c>
      <c r="S41" s="168">
        <f>'GHG detailed, absolute'!S41/Production!$H$31*AF_offal</f>
        <v>0</v>
      </c>
      <c r="T41" s="168">
        <f>'GHG detailed, absolute'!T41/Production!$H$31*AF_offal</f>
        <v>9.5353637197998914E-3</v>
      </c>
      <c r="U41" s="169"/>
      <c r="V41" s="169"/>
      <c r="W41" s="168">
        <f>'GHG detailed, absolute'!W41/Production!$H$31*AF_offal</f>
        <v>1.1413552333903017E-2</v>
      </c>
      <c r="X41" s="168">
        <f>'GHG detailed, absolute'!X41/Production!$H$31*AF_offal</f>
        <v>2.1255976173731081E-2</v>
      </c>
      <c r="Z41" s="113">
        <f>'GHG detailed, absolute'!Z41/Production!$H$31*AF_offal</f>
        <v>0.1108774244521013</v>
      </c>
      <c r="AA41" s="200">
        <f>'GHG detailed, absolute'!AA41/Production!$H$31*AF_offal</f>
        <v>3.2869655729758689E-2</v>
      </c>
    </row>
    <row r="42" spans="1:27" ht="15" customHeight="1" thickTop="1" x14ac:dyDescent="0.2">
      <c r="A42" s="170" t="s">
        <v>136</v>
      </c>
      <c r="B42" s="170" t="s">
        <v>137</v>
      </c>
      <c r="C42" s="171" t="s">
        <v>138</v>
      </c>
      <c r="D42" t="s">
        <v>61</v>
      </c>
      <c r="E42" s="18" t="s">
        <v>62</v>
      </c>
      <c r="F42" s="172" t="s">
        <v>44</v>
      </c>
      <c r="G42" s="20">
        <f>'GHG detailed, absolute'!G42/Production!$I$31*AF_offal</f>
        <v>0.11978002571820186</v>
      </c>
      <c r="H42" s="173">
        <f>'GHG detailed, absolute'!H42/Production!$I$31*AF_offal</f>
        <v>7.7539467396679973E-3</v>
      </c>
      <c r="I42" s="173">
        <f>'GHG detailed, absolute'!I42/Production!$I$31*AF_offal</f>
        <v>8.3148641179515686E-3</v>
      </c>
      <c r="J42" s="173">
        <f>'GHG detailed, absolute'!J42/Production!$I$31*AF_offal</f>
        <v>0</v>
      </c>
      <c r="K42" s="173"/>
      <c r="L42" s="173">
        <f>'GHG detailed, absolute'!L42/Production!$I$31*AF_offal</f>
        <v>1.0118256642734233E-2</v>
      </c>
      <c r="M42" s="173"/>
      <c r="N42" s="173">
        <f>'GHG detailed, absolute'!N42/Production!$I$31*AF_offal</f>
        <v>1.2247830294721113E-4</v>
      </c>
      <c r="O42" s="173">
        <f>'GHG detailed, absolute'!O42/Production!$I$31*AF_offal</f>
        <v>1.3760559325910486E-2</v>
      </c>
      <c r="P42" s="173">
        <f>'GHG detailed, absolute'!P42/Production!$I$31*AF_offal</f>
        <v>1.7863264065690311E-2</v>
      </c>
      <c r="Q42" s="173">
        <f>'GHG detailed, absolute'!Q42/Production!$I$31*AF_offal</f>
        <v>6.118911058781238E-3</v>
      </c>
      <c r="R42" s="173">
        <f>'GHG detailed, absolute'!R42/Production!$I$31*AF_offal</f>
        <v>1.6941367452186117E-2</v>
      </c>
      <c r="S42" s="154"/>
      <c r="T42" s="154"/>
      <c r="U42" s="174"/>
      <c r="V42" s="174"/>
      <c r="W42" s="175">
        <f>'GHG detailed, absolute'!W42/Production!$I$31*AF_offal</f>
        <v>1.6532840773994022E-2</v>
      </c>
      <c r="X42" s="176">
        <f>'GHG detailed, absolute'!X42/Production!$I$31*AF_offal</f>
        <v>2.2253537238338672E-2</v>
      </c>
      <c r="Z42" s="20"/>
      <c r="AA42" s="20"/>
    </row>
    <row r="43" spans="1:27" x14ac:dyDescent="0.2">
      <c r="A43" s="13" t="s">
        <v>136</v>
      </c>
      <c r="B43" s="13" t="s">
        <v>137</v>
      </c>
      <c r="C43" s="17" t="s">
        <v>138</v>
      </c>
      <c r="D43" t="s">
        <v>61</v>
      </c>
      <c r="E43" s="18" t="s">
        <v>62</v>
      </c>
      <c r="F43" s="13" t="s">
        <v>45</v>
      </c>
      <c r="G43" s="32">
        <f>'GHG detailed, absolute'!G43/Production!$I$31*AF_offal</f>
        <v>1.746448086341515E-4</v>
      </c>
      <c r="H43" s="33">
        <f>'GHG detailed, absolute'!H43/Production!$I$31*AF_offal</f>
        <v>1.2955410891064505E-5</v>
      </c>
      <c r="I43" s="33">
        <f>'GHG detailed, absolute'!I43/Production!$I$31*AF_offal</f>
        <v>3.8129237224716284E-5</v>
      </c>
      <c r="J43" s="33"/>
      <c r="K43" s="33"/>
      <c r="L43" s="33">
        <f>'GHG detailed, absolute'!L43/Production!$I$31*AF_offal</f>
        <v>4.445866911595631E-6</v>
      </c>
      <c r="M43" s="33"/>
      <c r="N43" s="33">
        <f>'GHG detailed, absolute'!N43/Production!$I$31*AF_offal</f>
        <v>3.4940059294793667E-7</v>
      </c>
      <c r="O43" s="33">
        <f>'GHG detailed, absolute'!O43/Production!$I$31*AF_offal</f>
        <v>9.2329706047521704E-6</v>
      </c>
      <c r="P43" s="33">
        <f>'GHG detailed, absolute'!P43/Production!$I$31*AF_offal</f>
        <v>9.7944413797985154E-7</v>
      </c>
      <c r="Q43" s="33">
        <f>'GHG detailed, absolute'!Q43/Production!$I$31*AF_offal</f>
        <v>1.5855060852295936E-5</v>
      </c>
      <c r="R43" s="33">
        <f>'GHG detailed, absolute'!R43/Production!$I$31*AF_offal</f>
        <v>1.1875330669322067E-5</v>
      </c>
      <c r="W43" s="4">
        <f>'GHG detailed, absolute'!W43/Production!$I$31*AF_offal</f>
        <v>1.9264449405473258E-5</v>
      </c>
      <c r="X43" s="12">
        <f>'GHG detailed, absolute'!X43/Production!$I$31*AF_offal</f>
        <v>6.1557637344003834E-5</v>
      </c>
      <c r="Z43" s="32"/>
      <c r="AA43" s="32"/>
    </row>
    <row r="44" spans="1:27" x14ac:dyDescent="0.2">
      <c r="A44" s="13" t="s">
        <v>136</v>
      </c>
      <c r="B44" s="13" t="s">
        <v>137</v>
      </c>
      <c r="C44" s="17" t="s">
        <v>138</v>
      </c>
      <c r="D44" t="s">
        <v>61</v>
      </c>
      <c r="E44" s="18" t="s">
        <v>62</v>
      </c>
      <c r="F44" s="13" t="s">
        <v>46</v>
      </c>
      <c r="G44" s="32">
        <f>'GHG detailed, absolute'!G44/Production!$I$31*AF_offal</f>
        <v>3.444062299142155E-4</v>
      </c>
      <c r="H44" s="33"/>
      <c r="I44" s="33"/>
      <c r="J44" s="33"/>
      <c r="K44" s="33"/>
      <c r="L44" s="33"/>
      <c r="M44" s="33"/>
      <c r="N44" s="33"/>
      <c r="O44" s="33"/>
      <c r="P44" s="33"/>
      <c r="Q44" s="33"/>
      <c r="R44" s="33"/>
      <c r="T44" s="47">
        <f>'GHG detailed, absolute'!T44/Production!$I$31*AF_offal</f>
        <v>3.444062299142155E-4</v>
      </c>
      <c r="U44" s="63">
        <f>'GHG detailed, absolute'!U44/Production!$I$31*AF_offal</f>
        <v>3.444062299142155E-4</v>
      </c>
      <c r="W44" s="4"/>
      <c r="X44" s="12"/>
    </row>
    <row r="45" spans="1:27" ht="15" customHeight="1" thickBot="1" x14ac:dyDescent="0.25">
      <c r="A45" s="13" t="s">
        <v>136</v>
      </c>
      <c r="B45" s="13" t="s">
        <v>137</v>
      </c>
      <c r="C45" s="17" t="s">
        <v>138</v>
      </c>
      <c r="D45" t="s">
        <v>61</v>
      </c>
      <c r="E45" s="18" t="s">
        <v>62</v>
      </c>
      <c r="F45" s="34" t="s">
        <v>47</v>
      </c>
      <c r="G45" s="32">
        <f>'GHG detailed, absolute'!G45/Production!$I$31*AF_offal</f>
        <v>1.673053845615735E-4</v>
      </c>
      <c r="H45" s="33">
        <f>'GHG detailed, absolute'!H45/Production!$I$31*AF_offal</f>
        <v>1.1675344043055469E-5</v>
      </c>
      <c r="I45" s="32">
        <f>'GHG detailed, absolute'!I45/Production!$I$31*AF_offal</f>
        <v>3.3875372332395277E-7</v>
      </c>
      <c r="J45" s="32">
        <f>'GHG detailed, absolute'!J45/Production!$I$31*AF_offal</f>
        <v>1.1273985474366882E-4</v>
      </c>
      <c r="K45" s="32">
        <f>'GHG detailed, absolute'!K45/Production!$I$31*AF_offal</f>
        <v>1.1273985474366882E-5</v>
      </c>
      <c r="L45" s="32">
        <f>'GHG detailed, absolute'!L45/Production!$I$31*AF_offal</f>
        <v>2.7188150093753737E-7</v>
      </c>
      <c r="M45" s="32"/>
      <c r="N45" s="32">
        <f>'GHG detailed, absolute'!N45/Production!$I$31*AF_offal</f>
        <v>5.2257457266656865E-9</v>
      </c>
      <c r="O45" s="32">
        <f>'GHG detailed, absolute'!O45/Production!$I$31*AF_offal</f>
        <v>5.0006507444158054E-7</v>
      </c>
      <c r="P45" s="32">
        <f>'GHG detailed, absolute'!P45/Production!$I$31*AF_offal</f>
        <v>0</v>
      </c>
      <c r="Q45" s="32">
        <f>'GHG detailed, absolute'!Q45/Production!$I$31*AF_offal</f>
        <v>1.0698908483108723E-6</v>
      </c>
      <c r="R45" s="32">
        <f>'GHG detailed, absolute'!R45/Production!$I$31*AF_offal</f>
        <v>5.9504386288589227E-7</v>
      </c>
      <c r="T45" s="47">
        <f>'GHG detailed, absolute'!T45/Production!$I$31*AF_offal</f>
        <v>2.6925402277724939E-5</v>
      </c>
      <c r="U45" s="9">
        <f>'GHG detailed, absolute'!U45/Production!$I$31*AF_offal</f>
        <v>9.9786540702386459E-6</v>
      </c>
      <c r="V45" s="63">
        <f>'GHG detailed, absolute'!V45/Production!$I$31*AF_offal</f>
        <v>1.6946748207486293E-5</v>
      </c>
      <c r="W45" s="4">
        <f>'GHG detailed, absolute'!W45/Production!$I$31*AF_offal</f>
        <v>1.0709480126482009E-6</v>
      </c>
      <c r="X45" s="12">
        <f>'GHG detailed, absolute'!X45/Production!$I$31*AF_offal</f>
        <v>8.3898925448270112E-7</v>
      </c>
      <c r="Z45" s="32"/>
      <c r="AA45" s="32"/>
    </row>
    <row r="46" spans="1:27" ht="15.5" customHeight="1" thickTop="1" thickBot="1" x14ac:dyDescent="0.25">
      <c r="A46" s="164" t="s">
        <v>136</v>
      </c>
      <c r="B46" s="164" t="s">
        <v>137</v>
      </c>
      <c r="C46" s="165" t="s">
        <v>138</v>
      </c>
      <c r="D46" s="201" t="s">
        <v>61</v>
      </c>
      <c r="E46" s="166" t="s">
        <v>62</v>
      </c>
      <c r="F46" s="167" t="s">
        <v>48</v>
      </c>
      <c r="G46" s="178">
        <f>'GHG detailed, absolute'!G46/Production!$I$31*AF_offal</f>
        <v>0.17995777920849296</v>
      </c>
      <c r="H46" s="168">
        <f>'GHG detailed, absolute'!H46/Production!$I$31*AF_offal</f>
        <v>1.1327386907975863E-2</v>
      </c>
      <c r="I46" s="168">
        <f>'GHG detailed, absolute'!I46/Production!$I$31*AF_offal</f>
        <v>9.5435951537155526E-3</v>
      </c>
      <c r="J46" s="168">
        <f>'GHG detailed, absolute'!J46/Production!$I$31*AF_offal</f>
        <v>3.0777980345021588E-2</v>
      </c>
      <c r="K46" s="168">
        <f>'GHG detailed, absolute'!K46/Production!$I$31*AF_offal</f>
        <v>3.077798034502159E-3</v>
      </c>
      <c r="L46" s="168">
        <f>'GHG detailed, absolute'!L46/Production!$I$31*AF_offal</f>
        <v>1.032496712645573E-2</v>
      </c>
      <c r="M46" s="168">
        <f>'GHG detailed, absolute'!M46/Production!$I$31*AF_offal</f>
        <v>0</v>
      </c>
      <c r="N46" s="168">
        <f>'GHG detailed, absolute'!N46/Production!$I$31*AF_offal</f>
        <v>1.3431706920043939E-4</v>
      </c>
      <c r="O46" s="168">
        <f>'GHG detailed, absolute'!O46/Production!$I$31*AF_offal</f>
        <v>1.4172219615254654E-2</v>
      </c>
      <c r="P46" s="168">
        <f>'GHG detailed, absolute'!P46/Production!$I$31*AF_offal</f>
        <v>1.7892451501002112E-2</v>
      </c>
      <c r="Q46" s="168">
        <f>'GHG detailed, absolute'!Q46/Production!$I$31*AF_offal</f>
        <v>6.8834720737685241E-3</v>
      </c>
      <c r="R46" s="168">
        <f>'GHG detailed, absolute'!R46/Production!$I$31*AF_offal</f>
        <v>1.7457699280699766E-2</v>
      </c>
      <c r="S46" s="168">
        <f>'GHG detailed, absolute'!S46/Production!$I$31*AF_offal</f>
        <v>0</v>
      </c>
      <c r="T46" s="168">
        <f>'GHG detailed, absolute'!T46/Production!$I$31*AF_offal</f>
        <v>1.6649603029502726E-2</v>
      </c>
      <c r="U46" s="169"/>
      <c r="V46" s="169"/>
      <c r="W46" s="168">
        <f>'GHG detailed, absolute'!W46/Production!$I$31*AF_offal</f>
        <v>1.7399290173730084E-2</v>
      </c>
      <c r="X46" s="168">
        <f>'GHG detailed, absolute'!X46/Production!$I$31*AF_offal</f>
        <v>2.4316998897663762E-2</v>
      </c>
      <c r="Z46" s="113">
        <f>'GHG detailed, absolute'!Z46/Production!$I$31*AF_offal</f>
        <v>0.12159188710759637</v>
      </c>
      <c r="AA46" s="200">
        <f>'GHG detailed, absolute'!AA46/Production!$I$31*AF_offal</f>
        <v>3.2107318801570681E-2</v>
      </c>
    </row>
    <row r="47" spans="1:27" ht="15" customHeight="1" thickTop="1" x14ac:dyDescent="0.2">
      <c r="A47" s="170" t="s">
        <v>136</v>
      </c>
      <c r="B47" s="170" t="s">
        <v>137</v>
      </c>
      <c r="C47" s="171" t="s">
        <v>138</v>
      </c>
      <c r="D47" t="s">
        <v>63</v>
      </c>
      <c r="E47" s="18" t="s">
        <v>64</v>
      </c>
      <c r="F47" s="172" t="s">
        <v>44</v>
      </c>
      <c r="G47" s="20">
        <f>'GHG detailed, absolute'!G47/Production!$J$31*AF_offal</f>
        <v>0.13991325171079241</v>
      </c>
      <c r="H47" s="173">
        <f>'GHG detailed, absolute'!H47/Production!$J$31*AF_offal</f>
        <v>1.1589764729098496E-2</v>
      </c>
      <c r="I47" s="173">
        <f>'GHG detailed, absolute'!I47/Production!$J$31*AF_offal</f>
        <v>7.3978224666139897E-3</v>
      </c>
      <c r="J47" s="173">
        <f>'GHG detailed, absolute'!J47/Production!$J$31*AF_offal</f>
        <v>0</v>
      </c>
      <c r="K47" s="173"/>
      <c r="L47" s="173">
        <f>'GHG detailed, absolute'!L47/Production!$J$31*AF_offal</f>
        <v>1.0808573536209039E-2</v>
      </c>
      <c r="M47" s="173"/>
      <c r="N47" s="173">
        <f>'GHG detailed, absolute'!N47/Production!$J$31*AF_offal</f>
        <v>1.3862931887541656E-5</v>
      </c>
      <c r="O47" s="173">
        <f>'GHG detailed, absolute'!O47/Production!$J$31*AF_offal</f>
        <v>1.4144939382412087E-2</v>
      </c>
      <c r="P47" s="173">
        <f>'GHG detailed, absolute'!P47/Production!$J$31*AF_offal</f>
        <v>1.4889636840861862E-2</v>
      </c>
      <c r="Q47" s="173">
        <f>'GHG detailed, absolute'!Q47/Production!$J$31*AF_offal</f>
        <v>1.8329881084694952E-2</v>
      </c>
      <c r="R47" s="173">
        <f>'GHG detailed, absolute'!R47/Production!$J$31*AF_offal</f>
        <v>8.5704590606329525E-3</v>
      </c>
      <c r="S47" s="154"/>
      <c r="T47" s="154"/>
      <c r="U47" s="174"/>
      <c r="V47" s="174"/>
      <c r="W47" s="175">
        <f>'GHG detailed, absolute'!W47/Production!$J$31*AF_offal</f>
        <v>1.7062076003055825E-2</v>
      </c>
      <c r="X47" s="176">
        <f>'GHG detailed, absolute'!X47/Production!$J$31*AF_offal</f>
        <v>3.7106235675325672E-2</v>
      </c>
      <c r="Z47" s="20"/>
      <c r="AA47" s="20"/>
    </row>
    <row r="48" spans="1:27" x14ac:dyDescent="0.2">
      <c r="A48" s="13" t="s">
        <v>136</v>
      </c>
      <c r="B48" s="13" t="s">
        <v>137</v>
      </c>
      <c r="C48" s="17" t="s">
        <v>138</v>
      </c>
      <c r="D48" t="s">
        <v>63</v>
      </c>
      <c r="E48" s="18" t="s">
        <v>64</v>
      </c>
      <c r="F48" s="13" t="s">
        <v>45</v>
      </c>
      <c r="G48" s="32">
        <f>'GHG detailed, absolute'!G48/Production!$J$31*AF_offal</f>
        <v>2.0822379796579866E-4</v>
      </c>
      <c r="H48" s="33">
        <f>'GHG detailed, absolute'!H48/Production!$J$31*AF_offal</f>
        <v>3.121967848142677E-6</v>
      </c>
      <c r="I48" s="33">
        <f>'GHG detailed, absolute'!I48/Production!$J$31*AF_offal</f>
        <v>2.7956151064023847E-5</v>
      </c>
      <c r="J48" s="33"/>
      <c r="K48" s="33"/>
      <c r="L48" s="33">
        <f>'GHG detailed, absolute'!L48/Production!$J$31*AF_offal</f>
        <v>4.7799774069316629E-6</v>
      </c>
      <c r="M48" s="33"/>
      <c r="N48" s="33">
        <f>'GHG detailed, absolute'!N48/Production!$J$31*AF_offal</f>
        <v>3.9630423863241635E-8</v>
      </c>
      <c r="O48" s="33">
        <f>'GHG detailed, absolute'!O48/Production!$J$31*AF_offal</f>
        <v>1.2987278649367675E-5</v>
      </c>
      <c r="P48" s="33">
        <f>'GHG detailed, absolute'!P48/Production!$J$31*AF_offal</f>
        <v>4.1872384566176964E-7</v>
      </c>
      <c r="Q48" s="33">
        <f>'GHG detailed, absolute'!Q48/Production!$J$31*AF_offal</f>
        <v>3.7289848718742971E-5</v>
      </c>
      <c r="R48" s="33">
        <f>'GHG detailed, absolute'!R48/Production!$J$31*AF_offal</f>
        <v>8.7013974543942308E-6</v>
      </c>
      <c r="W48" s="4">
        <f>'GHG detailed, absolute'!W48/Production!$J$31*AF_offal</f>
        <v>2.3544531506863211E-5</v>
      </c>
      <c r="X48" s="12">
        <f>'GHG detailed, absolute'!X48/Production!$J$31*AF_offal</f>
        <v>8.9384291047807366E-5</v>
      </c>
      <c r="Z48" s="32"/>
      <c r="AA48" s="32"/>
    </row>
    <row r="49" spans="1:29" x14ac:dyDescent="0.2">
      <c r="A49" s="13" t="s">
        <v>136</v>
      </c>
      <c r="B49" s="13" t="s">
        <v>137</v>
      </c>
      <c r="C49" s="17" t="s">
        <v>138</v>
      </c>
      <c r="D49" t="s">
        <v>63</v>
      </c>
      <c r="E49" s="18" t="s">
        <v>64</v>
      </c>
      <c r="F49" s="13" t="s">
        <v>46</v>
      </c>
      <c r="G49" s="32">
        <f>'GHG detailed, absolute'!G49/Production!$J$31*AF_offal</f>
        <v>2.6688857174478445E-4</v>
      </c>
      <c r="H49" s="33"/>
      <c r="I49" s="33"/>
      <c r="J49" s="33"/>
      <c r="K49" s="33"/>
      <c r="L49" s="33"/>
      <c r="M49" s="33"/>
      <c r="N49" s="33"/>
      <c r="O49" s="33"/>
      <c r="P49" s="33"/>
      <c r="Q49" s="33"/>
      <c r="R49" s="33"/>
      <c r="T49" s="47">
        <f>'GHG detailed, absolute'!T49/Production!$J$31*AF_offal</f>
        <v>2.6688857174478445E-4</v>
      </c>
      <c r="U49" s="63">
        <f>'GHG detailed, absolute'!U49/Production!$J$31*AF_offal</f>
        <v>2.6688857174478445E-4</v>
      </c>
      <c r="W49" s="4"/>
      <c r="X49" s="12"/>
    </row>
    <row r="50" spans="1:29" ht="15" customHeight="1" thickBot="1" x14ac:dyDescent="0.25">
      <c r="A50" s="13" t="s">
        <v>136</v>
      </c>
      <c r="B50" s="13" t="s">
        <v>137</v>
      </c>
      <c r="C50" s="17" t="s">
        <v>138</v>
      </c>
      <c r="D50" t="s">
        <v>63</v>
      </c>
      <c r="E50" s="18" t="s">
        <v>64</v>
      </c>
      <c r="F50" s="34" t="s">
        <v>47</v>
      </c>
      <c r="G50" s="32">
        <f>'GHG detailed, absolute'!G50/Production!$J$31*AF_offal</f>
        <v>1.9819628269081752E-4</v>
      </c>
      <c r="H50" s="33">
        <f>'GHG detailed, absolute'!H50/Production!$J$31*AF_offal</f>
        <v>6.7277887288284033E-6</v>
      </c>
      <c r="I50" s="32">
        <f>'GHG detailed, absolute'!I50/Production!$J$31*AF_offal</f>
        <v>3.0139276715834779E-7</v>
      </c>
      <c r="J50" s="32">
        <f>'GHG detailed, absolute'!J50/Production!$J$31*AF_offal</f>
        <v>1.5195381154418502E-4</v>
      </c>
      <c r="K50" s="32">
        <f>'GHG detailed, absolute'!K50/Production!$J$31*AF_offal</f>
        <v>1.5195381154418502E-5</v>
      </c>
      <c r="L50" s="32">
        <f>'GHG detailed, absolute'!L50/Production!$J$31*AF_offal</f>
        <v>2.9043058500877822E-7</v>
      </c>
      <c r="M50" s="32"/>
      <c r="N50" s="32">
        <f>'GHG detailed, absolute'!N50/Production!$J$31*AF_offal</f>
        <v>5.8097589420827618E-10</v>
      </c>
      <c r="O50" s="32">
        <f>'GHG detailed, absolute'!O50/Production!$J$31*AF_offal</f>
        <v>4.2007017323442327E-7</v>
      </c>
      <c r="P50" s="32">
        <f>'GHG detailed, absolute'!P50/Production!$J$31*AF_offal</f>
        <v>0</v>
      </c>
      <c r="Q50" s="32">
        <f>'GHG detailed, absolute'!Q50/Production!$J$31*AF_offal</f>
        <v>7.6821312231584775E-7</v>
      </c>
      <c r="R50" s="32">
        <f>'GHG detailed, absolute'!R50/Production!$J$31*AF_offal</f>
        <v>3.0784316485265462E-7</v>
      </c>
      <c r="T50" s="47">
        <f>'GHG detailed, absolute'!T50/Production!$J$31*AF_offal</f>
        <v>2.0719162319692253E-5</v>
      </c>
      <c r="U50" s="9">
        <f>'GHG detailed, absolute'!U50/Production!$J$31*AF_offal</f>
        <v>7.678598495234871E-6</v>
      </c>
      <c r="V50" s="63">
        <f>'GHG detailed, absolute'!V50/Production!$J$31*AF_offal</f>
        <v>1.304056382445738E-5</v>
      </c>
      <c r="W50" s="4">
        <f>'GHG detailed, absolute'!W50/Production!$J$31*AF_offal</f>
        <v>7.4386767700867441E-7</v>
      </c>
      <c r="X50" s="12">
        <f>'GHG detailed, absolute'!X50/Production!$J$31*AF_offal</f>
        <v>7.6774047822045362E-7</v>
      </c>
      <c r="Z50" s="32"/>
      <c r="AA50" s="32"/>
    </row>
    <row r="51" spans="1:29" ht="15.5" customHeight="1" thickTop="1" thickBot="1" x14ac:dyDescent="0.25">
      <c r="A51" s="164" t="s">
        <v>136</v>
      </c>
      <c r="B51" s="164" t="s">
        <v>137</v>
      </c>
      <c r="C51" s="165" t="s">
        <v>138</v>
      </c>
      <c r="D51" s="201" t="s">
        <v>63</v>
      </c>
      <c r="E51" s="36" t="s">
        <v>64</v>
      </c>
      <c r="F51" s="167" t="s">
        <v>48</v>
      </c>
      <c r="G51" s="178">
        <f>'GHG detailed, absolute'!G51/Production!$J$31*AF_offal</f>
        <v>0.20743189750187557</v>
      </c>
      <c r="H51" s="168">
        <f>'GHG detailed, absolute'!H51/Production!$J$31*AF_offal</f>
        <v>1.3519485693943298E-2</v>
      </c>
      <c r="I51" s="168">
        <f>'GHG detailed, absolute'!I51/Production!$J$31*AF_offal</f>
        <v>8.3131959937561301E-3</v>
      </c>
      <c r="J51" s="168">
        <f>'GHG detailed, absolute'!J51/Production!$J$31*AF_offal</f>
        <v>4.1483390551562513E-2</v>
      </c>
      <c r="K51" s="168">
        <f>'GHG detailed, absolute'!K51/Production!$J$31*AF_offal</f>
        <v>4.1483390551562511E-3</v>
      </c>
      <c r="L51" s="168">
        <f>'GHG detailed, absolute'!L51/Production!$J$31*AF_offal</f>
        <v>1.1030304412643001E-2</v>
      </c>
      <c r="M51" s="168">
        <f>'GHG detailed, absolute'!M51/Production!$J$31*AF_offal</f>
        <v>0</v>
      </c>
      <c r="N51" s="168">
        <f>'GHG detailed, absolute'!N51/Production!$J$31*AF_offal</f>
        <v>1.5202524937785116E-5</v>
      </c>
      <c r="O51" s="168">
        <f>'GHG detailed, absolute'!O51/Production!$J$31*AF_offal</f>
        <v>1.4646639443456242E-2</v>
      </c>
      <c r="P51" s="168">
        <f>'GHG detailed, absolute'!P51/Production!$J$31*AF_offal</f>
        <v>1.4902114811462584E-2</v>
      </c>
      <c r="Q51" s="168">
        <f>'GHG detailed, absolute'!Q51/Production!$J$31*AF_offal</f>
        <v>1.9650840758905715E-2</v>
      </c>
      <c r="R51" s="168">
        <f>'GHG detailed, absolute'!R51/Production!$J$31*AF_offal</f>
        <v>8.9138018887786764E-3</v>
      </c>
      <c r="S51" s="168">
        <f>'GHG detailed, absolute'!S51/Production!$J$31*AF_offal</f>
        <v>0</v>
      </c>
      <c r="T51" s="168">
        <f>'GHG detailed, absolute'!T51/Production!$J$31*AF_offal</f>
        <v>1.2862322750385164E-2</v>
      </c>
      <c r="U51" s="169"/>
      <c r="V51" s="169"/>
      <c r="W51" s="168">
        <f>'GHG detailed, absolute'!W51/Production!$J$31*AF_offal</f>
        <v>1.7966778917783716E-2</v>
      </c>
      <c r="X51" s="168">
        <f>'GHG detailed, absolute'!X51/Production!$J$31*AF_offal</f>
        <v>3.9979480699104522E-2</v>
      </c>
      <c r="Z51" s="113">
        <f>'GHG detailed, absolute'!Z51/Production!$J$31*AF_offal</f>
        <v>0.13662331513460219</v>
      </c>
      <c r="AA51" s="200">
        <f>'GHG detailed, absolute'!AA51/Production!$J$31*AF_offal</f>
        <v>4.0331463526312797E-2</v>
      </c>
    </row>
    <row r="52" spans="1:29" ht="15" customHeight="1" thickTop="1" x14ac:dyDescent="0.2">
      <c r="A52" s="170" t="s">
        <v>136</v>
      </c>
      <c r="B52" s="170" t="s">
        <v>137</v>
      </c>
      <c r="C52" s="171" t="s">
        <v>138</v>
      </c>
      <c r="D52" t="s">
        <v>65</v>
      </c>
      <c r="E52" s="155" t="s">
        <v>66</v>
      </c>
      <c r="F52" s="172" t="s">
        <v>44</v>
      </c>
      <c r="G52" s="173">
        <f>'GHG detailed, absolute'!G52/Production!$K$31*AF_offal</f>
        <v>0.10432761863809487</v>
      </c>
      <c r="H52" s="173">
        <f>'GHG detailed, absolute'!H52/Production!$K$31*AF_offal</f>
        <v>1.0298502461149751E-2</v>
      </c>
      <c r="I52" s="173">
        <f>'GHG detailed, absolute'!I52/Production!$K$31*AF_offal</f>
        <v>7.5317328785035045E-3</v>
      </c>
      <c r="J52" s="173">
        <f>'GHG detailed, absolute'!J52/Production!$K$31*AF_offal</f>
        <v>0</v>
      </c>
      <c r="K52" s="173"/>
      <c r="L52" s="173">
        <f>'GHG detailed, absolute'!L52/Production!$K$31*AF_offal</f>
        <v>1.3166428930210588E-2</v>
      </c>
      <c r="M52" s="173"/>
      <c r="N52" s="173">
        <f>'GHG detailed, absolute'!N52/Production!$K$31*AF_offal</f>
        <v>2.2632160990593004E-3</v>
      </c>
      <c r="O52" s="173">
        <f>'GHG detailed, absolute'!O52/Production!$K$31*AF_offal</f>
        <v>1.0839177736259632E-2</v>
      </c>
      <c r="P52" s="173">
        <f>'GHG detailed, absolute'!P52/Production!$K$31*AF_offal</f>
        <v>1.7049105108629427E-2</v>
      </c>
      <c r="Q52" s="173">
        <f>'GHG detailed, absolute'!Q52/Production!$K$31*AF_offal</f>
        <v>4.390564905616034E-3</v>
      </c>
      <c r="R52" s="173">
        <f>'GHG detailed, absolute'!R52/Production!$K$31*AF_offal</f>
        <v>1.418120590849874E-2</v>
      </c>
      <c r="S52" s="154"/>
      <c r="T52" s="154"/>
      <c r="U52" s="174"/>
      <c r="V52" s="174"/>
      <c r="W52" s="175">
        <f>'GHG detailed, absolute'!W52/Production!$K$31*AF_offal</f>
        <v>9.3982097261115574E-3</v>
      </c>
      <c r="X52" s="176">
        <f>'GHG detailed, absolute'!X52/Production!$K$31*AF_offal</f>
        <v>1.5209474884056322E-2</v>
      </c>
      <c r="Z52" s="20"/>
      <c r="AA52" s="20"/>
    </row>
    <row r="53" spans="1:29" x14ac:dyDescent="0.2">
      <c r="A53" s="13" t="s">
        <v>136</v>
      </c>
      <c r="B53" s="13" t="s">
        <v>137</v>
      </c>
      <c r="C53" s="17" t="s">
        <v>138</v>
      </c>
      <c r="D53" t="s">
        <v>65</v>
      </c>
      <c r="E53" s="18" t="s">
        <v>66</v>
      </c>
      <c r="F53" s="13" t="s">
        <v>45</v>
      </c>
      <c r="G53" s="32">
        <f>'GHG detailed, absolute'!G53/Production!$K$31*AF_offal</f>
        <v>1.4600521933922492E-4</v>
      </c>
      <c r="H53" s="33">
        <f>'GHG detailed, absolute'!H53/Production!$K$31*AF_offal</f>
        <v>2.4724261261538533E-6</v>
      </c>
      <c r="I53" s="33">
        <f>'GHG detailed, absolute'!I53/Production!$K$31*AF_offal</f>
        <v>2.7722992482535378E-5</v>
      </c>
      <c r="J53" s="33"/>
      <c r="K53" s="33"/>
      <c r="L53" s="33">
        <f>'GHG detailed, absolute'!L53/Production!$K$31*AF_offal</f>
        <v>5.8272996443163059E-6</v>
      </c>
      <c r="M53" s="33"/>
      <c r="N53" s="33">
        <f>'GHG detailed, absolute'!N53/Production!$K$31*AF_offal</f>
        <v>6.6878110009631856E-6</v>
      </c>
      <c r="O53" s="33">
        <f>'GHG detailed, absolute'!O53/Production!$K$31*AF_offal</f>
        <v>8.0767349292989468E-6</v>
      </c>
      <c r="P53" s="33">
        <f>'GHG detailed, absolute'!P53/Production!$K$31*AF_offal</f>
        <v>1.3650310878748122E-7</v>
      </c>
      <c r="Q53" s="33">
        <f>'GHG detailed, absolute'!Q53/Production!$K$31*AF_offal</f>
        <v>1.4477216478835372E-5</v>
      </c>
      <c r="R53" s="33">
        <f>'GHG detailed, absolute'!R53/Production!$K$31*AF_offal</f>
        <v>1.1582224626813234E-5</v>
      </c>
      <c r="W53" s="4">
        <f>'GHG detailed, absolute'!W53/Production!$K$31*AF_offal</f>
        <v>1.2161284051602258E-5</v>
      </c>
      <c r="X53" s="12">
        <f>'GHG detailed, absolute'!X53/Production!$K$31*AF_offal</f>
        <v>5.686072688991891E-5</v>
      </c>
      <c r="Z53" s="32"/>
      <c r="AA53" s="32"/>
    </row>
    <row r="54" spans="1:29" x14ac:dyDescent="0.2">
      <c r="A54" s="13" t="s">
        <v>136</v>
      </c>
      <c r="B54" s="13" t="s">
        <v>137</v>
      </c>
      <c r="C54" s="17" t="s">
        <v>138</v>
      </c>
      <c r="D54" t="s">
        <v>65</v>
      </c>
      <c r="E54" s="18" t="s">
        <v>66</v>
      </c>
      <c r="F54" s="13" t="s">
        <v>46</v>
      </c>
      <c r="G54" s="32">
        <f>'GHG detailed, absolute'!G54/Production!$K$31*AF_offal</f>
        <v>2.4159882038055812E-4</v>
      </c>
      <c r="H54" s="33"/>
      <c r="I54" s="33"/>
      <c r="J54" s="33"/>
      <c r="K54" s="33"/>
      <c r="L54" s="33"/>
      <c r="M54" s="33"/>
      <c r="N54" s="33"/>
      <c r="O54" s="33"/>
      <c r="P54" s="33"/>
      <c r="Q54" s="33"/>
      <c r="R54" s="33"/>
      <c r="T54" s="47">
        <f>'GHG detailed, absolute'!T54/Production!$K$31*AF_offal</f>
        <v>2.4159882038055812E-4</v>
      </c>
      <c r="U54" s="63">
        <f>'GHG detailed, absolute'!U54/Production!$K$31*AF_offal</f>
        <v>2.4159882038055812E-4</v>
      </c>
      <c r="W54" s="4"/>
      <c r="X54" s="12"/>
    </row>
    <row r="55" spans="1:29" ht="15" customHeight="1" thickBot="1" x14ac:dyDescent="0.25">
      <c r="A55" s="13" t="s">
        <v>136</v>
      </c>
      <c r="B55" s="13" t="s">
        <v>137</v>
      </c>
      <c r="C55" s="17" t="s">
        <v>138</v>
      </c>
      <c r="D55" t="s">
        <v>65</v>
      </c>
      <c r="E55" s="18" t="s">
        <v>66</v>
      </c>
      <c r="F55" s="34" t="s">
        <v>47</v>
      </c>
      <c r="G55" s="32">
        <f>'GHG detailed, absolute'!G55/Production!$K$31*AF_offal</f>
        <v>1.9473582595679146E-4</v>
      </c>
      <c r="H55" s="33">
        <f>'GHG detailed, absolute'!H55/Production!$K$31*AF_offal</f>
        <v>3.765306175400444E-6</v>
      </c>
      <c r="I55" s="32">
        <f>'GHG detailed, absolute'!I55/Production!$K$31*AF_offal</f>
        <v>3.0684837653162415E-7</v>
      </c>
      <c r="J55" s="32">
        <f>'GHG detailed, absolute'!J55/Production!$K$31*AF_offal</f>
        <v>1.4363281925324558E-4</v>
      </c>
      <c r="K55" s="32">
        <f>'GHG detailed, absolute'!K55/Production!$K$31*AF_offal</f>
        <v>1.4363281925324558E-5</v>
      </c>
      <c r="L55" s="32">
        <f>'GHG detailed, absolute'!L55/Production!$K$31*AF_offal</f>
        <v>3.5378707873590099E-7</v>
      </c>
      <c r="M55" s="32"/>
      <c r="N55" s="32">
        <f>'GHG detailed, absolute'!N55/Production!$K$31*AF_offal</f>
        <v>9.7266456160994221E-8</v>
      </c>
      <c r="O55" s="32">
        <f>'GHG detailed, absolute'!O55/Production!$K$31*AF_offal</f>
        <v>3.9821087157592777E-7</v>
      </c>
      <c r="P55" s="32">
        <f>'GHG detailed, absolute'!P55/Production!$K$31*AF_offal</f>
        <v>0</v>
      </c>
      <c r="Q55" s="32">
        <f>'GHG detailed, absolute'!Q55/Production!$K$31*AF_offal</f>
        <v>8.301311329689525E-7</v>
      </c>
      <c r="R55" s="32">
        <f>'GHG detailed, absolute'!R55/Production!$K$31*AF_offal</f>
        <v>5.308562874661323E-7</v>
      </c>
      <c r="T55" s="47">
        <f>'GHG detailed, absolute'!T55/Production!$K$31*AF_offal</f>
        <v>2.9173992146169976E-5</v>
      </c>
      <c r="U55" s="9">
        <f>'GHG detailed, absolute'!U55/Production!$K$31*AF_offal</f>
        <v>1.0811989825508643E-5</v>
      </c>
      <c r="V55" s="63">
        <f>'GHG detailed, absolute'!V55/Production!$K$31*AF_offal</f>
        <v>1.8362002320661331E-5</v>
      </c>
      <c r="W55" s="4">
        <f>'GHG detailed, absolute'!W55/Production!$K$31*AF_offal</f>
        <v>6.8468348018926018E-7</v>
      </c>
      <c r="X55" s="12">
        <f>'GHG detailed, absolute'!X55/Production!$K$31*AF_offal</f>
        <v>5.9864277302212664E-7</v>
      </c>
      <c r="Z55" s="32"/>
      <c r="AA55" s="32"/>
    </row>
    <row r="56" spans="1:29" ht="15.5" customHeight="1" thickTop="1" thickBot="1" x14ac:dyDescent="0.25">
      <c r="A56" s="164" t="s">
        <v>136</v>
      </c>
      <c r="B56" s="164" t="s">
        <v>137</v>
      </c>
      <c r="C56" s="165" t="s">
        <v>138</v>
      </c>
      <c r="D56" s="201" t="s">
        <v>65</v>
      </c>
      <c r="E56" s="166" t="s">
        <v>66</v>
      </c>
      <c r="F56" s="167" t="s">
        <v>48</v>
      </c>
      <c r="G56" s="178">
        <f>'GHG detailed, absolute'!G56/Production!$K$31*AF_offal</f>
        <v>0.16836462281088288</v>
      </c>
      <c r="H56" s="295">
        <f>'GHG detailed, absolute'!H56/Production!$K$31*AF_offal</f>
        <v>1.1400109345593457E-2</v>
      </c>
      <c r="I56" s="295">
        <f>'GHG detailed, absolute'!I56/Production!$K$31*AF_offal</f>
        <v>8.4416476612761918E-3</v>
      </c>
      <c r="J56" s="295">
        <f>'GHG detailed, absolute'!J56/Production!$K$31*AF_offal</f>
        <v>3.921175965613604E-2</v>
      </c>
      <c r="K56" s="295">
        <f>'GHG detailed, absolute'!K56/Production!$K$31*AF_offal</f>
        <v>3.9211759656136045E-3</v>
      </c>
      <c r="L56" s="295">
        <f>'GHG detailed, absolute'!L56/Production!$K$31*AF_offal</f>
        <v>1.3436666332106115E-2</v>
      </c>
      <c r="M56" s="295">
        <f>'GHG detailed, absolute'!M56/Production!$K$31*AF_offal</f>
        <v>0</v>
      </c>
      <c r="N56" s="295">
        <f>'GHG detailed, absolute'!N56/Production!$K$31*AF_offal</f>
        <v>2.4890666094199549E-3</v>
      </c>
      <c r="O56" s="295">
        <f>'GHG detailed, absolute'!O56/Production!$K$31*AF_offal</f>
        <v>1.118857600509297E-2</v>
      </c>
      <c r="P56" s="295">
        <f>'GHG detailed, absolute'!P56/Production!$K$31*AF_offal</f>
        <v>1.7053172901271292E-2</v>
      </c>
      <c r="Q56" s="295">
        <f>'GHG detailed, absolute'!Q56/Production!$K$31*AF_offal</f>
        <v>5.0486117559858526E-3</v>
      </c>
      <c r="R56" s="295">
        <f>'GHG detailed, absolute'!R56/Production!$K$31*AF_offal</f>
        <v>1.4671279968856029E-2</v>
      </c>
      <c r="S56" s="295">
        <f>'GHG detailed, absolute'!S56/Production!$K$31*AF_offal</f>
        <v>0</v>
      </c>
      <c r="T56" s="295">
        <f>'GHG detailed, absolute'!T56/Production!$K$31*AF_offal</f>
        <v>1.4487668006179474E-2</v>
      </c>
      <c r="U56" s="295"/>
      <c r="V56" s="295"/>
      <c r="W56" s="295">
        <f>'GHG detailed, absolute'!W56/Production!$K$31*AF_offal</f>
        <v>9.9475345809409699E-3</v>
      </c>
      <c r="X56" s="295">
        <f>'GHG detailed, absolute'!X56/Production!$K$31*AF_offal</f>
        <v>1.7067354022410944E-2</v>
      </c>
      <c r="Z56" s="113">
        <f>'GHG detailed, absolute'!Z56/Production!$K$31*AF_offal</f>
        <v>0.12686206620135151</v>
      </c>
      <c r="AA56" s="200" t="e">
        <f>'GHG detailed, absolute'!AA56/Production!$K$31*AF_offal</f>
        <v>#REF!</v>
      </c>
    </row>
    <row r="57" spans="1:29" ht="15" customHeight="1" thickTop="1" x14ac:dyDescent="0.2">
      <c r="A57" s="13" t="s">
        <v>136</v>
      </c>
      <c r="B57" s="13" t="s">
        <v>137</v>
      </c>
      <c r="C57" s="17" t="s">
        <v>138</v>
      </c>
      <c r="D57" s="18" t="s">
        <v>67</v>
      </c>
      <c r="E57" s="18" t="s">
        <v>68</v>
      </c>
      <c r="F57" s="35" t="s">
        <v>44</v>
      </c>
      <c r="G57" s="173">
        <f>'GHG detailed, absolute'!G57/Production!$L$31*AF_offal</f>
        <v>0.10240430270602205</v>
      </c>
      <c r="H57" s="20">
        <f>'GHG detailed, absolute'!H57/Production!$L$31*AF_offal</f>
        <v>1.2639984971343533E-2</v>
      </c>
      <c r="I57" s="20">
        <f>'GHG detailed, absolute'!I57/Production!$L$31*AF_offal</f>
        <v>8.2219159898480609E-3</v>
      </c>
      <c r="J57" s="20">
        <f>'GHG detailed, absolute'!J57/Production!$L$31*AF_offal</f>
        <v>0</v>
      </c>
      <c r="K57" s="20"/>
      <c r="L57" s="20">
        <f>'GHG detailed, absolute'!L57/Production!$L$31*AF_offal</f>
        <v>1.1077198934229043E-2</v>
      </c>
      <c r="M57" s="20"/>
      <c r="N57" s="20">
        <f>'GHG detailed, absolute'!N57/Production!$L$31*AF_offal</f>
        <v>3.1363733476170965E-5</v>
      </c>
      <c r="O57" s="20">
        <f>'GHG detailed, absolute'!O57/Production!$L$31*AF_offal</f>
        <v>1.1286946845192495E-2</v>
      </c>
      <c r="P57" s="20">
        <f>'GHG detailed, absolute'!P57/Production!$L$31*AF_offal</f>
        <v>2.5568748924248437E-2</v>
      </c>
      <c r="Q57" s="20">
        <f>'GHG detailed, absolute'!Q57/Production!$L$31*AF_offal</f>
        <v>2.6400533919006997E-3</v>
      </c>
      <c r="R57" s="20">
        <f>'GHG detailed, absolute'!R57/Production!$L$31*AF_offal</f>
        <v>1.6874077001175221E-2</v>
      </c>
      <c r="W57" s="4">
        <f>'GHG detailed, absolute'!W57/Production!$L$31*AF_offal</f>
        <v>8.3231024289285235E-3</v>
      </c>
      <c r="X57" s="12">
        <f>'GHG detailed, absolute'!X57/Production!$L$31*AF_offal</f>
        <v>5.7409104856798506E-3</v>
      </c>
    </row>
    <row r="58" spans="1:29" x14ac:dyDescent="0.2">
      <c r="A58" s="13" t="s">
        <v>136</v>
      </c>
      <c r="B58" s="13" t="s">
        <v>137</v>
      </c>
      <c r="C58" s="17" t="s">
        <v>138</v>
      </c>
      <c r="D58" s="18" t="s">
        <v>67</v>
      </c>
      <c r="E58" s="18" t="s">
        <v>68</v>
      </c>
      <c r="F58" s="13" t="s">
        <v>45</v>
      </c>
      <c r="G58" s="32">
        <f>'GHG detailed, absolute'!G58/Production!$L$31*AF_offal</f>
        <v>8.6477428249449675E-5</v>
      </c>
      <c r="H58" s="33">
        <f>'GHG detailed, absolute'!H58/Production!$L$31*AF_offal</f>
        <v>6.8846908454886424E-6</v>
      </c>
      <c r="I58" s="33">
        <f>'GHG detailed, absolute'!I58/Production!$L$31*AF_offal</f>
        <v>3.3293677455594689E-5</v>
      </c>
      <c r="J58" s="33"/>
      <c r="K58" s="33"/>
      <c r="L58" s="33">
        <f>'GHG detailed, absolute'!L58/Production!$L$31*AF_offal</f>
        <v>4.8890289865453605E-6</v>
      </c>
      <c r="M58" s="33"/>
      <c r="N58" s="33">
        <f>'GHG detailed, absolute'!N58/Production!$L$31*AF_offal</f>
        <v>8.8820520576563288E-8</v>
      </c>
      <c r="O58" s="33">
        <f>'GHG detailed, absolute'!O58/Production!$L$31*AF_offal</f>
        <v>5.1761639049779851E-6</v>
      </c>
      <c r="P58" s="33">
        <f>'GHG detailed, absolute'!P58/Production!$L$31*AF_offal</f>
        <v>5.0616380061722073E-7</v>
      </c>
      <c r="Q58" s="33">
        <f>'GHG detailed, absolute'!Q58/Production!$L$31*AF_offal</f>
        <v>9.2242429522999798E-6</v>
      </c>
      <c r="R58" s="33">
        <f>'GHG detailed, absolute'!R58/Production!$L$31*AF_offal</f>
        <v>1.2927714944921585E-5</v>
      </c>
      <c r="W58" s="4">
        <f>'GHG detailed, absolute'!W58/Production!$L$31*AF_offal</f>
        <v>4.7430237108105241E-6</v>
      </c>
      <c r="X58" s="12">
        <f>'GHG detailed, absolute'!X58/Production!$L$31*AF_offal</f>
        <v>8.7439011276171353E-6</v>
      </c>
    </row>
    <row r="59" spans="1:29" x14ac:dyDescent="0.2">
      <c r="A59" s="13" t="s">
        <v>136</v>
      </c>
      <c r="B59" s="13" t="s">
        <v>137</v>
      </c>
      <c r="C59" s="17" t="s">
        <v>138</v>
      </c>
      <c r="D59" s="18" t="s">
        <v>67</v>
      </c>
      <c r="E59" s="18" t="s">
        <v>68</v>
      </c>
      <c r="F59" s="13" t="s">
        <v>46</v>
      </c>
      <c r="G59" s="32">
        <f>'GHG detailed, absolute'!G59/Production!$L$31*AF_offal</f>
        <v>1.7705025451884623E-4</v>
      </c>
      <c r="H59" s="33"/>
      <c r="I59" s="33"/>
      <c r="J59" s="33"/>
      <c r="K59" s="33"/>
      <c r="L59" s="33"/>
      <c r="M59" s="33"/>
      <c r="N59" s="33"/>
      <c r="O59" s="33"/>
      <c r="P59" s="33"/>
      <c r="Q59" s="33"/>
      <c r="R59" s="33"/>
      <c r="T59" s="47">
        <f>'GHG detailed, absolute'!T59/Production!$L$31*AF_offal</f>
        <v>1.7705025451884623E-4</v>
      </c>
      <c r="U59" s="63">
        <f>'GHG detailed, absolute'!U59/Production!$L$31*AF_offal</f>
        <v>1.7705025451884623E-4</v>
      </c>
      <c r="W59" s="4"/>
      <c r="X59" s="12"/>
    </row>
    <row r="60" spans="1:29" ht="15" customHeight="1" thickBot="1" x14ac:dyDescent="0.25">
      <c r="A60" s="13" t="s">
        <v>136</v>
      </c>
      <c r="B60" s="13" t="s">
        <v>137</v>
      </c>
      <c r="C60" s="17" t="s">
        <v>138</v>
      </c>
      <c r="D60" s="18" t="s">
        <v>67</v>
      </c>
      <c r="E60" s="18" t="s">
        <v>68</v>
      </c>
      <c r="F60" s="34" t="s">
        <v>47</v>
      </c>
      <c r="G60" s="32">
        <f>'GHG detailed, absolute'!G60/Production!$L$31*AF_offal</f>
        <v>2.0749264355099557E-4</v>
      </c>
      <c r="H60" s="33">
        <f>'GHG detailed, absolute'!H60/Production!$L$31*AF_offal</f>
        <v>1.0920701243959627E-5</v>
      </c>
      <c r="I60" s="32">
        <f>'GHG detailed, absolute'!I60/Production!$L$31*AF_offal</f>
        <v>3.3496694773455071E-7</v>
      </c>
      <c r="J60" s="32">
        <f>'GHG detailed, absolute'!J60/Production!$L$31*AF_offal</f>
        <v>1.5646921784011198E-4</v>
      </c>
      <c r="K60" s="32">
        <f>'GHG detailed, absolute'!K60/Production!$L$31*AF_offal</f>
        <v>1.5646921784011201E-5</v>
      </c>
      <c r="L60" s="32">
        <f>'GHG detailed, absolute'!L60/Production!$L$31*AF_offal</f>
        <v>2.9764865418634403E-7</v>
      </c>
      <c r="M60" s="32"/>
      <c r="N60" s="32">
        <f>'GHG detailed, absolute'!N60/Production!$L$31*AF_offal</f>
        <v>1.3182811917563758E-9</v>
      </c>
      <c r="O60" s="32">
        <f>'GHG detailed, absolute'!O60/Production!$L$31*AF_offal</f>
        <v>4.2607234717985436E-7</v>
      </c>
      <c r="P60" s="32">
        <f>'GHG detailed, absolute'!P60/Production!$L$31*AF_offal</f>
        <v>0</v>
      </c>
      <c r="Q60" s="32">
        <f>'GHG detailed, absolute'!Q60/Production!$L$31*AF_offal</f>
        <v>9.1456294623614077E-7</v>
      </c>
      <c r="R60" s="32">
        <f>'GHG detailed, absolute'!R60/Production!$L$31*AF_offal</f>
        <v>6.0058656060460002E-7</v>
      </c>
      <c r="T60" s="47">
        <f>'GHG detailed, absolute'!T60/Production!$L$31*AF_offal</f>
        <v>2.0675213730224475E-5</v>
      </c>
      <c r="U60" s="9">
        <f>'GHG detailed, absolute'!U60/Production!$L$31*AF_offal</f>
        <v>7.6623109847772573E-6</v>
      </c>
      <c r="V60" s="63">
        <f>'GHG detailed, absolute'!V60/Production!$L$31*AF_offal</f>
        <v>1.3012902745447221E-5</v>
      </c>
      <c r="W60" s="4">
        <f>'GHG detailed, absolute'!W60/Production!$L$31*AF_offal</f>
        <v>7.167704599225587E-7</v>
      </c>
      <c r="X60" s="12">
        <f>'GHG detailed, absolute'!X60/Production!$L$31*AF_offal</f>
        <v>4.8866275563247704E-7</v>
      </c>
    </row>
    <row r="61" spans="1:29" ht="15.5" customHeight="1" thickTop="1" thickBot="1" x14ac:dyDescent="0.25">
      <c r="A61" s="51" t="s">
        <v>136</v>
      </c>
      <c r="B61" s="51" t="s">
        <v>137</v>
      </c>
      <c r="C61" s="72" t="s">
        <v>138</v>
      </c>
      <c r="D61" s="36" t="s">
        <v>67</v>
      </c>
      <c r="E61" s="36" t="s">
        <v>68</v>
      </c>
      <c r="F61" s="37" t="s">
        <v>48</v>
      </c>
      <c r="G61" s="178">
        <f>'GHG detailed, absolute'!G61/Production!$L$31*AF_offal</f>
        <v>0.16640717862928622</v>
      </c>
      <c r="H61" s="215">
        <f>'GHG detailed, absolute'!H61/Production!$L$31*AF_offal</f>
        <v>1.5826500198140071E-2</v>
      </c>
      <c r="I61" s="168">
        <f>'GHG detailed, absolute'!I61/Production!$L$31*AF_offal</f>
        <v>9.3055135547563169E-3</v>
      </c>
      <c r="J61" s="168">
        <f>'GHG detailed, absolute'!J61/Production!$L$31*AF_offal</f>
        <v>4.2716096470350573E-2</v>
      </c>
      <c r="K61" s="168">
        <f>'GHG detailed, absolute'!K61/Production!$L$31*AF_offal</f>
        <v>4.2716096470350575E-3</v>
      </c>
      <c r="L61" s="168">
        <f>'GHG detailed, absolute'!L61/Production!$L$31*AF_offal</f>
        <v>1.1304150080620967E-2</v>
      </c>
      <c r="M61" s="168">
        <f>'GHG detailed, absolute'!M61/Production!$L$31*AF_offal</f>
        <v>0</v>
      </c>
      <c r="N61" s="168">
        <f>'GHG detailed, absolute'!N61/Production!$L$31*AF_offal</f>
        <v>3.4370475754702044E-5</v>
      </c>
      <c r="O61" s="168">
        <f>'GHG detailed, absolute'!O61/Production!$L$31*AF_offal</f>
        <v>1.1557514280340939E-2</v>
      </c>
      <c r="P61" s="168">
        <f>'GHG detailed, absolute'!P61/Production!$L$31*AF_offal</f>
        <v>2.5583832605506826E-2</v>
      </c>
      <c r="Q61" s="168">
        <f>'GHG detailed, absolute'!Q61/Production!$L$31*AF_offal</f>
        <v>3.1646115162017054E-3</v>
      </c>
      <c r="R61" s="168">
        <f>'GHG detailed, absolute'!R61/Production!$L$31*AF_offal</f>
        <v>1.7423283037578938E-2</v>
      </c>
      <c r="S61" s="168">
        <f>'GHG detailed, absolute'!S61/Production!$L$31*AF_offal</f>
        <v>0</v>
      </c>
      <c r="T61" s="168">
        <f>'GHG detailed, absolute'!T61/Production!$L$31*AF_offal</f>
        <v>1.0424690220360132E-2</v>
      </c>
      <c r="U61" s="169"/>
      <c r="V61" s="169"/>
      <c r="W61" s="168">
        <f>'GHG detailed, absolute'!W61/Production!$L$31*AF_offal</f>
        <v>8.6601228710695352E-3</v>
      </c>
      <c r="X61" s="168">
        <f>'GHG detailed, absolute'!X61/Production!$L$31*AF_offal</f>
        <v>6.1348836715705074E-3</v>
      </c>
      <c r="Z61" s="113">
        <f>'GHG detailed, absolute'!Z61/Production!$L$31*AF_offal</f>
        <v>0.14118748186628607</v>
      </c>
      <c r="AA61" s="200">
        <f>'GHG detailed, absolute'!AA61/Production!$L$31*AF_offal</f>
        <v>3.7818727969935038E-2</v>
      </c>
      <c r="AC61" s="293"/>
    </row>
    <row r="62" spans="1:29" ht="15" customHeight="1" thickTop="1" x14ac:dyDescent="0.2">
      <c r="A62" s="170" t="s">
        <v>136</v>
      </c>
      <c r="B62" s="170" t="s">
        <v>137</v>
      </c>
      <c r="C62" s="171" t="s">
        <v>138</v>
      </c>
      <c r="D62" s="155" t="s">
        <v>69</v>
      </c>
      <c r="E62" s="155" t="s">
        <v>70</v>
      </c>
      <c r="F62" s="172" t="s">
        <v>44</v>
      </c>
      <c r="G62" s="173">
        <f>'GHG detailed, absolute'!G62/Production!$M$31*AF_offal</f>
        <v>0.1058500429580438</v>
      </c>
      <c r="H62" s="20">
        <f>'GHG detailed, absolute'!H62/Production!$M$31*AF_offal</f>
        <v>1.0012405109347474E-2</v>
      </c>
      <c r="I62" s="20">
        <f>'GHG detailed, absolute'!I62/Production!$M$31*AF_offal</f>
        <v>7.2894019521177128E-3</v>
      </c>
      <c r="J62" s="20">
        <f>'GHG detailed, absolute'!J62/Production!$M$31*AF_offal</f>
        <v>0</v>
      </c>
      <c r="K62" s="20"/>
      <c r="L62" s="20">
        <f>'GHG detailed, absolute'!L62/Production!$M$31*AF_offal</f>
        <v>9.2382515850580188E-3</v>
      </c>
      <c r="M62" s="20"/>
      <c r="N62" s="20">
        <f>'GHG detailed, absolute'!N62/Production!$M$31*AF_offal</f>
        <v>3.2399532138308332E-5</v>
      </c>
      <c r="O62" s="20">
        <f>'GHG detailed, absolute'!O62/Production!$M$31*AF_offal</f>
        <v>1.1411805511444734E-2</v>
      </c>
      <c r="P62" s="20">
        <f>'GHG detailed, absolute'!P62/Production!$M$31*AF_offal</f>
        <v>1.7820896603337792E-2</v>
      </c>
      <c r="Q62" s="20">
        <f>'GHG detailed, absolute'!Q62/Production!$M$31*AF_offal</f>
        <v>4.1987957112978079E-3</v>
      </c>
      <c r="R62" s="20">
        <f>'GHG detailed, absolute'!R62/Production!$M$31*AF_offal</f>
        <v>1.5979001151954438E-2</v>
      </c>
      <c r="W62" s="4">
        <f>'GHG detailed, absolute'!W62/Production!$M$31*AF_offal</f>
        <v>1.0761758183084048E-2</v>
      </c>
      <c r="X62" s="12">
        <f>'GHG detailed, absolute'!X62/Production!$M$31*AF_offal</f>
        <v>1.9105327618263446E-2</v>
      </c>
    </row>
    <row r="63" spans="1:29" x14ac:dyDescent="0.2">
      <c r="A63" s="13" t="s">
        <v>136</v>
      </c>
      <c r="B63" s="13" t="s">
        <v>137</v>
      </c>
      <c r="C63" s="17" t="s">
        <v>138</v>
      </c>
      <c r="D63" s="18" t="s">
        <v>69</v>
      </c>
      <c r="E63" s="18" t="s">
        <v>70</v>
      </c>
      <c r="F63" s="13" t="s">
        <v>45</v>
      </c>
      <c r="G63" s="32">
        <f>'GHG detailed, absolute'!G63/Production!$M$31*AF_offal</f>
        <v>1.3055426400761339E-4</v>
      </c>
      <c r="H63" s="33">
        <f>'GHG detailed, absolute'!H63/Production!$M$31*AF_offal</f>
        <v>7.8904260874199862E-6</v>
      </c>
      <c r="I63" s="33">
        <f>'GHG detailed, absolute'!I63/Production!$M$31*AF_offal</f>
        <v>3.0836534869631192E-5</v>
      </c>
      <c r="J63" s="33"/>
      <c r="K63" s="33"/>
      <c r="L63" s="33">
        <f>'GHG detailed, absolute'!L63/Production!$M$31*AF_offal</f>
        <v>4.0710778583155162E-6</v>
      </c>
      <c r="M63" s="33"/>
      <c r="N63" s="33">
        <f>'GHG detailed, absolute'!N63/Production!$M$31*AF_offal</f>
        <v>8.9844913307413413E-8</v>
      </c>
      <c r="O63" s="33">
        <f>'GHG detailed, absolute'!O63/Production!$M$31*AF_offal</f>
        <v>6.5303470839723428E-6</v>
      </c>
      <c r="P63" s="33">
        <f>'GHG detailed, absolute'!P63/Production!$M$31*AF_offal</f>
        <v>6.4030180836253235E-7</v>
      </c>
      <c r="Q63" s="33">
        <f>'GHG detailed, absolute'!Q63/Production!$M$31*AF_offal</f>
        <v>1.0595435835016647E-5</v>
      </c>
      <c r="R63" s="33">
        <f>'GHG detailed, absolute'!R63/Production!$M$31*AF_offal</f>
        <v>1.1869345446233201E-5</v>
      </c>
      <c r="W63" s="4">
        <f>'GHG detailed, absolute'!W63/Production!$M$31*AF_offal</f>
        <v>9.3117497607442457E-6</v>
      </c>
      <c r="X63" s="12">
        <f>'GHG detailed, absolute'!X63/Production!$M$31*AF_offal</f>
        <v>4.8719200344610306E-5</v>
      </c>
    </row>
    <row r="64" spans="1:29" x14ac:dyDescent="0.2">
      <c r="A64" s="13" t="s">
        <v>136</v>
      </c>
      <c r="B64" s="13" t="s">
        <v>137</v>
      </c>
      <c r="C64" s="17" t="s">
        <v>138</v>
      </c>
      <c r="D64" s="18" t="s">
        <v>69</v>
      </c>
      <c r="E64" s="18" t="s">
        <v>70</v>
      </c>
      <c r="F64" s="13" t="s">
        <v>46</v>
      </c>
      <c r="G64" s="32">
        <f>'GHG detailed, absolute'!G64/Production!$M$31*AF_offal</f>
        <v>1.7792571449652296E-4</v>
      </c>
      <c r="H64" s="33"/>
      <c r="I64" s="33"/>
      <c r="J64" s="33"/>
      <c r="K64" s="33"/>
      <c r="L64" s="33"/>
      <c r="M64" s="33"/>
      <c r="N64" s="33"/>
      <c r="O64" s="33"/>
      <c r="P64" s="33"/>
      <c r="Q64" s="33"/>
      <c r="R64" s="33"/>
      <c r="T64" s="47">
        <f>'GHG detailed, absolute'!T64/Production!$M$31*AF_offal</f>
        <v>1.7792571449652296E-4</v>
      </c>
      <c r="U64" s="63">
        <f>'GHG detailed, absolute'!U64/Production!$M$31*AF_offal</f>
        <v>1.7792571449652296E-4</v>
      </c>
      <c r="W64" s="4"/>
      <c r="X64" s="12"/>
    </row>
    <row r="65" spans="1:27" ht="15" customHeight="1" thickBot="1" x14ac:dyDescent="0.25">
      <c r="A65" s="13" t="s">
        <v>136</v>
      </c>
      <c r="B65" s="13" t="s">
        <v>137</v>
      </c>
      <c r="C65" s="17" t="s">
        <v>138</v>
      </c>
      <c r="D65" s="18" t="s">
        <v>69</v>
      </c>
      <c r="E65" s="18" t="s">
        <v>70</v>
      </c>
      <c r="F65" s="34" t="s">
        <v>47</v>
      </c>
      <c r="G65" s="32">
        <f>'GHG detailed, absolute'!G65/Production!$M$31*AF_offal</f>
        <v>1.5658968652146606E-4</v>
      </c>
      <c r="H65" s="33">
        <f>'GHG detailed, absolute'!H65/Production!$M$31*AF_offal</f>
        <v>8.8502548144718418E-6</v>
      </c>
      <c r="I65" s="32">
        <f>'GHG detailed, absolute'!I65/Production!$M$31*AF_offal</f>
        <v>2.9697563508627724E-7</v>
      </c>
      <c r="J65" s="32">
        <f>'GHG detailed, absolute'!J65/Production!$M$31*AF_offal</f>
        <v>1.17966180182528E-4</v>
      </c>
      <c r="K65" s="32">
        <f>'GHG detailed, absolute'!K65/Production!$M$31*AF_offal</f>
        <v>1.17966180182528E-5</v>
      </c>
      <c r="L65" s="32">
        <f>'GHG detailed, absolute'!L65/Production!$M$31*AF_offal</f>
        <v>2.482354219378079E-7</v>
      </c>
      <c r="M65" s="32"/>
      <c r="N65" s="32">
        <f>'GHG detailed, absolute'!N65/Production!$M$31*AF_offal</f>
        <v>1.3632947491007213E-9</v>
      </c>
      <c r="O65" s="32">
        <f>'GHG detailed, absolute'!O65/Production!$M$31*AF_offal</f>
        <v>4.0649081849655082E-7</v>
      </c>
      <c r="P65" s="32">
        <f>'GHG detailed, absolute'!P65/Production!$M$31*AF_offal</f>
        <v>0</v>
      </c>
      <c r="Q65" s="32">
        <f>'GHG detailed, absolute'!Q65/Production!$M$31*AF_offal</f>
        <v>9.2393337456581938E-7</v>
      </c>
      <c r="R65" s="32">
        <f>'GHG detailed, absolute'!R65/Production!$M$31*AF_offal</f>
        <v>5.6777641302170361E-7</v>
      </c>
      <c r="T65" s="47">
        <f>'GHG detailed, absolute'!T65/Production!$M$31*AF_offal</f>
        <v>1.4170806588409568E-5</v>
      </c>
      <c r="U65" s="9">
        <f>'GHG detailed, absolute'!U65/Production!$M$31*AF_offal</f>
        <v>5.2517535442351002E-6</v>
      </c>
      <c r="V65" s="63">
        <f>'GHG detailed, absolute'!V65/Production!$M$31*AF_offal</f>
        <v>8.9190530441744678E-6</v>
      </c>
      <c r="W65" s="4">
        <f>'GHG detailed, absolute'!W65/Production!$M$31*AF_offal</f>
        <v>7.0483458934283364E-7</v>
      </c>
      <c r="X65" s="12">
        <f>'GHG detailed, absolute'!X65/Production!$M$31*AF_offal</f>
        <v>6.5621737060376537E-7</v>
      </c>
    </row>
    <row r="66" spans="1:27" ht="15.5" customHeight="1" thickTop="1" thickBot="1" x14ac:dyDescent="0.25">
      <c r="A66" s="164" t="s">
        <v>136</v>
      </c>
      <c r="B66" s="164" t="s">
        <v>137</v>
      </c>
      <c r="C66" s="165" t="s">
        <v>138</v>
      </c>
      <c r="D66" s="166" t="s">
        <v>69</v>
      </c>
      <c r="E66" s="166" t="s">
        <v>70</v>
      </c>
      <c r="F66" s="167" t="s">
        <v>48</v>
      </c>
      <c r="G66" s="178">
        <f>'GHG detailed, absolute'!G66/Production!$M$31*AF_offal</f>
        <v>0.15729353873723706</v>
      </c>
      <c r="H66" s="215">
        <f>'GHG detailed, absolute'!H66/Production!$M$31*AF_offal</f>
        <v>1.26636593711034E-2</v>
      </c>
      <c r="I66" s="168">
        <f>'GHG detailed, absolute'!I66/Production!$M$31*AF_offal</f>
        <v>8.2894050396112758E-3</v>
      </c>
      <c r="J66" s="168">
        <f>'GHG detailed, absolute'!J66/Production!$M$31*AF_offal</f>
        <v>3.2204767189830147E-2</v>
      </c>
      <c r="K66" s="168">
        <f>'GHG detailed, absolute'!K66/Production!$M$31*AF_offal</f>
        <v>3.2204767189830145E-3</v>
      </c>
      <c r="L66" s="168">
        <f>'GHG detailed, absolute'!L66/Production!$M$31*AF_offal</f>
        <v>9.4273379754248425E-3</v>
      </c>
      <c r="M66" s="168">
        <f>'GHG detailed, absolute'!M66/Production!$M$31*AF_offal</f>
        <v>0</v>
      </c>
      <c r="N66" s="168">
        <f>'GHG detailed, absolute'!N66/Production!$M$31*AF_offal</f>
        <v>3.544909002137375E-5</v>
      </c>
      <c r="O66" s="168">
        <f>'GHG detailed, absolute'!O66/Production!$M$31*AF_offal</f>
        <v>1.1717381847996665E-2</v>
      </c>
      <c r="P66" s="168">
        <f>'GHG detailed, absolute'!P66/Production!$M$31*AF_offal</f>
        <v>1.7839977597226993E-2</v>
      </c>
      <c r="Q66" s="168">
        <f>'GHG detailed, absolute'!Q66/Production!$M$31*AF_offal</f>
        <v>4.766773510437773E-3</v>
      </c>
      <c r="R66" s="168">
        <f>'GHG detailed, absolute'!R66/Production!$M$31*AF_offal</f>
        <v>1.648771060700711E-2</v>
      </c>
      <c r="S66" s="168">
        <f>'GHG detailed, absolute'!S66/Production!$M$31*AF_offal</f>
        <v>0</v>
      </c>
      <c r="T66" s="168">
        <f>'GHG detailed, absolute'!T66/Production!$M$31*AF_offal</f>
        <v>8.672624490041931E-3</v>
      </c>
      <c r="U66" s="169"/>
      <c r="V66" s="169"/>
      <c r="W66" s="168">
        <f>'GHG detailed, absolute'!W66/Production!$M$31*AF_offal</f>
        <v>1.1231668168844824E-2</v>
      </c>
      <c r="X66" s="168">
        <f>'GHG detailed, absolute'!X66/Production!$M$31*AF_offal</f>
        <v>2.0736307130707659E-2</v>
      </c>
      <c r="Z66" s="113">
        <f>'GHG detailed, absolute'!Z66/Production!$M$31*AF_offal</f>
        <v>0.11665293894764261</v>
      </c>
      <c r="AA66" s="200">
        <f>'GHG detailed, absolute'!AA66/Production!$M$31*AF_offal</f>
        <v>3.3399294012670701E-2</v>
      </c>
    </row>
    <row r="67" spans="1:27" ht="15" customHeight="1" thickTop="1" x14ac:dyDescent="0.2"/>
    <row r="68" spans="1:27" x14ac:dyDescent="0.2">
      <c r="F68" s="33"/>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1">
    <tabColor theme="5" tint="-0.249977111117893"/>
  </sheetPr>
  <dimension ref="A2:V20"/>
  <sheetViews>
    <sheetView zoomScale="61" workbookViewId="0">
      <selection activeCell="A7" sqref="A7:C7"/>
    </sheetView>
  </sheetViews>
  <sheetFormatPr baseColWidth="10" defaultColWidth="8.83203125" defaultRowHeight="15" x14ac:dyDescent="0.2"/>
  <cols>
    <col min="1" max="1" width="8.83203125" style="31" customWidth="1"/>
    <col min="2" max="2" width="22.83203125" customWidth="1"/>
    <col min="3" max="3" width="25.5" customWidth="1"/>
    <col min="4" max="4" width="16.5" customWidth="1"/>
    <col min="5" max="11" width="10.5" customWidth="1"/>
    <col min="12" max="13" width="14.6640625" customWidth="1"/>
    <col min="14" max="14" width="14.6640625" style="13" customWidth="1"/>
    <col min="15" max="20" width="14.6640625" customWidth="1"/>
    <col min="21" max="21" width="15.83203125" customWidth="1"/>
  </cols>
  <sheetData>
    <row r="2" spans="1:21" ht="21" customHeight="1" x14ac:dyDescent="0.25">
      <c r="A2" s="64" t="s">
        <v>141</v>
      </c>
      <c r="M2" s="214" t="s">
        <v>102</v>
      </c>
    </row>
    <row r="3" spans="1:21" x14ac:dyDescent="0.2">
      <c r="P3" s="8"/>
      <c r="R3" s="8"/>
      <c r="S3" s="9"/>
      <c r="T3" s="9"/>
      <c r="U3" s="9"/>
    </row>
    <row r="4" spans="1:21" x14ac:dyDescent="0.2">
      <c r="A4" s="85"/>
      <c r="B4" s="86"/>
      <c r="C4" s="86"/>
      <c r="D4" s="86"/>
      <c r="E4" s="86"/>
      <c r="F4" s="86"/>
      <c r="G4" s="86"/>
      <c r="H4" s="86"/>
      <c r="I4" s="86"/>
      <c r="J4" s="86"/>
      <c r="K4" s="86"/>
      <c r="L4" s="86"/>
      <c r="M4" s="86"/>
      <c r="N4" s="87"/>
      <c r="O4" s="86"/>
      <c r="P4" s="88"/>
      <c r="Q4" s="86"/>
      <c r="R4" s="88"/>
      <c r="S4" s="89"/>
      <c r="T4" s="89"/>
      <c r="U4" s="89"/>
    </row>
    <row r="5" spans="1:21" x14ac:dyDescent="0.2">
      <c r="A5" s="66" t="s">
        <v>8</v>
      </c>
      <c r="B5" s="46"/>
      <c r="C5" s="46"/>
      <c r="D5" s="53"/>
      <c r="E5" s="53"/>
      <c r="F5" s="235" t="s">
        <v>103</v>
      </c>
      <c r="G5" s="53"/>
      <c r="H5" s="53"/>
      <c r="I5" s="53"/>
      <c r="J5" s="53"/>
      <c r="K5" s="53"/>
      <c r="L5" s="39" t="s">
        <v>104</v>
      </c>
      <c r="M5" s="39" t="s">
        <v>105</v>
      </c>
      <c r="N5" s="39" t="s">
        <v>106</v>
      </c>
      <c r="O5" s="39" t="s">
        <v>107</v>
      </c>
      <c r="P5" s="40" t="s">
        <v>108</v>
      </c>
      <c r="Q5" s="40" t="s">
        <v>109</v>
      </c>
      <c r="R5" s="40" t="s">
        <v>110</v>
      </c>
      <c r="S5" s="40" t="s">
        <v>111</v>
      </c>
      <c r="T5" s="58" t="s">
        <v>112</v>
      </c>
      <c r="U5" s="58" t="s">
        <v>113</v>
      </c>
    </row>
    <row r="6" spans="1:21" s="10" customFormat="1" ht="43.5" customHeight="1" x14ac:dyDescent="0.2">
      <c r="A6" s="68" t="s">
        <v>114</v>
      </c>
      <c r="B6" s="67" t="s">
        <v>115</v>
      </c>
      <c r="C6" s="67" t="s">
        <v>116</v>
      </c>
      <c r="D6" s="69" t="s">
        <v>19</v>
      </c>
      <c r="E6" s="70" t="s">
        <v>20</v>
      </c>
      <c r="F6" s="234" t="s">
        <v>117</v>
      </c>
      <c r="G6" s="233" t="s">
        <v>118</v>
      </c>
      <c r="H6" s="234" t="s">
        <v>119</v>
      </c>
      <c r="I6" s="234" t="s">
        <v>120</v>
      </c>
      <c r="J6" s="234" t="s">
        <v>121</v>
      </c>
      <c r="K6" s="233" t="s">
        <v>122</v>
      </c>
      <c r="L6" s="74" t="s">
        <v>123</v>
      </c>
      <c r="M6" s="74" t="s">
        <v>124</v>
      </c>
      <c r="N6" s="74" t="s">
        <v>125</v>
      </c>
      <c r="O6" s="75" t="s">
        <v>126</v>
      </c>
      <c r="P6" s="76" t="s">
        <v>127</v>
      </c>
      <c r="Q6" s="77" t="s">
        <v>128</v>
      </c>
      <c r="R6" s="77" t="s">
        <v>129</v>
      </c>
      <c r="S6" s="77" t="s">
        <v>130</v>
      </c>
      <c r="T6" s="73" t="s">
        <v>131</v>
      </c>
      <c r="U6" s="73"/>
    </row>
    <row r="7" spans="1:21" x14ac:dyDescent="0.2">
      <c r="A7" s="13" t="s">
        <v>142</v>
      </c>
      <c r="B7" s="13" t="s">
        <v>143</v>
      </c>
      <c r="C7" s="17" t="s">
        <v>144</v>
      </c>
      <c r="D7" t="s">
        <v>99</v>
      </c>
      <c r="E7" t="s">
        <v>43</v>
      </c>
      <c r="F7" s="12">
        <f>'Footprints, absolute'!F7/Production!$B$59*AF_fat</f>
        <v>0.693218707491843</v>
      </c>
      <c r="G7" s="12">
        <f>'Footprints, absolute'!G7/Production!$B$59*AF_fat</f>
        <v>0.48394262288948126</v>
      </c>
      <c r="H7" s="47">
        <f>'Footprints, absolute'!H7/Production!$B$59*AF_fat</f>
        <v>5.2252719531392677E-4</v>
      </c>
      <c r="I7" s="47">
        <f>'Footprints, absolute'!I7/Production!$B$59*AF_fat</f>
        <v>6.7402517536399706E-4</v>
      </c>
      <c r="J7" s="47">
        <f>'Footprints, absolute'!J7/Production!$B$59*AF_fat</f>
        <v>6.4287946683948282E-4</v>
      </c>
      <c r="L7" s="19">
        <f>'Footprints, absolute'!L7/Production!$B$59*AF_fat</f>
        <v>2.0925003222521705</v>
      </c>
      <c r="M7" s="20">
        <f>'Footprints, absolute'!M7/Production!$B$59*AF_fat</f>
        <v>2.4024763914241947E-2</v>
      </c>
      <c r="N7" s="20">
        <f>'Footprints, absolute'!N7/Production!$B$59*AF_fat</f>
        <v>3.0760332946935926E-3</v>
      </c>
      <c r="O7" s="32">
        <f>'Footprints, absolute'!O7/Production!$B$59*AF_fat</f>
        <v>6.5326652354120033E-3</v>
      </c>
      <c r="P7" s="32">
        <f>'Footprints, absolute'!P7/Production!$B$59*AF_fat</f>
        <v>0.1750456143710418</v>
      </c>
      <c r="Q7" s="32">
        <f>'Footprints, absolute'!Q7/Production!$B$59*AF_fat</f>
        <v>5.6274797228802222E-11</v>
      </c>
      <c r="R7" s="32">
        <f>'Footprints, absolute'!R7/Production!$B$59*AF_fat</f>
        <v>1.933435656513326E-2</v>
      </c>
      <c r="S7" s="11"/>
      <c r="T7" s="5">
        <f>'Footprints, absolute'!T7*AF_fat</f>
        <v>1.6507138769857843</v>
      </c>
      <c r="U7" s="5">
        <f>'Footprints, absolute'!U7*AF_fat</f>
        <v>0.48677880468631252</v>
      </c>
    </row>
    <row r="8" spans="1:21" x14ac:dyDescent="0.2">
      <c r="A8" s="13" t="s">
        <v>142</v>
      </c>
      <c r="B8" s="13" t="s">
        <v>143</v>
      </c>
      <c r="C8" s="17" t="s">
        <v>144</v>
      </c>
      <c r="D8" t="s">
        <v>49</v>
      </c>
      <c r="E8" t="s">
        <v>50</v>
      </c>
      <c r="F8" s="12">
        <f>'Footprints, absolute'!F8/Production!$C$59*AF_fat</f>
        <v>0.56738533905110933</v>
      </c>
      <c r="G8" s="12">
        <f>'Footprints, absolute'!G8/Production!$C$59*AF_fat</f>
        <v>0.33175902337718582</v>
      </c>
      <c r="H8" s="47">
        <f>'Footprints, absolute'!H8/Production!$C$59*AF_fat</f>
        <v>4.7298769475345438E-4</v>
      </c>
      <c r="I8" s="47">
        <f>'Footprints, absolute'!I8/Production!$C$59*AF_fat</f>
        <v>8.7981372822270611E-4</v>
      </c>
      <c r="J8" s="47">
        <f>'Footprints, absolute'!J8/Production!$C$59*AF_fat</f>
        <v>7.244553542427013E-4</v>
      </c>
      <c r="L8" s="19">
        <f>'Footprints, absolute'!L8/Production!$C$59*AF_fat</f>
        <v>2.0248123846447084</v>
      </c>
      <c r="M8" s="20">
        <f>'Footprints, absolute'!M8/Production!$C$59*AF_fat</f>
        <v>1.7565013851183892E-2</v>
      </c>
      <c r="N8" s="20">
        <f>'Footprints, absolute'!N8/Production!$C$59*AF_fat</f>
        <v>3.3225496900941257E-3</v>
      </c>
      <c r="O8" s="32">
        <f>'Footprints, absolute'!O8/Production!$C$59*AF_fat</f>
        <v>1.7823769611638389E-2</v>
      </c>
      <c r="P8" s="32">
        <f>'Footprints, absolute'!P8/Production!$C$59*AF_fat</f>
        <v>0.40296103342603029</v>
      </c>
      <c r="Q8" s="32">
        <f>'Footprints, absolute'!Q8/Production!$C$59*AF_fat</f>
        <v>3.8218892667737599E-11</v>
      </c>
      <c r="R8" s="32">
        <f>'Footprints, absolute'!R8/Production!$C$59*AF_fat</f>
        <v>2.215736548375518E-2</v>
      </c>
      <c r="S8" s="11"/>
      <c r="T8" s="5">
        <f>'Footprints, absolute'!T8*AF_fat</f>
        <v>2.0641148544197527</v>
      </c>
      <c r="U8" s="5">
        <f>'Footprints, absolute'!U8*AF_fat</f>
        <v>0.71186686945180355</v>
      </c>
    </row>
    <row r="9" spans="1:21" x14ac:dyDescent="0.2">
      <c r="A9" s="13" t="s">
        <v>142</v>
      </c>
      <c r="B9" s="13" t="s">
        <v>143</v>
      </c>
      <c r="C9" s="17" t="s">
        <v>144</v>
      </c>
      <c r="D9" t="s">
        <v>51</v>
      </c>
      <c r="E9" t="s">
        <v>52</v>
      </c>
      <c r="F9" s="12">
        <f>'Footprints, absolute'!F9/Production!$D$59*AF_fat</f>
        <v>0.64711900089367524</v>
      </c>
      <c r="G9" s="12">
        <f>'Footprints, absolute'!G9/Production!$D$59*AF_fat</f>
        <v>0.39768657703350119</v>
      </c>
      <c r="H9" s="47">
        <f>'Footprints, absolute'!H9/Production!$D$59*AF_fat</f>
        <v>5.9324457367191459E-4</v>
      </c>
      <c r="I9" s="47">
        <f>'Footprints, absolute'!I9/Production!$D$59*AF_fat</f>
        <v>1.2942503908593308E-3</v>
      </c>
      <c r="J9" s="47">
        <f>'Footprints, absolute'!J9/Production!$D$59*AF_fat</f>
        <v>7.2091199637930032E-4</v>
      </c>
      <c r="K9" s="47"/>
      <c r="L9" s="19">
        <f>'Footprints, absolute'!L9/Production!$D$59*AF_fat</f>
        <v>1.9362320278818712</v>
      </c>
      <c r="M9" s="20">
        <f>'Footprints, absolute'!M9/Production!$D$59*AF_fat</f>
        <v>1.233703729571378E-2</v>
      </c>
      <c r="N9" s="20">
        <f>'Footprints, absolute'!N9/Production!$D$59*AF_fat</f>
        <v>3.0861960986046529E-3</v>
      </c>
      <c r="O9" s="32">
        <f>'Footprints, absolute'!O9/Production!$D$59*AF_fat</f>
        <v>6.1527249591485636E-3</v>
      </c>
      <c r="P9" s="32">
        <f>'Footprints, absolute'!P9/Production!$D$59*AF_fat</f>
        <v>0.33704615055657977</v>
      </c>
      <c r="Q9" s="32">
        <f>'Footprints, absolute'!Q9/Production!$D$59*AF_fat</f>
        <v>3.2891889003850623E-11</v>
      </c>
      <c r="R9" s="32">
        <f>'Footprints, absolute'!R9/Production!$D$59*AF_fat</f>
        <v>3.1726918859377472E-2</v>
      </c>
      <c r="S9" s="11"/>
      <c r="T9" s="5">
        <f>'Footprints, absolute'!T9*AF_fat</f>
        <v>1.8297043507029895</v>
      </c>
      <c r="U9" s="5">
        <f>'Footprints, absolute'!U9*AF_fat</f>
        <v>1.1926709285462358</v>
      </c>
    </row>
    <row r="10" spans="1:21" x14ac:dyDescent="0.2">
      <c r="A10" s="13" t="s">
        <v>142</v>
      </c>
      <c r="B10" s="13" t="s">
        <v>143</v>
      </c>
      <c r="C10" s="17" t="s">
        <v>144</v>
      </c>
      <c r="D10" t="s">
        <v>53</v>
      </c>
      <c r="E10" t="s">
        <v>54</v>
      </c>
      <c r="F10" s="12">
        <f>'Footprints, absolute'!F10/Production!$E$59*AF_fat</f>
        <v>0.87167117695782215</v>
      </c>
      <c r="G10" s="12">
        <f>'Footprints, absolute'!G10/Production!$E$59*AF_fat</f>
        <v>0.63315633830934825</v>
      </c>
      <c r="H10" s="47">
        <f>'Footprints, absolute'!H10/Production!$E$59*AF_fat</f>
        <v>9.2985016705399376E-4</v>
      </c>
      <c r="I10" s="47">
        <f>'Footprints, absolute'!I10/Production!$E$59*AF_fat</f>
        <v>1.1521011628666848E-3</v>
      </c>
      <c r="J10" s="47">
        <f>'Footprints, absolute'!J10/Production!$E$59*AF_fat</f>
        <v>6.5823652847202968E-4</v>
      </c>
      <c r="L10" s="19">
        <f>'Footprints, absolute'!L10/Production!$E$59*AF_fat</f>
        <v>4.5572600089184743</v>
      </c>
      <c r="M10" s="20">
        <f>'Footprints, absolute'!M10/Production!$E$59*AF_fat</f>
        <v>3.1512965494041284E-2</v>
      </c>
      <c r="N10" s="20">
        <f>'Footprints, absolute'!N10/Production!$E$59*AF_fat</f>
        <v>3.1900820062429358E-3</v>
      </c>
      <c r="O10" s="32">
        <f>'Footprints, absolute'!O10/Production!$E$59*AF_fat</f>
        <v>3.1652502594803887E-3</v>
      </c>
      <c r="P10" s="32">
        <f>'Footprints, absolute'!P10/Production!$E$59*AF_fat</f>
        <v>0.48151826963832284</v>
      </c>
      <c r="Q10" s="32">
        <f>'Footprints, absolute'!Q10/Production!$E$59*AF_fat</f>
        <v>2.145614040977678E-10</v>
      </c>
      <c r="R10" s="32">
        <f>'Footprints, absolute'!R10/Production!$E$59*AF_fat</f>
        <v>2.8257220705857393E-2</v>
      </c>
      <c r="S10" s="11"/>
      <c r="T10" s="5">
        <f>'Footprints, absolute'!T10*AF_fat</f>
        <v>2.0725517942820484</v>
      </c>
      <c r="U10" s="5">
        <f>'Footprints, absolute'!U10*AF_fat</f>
        <v>2.3270806502733881</v>
      </c>
    </row>
    <row r="11" spans="1:21" x14ac:dyDescent="0.2">
      <c r="A11" s="13" t="s">
        <v>142</v>
      </c>
      <c r="B11" s="13" t="s">
        <v>143</v>
      </c>
      <c r="C11" s="17" t="s">
        <v>144</v>
      </c>
      <c r="D11" t="s">
        <v>100</v>
      </c>
      <c r="E11" t="s">
        <v>56</v>
      </c>
      <c r="F11" s="12">
        <f>'Footprints, absolute'!F11/Production!$F$59*AF_fat</f>
        <v>0.67864532638429076</v>
      </c>
      <c r="G11" s="12">
        <f>'Footprints, absolute'!G11/Production!$F$59*AF_fat</f>
        <v>0.4324589220929585</v>
      </c>
      <c r="H11" s="47">
        <f>'Footprints, absolute'!H11/Production!$F$59*AF_fat</f>
        <v>6.9264420687429273E-4</v>
      </c>
      <c r="I11" s="47">
        <f>'Footprints, absolute'!I11/Production!$F$59*AF_fat</f>
        <v>7.6806744191112324E-4</v>
      </c>
      <c r="J11" s="47">
        <f>'Footprints, absolute'!J11/Production!$F$59*AF_fat</f>
        <v>7.502116703109081E-4</v>
      </c>
      <c r="L11" s="19">
        <f>'Footprints, absolute'!L11/Production!$F$59*AF_fat</f>
        <v>2.3664900875589496</v>
      </c>
      <c r="M11" s="20">
        <f>'Footprints, absolute'!M11/Production!$F$59*AF_fat</f>
        <v>1.799567506637189E-2</v>
      </c>
      <c r="N11" s="20">
        <f>'Footprints, absolute'!N11/Production!$F$59*AF_fat</f>
        <v>5.3999085948765509E-3</v>
      </c>
      <c r="O11" s="32">
        <f>'Footprints, absolute'!O11/Production!$F$59*AF_fat</f>
        <v>1.2545421015840255E-2</v>
      </c>
      <c r="P11" s="32">
        <f>'Footprints, absolute'!P11/Production!$F$59*AF_fat</f>
        <v>0.27530522240428501</v>
      </c>
      <c r="Q11" s="32">
        <f>'Footprints, absolute'!Q11/Production!$F$59*AF_fat</f>
        <v>4.5307270076069911E-11</v>
      </c>
      <c r="R11" s="32">
        <f>'Footprints, absolute'!R11/Production!$F$59*AF_fat</f>
        <v>2.4489787576666453E-2</v>
      </c>
      <c r="S11" s="11"/>
      <c r="T11" s="5">
        <f>'Footprints, absolute'!T11*AF_fat</f>
        <v>2.0721600678129213</v>
      </c>
      <c r="U11" s="5">
        <f>'Footprints, absolute'!U11*AF_fat</f>
        <v>1.8137272629483185</v>
      </c>
    </row>
    <row r="12" spans="1:21" x14ac:dyDescent="0.2">
      <c r="A12" s="13" t="s">
        <v>142</v>
      </c>
      <c r="B12" s="13" t="s">
        <v>143</v>
      </c>
      <c r="C12" s="17" t="s">
        <v>144</v>
      </c>
      <c r="D12" t="s">
        <v>91</v>
      </c>
      <c r="E12" t="s">
        <v>58</v>
      </c>
      <c r="F12" s="12">
        <f>'Footprints, absolute'!F12/Production!$G$59*AF_fat</f>
        <v>0.64808701582708506</v>
      </c>
      <c r="G12" s="12">
        <f>'Footprints, absolute'!G12/Production!$G$59*AF_fat</f>
        <v>0.46921045788612825</v>
      </c>
      <c r="H12" s="47">
        <f>'Footprints, absolute'!H12/Production!$G$59*AF_fat</f>
        <v>4.9416898741970732E-4</v>
      </c>
      <c r="I12" s="47">
        <f>'Footprints, absolute'!I12/Production!$G$59*AF_fat</f>
        <v>6.9237573265642409E-4</v>
      </c>
      <c r="J12" s="47">
        <f>'Footprints, absolute'!J12/Production!$G$59*AF_fat</f>
        <v>5.3280651038141392E-4</v>
      </c>
      <c r="L12" s="19">
        <f>'Footprints, absolute'!L12/Production!$G$59*AF_fat</f>
        <v>1.866318343762372</v>
      </c>
      <c r="M12" s="20">
        <f>'Footprints, absolute'!M12/Production!$G$59*AF_fat</f>
        <v>2.2121835806786744E-2</v>
      </c>
      <c r="N12" s="20">
        <f>'Footprints, absolute'!N12/Production!$G$59*AF_fat</f>
        <v>2.9977409131360226E-3</v>
      </c>
      <c r="O12" s="32">
        <f>'Footprints, absolute'!O12/Production!$G$59*AF_fat</f>
        <v>1.1612714820171267E-2</v>
      </c>
      <c r="P12" s="32">
        <f>'Footprints, absolute'!P12/Production!$G$59*AF_fat</f>
        <v>0.56243214569016409</v>
      </c>
      <c r="Q12" s="32">
        <f>'Footprints, absolute'!Q12/Production!$G$59*AF_fat</f>
        <v>5.6122838759218109E-11</v>
      </c>
      <c r="R12" s="32">
        <f>'Footprints, absolute'!R12/Production!$G$59*AF_fat</f>
        <v>1.4871183977163019E-2</v>
      </c>
      <c r="S12" s="11"/>
      <c r="T12" s="5">
        <f>'Footprints, absolute'!T12*AF_fat</f>
        <v>1.7966968986719871</v>
      </c>
      <c r="U12" s="5">
        <f>'Footprints, absolute'!U12*AF_fat</f>
        <v>0.78958321543964549</v>
      </c>
    </row>
    <row r="13" spans="1:21" x14ac:dyDescent="0.2">
      <c r="A13" s="13" t="s">
        <v>142</v>
      </c>
      <c r="B13" s="13" t="s">
        <v>143</v>
      </c>
      <c r="C13" s="17" t="s">
        <v>144</v>
      </c>
      <c r="D13" t="s">
        <v>59</v>
      </c>
      <c r="E13" t="s">
        <v>60</v>
      </c>
      <c r="F13" s="12">
        <f>'Footprints, absolute'!F13/Production!$H$59*AF_fat</f>
        <v>0.66082378090535565</v>
      </c>
      <c r="G13" s="12">
        <f>'Footprints, absolute'!G13/Production!$H$59*AF_fat</f>
        <v>0.44359631473329247</v>
      </c>
      <c r="H13" s="47">
        <f>'Footprints, absolute'!H13/Production!$H$59*AF_fat</f>
        <v>1.0077918086272475E-3</v>
      </c>
      <c r="I13" s="47">
        <f>'Footprints, absolute'!I13/Production!$H$59*AF_fat</f>
        <v>7.6806744191112324E-4</v>
      </c>
      <c r="J13" s="47">
        <f>'Footprints, absolute'!J13/Production!$H$59*AF_fat</f>
        <v>6.0973424667901447E-4</v>
      </c>
      <c r="L13" s="19">
        <f>'Footprints, absolute'!L13/Production!$H$59*AF_fat</f>
        <v>2.1090852665056627</v>
      </c>
      <c r="M13" s="20">
        <f>'Footprints, absolute'!M13/Production!$H$59*AF_fat</f>
        <v>1.8344449099983291E-2</v>
      </c>
      <c r="N13" s="20">
        <f>'Footprints, absolute'!N13/Production!$H$59*AF_fat</f>
        <v>3.8893607955318831E-3</v>
      </c>
      <c r="O13" s="32">
        <f>'Footprints, absolute'!O13/Production!$H$59*AF_fat</f>
        <v>2.6436944567459559E-2</v>
      </c>
      <c r="P13" s="32">
        <f>'Footprints, absolute'!P13/Production!$H$59*AF_fat</f>
        <v>0.23881841629548303</v>
      </c>
      <c r="Q13" s="32">
        <f>'Footprints, absolute'!Q13/Production!$H$59*AF_fat</f>
        <v>1.1305249014846693E-10</v>
      </c>
      <c r="R13" s="32">
        <f>'Footprints, absolute'!R13/Production!$H$59*AF_fat</f>
        <v>1.9808056578645157E-2</v>
      </c>
      <c r="S13" s="11"/>
      <c r="T13" s="5">
        <f>'Footprints, absolute'!T13*AF_fat</f>
        <v>2.0725517942820484</v>
      </c>
      <c r="U13" s="5">
        <f>'Footprints, absolute'!U13*AF_fat</f>
        <v>2.9341265096526299</v>
      </c>
    </row>
    <row r="14" spans="1:21" x14ac:dyDescent="0.2">
      <c r="A14" s="13" t="s">
        <v>142</v>
      </c>
      <c r="B14" s="13" t="s">
        <v>143</v>
      </c>
      <c r="C14" s="17" t="s">
        <v>144</v>
      </c>
      <c r="D14" t="s">
        <v>90</v>
      </c>
      <c r="E14" t="s">
        <v>62</v>
      </c>
      <c r="F14" s="12">
        <f>'Footprints, absolute'!F14/Production!$I$59*AF_fat</f>
        <v>0.77683943279247025</v>
      </c>
      <c r="G14" s="12">
        <f>'Footprints, absolute'!G14/Production!$I$59*AF_fat</f>
        <v>0.51706487848458627</v>
      </c>
      <c r="H14" s="47">
        <f>'Footprints, absolute'!H14/Production!$I$59*AF_fat</f>
        <v>7.5390446957183206E-4</v>
      </c>
      <c r="I14" s="47">
        <f>'Footprints, absolute'!I14/Production!$I$59*AF_fat</f>
        <v>1.4867283952575334E-3</v>
      </c>
      <c r="J14" s="47">
        <f>'Footprints, absolute'!J14/Production!$I$59*AF_fat</f>
        <v>7.222217378853109E-4</v>
      </c>
      <c r="L14" s="19">
        <f>'Footprints, absolute'!L14/Production!$I$59*AF_fat</f>
        <v>2.4960552515285457</v>
      </c>
      <c r="M14" s="20">
        <f>'Footprints, absolute'!M14/Production!$I$59*AF_fat</f>
        <v>2.1520328471039091E-2</v>
      </c>
      <c r="N14" s="20">
        <f>'Footprints, absolute'!N14/Production!$I$59*AF_fat</f>
        <v>3.9036379179679319E-3</v>
      </c>
      <c r="O14" s="32">
        <f>'Footprints, absolute'!O14/Production!$I$59*AF_fat</f>
        <v>1.0480976539139918E-2</v>
      </c>
      <c r="P14" s="32">
        <f>'Footprints, absolute'!P14/Production!$I$59*AF_fat</f>
        <v>0.34177907328145501</v>
      </c>
      <c r="Q14" s="32">
        <f>'Footprints, absolute'!Q14/Production!$I$59*AF_fat</f>
        <v>5.5303596098666382E-11</v>
      </c>
      <c r="R14" s="32">
        <f>'Footprints, absolute'!R14/Production!$I$59*AF_fat</f>
        <v>2.8139253792155764E-2</v>
      </c>
      <c r="S14" s="11"/>
      <c r="T14" s="5">
        <f>'Footprints, absolute'!T14*AF_fat</f>
        <v>2.0318562037386236</v>
      </c>
      <c r="U14" s="5">
        <f>'Footprints, absolute'!U14*AF_fat</f>
        <v>0.60184716819743855</v>
      </c>
    </row>
    <row r="15" spans="1:21" x14ac:dyDescent="0.2">
      <c r="A15" s="13" t="s">
        <v>142</v>
      </c>
      <c r="B15" s="13" t="s">
        <v>143</v>
      </c>
      <c r="C15" s="17" t="s">
        <v>144</v>
      </c>
      <c r="D15" t="s">
        <v>63</v>
      </c>
      <c r="E15" t="s">
        <v>64</v>
      </c>
      <c r="F15" s="12">
        <f>'Footprints, absolute'!F15/Production!$J$59*AF_fat</f>
        <v>0.89543935420391063</v>
      </c>
      <c r="G15" s="12">
        <f>'Footprints, absolute'!G15/Production!$J$59*AF_fat</f>
        <v>0.60397573018078543</v>
      </c>
      <c r="H15" s="47">
        <f>'Footprints, absolute'!H15/Production!$J$59*AF_fat</f>
        <v>8.9885781996809069E-4</v>
      </c>
      <c r="I15" s="47">
        <f>'Footprints, absolute'!I15/Production!$J$59*AF_fat</f>
        <v>1.1521011628666848E-3</v>
      </c>
      <c r="J15" s="47">
        <f>'Footprints, absolute'!J15/Production!$J$59*AF_fat</f>
        <v>8.5557117066181515E-4</v>
      </c>
      <c r="L15" s="19">
        <f>'Footprints, absolute'!L15/Production!$J$59*AF_fat</f>
        <v>2.567894341637325</v>
      </c>
      <c r="M15" s="20">
        <f>'Footprints, absolute'!M15/Production!$J$59*AF_fat</f>
        <v>2.2624678543842515E-2</v>
      </c>
      <c r="N15" s="20">
        <f>'Footprints, absolute'!N15/Production!$J$59*AF_fat</f>
        <v>3.8928048718179279E-3</v>
      </c>
      <c r="O15" s="32">
        <f>'Footprints, absolute'!O15/Production!$J$59*AF_fat</f>
        <v>3.8696735923181486E-3</v>
      </c>
      <c r="P15" s="32">
        <f>'Footprints, absolute'!P15/Production!$J$59*AF_fat</f>
        <v>0.25463832041000983</v>
      </c>
      <c r="Q15" s="32">
        <f>'Footprints, absolute'!Q15/Production!$J$59*AF_fat</f>
        <v>3.0251158048254042E-11</v>
      </c>
      <c r="R15" s="32">
        <f>'Footprints, absolute'!R15/Production!$J$59*AF_fat</f>
        <v>2.2405580669952185E-2</v>
      </c>
      <c r="S15" s="11"/>
      <c r="T15" s="5">
        <f>'Footprints, absolute'!T15*AF_fat</f>
        <v>2.0721600678129213</v>
      </c>
      <c r="U15" s="5">
        <f>'Footprints, absolute'!U15*AF_fat</f>
        <v>3.7701667605029203</v>
      </c>
    </row>
    <row r="16" spans="1:21" x14ac:dyDescent="0.2">
      <c r="A16" s="13" t="s">
        <v>142</v>
      </c>
      <c r="B16" s="13" t="s">
        <v>143</v>
      </c>
      <c r="C16" s="17" t="s">
        <v>144</v>
      </c>
      <c r="D16" t="s">
        <v>65</v>
      </c>
      <c r="E16" t="s">
        <v>66</v>
      </c>
      <c r="F16" s="12">
        <f>'Footprints, absolute'!F16/Production!$K$59*AF_fat</f>
        <v>0.72679424397204295</v>
      </c>
      <c r="G16" s="12">
        <f>'Footprints, absolute'!G16/Production!$K$59*AF_fat</f>
        <v>0.45036012582434609</v>
      </c>
      <c r="H16" s="47">
        <f>'Footprints, absolute'!H16/Production!$K$59*AF_fat</f>
        <v>6.3027345789156536E-4</v>
      </c>
      <c r="I16" s="47">
        <f>'Footprints, absolute'!I16/Production!$K$59*AF_fat</f>
        <v>1.0429306885940117E-3</v>
      </c>
      <c r="J16" s="47">
        <f>'Footprints, absolute'!J16/Production!$K$59*AF_fat</f>
        <v>8.406331154230404E-4</v>
      </c>
      <c r="L16" s="19">
        <f>'Footprints, absolute'!L16/Production!$K$59*AF_fat</f>
        <v>3.1139610700900939</v>
      </c>
      <c r="M16" s="20">
        <f>'Footprints, absolute'!M16/Production!$K$59*AF_fat</f>
        <v>2.323165591267971E-2</v>
      </c>
      <c r="N16" s="20">
        <f>'Footprints, absolute'!N16/Production!$K$59*AF_fat</f>
        <v>4.1587280931635068E-3</v>
      </c>
      <c r="O16" s="32">
        <f>'Footprints, absolute'!O16/Production!$K$59*AF_fat</f>
        <v>0.12685536852753282</v>
      </c>
      <c r="P16" s="32">
        <f>'Footprints, absolute'!P16/Production!$K$59*AF_fat</f>
        <v>0.23124850444358475</v>
      </c>
      <c r="Q16" s="32">
        <f>'Footprints, absolute'!Q16/Production!$K$59*AF_fat</f>
        <v>2.0336223954173102E-10</v>
      </c>
      <c r="R16" s="32">
        <f>'Footprints, absolute'!R16/Production!$K$59*AF_fat</f>
        <v>3.2161524092055235E-2</v>
      </c>
      <c r="S16" s="11"/>
      <c r="T16" s="5">
        <f>'Footprints, absolute'!T16*AF_fat</f>
        <v>2.0721600678129213</v>
      </c>
      <c r="U16" s="119">
        <f>'Footprints, absolute'!U16*AF_fat</f>
        <v>1.9500006361937436</v>
      </c>
    </row>
    <row r="17" spans="1:22" x14ac:dyDescent="0.2">
      <c r="A17" s="13" t="s">
        <v>142</v>
      </c>
      <c r="B17" s="13" t="s">
        <v>143</v>
      </c>
      <c r="C17" s="17" t="s">
        <v>144</v>
      </c>
      <c r="D17" s="18" t="s">
        <v>67</v>
      </c>
      <c r="E17" s="18" t="s">
        <v>68</v>
      </c>
      <c r="F17" s="11">
        <f>'Footprints, absolute'!F17/Production!$L$59*AF_fat</f>
        <v>0.6263852362561303</v>
      </c>
      <c r="G17" s="12">
        <f>'Footprints, absolute'!G17/Production!$L$59*AF_fat</f>
        <v>0.38546740514755062</v>
      </c>
      <c r="H17" s="47">
        <f>'Footprints, absolute'!H17/Production!$L$59*AF_fat</f>
        <v>3.2551591085819276E-4</v>
      </c>
      <c r="I17" s="47">
        <f>'Footprints, absolute'!I17/Production!$L$59*AF_fat</f>
        <v>6.6644760412083433E-4</v>
      </c>
      <c r="J17" s="47">
        <f>'Footprints, absolute'!J17/Production!$L$59*AF_fat</f>
        <v>7.8103799140565294E-4</v>
      </c>
      <c r="K17" s="18"/>
      <c r="L17" s="19">
        <f>'Footprints, absolute'!L17/Production!$L$59*AF_fat</f>
        <v>2.2925230308219411</v>
      </c>
      <c r="M17" s="20">
        <f>'Footprints, absolute'!M17/Production!$L$59*AF_fat</f>
        <v>2.4733824702533862E-2</v>
      </c>
      <c r="N17" s="20">
        <f>'Footprints, absolute'!N17/Production!$L$59*AF_fat</f>
        <v>3.2371605863467435E-3</v>
      </c>
      <c r="O17" s="32">
        <f>'Footprints, absolute'!O17/Production!$L$59*AF_fat</f>
        <v>4.1282142687446653E-3</v>
      </c>
      <c r="P17" s="32">
        <f>'Footprints, absolute'!P17/Production!$L$59*AF_fat</f>
        <v>0.1564597400925192</v>
      </c>
      <c r="Q17" s="32">
        <f>'Footprints, absolute'!Q17/Production!$L$59*AF_fat</f>
        <v>3.9600220045554085E-11</v>
      </c>
      <c r="R17" s="32">
        <f>'Footprints, absolute'!R17/Production!$L$59*AF_fat</f>
        <v>1.9030607930412093E-2</v>
      </c>
      <c r="S17" s="11"/>
      <c r="T17" s="5">
        <f>'Footprints, absolute'!T17*AF_fat</f>
        <v>1.4467379519856376</v>
      </c>
      <c r="U17" s="5">
        <f>'Footprints, absolute'!U17*AF_fat</f>
        <v>0.23587915021570385</v>
      </c>
      <c r="V17" s="18"/>
    </row>
    <row r="18" spans="1:22" x14ac:dyDescent="0.2">
      <c r="A18" s="13" t="s">
        <v>142</v>
      </c>
      <c r="B18" s="13" t="s">
        <v>143</v>
      </c>
      <c r="C18" s="17" t="s">
        <v>144</v>
      </c>
      <c r="D18" t="s">
        <v>69</v>
      </c>
      <c r="E18" t="s">
        <v>70</v>
      </c>
      <c r="F18" s="12">
        <f>'Footprints, absolute'!F18/Production!$M$59*AF_fat</f>
        <v>0.67900273026257119</v>
      </c>
      <c r="G18" s="12">
        <f>'Footprints, absolute'!G18/Production!$M$59*AF_fat</f>
        <v>0.45693210759907321</v>
      </c>
      <c r="H18" s="47">
        <f>'Footprints, absolute'!H18/Production!$M$59*AF_fat</f>
        <v>5.6357497212060727E-4</v>
      </c>
      <c r="I18" s="47">
        <f>'Footprints, absolute'!I18/Production!$M$59*AF_fat</f>
        <v>7.6806744191112324E-4</v>
      </c>
      <c r="J18" s="47">
        <f>'Footprints, absolute'!J18/Production!$M$59*AF_fat</f>
        <v>6.7596435004653292E-4</v>
      </c>
      <c r="L18" s="19">
        <f>'Footprints, absolute'!L18/Production!$M$59*AF_fat</f>
        <v>2.199278492335508</v>
      </c>
      <c r="M18" s="20">
        <f>'Footprints, absolute'!M18/Production!$M$59*AF_fat</f>
        <v>2.3258546341834815E-2</v>
      </c>
      <c r="N18" s="20">
        <f>'Footprints, absolute'!N18/Production!$M$59*AF_fat</f>
        <v>2.6434476627612302E-3</v>
      </c>
      <c r="O18" s="32">
        <f>'Footprints, absolute'!O18/Production!$M$59*AF_fat</f>
        <v>4.7674325787792722E-3</v>
      </c>
      <c r="P18" s="32">
        <f>'Footprints, absolute'!P18/Production!$M$59*AF_fat</f>
        <v>0.29328266200644443</v>
      </c>
      <c r="Q18" s="32">
        <f>'Footprints, absolute'!Q18/Production!$M$59*AF_fat</f>
        <v>4.3875569556162894E-11</v>
      </c>
      <c r="R18" s="32">
        <f>'Footprints, absolute'!R18/Production!$M$59*AF_fat</f>
        <v>1.5398299724572373E-2</v>
      </c>
      <c r="S18" s="12"/>
      <c r="T18" s="5">
        <f>'Footprints, absolute'!T18*AF_fat</f>
        <v>2.1363101967140095</v>
      </c>
      <c r="U18" s="5">
        <f>'Footprints, absolute'!U18*AF_fat</f>
        <v>0.66463379422529689</v>
      </c>
    </row>
    <row r="19" spans="1:22" x14ac:dyDescent="0.2">
      <c r="A19" s="13"/>
      <c r="B19" s="13"/>
      <c r="C19" s="17"/>
      <c r="T19" s="5"/>
    </row>
    <row r="20" spans="1:22" x14ac:dyDescent="0.2">
      <c r="Q20" s="33"/>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5" tint="-0.249977111117893"/>
  </sheetPr>
  <dimension ref="A1:AC68"/>
  <sheetViews>
    <sheetView tabSelected="1" workbookViewId="0">
      <selection activeCell="C6" sqref="C6"/>
    </sheetView>
  </sheetViews>
  <sheetFormatPr baseColWidth="10" defaultColWidth="8.83203125" defaultRowHeight="15" x14ac:dyDescent="0.2"/>
  <cols>
    <col min="1" max="1" width="8.1640625" style="31" customWidth="1"/>
    <col min="2" max="2" width="22.5" customWidth="1"/>
    <col min="3" max="3" width="27.33203125" customWidth="1"/>
    <col min="4" max="5" width="10.1640625" customWidth="1"/>
    <col min="6" max="6" width="15.33203125" customWidth="1"/>
    <col min="7" max="7" width="9.33203125" style="13" customWidth="1"/>
    <col min="8" max="20" width="14.6640625" customWidth="1"/>
    <col min="21" max="22" width="14.6640625" style="9" customWidth="1"/>
    <col min="23" max="24" width="14.6640625" customWidth="1"/>
    <col min="26" max="26" width="16" customWidth="1"/>
    <col min="27" max="27" width="19.33203125" customWidth="1"/>
    <col min="29" max="29" width="17.6640625" bestFit="1" customWidth="1"/>
    <col min="30" max="30" width="15.5" customWidth="1"/>
  </cols>
  <sheetData>
    <row r="1" spans="1:27" x14ac:dyDescent="0.2">
      <c r="H1" s="214" t="s">
        <v>0</v>
      </c>
    </row>
    <row r="2" spans="1:27" ht="21" customHeight="1" x14ac:dyDescent="0.25">
      <c r="A2" s="64" t="s">
        <v>145</v>
      </c>
      <c r="F2" s="47"/>
      <c r="H2" s="214" t="s">
        <v>2</v>
      </c>
    </row>
    <row r="3" spans="1:27" x14ac:dyDescent="0.2">
      <c r="H3" s="214" t="s">
        <v>3</v>
      </c>
      <c r="J3" s="8"/>
      <c r="K3" s="9"/>
      <c r="L3" s="9"/>
      <c r="M3" s="9"/>
      <c r="N3" s="9"/>
      <c r="O3" s="9"/>
      <c r="P3" s="9"/>
      <c r="Q3" s="9"/>
      <c r="R3" s="9"/>
      <c r="S3" s="9"/>
      <c r="T3" s="9"/>
    </row>
    <row r="4" spans="1:27" x14ac:dyDescent="0.2">
      <c r="A4" s="65"/>
      <c r="B4" s="48"/>
      <c r="C4" s="48"/>
      <c r="D4" s="48"/>
      <c r="E4" s="48"/>
      <c r="F4" s="48"/>
      <c r="G4" s="48"/>
      <c r="H4" s="49"/>
      <c r="I4" s="49"/>
      <c r="J4" s="50"/>
      <c r="K4" s="50"/>
      <c r="L4" s="50"/>
      <c r="M4" s="50"/>
      <c r="N4" s="50"/>
      <c r="O4" s="50"/>
      <c r="P4" s="50"/>
      <c r="Q4" s="50"/>
      <c r="R4" s="50"/>
      <c r="S4" s="49" t="s">
        <v>4</v>
      </c>
      <c r="T4" s="49"/>
      <c r="U4" s="61"/>
      <c r="V4" s="61"/>
      <c r="W4" s="50" t="s">
        <v>5</v>
      </c>
      <c r="X4" s="50" t="s">
        <v>6</v>
      </c>
      <c r="Z4" s="49" t="s">
        <v>7</v>
      </c>
      <c r="AA4" s="49"/>
    </row>
    <row r="5" spans="1:27" x14ac:dyDescent="0.2">
      <c r="A5" s="66" t="s">
        <v>8</v>
      </c>
      <c r="B5" s="46"/>
      <c r="C5" s="46"/>
      <c r="D5" s="53"/>
      <c r="E5" s="53"/>
      <c r="F5" s="54"/>
      <c r="G5" s="55" t="s">
        <v>9</v>
      </c>
      <c r="H5" s="55" t="s">
        <v>10</v>
      </c>
      <c r="I5" s="56"/>
      <c r="J5" s="55" t="s">
        <v>11</v>
      </c>
      <c r="K5" s="57"/>
      <c r="L5" s="58" t="s">
        <v>12</v>
      </c>
      <c r="M5" s="57"/>
      <c r="N5" s="57"/>
      <c r="O5" s="57"/>
      <c r="P5" s="58" t="s">
        <v>13</v>
      </c>
      <c r="Q5" s="58" t="s">
        <v>14</v>
      </c>
      <c r="R5" s="58" t="s">
        <v>15</v>
      </c>
      <c r="S5" s="59"/>
      <c r="T5" s="59"/>
      <c r="U5" s="62"/>
      <c r="V5" s="62"/>
      <c r="W5" s="60"/>
      <c r="X5" s="60"/>
      <c r="Z5" s="55"/>
      <c r="AA5" s="55"/>
    </row>
    <row r="6" spans="1:27" ht="58" customHeight="1" x14ac:dyDescent="0.2">
      <c r="A6" s="68" t="s">
        <v>114</v>
      </c>
      <c r="B6" s="67" t="s">
        <v>115</v>
      </c>
      <c r="C6" s="67" t="s">
        <v>116</v>
      </c>
      <c r="D6" s="69" t="s">
        <v>19</v>
      </c>
      <c r="E6" s="70" t="s">
        <v>20</v>
      </c>
      <c r="F6" s="69" t="s">
        <v>21</v>
      </c>
      <c r="G6" s="296" t="s">
        <v>22</v>
      </c>
      <c r="H6" s="52" t="s">
        <v>23</v>
      </c>
      <c r="I6" s="52" t="s">
        <v>24</v>
      </c>
      <c r="J6" s="52" t="s">
        <v>25</v>
      </c>
      <c r="K6" s="52" t="s">
        <v>26</v>
      </c>
      <c r="L6" s="52" t="s">
        <v>27</v>
      </c>
      <c r="M6" s="52" t="s">
        <v>28</v>
      </c>
      <c r="N6" s="52" t="s">
        <v>29</v>
      </c>
      <c r="O6" s="52" t="s">
        <v>30</v>
      </c>
      <c r="P6" s="52" t="s">
        <v>31</v>
      </c>
      <c r="Q6" s="52" t="s">
        <v>14</v>
      </c>
      <c r="R6" s="52" t="s">
        <v>32</v>
      </c>
      <c r="S6" s="70" t="s">
        <v>33</v>
      </c>
      <c r="T6" s="70" t="s">
        <v>34</v>
      </c>
      <c r="U6" s="71" t="s">
        <v>35</v>
      </c>
      <c r="V6" s="71" t="s">
        <v>36</v>
      </c>
      <c r="W6" s="52" t="s">
        <v>37</v>
      </c>
      <c r="X6" s="52" t="s">
        <v>38</v>
      </c>
      <c r="Z6" s="70" t="s">
        <v>39</v>
      </c>
      <c r="AA6" s="70" t="s">
        <v>40</v>
      </c>
    </row>
    <row r="7" spans="1:27" x14ac:dyDescent="0.2">
      <c r="A7" s="13" t="s">
        <v>142</v>
      </c>
      <c r="B7" s="13" t="s">
        <v>143</v>
      </c>
      <c r="C7" s="17" t="s">
        <v>144</v>
      </c>
      <c r="D7" s="155" t="s">
        <v>42</v>
      </c>
      <c r="E7" s="155" t="s">
        <v>43</v>
      </c>
      <c r="F7" s="172" t="s">
        <v>44</v>
      </c>
      <c r="G7" s="20">
        <f>'GHG detailed, absolute'!G7/Production!$B$59*AF_fat</f>
        <v>0.48394262288948126</v>
      </c>
      <c r="H7" s="173">
        <f>'GHG detailed, absolute'!H7/Production!$B$59*AF_fat</f>
        <v>3.1158050806040498E-2</v>
      </c>
      <c r="I7" s="173">
        <f>'GHG detailed, absolute'!I7/Production!$B$59*AF_fat</f>
        <v>3.0112942742296998E-2</v>
      </c>
      <c r="J7" s="173">
        <f>'GHG detailed, absolute'!J7/Production!$B$59*AF_fat</f>
        <v>0</v>
      </c>
      <c r="K7" s="173"/>
      <c r="L7" s="173">
        <f>'GHG detailed, absolute'!L7/Production!$B$59*AF_fat</f>
        <v>3.6689036104824747E-2</v>
      </c>
      <c r="M7" s="173"/>
      <c r="N7" s="173">
        <f>'GHG detailed, absolute'!N7/Production!$B$59*AF_fat</f>
        <v>1.637125602134171E-4</v>
      </c>
      <c r="O7" s="173">
        <f>'GHG detailed, absolute'!O7/Production!$B$59*AF_fat</f>
        <v>4.5192124068121328E-2</v>
      </c>
      <c r="P7" s="173">
        <f>'GHG detailed, absolute'!P7/Production!$B$59*AF_fat</f>
        <v>0.11395718587702451</v>
      </c>
      <c r="Q7" s="173">
        <f>'GHG detailed, absolute'!Q7/Production!$B$59*AF_fat</f>
        <v>1.3128042922505634E-2</v>
      </c>
      <c r="R7" s="173">
        <f>'GHG detailed, absolute'!R7/Production!$B$59*AF_fat</f>
        <v>9.0555932500345035E-2</v>
      </c>
      <c r="S7" s="154"/>
      <c r="T7" s="154"/>
      <c r="U7" s="174"/>
      <c r="V7" s="174"/>
      <c r="W7" s="175">
        <f>'GHG detailed, absolute'!W7/Production!$B$59*AF_fat</f>
        <v>4.6133441092199551E-2</v>
      </c>
      <c r="X7" s="176">
        <f>'GHG detailed, absolute'!X7/Production!$B$59*AF_fat</f>
        <v>7.6852154215909574E-2</v>
      </c>
      <c r="Z7" s="20"/>
      <c r="AA7" s="20"/>
    </row>
    <row r="8" spans="1:27" x14ac:dyDescent="0.2">
      <c r="A8" s="13" t="s">
        <v>142</v>
      </c>
      <c r="B8" s="13" t="s">
        <v>143</v>
      </c>
      <c r="C8" s="17" t="s">
        <v>144</v>
      </c>
      <c r="D8" s="18" t="s">
        <v>42</v>
      </c>
      <c r="E8" s="18" t="s">
        <v>43</v>
      </c>
      <c r="F8" s="13" t="s">
        <v>45</v>
      </c>
      <c r="G8" s="32">
        <f>'GHG detailed, absolute'!G8/Production!$B$59*AF_fat</f>
        <v>5.2252719531392677E-4</v>
      </c>
      <c r="H8" s="33">
        <f>'GHG detailed, absolute'!H8/Production!$B$59*AF_fat</f>
        <v>1.2358833640555479E-5</v>
      </c>
      <c r="I8" s="33">
        <f>'GHG detailed, absolute'!I8/Production!$B$59*AF_fat</f>
        <v>1.0619562224103224E-4</v>
      </c>
      <c r="J8" s="33"/>
      <c r="K8" s="33"/>
      <c r="L8" s="33">
        <f>'GHG detailed, absolute'!L8/Production!$B$59*AF_fat</f>
        <v>1.6380763540704633E-5</v>
      </c>
      <c r="M8" s="33"/>
      <c r="N8" s="33">
        <f>'GHG detailed, absolute'!N8/Production!$B$59*AF_fat</f>
        <v>9.0770940491206414E-7</v>
      </c>
      <c r="O8" s="33">
        <f>'GHG detailed, absolute'!O8/Production!$B$59*AF_fat</f>
        <v>2.768231443952134E-5</v>
      </c>
      <c r="P8" s="33">
        <f>'GHG detailed, absolute'!P8/Production!$B$59*AF_fat</f>
        <v>0</v>
      </c>
      <c r="Q8" s="33">
        <f>'GHG detailed, absolute'!Q8/Production!$B$59*AF_fat</f>
        <v>4.7028091946173736E-5</v>
      </c>
      <c r="R8" s="33">
        <f>'GHG detailed, absolute'!R8/Production!$B$59*AF_fat</f>
        <v>7.706683734583538E-5</v>
      </c>
      <c r="W8" s="4">
        <f>'GHG detailed, absolute'!W8/Production!$B$59*AF_fat</f>
        <v>3.8279361801521221E-5</v>
      </c>
      <c r="X8" s="12">
        <f>'GHG detailed, absolute'!X8/Production!$B$59*AF_fat</f>
        <v>1.9662766095367057E-4</v>
      </c>
      <c r="Z8" s="32"/>
      <c r="AA8" s="32"/>
    </row>
    <row r="9" spans="1:27" x14ac:dyDescent="0.2">
      <c r="A9" s="13" t="s">
        <v>142</v>
      </c>
      <c r="B9" s="13" t="s">
        <v>143</v>
      </c>
      <c r="C9" s="17" t="s">
        <v>144</v>
      </c>
      <c r="D9" s="18" t="s">
        <v>42</v>
      </c>
      <c r="E9" s="18" t="s">
        <v>43</v>
      </c>
      <c r="F9" s="13" t="s">
        <v>46</v>
      </c>
      <c r="G9" s="32">
        <f>'GHG detailed, absolute'!G9/Production!$B$59*AF_fat</f>
        <v>6.7402517536399706E-4</v>
      </c>
      <c r="H9" s="33"/>
      <c r="I9" s="33"/>
      <c r="J9" s="33"/>
      <c r="K9" s="33"/>
      <c r="L9" s="33"/>
      <c r="M9" s="33"/>
      <c r="N9" s="33"/>
      <c r="O9" s="33"/>
      <c r="P9" s="33"/>
      <c r="Q9" s="33"/>
      <c r="R9" s="33"/>
      <c r="T9" s="47">
        <f>'GHG detailed, absolute'!T9/Production!$B$59*AF_fat</f>
        <v>6.7402517536399706E-4</v>
      </c>
      <c r="U9" s="63">
        <f>'GHG detailed, absolute'!U9/Production!$B$59*AF_fat</f>
        <v>6.7402517536399706E-4</v>
      </c>
      <c r="W9" s="4"/>
      <c r="X9" s="12"/>
    </row>
    <row r="10" spans="1:27" ht="15" customHeight="1" thickBot="1" x14ac:dyDescent="0.25">
      <c r="A10" s="13" t="s">
        <v>142</v>
      </c>
      <c r="B10" s="13" t="s">
        <v>143</v>
      </c>
      <c r="C10" s="17" t="s">
        <v>144</v>
      </c>
      <c r="D10" s="18" t="s">
        <v>42</v>
      </c>
      <c r="E10" s="18" t="s">
        <v>43</v>
      </c>
      <c r="F10" s="34" t="s">
        <v>47</v>
      </c>
      <c r="G10" s="32">
        <f>'GHG detailed, absolute'!G10/Production!$B$59*AF_fat</f>
        <v>6.4287946683948282E-4</v>
      </c>
      <c r="H10" s="33">
        <f>'GHG detailed, absolute'!H10/Production!$B$59*AF_fat</f>
        <v>2.4440692447767314E-5</v>
      </c>
      <c r="I10" s="32">
        <f>'GHG detailed, absolute'!I10/Production!$B$59*AF_fat</f>
        <v>1.2296335206856362E-6</v>
      </c>
      <c r="J10" s="32">
        <f>'GHG detailed, absolute'!J10/Production!$B$59*AF_fat</f>
        <v>4.72724141957619E-4</v>
      </c>
      <c r="K10" s="32">
        <f>'GHG detailed, absolute'!K10/Production!$B$59*AF_fat</f>
        <v>4.7272414195761901E-5</v>
      </c>
      <c r="L10" s="32">
        <f>'GHG detailed, absolute'!L10/Production!$B$59*AF_fat</f>
        <v>9.9365916214800757E-7</v>
      </c>
      <c r="M10" s="32"/>
      <c r="N10" s="32">
        <f>'GHG detailed, absolute'!N10/Production!$B$59*AF_fat</f>
        <v>1.2672361643434328E-8</v>
      </c>
      <c r="O10" s="32">
        <f>'GHG detailed, absolute'!O10/Production!$B$59*AF_fat</f>
        <v>1.7159855543484781E-6</v>
      </c>
      <c r="P10" s="32">
        <f>'GHG detailed, absolute'!P10/Production!$B$59*AF_fat</f>
        <v>0</v>
      </c>
      <c r="Q10" s="32">
        <f>'GHG detailed, absolute'!Q10/Production!$B$59*AF_fat</f>
        <v>4.8614369057992849E-6</v>
      </c>
      <c r="R10" s="32">
        <f>'GHG detailed, absolute'!R10/Production!$B$59*AF_fat</f>
        <v>3.2619633174132171E-6</v>
      </c>
      <c r="T10" s="47">
        <f>'GHG detailed, absolute'!T10/Production!$B$59*AF_fat</f>
        <v>7.9631868897169219E-5</v>
      </c>
      <c r="U10" s="9">
        <f>'GHG detailed, absolute'!U10/Production!$B$59*AF_fat</f>
        <v>2.9511866322191456E-5</v>
      </c>
      <c r="V10" s="63">
        <f>'GHG detailed, absolute'!V10/Production!$B$59*AF_fat</f>
        <v>5.0120002574977755E-5</v>
      </c>
      <c r="W10" s="4">
        <f>'GHG detailed, absolute'!W10/Production!$B$59*AF_fat</f>
        <v>3.3354528524401443E-6</v>
      </c>
      <c r="X10" s="12">
        <f>'GHG detailed, absolute'!X10/Production!$B$59*AF_fat</f>
        <v>3.3995456666871594E-6</v>
      </c>
      <c r="Z10" s="32"/>
      <c r="AA10" s="32"/>
    </row>
    <row r="11" spans="1:27" ht="15.5" customHeight="1" thickTop="1" thickBot="1" x14ac:dyDescent="0.25">
      <c r="A11" s="164" t="s">
        <v>142</v>
      </c>
      <c r="B11" s="164" t="s">
        <v>143</v>
      </c>
      <c r="C11" s="165" t="s">
        <v>144</v>
      </c>
      <c r="D11" s="166" t="s">
        <v>42</v>
      </c>
      <c r="E11" s="166" t="s">
        <v>43</v>
      </c>
      <c r="F11" s="167" t="s">
        <v>48</v>
      </c>
      <c r="G11" s="178">
        <f>'GHG detailed, absolute'!G11/Production!$B$59*AF_fat</f>
        <v>0.693218707491843</v>
      </c>
      <c r="H11" s="168">
        <f>'GHG detailed, absolute'!H11/Production!$B$59*AF_fat</f>
        <v>3.8198653086769528E-2</v>
      </c>
      <c r="I11" s="168">
        <f>'GHG detailed, absolute'!I11/Production!$B$59*AF_fat</f>
        <v>3.3613262236226939E-2</v>
      </c>
      <c r="J11" s="168">
        <f>'GHG detailed, absolute'!J11/Production!$B$59*AF_fat</f>
        <v>0.12905369075442996</v>
      </c>
      <c r="K11" s="168">
        <f>'GHG detailed, absolute'!K11/Production!$B$59*AF_fat</f>
        <v>1.2905369075443001E-2</v>
      </c>
      <c r="L11" s="168">
        <f>'GHG detailed, absolute'!L11/Production!$B$59*AF_fat</f>
        <v>3.7448451809604155E-2</v>
      </c>
      <c r="M11" s="168">
        <f>'GHG detailed, absolute'!M11/Production!$B$59*AF_fat</f>
        <v>0</v>
      </c>
      <c r="N11" s="168">
        <f>'GHG detailed, absolute'!N11/Production!$B$59*AF_fat</f>
        <v>1.9422185520845422E-4</v>
      </c>
      <c r="O11" s="168">
        <f>'GHG detailed, absolute'!O11/Production!$B$59*AF_fat</f>
        <v>4.6485521094756198E-2</v>
      </c>
      <c r="P11" s="168">
        <f>'GHG detailed, absolute'!P11/Production!$B$59*AF_fat</f>
        <v>0.11395718587702451</v>
      </c>
      <c r="Q11" s="168">
        <f>'GHG detailed, absolute'!Q11/Production!$B$59*AF_fat</f>
        <v>1.5856652337784816E-2</v>
      </c>
      <c r="R11" s="168">
        <f>'GHG detailed, absolute'!R11/Production!$B$59*AF_fat</f>
        <v>9.3743040238904743E-2</v>
      </c>
      <c r="S11" s="168">
        <f>'GHG detailed, absolute'!S11/Production!$B$59*AF_fat</f>
        <v>0</v>
      </c>
      <c r="T11" s="168">
        <f>'GHG detailed, absolute'!T11/Production!$B$59*AF_fat</f>
        <v>3.993817994375512E-2</v>
      </c>
      <c r="U11" s="169"/>
      <c r="V11" s="169"/>
      <c r="W11" s="168">
        <f>'GHG detailed, absolute'!W11/Production!$B$59*AF_fat</f>
        <v>4.8184744702601041E-2</v>
      </c>
      <c r="X11" s="168">
        <f>'GHG detailed, absolute'!X11/Production!$B$59*AF_fat</f>
        <v>8.3639734479334552E-2</v>
      </c>
      <c r="Z11" s="113">
        <f>'GHG detailed, absolute'!Z11/Production!$B$59*AF_fat</f>
        <v>0.52145604836615234</v>
      </c>
      <c r="AA11" s="200">
        <f>'GHG detailed, absolute'!AA11/Production!$B$59*AF_fat</f>
        <v>0.13976655668628482</v>
      </c>
    </row>
    <row r="12" spans="1:27" ht="15" customHeight="1" thickTop="1" x14ac:dyDescent="0.2">
      <c r="A12" s="13" t="s">
        <v>142</v>
      </c>
      <c r="B12" s="13" t="s">
        <v>143</v>
      </c>
      <c r="C12" s="17" t="s">
        <v>144</v>
      </c>
      <c r="D12" s="18" t="s">
        <v>49</v>
      </c>
      <c r="E12" s="18" t="s">
        <v>50</v>
      </c>
      <c r="F12" s="35" t="s">
        <v>44</v>
      </c>
      <c r="G12" s="20">
        <f>'GHG detailed, absolute'!G12/Production!$C$59*AF_fat</f>
        <v>0.33175902337718582</v>
      </c>
      <c r="H12" s="173">
        <f>'GHG detailed, absolute'!H12/Production!$C$59*AF_fat</f>
        <v>4.2795937322899567E-2</v>
      </c>
      <c r="I12" s="173">
        <f>'GHG detailed, absolute'!I12/Production!$C$59*AF_fat</f>
        <v>3.1338911432984659E-2</v>
      </c>
      <c r="J12" s="173">
        <f>'GHG detailed, absolute'!J12/Production!$C$59*AF_fat</f>
        <v>0</v>
      </c>
      <c r="K12" s="173"/>
      <c r="L12" s="173">
        <f>'GHG detailed, absolute'!L12/Production!$C$59*AF_fat</f>
        <v>3.6236818417427055E-2</v>
      </c>
      <c r="M12" s="173"/>
      <c r="N12" s="173">
        <f>'GHG detailed, absolute'!N12/Production!$C$59*AF_fat</f>
        <v>1.142232952375311E-3</v>
      </c>
      <c r="O12" s="173">
        <f>'GHG detailed, absolute'!O12/Production!$C$59*AF_fat</f>
        <v>4.3553112217463011E-2</v>
      </c>
      <c r="P12" s="173">
        <f>'GHG detailed, absolute'!P12/Production!$C$59*AF_fat</f>
        <v>4.0868881204576137E-2</v>
      </c>
      <c r="Q12" s="173">
        <f>'GHG detailed, absolute'!Q12/Production!$C$59*AF_fat</f>
        <v>1.814148110462566E-2</v>
      </c>
      <c r="R12" s="173">
        <f>'GHG detailed, absolute'!R12/Production!$C$59*AF_fat</f>
        <v>3.8734328841149003E-2</v>
      </c>
      <c r="S12" s="154"/>
      <c r="T12" s="154"/>
      <c r="U12" s="174"/>
      <c r="V12" s="174"/>
      <c r="W12" s="175">
        <f>'GHG detailed, absolute'!W12/Production!$C$59*AF_fat</f>
        <v>3.7402108434884423E-2</v>
      </c>
      <c r="X12" s="176">
        <f>'GHG detailed, absolute'!X12/Production!$C$59*AF_fat</f>
        <v>4.154521144880096E-2</v>
      </c>
      <c r="Z12" s="20"/>
      <c r="AA12" s="20"/>
    </row>
    <row r="13" spans="1:27" x14ac:dyDescent="0.2">
      <c r="A13" s="13" t="s">
        <v>142</v>
      </c>
      <c r="B13" s="13" t="s">
        <v>143</v>
      </c>
      <c r="C13" s="17" t="s">
        <v>144</v>
      </c>
      <c r="D13" s="18" t="s">
        <v>49</v>
      </c>
      <c r="E13" s="18" t="s">
        <v>50</v>
      </c>
      <c r="F13" s="13" t="s">
        <v>45</v>
      </c>
      <c r="G13" s="32">
        <f>'GHG detailed, absolute'!G13/Production!$C$59*AF_fat</f>
        <v>4.7298769475345438E-4</v>
      </c>
      <c r="H13" s="33">
        <f>'GHG detailed, absolute'!H13/Production!$C$59*AF_fat</f>
        <v>2.5784373476445326E-5</v>
      </c>
      <c r="I13" s="33">
        <f>'GHG detailed, absolute'!I13/Production!$C$59*AF_fat</f>
        <v>1.1026654022716826E-4</v>
      </c>
      <c r="J13" s="33"/>
      <c r="K13" s="33"/>
      <c r="L13" s="33">
        <f>'GHG detailed, absolute'!L13/Production!$C$59*AF_fat</f>
        <v>1.6051688664094693E-5</v>
      </c>
      <c r="M13" s="33"/>
      <c r="N13" s="33">
        <f>'GHG detailed, absolute'!N13/Production!$C$59*AF_fat</f>
        <v>3.3941733703734291E-6</v>
      </c>
      <c r="O13" s="33">
        <f>'GHG detailed, absolute'!O13/Production!$C$59*AF_fat</f>
        <v>2.3832875349617872E-5</v>
      </c>
      <c r="P13" s="33">
        <f>'GHG detailed, absolute'!P13/Production!$C$59*AF_fat</f>
        <v>0</v>
      </c>
      <c r="Q13" s="33">
        <f>'GHG detailed, absolute'!Q13/Production!$C$59*AF_fat</f>
        <v>5.466449512840612E-5</v>
      </c>
      <c r="R13" s="33">
        <f>'GHG detailed, absolute'!R13/Production!$C$59*AF_fat</f>
        <v>3.7165620986579501E-5</v>
      </c>
      <c r="W13" s="4">
        <f>'GHG detailed, absolute'!W13/Production!$C$59*AF_fat</f>
        <v>3.071682795034596E-5</v>
      </c>
      <c r="X13" s="12">
        <f>'GHG detailed, absolute'!X13/Production!$C$59*AF_fat</f>
        <v>1.7111109960042325E-4</v>
      </c>
      <c r="Z13" s="32"/>
      <c r="AA13" s="32"/>
    </row>
    <row r="14" spans="1:27" x14ac:dyDescent="0.2">
      <c r="A14" s="13" t="s">
        <v>142</v>
      </c>
      <c r="B14" s="13" t="s">
        <v>143</v>
      </c>
      <c r="C14" s="17" t="s">
        <v>144</v>
      </c>
      <c r="D14" s="18" t="s">
        <v>49</v>
      </c>
      <c r="E14" s="18" t="s">
        <v>50</v>
      </c>
      <c r="F14" s="13" t="s">
        <v>46</v>
      </c>
      <c r="G14" s="32">
        <f>'GHG detailed, absolute'!G14/Production!$C$59*AF_fat</f>
        <v>8.7981372822270611E-4</v>
      </c>
      <c r="H14" s="33"/>
      <c r="I14" s="33"/>
      <c r="J14" s="33"/>
      <c r="K14" s="33"/>
      <c r="L14" s="33"/>
      <c r="M14" s="33"/>
      <c r="N14" s="33"/>
      <c r="O14" s="33"/>
      <c r="P14" s="33"/>
      <c r="Q14" s="33"/>
      <c r="R14" s="33"/>
      <c r="T14" s="47">
        <f>'GHG detailed, absolute'!T14/Production!$C$59*AF_fat</f>
        <v>8.7981372822270611E-4</v>
      </c>
      <c r="U14" s="63">
        <f>'GHG detailed, absolute'!U14/Production!$C$59*AF_fat</f>
        <v>8.7981372822270611E-4</v>
      </c>
      <c r="W14" s="4"/>
      <c r="X14" s="12"/>
    </row>
    <row r="15" spans="1:27" ht="15" customHeight="1" thickBot="1" x14ac:dyDescent="0.25">
      <c r="A15" s="13" t="s">
        <v>142</v>
      </c>
      <c r="B15" s="13" t="s">
        <v>143</v>
      </c>
      <c r="C15" s="17" t="s">
        <v>144</v>
      </c>
      <c r="D15" s="18" t="s">
        <v>49</v>
      </c>
      <c r="E15" s="18" t="s">
        <v>50</v>
      </c>
      <c r="F15" s="34" t="s">
        <v>47</v>
      </c>
      <c r="G15" s="32">
        <f>'GHG detailed, absolute'!G15/Production!$C$59*AF_fat</f>
        <v>7.244553542427013E-4</v>
      </c>
      <c r="H15" s="33">
        <f>'GHG detailed, absolute'!H15/Production!$C$59*AF_fat</f>
        <v>3.7311583480963133E-5</v>
      </c>
      <c r="I15" s="32">
        <f>'GHG detailed, absolute'!I15/Production!$C$59*AF_fat</f>
        <v>1.2767704657882636E-6</v>
      </c>
      <c r="J15" s="32">
        <f>'GHG detailed, absolute'!J15/Production!$C$59*AF_fat</f>
        <v>5.3226856465150645E-4</v>
      </c>
      <c r="K15" s="32">
        <f>'GHG detailed, absolute'!K15/Production!$C$59*AF_fat</f>
        <v>5.3226856465150647E-5</v>
      </c>
      <c r="L15" s="32">
        <f>'GHG detailed, absolute'!L15/Production!$C$59*AF_fat</f>
        <v>9.7369743903518365E-7</v>
      </c>
      <c r="M15" s="32"/>
      <c r="N15" s="32">
        <f>'GHG detailed, absolute'!N15/Production!$C$59*AF_fat</f>
        <v>4.9008287089197235E-8</v>
      </c>
      <c r="O15" s="32">
        <f>'GHG detailed, absolute'!O15/Production!$C$59*AF_fat</f>
        <v>1.6448366942055415E-6</v>
      </c>
      <c r="P15" s="32">
        <f>'GHG detailed, absolute'!P15/Production!$C$59*AF_fat</f>
        <v>0</v>
      </c>
      <c r="Q15" s="32">
        <f>'GHG detailed, absolute'!Q15/Production!$C$59*AF_fat</f>
        <v>3.1317875995766184E-6</v>
      </c>
      <c r="R15" s="32">
        <f>'GHG detailed, absolute'!R15/Production!$C$59*AF_fat</f>
        <v>1.3558033732087623E-6</v>
      </c>
      <c r="T15" s="47">
        <f>'GHG detailed, absolute'!T15/Production!$C$59*AF_fat</f>
        <v>8.7932591256191465E-5</v>
      </c>
      <c r="U15" s="9">
        <f>'GHG detailed, absolute'!U15/Production!$C$59*AF_fat</f>
        <v>3.2588144852755984E-5</v>
      </c>
      <c r="V15" s="63">
        <f>'GHG detailed, absolute'!V15/Production!$C$59*AF_fat</f>
        <v>5.5344446403435488E-5</v>
      </c>
      <c r="W15" s="4">
        <f>'GHG detailed, absolute'!W15/Production!$C$59*AF_fat</f>
        <v>3.2268423290948871E-6</v>
      </c>
      <c r="X15" s="12">
        <f>'GHG detailed, absolute'!X15/Production!$C$59*AF_fat</f>
        <v>2.0570122008912559E-6</v>
      </c>
      <c r="Z15" s="32"/>
      <c r="AA15" s="32"/>
    </row>
    <row r="16" spans="1:27" ht="15.5" customHeight="1" thickTop="1" thickBot="1" x14ac:dyDescent="0.25">
      <c r="A16" s="164" t="s">
        <v>142</v>
      </c>
      <c r="B16" s="164" t="s">
        <v>143</v>
      </c>
      <c r="C16" s="165" t="s">
        <v>144</v>
      </c>
      <c r="D16" s="36" t="s">
        <v>49</v>
      </c>
      <c r="E16" s="36" t="s">
        <v>50</v>
      </c>
      <c r="F16" s="177" t="s">
        <v>48</v>
      </c>
      <c r="G16" s="178">
        <f>'GHG detailed, absolute'!G16/Production!$C$59*AF_fat</f>
        <v>0.56738533905110933</v>
      </c>
      <c r="H16" s="168">
        <f>'GHG detailed, absolute'!H16/Production!$C$59*AF_fat</f>
        <v>5.3750373942800571E-2</v>
      </c>
      <c r="I16" s="168">
        <f>'GHG detailed, absolute'!I16/Production!$C$59*AF_fat</f>
        <v>3.4973412668914468E-2</v>
      </c>
      <c r="J16" s="168">
        <f>'GHG detailed, absolute'!J16/Production!$C$59*AF_fat</f>
        <v>0.14530931814986126</v>
      </c>
      <c r="K16" s="168">
        <f>'GHG detailed, absolute'!K16/Production!$C$59*AF_fat</f>
        <v>1.4530931814986126E-2</v>
      </c>
      <c r="L16" s="168">
        <f>'GHG detailed, absolute'!L16/Production!$C$59*AF_fat</f>
        <v>3.6980978140473679E-2</v>
      </c>
      <c r="M16" s="168">
        <f>'GHG detailed, absolute'!M16/Production!$C$59*AF_fat</f>
        <v>0</v>
      </c>
      <c r="N16" s="168">
        <f>'GHG detailed, absolute'!N16/Production!$C$59*AF_fat</f>
        <v>1.2567585811877899E-3</v>
      </c>
      <c r="O16" s="168">
        <f>'GHG detailed, absolute'!O16/Production!$C$59*AF_fat</f>
        <v>4.4712372320399742E-2</v>
      </c>
      <c r="P16" s="168">
        <f>'GHG detailed, absolute'!P16/Production!$C$59*AF_fat</f>
        <v>4.0868881204576137E-2</v>
      </c>
      <c r="Q16" s="168">
        <f>'GHG detailed, absolute'!Q16/Production!$C$59*AF_fat</f>
        <v>2.062546107413658E-2</v>
      </c>
      <c r="R16" s="168">
        <f>'GHG detailed, absolute'!R16/Production!$C$59*AF_fat</f>
        <v>4.0211998667435071E-2</v>
      </c>
      <c r="S16" s="168">
        <f>'GHG detailed, absolute'!S16/Production!$C$59*AF_fat</f>
        <v>0</v>
      </c>
      <c r="T16" s="168">
        <f>'GHG detailed, absolute'!T16/Production!$C$59*AF_fat</f>
        <v>4.7760568074953338E-2</v>
      </c>
      <c r="U16" s="169"/>
      <c r="V16" s="169"/>
      <c r="W16" s="168">
        <f>'GHG detailed, absolute'!W16/Production!$C$59*AF_fat</f>
        <v>3.9198397863647635E-2</v>
      </c>
      <c r="X16" s="168">
        <f>'GHG detailed, absolute'!X16/Production!$C$59*AF_fat</f>
        <v>4.7205886547736893E-2</v>
      </c>
      <c r="Z16" s="113">
        <f>'GHG detailed, absolute'!Z16/Production!$C$59*AF_fat</f>
        <v>0.43322048656477141</v>
      </c>
      <c r="AA16" s="200">
        <f>'GHG detailed, absolute'!AA16/Production!$C$59*AF_fat</f>
        <v>0.12643304375246425</v>
      </c>
    </row>
    <row r="17" spans="1:27" ht="15" customHeight="1" thickTop="1" x14ac:dyDescent="0.2">
      <c r="A17" s="170" t="s">
        <v>142</v>
      </c>
      <c r="B17" s="170" t="s">
        <v>143</v>
      </c>
      <c r="C17" s="171" t="s">
        <v>144</v>
      </c>
      <c r="D17" s="155" t="s">
        <v>51</v>
      </c>
      <c r="E17" s="155" t="s">
        <v>52</v>
      </c>
      <c r="F17" s="172" t="s">
        <v>44</v>
      </c>
      <c r="G17" s="20">
        <f>'GHG detailed, absolute'!G17/Production!$D$59*AF_fat</f>
        <v>0.39768657703350119</v>
      </c>
      <c r="H17" s="173">
        <f>'GHG detailed, absolute'!H17/Production!$D$59*AF_fat</f>
        <v>2.7180763607844848E-2</v>
      </c>
      <c r="I17" s="173">
        <f>'GHG detailed, absolute'!I17/Production!$D$59*AF_fat</f>
        <v>3.309124722454173E-2</v>
      </c>
      <c r="J17" s="173">
        <f>'GHG detailed, absolute'!J17/Production!$D$59*AF_fat</f>
        <v>0</v>
      </c>
      <c r="K17" s="173"/>
      <c r="L17" s="173">
        <f>'GHG detailed, absolute'!L17/Production!$D$59*AF_fat</f>
        <v>3.4932578451025424E-2</v>
      </c>
      <c r="M17" s="173"/>
      <c r="N17" s="173">
        <f>'GHG detailed, absolute'!N17/Production!$D$59*AF_fat</f>
        <v>2.2374081367331381E-4</v>
      </c>
      <c r="O17" s="173">
        <f>'GHG detailed, absolute'!O17/Production!$D$59*AF_fat</f>
        <v>5.359167650144174E-2</v>
      </c>
      <c r="P17" s="173">
        <f>'GHG detailed, absolute'!P17/Production!$D$59*AF_fat</f>
        <v>4.1802098336114625E-2</v>
      </c>
      <c r="Q17" s="173">
        <f>'GHG detailed, absolute'!Q17/Production!$D$59*AF_fat</f>
        <v>1.9730404145978625E-2</v>
      </c>
      <c r="R17" s="173">
        <f>'GHG detailed, absolute'!R17/Production!$D$59*AF_fat</f>
        <v>3.8864838418040885E-2</v>
      </c>
      <c r="S17" s="154"/>
      <c r="T17" s="154"/>
      <c r="U17" s="174"/>
      <c r="V17" s="174"/>
      <c r="W17" s="175">
        <f>'GHG detailed, absolute'!W17/Production!$D$59*AF_fat</f>
        <v>5.651708588865767E-2</v>
      </c>
      <c r="X17" s="176">
        <f>'GHG detailed, absolute'!X17/Production!$D$59*AF_fat</f>
        <v>9.1752143646182394E-2</v>
      </c>
      <c r="Z17" s="20"/>
      <c r="AA17" s="20"/>
    </row>
    <row r="18" spans="1:27" x14ac:dyDescent="0.2">
      <c r="A18" s="13" t="s">
        <v>142</v>
      </c>
      <c r="B18" s="13" t="s">
        <v>143</v>
      </c>
      <c r="C18" s="17" t="s">
        <v>144</v>
      </c>
      <c r="D18" s="18" t="s">
        <v>51</v>
      </c>
      <c r="E18" s="18" t="s">
        <v>52</v>
      </c>
      <c r="F18" s="13" t="s">
        <v>45</v>
      </c>
      <c r="G18" s="32">
        <f>'GHG detailed, absolute'!G18/Production!$D$59*AF_fat</f>
        <v>5.9324457367191459E-4</v>
      </c>
      <c r="H18" s="33">
        <f>'GHG detailed, absolute'!H18/Production!$D$59*AF_fat</f>
        <v>2.3947989268141173E-5</v>
      </c>
      <c r="I18" s="33">
        <f>'GHG detailed, absolute'!I18/Production!$D$59*AF_fat</f>
        <v>1.1643216616042464E-4</v>
      </c>
      <c r="J18" s="33"/>
      <c r="K18" s="33"/>
      <c r="L18" s="33">
        <f>'GHG detailed, absolute'!L18/Production!$D$59*AF_fat</f>
        <v>1.5473954337565688E-5</v>
      </c>
      <c r="M18" s="33"/>
      <c r="N18" s="33">
        <f>'GHG detailed, absolute'!N18/Production!$D$59*AF_fat</f>
        <v>6.7959334656633981E-7</v>
      </c>
      <c r="O18" s="33">
        <f>'GHG detailed, absolute'!O18/Production!$D$59*AF_fat</f>
        <v>3.7942908049015338E-5</v>
      </c>
      <c r="P18" s="33">
        <f>'GHG detailed, absolute'!P18/Production!$D$59*AF_fat</f>
        <v>0</v>
      </c>
      <c r="Q18" s="33">
        <f>'GHG detailed, absolute'!Q18/Production!$D$59*AF_fat</f>
        <v>4.5785017744404317E-5</v>
      </c>
      <c r="R18" s="33">
        <f>'GHG detailed, absolute'!R18/Production!$D$59*AF_fat</f>
        <v>3.7072410062684634E-5</v>
      </c>
      <c r="W18" s="4">
        <f>'GHG detailed, absolute'!W18/Production!$D$59*AF_fat</f>
        <v>6.2764179708846393E-5</v>
      </c>
      <c r="X18" s="12">
        <f>'GHG detailed, absolute'!X18/Production!$D$59*AF_fat</f>
        <v>2.5314635499426607E-4</v>
      </c>
      <c r="Z18" s="32"/>
      <c r="AA18" s="32"/>
    </row>
    <row r="19" spans="1:27" x14ac:dyDescent="0.2">
      <c r="A19" s="13" t="s">
        <v>142</v>
      </c>
      <c r="B19" s="13" t="s">
        <v>143</v>
      </c>
      <c r="C19" s="17" t="s">
        <v>144</v>
      </c>
      <c r="D19" s="18" t="s">
        <v>51</v>
      </c>
      <c r="E19" s="18" t="s">
        <v>52</v>
      </c>
      <c r="F19" s="13" t="s">
        <v>46</v>
      </c>
      <c r="G19" s="32">
        <f>'GHG detailed, absolute'!G19/Production!$D$59*AF_fat</f>
        <v>1.2942503908593308E-3</v>
      </c>
      <c r="H19" s="33"/>
      <c r="I19" s="33"/>
      <c r="J19" s="33"/>
      <c r="K19" s="33"/>
      <c r="L19" s="33"/>
      <c r="M19" s="33"/>
      <c r="N19" s="33"/>
      <c r="O19" s="33"/>
      <c r="P19" s="33"/>
      <c r="Q19" s="33"/>
      <c r="R19" s="33"/>
      <c r="T19" s="47">
        <f>'GHG detailed, absolute'!T19/Production!$D$59*AF_fat</f>
        <v>1.2942503908593308E-3</v>
      </c>
      <c r="U19" s="63">
        <f>'GHG detailed, absolute'!U19/Production!$D$59*AF_fat</f>
        <v>1.2942503908593308E-3</v>
      </c>
      <c r="W19" s="4"/>
      <c r="X19" s="12"/>
    </row>
    <row r="20" spans="1:27" ht="15" customHeight="1" thickBot="1" x14ac:dyDescent="0.25">
      <c r="A20" s="13" t="s">
        <v>142</v>
      </c>
      <c r="B20" s="13" t="s">
        <v>143</v>
      </c>
      <c r="C20" s="17" t="s">
        <v>144</v>
      </c>
      <c r="D20" s="18" t="s">
        <v>51</v>
      </c>
      <c r="E20" s="18" t="s">
        <v>52</v>
      </c>
      <c r="F20" s="34" t="s">
        <v>47</v>
      </c>
      <c r="G20" s="32">
        <f>'GHG detailed, absolute'!G20/Production!$D$59*AF_fat</f>
        <v>7.2091199637930032E-4</v>
      </c>
      <c r="H20" s="33">
        <f>'GHG detailed, absolute'!H20/Production!$D$59*AF_fat</f>
        <v>3.1345358390781081E-5</v>
      </c>
      <c r="I20" s="32">
        <f>'GHG detailed, absolute'!I20/Production!$D$59*AF_fat</f>
        <v>1.3481619239628119E-6</v>
      </c>
      <c r="J20" s="32">
        <f>'GHG detailed, absolute'!J20/Production!$D$59*AF_fat</f>
        <v>4.9462165031830246E-4</v>
      </c>
      <c r="K20" s="32">
        <f>'GHG detailed, absolute'!K20/Production!$D$59*AF_fat</f>
        <v>4.9462165031830238E-5</v>
      </c>
      <c r="L20" s="32">
        <f>'GHG detailed, absolute'!L20/Production!$D$59*AF_fat</f>
        <v>9.3865200263556287E-7</v>
      </c>
      <c r="M20" s="32"/>
      <c r="N20" s="32">
        <f>'GHG detailed, absolute'!N20/Production!$D$59*AF_fat</f>
        <v>9.5307439612800252E-9</v>
      </c>
      <c r="O20" s="32">
        <f>'GHG detailed, absolute'!O20/Production!$D$59*AF_fat</f>
        <v>1.9921817887362755E-6</v>
      </c>
      <c r="P20" s="32">
        <f>'GHG detailed, absolute'!P20/Production!$D$59*AF_fat</f>
        <v>0</v>
      </c>
      <c r="Q20" s="32">
        <f>'GHG detailed, absolute'!Q20/Production!$D$59*AF_fat</f>
        <v>2.7032818555888268E-6</v>
      </c>
      <c r="R20" s="32">
        <f>'GHG detailed, absolute'!R20/Production!$D$59*AF_fat</f>
        <v>1.3555774118864387E-6</v>
      </c>
      <c r="T20" s="47">
        <f>'GHG detailed, absolute'!T20/Production!$D$59*AF_fat</f>
        <v>1.2958087227149211E-4</v>
      </c>
      <c r="U20" s="9">
        <f>'GHG detailed, absolute'!U20/Production!$D$59*AF_fat</f>
        <v>4.8023152455802584E-5</v>
      </c>
      <c r="V20" s="63">
        <f>'GHG detailed, absolute'!V20/Production!$D$59*AF_fat</f>
        <v>8.1557719815689522E-5</v>
      </c>
      <c r="W20" s="4">
        <f>'GHG detailed, absolute'!W20/Production!$D$59*AF_fat</f>
        <v>3.818893279962502E-6</v>
      </c>
      <c r="X20" s="12">
        <f>'GHG detailed, absolute'!X20/Production!$D$59*AF_fat</f>
        <v>3.735671360160763E-6</v>
      </c>
      <c r="Z20" s="32"/>
      <c r="AA20" s="32"/>
    </row>
    <row r="21" spans="1:27" ht="15.5" customHeight="1" thickTop="1" thickBot="1" x14ac:dyDescent="0.25">
      <c r="A21" s="164" t="s">
        <v>142</v>
      </c>
      <c r="B21" s="164" t="s">
        <v>143</v>
      </c>
      <c r="C21" s="165" t="s">
        <v>144</v>
      </c>
      <c r="D21" s="166" t="s">
        <v>51</v>
      </c>
      <c r="E21" s="166" t="s">
        <v>52</v>
      </c>
      <c r="F21" s="167" t="s">
        <v>48</v>
      </c>
      <c r="G21" s="178">
        <f>'GHG detailed, absolute'!G21/Production!$D$59*AF_fat</f>
        <v>0.64711900089367524</v>
      </c>
      <c r="H21" s="168">
        <f>'GHG detailed, absolute'!H21/Production!$D$59*AF_fat</f>
        <v>3.6451696528718686E-2</v>
      </c>
      <c r="I21" s="168">
        <f>'GHG detailed, absolute'!I21/Production!$D$59*AF_fat</f>
        <v>3.6928973981364237E-2</v>
      </c>
      <c r="J21" s="168">
        <f>'GHG detailed, absolute'!J21/Production!$D$59*AF_fat</f>
        <v>0.13503171053689655</v>
      </c>
      <c r="K21" s="168">
        <f>'GHG detailed, absolute'!K21/Production!$D$59*AF_fat</f>
        <v>1.3503171053689655E-2</v>
      </c>
      <c r="L21" s="168">
        <f>'GHG detailed, absolute'!L21/Production!$D$59*AF_fat</f>
        <v>3.5649954287004397E-2</v>
      </c>
      <c r="M21" s="168">
        <f>'GHG detailed, absolute'!M21/Production!$D$59*AF_fat</f>
        <v>0</v>
      </c>
      <c r="N21" s="168">
        <f>'GHG detailed, absolute'!N21/Production!$D$59*AF_fat</f>
        <v>2.4659458850242018E-4</v>
      </c>
      <c r="O21" s="168">
        <f>'GHG detailed, absolute'!O21/Production!$D$59*AF_fat</f>
        <v>5.5266240789627406E-2</v>
      </c>
      <c r="P21" s="168">
        <f>'GHG detailed, absolute'!P21/Production!$D$59*AF_fat</f>
        <v>4.1802098336114625E-2</v>
      </c>
      <c r="Q21" s="168">
        <f>'GHG detailed, absolute'!Q21/Production!$D$59*AF_fat</f>
        <v>2.1832793621337627E-2</v>
      </c>
      <c r="R21" s="168">
        <f>'GHG detailed, absolute'!R21/Production!$D$59*AF_fat</f>
        <v>4.033966887135388E-2</v>
      </c>
      <c r="S21" s="168">
        <f>'GHG detailed, absolute'!S21/Production!$D$59*AF_fat</f>
        <v>0</v>
      </c>
      <c r="T21" s="168">
        <f>'GHG detailed, absolute'!T21/Production!$D$59*AF_fat</f>
        <v>7.0320338683319272E-2</v>
      </c>
      <c r="U21" s="169"/>
      <c r="V21" s="169"/>
      <c r="W21" s="168">
        <f>'GHG detailed, absolute'!W21/Production!$D$59*AF_fat</f>
        <v>5.9430016309411061E-2</v>
      </c>
      <c r="X21" s="168">
        <f>'GHG detailed, absolute'!X21/Production!$D$59*AF_fat</f>
        <v>0.1003157433063354</v>
      </c>
      <c r="Z21" s="113">
        <f>'GHG detailed, absolute'!Z21/Production!$D$59*AF_fat</f>
        <v>0.41705290259460948</v>
      </c>
      <c r="AA21" s="200">
        <f>'GHG detailed, absolute'!AA21/Production!$D$59*AF_fat</f>
        <v>0.1323384861308278</v>
      </c>
    </row>
    <row r="22" spans="1:27" ht="15" customHeight="1" thickTop="1" x14ac:dyDescent="0.2">
      <c r="A22" s="13" t="s">
        <v>142</v>
      </c>
      <c r="B22" s="13" t="s">
        <v>143</v>
      </c>
      <c r="C22" s="17" t="s">
        <v>144</v>
      </c>
      <c r="D22" s="18" t="s">
        <v>53</v>
      </c>
      <c r="E22" s="18" t="s">
        <v>54</v>
      </c>
      <c r="F22" s="35" t="s">
        <v>44</v>
      </c>
      <c r="G22" s="20">
        <f>'GHG detailed, absolute'!G22/Production!$E$59*AF_fat</f>
        <v>0.63315633830934825</v>
      </c>
      <c r="H22" s="173">
        <f>'GHG detailed, absolute'!H22/Production!$E$59*AF_fat</f>
        <v>3.1866990787546595E-2</v>
      </c>
      <c r="I22" s="173">
        <f>'GHG detailed, absolute'!I22/Production!$E$59*AF_fat</f>
        <v>2.9122484612918859E-2</v>
      </c>
      <c r="J22" s="173">
        <f>'GHG detailed, absolute'!J22/Production!$E$59*AF_fat</f>
        <v>0</v>
      </c>
      <c r="K22" s="173"/>
      <c r="L22" s="173">
        <f>'GHG detailed, absolute'!L22/Production!$E$59*AF_fat</f>
        <v>5.1157096128042506E-2</v>
      </c>
      <c r="M22" s="173"/>
      <c r="N22" s="173">
        <f>'GHG detailed, absolute'!N22/Production!$E$59*AF_fat</f>
        <v>7.7473714297672846E-3</v>
      </c>
      <c r="O22" s="173">
        <f>'GHG detailed, absolute'!O22/Production!$E$59*AF_fat</f>
        <v>4.8070819569904132E-2</v>
      </c>
      <c r="P22" s="173">
        <f>'GHG detailed, absolute'!P22/Production!$E$59*AF_fat</f>
        <v>9.0721473310122605E-2</v>
      </c>
      <c r="Q22" s="173">
        <f>'GHG detailed, absolute'!Q22/Production!$E$59*AF_fat</f>
        <v>0.12930092042386934</v>
      </c>
      <c r="R22" s="173">
        <f>'GHG detailed, absolute'!R22/Production!$E$59*AF_fat</f>
        <v>7.1859830705760866E-2</v>
      </c>
      <c r="S22" s="154"/>
      <c r="T22" s="154"/>
      <c r="U22" s="174"/>
      <c r="V22" s="174"/>
      <c r="W22" s="175">
        <f>'GHG detailed, absolute'!W22/Production!$E$59*AF_fat</f>
        <v>5.7962015577555065E-2</v>
      </c>
      <c r="X22" s="176">
        <f>'GHG detailed, absolute'!X22/Production!$E$59*AF_fat</f>
        <v>0.115347335763861</v>
      </c>
      <c r="Z22" s="20"/>
      <c r="AA22" s="20"/>
    </row>
    <row r="23" spans="1:27" x14ac:dyDescent="0.2">
      <c r="A23" s="13" t="s">
        <v>142</v>
      </c>
      <c r="B23" s="13" t="s">
        <v>143</v>
      </c>
      <c r="C23" s="17" t="s">
        <v>144</v>
      </c>
      <c r="D23" s="18" t="s">
        <v>53</v>
      </c>
      <c r="E23" s="18" t="s">
        <v>54</v>
      </c>
      <c r="F23" s="13" t="s">
        <v>45</v>
      </c>
      <c r="G23" s="32">
        <f>'GHG detailed, absolute'!G23/Production!$E$59*AF_fat</f>
        <v>9.2985016705399376E-4</v>
      </c>
      <c r="H23" s="33">
        <f>'GHG detailed, absolute'!H23/Production!$E$59*AF_fat</f>
        <v>7.8815182888348875E-6</v>
      </c>
      <c r="I23" s="33">
        <f>'GHG detailed, absolute'!I23/Production!$E$59*AF_fat</f>
        <v>1.0246800141582565E-4</v>
      </c>
      <c r="J23" s="33"/>
      <c r="K23" s="33"/>
      <c r="L23" s="33">
        <f>'GHG detailed, absolute'!L23/Production!$E$59*AF_fat</f>
        <v>2.2660868582535174E-5</v>
      </c>
      <c r="M23" s="33"/>
      <c r="N23" s="33">
        <f>'GHG detailed, absolute'!N23/Production!$E$59*AF_fat</f>
        <v>2.29100773727357E-5</v>
      </c>
      <c r="O23" s="33">
        <f>'GHG detailed, absolute'!O23/Production!$E$59*AF_fat</f>
        <v>3.9035571236541421E-5</v>
      </c>
      <c r="P23" s="33">
        <f>'GHG detailed, absolute'!P23/Production!$E$59*AF_fat</f>
        <v>0</v>
      </c>
      <c r="Q23" s="33">
        <f>'GHG detailed, absolute'!Q23/Production!$E$59*AF_fat</f>
        <v>2.7103984241414294E-4</v>
      </c>
      <c r="R23" s="33">
        <f>'GHG detailed, absolute'!R23/Production!$E$59*AF_fat</f>
        <v>8.622845058434024E-5</v>
      </c>
      <c r="W23" s="4">
        <f>'GHG detailed, absolute'!W23/Production!$E$59*AF_fat</f>
        <v>7.3153509810638823E-5</v>
      </c>
      <c r="X23" s="12">
        <f>'GHG detailed, absolute'!X23/Production!$E$59*AF_fat</f>
        <v>3.0447232734839901E-4</v>
      </c>
      <c r="Z23" s="32"/>
      <c r="AA23" s="32"/>
    </row>
    <row r="24" spans="1:27" x14ac:dyDescent="0.2">
      <c r="A24" s="13" t="s">
        <v>142</v>
      </c>
      <c r="B24" s="13" t="s">
        <v>143</v>
      </c>
      <c r="C24" s="17" t="s">
        <v>144</v>
      </c>
      <c r="D24" s="18" t="s">
        <v>53</v>
      </c>
      <c r="E24" s="18" t="s">
        <v>54</v>
      </c>
      <c r="F24" s="13" t="s">
        <v>46</v>
      </c>
      <c r="G24" s="32">
        <f>'GHG detailed, absolute'!G24/Production!$E$59*AF_fat</f>
        <v>1.1521011628666848E-3</v>
      </c>
      <c r="H24" s="33"/>
      <c r="I24" s="33"/>
      <c r="J24" s="33"/>
      <c r="K24" s="33"/>
      <c r="L24" s="33"/>
      <c r="M24" s="33"/>
      <c r="N24" s="33"/>
      <c r="O24" s="33"/>
      <c r="P24" s="33"/>
      <c r="Q24" s="33"/>
      <c r="R24" s="33"/>
      <c r="T24" s="47">
        <f>'GHG detailed, absolute'!T24/Production!$E$59*AF_fat</f>
        <v>1.1521011628666848E-3</v>
      </c>
      <c r="U24" s="63">
        <f>'GHG detailed, absolute'!U24/Production!$E$59*AF_fat</f>
        <v>1.1521011628666848E-3</v>
      </c>
      <c r="W24" s="4"/>
      <c r="X24" s="12"/>
    </row>
    <row r="25" spans="1:27" ht="15" customHeight="1" thickBot="1" x14ac:dyDescent="0.25">
      <c r="A25" s="13" t="s">
        <v>142</v>
      </c>
      <c r="B25" s="13" t="s">
        <v>143</v>
      </c>
      <c r="C25" s="17" t="s">
        <v>144</v>
      </c>
      <c r="D25" s="18" t="s">
        <v>53</v>
      </c>
      <c r="E25" s="18" t="s">
        <v>54</v>
      </c>
      <c r="F25" s="34" t="s">
        <v>47</v>
      </c>
      <c r="G25" s="32">
        <f>'GHG detailed, absolute'!G25/Production!$E$59*AF_fat</f>
        <v>6.5823652847202968E-4</v>
      </c>
      <c r="H25" s="33">
        <f>'GHG detailed, absolute'!H25/Production!$E$59*AF_fat</f>
        <v>1.1219851882663844E-5</v>
      </c>
      <c r="I25" s="32">
        <f>'GHG detailed, absolute'!I25/Production!$E$59*AF_fat</f>
        <v>1.1864715953411385E-6</v>
      </c>
      <c r="J25" s="32">
        <f>'GHG detailed, absolute'!J25/Production!$E$59*AF_fat</f>
        <v>4.7844667443898523E-4</v>
      </c>
      <c r="K25" s="32">
        <f>'GHG detailed, absolute'!K25/Production!$E$59*AF_fat</f>
        <v>4.7844667443898535E-5</v>
      </c>
      <c r="L25" s="32">
        <f>'GHG detailed, absolute'!L25/Production!$E$59*AF_fat</f>
        <v>1.3746111182982971E-6</v>
      </c>
      <c r="M25" s="32"/>
      <c r="N25" s="32">
        <f>'GHG detailed, absolute'!N25/Production!$E$59*AF_fat</f>
        <v>3.3292788225489646E-7</v>
      </c>
      <c r="O25" s="32">
        <f>'GHG detailed, absolute'!O25/Production!$E$59*AF_fat</f>
        <v>1.7027184340242626E-6</v>
      </c>
      <c r="P25" s="32">
        <f>'GHG detailed, absolute'!P25/Production!$E$59*AF_fat</f>
        <v>0</v>
      </c>
      <c r="Q25" s="32">
        <f>'GHG detailed, absolute'!Q25/Production!$E$59*AF_fat</f>
        <v>7.6669885597288805E-6</v>
      </c>
      <c r="R25" s="32">
        <f>'GHG detailed, absolute'!R25/Production!$E$59*AF_fat</f>
        <v>2.7495305210170522E-6</v>
      </c>
      <c r="T25" s="47">
        <f>'GHG detailed, absolute'!T25/Production!$E$59*AF_fat</f>
        <v>9.8388996135316656E-5</v>
      </c>
      <c r="U25" s="9">
        <f>'GHG detailed, absolute'!U25/Production!$E$59*AF_fat</f>
        <v>3.6463327330288213E-5</v>
      </c>
      <c r="V25" s="63">
        <f>'GHG detailed, absolute'!V25/Production!$E$59*AF_fat</f>
        <v>6.1925668805028449E-5</v>
      </c>
      <c r="W25" s="4">
        <f>'GHG detailed, absolute'!W25/Production!$E$59*AF_fat</f>
        <v>3.417955422391787E-6</v>
      </c>
      <c r="X25" s="12">
        <f>'GHG detailed, absolute'!X25/Production!$E$59*AF_fat</f>
        <v>3.9051350381091744E-6</v>
      </c>
      <c r="Z25" s="32"/>
      <c r="AA25" s="32"/>
    </row>
    <row r="26" spans="1:27" ht="15.5" customHeight="1" thickTop="1" thickBot="1" x14ac:dyDescent="0.25">
      <c r="A26" s="164" t="s">
        <v>142</v>
      </c>
      <c r="B26" s="164" t="s">
        <v>143</v>
      </c>
      <c r="C26" s="165" t="s">
        <v>144</v>
      </c>
      <c r="D26" s="36" t="s">
        <v>53</v>
      </c>
      <c r="E26" s="36" t="s">
        <v>54</v>
      </c>
      <c r="F26" s="167" t="s">
        <v>48</v>
      </c>
      <c r="G26" s="178">
        <f>'GHG detailed, absolute'!G26/Production!$E$59*AF_fat</f>
        <v>0.87167117695782215</v>
      </c>
      <c r="H26" s="168">
        <f>'GHG detailed, absolute'!H26/Production!$E$59*AF_fat</f>
        <v>3.5164879596521106E-2</v>
      </c>
      <c r="I26" s="168">
        <f>'GHG detailed, absolute'!I26/Production!$E$59*AF_fat</f>
        <v>3.2499937800638597E-2</v>
      </c>
      <c r="J26" s="168">
        <f>'GHG detailed, absolute'!J26/Production!$E$59*AF_fat</f>
        <v>0.13061594212184297</v>
      </c>
      <c r="K26" s="168">
        <f>'GHG detailed, absolute'!K26/Production!$E$59*AF_fat</f>
        <v>1.3061594212184297E-2</v>
      </c>
      <c r="L26" s="168">
        <f>'GHG detailed, absolute'!L26/Production!$E$59*AF_fat</f>
        <v>5.2207658847097493E-2</v>
      </c>
      <c r="M26" s="168">
        <f>'GHG detailed, absolute'!M26/Production!$E$59*AF_fat</f>
        <v>0</v>
      </c>
      <c r="N26" s="168">
        <f>'GHG detailed, absolute'!N26/Production!$E$59*AF_fat</f>
        <v>8.5209810473303935E-3</v>
      </c>
      <c r="O26" s="168">
        <f>'GHG detailed, absolute'!O26/Production!$E$59*AF_fat</f>
        <v>4.9698921725241686E-2</v>
      </c>
      <c r="P26" s="168">
        <f>'GHG detailed, absolute'!P26/Production!$E$59*AF_fat</f>
        <v>9.0721473310122605E-2</v>
      </c>
      <c r="Q26" s="168">
        <f>'GHG detailed, absolute'!Q26/Production!$E$59*AF_fat</f>
        <v>0.13947099560461679</v>
      </c>
      <c r="R26" s="168">
        <f>'GHG detailed, absolute'!R26/Production!$E$59*AF_fat</f>
        <v>7.518006036541186E-2</v>
      </c>
      <c r="S26" s="168">
        <f>'GHG detailed, absolute'!S26/Production!$E$59*AF_fat</f>
        <v>0</v>
      </c>
      <c r="T26" s="168">
        <f>'GHG detailed, absolute'!T26/Production!$E$59*AF_fat</f>
        <v>5.7966927342341941E-2</v>
      </c>
      <c r="U26" s="169"/>
      <c r="V26" s="169"/>
      <c r="W26" s="168">
        <f>'GHG detailed, absolute'!W26/Production!$E$59*AF_fat</f>
        <v>6.1075092000225061E-2</v>
      </c>
      <c r="X26" s="168">
        <f>'GHG detailed, absolute'!X26/Production!$E$59*AF_fat</f>
        <v>0.1254867129842471</v>
      </c>
      <c r="Z26" s="113">
        <f>'GHG detailed, absolute'!Z26/Production!$E$59*AF_fat</f>
        <v>0.62714244463100799</v>
      </c>
      <c r="AA26" s="200">
        <f>'GHG detailed, absolute'!AA26/Production!$E$59*AF_fat</f>
        <v>0.1770223140142172</v>
      </c>
    </row>
    <row r="27" spans="1:27" ht="15" customHeight="1" thickTop="1" x14ac:dyDescent="0.2">
      <c r="A27" s="170" t="s">
        <v>142</v>
      </c>
      <c r="B27" s="170" t="s">
        <v>143</v>
      </c>
      <c r="C27" s="171" t="s">
        <v>144</v>
      </c>
      <c r="D27" s="155" t="s">
        <v>55</v>
      </c>
      <c r="E27" s="155" t="s">
        <v>56</v>
      </c>
      <c r="F27" s="172" t="s">
        <v>44</v>
      </c>
      <c r="G27" s="20">
        <f>'GHG detailed, absolute'!G27/Production!$F$59*AF_fat</f>
        <v>0.4324589220929585</v>
      </c>
      <c r="H27" s="173">
        <f>'GHG detailed, absolute'!H27/Production!$F$59*AF_fat</f>
        <v>3.6956905510198333E-2</v>
      </c>
      <c r="I27" s="173">
        <f>'GHG detailed, absolute'!I27/Production!$F$59*AF_fat</f>
        <v>3.1662636526863741E-2</v>
      </c>
      <c r="J27" s="173">
        <f>'GHG detailed, absolute'!J27/Production!$F$59*AF_fat</f>
        <v>0</v>
      </c>
      <c r="K27" s="173"/>
      <c r="L27" s="173">
        <f>'GHG detailed, absolute'!L27/Production!$F$59*AF_fat</f>
        <v>4.0814182271120658E-2</v>
      </c>
      <c r="M27" s="173"/>
      <c r="N27" s="173">
        <f>'GHG detailed, absolute'!N27/Production!$F$59*AF_fat</f>
        <v>7.402744717520791E-4</v>
      </c>
      <c r="O27" s="173">
        <f>'GHG detailed, absolute'!O27/Production!$F$59*AF_fat</f>
        <v>4.879041448298576E-2</v>
      </c>
      <c r="P27" s="173">
        <f>'GHG detailed, absolute'!P27/Production!$F$59*AF_fat</f>
        <v>4.9550946012395194E-2</v>
      </c>
      <c r="Q27" s="173">
        <f>'GHG detailed, absolute'!Q27/Production!$F$59*AF_fat</f>
        <v>5.4651145304920969E-2</v>
      </c>
      <c r="R27" s="173">
        <f>'GHG detailed, absolute'!R27/Production!$F$59*AF_fat</f>
        <v>3.2571205184639476E-2</v>
      </c>
      <c r="S27" s="154"/>
      <c r="T27" s="154"/>
      <c r="U27" s="174"/>
      <c r="V27" s="174"/>
      <c r="W27" s="175">
        <f>'GHG detailed, absolute'!W27/Production!$F$59*AF_fat</f>
        <v>4.8476201759283362E-2</v>
      </c>
      <c r="X27" s="176">
        <f>'GHG detailed, absolute'!X27/Production!$F$59*AF_fat</f>
        <v>8.8245010568798951E-2</v>
      </c>
      <c r="Z27" s="20"/>
      <c r="AA27" s="20"/>
    </row>
    <row r="28" spans="1:27" x14ac:dyDescent="0.2">
      <c r="A28" s="13" t="s">
        <v>142</v>
      </c>
      <c r="B28" s="13" t="s">
        <v>143</v>
      </c>
      <c r="C28" s="17" t="s">
        <v>144</v>
      </c>
      <c r="D28" s="18" t="s">
        <v>55</v>
      </c>
      <c r="E28" s="18" t="s">
        <v>56</v>
      </c>
      <c r="F28" s="13" t="s">
        <v>45</v>
      </c>
      <c r="G28" s="32">
        <f>'GHG detailed, absolute'!G28/Production!$F$59*AF_fat</f>
        <v>6.9264420687429273E-4</v>
      </c>
      <c r="H28" s="33">
        <f>'GHG detailed, absolute'!H28/Production!$F$59*AF_fat</f>
        <v>3.9127895217895182E-6</v>
      </c>
      <c r="I28" s="33">
        <f>'GHG detailed, absolute'!I28/Production!$F$59*AF_fat</f>
        <v>1.1140557296489091E-4</v>
      </c>
      <c r="J28" s="33"/>
      <c r="K28" s="33"/>
      <c r="L28" s="33">
        <f>'GHG detailed, absolute'!L28/Production!$F$59*AF_fat</f>
        <v>1.8079306503922392E-5</v>
      </c>
      <c r="M28" s="33"/>
      <c r="N28" s="33">
        <f>'GHG detailed, absolute'!N28/Production!$F$59*AF_fat</f>
        <v>2.1974603887778837E-6</v>
      </c>
      <c r="O28" s="33">
        <f>'GHG detailed, absolute'!O28/Production!$F$59*AF_fat</f>
        <v>4.0052293983791469E-5</v>
      </c>
      <c r="P28" s="33">
        <f>'GHG detailed, absolute'!P28/Production!$F$59*AF_fat</f>
        <v>0</v>
      </c>
      <c r="Q28" s="33">
        <f>'GHG detailed, absolute'!Q28/Production!$F$59*AF_fat</f>
        <v>1.4214368047025511E-4</v>
      </c>
      <c r="R28" s="33">
        <f>'GHG detailed, absolute'!R28/Production!$F$59*AF_fat</f>
        <v>2.7294685726814788E-5</v>
      </c>
      <c r="W28" s="4">
        <f>'GHG detailed, absolute'!W28/Production!$F$59*AF_fat</f>
        <v>6.5358252813790309E-5</v>
      </c>
      <c r="X28" s="12">
        <f>'GHG detailed, absolute'!X28/Production!$F$59*AF_fat</f>
        <v>2.8220016450026034E-4</v>
      </c>
      <c r="Z28" s="32"/>
      <c r="AA28" s="32"/>
    </row>
    <row r="29" spans="1:27" x14ac:dyDescent="0.2">
      <c r="A29" s="13" t="s">
        <v>142</v>
      </c>
      <c r="B29" s="13" t="s">
        <v>143</v>
      </c>
      <c r="C29" s="17" t="s">
        <v>144</v>
      </c>
      <c r="D29" s="18" t="s">
        <v>55</v>
      </c>
      <c r="E29" s="18" t="s">
        <v>56</v>
      </c>
      <c r="F29" s="13" t="s">
        <v>46</v>
      </c>
      <c r="G29" s="32">
        <f>'GHG detailed, absolute'!G29/Production!$F$59*AF_fat</f>
        <v>7.6806744191112324E-4</v>
      </c>
      <c r="H29" s="33"/>
      <c r="I29" s="33"/>
      <c r="J29" s="33"/>
      <c r="K29" s="33"/>
      <c r="L29" s="33"/>
      <c r="M29" s="33"/>
      <c r="N29" s="33"/>
      <c r="O29" s="33"/>
      <c r="P29" s="33"/>
      <c r="Q29" s="33"/>
      <c r="R29" s="33"/>
      <c r="T29" s="47">
        <f>'GHG detailed, absolute'!T29/Production!$F$59*AF_fat</f>
        <v>7.6806744191112324E-4</v>
      </c>
      <c r="U29" s="63">
        <f>'GHG detailed, absolute'!U29/Production!$F$59*AF_fat</f>
        <v>7.6806744191112324E-4</v>
      </c>
      <c r="W29" s="4"/>
      <c r="X29" s="12"/>
    </row>
    <row r="30" spans="1:27" ht="15" customHeight="1" thickBot="1" x14ac:dyDescent="0.25">
      <c r="A30" s="13" t="s">
        <v>142</v>
      </c>
      <c r="B30" s="13" t="s">
        <v>143</v>
      </c>
      <c r="C30" s="17" t="s">
        <v>144</v>
      </c>
      <c r="D30" s="18" t="s">
        <v>55</v>
      </c>
      <c r="E30" s="18" t="s">
        <v>56</v>
      </c>
      <c r="F30" s="34" t="s">
        <v>47</v>
      </c>
      <c r="G30" s="32">
        <f>'GHG detailed, absolute'!G30/Production!$F$59*AF_fat</f>
        <v>7.502116703109081E-4</v>
      </c>
      <c r="H30" s="33">
        <f>'GHG detailed, absolute'!H30/Production!$F$59*AF_fat</f>
        <v>1.7833839659476859E-5</v>
      </c>
      <c r="I30" s="32">
        <f>'GHG detailed, absolute'!I30/Production!$F$59*AF_fat</f>
        <v>1.2899592659092637E-6</v>
      </c>
      <c r="J30" s="32">
        <f>'GHG detailed, absolute'!J30/Production!$F$59*AF_fat</f>
        <v>5.6204186015789402E-4</v>
      </c>
      <c r="K30" s="32">
        <f>'GHG detailed, absolute'!K30/Production!$F$59*AF_fat</f>
        <v>5.6204186015789407E-5</v>
      </c>
      <c r="L30" s="32">
        <f>'GHG detailed, absolute'!L30/Production!$F$59*AF_fat</f>
        <v>1.0966929904252652E-6</v>
      </c>
      <c r="M30" s="32"/>
      <c r="N30" s="32">
        <f>'GHG detailed, absolute'!N30/Production!$F$59*AF_fat</f>
        <v>3.1772672261675203E-8</v>
      </c>
      <c r="O30" s="32">
        <f>'GHG detailed, absolute'!O30/Production!$F$59*AF_fat</f>
        <v>1.7297273161813234E-6</v>
      </c>
      <c r="P30" s="32">
        <f>'GHG detailed, absolute'!P30/Production!$F$59*AF_fat</f>
        <v>0</v>
      </c>
      <c r="Q30" s="32">
        <f>'GHG detailed, absolute'!Q30/Production!$F$59*AF_fat</f>
        <v>3.4794916257902732E-6</v>
      </c>
      <c r="R30" s="32">
        <f>'GHG detailed, absolute'!R30/Production!$F$59*AF_fat</f>
        <v>1.1877522088351401E-6</v>
      </c>
      <c r="T30" s="47">
        <f>'GHG detailed, absolute'!T30/Production!$F$59*AF_fat</f>
        <v>9.9203200249074598E-5</v>
      </c>
      <c r="U30" s="9">
        <f>'GHG detailed, absolute'!U30/Production!$F$59*AF_fat</f>
        <v>3.6765074398352507E-5</v>
      </c>
      <c r="V30" s="63">
        <f>'GHG detailed, absolute'!V30/Production!$F$59*AF_fat</f>
        <v>6.2438125850722084E-5</v>
      </c>
      <c r="W30" s="4">
        <f>'GHG detailed, absolute'!W30/Production!$F$59*AF_fat</f>
        <v>3.1042770454060711E-6</v>
      </c>
      <c r="X30" s="12">
        <f>'GHG detailed, absolute'!X30/Production!$F$59*AF_fat</f>
        <v>3.0089111038642729E-6</v>
      </c>
      <c r="Z30" s="32"/>
      <c r="AA30" s="32"/>
    </row>
    <row r="31" spans="1:27" ht="15.5" customHeight="1" thickTop="1" thickBot="1" x14ac:dyDescent="0.25">
      <c r="A31" s="164" t="s">
        <v>142</v>
      </c>
      <c r="B31" s="164" t="s">
        <v>143</v>
      </c>
      <c r="C31" s="165" t="s">
        <v>144</v>
      </c>
      <c r="D31" s="166" t="s">
        <v>55</v>
      </c>
      <c r="E31" s="166" t="s">
        <v>56</v>
      </c>
      <c r="F31" s="167" t="s">
        <v>48</v>
      </c>
      <c r="G31" s="178">
        <f>'GHG detailed, absolute'!G31/Production!$F$59*AF_fat</f>
        <v>0.67864532638429076</v>
      </c>
      <c r="H31" s="168">
        <f>'GHG detailed, absolute'!H31/Production!$F$59*AF_fat</f>
        <v>4.1942144864984841E-2</v>
      </c>
      <c r="I31" s="168">
        <f>'GHG detailed, absolute'!I31/Production!$F$59*AF_fat</f>
        <v>3.5334681480810717E-2</v>
      </c>
      <c r="J31" s="168">
        <f>'GHG detailed, absolute'!J31/Production!$F$59*AF_fat</f>
        <v>0.15343742782310507</v>
      </c>
      <c r="K31" s="168">
        <f>'GHG detailed, absolute'!K31/Production!$F$59*AF_fat</f>
        <v>1.5343742782310507E-2</v>
      </c>
      <c r="L31" s="168">
        <f>'GHG detailed, absolute'!L31/Production!$F$59*AF_fat</f>
        <v>4.165234279132364E-2</v>
      </c>
      <c r="M31" s="168">
        <f>'GHG detailed, absolute'!M31/Production!$F$59*AF_fat</f>
        <v>0</v>
      </c>
      <c r="N31" s="168">
        <f>'GHG detailed, absolute'!N31/Production!$F$59*AF_fat</f>
        <v>8.1443273086509742E-4</v>
      </c>
      <c r="O31" s="168">
        <f>'GHG detailed, absolute'!O31/Production!$F$59*AF_fat</f>
        <v>5.0456188401020251E-2</v>
      </c>
      <c r="P31" s="168">
        <f>'GHG detailed, absolute'!P31/Production!$F$59*AF_fat</f>
        <v>4.9550946012395194E-2</v>
      </c>
      <c r="Q31" s="168">
        <f>'GHG detailed, absolute'!Q31/Production!$F$59*AF_fat</f>
        <v>5.9836928196775316E-2</v>
      </c>
      <c r="R31" s="168">
        <f>'GHG detailed, absolute'!R31/Production!$F$59*AF_fat</f>
        <v>3.370884317231055E-2</v>
      </c>
      <c r="S31" s="168">
        <f>'GHG detailed, absolute'!S31/Production!$F$59*AF_fat</f>
        <v>0</v>
      </c>
      <c r="T31" s="168">
        <f>'GHG detailed, absolute'!T31/Production!$F$59*AF_fat</f>
        <v>4.782029459959769E-2</v>
      </c>
      <c r="U31" s="169"/>
      <c r="V31" s="169"/>
      <c r="W31" s="168">
        <f>'GHG detailed, absolute'!W31/Production!$F$59*AF_fat</f>
        <v>5.1271345326530174E-2</v>
      </c>
      <c r="X31" s="168">
        <f>'GHG detailed, absolute'!X31/Production!$F$59*AF_fat</f>
        <v>9.7476008202261655E-2</v>
      </c>
      <c r="Z31" s="113">
        <f>'GHG detailed, absolute'!Z31/Production!$F$59*AF_fat</f>
        <v>0.48207767825590114</v>
      </c>
      <c r="AA31" s="200">
        <f>'GHG detailed, absolute'!AA31/Production!$F$59*AF_fat</f>
        <v>0.14772026878537689</v>
      </c>
    </row>
    <row r="32" spans="1:27" ht="15" customHeight="1" thickTop="1" x14ac:dyDescent="0.2">
      <c r="A32" s="170" t="s">
        <v>142</v>
      </c>
      <c r="B32" s="170" t="s">
        <v>143</v>
      </c>
      <c r="C32" s="171" t="s">
        <v>144</v>
      </c>
      <c r="D32" s="155" t="s">
        <v>57</v>
      </c>
      <c r="E32" s="155" t="s">
        <v>58</v>
      </c>
      <c r="F32" s="172" t="s">
        <v>44</v>
      </c>
      <c r="G32" s="20">
        <f>'GHG detailed, absolute'!G32/Production!$G$59*AF_fat</f>
        <v>0.46921045788612825</v>
      </c>
      <c r="H32" s="173">
        <f>'GHG detailed, absolute'!H32/Production!$G$59*AF_fat</f>
        <v>2.6505894954318637E-2</v>
      </c>
      <c r="I32" s="173">
        <f>'GHG detailed, absolute'!I32/Production!$G$59*AF_fat</f>
        <v>2.9603289543885011E-2</v>
      </c>
      <c r="J32" s="173">
        <f>'GHG detailed, absolute'!J32/Production!$G$59*AF_fat</f>
        <v>0</v>
      </c>
      <c r="K32" s="173"/>
      <c r="L32" s="173">
        <f>'GHG detailed, absolute'!L32/Production!$G$59*AF_fat</f>
        <v>3.2853764585753328E-2</v>
      </c>
      <c r="M32" s="173"/>
      <c r="N32" s="173">
        <f>'GHG detailed, absolute'!N32/Production!$G$59*AF_fat</f>
        <v>7.0489162077572837E-4</v>
      </c>
      <c r="O32" s="173">
        <f>'GHG detailed, absolute'!O32/Production!$G$59*AF_fat</f>
        <v>4.3626100235037137E-2</v>
      </c>
      <c r="P32" s="173">
        <f>'GHG detailed, absolute'!P32/Production!$G$59*AF_fat</f>
        <v>0.11291160802690708</v>
      </c>
      <c r="Q32" s="173">
        <f>'GHG detailed, absolute'!Q32/Production!$G$59*AF_fat</f>
        <v>1.246301876836251E-2</v>
      </c>
      <c r="R32" s="173">
        <f>'GHG detailed, absolute'!R32/Production!$G$59*AF_fat</f>
        <v>8.5866717570601048E-2</v>
      </c>
      <c r="S32" s="154"/>
      <c r="T32" s="154"/>
      <c r="U32" s="174"/>
      <c r="V32" s="174"/>
      <c r="W32" s="175">
        <f>'GHG detailed, absolute'!W32/Production!$G$59*AF_fat</f>
        <v>4.4960151736847295E-2</v>
      </c>
      <c r="X32" s="176">
        <f>'GHG detailed, absolute'!X32/Production!$G$59*AF_fat</f>
        <v>7.971502084364053E-2</v>
      </c>
      <c r="Z32" s="20"/>
      <c r="AA32" s="20"/>
    </row>
    <row r="33" spans="1:27" x14ac:dyDescent="0.2">
      <c r="A33" s="13" t="s">
        <v>142</v>
      </c>
      <c r="B33" s="13" t="s">
        <v>143</v>
      </c>
      <c r="C33" s="17" t="s">
        <v>144</v>
      </c>
      <c r="D33" s="18" t="s">
        <v>57</v>
      </c>
      <c r="E33" s="18" t="s">
        <v>58</v>
      </c>
      <c r="F33" s="13" t="s">
        <v>45</v>
      </c>
      <c r="G33" s="32">
        <f>'GHG detailed, absolute'!G33/Production!$G$59*AF_fat</f>
        <v>4.9416898741970732E-4</v>
      </c>
      <c r="H33" s="33">
        <f>'GHG detailed, absolute'!H33/Production!$G$59*AF_fat</f>
        <v>1.2670760410681149E-5</v>
      </c>
      <c r="I33" s="33">
        <f>'GHG detailed, absolute'!I33/Production!$G$59*AF_fat</f>
        <v>1.0415972246922506E-4</v>
      </c>
      <c r="J33" s="33"/>
      <c r="K33" s="33"/>
      <c r="L33" s="33">
        <f>'GHG detailed, absolute'!L33/Production!$G$59*AF_fat</f>
        <v>1.4553109892240298E-5</v>
      </c>
      <c r="M33" s="33"/>
      <c r="N33" s="33">
        <f>'GHG detailed, absolute'!N33/Production!$G$59*AF_fat</f>
        <v>2.1095575707177017E-6</v>
      </c>
      <c r="O33" s="33">
        <f>'GHG detailed, absolute'!O33/Production!$G$59*AF_fat</f>
        <v>2.5098730434441629E-5</v>
      </c>
      <c r="P33" s="33">
        <f>'GHG detailed, absolute'!P33/Production!$G$59*AF_fat</f>
        <v>0</v>
      </c>
      <c r="Q33" s="33">
        <f>'GHG detailed, absolute'!Q33/Production!$G$59*AF_fat</f>
        <v>4.4609030922289969E-5</v>
      </c>
      <c r="R33" s="33">
        <f>'GHG detailed, absolute'!R33/Production!$G$59*AF_fat</f>
        <v>7.3119085687764246E-5</v>
      </c>
      <c r="W33" s="4">
        <f>'GHG detailed, absolute'!W33/Production!$G$59*AF_fat</f>
        <v>3.2476363412367912E-5</v>
      </c>
      <c r="X33" s="12">
        <f>'GHG detailed, absolute'!X33/Production!$G$59*AF_fat</f>
        <v>1.853726266199794E-4</v>
      </c>
      <c r="Z33" s="32"/>
      <c r="AA33" s="32"/>
    </row>
    <row r="34" spans="1:27" x14ac:dyDescent="0.2">
      <c r="A34" s="13" t="s">
        <v>142</v>
      </c>
      <c r="B34" s="13" t="s">
        <v>143</v>
      </c>
      <c r="C34" s="17" t="s">
        <v>144</v>
      </c>
      <c r="D34" s="18" t="s">
        <v>57</v>
      </c>
      <c r="E34" s="18" t="s">
        <v>58</v>
      </c>
      <c r="F34" s="13" t="s">
        <v>46</v>
      </c>
      <c r="G34" s="32">
        <f>'GHG detailed, absolute'!G34/Production!$G$59*AF_fat</f>
        <v>6.9237573265642409E-4</v>
      </c>
      <c r="H34" s="33"/>
      <c r="I34" s="33"/>
      <c r="J34" s="33"/>
      <c r="K34" s="33"/>
      <c r="L34" s="33"/>
      <c r="M34" s="33"/>
      <c r="N34" s="33"/>
      <c r="O34" s="33"/>
      <c r="P34" s="33"/>
      <c r="Q34" s="33"/>
      <c r="R34" s="33"/>
      <c r="T34" s="47">
        <f>'GHG detailed, absolute'!T34/Production!$G$59*AF_fat</f>
        <v>6.9237573265642409E-4</v>
      </c>
      <c r="U34" s="63">
        <f>'GHG detailed, absolute'!U34/Production!$G$59*AF_fat</f>
        <v>6.9237573265642409E-4</v>
      </c>
      <c r="W34" s="4"/>
      <c r="X34" s="12"/>
    </row>
    <row r="35" spans="1:27" ht="15" customHeight="1" thickBot="1" x14ac:dyDescent="0.25">
      <c r="A35" s="13" t="s">
        <v>142</v>
      </c>
      <c r="B35" s="13" t="s">
        <v>143</v>
      </c>
      <c r="C35" s="17" t="s">
        <v>144</v>
      </c>
      <c r="D35" s="18" t="s">
        <v>57</v>
      </c>
      <c r="E35" s="18" t="s">
        <v>58</v>
      </c>
      <c r="F35" s="34" t="s">
        <v>47</v>
      </c>
      <c r="G35" s="32">
        <f>'GHG detailed, absolute'!G35/Production!$G$59*AF_fat</f>
        <v>5.3280651038141392E-4</v>
      </c>
      <c r="H35" s="33">
        <f>'GHG detailed, absolute'!H35/Production!$G$59*AF_fat</f>
        <v>2.0238401526230462E-5</v>
      </c>
      <c r="I35" s="32">
        <f>'GHG detailed, absolute'!I35/Production!$G$59*AF_fat</f>
        <v>1.2060599443805005E-6</v>
      </c>
      <c r="J35" s="32">
        <f>'GHG detailed, absolute'!J35/Production!$G$59*AF_fat</f>
        <v>3.9555642865125612E-4</v>
      </c>
      <c r="K35" s="32">
        <f>'GHG detailed, absolute'!K35/Production!$G$59*AF_fat</f>
        <v>3.9555642865125611E-5</v>
      </c>
      <c r="L35" s="32">
        <f>'GHG detailed, absolute'!L35/Production!$G$59*AF_fat</f>
        <v>8.8279346357925105E-7</v>
      </c>
      <c r="M35" s="32"/>
      <c r="N35" s="32">
        <f>'GHG detailed, absolute'!N35/Production!$G$59*AF_fat</f>
        <v>3.0173852992184538E-8</v>
      </c>
      <c r="O35" s="32">
        <f>'GHG detailed, absolute'!O35/Production!$G$59*AF_fat</f>
        <v>1.5852037640151036E-6</v>
      </c>
      <c r="P35" s="32">
        <f>'GHG detailed, absolute'!P35/Production!$G$59*AF_fat</f>
        <v>0</v>
      </c>
      <c r="Q35" s="32">
        <f>'GHG detailed, absolute'!Q35/Production!$G$59*AF_fat</f>
        <v>4.610362072103496E-6</v>
      </c>
      <c r="R35" s="32">
        <f>'GHG detailed, absolute'!R35/Production!$G$59*AF_fat</f>
        <v>3.0924982035442822E-6</v>
      </c>
      <c r="T35" s="47">
        <f>'GHG detailed, absolute'!T35/Production!$G$59*AF_fat</f>
        <v>6.028113222153781E-5</v>
      </c>
      <c r="U35" s="9">
        <f>'GHG detailed, absolute'!U35/Production!$G$59*AF_fat</f>
        <v>2.234041145222466E-5</v>
      </c>
      <c r="V35" s="63">
        <f>'GHG detailed, absolute'!V35/Production!$G$59*AF_fat</f>
        <v>3.7940720769313143E-5</v>
      </c>
      <c r="W35" s="4">
        <f>'GHG detailed, absolute'!W35/Production!$G$59*AF_fat</f>
        <v>2.9689089388306624E-6</v>
      </c>
      <c r="X35" s="12">
        <f>'GHG detailed, absolute'!X35/Production!$G$59*AF_fat</f>
        <v>2.7989048778183192E-6</v>
      </c>
      <c r="Z35" s="32"/>
      <c r="AA35" s="32"/>
    </row>
    <row r="36" spans="1:27" ht="15.5" customHeight="1" thickTop="1" thickBot="1" x14ac:dyDescent="0.25">
      <c r="A36" s="164" t="s">
        <v>142</v>
      </c>
      <c r="B36" s="164" t="s">
        <v>143</v>
      </c>
      <c r="C36" s="165" t="s">
        <v>144</v>
      </c>
      <c r="D36" s="36" t="s">
        <v>57</v>
      </c>
      <c r="E36" s="36" t="s">
        <v>58</v>
      </c>
      <c r="F36" s="167" t="s">
        <v>48</v>
      </c>
      <c r="G36" s="178">
        <f>'GHG detailed, absolute'!G36/Production!$G$59*AF_fat</f>
        <v>0.64808701582708506</v>
      </c>
      <c r="H36" s="168">
        <f>'GHG detailed, absolute'!H36/Production!$G$59*AF_fat</f>
        <v>3.240856723121785E-2</v>
      </c>
      <c r="I36" s="168">
        <f>'GHG detailed, absolute'!I36/Production!$G$59*AF_fat</f>
        <v>3.3036503638283796E-2</v>
      </c>
      <c r="J36" s="168">
        <f>'GHG detailed, absolute'!J36/Production!$G$59*AF_fat</f>
        <v>0.10798690502179291</v>
      </c>
      <c r="K36" s="168">
        <f>'GHG detailed, absolute'!K36/Production!$G$59*AF_fat</f>
        <v>1.0798690502179293E-2</v>
      </c>
      <c r="L36" s="168">
        <f>'GHG detailed, absolute'!L36/Production!$G$59*AF_fat</f>
        <v>3.352844987609923E-2</v>
      </c>
      <c r="M36" s="168">
        <f>'GHG detailed, absolute'!M36/Production!$G$59*AF_fat</f>
        <v>0</v>
      </c>
      <c r="N36" s="168">
        <f>'GHG detailed, absolute'!N36/Production!$G$59*AF_fat</f>
        <v>7.7599389824998231E-4</v>
      </c>
      <c r="O36" s="168">
        <f>'GHG detailed, absolute'!O36/Production!$G$59*AF_fat</f>
        <v>4.4806803029559632E-2</v>
      </c>
      <c r="P36" s="168">
        <f>'GHG detailed, absolute'!P36/Production!$G$59*AF_fat</f>
        <v>0.11291160802690708</v>
      </c>
      <c r="Q36" s="168">
        <f>'GHG detailed, absolute'!Q36/Production!$G$59*AF_fat</f>
        <v>1.5050996735531005E-2</v>
      </c>
      <c r="R36" s="168">
        <f>'GHG detailed, absolute'!R36/Production!$G$59*AF_fat</f>
        <v>8.8889918333664011E-2</v>
      </c>
      <c r="S36" s="168">
        <f>'GHG detailed, absolute'!S36/Production!$G$59*AF_fat</f>
        <v>0</v>
      </c>
      <c r="T36" s="168">
        <f>'GHG detailed, absolute'!T36/Production!$G$59*AF_fat</f>
        <v>3.515089387820327E-2</v>
      </c>
      <c r="U36" s="169"/>
      <c r="V36" s="169"/>
      <c r="W36" s="168">
        <f>'GHG detailed, absolute'!W36/Production!$G$59*AF_fat</f>
        <v>4.6738459506836631E-2</v>
      </c>
      <c r="X36" s="168">
        <f>'GHG detailed, absolute'!X36/Production!$G$59*AF_fat</f>
        <v>8.6003226148560333E-2</v>
      </c>
      <c r="Z36" s="113">
        <f>'GHG detailed, absolute'!Z36/Production!$G$59*AF_fat</f>
        <v>0.48019443629348485</v>
      </c>
      <c r="AA36" s="200">
        <f>'GHG detailed, absolute'!AA36/Production!$G$59*AF_fat</f>
        <v>0.13014065420004994</v>
      </c>
    </row>
    <row r="37" spans="1:27" ht="15" customHeight="1" thickTop="1" x14ac:dyDescent="0.2">
      <c r="A37" s="170" t="s">
        <v>142</v>
      </c>
      <c r="B37" s="170" t="s">
        <v>143</v>
      </c>
      <c r="C37" s="171" t="s">
        <v>144</v>
      </c>
      <c r="D37" s="155" t="s">
        <v>59</v>
      </c>
      <c r="E37" s="155" t="s">
        <v>60</v>
      </c>
      <c r="F37" s="172" t="s">
        <v>44</v>
      </c>
      <c r="G37" s="20">
        <f>'GHG detailed, absolute'!G37/Production!$H$59*AF_fat</f>
        <v>0.44359631473329247</v>
      </c>
      <c r="H37" s="173">
        <f>'GHG detailed, absolute'!H37/Production!$H$59*AF_fat</f>
        <v>3.3996319730280514E-2</v>
      </c>
      <c r="I37" s="173">
        <f>'GHG detailed, absolute'!I37/Production!$H$59*AF_fat</f>
        <v>2.9787654592767953E-2</v>
      </c>
      <c r="J37" s="173">
        <f>'GHG detailed, absolute'!J37/Production!$H$59*AF_fat</f>
        <v>0</v>
      </c>
      <c r="K37" s="173"/>
      <c r="L37" s="173">
        <f>'GHG detailed, absolute'!L37/Production!$H$59*AF_fat</f>
        <v>3.6990331206070703E-2</v>
      </c>
      <c r="M37" s="173"/>
      <c r="N37" s="173">
        <f>'GHG detailed, absolute'!N37/Production!$H$59*AF_fat</f>
        <v>1.8390322786738368E-3</v>
      </c>
      <c r="O37" s="173">
        <f>'GHG detailed, absolute'!O37/Production!$H$59*AF_fat</f>
        <v>4.4937079425524495E-2</v>
      </c>
      <c r="P37" s="173">
        <f>'GHG detailed, absolute'!P37/Production!$H$59*AF_fat</f>
        <v>5.1563445687273418E-2</v>
      </c>
      <c r="Q37" s="173">
        <f>'GHG detailed, absolute'!Q37/Production!$H$59*AF_fat</f>
        <v>7.4341708870854839E-2</v>
      </c>
      <c r="R37" s="173">
        <f>'GHG detailed, absolute'!R37/Production!$H$59*AF_fat</f>
        <v>4.4095088145414019E-2</v>
      </c>
      <c r="S37" s="154"/>
      <c r="T37" s="154"/>
      <c r="U37" s="174"/>
      <c r="V37" s="174"/>
      <c r="W37" s="175">
        <f>'GHG detailed, absolute'!W37/Production!$H$59*AF_fat</f>
        <v>4.5708464621448286E-2</v>
      </c>
      <c r="X37" s="176">
        <f>'GHG detailed, absolute'!X37/Production!$H$59*AF_fat</f>
        <v>8.033719017498446E-2</v>
      </c>
      <c r="Z37" s="20"/>
      <c r="AA37" s="20"/>
    </row>
    <row r="38" spans="1:27" x14ac:dyDescent="0.2">
      <c r="A38" s="13" t="s">
        <v>142</v>
      </c>
      <c r="B38" s="13" t="s">
        <v>143</v>
      </c>
      <c r="C38" s="17" t="s">
        <v>144</v>
      </c>
      <c r="D38" s="18" t="s">
        <v>59</v>
      </c>
      <c r="E38" s="18" t="s">
        <v>60</v>
      </c>
      <c r="F38" s="13" t="s">
        <v>45</v>
      </c>
      <c r="G38" s="32">
        <f>'GHG detailed, absolute'!G38/Production!$H$59*AF_fat</f>
        <v>1.0077918086272475E-3</v>
      </c>
      <c r="H38" s="33">
        <f>'GHG detailed, absolute'!H38/Production!$H$59*AF_fat</f>
        <v>7.1687980820636227E-6</v>
      </c>
      <c r="I38" s="33">
        <f>'GHG detailed, absolute'!I38/Production!$H$59*AF_fat</f>
        <v>1.0480841430788725E-4</v>
      </c>
      <c r="J38" s="33"/>
      <c r="K38" s="33"/>
      <c r="L38" s="33">
        <f>'GHG detailed, absolute'!L38/Production!$H$59*AF_fat</f>
        <v>1.6385469421234956E-5</v>
      </c>
      <c r="M38" s="33"/>
      <c r="N38" s="33">
        <f>'GHG detailed, absolute'!N38/Production!$H$59*AF_fat</f>
        <v>5.4472473814423587E-6</v>
      </c>
      <c r="O38" s="33">
        <f>'GHG detailed, absolute'!O38/Production!$H$59*AF_fat</f>
        <v>4.7870909283063572E-5</v>
      </c>
      <c r="P38" s="33">
        <f>'GHG detailed, absolute'!P38/Production!$H$59*AF_fat</f>
        <v>0</v>
      </c>
      <c r="Q38" s="33">
        <f>'GHG detailed, absolute'!Q38/Production!$H$59*AF_fat</f>
        <v>3.1635152289668947E-4</v>
      </c>
      <c r="R38" s="33">
        <f>'GHG detailed, absolute'!R38/Production!$H$59*AF_fat</f>
        <v>6.4890861176625884E-5</v>
      </c>
      <c r="W38" s="4">
        <f>'GHG detailed, absolute'!W38/Production!$H$59*AF_fat</f>
        <v>9.0586815085987599E-5</v>
      </c>
      <c r="X38" s="12">
        <f>'GHG detailed, absolute'!X38/Production!$H$59*AF_fat</f>
        <v>3.5428177099225259E-4</v>
      </c>
      <c r="Z38" s="32"/>
      <c r="AA38" s="32"/>
    </row>
    <row r="39" spans="1:27" x14ac:dyDescent="0.2">
      <c r="A39" s="13" t="s">
        <v>142</v>
      </c>
      <c r="B39" s="13" t="s">
        <v>143</v>
      </c>
      <c r="C39" s="17" t="s">
        <v>144</v>
      </c>
      <c r="D39" s="18" t="s">
        <v>59</v>
      </c>
      <c r="E39" s="18" t="s">
        <v>60</v>
      </c>
      <c r="F39" s="13" t="s">
        <v>46</v>
      </c>
      <c r="G39" s="32">
        <f>'GHG detailed, absolute'!G39/Production!$H$59*AF_fat</f>
        <v>7.6806744191112324E-4</v>
      </c>
      <c r="H39" s="33"/>
      <c r="I39" s="33"/>
      <c r="J39" s="33"/>
      <c r="K39" s="33"/>
      <c r="L39" s="33"/>
      <c r="M39" s="33"/>
      <c r="N39" s="33"/>
      <c r="O39" s="33"/>
      <c r="P39" s="33"/>
      <c r="Q39" s="33"/>
      <c r="R39" s="33"/>
      <c r="T39" s="47">
        <f>'GHG detailed, absolute'!T39/Production!$H$59*AF_fat</f>
        <v>7.6806744191112324E-4</v>
      </c>
      <c r="U39" s="63">
        <f>'GHG detailed, absolute'!U39/Production!$H$59*AF_fat</f>
        <v>7.6806744191112324E-4</v>
      </c>
      <c r="W39" s="4"/>
      <c r="X39" s="12"/>
    </row>
    <row r="40" spans="1:27" ht="15" customHeight="1" thickBot="1" x14ac:dyDescent="0.25">
      <c r="A40" s="13" t="s">
        <v>142</v>
      </c>
      <c r="B40" s="13" t="s">
        <v>143</v>
      </c>
      <c r="C40" s="17" t="s">
        <v>144</v>
      </c>
      <c r="D40" s="18" t="s">
        <v>59</v>
      </c>
      <c r="E40" s="18" t="s">
        <v>60</v>
      </c>
      <c r="F40" s="34" t="s">
        <v>47</v>
      </c>
      <c r="G40" s="32">
        <f>'GHG detailed, absolute'!G40/Production!$H$59*AF_fat</f>
        <v>6.0973424667901447E-4</v>
      </c>
      <c r="H40" s="33">
        <f>'GHG detailed, absolute'!H40/Production!$H$59*AF_fat</f>
        <v>9.3141231639343135E-6</v>
      </c>
      <c r="I40" s="32">
        <f>'GHG detailed, absolute'!I40/Production!$H$59*AF_fat</f>
        <v>1.2135711130386944E-6</v>
      </c>
      <c r="J40" s="32">
        <f>'GHG detailed, absolute'!J40/Production!$H$59*AF_fat</f>
        <v>4.623296761651222E-4</v>
      </c>
      <c r="K40" s="32">
        <f>'GHG detailed, absolute'!K40/Production!$H$59*AF_fat</f>
        <v>4.6232967616512218E-5</v>
      </c>
      <c r="L40" s="32">
        <f>'GHG detailed, absolute'!L40/Production!$H$59*AF_fat</f>
        <v>9.9394462144868553E-7</v>
      </c>
      <c r="M40" s="32"/>
      <c r="N40" s="32">
        <f>'GHG detailed, absolute'!N40/Production!$H$59*AF_fat</f>
        <v>7.898677617201054E-8</v>
      </c>
      <c r="O40" s="32">
        <f>'GHG detailed, absolute'!O40/Production!$H$59*AF_fat</f>
        <v>1.6562433899740482E-6</v>
      </c>
      <c r="P40" s="32">
        <f>'GHG detailed, absolute'!P40/Production!$H$59*AF_fat</f>
        <v>0</v>
      </c>
      <c r="Q40" s="32">
        <f>'GHG detailed, absolute'!Q40/Production!$H$59*AF_fat</f>
        <v>5.0541370212994566E-6</v>
      </c>
      <c r="R40" s="32">
        <f>'GHG detailed, absolute'!R40/Production!$H$59*AF_fat</f>
        <v>1.7288101055842704E-6</v>
      </c>
      <c r="T40" s="47">
        <f>'GHG detailed, absolute'!T40/Production!$H$59*AF_fat</f>
        <v>7.4814340126662612E-5</v>
      </c>
      <c r="U40" s="9">
        <f>'GHG detailed, absolute'!U40/Production!$H$59*AF_fat</f>
        <v>2.7726472270193315E-5</v>
      </c>
      <c r="V40" s="63">
        <f>'GHG detailed, absolute'!V40/Production!$H$59*AF_fat</f>
        <v>4.7087867856469304E-5</v>
      </c>
      <c r="W40" s="4">
        <f>'GHG detailed, absolute'!W40/Production!$H$59*AF_fat</f>
        <v>3.1572329346641986E-6</v>
      </c>
      <c r="X40" s="12">
        <f>'GHG detailed, absolute'!X40/Production!$H$59*AF_fat</f>
        <v>3.1602136446017807E-6</v>
      </c>
      <c r="Z40" s="32"/>
      <c r="AA40" s="32"/>
    </row>
    <row r="41" spans="1:27" ht="15.5" customHeight="1" thickTop="1" thickBot="1" x14ac:dyDescent="0.25">
      <c r="A41" s="164" t="s">
        <v>142</v>
      </c>
      <c r="B41" s="164" t="s">
        <v>143</v>
      </c>
      <c r="C41" s="165" t="s">
        <v>144</v>
      </c>
      <c r="D41" s="166" t="s">
        <v>59</v>
      </c>
      <c r="E41" s="166" t="s">
        <v>60</v>
      </c>
      <c r="F41" s="167" t="s">
        <v>48</v>
      </c>
      <c r="G41" s="178">
        <f>'GHG detailed, absolute'!G41/Production!$H$59*AF_fat</f>
        <v>0.66082378090535565</v>
      </c>
      <c r="H41" s="168">
        <f>'GHG detailed, absolute'!H41/Production!$H$59*AF_fat</f>
        <v>3.6752705536880079E-2</v>
      </c>
      <c r="I41" s="168">
        <f>'GHG detailed, absolute'!I41/Production!$H$59*AF_fat</f>
        <v>3.3242250253002557E-2</v>
      </c>
      <c r="J41" s="168">
        <f>'GHG detailed, absolute'!J41/Production!$H$59*AF_fat</f>
        <v>0.12621600159307836</v>
      </c>
      <c r="K41" s="168">
        <f>'GHG detailed, absolute'!K41/Production!$H$59*AF_fat</f>
        <v>1.2621600159307833E-2</v>
      </c>
      <c r="L41" s="168">
        <f>'GHG detailed, absolute'!L41/Production!$H$59*AF_fat</f>
        <v>3.7749965076478993E-2</v>
      </c>
      <c r="M41" s="168">
        <f>'GHG detailed, absolute'!M41/Production!$H$59*AF_fat</f>
        <v>0</v>
      </c>
      <c r="N41" s="168">
        <f>'GHG detailed, absolute'!N41/Production!$H$59*AF_fat</f>
        <v>2.0229236405357779E-3</v>
      </c>
      <c r="O41" s="168">
        <f>'GHG detailed, absolute'!O41/Production!$H$59*AF_fat</f>
        <v>4.6815786967622709E-2</v>
      </c>
      <c r="P41" s="168">
        <f>'GHG detailed, absolute'!P41/Production!$H$59*AF_fat</f>
        <v>5.1563445687273418E-2</v>
      </c>
      <c r="Q41" s="168">
        <f>'GHG detailed, absolute'!Q41/Production!$H$59*AF_fat</f>
        <v>8.5148763659990939E-2</v>
      </c>
      <c r="R41" s="168">
        <f>'GHG detailed, absolute'!R41/Production!$H$59*AF_fat</f>
        <v>4.6500800967301976E-2</v>
      </c>
      <c r="S41" s="168">
        <f>'GHG detailed, absolute'!S41/Production!$H$59*AF_fat</f>
        <v>0</v>
      </c>
      <c r="T41" s="168">
        <f>'GHG detailed, absolute'!T41/Production!$H$59*AF_fat</f>
        <v>4.1162135786179221E-2</v>
      </c>
      <c r="U41" s="169"/>
      <c r="V41" s="169"/>
      <c r="W41" s="168">
        <f>'GHG detailed, absolute'!W41/Production!$H$59*AF_fat</f>
        <v>4.926987630217404E-2</v>
      </c>
      <c r="X41" s="168">
        <f>'GHG detailed, absolute'!X41/Production!$H$59*AF_fat</f>
        <v>9.1757525275529883E-2</v>
      </c>
      <c r="Z41" s="113">
        <f>'GHG detailed, absolute'!Z41/Production!$H$59*AF_fat</f>
        <v>0.4786342435414726</v>
      </c>
      <c r="AA41" s="200">
        <f>'GHG detailed, absolute'!AA41/Production!$H$59*AF_fat</f>
        <v>0.14189130820294341</v>
      </c>
    </row>
    <row r="42" spans="1:27" ht="15" customHeight="1" thickTop="1" x14ac:dyDescent="0.2">
      <c r="A42" s="170" t="s">
        <v>142</v>
      </c>
      <c r="B42" s="170" t="s">
        <v>143</v>
      </c>
      <c r="C42" s="171" t="s">
        <v>144</v>
      </c>
      <c r="D42" t="s">
        <v>61</v>
      </c>
      <c r="E42" s="18" t="s">
        <v>62</v>
      </c>
      <c r="F42" s="172" t="s">
        <v>44</v>
      </c>
      <c r="G42" s="20">
        <f>'GHG detailed, absolute'!G42/Production!$I$59*AF_fat</f>
        <v>0.51706487848458627</v>
      </c>
      <c r="H42" s="173">
        <f>'GHG detailed, absolute'!H42/Production!$I$59*AF_fat</f>
        <v>3.347213781832685E-2</v>
      </c>
      <c r="I42" s="173">
        <f>'GHG detailed, absolute'!I42/Production!$I$59*AF_fat</f>
        <v>3.5893498761464596E-2</v>
      </c>
      <c r="J42" s="173">
        <f>'GHG detailed, absolute'!J42/Production!$I$59*AF_fat</f>
        <v>0</v>
      </c>
      <c r="K42" s="173"/>
      <c r="L42" s="173">
        <f>'GHG detailed, absolute'!L42/Production!$I$59*AF_fat</f>
        <v>4.3678360478563556E-2</v>
      </c>
      <c r="M42" s="173"/>
      <c r="N42" s="173">
        <f>'GHG detailed, absolute'!N42/Production!$I$59*AF_fat</f>
        <v>5.2871276701332783E-4</v>
      </c>
      <c r="O42" s="173">
        <f>'GHG detailed, absolute'!O42/Production!$I$59*AF_fat</f>
        <v>5.940140597791365E-2</v>
      </c>
      <c r="P42" s="173">
        <f>'GHG detailed, absolute'!P42/Production!$I$59*AF_fat</f>
        <v>7.7111909169181772E-2</v>
      </c>
      <c r="Q42" s="173">
        <f>'GHG detailed, absolute'!Q42/Production!$I$59*AF_fat</f>
        <v>2.641403676527954E-2</v>
      </c>
      <c r="R42" s="173">
        <f>'GHG detailed, absolute'!R42/Production!$I$59*AF_fat</f>
        <v>7.3132277694077985E-2</v>
      </c>
      <c r="S42" s="154"/>
      <c r="T42" s="154"/>
      <c r="U42" s="174"/>
      <c r="V42" s="174"/>
      <c r="W42" s="175">
        <f>'GHG detailed, absolute'!W42/Production!$I$59*AF_fat</f>
        <v>7.1368754970230305E-2</v>
      </c>
      <c r="X42" s="176">
        <f>'GHG detailed, absolute'!X42/Production!$I$59*AF_fat</f>
        <v>9.6063784082534742E-2</v>
      </c>
      <c r="Z42" s="20"/>
      <c r="AA42" s="20"/>
    </row>
    <row r="43" spans="1:27" x14ac:dyDescent="0.2">
      <c r="A43" s="13" t="s">
        <v>142</v>
      </c>
      <c r="B43" s="13" t="s">
        <v>143</v>
      </c>
      <c r="C43" s="17" t="s">
        <v>144</v>
      </c>
      <c r="D43" t="s">
        <v>61</v>
      </c>
      <c r="E43" s="18" t="s">
        <v>62</v>
      </c>
      <c r="F43" s="13" t="s">
        <v>45</v>
      </c>
      <c r="G43" s="32">
        <f>'GHG detailed, absolute'!G43/Production!$I$59*AF_fat</f>
        <v>7.5390446957183206E-4</v>
      </c>
      <c r="H43" s="33">
        <f>'GHG detailed, absolute'!H43/Production!$I$59*AF_fat</f>
        <v>5.5925751542798355E-5</v>
      </c>
      <c r="I43" s="33">
        <f>'GHG detailed, absolute'!I43/Production!$I$59*AF_fat</f>
        <v>1.6459580213057129E-4</v>
      </c>
      <c r="J43" s="33"/>
      <c r="K43" s="33"/>
      <c r="L43" s="33">
        <f>'GHG detailed, absolute'!L43/Production!$I$59*AF_fat</f>
        <v>1.9191861252485192E-5</v>
      </c>
      <c r="M43" s="33"/>
      <c r="N43" s="33">
        <f>'GHG detailed, absolute'!N43/Production!$I$59*AF_fat</f>
        <v>1.508287997533913E-6</v>
      </c>
      <c r="O43" s="33">
        <f>'GHG detailed, absolute'!O43/Production!$I$59*AF_fat</f>
        <v>3.9856769066233981E-5</v>
      </c>
      <c r="P43" s="33">
        <f>'GHG detailed, absolute'!P43/Production!$I$59*AF_fat</f>
        <v>4.22805189054183E-6</v>
      </c>
      <c r="Q43" s="33">
        <f>'GHG detailed, absolute'!Q43/Production!$I$59*AF_fat</f>
        <v>6.8442923298791148E-5</v>
      </c>
      <c r="R43" s="33">
        <f>'GHG detailed, absolute'!R43/Production!$I$59*AF_fat</f>
        <v>5.1263275096827832E-5</v>
      </c>
      <c r="W43" s="4">
        <f>'GHG detailed, absolute'!W43/Production!$I$59*AF_fat</f>
        <v>8.3160528069579611E-5</v>
      </c>
      <c r="X43" s="12">
        <f>'GHG detailed, absolute'!X43/Production!$I$59*AF_fat</f>
        <v>2.6573121922646891E-4</v>
      </c>
      <c r="Z43" s="32"/>
      <c r="AA43" s="32"/>
    </row>
    <row r="44" spans="1:27" x14ac:dyDescent="0.2">
      <c r="A44" s="13" t="s">
        <v>142</v>
      </c>
      <c r="B44" s="13" t="s">
        <v>143</v>
      </c>
      <c r="C44" s="17" t="s">
        <v>144</v>
      </c>
      <c r="D44" t="s">
        <v>61</v>
      </c>
      <c r="E44" s="18" t="s">
        <v>62</v>
      </c>
      <c r="F44" s="13" t="s">
        <v>46</v>
      </c>
      <c r="G44" s="32">
        <f>'GHG detailed, absolute'!G44/Production!$I$59*AF_fat</f>
        <v>1.4867283952575334E-3</v>
      </c>
      <c r="H44" s="33"/>
      <c r="I44" s="33"/>
      <c r="J44" s="33"/>
      <c r="K44" s="33"/>
      <c r="L44" s="33"/>
      <c r="M44" s="33"/>
      <c r="N44" s="33"/>
      <c r="O44" s="33"/>
      <c r="P44" s="33"/>
      <c r="Q44" s="33"/>
      <c r="R44" s="33"/>
      <c r="T44" s="47">
        <f>'GHG detailed, absolute'!T44/Production!$I$59*AF_fat</f>
        <v>1.4867283952575334E-3</v>
      </c>
      <c r="U44" s="63">
        <f>'GHG detailed, absolute'!U44/Production!$I$59*AF_fat</f>
        <v>1.4867283952575334E-3</v>
      </c>
      <c r="W44" s="4"/>
      <c r="X44" s="12"/>
    </row>
    <row r="45" spans="1:27" ht="15" customHeight="1" thickBot="1" x14ac:dyDescent="0.25">
      <c r="A45" s="13" t="s">
        <v>142</v>
      </c>
      <c r="B45" s="13" t="s">
        <v>143</v>
      </c>
      <c r="C45" s="17" t="s">
        <v>144</v>
      </c>
      <c r="D45" t="s">
        <v>61</v>
      </c>
      <c r="E45" s="18" t="s">
        <v>62</v>
      </c>
      <c r="F45" s="34" t="s">
        <v>47</v>
      </c>
      <c r="G45" s="32">
        <f>'GHG detailed, absolute'!G45/Production!$I$59*AF_fat</f>
        <v>7.222217378853109E-4</v>
      </c>
      <c r="H45" s="33">
        <f>'GHG detailed, absolute'!H45/Production!$I$59*AF_fat</f>
        <v>5.0399975393984592E-5</v>
      </c>
      <c r="I45" s="32">
        <f>'GHG detailed, absolute'!I45/Production!$I$59*AF_fat</f>
        <v>1.4623277273189274E-6</v>
      </c>
      <c r="J45" s="32">
        <f>'GHG detailed, absolute'!J45/Production!$I$59*AF_fat</f>
        <v>4.8667395873289295E-4</v>
      </c>
      <c r="K45" s="32">
        <f>'GHG detailed, absolute'!K45/Production!$I$59*AF_fat</f>
        <v>4.8667395873289302E-5</v>
      </c>
      <c r="L45" s="32">
        <f>'GHG detailed, absolute'!L45/Production!$I$59*AF_fat</f>
        <v>1.1736545755567659E-6</v>
      </c>
      <c r="M45" s="32"/>
      <c r="N45" s="32">
        <f>'GHG detailed, absolute'!N45/Production!$I$59*AF_fat</f>
        <v>2.2558432117109943E-8</v>
      </c>
      <c r="O45" s="32">
        <f>'GHG detailed, absolute'!O45/Production!$I$59*AF_fat</f>
        <v>2.1586744985247536E-6</v>
      </c>
      <c r="P45" s="32">
        <f>'GHG detailed, absolute'!P45/Production!$I$59*AF_fat</f>
        <v>0</v>
      </c>
      <c r="Q45" s="32">
        <f>'GHG detailed, absolute'!Q45/Production!$I$59*AF_fat</f>
        <v>4.6184910894502091E-6</v>
      </c>
      <c r="R45" s="32">
        <f>'GHG detailed, absolute'!R45/Production!$I$59*AF_fat</f>
        <v>2.5686777140951814E-6</v>
      </c>
      <c r="T45" s="47">
        <f>'GHG detailed, absolute'!T45/Production!$I$59*AF_fat</f>
        <v>1.1623123115396716E-4</v>
      </c>
      <c r="U45" s="9">
        <f>'GHG detailed, absolute'!U45/Production!$I$59*AF_fat</f>
        <v>4.3075725884433579E-5</v>
      </c>
      <c r="V45" s="63">
        <f>'GHG detailed, absolute'!V45/Production!$I$59*AF_fat</f>
        <v>7.315550526953357E-5</v>
      </c>
      <c r="W45" s="4">
        <f>'GHG detailed, absolute'!W45/Production!$I$59*AF_fat</f>
        <v>4.6230546429003073E-6</v>
      </c>
      <c r="X45" s="12">
        <f>'GHG detailed, absolute'!X45/Production!$I$59*AF_fat</f>
        <v>3.6217380512137353E-6</v>
      </c>
      <c r="Z45" s="32"/>
      <c r="AA45" s="32"/>
    </row>
    <row r="46" spans="1:27" ht="15.5" customHeight="1" thickTop="1" thickBot="1" x14ac:dyDescent="0.25">
      <c r="A46" s="164" t="s">
        <v>142</v>
      </c>
      <c r="B46" s="164" t="s">
        <v>143</v>
      </c>
      <c r="C46" s="165" t="s">
        <v>144</v>
      </c>
      <c r="D46" s="201" t="s">
        <v>61</v>
      </c>
      <c r="E46" s="166" t="s">
        <v>62</v>
      </c>
      <c r="F46" s="167" t="s">
        <v>48</v>
      </c>
      <c r="G46" s="178">
        <f>'GHG detailed, absolute'!G46/Production!$I$59*AF_fat</f>
        <v>0.77683943279247025</v>
      </c>
      <c r="H46" s="168">
        <f>'GHG detailed, absolute'!H46/Production!$I$59*AF_fat</f>
        <v>4.8897918496860045E-2</v>
      </c>
      <c r="I46" s="168">
        <f>'GHG detailed, absolute'!I46/Production!$I$59*AF_fat</f>
        <v>4.1197669134513677E-2</v>
      </c>
      <c r="J46" s="168">
        <f>'GHG detailed, absolute'!J46/Production!$I$59*AF_fat</f>
        <v>0.13286199073407978</v>
      </c>
      <c r="K46" s="168">
        <f>'GHG detailed, absolute'!K46/Production!$I$59*AF_fat</f>
        <v>1.328619907340798E-2</v>
      </c>
      <c r="L46" s="168">
        <f>'GHG detailed, absolute'!L46/Production!$I$59*AF_fat</f>
        <v>4.4570685643014613E-2</v>
      </c>
      <c r="M46" s="168">
        <f>'GHG detailed, absolute'!M46/Production!$I$59*AF_fat</f>
        <v>0</v>
      </c>
      <c r="N46" s="168">
        <f>'GHG detailed, absolute'!N46/Production!$I$59*AF_fat</f>
        <v>5.7981820130780946E-4</v>
      </c>
      <c r="O46" s="168">
        <f>'GHG detailed, absolute'!O46/Production!$I$59*AF_fat</f>
        <v>6.1178455834184693E-2</v>
      </c>
      <c r="P46" s="168">
        <f>'GHG detailed, absolute'!P46/Production!$I$59*AF_fat</f>
        <v>7.7237905115519923E-2</v>
      </c>
      <c r="Q46" s="168">
        <f>'GHG detailed, absolute'!Q46/Production!$I$59*AF_fat</f>
        <v>2.971448394700342E-2</v>
      </c>
      <c r="R46" s="168">
        <f>'GHG detailed, absolute'!R46/Production!$I$59*AF_fat</f>
        <v>7.5361172307911437E-2</v>
      </c>
      <c r="S46" s="168">
        <f>'GHG detailed, absolute'!S46/Production!$I$59*AF_fat</f>
        <v>0</v>
      </c>
      <c r="T46" s="168">
        <f>'GHG detailed, absolute'!T46/Production!$I$59*AF_fat</f>
        <v>7.1872792776986438E-2</v>
      </c>
      <c r="U46" s="169"/>
      <c r="V46" s="169"/>
      <c r="W46" s="168">
        <f>'GHG detailed, absolute'!W46/Production!$I$59*AF_fat</f>
        <v>7.510903262421556E-2</v>
      </c>
      <c r="X46" s="168">
        <f>'GHG detailed, absolute'!X46/Production!$I$59*AF_fat</f>
        <v>0.10497130890346486</v>
      </c>
      <c r="Z46" s="113">
        <f>'GHG detailed, absolute'!Z46/Production!$I$59*AF_fat</f>
        <v>0.52488629848780333</v>
      </c>
      <c r="AA46" s="200">
        <f>'GHG detailed, absolute'!AA46/Production!$I$59*AF_fat</f>
        <v>0.13860046193058406</v>
      </c>
    </row>
    <row r="47" spans="1:27" ht="15" customHeight="1" thickTop="1" x14ac:dyDescent="0.2">
      <c r="A47" s="170" t="s">
        <v>142</v>
      </c>
      <c r="B47" s="170" t="s">
        <v>143</v>
      </c>
      <c r="C47" s="171" t="s">
        <v>144</v>
      </c>
      <c r="D47" t="s">
        <v>63</v>
      </c>
      <c r="E47" s="18" t="s">
        <v>64</v>
      </c>
      <c r="F47" s="172" t="s">
        <v>44</v>
      </c>
      <c r="G47" s="20">
        <f>'GHG detailed, absolute'!G47/Production!$J$59*AF_fat</f>
        <v>0.60397573018078543</v>
      </c>
      <c r="H47" s="173">
        <f>'GHG detailed, absolute'!H47/Production!$J$59*AF_fat</f>
        <v>5.0030547709304839E-2</v>
      </c>
      <c r="I47" s="173">
        <f>'GHG detailed, absolute'!I47/Production!$J$59*AF_fat</f>
        <v>3.1934825124762291E-2</v>
      </c>
      <c r="J47" s="173">
        <f>'GHG detailed, absolute'!J47/Production!$J$59*AF_fat</f>
        <v>0</v>
      </c>
      <c r="K47" s="173"/>
      <c r="L47" s="173">
        <f>'GHG detailed, absolute'!L47/Production!$J$59*AF_fat</f>
        <v>4.6658311588944464E-2</v>
      </c>
      <c r="M47" s="173"/>
      <c r="N47" s="173">
        <f>'GHG detailed, absolute'!N47/Production!$J$59*AF_fat</f>
        <v>5.9843326538729951E-5</v>
      </c>
      <c r="O47" s="173">
        <f>'GHG detailed, absolute'!O47/Production!$J$59*AF_fat</f>
        <v>6.1060692875000183E-2</v>
      </c>
      <c r="P47" s="173">
        <f>'GHG detailed, absolute'!P47/Production!$J$59*AF_fat</f>
        <v>6.4275393310672238E-2</v>
      </c>
      <c r="Q47" s="173">
        <f>'GHG detailed, absolute'!Q47/Production!$J$59*AF_fat</f>
        <v>7.9126195531067325E-2</v>
      </c>
      <c r="R47" s="173">
        <f>'GHG detailed, absolute'!R47/Production!$J$59*AF_fat</f>
        <v>3.6996847731264833E-2</v>
      </c>
      <c r="S47" s="154"/>
      <c r="T47" s="154"/>
      <c r="U47" s="174"/>
      <c r="V47" s="174"/>
      <c r="W47" s="175">
        <f>'GHG detailed, absolute'!W47/Production!$J$59*AF_fat</f>
        <v>7.3653350818025501E-2</v>
      </c>
      <c r="X47" s="176">
        <f>'GHG detailed, absolute'!X47/Production!$J$59*AF_fat</f>
        <v>0.16017972216520507</v>
      </c>
      <c r="Z47" s="20"/>
      <c r="AA47" s="20"/>
    </row>
    <row r="48" spans="1:27" x14ac:dyDescent="0.2">
      <c r="A48" s="13" t="s">
        <v>142</v>
      </c>
      <c r="B48" s="13" t="s">
        <v>143</v>
      </c>
      <c r="C48" s="17" t="s">
        <v>144</v>
      </c>
      <c r="D48" t="s">
        <v>63</v>
      </c>
      <c r="E48" s="18" t="s">
        <v>64</v>
      </c>
      <c r="F48" s="13" t="s">
        <v>45</v>
      </c>
      <c r="G48" s="32">
        <f>'GHG detailed, absolute'!G48/Production!$J$59*AF_fat</f>
        <v>8.9885781996809069E-4</v>
      </c>
      <c r="H48" s="33">
        <f>'GHG detailed, absolute'!H48/Production!$J$59*AF_fat</f>
        <v>1.3476870758321893E-5</v>
      </c>
      <c r="I48" s="33">
        <f>'GHG detailed, absolute'!I48/Production!$J$59*AF_fat</f>
        <v>1.206807542922377E-4</v>
      </c>
      <c r="J48" s="33"/>
      <c r="K48" s="33"/>
      <c r="L48" s="33">
        <f>'GHG detailed, absolute'!L48/Production!$J$59*AF_fat</f>
        <v>2.06341451527891E-5</v>
      </c>
      <c r="M48" s="33"/>
      <c r="N48" s="33">
        <f>'GHG detailed, absolute'!N48/Production!$J$59*AF_fat</f>
        <v>1.7107610535456569E-7</v>
      </c>
      <c r="O48" s="33">
        <f>'GHG detailed, absolute'!O48/Production!$J$59*AF_fat</f>
        <v>5.6063317873042533E-5</v>
      </c>
      <c r="P48" s="33">
        <f>'GHG detailed, absolute'!P48/Production!$J$59*AF_fat</f>
        <v>1.8075417255717039E-6</v>
      </c>
      <c r="Q48" s="33">
        <f>'GHG detailed, absolute'!Q48/Production!$J$59*AF_fat</f>
        <v>1.6097234059564449E-4</v>
      </c>
      <c r="R48" s="33">
        <f>'GHG detailed, absolute'!R48/Production!$J$59*AF_fat</f>
        <v>3.7562080909778454E-5</v>
      </c>
      <c r="W48" s="4">
        <f>'GHG detailed, absolute'!W48/Production!$J$59*AF_fat</f>
        <v>1.0163673158005312E-4</v>
      </c>
      <c r="X48" s="12">
        <f>'GHG detailed, absolute'!X48/Production!$J$59*AF_fat</f>
        <v>3.8585296097529701E-4</v>
      </c>
      <c r="Z48" s="32"/>
      <c r="AA48" s="32"/>
    </row>
    <row r="49" spans="1:29" x14ac:dyDescent="0.2">
      <c r="A49" s="13" t="s">
        <v>142</v>
      </c>
      <c r="B49" s="13" t="s">
        <v>143</v>
      </c>
      <c r="C49" s="17" t="s">
        <v>144</v>
      </c>
      <c r="D49" t="s">
        <v>63</v>
      </c>
      <c r="E49" s="18" t="s">
        <v>64</v>
      </c>
      <c r="F49" s="13" t="s">
        <v>46</v>
      </c>
      <c r="G49" s="32">
        <f>'GHG detailed, absolute'!G49/Production!$J$59*AF_fat</f>
        <v>1.1521011628666848E-3</v>
      </c>
      <c r="H49" s="33"/>
      <c r="I49" s="33"/>
      <c r="J49" s="33"/>
      <c r="K49" s="33"/>
      <c r="L49" s="33"/>
      <c r="M49" s="33"/>
      <c r="N49" s="33"/>
      <c r="O49" s="33"/>
      <c r="P49" s="33"/>
      <c r="Q49" s="33"/>
      <c r="R49" s="33"/>
      <c r="T49" s="47">
        <f>'GHG detailed, absolute'!T49/Production!$J$59*AF_fat</f>
        <v>1.1521011628666848E-3</v>
      </c>
      <c r="U49" s="63">
        <f>'GHG detailed, absolute'!U49/Production!$J$59*AF_fat</f>
        <v>1.1521011628666848E-3</v>
      </c>
      <c r="W49" s="4"/>
      <c r="X49" s="12"/>
    </row>
    <row r="50" spans="1:29" ht="15" customHeight="1" thickBot="1" x14ac:dyDescent="0.25">
      <c r="A50" s="13" t="s">
        <v>142</v>
      </c>
      <c r="B50" s="13" t="s">
        <v>143</v>
      </c>
      <c r="C50" s="17" t="s">
        <v>144</v>
      </c>
      <c r="D50" t="s">
        <v>63</v>
      </c>
      <c r="E50" s="18" t="s">
        <v>64</v>
      </c>
      <c r="F50" s="34" t="s">
        <v>47</v>
      </c>
      <c r="G50" s="32">
        <f>'GHG detailed, absolute'!G50/Production!$J$59*AF_fat</f>
        <v>8.5557117066181515E-4</v>
      </c>
      <c r="H50" s="33">
        <f>'GHG detailed, absolute'!H50/Production!$J$59*AF_fat</f>
        <v>2.9042432080668707E-5</v>
      </c>
      <c r="I50" s="32">
        <f>'GHG detailed, absolute'!I50/Production!$J$59*AF_fat</f>
        <v>1.3010484310088343E-6</v>
      </c>
      <c r="J50" s="32">
        <f>'GHG detailed, absolute'!J50/Production!$J$59*AF_fat</f>
        <v>6.5595226441351659E-4</v>
      </c>
      <c r="K50" s="32">
        <f>'GHG detailed, absolute'!K50/Production!$J$59*AF_fat</f>
        <v>6.559522644135167E-5</v>
      </c>
      <c r="L50" s="32">
        <f>'GHG detailed, absolute'!L50/Production!$J$59*AF_fat</f>
        <v>1.2537270237282233E-6</v>
      </c>
      <c r="M50" s="32"/>
      <c r="N50" s="32">
        <f>'GHG detailed, absolute'!N50/Production!$J$59*AF_fat</f>
        <v>2.5079492873712652E-9</v>
      </c>
      <c r="O50" s="32">
        <f>'GHG detailed, absolute'!O50/Production!$J$59*AF_fat</f>
        <v>1.8133535351666721E-6</v>
      </c>
      <c r="P50" s="32">
        <f>'GHG detailed, absolute'!P50/Production!$J$59*AF_fat</f>
        <v>0</v>
      </c>
      <c r="Q50" s="32">
        <f>'GHG detailed, absolute'!Q50/Production!$J$59*AF_fat</f>
        <v>3.3162125517906557E-6</v>
      </c>
      <c r="R50" s="32">
        <f>'GHG detailed, absolute'!R50/Production!$J$59*AF_fat</f>
        <v>1.3288934250300469E-6</v>
      </c>
      <c r="T50" s="47">
        <f>'GHG detailed, absolute'!T50/Production!$J$59*AF_fat</f>
        <v>8.9440214116652303E-5</v>
      </c>
      <c r="U50" s="9">
        <f>'GHG detailed, absolute'!U50/Production!$J$59*AF_fat</f>
        <v>3.3146875483323692E-5</v>
      </c>
      <c r="V50" s="63">
        <f>'GHG detailed, absolute'!V50/Production!$J$59*AF_fat</f>
        <v>5.6293338633328618E-5</v>
      </c>
      <c r="W50" s="4">
        <f>'GHG detailed, absolute'!W50/Production!$J$59*AF_fat</f>
        <v>3.2111184457915294E-6</v>
      </c>
      <c r="X50" s="12">
        <f>'GHG detailed, absolute'!X50/Production!$J$59*AF_fat</f>
        <v>3.3141722478227267E-6</v>
      </c>
      <c r="Z50" s="32"/>
      <c r="AA50" s="32"/>
    </row>
    <row r="51" spans="1:29" ht="15.5" customHeight="1" thickTop="1" thickBot="1" x14ac:dyDescent="0.25">
      <c r="A51" s="164" t="s">
        <v>142</v>
      </c>
      <c r="B51" s="164" t="s">
        <v>143</v>
      </c>
      <c r="C51" s="165" t="s">
        <v>144</v>
      </c>
      <c r="D51" s="201" t="s">
        <v>63</v>
      </c>
      <c r="E51" s="36" t="s">
        <v>64</v>
      </c>
      <c r="F51" s="167" t="s">
        <v>48</v>
      </c>
      <c r="G51" s="178">
        <f>'GHG detailed, absolute'!G51/Production!$J$59*AF_fat</f>
        <v>0.89543935420391063</v>
      </c>
      <c r="H51" s="168">
        <f>'GHG detailed, absolute'!H51/Production!$J$59*AF_fat</f>
        <v>5.8360742415925385E-2</v>
      </c>
      <c r="I51" s="168">
        <f>'GHG detailed, absolute'!I51/Production!$J$59*AF_fat</f>
        <v>3.5886297824336381E-2</v>
      </c>
      <c r="J51" s="168">
        <f>'GHG detailed, absolute'!J51/Production!$J$59*AF_fat</f>
        <v>0.17907496818489005</v>
      </c>
      <c r="K51" s="168">
        <f>'GHG detailed, absolute'!K51/Production!$J$59*AF_fat</f>
        <v>1.7907496818489004E-2</v>
      </c>
      <c r="L51" s="168">
        <f>'GHG detailed, absolute'!L51/Production!$J$59*AF_fat</f>
        <v>4.7615476591975389E-2</v>
      </c>
      <c r="M51" s="168">
        <f>'GHG detailed, absolute'!M51/Production!$J$59*AF_fat</f>
        <v>0</v>
      </c>
      <c r="N51" s="168">
        <f>'GHG detailed, absolute'!N51/Production!$J$59*AF_fat</f>
        <v>6.5626064633748357E-5</v>
      </c>
      <c r="O51" s="168">
        <f>'GHG detailed, absolute'!O51/Production!$J$59*AF_fat</f>
        <v>6.3226425262717351E-2</v>
      </c>
      <c r="P51" s="168">
        <f>'GHG detailed, absolute'!P51/Production!$J$59*AF_fat</f>
        <v>6.4329258054094285E-2</v>
      </c>
      <c r="Q51" s="168">
        <f>'GHG detailed, absolute'!Q51/Production!$J$59*AF_fat</f>
        <v>8.4828497307456369E-2</v>
      </c>
      <c r="R51" s="168">
        <f>'GHG detailed, absolute'!R51/Production!$J$59*AF_fat</f>
        <v>3.8478985647409439E-2</v>
      </c>
      <c r="S51" s="168">
        <f>'GHG detailed, absolute'!S51/Production!$J$59*AF_fat</f>
        <v>0</v>
      </c>
      <c r="T51" s="168">
        <f>'GHG detailed, absolute'!T51/Production!$J$59*AF_fat</f>
        <v>5.5523909851246576E-2</v>
      </c>
      <c r="U51" s="169"/>
      <c r="V51" s="169"/>
      <c r="W51" s="168">
        <f>'GHG detailed, absolute'!W51/Production!$J$59*AF_fat</f>
        <v>7.7558760754812175E-2</v>
      </c>
      <c r="X51" s="168">
        <f>'GHG detailed, absolute'!X51/Production!$J$59*AF_fat</f>
        <v>0.17258290942592458</v>
      </c>
      <c r="Z51" s="113">
        <f>'GHG detailed, absolute'!Z51/Production!$J$59*AF_fat</f>
        <v>0.58977377417192733</v>
      </c>
      <c r="AA51" s="200">
        <f>'GHG detailed, absolute'!AA51/Production!$J$59*AF_fat</f>
        <v>0.17410234437918864</v>
      </c>
    </row>
    <row r="52" spans="1:29" ht="15" customHeight="1" thickTop="1" x14ac:dyDescent="0.2">
      <c r="A52" s="170" t="s">
        <v>142</v>
      </c>
      <c r="B52" s="170" t="s">
        <v>143</v>
      </c>
      <c r="C52" s="171" t="s">
        <v>144</v>
      </c>
      <c r="D52" t="s">
        <v>65</v>
      </c>
      <c r="E52" s="155" t="s">
        <v>66</v>
      </c>
      <c r="F52" s="172" t="s">
        <v>44</v>
      </c>
      <c r="G52" s="173">
        <f>'GHG detailed, absolute'!G52/Production!$K$59*AF_fat</f>
        <v>0.45036012582434609</v>
      </c>
      <c r="H52" s="173">
        <f>'GHG detailed, absolute'!H52/Production!$K$59*AF_fat</f>
        <v>4.4456443315309957E-2</v>
      </c>
      <c r="I52" s="173">
        <f>'GHG detailed, absolute'!I52/Production!$K$59*AF_fat</f>
        <v>3.2512887873006886E-2</v>
      </c>
      <c r="J52" s="173">
        <f>'GHG detailed, absolute'!J52/Production!$K$59*AF_fat</f>
        <v>0</v>
      </c>
      <c r="K52" s="173"/>
      <c r="L52" s="173">
        <f>'GHG detailed, absolute'!L52/Production!$K$59*AF_fat</f>
        <v>5.683667150724904E-2</v>
      </c>
      <c r="M52" s="173"/>
      <c r="N52" s="173">
        <f>'GHG detailed, absolute'!N52/Production!$K$59*AF_fat</f>
        <v>9.7698222239288417E-3</v>
      </c>
      <c r="O52" s="173">
        <f>'GHG detailed, absolute'!O52/Production!$K$59*AF_fat</f>
        <v>4.6790423407132797E-2</v>
      </c>
      <c r="P52" s="173">
        <f>'GHG detailed, absolute'!P52/Production!$K$59*AF_fat</f>
        <v>7.3597358227355997E-2</v>
      </c>
      <c r="Q52" s="173">
        <f>'GHG detailed, absolute'!Q52/Production!$K$59*AF_fat</f>
        <v>1.8953134262485485E-2</v>
      </c>
      <c r="R52" s="173">
        <f>'GHG detailed, absolute'!R52/Production!$K$59*AF_fat</f>
        <v>6.1217247749584786E-2</v>
      </c>
      <c r="S52" s="154"/>
      <c r="T52" s="154"/>
      <c r="U52" s="174"/>
      <c r="V52" s="174"/>
      <c r="W52" s="175">
        <f>'GHG detailed, absolute'!W52/Production!$K$59*AF_fat</f>
        <v>4.0570071185634077E-2</v>
      </c>
      <c r="X52" s="176">
        <f>'GHG detailed, absolute'!X52/Production!$K$59*AF_fat</f>
        <v>6.5656066072658129E-2</v>
      </c>
      <c r="Z52" s="20"/>
      <c r="AA52" s="20"/>
    </row>
    <row r="53" spans="1:29" x14ac:dyDescent="0.2">
      <c r="A53" s="13" t="s">
        <v>142</v>
      </c>
      <c r="B53" s="13" t="s">
        <v>143</v>
      </c>
      <c r="C53" s="17" t="s">
        <v>144</v>
      </c>
      <c r="D53" t="s">
        <v>65</v>
      </c>
      <c r="E53" s="18" t="s">
        <v>66</v>
      </c>
      <c r="F53" s="13" t="s">
        <v>45</v>
      </c>
      <c r="G53" s="32">
        <f>'GHG detailed, absolute'!G53/Production!$K$59*AF_fat</f>
        <v>6.3027345789156536E-4</v>
      </c>
      <c r="H53" s="33">
        <f>'GHG detailed, absolute'!H53/Production!$K$59*AF_fat</f>
        <v>1.0672937385148612E-5</v>
      </c>
      <c r="I53" s="33">
        <f>'GHG detailed, absolute'!I53/Production!$K$59*AF_fat</f>
        <v>1.1967425831862186E-4</v>
      </c>
      <c r="J53" s="33"/>
      <c r="K53" s="33"/>
      <c r="L53" s="33">
        <f>'GHG detailed, absolute'!L53/Production!$K$59*AF_fat</f>
        <v>2.515521235210265E-5</v>
      </c>
      <c r="M53" s="33"/>
      <c r="N53" s="33">
        <f>'GHG detailed, absolute'!N53/Production!$K$59*AF_fat</f>
        <v>2.8869856737853618E-5</v>
      </c>
      <c r="O53" s="33">
        <f>'GHG detailed, absolute'!O53/Production!$K$59*AF_fat</f>
        <v>3.4865545734605366E-5</v>
      </c>
      <c r="P53" s="33">
        <f>'GHG detailed, absolute'!P53/Production!$K$59*AF_fat</f>
        <v>5.8925486895468013E-7</v>
      </c>
      <c r="Q53" s="33">
        <f>'GHG detailed, absolute'!Q53/Production!$K$59*AF_fat</f>
        <v>6.2495062382396345E-5</v>
      </c>
      <c r="R53" s="33">
        <f>'GHG detailed, absolute'!R53/Production!$K$59*AF_fat</f>
        <v>4.9997998692484108E-5</v>
      </c>
      <c r="W53" s="4">
        <f>'GHG detailed, absolute'!W53/Production!$K$59*AF_fat</f>
        <v>5.2497674989250775E-5</v>
      </c>
      <c r="X53" s="12">
        <f>'GHG detailed, absolute'!X53/Production!$K$59*AF_fat</f>
        <v>2.4545565643014738E-4</v>
      </c>
      <c r="Z53" s="32"/>
      <c r="AA53" s="32"/>
    </row>
    <row r="54" spans="1:29" x14ac:dyDescent="0.2">
      <c r="A54" s="13" t="s">
        <v>142</v>
      </c>
      <c r="B54" s="13" t="s">
        <v>143</v>
      </c>
      <c r="C54" s="17" t="s">
        <v>144</v>
      </c>
      <c r="D54" t="s">
        <v>65</v>
      </c>
      <c r="E54" s="18" t="s">
        <v>66</v>
      </c>
      <c r="F54" s="13" t="s">
        <v>46</v>
      </c>
      <c r="G54" s="32">
        <f>'GHG detailed, absolute'!G54/Production!$K$59*AF_fat</f>
        <v>1.0429306885940117E-3</v>
      </c>
      <c r="H54" s="33"/>
      <c r="I54" s="33"/>
      <c r="J54" s="33"/>
      <c r="K54" s="33"/>
      <c r="L54" s="33"/>
      <c r="M54" s="33"/>
      <c r="N54" s="33"/>
      <c r="O54" s="33"/>
      <c r="P54" s="33"/>
      <c r="Q54" s="33"/>
      <c r="R54" s="33"/>
      <c r="T54" s="47">
        <f>'GHG detailed, absolute'!T54/Production!$K$59*AF_fat</f>
        <v>1.0429306885940117E-3</v>
      </c>
      <c r="U54" s="63">
        <f>'GHG detailed, absolute'!U54/Production!$K$59*AF_fat</f>
        <v>1.0429306885940117E-3</v>
      </c>
      <c r="W54" s="4"/>
      <c r="X54" s="12"/>
    </row>
    <row r="55" spans="1:29" ht="15" customHeight="1" thickBot="1" x14ac:dyDescent="0.25">
      <c r="A55" s="13" t="s">
        <v>142</v>
      </c>
      <c r="B55" s="13" t="s">
        <v>143</v>
      </c>
      <c r="C55" s="17" t="s">
        <v>144</v>
      </c>
      <c r="D55" t="s">
        <v>65</v>
      </c>
      <c r="E55" s="18" t="s">
        <v>66</v>
      </c>
      <c r="F55" s="34" t="s">
        <v>47</v>
      </c>
      <c r="G55" s="32">
        <f>'GHG detailed, absolute'!G55/Production!$K$59*AF_fat</f>
        <v>8.406331154230404E-4</v>
      </c>
      <c r="H55" s="33">
        <f>'GHG detailed, absolute'!H55/Production!$K$59*AF_fat</f>
        <v>1.625402539669717E-5</v>
      </c>
      <c r="I55" s="32">
        <f>'GHG detailed, absolute'!I55/Production!$K$59*AF_fat</f>
        <v>1.324599135566947E-6</v>
      </c>
      <c r="J55" s="32">
        <f>'GHG detailed, absolute'!J55/Production!$K$59*AF_fat</f>
        <v>6.2003231163351008E-4</v>
      </c>
      <c r="K55" s="32">
        <f>'GHG detailed, absolute'!K55/Production!$K$59*AF_fat</f>
        <v>6.2003231163351003E-5</v>
      </c>
      <c r="L55" s="32">
        <f>'GHG detailed, absolute'!L55/Production!$K$59*AF_fat</f>
        <v>1.5272235231136465E-6</v>
      </c>
      <c r="M55" s="32"/>
      <c r="N55" s="32">
        <f>'GHG detailed, absolute'!N55/Production!$K$59*AF_fat</f>
        <v>4.1987859022364745E-7</v>
      </c>
      <c r="O55" s="32">
        <f>'GHG detailed, absolute'!O55/Production!$K$59*AF_fat</f>
        <v>1.718991582177958E-6</v>
      </c>
      <c r="P55" s="32">
        <f>'GHG detailed, absolute'!P55/Production!$K$59*AF_fat</f>
        <v>0</v>
      </c>
      <c r="Q55" s="32">
        <f>'GHG detailed, absolute'!Q55/Production!$K$59*AF_fat</f>
        <v>3.5834994258949903E-6</v>
      </c>
      <c r="R55" s="32">
        <f>'GHG detailed, absolute'!R55/Production!$K$59*AF_fat</f>
        <v>2.2915936119200807E-6</v>
      </c>
      <c r="T55" s="47">
        <f>'GHG detailed, absolute'!T55/Production!$K$59*AF_fat</f>
        <v>1.2593791505320531E-4</v>
      </c>
      <c r="U55" s="9">
        <f>'GHG detailed, absolute'!U55/Production!$K$59*AF_fat</f>
        <v>4.6673058982768904E-5</v>
      </c>
      <c r="V55" s="63">
        <f>'GHG detailed, absolute'!V55/Production!$K$59*AF_fat</f>
        <v>7.9264856070436428E-5</v>
      </c>
      <c r="W55" s="4">
        <f>'GHG detailed, absolute'!W55/Production!$K$59*AF_fat</f>
        <v>2.9556328641751621E-6</v>
      </c>
      <c r="X55" s="12">
        <f>'GHG detailed, absolute'!X55/Production!$K$59*AF_fat</f>
        <v>2.5842134432045313E-6</v>
      </c>
      <c r="Z55" s="32"/>
      <c r="AA55" s="32"/>
    </row>
    <row r="56" spans="1:29" ht="15.5" customHeight="1" thickTop="1" thickBot="1" x14ac:dyDescent="0.25">
      <c r="A56" s="164" t="s">
        <v>142</v>
      </c>
      <c r="B56" s="164" t="s">
        <v>143</v>
      </c>
      <c r="C56" s="165" t="s">
        <v>144</v>
      </c>
      <c r="D56" s="201" t="s">
        <v>65</v>
      </c>
      <c r="E56" s="166" t="s">
        <v>66</v>
      </c>
      <c r="F56" s="167" t="s">
        <v>48</v>
      </c>
      <c r="G56" s="178">
        <f>'GHG detailed, absolute'!G56/Production!$K$59*AF_fat</f>
        <v>0.72679424397204295</v>
      </c>
      <c r="H56" s="295">
        <f>'GHG detailed, absolute'!H56/Production!$K$59*AF_fat</f>
        <v>4.9211845782685719E-2</v>
      </c>
      <c r="I56" s="295">
        <f>'GHG detailed, absolute'!I56/Production!$K$59*AF_fat</f>
        <v>3.6440796334911596E-2</v>
      </c>
      <c r="J56" s="295">
        <f>'GHG detailed, absolute'!J56/Production!$K$59*AF_fat</f>
        <v>0.16926882107594826</v>
      </c>
      <c r="K56" s="295">
        <f>'GHG detailed, absolute'!K56/Production!$K$59*AF_fat</f>
        <v>1.6926882107594823E-2</v>
      </c>
      <c r="L56" s="295">
        <f>'GHG detailed, absolute'!L56/Production!$K$59*AF_fat</f>
        <v>5.8003228857151728E-2</v>
      </c>
      <c r="M56" s="295">
        <f>'GHG detailed, absolute'!M56/Production!$K$59*AF_fat</f>
        <v>0</v>
      </c>
      <c r="N56" s="295">
        <f>'GHG detailed, absolute'!N56/Production!$K$59*AF_fat</f>
        <v>1.0744770809847936E-2</v>
      </c>
      <c r="O56" s="295">
        <f>'GHG detailed, absolute'!O56/Production!$K$59*AF_fat</f>
        <v>4.8298701371958623E-2</v>
      </c>
      <c r="P56" s="295">
        <f>'GHG detailed, absolute'!P56/Production!$K$59*AF_fat</f>
        <v>7.3614918022450834E-2</v>
      </c>
      <c r="Q56" s="295">
        <f>'GHG detailed, absolute'!Q56/Production!$K$59*AF_fat</f>
        <v>2.1793782464750229E-2</v>
      </c>
      <c r="R56" s="295">
        <f>'GHG detailed, absolute'!R56/Production!$K$59*AF_fat</f>
        <v>6.3332793166674992E-2</v>
      </c>
      <c r="S56" s="295">
        <f>'GHG detailed, absolute'!S56/Production!$K$59*AF_fat</f>
        <v>0</v>
      </c>
      <c r="T56" s="295">
        <f>'GHG detailed, absolute'!T56/Production!$K$59*AF_fat</f>
        <v>6.2540179401563381E-2</v>
      </c>
      <c r="U56" s="295"/>
      <c r="V56" s="295"/>
      <c r="W56" s="295">
        <f>'GHG detailed, absolute'!W56/Production!$K$59*AF_fat</f>
        <v>4.2941389672233564E-2</v>
      </c>
      <c r="X56" s="295">
        <f>'GHG detailed, absolute'!X56/Production!$K$59*AF_fat</f>
        <v>7.3676134904271356E-2</v>
      </c>
      <c r="Z56" s="113">
        <f>'GHG detailed, absolute'!Z56/Production!$K$59*AF_fat</f>
        <v>0.54763653999397477</v>
      </c>
      <c r="AA56" s="200" t="e">
        <f>'GHG detailed, absolute'!AA56/Production!$K$59*AF_fat</f>
        <v>#REF!</v>
      </c>
    </row>
    <row r="57" spans="1:29" ht="15" customHeight="1" thickTop="1" x14ac:dyDescent="0.2">
      <c r="A57" s="13" t="s">
        <v>142</v>
      </c>
      <c r="B57" s="13" t="s">
        <v>143</v>
      </c>
      <c r="C57" s="17" t="s">
        <v>144</v>
      </c>
      <c r="D57" s="18" t="s">
        <v>67</v>
      </c>
      <c r="E57" s="18" t="s">
        <v>68</v>
      </c>
      <c r="F57" s="35" t="s">
        <v>44</v>
      </c>
      <c r="G57" s="173">
        <f>'GHG detailed, absolute'!G57/Production!$L$59*AF_fat</f>
        <v>0.38546740514755062</v>
      </c>
      <c r="H57" s="20">
        <f>'GHG detailed, absolute'!H57/Production!$L$59*AF_fat</f>
        <v>4.7579077043227648E-2</v>
      </c>
      <c r="I57" s="20">
        <f>'GHG detailed, absolute'!I57/Production!$L$59*AF_fat</f>
        <v>3.0948705652008829E-2</v>
      </c>
      <c r="J57" s="20">
        <f>'GHG detailed, absolute'!J57/Production!$L$59*AF_fat</f>
        <v>0</v>
      </c>
      <c r="K57" s="20"/>
      <c r="L57" s="20">
        <f>'GHG detailed, absolute'!L57/Production!$L$59*AF_fat</f>
        <v>4.1696481657985882E-2</v>
      </c>
      <c r="M57" s="20"/>
      <c r="N57" s="20">
        <f>'GHG detailed, absolute'!N57/Production!$L$59*AF_fat</f>
        <v>1.1805848620936938E-4</v>
      </c>
      <c r="O57" s="20">
        <f>'GHG detailed, absolute'!O57/Production!$L$59*AF_fat</f>
        <v>4.2486008863754816E-2</v>
      </c>
      <c r="P57" s="20">
        <f>'GHG detailed, absolute'!P57/Production!$L$59*AF_fat</f>
        <v>9.6245167832383252E-2</v>
      </c>
      <c r="Q57" s="20">
        <f>'GHG detailed, absolute'!Q57/Production!$L$59*AF_fat</f>
        <v>9.9376149588986697E-3</v>
      </c>
      <c r="R57" s="20">
        <f>'GHG detailed, absolute'!R57/Production!$L$59*AF_fat</f>
        <v>6.3516927551135735E-2</v>
      </c>
      <c r="W57" s="4">
        <f>'GHG detailed, absolute'!W57/Production!$L$59*AF_fat</f>
        <v>3.1329588809042158E-2</v>
      </c>
      <c r="X57" s="12">
        <f>'GHG detailed, absolute'!X57/Production!$L$59*AF_fat</f>
        <v>2.1609774292904213E-2</v>
      </c>
    </row>
    <row r="58" spans="1:29" x14ac:dyDescent="0.2">
      <c r="A58" s="13" t="s">
        <v>142</v>
      </c>
      <c r="B58" s="13" t="s">
        <v>143</v>
      </c>
      <c r="C58" s="17" t="s">
        <v>144</v>
      </c>
      <c r="D58" s="18" t="s">
        <v>67</v>
      </c>
      <c r="E58" s="18" t="s">
        <v>68</v>
      </c>
      <c r="F58" s="13" t="s">
        <v>45</v>
      </c>
      <c r="G58" s="32">
        <f>'GHG detailed, absolute'!G58/Production!$L$59*AF_fat</f>
        <v>3.2551591085819276E-4</v>
      </c>
      <c r="H58" s="33">
        <f>'GHG detailed, absolute'!H58/Production!$L$59*AF_fat</f>
        <v>2.5915160255249129E-5</v>
      </c>
      <c r="I58" s="33">
        <f>'GHG detailed, absolute'!I58/Production!$L$59*AF_fat</f>
        <v>1.2532312722708365E-4</v>
      </c>
      <c r="J58" s="33"/>
      <c r="K58" s="33"/>
      <c r="L58" s="33">
        <f>'GHG detailed, absolute'!L58/Production!$L$59*AF_fat</f>
        <v>1.8403145837972439E-5</v>
      </c>
      <c r="M58" s="33"/>
      <c r="N58" s="33">
        <f>'GHG detailed, absolute'!N58/Production!$L$59*AF_fat</f>
        <v>3.343357133028854E-7</v>
      </c>
      <c r="O58" s="33">
        <f>'GHG detailed, absolute'!O58/Production!$L$59*AF_fat</f>
        <v>1.9483971047565598E-5</v>
      </c>
      <c r="P58" s="33">
        <f>'GHG detailed, absolute'!P58/Production!$L$59*AF_fat</f>
        <v>1.9052875870231233E-6</v>
      </c>
      <c r="Q58" s="33">
        <f>'GHG detailed, absolute'!Q58/Production!$L$59*AF_fat</f>
        <v>3.4721636701936747E-5</v>
      </c>
      <c r="R58" s="33">
        <f>'GHG detailed, absolute'!R58/Production!$L$59*AF_fat</f>
        <v>4.8662142142715732E-5</v>
      </c>
      <c r="W58" s="4">
        <f>'GHG detailed, absolute'!W58/Production!$L$59*AF_fat</f>
        <v>1.7853556872585632E-5</v>
      </c>
      <c r="X58" s="12">
        <f>'GHG detailed, absolute'!X58/Production!$L$59*AF_fat</f>
        <v>3.2913547472757831E-5</v>
      </c>
    </row>
    <row r="59" spans="1:29" x14ac:dyDescent="0.2">
      <c r="A59" s="13" t="s">
        <v>142</v>
      </c>
      <c r="B59" s="13" t="s">
        <v>143</v>
      </c>
      <c r="C59" s="17" t="s">
        <v>144</v>
      </c>
      <c r="D59" s="18" t="s">
        <v>67</v>
      </c>
      <c r="E59" s="18" t="s">
        <v>68</v>
      </c>
      <c r="F59" s="13" t="s">
        <v>46</v>
      </c>
      <c r="G59" s="32">
        <f>'GHG detailed, absolute'!G59/Production!$L$59*AF_fat</f>
        <v>6.6644760412083433E-4</v>
      </c>
      <c r="H59" s="33"/>
      <c r="I59" s="33"/>
      <c r="J59" s="33"/>
      <c r="K59" s="33"/>
      <c r="L59" s="33"/>
      <c r="M59" s="33"/>
      <c r="N59" s="33"/>
      <c r="O59" s="33"/>
      <c r="P59" s="33"/>
      <c r="Q59" s="33"/>
      <c r="R59" s="33"/>
      <c r="T59" s="47">
        <f>'GHG detailed, absolute'!T59/Production!$L$59*AF_fat</f>
        <v>6.6644760412083433E-4</v>
      </c>
      <c r="U59" s="63">
        <f>'GHG detailed, absolute'!U59/Production!$L$59*AF_fat</f>
        <v>6.6644760412083433E-4</v>
      </c>
      <c r="W59" s="4"/>
      <c r="X59" s="12"/>
    </row>
    <row r="60" spans="1:29" ht="15" customHeight="1" thickBot="1" x14ac:dyDescent="0.25">
      <c r="A60" s="13" t="s">
        <v>142</v>
      </c>
      <c r="B60" s="13" t="s">
        <v>143</v>
      </c>
      <c r="C60" s="17" t="s">
        <v>144</v>
      </c>
      <c r="D60" s="18" t="s">
        <v>67</v>
      </c>
      <c r="E60" s="18" t="s">
        <v>68</v>
      </c>
      <c r="F60" s="34" t="s">
        <v>47</v>
      </c>
      <c r="G60" s="32">
        <f>'GHG detailed, absolute'!G60/Production!$L$59*AF_fat</f>
        <v>7.8103799140565294E-4</v>
      </c>
      <c r="H60" s="33">
        <f>'GHG detailed, absolute'!H60/Production!$L$59*AF_fat</f>
        <v>4.1107397439982717E-5</v>
      </c>
      <c r="I60" s="32">
        <f>'GHG detailed, absolute'!I60/Production!$L$59*AF_fat</f>
        <v>1.2608731932299895E-6</v>
      </c>
      <c r="J60" s="32">
        <f>'GHG detailed, absolute'!J60/Production!$L$59*AF_fat</f>
        <v>5.8897704288306198E-4</v>
      </c>
      <c r="K60" s="32">
        <f>'GHG detailed, absolute'!K60/Production!$L$59*AF_fat</f>
        <v>5.8897704288306198E-5</v>
      </c>
      <c r="L60" s="32">
        <f>'GHG detailed, absolute'!L60/Production!$L$59*AF_fat</f>
        <v>1.1204007189448258E-6</v>
      </c>
      <c r="M60" s="32"/>
      <c r="N60" s="32">
        <f>'GHG detailed, absolute'!N60/Production!$L$59*AF_fat</f>
        <v>4.9622371015008931E-9</v>
      </c>
      <c r="O60" s="32">
        <f>'GHG detailed, absolute'!O60/Production!$L$59*AF_fat</f>
        <v>1.6038095835096834E-6</v>
      </c>
      <c r="P60" s="32">
        <f>'GHG detailed, absolute'!P60/Production!$L$59*AF_fat</f>
        <v>0</v>
      </c>
      <c r="Q60" s="32">
        <f>'GHG detailed, absolute'!Q60/Production!$L$59*AF_fat</f>
        <v>3.4425722007187958E-6</v>
      </c>
      <c r="R60" s="32">
        <f>'GHG detailed, absolute'!R60/Production!$L$59*AF_fat</f>
        <v>2.2607110928468168E-6</v>
      </c>
      <c r="T60" s="47">
        <f>'GHG detailed, absolute'!T60/Production!$L$59*AF_fat</f>
        <v>7.7825059854559928E-5</v>
      </c>
      <c r="U60" s="9">
        <f>'GHG detailed, absolute'!U60/Production!$L$59*AF_fat</f>
        <v>2.8842256181506848E-5</v>
      </c>
      <c r="V60" s="63">
        <f>'GHG detailed, absolute'!V60/Production!$L$59*AF_fat</f>
        <v>4.8982803673053094E-5</v>
      </c>
      <c r="W60" s="4">
        <f>'GHG detailed, absolute'!W60/Production!$L$59*AF_fat</f>
        <v>2.6980472692239459E-6</v>
      </c>
      <c r="X60" s="12">
        <f>'GHG detailed, absolute'!X60/Production!$L$59*AF_fat</f>
        <v>1.8394106441664733E-6</v>
      </c>
    </row>
    <row r="61" spans="1:29" ht="15.5" customHeight="1" thickTop="1" thickBot="1" x14ac:dyDescent="0.25">
      <c r="A61" s="51" t="s">
        <v>142</v>
      </c>
      <c r="B61" s="51" t="s">
        <v>143</v>
      </c>
      <c r="C61" s="72" t="s">
        <v>144</v>
      </c>
      <c r="D61" s="36" t="s">
        <v>67</v>
      </c>
      <c r="E61" s="36" t="s">
        <v>68</v>
      </c>
      <c r="F61" s="37" t="s">
        <v>48</v>
      </c>
      <c r="G61" s="178">
        <f>'GHG detailed, absolute'!G61/Production!$L$59*AF_fat</f>
        <v>0.6263852362561303</v>
      </c>
      <c r="H61" s="215">
        <f>'GHG detailed, absolute'!H61/Production!$L$59*AF_fat</f>
        <v>5.9573668319949348E-2</v>
      </c>
      <c r="I61" s="168">
        <f>'GHG detailed, absolute'!I61/Production!$L$59*AF_fat</f>
        <v>3.5027553225127711E-2</v>
      </c>
      <c r="J61" s="168">
        <f>'GHG detailed, absolute'!J61/Production!$L$59*AF_fat</f>
        <v>0.16079073270707592</v>
      </c>
      <c r="K61" s="168">
        <f>'GHG detailed, absolute'!K61/Production!$L$59*AF_fat</f>
        <v>1.6079073270707595E-2</v>
      </c>
      <c r="L61" s="168">
        <f>'GHG detailed, absolute'!L61/Production!$L$59*AF_fat</f>
        <v>4.2550764800229401E-2</v>
      </c>
      <c r="M61" s="168">
        <f>'GHG detailed, absolute'!M61/Production!$L$59*AF_fat</f>
        <v>0</v>
      </c>
      <c r="N61" s="168">
        <f>'GHG detailed, absolute'!N61/Production!$L$59*AF_fat</f>
        <v>1.2937638119450508E-4</v>
      </c>
      <c r="O61" s="168">
        <f>'GHG detailed, absolute'!O61/Production!$L$59*AF_fat</f>
        <v>4.3504471217270413E-2</v>
      </c>
      <c r="P61" s="168">
        <f>'GHG detailed, absolute'!P61/Production!$L$59*AF_fat</f>
        <v>9.6301945402476552E-2</v>
      </c>
      <c r="Q61" s="168">
        <f>'GHG detailed, absolute'!Q61/Production!$L$59*AF_fat</f>
        <v>1.1912141943412616E-2</v>
      </c>
      <c r="R61" s="168">
        <f>'GHG detailed, absolute'!R61/Production!$L$59*AF_fat</f>
        <v>6.5584233515335835E-2</v>
      </c>
      <c r="S61" s="168">
        <f>'GHG detailed, absolute'!S61/Production!$L$59*AF_fat</f>
        <v>0</v>
      </c>
      <c r="T61" s="168">
        <f>'GHG detailed, absolute'!T61/Production!$L$59*AF_fat</f>
        <v>3.924032665155739E-2</v>
      </c>
      <c r="U61" s="169"/>
      <c r="V61" s="169"/>
      <c r="W61" s="168">
        <f>'GHG detailed, absolute'!W61/Production!$L$59*AF_fat</f>
        <v>3.2598191708343348E-2</v>
      </c>
      <c r="X61" s="168">
        <f>'GHG detailed, absolute'!X61/Production!$L$59*AF_fat</f>
        <v>2.3092757113449845E-2</v>
      </c>
      <c r="Z61" s="113">
        <f>'GHG detailed, absolute'!Z61/Production!$L$59*AF_fat</f>
        <v>0.53145396078277984</v>
      </c>
      <c r="AA61" s="200">
        <f>'GHG detailed, absolute'!AA61/Production!$L$59*AF_fat</f>
        <v>0.14235619550480744</v>
      </c>
      <c r="AC61" s="293"/>
    </row>
    <row r="62" spans="1:29" ht="15" customHeight="1" thickTop="1" x14ac:dyDescent="0.2">
      <c r="A62" s="170" t="s">
        <v>142</v>
      </c>
      <c r="B62" s="170" t="s">
        <v>143</v>
      </c>
      <c r="C62" s="171" t="s">
        <v>144</v>
      </c>
      <c r="D62" s="155" t="s">
        <v>69</v>
      </c>
      <c r="E62" s="155" t="s">
        <v>70</v>
      </c>
      <c r="F62" s="172" t="s">
        <v>44</v>
      </c>
      <c r="G62" s="173">
        <f>'GHG detailed, absolute'!G62/Production!$M$59*AF_fat</f>
        <v>0.45693210759907321</v>
      </c>
      <c r="H62" s="20">
        <f>'GHG detailed, absolute'!H62/Production!$M$59*AF_fat</f>
        <v>4.3221421937100928E-2</v>
      </c>
      <c r="I62" s="20">
        <f>'GHG detailed, absolute'!I62/Production!$M$59*AF_fat</f>
        <v>3.146679683860093E-2</v>
      </c>
      <c r="J62" s="20">
        <f>'GHG detailed, absolute'!J62/Production!$M$59*AF_fat</f>
        <v>0</v>
      </c>
      <c r="K62" s="20"/>
      <c r="L62" s="20">
        <f>'GHG detailed, absolute'!L62/Production!$M$59*AF_fat</f>
        <v>3.9879565934273963E-2</v>
      </c>
      <c r="M62" s="20"/>
      <c r="N62" s="20">
        <f>'GHG detailed, absolute'!N62/Production!$M$59*AF_fat</f>
        <v>1.3986188471410641E-4</v>
      </c>
      <c r="O62" s="20">
        <f>'GHG detailed, absolute'!O62/Production!$M$59*AF_fat</f>
        <v>4.9262335641394324E-2</v>
      </c>
      <c r="P62" s="20">
        <f>'GHG detailed, absolute'!P62/Production!$M$59*AF_fat</f>
        <v>7.6929017851187373E-2</v>
      </c>
      <c r="Q62" s="20">
        <f>'GHG detailed, absolute'!Q62/Production!$M$59*AF_fat</f>
        <v>1.8125307464463912E-2</v>
      </c>
      <c r="R62" s="20">
        <f>'GHG detailed, absolute'!R62/Production!$M$59*AF_fat</f>
        <v>6.8977947194453312E-2</v>
      </c>
      <c r="W62" s="4">
        <f>'GHG detailed, absolute'!W62/Production!$M$59*AF_fat</f>
        <v>4.6456219673120899E-2</v>
      </c>
      <c r="X62" s="12">
        <f>'GHG detailed, absolute'!X62/Production!$M$59*AF_fat</f>
        <v>8.2473633179763348E-2</v>
      </c>
    </row>
    <row r="63" spans="1:29" x14ac:dyDescent="0.2">
      <c r="A63" s="13" t="s">
        <v>142</v>
      </c>
      <c r="B63" s="13" t="s">
        <v>143</v>
      </c>
      <c r="C63" s="17" t="s">
        <v>144</v>
      </c>
      <c r="D63" s="18" t="s">
        <v>69</v>
      </c>
      <c r="E63" s="18" t="s">
        <v>70</v>
      </c>
      <c r="F63" s="13" t="s">
        <v>45</v>
      </c>
      <c r="G63" s="32">
        <f>'GHG detailed, absolute'!G63/Production!$M$59*AF_fat</f>
        <v>5.6357497212060727E-4</v>
      </c>
      <c r="H63" s="33">
        <f>'GHG detailed, absolute'!H63/Production!$M$59*AF_fat</f>
        <v>3.4061290115948332E-5</v>
      </c>
      <c r="I63" s="33">
        <f>'GHG detailed, absolute'!I63/Production!$M$59*AF_fat</f>
        <v>1.3311475815477828E-4</v>
      </c>
      <c r="J63" s="33"/>
      <c r="K63" s="33"/>
      <c r="L63" s="33">
        <f>'GHG detailed, absolute'!L63/Production!$M$59*AF_fat</f>
        <v>1.757397667507199E-5</v>
      </c>
      <c r="M63" s="33"/>
      <c r="N63" s="33">
        <f>'GHG detailed, absolute'!N63/Production!$M$59*AF_fat</f>
        <v>3.8784136923671146E-7</v>
      </c>
      <c r="O63" s="33">
        <f>'GHG detailed, absolute'!O63/Production!$M$59*AF_fat</f>
        <v>2.8190118520931485E-5</v>
      </c>
      <c r="P63" s="33">
        <f>'GHG detailed, absolute'!P63/Production!$M$59*AF_fat</f>
        <v>2.7640466325607323E-6</v>
      </c>
      <c r="Q63" s="33">
        <f>'GHG detailed, absolute'!Q63/Production!$M$59*AF_fat</f>
        <v>4.573824149456326E-5</v>
      </c>
      <c r="R63" s="33">
        <f>'GHG detailed, absolute'!R63/Production!$M$59*AF_fat</f>
        <v>5.1237438162576152E-5</v>
      </c>
      <c r="W63" s="4">
        <f>'GHG detailed, absolute'!W63/Production!$M$59*AF_fat</f>
        <v>4.0196841916243162E-5</v>
      </c>
      <c r="X63" s="12">
        <f>'GHG detailed, absolute'!X63/Production!$M$59*AF_fat</f>
        <v>2.1031041907869708E-4</v>
      </c>
    </row>
    <row r="64" spans="1:29" x14ac:dyDescent="0.2">
      <c r="A64" s="13" t="s">
        <v>142</v>
      </c>
      <c r="B64" s="13" t="s">
        <v>143</v>
      </c>
      <c r="C64" s="17" t="s">
        <v>144</v>
      </c>
      <c r="D64" s="18" t="s">
        <v>69</v>
      </c>
      <c r="E64" s="18" t="s">
        <v>70</v>
      </c>
      <c r="F64" s="13" t="s">
        <v>46</v>
      </c>
      <c r="G64" s="32">
        <f>'GHG detailed, absolute'!G64/Production!$M$59*AF_fat</f>
        <v>7.6806744191112324E-4</v>
      </c>
      <c r="H64" s="33"/>
      <c r="I64" s="33"/>
      <c r="J64" s="33"/>
      <c r="K64" s="33"/>
      <c r="L64" s="33"/>
      <c r="M64" s="33"/>
      <c r="N64" s="33"/>
      <c r="O64" s="33"/>
      <c r="P64" s="33"/>
      <c r="Q64" s="33"/>
      <c r="R64" s="33"/>
      <c r="T64" s="47">
        <f>'GHG detailed, absolute'!T64/Production!$M$59*AF_fat</f>
        <v>7.6806744191112324E-4</v>
      </c>
      <c r="U64" s="63">
        <f>'GHG detailed, absolute'!U64/Production!$M$59*AF_fat</f>
        <v>7.6806744191112324E-4</v>
      </c>
      <c r="W64" s="4"/>
      <c r="X64" s="12"/>
    </row>
    <row r="65" spans="1:27" ht="15" customHeight="1" thickBot="1" x14ac:dyDescent="0.25">
      <c r="A65" s="13" t="s">
        <v>142</v>
      </c>
      <c r="B65" s="13" t="s">
        <v>143</v>
      </c>
      <c r="C65" s="17" t="s">
        <v>144</v>
      </c>
      <c r="D65" s="18" t="s">
        <v>69</v>
      </c>
      <c r="E65" s="18" t="s">
        <v>70</v>
      </c>
      <c r="F65" s="34" t="s">
        <v>47</v>
      </c>
      <c r="G65" s="32">
        <f>'GHG detailed, absolute'!G65/Production!$M$59*AF_fat</f>
        <v>6.7596435004653292E-4</v>
      </c>
      <c r="H65" s="33">
        <f>'GHG detailed, absolute'!H65/Production!$M$59*AF_fat</f>
        <v>3.8204666452222282E-5</v>
      </c>
      <c r="I65" s="32">
        <f>'GHG detailed, absolute'!I65/Production!$M$59*AF_fat</f>
        <v>1.2819806119430008E-6</v>
      </c>
      <c r="J65" s="32">
        <f>'GHG detailed, absolute'!J65/Production!$M$59*AF_fat</f>
        <v>5.092348933441633E-4</v>
      </c>
      <c r="K65" s="32">
        <f>'GHG detailed, absolute'!K65/Production!$M$59*AF_fat</f>
        <v>5.0923489334416337E-5</v>
      </c>
      <c r="L65" s="32">
        <f>'GHG detailed, absolute'!L65/Production!$M$59*AF_fat</f>
        <v>1.071579485062157E-6</v>
      </c>
      <c r="M65" s="32"/>
      <c r="N65" s="32">
        <f>'GHG detailed, absolute'!N65/Production!$M$59*AF_fat</f>
        <v>5.885053284600524E-9</v>
      </c>
      <c r="O65" s="32">
        <f>'GHG detailed, absolute'!O65/Production!$M$59*AF_fat</f>
        <v>1.7547343508299121E-6</v>
      </c>
      <c r="P65" s="32">
        <f>'GHG detailed, absolute'!P65/Production!$M$59*AF_fat</f>
        <v>0</v>
      </c>
      <c r="Q65" s="32">
        <f>'GHG detailed, absolute'!Q65/Production!$M$59*AF_fat</f>
        <v>3.9884237391270867E-6</v>
      </c>
      <c r="R65" s="32">
        <f>'GHG detailed, absolute'!R65/Production!$M$59*AF_fat</f>
        <v>2.4509699363077471E-6</v>
      </c>
      <c r="T65" s="47">
        <f>'GHG detailed, absolute'!T65/Production!$M$59*AF_fat</f>
        <v>6.117235609802611E-5</v>
      </c>
      <c r="U65" s="9">
        <f>'GHG detailed, absolute'!U65/Production!$M$59*AF_fat</f>
        <v>2.267070233036583E-5</v>
      </c>
      <c r="V65" s="63">
        <f>'GHG detailed, absolute'!V65/Production!$M$59*AF_fat</f>
        <v>3.8501653767660284E-5</v>
      </c>
      <c r="W65" s="4">
        <f>'GHG detailed, absolute'!W65/Production!$M$59*AF_fat</f>
        <v>3.042620913671287E-6</v>
      </c>
      <c r="X65" s="12">
        <f>'GHG detailed, absolute'!X65/Production!$M$59*AF_fat</f>
        <v>2.8327507274791757E-6</v>
      </c>
    </row>
    <row r="66" spans="1:27" ht="15.5" customHeight="1" thickTop="1" thickBot="1" x14ac:dyDescent="0.25">
      <c r="A66" s="164" t="s">
        <v>142</v>
      </c>
      <c r="B66" s="164" t="s">
        <v>143</v>
      </c>
      <c r="C66" s="165" t="s">
        <v>144</v>
      </c>
      <c r="D66" s="166" t="s">
        <v>69</v>
      </c>
      <c r="E66" s="166" t="s">
        <v>70</v>
      </c>
      <c r="F66" s="167" t="s">
        <v>48</v>
      </c>
      <c r="G66" s="178">
        <f>'GHG detailed, absolute'!G66/Production!$M$59*AF_fat</f>
        <v>0.67900273026257119</v>
      </c>
      <c r="H66" s="215">
        <f>'GHG detailed, absolute'!H66/Production!$M$59*AF_fat</f>
        <v>5.4666322324012868E-2</v>
      </c>
      <c r="I66" s="168">
        <f>'GHG detailed, absolute'!I66/Production!$M$59*AF_fat</f>
        <v>3.5783597338673763E-2</v>
      </c>
      <c r="J66" s="168">
        <f>'GHG detailed, absolute'!J66/Production!$M$59*AF_fat</f>
        <v>0.13902112588295659</v>
      </c>
      <c r="K66" s="168">
        <f>'GHG detailed, absolute'!K66/Production!$M$59*AF_fat</f>
        <v>1.3902112588295662E-2</v>
      </c>
      <c r="L66" s="168">
        <f>'GHG detailed, absolute'!L66/Production!$M$59*AF_fat</f>
        <v>4.0695811638613077E-2</v>
      </c>
      <c r="M66" s="168">
        <f>'GHG detailed, absolute'!M66/Production!$M$59*AF_fat</f>
        <v>0</v>
      </c>
      <c r="N66" s="168">
        <f>'GHG detailed, absolute'!N66/Production!$M$59*AF_fat</f>
        <v>1.5302617706405635E-4</v>
      </c>
      <c r="O66" s="168">
        <f>'GHG detailed, absolute'!O66/Production!$M$59*AF_fat</f>
        <v>5.0581443651094647E-2</v>
      </c>
      <c r="P66" s="168">
        <f>'GHG detailed, absolute'!P66/Production!$M$59*AF_fat</f>
        <v>7.7011386440837687E-2</v>
      </c>
      <c r="Q66" s="168">
        <f>'GHG detailed, absolute'!Q66/Production!$M$59*AF_fat</f>
        <v>2.0577146741783594E-2</v>
      </c>
      <c r="R66" s="168">
        <f>'GHG detailed, absolute'!R66/Production!$M$59*AF_fat</f>
        <v>7.1173937644310084E-2</v>
      </c>
      <c r="S66" s="168">
        <f>'GHG detailed, absolute'!S66/Production!$M$59*AF_fat</f>
        <v>0</v>
      </c>
      <c r="T66" s="168">
        <f>'GHG detailed, absolute'!T66/Production!$M$59*AF_fat</f>
        <v>3.7437874146361461E-2</v>
      </c>
      <c r="U66" s="169"/>
      <c r="V66" s="169"/>
      <c r="W66" s="168">
        <f>'GHG detailed, absolute'!W66/Production!$M$59*AF_fat</f>
        <v>4.8484721071657216E-2</v>
      </c>
      <c r="X66" s="168">
        <f>'GHG detailed, absolute'!X66/Production!$M$59*AF_fat</f>
        <v>8.9514224616910318E-2</v>
      </c>
      <c r="Z66" s="113">
        <f>'GHG detailed, absolute'!Z66/Production!$M$59*AF_fat</f>
        <v>0.50356591042764209</v>
      </c>
      <c r="AA66" s="200">
        <f>'GHG detailed, absolute'!AA66/Production!$M$59*AF_fat</f>
        <v>0.14417764394842877</v>
      </c>
    </row>
    <row r="67" spans="1:27" ht="15" customHeight="1" thickTop="1" x14ac:dyDescent="0.2"/>
    <row r="68" spans="1:27" x14ac:dyDescent="0.2">
      <c r="F68" s="33"/>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tabColor theme="1"/>
  </sheetPr>
  <dimension ref="A2:V20"/>
  <sheetViews>
    <sheetView workbookViewId="0">
      <selection activeCell="A7" sqref="A7:C7"/>
    </sheetView>
  </sheetViews>
  <sheetFormatPr baseColWidth="10" defaultColWidth="8.83203125" defaultRowHeight="15" x14ac:dyDescent="0.2"/>
  <cols>
    <col min="1" max="1" width="8.83203125" style="31" customWidth="1"/>
    <col min="2" max="2" width="22.83203125" customWidth="1"/>
    <col min="3" max="3" width="25.5" customWidth="1"/>
    <col min="4" max="4" width="16.5" customWidth="1"/>
    <col min="5" max="11" width="10.5" customWidth="1"/>
    <col min="12" max="13" width="14.6640625" customWidth="1"/>
    <col min="14" max="14" width="14.6640625" style="13" customWidth="1"/>
    <col min="15" max="20" width="14.6640625" customWidth="1"/>
    <col min="21" max="21" width="15.83203125" customWidth="1"/>
  </cols>
  <sheetData>
    <row r="2" spans="1:21" ht="21" customHeight="1" x14ac:dyDescent="0.25">
      <c r="A2" s="64" t="s">
        <v>146</v>
      </c>
      <c r="M2" s="214" t="s">
        <v>102</v>
      </c>
    </row>
    <row r="3" spans="1:21" x14ac:dyDescent="0.2">
      <c r="P3" s="8"/>
      <c r="R3" s="8"/>
      <c r="S3" s="9"/>
      <c r="T3" s="9"/>
      <c r="U3" s="9"/>
    </row>
    <row r="4" spans="1:21" x14ac:dyDescent="0.2">
      <c r="A4" s="85"/>
      <c r="B4" s="86"/>
      <c r="C4" s="86"/>
      <c r="D4" s="86"/>
      <c r="E4" s="86"/>
      <c r="F4" s="86"/>
      <c r="G4" s="86"/>
      <c r="H4" s="86"/>
      <c r="I4" s="86"/>
      <c r="J4" s="86"/>
      <c r="K4" s="86"/>
      <c r="L4" s="86"/>
      <c r="M4" s="86"/>
      <c r="N4" s="87"/>
      <c r="O4" s="86"/>
      <c r="P4" s="88"/>
      <c r="Q4" s="86"/>
      <c r="R4" s="88"/>
      <c r="S4" s="89"/>
      <c r="T4" s="89"/>
      <c r="U4" s="89"/>
    </row>
    <row r="5" spans="1:21" x14ac:dyDescent="0.2">
      <c r="A5" s="66" t="s">
        <v>8</v>
      </c>
      <c r="B5" s="46"/>
      <c r="C5" s="46"/>
      <c r="D5" s="53"/>
      <c r="E5" s="53"/>
      <c r="F5" s="235" t="s">
        <v>103</v>
      </c>
      <c r="G5" s="53"/>
      <c r="H5" s="53"/>
      <c r="I5" s="53"/>
      <c r="J5" s="53"/>
      <c r="K5" s="53"/>
      <c r="L5" s="39" t="s">
        <v>104</v>
      </c>
      <c r="M5" s="39" t="s">
        <v>105</v>
      </c>
      <c r="N5" s="39" t="s">
        <v>106</v>
      </c>
      <c r="O5" s="39" t="s">
        <v>107</v>
      </c>
      <c r="P5" s="40" t="s">
        <v>108</v>
      </c>
      <c r="Q5" s="40" t="s">
        <v>109</v>
      </c>
      <c r="R5" s="40" t="s">
        <v>110</v>
      </c>
      <c r="S5" s="40" t="s">
        <v>111</v>
      </c>
      <c r="T5" s="58" t="s">
        <v>112</v>
      </c>
      <c r="U5" s="58" t="s">
        <v>113</v>
      </c>
    </row>
    <row r="6" spans="1:21" s="10" customFormat="1" ht="43.5" customHeight="1" x14ac:dyDescent="0.2">
      <c r="A6" s="68" t="s">
        <v>114</v>
      </c>
      <c r="B6" s="67" t="s">
        <v>115</v>
      </c>
      <c r="C6" s="67" t="s">
        <v>116</v>
      </c>
      <c r="D6" s="69" t="s">
        <v>19</v>
      </c>
      <c r="E6" s="70" t="s">
        <v>20</v>
      </c>
      <c r="F6" s="234" t="s">
        <v>117</v>
      </c>
      <c r="G6" s="233" t="s">
        <v>118</v>
      </c>
      <c r="H6" s="234" t="s">
        <v>119</v>
      </c>
      <c r="I6" s="234" t="s">
        <v>120</v>
      </c>
      <c r="J6" s="234" t="s">
        <v>121</v>
      </c>
      <c r="K6" s="233" t="s">
        <v>122</v>
      </c>
      <c r="L6" s="74" t="s">
        <v>123</v>
      </c>
      <c r="M6" s="74" t="s">
        <v>124</v>
      </c>
      <c r="N6" s="74" t="s">
        <v>125</v>
      </c>
      <c r="O6" s="75" t="s">
        <v>126</v>
      </c>
      <c r="P6" s="76" t="s">
        <v>127</v>
      </c>
      <c r="Q6" s="77" t="s">
        <v>128</v>
      </c>
      <c r="R6" s="77" t="s">
        <v>129</v>
      </c>
      <c r="S6" s="77" t="s">
        <v>130</v>
      </c>
      <c r="T6" s="73" t="s">
        <v>131</v>
      </c>
      <c r="U6" s="73"/>
    </row>
    <row r="7" spans="1:21" x14ac:dyDescent="0.2">
      <c r="A7" s="13"/>
      <c r="B7" s="13" t="s">
        <v>41</v>
      </c>
      <c r="C7" s="17" t="s">
        <v>41</v>
      </c>
      <c r="D7" t="s">
        <v>99</v>
      </c>
      <c r="E7" t="s">
        <v>43</v>
      </c>
      <c r="F7" s="12">
        <f>'GHG detailed, absolute'!G11</f>
        <v>2.3758460871110461</v>
      </c>
      <c r="G7" s="12">
        <f>'GHG detailed, absolute'!G7</f>
        <v>1.6586009214007831</v>
      </c>
      <c r="H7" s="47">
        <f>'GHG detailed, absolute'!G8</f>
        <v>1.7908405802945099E-3</v>
      </c>
      <c r="I7" s="47">
        <f>'GHG detailed, absolute'!G9</f>
        <v>2.3100647143480795E-3</v>
      </c>
      <c r="J7" s="47">
        <f>'GHG detailed, absolute'!G10</f>
        <v>2.2033200334435482E-3</v>
      </c>
      <c r="L7" s="19">
        <f>('EFP per kg feed'!F17*FCR_bonefree_incl_parents_DK)*Production!$B$60</f>
        <v>7.1715587723949614</v>
      </c>
      <c r="M7" s="20">
        <f>('EFP per kg feed'!G17*FCR_bonefree_incl_parents_DK-Manure_repl_factor_DK*Excreted_N_after_losses_DK)*Production!$B$60</f>
        <v>8.2339297428856595E-2</v>
      </c>
      <c r="N7" s="20">
        <f>('EFP per kg feed'!H17*FCR_bonefree_incl_parents_DK)*Production!$B$60</f>
        <v>1.0542389563407832E-2</v>
      </c>
      <c r="O7" s="32">
        <f>('EFP per kg feed'!I17*FCR_bonefree_incl_parents_DK+((Production!B40*(Water_drinking_broiler_DK+Water_service_broiler_DK)*Slaughter_age_DK+SUM(Production!B41:B44)*Slaughter_age_parents_DK*7*(Water_drinking_parent_DK+Water_service_parent_DK))/1000)/Production!B60)*Production!$B$60</f>
        <v>2.2389192574037105E-2</v>
      </c>
      <c r="P7" s="32">
        <f>('EFP per kg feed'!J17*FCR_bonefree_incl_parents_DK)*Production!$B$60</f>
        <v>0.59992818063739628</v>
      </c>
      <c r="Q7" s="32">
        <f>('EFP per kg feed'!K17*FCR_bonefree_incl_parents_DK)*Production!$B$60</f>
        <v>1.9286879501963027E-10</v>
      </c>
      <c r="R7" s="32">
        <f>('EFP per kg feed'!L17*FCR_bonefree_incl_parents_DK+Excreted_N_after_losses_DK)*Production!$B$60</f>
        <v>6.626401580863589E-2</v>
      </c>
      <c r="S7" s="11"/>
      <c r="T7" s="5">
        <v>58.810433490066231</v>
      </c>
      <c r="U7" s="5">
        <v>17.34260123241507</v>
      </c>
    </row>
    <row r="8" spans="1:21" x14ac:dyDescent="0.2">
      <c r="A8" s="13"/>
      <c r="B8" s="13" t="s">
        <v>41</v>
      </c>
      <c r="C8" s="17" t="s">
        <v>41</v>
      </c>
      <c r="D8" t="s">
        <v>49</v>
      </c>
      <c r="E8" t="s">
        <v>50</v>
      </c>
      <c r="F8" s="12">
        <f>'GHG detailed, absolute'!G16</f>
        <v>1.6446734762090558</v>
      </c>
      <c r="G8" s="12">
        <f>'GHG detailed, absolute'!G12</f>
        <v>0.96166613531818368</v>
      </c>
      <c r="H8" s="47">
        <f>'GHG detailed, absolute'!G13</f>
        <v>1.3710440904857405E-3</v>
      </c>
      <c r="I8" s="47">
        <f>'GHG detailed, absolute'!G14</f>
        <v>2.55030612040919E-3</v>
      </c>
      <c r="J8" s="47">
        <f>'GHG detailed, absolute'!G15</f>
        <v>2.0999705558364429E-3</v>
      </c>
      <c r="L8" s="19">
        <f>('EFP per kg feed'!F29*FCR_bonefree_incl_parents_FR)*Production!$C$60</f>
        <v>5.8693007981032528</v>
      </c>
      <c r="M8" s="20">
        <f>('EFP per kg feed'!G29*FCR_bonefree_incl_parents_FR-Manure_repl_factor_FR*Excreted_N_after_losses_FR)*Production!$C$60</f>
        <v>5.0915507331578361E-2</v>
      </c>
      <c r="N8" s="20">
        <f>('EFP per kg feed'!H29*FCR_bonefree_incl_parents_FR)*Production!$C$60</f>
        <v>9.6310372732281539E-3</v>
      </c>
      <c r="O8" s="32">
        <f>('EFP per kg feed'!I29*FCR_bonefree_incl_parents_FR+((Production!C40*(Water_drinking_broiler_FR+Water_service_broiler_FR)*Slaughter_age_FR+SUM(Production!C41:C44)*Slaughter_age_parents_FR*7*(Water_drinking_parent_FR+Water_service_parent_FR))/1000)/Production!C60)*Production!$C$60</f>
        <v>5.1665559732910288E-2</v>
      </c>
      <c r="P8" s="32">
        <f>('EFP per kg feed'!J29*FCR_bonefree_incl_parents_FR)*Production!$C$60</f>
        <v>1.1680585979361799</v>
      </c>
      <c r="Q8" s="32">
        <f>('EFP per kg feed'!K29*FCR_bonefree_incl_parents_FR)*Production!$C$60</f>
        <v>1.10784672663258E-10</v>
      </c>
      <c r="R8" s="32">
        <f>('EFP per kg feed'!L29*FCR_bonefree_incl_parents_FR+Excreted_N_after_losses_FR)*Production!$C$60</f>
        <v>6.4227305158689643E-2</v>
      </c>
      <c r="S8" s="11"/>
      <c r="T8" s="5">
        <v>73.538782858827332</v>
      </c>
      <c r="U8" s="5">
        <v>25.361875103469242</v>
      </c>
    </row>
    <row r="9" spans="1:21" x14ac:dyDescent="0.2">
      <c r="A9" s="13"/>
      <c r="B9" s="13" t="s">
        <v>41</v>
      </c>
      <c r="C9" s="17" t="s">
        <v>41</v>
      </c>
      <c r="D9" t="s">
        <v>51</v>
      </c>
      <c r="E9" t="s">
        <v>52</v>
      </c>
      <c r="F9" s="12">
        <f>'GHG detailed, absolute'!G21</f>
        <v>1.8759810786274518</v>
      </c>
      <c r="G9" s="12">
        <f>'GHG detailed, absolute'!G17</f>
        <v>1.1528829978854953</v>
      </c>
      <c r="H9" s="47">
        <f>'GHG detailed, absolute'!G18</f>
        <v>1.7198005214960122E-3</v>
      </c>
      <c r="I9" s="47">
        <f>'GHG detailed, absolute'!G19</f>
        <v>3.75199807285093E-3</v>
      </c>
      <c r="J9" s="47">
        <f>'GHG detailed, absolute'!G20</f>
        <v>2.0899050448146524E-3</v>
      </c>
      <c r="K9" s="47"/>
      <c r="L9" s="19">
        <f>('EFP per kg feed'!F41*FCR_bonefree_incl_parents_DE)*Production!$D$60</f>
        <v>5.6130860678214898</v>
      </c>
      <c r="M9" s="20">
        <f>('EFP per kg feed'!G41*FCR_bonefree_incl_parents_DE-Manure_repl_factor_DE*Excreted_N_after_losses_DE)*Production!$D$60</f>
        <v>3.5764748834631911E-2</v>
      </c>
      <c r="N9" s="20">
        <f>('EFP per kg feed'!H41*FCR_bonefree_incl_parents_DE)*Production!$D$60</f>
        <v>8.9468018678491197E-3</v>
      </c>
      <c r="O9" s="32">
        <f>('EFP per kg feed'!I41*FCR_bonefree_incl_parents_DE+((Production!D40*(Water_drinking_broiler_DE+Water_service_broiler_DE)*Slaughter_age_DE+SUM(Production!D41:D44)*Slaughter_age_parents_DE*7*(Water_drinking_parent_DE+Water_service_parent_DE))/1000)/Production!D60)*Production!$D$60</f>
        <v>1.7836588926335727E-2</v>
      </c>
      <c r="P9" s="32">
        <f>('EFP per kg feed'!J41*FCR_bonefree_incl_parents_DE)*Production!$D$60</f>
        <v>0.97708798566440436</v>
      </c>
      <c r="Q9" s="32">
        <f>('EFP per kg feed'!K41*FCR_bonefree_incl_parents_DE)*Production!$D$60</f>
        <v>9.5352726973437256E-11</v>
      </c>
      <c r="R9" s="32">
        <f>('EFP per kg feed'!L41*FCR_bonefree_incl_parents_DE+Excreted_N_after_losses_DE)*Production!$D$60</f>
        <v>9.1975508957617316E-2</v>
      </c>
      <c r="S9" s="11"/>
      <c r="T9" s="5">
        <v>65.187375912772836</v>
      </c>
      <c r="U9" s="5">
        <v>42.491612445206322</v>
      </c>
    </row>
    <row r="10" spans="1:21" x14ac:dyDescent="0.2">
      <c r="A10" s="13"/>
      <c r="B10" s="13" t="s">
        <v>41</v>
      </c>
      <c r="C10" s="17" t="s">
        <v>41</v>
      </c>
      <c r="D10" t="s">
        <v>53</v>
      </c>
      <c r="E10" t="s">
        <v>54</v>
      </c>
      <c r="F10" s="12">
        <f>'GHG detailed, absolute'!G26</f>
        <v>2.5272139716302617</v>
      </c>
      <c r="G10" s="12">
        <f>'GHG detailed, absolute'!G22</f>
        <v>1.8356939941345189</v>
      </c>
      <c r="H10" s="47">
        <f>'GHG detailed, absolute'!G23</f>
        <v>2.695890831107856E-3</v>
      </c>
      <c r="I10" s="47">
        <f>'GHG detailed, absolute'!G24</f>
        <v>3.3402574646207933E-3</v>
      </c>
      <c r="J10" s="47">
        <f>'GHG detailed, absolute'!G25</f>
        <v>1.9084083486592177E-3</v>
      </c>
      <c r="L10" s="19">
        <f>('EFP per kg feed'!F42*FCR_bonefree_incl_parents_GR)*Production!$E$60</f>
        <v>13.212747503119406</v>
      </c>
      <c r="M10" s="20">
        <f>('EFP per kg feed'!G42*FCR_bonefree_incl_parents_GR-Manure_repl_factor_GR*Excreted_N_after_losses_GR)*Production!$E$60</f>
        <v>9.1364735681626244E-2</v>
      </c>
      <c r="N10" s="20">
        <f>('EFP per kg feed'!H42*FCR_bonefree_incl_parents_GR)*Production!$E$60</f>
        <v>9.2489232521835961E-3</v>
      </c>
      <c r="O10" s="32">
        <f>('EFP per kg feed'!I42*FCR_bonefree_incl_parents_GR+((Production!E40*(Water_drinking_broiler_GR+Water_service_broiler_GR)*Slaughter_age_GR+SUM(Production!E41:E44)*Slaughter_age_parents_GR*7*(Water_drinking_parent_GR+Water_service_parent_GR))/1000)/Production!E60)*Production!$E$60</f>
        <v>9.1769292032610281E-3</v>
      </c>
      <c r="P10" s="32">
        <f>('EFP per kg feed'!J42*FCR_bonefree_incl_parents_GR)*Production!$E$60</f>
        <v>1.3960536160805965</v>
      </c>
      <c r="Q10" s="32">
        <f>('EFP per kg feed'!K42*FCR_bonefree_incl_parents_GR)*Production!$E$60</f>
        <v>6.220723967275597E-10</v>
      </c>
      <c r="R10" s="32">
        <f>('EFP per kg feed'!L42*FCR_bonefree_incl_parents_GR+Excreted_N_after_losses_GR)*Production!$E$60</f>
        <v>8.1925438003484854E-2</v>
      </c>
      <c r="S10" s="11"/>
      <c r="T10" s="5">
        <v>73.839368016284936</v>
      </c>
      <c r="U10" s="5">
        <v>82.907536985649116</v>
      </c>
    </row>
    <row r="11" spans="1:21" x14ac:dyDescent="0.2">
      <c r="A11" s="13"/>
      <c r="B11" s="13" t="s">
        <v>41</v>
      </c>
      <c r="C11" s="17" t="s">
        <v>41</v>
      </c>
      <c r="D11" t="s">
        <v>100</v>
      </c>
      <c r="E11" t="s">
        <v>56</v>
      </c>
      <c r="F11" s="12">
        <f>'GHG detailed, absolute'!G31</f>
        <v>1.9675790549891579</v>
      </c>
      <c r="G11" s="12">
        <f>'GHG detailed, absolute'!G27</f>
        <v>1.2538171032381984</v>
      </c>
      <c r="H11" s="47">
        <f>'GHG detailed, absolute'!G28</f>
        <v>2.0081656515139931E-3</v>
      </c>
      <c r="I11" s="47">
        <f>'GHG detailed, absolute'!G29</f>
        <v>2.2268383097471954E-3</v>
      </c>
      <c r="J11" s="47">
        <f>'GHG detailed, absolute'!G30</f>
        <v>2.17506952737241E-3</v>
      </c>
      <c r="L11" s="19">
        <f>('EFP per kg feed'!F65*FCR_bonefree_incl_parents_HU)*Production!$F$60</f>
        <v>6.8611042456126619</v>
      </c>
      <c r="M11" s="20">
        <f>('EFP per kg feed'!G65*FCR_bonefree_incl_parents_HU-Manure_repl_factor_HU*Excreted_N_after_losses_HU)*Production!$F$60</f>
        <v>5.2174400919595833E-2</v>
      </c>
      <c r="N11" s="20">
        <f>('EFP per kg feed'!H65*FCR_bonefree_incl_parents_HU)*Production!$F$60</f>
        <v>1.5655817018208788E-2</v>
      </c>
      <c r="O11" s="32">
        <f>('EFP per kg feed'!I65*FCR_bonefree_incl_parents_HU+((Production!F40*(Water_drinking_broiler_HU+Water_service_broiler_HU)*Slaughter_age_HU+SUM(Production!F41:F44)*Slaughter_age_parents_HU*7*(Water_drinking_parent_HU+Water_service_parent_HU))/1000)/Production!F60)*Production!$F$60</f>
        <v>3.6372618608162981E-2</v>
      </c>
      <c r="P11" s="32">
        <f>('EFP per kg feed'!J65*FCR_bonefree_incl_parents_HU)*Production!$F$60</f>
        <v>0.79818539710250314</v>
      </c>
      <c r="Q11" s="32">
        <f>('EFP per kg feed'!K65*FCR_bonefree_incl_parents_HU)*Production!$F$60</f>
        <v>1.3135821050351188E-10</v>
      </c>
      <c r="R11" s="32">
        <f>('EFP per kg feed'!L65*FCR_bonefree_incl_parents_HU+Excreted_N_after_losses_HU)*Production!$F$60</f>
        <v>7.1002615392207022E-2</v>
      </c>
      <c r="S11" s="11"/>
      <c r="T11" s="5">
        <v>73.82541187053485</v>
      </c>
      <c r="U11" s="5">
        <v>64.618155849949602</v>
      </c>
    </row>
    <row r="12" spans="1:21" x14ac:dyDescent="0.2">
      <c r="A12" s="13"/>
      <c r="B12" s="13" t="s">
        <v>41</v>
      </c>
      <c r="C12" s="17" t="s">
        <v>41</v>
      </c>
      <c r="D12" t="s">
        <v>91</v>
      </c>
      <c r="E12" t="s">
        <v>58</v>
      </c>
      <c r="F12" s="12">
        <f>'GHG detailed, absolute'!G36</f>
        <v>2.1967041447266413</v>
      </c>
      <c r="G12" s="12">
        <f>'GHG detailed, absolute'!G32</f>
        <v>1.5903984070289519</v>
      </c>
      <c r="H12" s="47">
        <f>'GHG detailed, absolute'!G33</f>
        <v>1.6749958514056553E-3</v>
      </c>
      <c r="I12" s="47">
        <f>'GHG detailed, absolute'!G34</f>
        <v>2.3468216527891563E-3</v>
      </c>
      <c r="J12" s="47">
        <f>'GHG detailed, absolute'!G35</f>
        <v>1.8059585227124305E-3</v>
      </c>
      <c r="L12" s="19">
        <f>('EFP per kg feed'!F77*FCR_bonefree_incl_parents_IE)*Production!$G$60</f>
        <v>6.3259240518652975</v>
      </c>
      <c r="M12" s="20">
        <f>('EFP per kg feed'!G77*FCR_bonefree_incl_parents_IE-Manure_repl_factor_IE*Excreted_N_after_losses_IE)*Production!$G$60</f>
        <v>7.4982413192947295E-2</v>
      </c>
      <c r="N12" s="20">
        <f>('EFP per kg feed'!H77*FCR_bonefree_incl_parents_IE)*Production!$G$60</f>
        <v>1.0160903903156578E-2</v>
      </c>
      <c r="O12" s="32">
        <f>('EFP per kg feed'!I77*FCR_bonefree_incl_parents_IE+((Production!G40*(Water_drinking_broiler_IE+Water_service_broiler_IE)*Slaughter_age_IE+SUM(Production!G41:G44)*Slaughter_age_parents_IE*7*(Water_drinking_parent_IE+Water_service_parent_IE))/1000)/Production!G60)*Production!$G$60</f>
        <v>3.9361533488590852E-2</v>
      </c>
      <c r="P12" s="32">
        <f>('EFP per kg feed'!J77*FCR_bonefree_incl_parents_IE)*Production!$G$60</f>
        <v>1.9063752172049724</v>
      </c>
      <c r="Q12" s="32">
        <f>('EFP per kg feed'!K77*FCR_bonefree_incl_parents_IE)*Production!$G$60</f>
        <v>1.9022950546056449E-10</v>
      </c>
      <c r="R12" s="32">
        <f>('EFP per kg feed'!L77*FCR_bonefree_incl_parents_IE+Excreted_N_after_losses_IE)*Production!$G$60</f>
        <v>5.0406181086557068E-2</v>
      </c>
      <c r="S12" s="11"/>
      <c r="T12" s="5">
        <v>64.011410417231943</v>
      </c>
      <c r="U12" s="5">
        <v>28.130696557345171</v>
      </c>
    </row>
    <row r="13" spans="1:21" x14ac:dyDescent="0.2">
      <c r="A13" s="13"/>
      <c r="B13" s="13" t="s">
        <v>41</v>
      </c>
      <c r="C13" s="17" t="s">
        <v>41</v>
      </c>
      <c r="D13" t="s">
        <v>59</v>
      </c>
      <c r="E13" t="s">
        <v>60</v>
      </c>
      <c r="F13" s="12">
        <f>'GHG detailed, absolute'!G41</f>
        <v>1.9159095035333018</v>
      </c>
      <c r="G13" s="12">
        <f>'GHG detailed, absolute'!G37</f>
        <v>1.286107461153229</v>
      </c>
      <c r="H13" s="47">
        <f>'GHG detailed, absolute'!G38</f>
        <v>2.9218650410653057E-3</v>
      </c>
      <c r="I13" s="47">
        <f>'GHG detailed, absolute'!G39</f>
        <v>2.2268383097471954E-3</v>
      </c>
      <c r="J13" s="47">
        <f>'GHG detailed, absolute'!G40</f>
        <v>1.7677869223192398E-3</v>
      </c>
      <c r="L13" s="19">
        <f>('EFP per kg feed'!F89*FCR_bonefree_incl_parents_IT)*Production!$H$60</f>
        <v>6.1148170247810709</v>
      </c>
      <c r="M13" s="20">
        <f>('EFP per kg feed'!G89*FCR_bonefree_incl_parents_IT-Manure_repl_factor_IT*Excreted_N_after_losses_IT)*Production!$H$60</f>
        <v>5.3185592563858755E-2</v>
      </c>
      <c r="N13" s="20">
        <f>('EFP per kg feed'!H89*FCR_bonefree_incl_parents_IT)*Production!$H$60</f>
        <v>1.1276324378974819E-2</v>
      </c>
      <c r="O13" s="32">
        <f>('EFP per kg feed'!I89*FCR_bonefree_incl_parents_IT+((Production!H40*(Water_drinking_broiler_IT+Water_service_broiler_IT)*Slaughter_age_IT+SUM(Production!H41:H44)*Slaughter_age_parents_IT*7*(Water_drinking_parent_IT+Water_service_parent_IT))/1000)/Production!H60)*Production!$H$60</f>
        <v>7.664795790457965E-2</v>
      </c>
      <c r="P13" s="32">
        <f>('EFP per kg feed'!J89*FCR_bonefree_incl_parents_IT)*Production!$H$60</f>
        <v>0.69240013241112464</v>
      </c>
      <c r="Q13" s="32">
        <f>('EFP per kg feed'!K89*FCR_bonefree_incl_parents_IT)*Production!$H$60</f>
        <v>3.2777019612823882E-10</v>
      </c>
      <c r="R13" s="32">
        <f>('EFP per kg feed'!L89*FCR_bonefree_incl_parents_IT+Excreted_N_after_losses_IT)*Production!$H$60</f>
        <v>5.7428992330690536E-2</v>
      </c>
      <c r="S13" s="11"/>
      <c r="T13" s="5">
        <v>73.839368016284936</v>
      </c>
      <c r="U13" s="5">
        <v>104.53492537571501</v>
      </c>
    </row>
    <row r="14" spans="1:21" x14ac:dyDescent="0.2">
      <c r="A14" s="13"/>
      <c r="B14" s="13" t="s">
        <v>41</v>
      </c>
      <c r="C14" s="17" t="s">
        <v>41</v>
      </c>
      <c r="D14" t="s">
        <v>90</v>
      </c>
      <c r="E14" t="s">
        <v>62</v>
      </c>
      <c r="F14" s="12">
        <f>'GHG detailed, absolute'!G46</f>
        <v>2.2500456972648482</v>
      </c>
      <c r="G14" s="12">
        <f>'GHG detailed, absolute'!G42</f>
        <v>1.4976320149698403</v>
      </c>
      <c r="H14" s="47">
        <f>'GHG detailed, absolute'!G43</f>
        <v>2.1836166346643269E-3</v>
      </c>
      <c r="I14" s="47">
        <f>'GHG detailed, absolute'!G44</f>
        <v>4.3061753659000279E-3</v>
      </c>
      <c r="J14" s="47">
        <f>'GHG detailed, absolute'!G45</f>
        <v>2.0918504457974729E-3</v>
      </c>
      <c r="L14" s="19">
        <f>('EFP per kg feed'!F101*FCR_bonefree_incl_parents_NL)*Production!$I$60</f>
        <v>7.2296000199792765</v>
      </c>
      <c r="M14" s="20">
        <f>('EFP per kg feed'!G101*FCR_bonefree_incl_parents_NL-Manure_repl_factor_NL*Excreted_N_after_losses_NL)*Production!$I$60</f>
        <v>6.2331700009007396E-2</v>
      </c>
      <c r="N14" s="20">
        <f>('EFP per kg feed'!H101*FCR_bonefree_incl_parents_NL)*Production!$I$60</f>
        <v>1.1306536885531786E-2</v>
      </c>
      <c r="O14" s="32">
        <f>('EFP per kg feed'!I101*FCR_bonefree_incl_parents_NL+((Production!I40*(Water_drinking_broiler_NL+Water_service_broiler_NL)*Slaughter_age_NL+SUM(Production!I41:I44)*Slaughter_age_parents_NL*7*(Water_drinking_parent_NL+Water_service_parent_NL))/1000)/Production!I60)*Production!$I$60</f>
        <v>3.0357207898489388E-2</v>
      </c>
      <c r="P14" s="32">
        <f>('EFP per kg feed'!J101*FCR_bonefree_incl_parents_NL)*Production!$I$60</f>
        <v>0.98993241175689073</v>
      </c>
      <c r="Q14" s="32">
        <f>('EFP per kg feed'!K101*FCR_bonefree_incl_parents_NL)*Production!$I$60</f>
        <v>1.6018190271028615E-10</v>
      </c>
      <c r="R14" s="32">
        <f>('EFP per kg feed'!L101*FCR_bonefree_incl_parents_NL+Excreted_N_after_losses_NL)*Production!$I$60</f>
        <v>8.1502823166029859E-2</v>
      </c>
      <c r="S14" s="11"/>
      <c r="T14" s="5">
        <v>72.389495113196929</v>
      </c>
      <c r="U14" s="5">
        <v>21.442173201506911</v>
      </c>
    </row>
    <row r="15" spans="1:21" x14ac:dyDescent="0.2">
      <c r="A15" s="13"/>
      <c r="B15" s="13" t="s">
        <v>41</v>
      </c>
      <c r="C15" s="17" t="s">
        <v>41</v>
      </c>
      <c r="D15" t="s">
        <v>63</v>
      </c>
      <c r="E15" t="s">
        <v>64</v>
      </c>
      <c r="F15" s="12">
        <f>'GHG detailed, absolute'!G51</f>
        <v>2.5961244406286026</v>
      </c>
      <c r="G15" s="12">
        <f>'GHG detailed, absolute'!G47</f>
        <v>1.751091402569489</v>
      </c>
      <c r="H15" s="47">
        <f>'GHG detailed, absolute'!G48</f>
        <v>2.6060355110748305E-3</v>
      </c>
      <c r="I15" s="47">
        <f>'GHG detailed, absolute'!G49</f>
        <v>3.3402574646207933E-3</v>
      </c>
      <c r="J15" s="47">
        <f>'GHG detailed, absolute'!G50</f>
        <v>2.4805356347411063E-3</v>
      </c>
      <c r="L15" s="19">
        <f>('EFP per kg feed'!F113*FCR_bonefree_incl_parents_PL)*Production!$J$60</f>
        <v>7.4450304534621035</v>
      </c>
      <c r="M15" s="20">
        <f>('EFP per kg feed'!G113*FCR_bonefree_incl_parents_PL-Manure_repl_factor_PL*Excreted_N_after_losses_PL)*Production!$J$60</f>
        <v>6.5595152427999667E-2</v>
      </c>
      <c r="N15" s="20">
        <f>('EFP per kg feed'!H113*FCR_bonefree_incl_parents_PL)*Production!$J$60</f>
        <v>1.1286309701352727E-2</v>
      </c>
      <c r="O15" s="32">
        <f>('EFP per kg feed'!I113*FCR_bonefree_incl_parents_PL+((Production!J40*(Water_drinking_broiler_PL+Water_service_broiler_PL)*Slaughter_age_PL+SUM(Production!J41:J44)*Slaughter_age_parents_PL*7*(Water_drinking_parent_PL+Water_service_parent_PL))/1000)/Production!J60)*Production!$J$60</f>
        <v>1.121924577371714E-2</v>
      </c>
      <c r="P15" s="32">
        <f>('EFP per kg feed'!J113*FCR_bonefree_incl_parents_PL)*Production!$J$60</f>
        <v>0.73826637620229418</v>
      </c>
      <c r="Q15" s="32">
        <f>('EFP per kg feed'!K113*FCR_bonefree_incl_parents_PL)*Production!$J$60</f>
        <v>8.7706409593995478E-11</v>
      </c>
      <c r="R15" s="32">
        <f>('EFP per kg feed'!L113*FCR_bonefree_incl_parents_PL+Excreted_N_after_losses_PL)*Production!$J$60</f>
        <v>6.4959927560312061E-2</v>
      </c>
      <c r="S15" s="11"/>
      <c r="T15" s="5">
        <v>73.82541187053485</v>
      </c>
      <c r="U15" s="5">
        <v>134.32075940373579</v>
      </c>
    </row>
    <row r="16" spans="1:21" x14ac:dyDescent="0.2">
      <c r="A16" s="13"/>
      <c r="B16" s="13" t="s">
        <v>41</v>
      </c>
      <c r="C16" s="17" t="s">
        <v>41</v>
      </c>
      <c r="D16" t="s">
        <v>65</v>
      </c>
      <c r="E16" t="s">
        <v>66</v>
      </c>
      <c r="F16" s="12">
        <f>'GHG detailed, absolute'!G56</f>
        <v>2.1071759815174849</v>
      </c>
      <c r="G16" s="12">
        <f>'GHG detailed, absolute'!G52</f>
        <v>1.3057176058300737</v>
      </c>
      <c r="H16" s="47">
        <f>'GHG detailed, absolute'!G53</f>
        <v>1.8273357325985721E-3</v>
      </c>
      <c r="I16" s="47">
        <f>'GHG detailed, absolute'!G54</f>
        <v>3.0237422979333996E-3</v>
      </c>
      <c r="J16" s="47">
        <f>'GHG detailed, absolute'!G55</f>
        <v>2.4372261128636345E-3</v>
      </c>
      <c r="L16" s="19">
        <f>('EFP per kg feed'!F125*FCR_bonefree_incl_parents_ES)*Production!$K$60</f>
        <v>9.0282277669314261</v>
      </c>
      <c r="M16" s="20">
        <f>('EFP per kg feed'!G125*FCR_bonefree_incl_parents_ES-Manure_repl_factor_ES*Excreted_N_after_losses_ES)*Production!$K$60</f>
        <v>6.7354946404832E-2</v>
      </c>
      <c r="N16" s="20">
        <f>('EFP per kg feed'!H125*FCR_bonefree_incl_parents_ES)*Production!$K$60</f>
        <v>1.20572941025015E-2</v>
      </c>
      <c r="O16" s="32">
        <f>('EFP per kg feed'!I125*FCR_bonefree_incl_parents_ES+((Production!K40*(Water_drinking_broiler_ES+Water_service_broiler_ES)*Slaughter_age_ES+SUM(Production!K41:K44)*Slaughter_age_parents_ES*7*(Water_drinking_parent_ES+Water_service_parent_ES))/1000)/Production!K60)*Production!$K$60</f>
        <v>0.36778852874080892</v>
      </c>
      <c r="P16" s="32">
        <f>('EFP per kg feed'!J125*FCR_bonefree_incl_parents_ES)*Production!$K$60</f>
        <v>0.67045288039472295</v>
      </c>
      <c r="Q16" s="32">
        <f>('EFP per kg feed'!K125*FCR_bonefree_incl_parents_ES)*Production!$K$60</f>
        <v>5.8960294507564163E-10</v>
      </c>
      <c r="R16" s="32">
        <f>('EFP per kg feed'!L125*FCR_bonefree_incl_parents_ES+Excreted_N_after_losses_ES)*Production!$K$60</f>
        <v>9.3245085053785301E-2</v>
      </c>
      <c r="S16" s="11"/>
      <c r="T16" s="5">
        <v>73.82541187053485</v>
      </c>
      <c r="U16" s="119">
        <v>69.473204484029793</v>
      </c>
    </row>
    <row r="17" spans="1:22" x14ac:dyDescent="0.2">
      <c r="A17" s="13"/>
      <c r="B17" s="13" t="s">
        <v>41</v>
      </c>
      <c r="C17" s="17" t="s">
        <v>41</v>
      </c>
      <c r="D17" s="18" t="s">
        <v>67</v>
      </c>
      <c r="E17" s="18" t="s">
        <v>68</v>
      </c>
      <c r="F17" s="11">
        <f>'GHG detailed, absolute'!G61</f>
        <v>2.0828142645669163</v>
      </c>
      <c r="G17" s="12">
        <f>'GHG detailed, absolute'!G57</f>
        <v>1.2817304168366817</v>
      </c>
      <c r="H17" s="47">
        <f>'GHG detailed, absolute'!G58</f>
        <v>1.0823837204900297E-3</v>
      </c>
      <c r="I17" s="47">
        <f>'GHG detailed, absolute'!G59</f>
        <v>2.2160269688759511E-3</v>
      </c>
      <c r="J17" s="47">
        <f>'GHG detailed, absolute'!G60</f>
        <v>2.5970552553112891E-3</v>
      </c>
      <c r="K17" s="18"/>
      <c r="L17" s="19">
        <f>('EFP per kg feed'!F137*FCR_bonefree_incl_parents_SE)*Production!$L$60</f>
        <v>7.6229441469333299</v>
      </c>
      <c r="M17" s="20">
        <f>('EFP per kg feed'!G137*FCR_bonefree_incl_parents_SE-Manure_repl_factor_SE*Excreted_N_after_losses_SE)*Production!$L$60</f>
        <v>8.2243258502775612E-2</v>
      </c>
      <c r="N17" s="20">
        <f>('EFP per kg feed'!H137*FCR_bonefree_incl_parents_SE)*Production!$L$60</f>
        <v>1.076398972337818E-2</v>
      </c>
      <c r="O17" s="32">
        <f>('EFP per kg feed'!I137*FCR_bonefree_incl_parents_SE+((Production!L40*(Water_drinking_broiler_SE+Water_service_broiler_SE)*Slaughter_age_SE+SUM(Production!L41:L44)*Slaughter_age_parents_SE*7*(Water_drinking_parent_SE+Water_service_parent_SE))/1000)/Production!L60)*Production!$L$60</f>
        <v>1.3726861791190436E-2</v>
      </c>
      <c r="P17" s="32">
        <f>('EFP per kg feed'!J137*FCR_bonefree_incl_parents_SE)*Production!$L$60</f>
        <v>0.52024945613801088</v>
      </c>
      <c r="Q17" s="32">
        <f>('EFP per kg feed'!K137*FCR_bonefree_incl_parents_SE)*Production!$L$60</f>
        <v>1.3167600131166337E-10</v>
      </c>
      <c r="R17" s="32">
        <f>('EFP per kg feed'!L137*FCR_bonefree_incl_parents_SE+Excreted_N_after_losses_SE)*Production!$L$60</f>
        <v>6.3279303799929978E-2</v>
      </c>
      <c r="S17" s="11"/>
      <c r="T17" s="5">
        <v>51.543327580288278</v>
      </c>
      <c r="U17" s="5">
        <v>8.4037308154122083</v>
      </c>
      <c r="V17" s="18"/>
    </row>
    <row r="18" spans="1:22" x14ac:dyDescent="0.2">
      <c r="A18" s="13"/>
      <c r="B18" s="13" t="s">
        <v>41</v>
      </c>
      <c r="C18" s="17" t="s">
        <v>41</v>
      </c>
      <c r="D18" t="s">
        <v>69</v>
      </c>
      <c r="E18" t="s">
        <v>70</v>
      </c>
      <c r="F18" s="12">
        <f>'GHG detailed, absolute'!G66</f>
        <v>1.968615266921572</v>
      </c>
      <c r="G18" s="12">
        <f>'GHG detailed, absolute'!G62</f>
        <v>1.3247715846714476</v>
      </c>
      <c r="H18" s="47">
        <f>'GHG detailed, absolute'!G63</f>
        <v>1.6339585169893151E-3</v>
      </c>
      <c r="I18" s="47">
        <f>'GHG detailed, absolute'!G64</f>
        <v>2.2268383097471954E-3</v>
      </c>
      <c r="J18" s="47">
        <f>'GHG detailed, absolute'!G65</f>
        <v>1.9598061687936567E-3</v>
      </c>
      <c r="L18" s="19">
        <f>('EFP per kg feed'!F149*FCR_bonefree_incl_parents_GB)*Production!$M$60</f>
        <v>6.3763119399383008</v>
      </c>
      <c r="M18" s="20">
        <f>('EFP per kg feed'!G149*FCR_bonefree_incl_parents_GB-Manure_repl_factor_GB*Excreted_N_after_losses_GB)*Production!$M$60</f>
        <v>6.7432909139014743E-2</v>
      </c>
      <c r="N18" s="20">
        <f>('EFP per kg feed'!H149*FCR_bonefree_incl_parents_GB)*Production!$M$60</f>
        <v>7.6640802669637837E-3</v>
      </c>
      <c r="O18" s="32">
        <f>('EFP per kg feed'!I149*FCR_bonefree_incl_parents_GB+((Production!M40*(Water_drinking_broiler_GB+Water_service_broiler_GB)*Slaughter_age_GB+SUM(Production!M41:M44)*Slaughter_age_parents_GB*7*(Water_drinking_parent_GB+Water_service_parent_GB))/1000)/Production!M60)*Production!$M$60</f>
        <v>1.3822095464881078E-2</v>
      </c>
      <c r="P18" s="32">
        <f>('EFP per kg feed'!J149*FCR_bonefree_incl_parents_GB)*Production!$M$60</f>
        <v>0.85030692840663491</v>
      </c>
      <c r="Q18" s="32">
        <f>('EFP per kg feed'!K149*FCR_bonefree_incl_parents_GB)*Production!$M$60</f>
        <v>1.2720731776695601E-10</v>
      </c>
      <c r="R18" s="32">
        <f>('EFP per kg feed'!L149*FCR_bonefree_incl_parents_GB+Excreted_N_after_losses_GB)*Production!$M$60</f>
        <v>4.46438969556208E-2</v>
      </c>
      <c r="S18" s="12"/>
      <c r="T18" s="5">
        <v>76.110906008383623</v>
      </c>
      <c r="U18" s="5">
        <v>23.679089450626702</v>
      </c>
    </row>
    <row r="19" spans="1:22" x14ac:dyDescent="0.2">
      <c r="A19" s="13"/>
      <c r="B19" s="13"/>
      <c r="C19" s="17"/>
      <c r="T19" s="5"/>
    </row>
    <row r="20" spans="1:22" x14ac:dyDescent="0.2">
      <c r="Q20" s="33"/>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1"/>
  </sheetPr>
  <dimension ref="A1:AC68"/>
  <sheetViews>
    <sheetView workbookViewId="0">
      <selection activeCell="A7" sqref="A7:C7"/>
    </sheetView>
  </sheetViews>
  <sheetFormatPr baseColWidth="10" defaultColWidth="8.83203125" defaultRowHeight="15" x14ac:dyDescent="0.2"/>
  <cols>
    <col min="1" max="1" width="8.1640625" style="31" customWidth="1"/>
    <col min="2" max="2" width="22.5" customWidth="1"/>
    <col min="3" max="3" width="27.33203125" customWidth="1"/>
    <col min="4" max="5" width="10.1640625" customWidth="1"/>
    <col min="6" max="6" width="15.33203125" customWidth="1"/>
    <col min="7" max="7" width="9.33203125" style="13" customWidth="1"/>
    <col min="8" max="20" width="14.6640625" customWidth="1"/>
    <col min="21" max="22" width="14.6640625" style="9" customWidth="1"/>
    <col min="23" max="24" width="14.6640625" customWidth="1"/>
    <col min="26" max="26" width="16" customWidth="1"/>
    <col min="27" max="27" width="19.33203125" customWidth="1"/>
    <col min="29" max="29" width="17.6640625" bestFit="1" customWidth="1"/>
    <col min="30" max="30" width="15.5" customWidth="1"/>
  </cols>
  <sheetData>
    <row r="1" spans="1:27" x14ac:dyDescent="0.2">
      <c r="H1" s="214" t="s">
        <v>0</v>
      </c>
    </row>
    <row r="2" spans="1:27" ht="21" customHeight="1" x14ac:dyDescent="0.25">
      <c r="A2" s="64" t="s">
        <v>1</v>
      </c>
      <c r="F2" s="47"/>
      <c r="H2" s="214" t="s">
        <v>2</v>
      </c>
    </row>
    <row r="3" spans="1:27" x14ac:dyDescent="0.2">
      <c r="H3" s="214" t="s">
        <v>3</v>
      </c>
      <c r="J3" s="8"/>
      <c r="K3" s="9"/>
      <c r="L3" s="9"/>
      <c r="M3" s="9"/>
      <c r="N3" s="9"/>
      <c r="O3" s="9"/>
      <c r="P3" s="9"/>
      <c r="Q3" s="9"/>
      <c r="R3" s="9"/>
      <c r="S3" s="9"/>
      <c r="T3" s="9"/>
    </row>
    <row r="4" spans="1:27" x14ac:dyDescent="0.2">
      <c r="A4" s="65"/>
      <c r="B4" s="48"/>
      <c r="C4" s="48"/>
      <c r="D4" s="48"/>
      <c r="E4" s="48"/>
      <c r="F4" s="48"/>
      <c r="G4" s="48"/>
      <c r="H4" s="49"/>
      <c r="I4" s="49"/>
      <c r="J4" s="50"/>
      <c r="K4" s="50"/>
      <c r="L4" s="50"/>
      <c r="M4" s="50"/>
      <c r="N4" s="50"/>
      <c r="O4" s="50"/>
      <c r="P4" s="50"/>
      <c r="Q4" s="50"/>
      <c r="R4" s="50"/>
      <c r="S4" s="49" t="s">
        <v>4</v>
      </c>
      <c r="T4" s="49"/>
      <c r="U4" s="61"/>
      <c r="V4" s="61"/>
      <c r="W4" s="50" t="s">
        <v>5</v>
      </c>
      <c r="X4" s="50" t="s">
        <v>6</v>
      </c>
      <c r="Z4" s="49" t="s">
        <v>7</v>
      </c>
      <c r="AA4" s="49"/>
    </row>
    <row r="5" spans="1:27" x14ac:dyDescent="0.2">
      <c r="A5" s="66" t="s">
        <v>8</v>
      </c>
      <c r="B5" s="46"/>
      <c r="C5" s="46"/>
      <c r="D5" s="53"/>
      <c r="E5" s="53"/>
      <c r="F5" s="54"/>
      <c r="G5" s="55" t="s">
        <v>9</v>
      </c>
      <c r="H5" s="55" t="s">
        <v>10</v>
      </c>
      <c r="I5" s="56"/>
      <c r="J5" s="55" t="s">
        <v>11</v>
      </c>
      <c r="K5" s="57"/>
      <c r="L5" s="58" t="s">
        <v>12</v>
      </c>
      <c r="M5" s="57"/>
      <c r="N5" s="57"/>
      <c r="O5" s="57"/>
      <c r="P5" s="58" t="s">
        <v>13</v>
      </c>
      <c r="Q5" s="58" t="s">
        <v>14</v>
      </c>
      <c r="R5" s="58" t="s">
        <v>15</v>
      </c>
      <c r="S5" s="59"/>
      <c r="T5" s="59"/>
      <c r="U5" s="62"/>
      <c r="V5" s="62"/>
      <c r="W5" s="60"/>
      <c r="X5" s="60"/>
      <c r="Z5" s="55"/>
      <c r="AA5" s="55"/>
    </row>
    <row r="6" spans="1:27" ht="58" customHeight="1" x14ac:dyDescent="0.2">
      <c r="A6" s="68" t="s">
        <v>16</v>
      </c>
      <c r="B6" s="67" t="s">
        <v>17</v>
      </c>
      <c r="C6" s="67" t="s">
        <v>18</v>
      </c>
      <c r="D6" s="69" t="s">
        <v>19</v>
      </c>
      <c r="E6" s="70" t="s">
        <v>20</v>
      </c>
      <c r="F6" s="69" t="s">
        <v>21</v>
      </c>
      <c r="G6" s="296" t="s">
        <v>22</v>
      </c>
      <c r="H6" s="52" t="s">
        <v>23</v>
      </c>
      <c r="I6" s="52" t="s">
        <v>24</v>
      </c>
      <c r="J6" s="52" t="s">
        <v>25</v>
      </c>
      <c r="K6" s="52" t="s">
        <v>26</v>
      </c>
      <c r="L6" s="52" t="s">
        <v>27</v>
      </c>
      <c r="M6" s="52" t="s">
        <v>28</v>
      </c>
      <c r="N6" s="52" t="s">
        <v>29</v>
      </c>
      <c r="O6" s="52" t="s">
        <v>30</v>
      </c>
      <c r="P6" s="52" t="s">
        <v>31</v>
      </c>
      <c r="Q6" s="52" t="s">
        <v>14</v>
      </c>
      <c r="R6" s="52" t="s">
        <v>32</v>
      </c>
      <c r="S6" s="70" t="s">
        <v>33</v>
      </c>
      <c r="T6" s="70" t="s">
        <v>34</v>
      </c>
      <c r="U6" s="71" t="s">
        <v>35</v>
      </c>
      <c r="V6" s="71" t="s">
        <v>36</v>
      </c>
      <c r="W6" s="52" t="s">
        <v>37</v>
      </c>
      <c r="X6" s="52" t="s">
        <v>38</v>
      </c>
      <c r="Z6" s="70" t="s">
        <v>39</v>
      </c>
      <c r="AA6" s="70" t="s">
        <v>40</v>
      </c>
    </row>
    <row r="7" spans="1:27" x14ac:dyDescent="0.2">
      <c r="A7" s="13"/>
      <c r="B7" s="13" t="s">
        <v>41</v>
      </c>
      <c r="C7" s="17" t="s">
        <v>41</v>
      </c>
      <c r="D7" s="155" t="s">
        <v>42</v>
      </c>
      <c r="E7" s="155" t="s">
        <v>43</v>
      </c>
      <c r="F7" s="172" t="s">
        <v>44</v>
      </c>
      <c r="G7" s="20">
        <f>SUM(H7:X7)</f>
        <v>1.6586009214007831</v>
      </c>
      <c r="H7" s="173">
        <f>('CO2 per kg feed'!G17*FCR_bonefree_incl_parents_DK-Excreted_N_after_losses_DK*Manure_repl_factor_DK*EF_min_fert_CO2_DK)*Production!$B$60</f>
        <v>0.10678698120738406</v>
      </c>
      <c r="I7" s="173">
        <f>('CO2 per kg feed'!H17*FCR_bonefree_incl_parents_DK)*Production!$B$60</f>
        <v>0.10320511609465927</v>
      </c>
      <c r="J7" s="173">
        <f>('CO2 per kg feed'!I17*FCR_bonefree_incl_parents_DK)*Production!$B$60</f>
        <v>0</v>
      </c>
      <c r="K7" s="173"/>
      <c r="L7" s="173">
        <f>('CO2 per kg feed'!K17*FCR_bonefree_incl_parents_DK)*Production!$B$60</f>
        <v>0.12574314848614998</v>
      </c>
      <c r="M7" s="173"/>
      <c r="N7" s="173">
        <f>('CO2 per kg feed'!M17*FCR_bonefree_incl_parents_DK)*Production!$B$60</f>
        <v>5.6108677014974435E-4</v>
      </c>
      <c r="O7" s="173">
        <f>('CO2 per kg feed'!N17*FCR_bonefree_incl_parents_DK)*Production!$B$60</f>
        <v>0.15488550723617972</v>
      </c>
      <c r="P7" s="173">
        <f>('CO2 per kg feed'!O17*FCR_bonefree_incl_parents_DK)*Production!$B$60</f>
        <v>0.39056178264967079</v>
      </c>
      <c r="Q7" s="173">
        <f>('CO2 per kg feed'!P17*FCR_bonefree_incl_parents_DK)*Production!$B$60</f>
        <v>4.4993317508281304E-2</v>
      </c>
      <c r="R7" s="173">
        <f>('CO2 per kg feed'!Q17*FCR_bonefree_incl_parents_DK)*Production!$B$60</f>
        <v>0.31035942274851025</v>
      </c>
      <c r="S7" s="154"/>
      <c r="T7" s="154"/>
      <c r="U7" s="174"/>
      <c r="V7" s="174"/>
      <c r="W7" s="175">
        <f>(Energy_stables_DK/Bonefree_outof_CW_DK*(Share_heating_DK*(Share_biofuels_DK*EF_biofuels_CO2+(1-Share_biofuels_DK)*EF_oil_CO2)+(1-Share_heating_DK)*EF_el_CO2_DK))*Production!$B$60</f>
        <v>0.15811165267082752</v>
      </c>
      <c r="X7" s="176">
        <f>((Energy_slaughter_el_DK*EF_el_CO2_DK+Energy_slaughter_heat_DK*EF_gas_CO2)/Bonefree_outof_CW_DK)*Production!$B$60</f>
        <v>0.26339290602897059</v>
      </c>
      <c r="Z7" s="20"/>
      <c r="AA7" s="20"/>
    </row>
    <row r="8" spans="1:27" x14ac:dyDescent="0.2">
      <c r="A8" s="13"/>
      <c r="B8" s="13" t="s">
        <v>41</v>
      </c>
      <c r="C8" s="17" t="s">
        <v>41</v>
      </c>
      <c r="D8" s="18" t="s">
        <v>42</v>
      </c>
      <c r="E8" s="18" t="s">
        <v>43</v>
      </c>
      <c r="F8" s="13" t="s">
        <v>45</v>
      </c>
      <c r="G8" s="32">
        <f>SUM(H8:X8)</f>
        <v>1.7908405802945099E-3</v>
      </c>
      <c r="H8" s="33">
        <f>('CH4 per kg feed'!G17*FCR_bonefree_incl_parents_DK-Excreted_N_after_losses_DK*Manure_repl_factor_DK*EF_min_fert_CH4_DK)*Production!$B$60</f>
        <v>4.2357031379617818E-5</v>
      </c>
      <c r="I8" s="33">
        <f>('CH4 per kg feed'!H17*FCR_bonefree_incl_parents_DK)*Production!$B$60</f>
        <v>3.6396082627739539E-4</v>
      </c>
      <c r="J8" s="33"/>
      <c r="K8" s="33"/>
      <c r="L8" s="33">
        <f>('CH4 per kg feed'!K17*FCR_bonefree_incl_parents_DK)*Production!$B$60</f>
        <v>5.614126182902001E-5</v>
      </c>
      <c r="M8" s="33"/>
      <c r="N8" s="33">
        <f>('CH4 per kg feed'!M17*FCR_bonefree_incl_parents_DK)*Production!$B$60</f>
        <v>3.1109631269141711E-6</v>
      </c>
      <c r="O8" s="33">
        <f>('CH4 per kg feed'!N17*FCR_bonefree_incl_parents_DK)*Production!$B$60</f>
        <v>9.4874702215228795E-5</v>
      </c>
      <c r="P8" s="33">
        <f>('CH4 per kg feed'!O17*FCR_bonefree_incl_parents_DK)*Production!$B$60</f>
        <v>0</v>
      </c>
      <c r="Q8" s="33">
        <f>('CH4 per kg feed'!P17*FCR_bonefree_incl_parents_DK)*Production!$B$60</f>
        <v>1.6117786064786792E-4</v>
      </c>
      <c r="R8" s="33">
        <f>('CH4 per kg feed'!Q17*FCR_bonefree_incl_parents_DK)*Production!$B$60</f>
        <v>2.6412868258648503E-4</v>
      </c>
      <c r="W8" s="4">
        <f>(Energy_stables_DK/Bonefree_outof_CW_DK*(Share_heating_DK*(Share_biofuels_DK*EF_biofuel_CH4+(1-Share_biofuels_DK)*EF_oil_CH4)+(1-Share_heating_DK)*EF_el_CH4_DK))*Production!$B$60</f>
        <v>1.3119362038325027E-4</v>
      </c>
      <c r="X8" s="12">
        <f>((Energy_slaughter_el_DK*EF_el_CH4_DK+Energy_slaughter_heat_DK*EF_gas_CH4)/Bonefree_outof_CW_DK)*Production!$B$60</f>
        <v>6.7389563184873033E-4</v>
      </c>
      <c r="Z8" s="32"/>
      <c r="AA8" s="32"/>
    </row>
    <row r="9" spans="1:27" x14ac:dyDescent="0.2">
      <c r="A9" s="13"/>
      <c r="B9" s="13" t="s">
        <v>41</v>
      </c>
      <c r="C9" s="17" t="s">
        <v>41</v>
      </c>
      <c r="D9" s="18" t="s">
        <v>42</v>
      </c>
      <c r="E9" s="18" t="s">
        <v>43</v>
      </c>
      <c r="F9" s="13" t="s">
        <v>46</v>
      </c>
      <c r="G9" s="32">
        <f>SUM(H9:T9)+SUM(W9:X9)</f>
        <v>2.3100647143480795E-3</v>
      </c>
      <c r="H9" s="33"/>
      <c r="I9" s="33"/>
      <c r="J9" s="33"/>
      <c r="K9" s="33"/>
      <c r="L9" s="33"/>
      <c r="M9" s="33"/>
      <c r="N9" s="33"/>
      <c r="O9" s="33"/>
      <c r="P9" s="33"/>
      <c r="Q9" s="33"/>
      <c r="R9" s="33"/>
      <c r="T9" s="47">
        <f>SUM(U9:V9)</f>
        <v>2.3100647143480795E-3</v>
      </c>
      <c r="U9" s="63">
        <f>(((Production!B40*(Slaughter_age_DK/365)+SUM(Production!B41:B44))*EF_CH4_manure_DK)/Production!$B$60)*Production!$B$60</f>
        <v>2.3100647143480795E-3</v>
      </c>
      <c r="W9" s="4"/>
      <c r="X9" s="12"/>
    </row>
    <row r="10" spans="1:27" ht="15" customHeight="1" thickBot="1" x14ac:dyDescent="0.25">
      <c r="A10" s="13"/>
      <c r="B10" s="13" t="s">
        <v>41</v>
      </c>
      <c r="C10" s="17" t="s">
        <v>41</v>
      </c>
      <c r="D10" s="18" t="s">
        <v>42</v>
      </c>
      <c r="E10" s="18" t="s">
        <v>43</v>
      </c>
      <c r="F10" s="34" t="s">
        <v>47</v>
      </c>
      <c r="G10" s="32">
        <f>SUM(H10:T10)+SUM(W10:X10)</f>
        <v>2.2033200334435482E-3</v>
      </c>
      <c r="H10" s="33">
        <f>('N2O per kg feed'!G17*FCR_bonefree_incl_parents_DK-Excreted_N_after_losses_DK*Manure_repl_factor_DK*EF_min_fert_N2O_DK)*Production!$B$60</f>
        <v>8.3764795858449543E-5</v>
      </c>
      <c r="I10" s="32">
        <f>('N2O per kg feed'!H17*FCR_bonefree_incl_parents_DK)*Production!$B$60</f>
        <v>4.2142832516329987E-6</v>
      </c>
      <c r="J10" s="32">
        <f>('N2O per kg feed'!I17*FCR_bonefree_incl_parents_DK-Excreted_N_after_losses_DK*Manure_repl_factor_DK*EF_N2O_diff_DK)*Production!$B$60</f>
        <v>1.6201521840293837E-3</v>
      </c>
      <c r="K10" s="32">
        <f>J10*EF_indirect_N2O_DK</f>
        <v>1.6201521840293837E-4</v>
      </c>
      <c r="L10" s="32">
        <f>('N2O per kg feed'!K17*FCR_bonefree_incl_parents_DK)*Production!$B$60</f>
        <v>3.4055359539459102E-6</v>
      </c>
      <c r="M10" s="32"/>
      <c r="N10" s="32">
        <f>('N2O per kg feed'!M17*FCR_bonefree_incl_parents_DK)*Production!$B$60</f>
        <v>4.3431575777784141E-8</v>
      </c>
      <c r="O10" s="32">
        <f>('N2O per kg feed'!N17*FCR_bonefree_incl_parents_DK)*Production!$B$60</f>
        <v>5.8811418687599158E-6</v>
      </c>
      <c r="P10" s="32">
        <f>('N2O per kg feed'!O17*FCR_bonefree_incl_parents_DK)*Production!$B$60</f>
        <v>0</v>
      </c>
      <c r="Q10" s="32">
        <f>('N2O per kg feed'!P17*FCR_bonefree_incl_parents_DK)*Production!$B$60</f>
        <v>1.6661445696077628E-5</v>
      </c>
      <c r="R10" s="32">
        <f>('N2O per kg feed'!Q17*FCR_bonefree_incl_parents_DK)*Production!$B$60</f>
        <v>1.1179621525241588E-5</v>
      </c>
      <c r="T10" s="47">
        <f>SUM(U10:V10)</f>
        <v>2.7291973237884024E-4</v>
      </c>
      <c r="U10" s="9">
        <f>(Excreted_N_per_kg_of_bonefree_meat_DK*EF_N2O_manure_direct_DK*44/28)*Production!$B$60</f>
        <v>1.0114506629316244E-4</v>
      </c>
      <c r="V10" s="63">
        <f>((Excreted_N_per_kg_of_bonefree_meat_DK-(U10/Production!$B$60)*28/44)*EF_ammonia_DK*EF_N2O_manure_indirect_DK*44/28)*Production!$B$60</f>
        <v>1.7177466608567777E-4</v>
      </c>
      <c r="W10" s="4">
        <f>(Energy_stables_DK/Bonefree_outof_CW_DK*(Share_heating_DK*(Share_biofuels_DK*EF_biofuel_N2O+(1-Share_biofuels_DK)*EF_oil_N2O)+(1-Share_heating_DK)*EF_el_N2O_DK))*Production!$B$60</f>
        <v>1.1431489835127598E-5</v>
      </c>
      <c r="X10" s="12">
        <f>((Energy_slaughter_el_DK*EF_el_N2O_DK+Energy_slaughter_heat_DK*EF_gas_N2O)/Bonefree_outof_CW_DK)*Production!$B$60</f>
        <v>1.1651153067373098E-5</v>
      </c>
      <c r="Z10" s="32"/>
      <c r="AA10" s="32"/>
    </row>
    <row r="11" spans="1:27" ht="15.5" customHeight="1" thickTop="1" thickBot="1" x14ac:dyDescent="0.25">
      <c r="A11" s="164"/>
      <c r="B11" s="164" t="s">
        <v>41</v>
      </c>
      <c r="C11" s="165" t="s">
        <v>41</v>
      </c>
      <c r="D11" s="166" t="s">
        <v>42</v>
      </c>
      <c r="E11" s="166" t="s">
        <v>43</v>
      </c>
      <c r="F11" s="167" t="s">
        <v>48</v>
      </c>
      <c r="G11" s="178">
        <f>SUM(H11:X11)</f>
        <v>2.3758460871110461</v>
      </c>
      <c r="H11" s="168">
        <f>SUMPRODUCT(H7:H10,'Parameters, general'!$B$11:$B$14)</f>
        <v>0.13091701001185338</v>
      </c>
      <c r="I11" s="168">
        <f>SUMPRODUCT(I7:I10,'Parameters, general'!$B$11:$B$14)</f>
        <v>0.11520164804542146</v>
      </c>
      <c r="J11" s="168">
        <f>SUMPRODUCT(J7:J10,'Parameters, general'!$B$11:$B$14)</f>
        <v>0.44230154624002171</v>
      </c>
      <c r="K11" s="168">
        <f>SUMPRODUCT(K7:K10,'Parameters, general'!$B$11:$B$14)</f>
        <v>4.4230154624002177E-2</v>
      </c>
      <c r="L11" s="168">
        <f>SUMPRODUCT(L7:L10,'Parameters, general'!$B$11:$B$14)</f>
        <v>0.12834586940408202</v>
      </c>
      <c r="M11" s="168">
        <f>SUMPRODUCT(M7:M10,'Parameters, general'!$B$11:$B$14)</f>
        <v>0</v>
      </c>
      <c r="N11" s="168">
        <f>SUMPRODUCT(N7:N10,'Parameters, general'!$B$11:$B$14)</f>
        <v>6.6565029151912183E-4</v>
      </c>
      <c r="O11" s="168">
        <f>SUMPRODUCT(O7:O10,'Parameters, general'!$B$11:$B$14)</f>
        <v>0.15931832509236499</v>
      </c>
      <c r="P11" s="168">
        <f>SUMPRODUCT(P7:P10,'Parameters, general'!$B$11:$B$14)</f>
        <v>0.39056178264967079</v>
      </c>
      <c r="Q11" s="168">
        <f>SUMPRODUCT(Q7:Q10,'Parameters, general'!$B$11:$B$14)</f>
        <v>5.434499243061696E-2</v>
      </c>
      <c r="R11" s="168">
        <f>SUMPRODUCT(R7:R10,'Parameters, general'!$B$11:$B$14)</f>
        <v>0.32128249416597848</v>
      </c>
      <c r="S11" s="168">
        <f>SUMPRODUCT(S7:S10,'Parameters, general'!$B$11:$B$14)</f>
        <v>0</v>
      </c>
      <c r="T11" s="168">
        <f>SUMPRODUCT(T7:T10,'Parameters, general'!$B$11:$B$14)</f>
        <v>0.13687883422682154</v>
      </c>
      <c r="U11" s="169"/>
      <c r="V11" s="169"/>
      <c r="W11" s="168">
        <f>SUMPRODUCT(W7:W10,'Parameters, general'!$B$11:$B$14)</f>
        <v>0.16514201928323821</v>
      </c>
      <c r="X11" s="168">
        <f>SUMPRODUCT(X7:X10,'Parameters, general'!$B$11:$B$14)</f>
        <v>0.28665576064545562</v>
      </c>
      <c r="Z11" s="113">
        <f>SUM(H11:R11)</f>
        <v>1.787169472955531</v>
      </c>
      <c r="AA11" s="200">
        <f>'CO2 per kg feed'!F17+'CH4 per kg feed'!F17*CF_GWP_CH4_fossil+'N2O per kg feed'!F17*CF_GWP_N2O</f>
        <v>0.47901740565188278</v>
      </c>
    </row>
    <row r="12" spans="1:27" ht="15" customHeight="1" thickTop="1" x14ac:dyDescent="0.2">
      <c r="A12" s="13"/>
      <c r="B12" s="13" t="s">
        <v>41</v>
      </c>
      <c r="C12" s="17" t="s">
        <v>41</v>
      </c>
      <c r="D12" s="18" t="s">
        <v>49</v>
      </c>
      <c r="E12" s="18" t="s">
        <v>50</v>
      </c>
      <c r="F12" s="35" t="s">
        <v>44</v>
      </c>
      <c r="G12" s="20">
        <f>SUM(H12:X12)</f>
        <v>0.96166613531818368</v>
      </c>
      <c r="H12" s="173">
        <f>('CO2 per kg feed'!G29*FCR_bonefree_incl_parents_FR-Excreted_N_after_losses_FR*Manure_repl_factor_FR*EF_min_fert_CO2_FR)*Production!$C$60</f>
        <v>0.12405210032777723</v>
      </c>
      <c r="I12" s="173">
        <f>('CO2 per kg feed'!H29*FCR_bonefree_incl_parents_FR)*Production!$C$60</f>
        <v>9.0841748736922773E-2</v>
      </c>
      <c r="J12" s="173">
        <f>('CO2 per kg feed'!I29*FCR_bonefree_incl_parents_FR)*Production!$C$60</f>
        <v>0</v>
      </c>
      <c r="K12" s="173"/>
      <c r="L12" s="173">
        <f>('CO2 per kg feed'!K29*FCR_bonefree_incl_parents_FR)*Production!$C$60</f>
        <v>0.10503925641261169</v>
      </c>
      <c r="M12" s="173"/>
      <c r="N12" s="173">
        <f>('CO2 per kg feed'!M29*FCR_bonefree_incl_parents_FR)*Production!$C$60</f>
        <v>3.3109777626002669E-3</v>
      </c>
      <c r="O12" s="173">
        <f>('CO2 per kg feed'!N29*FCR_bonefree_incl_parents_FR)*Production!$C$60</f>
        <v>0.12624691464571947</v>
      </c>
      <c r="P12" s="173">
        <f>('CO2 per kg feed'!O29*FCR_bonefree_incl_parents_FR)*Production!$C$60</f>
        <v>0.11846616451513643</v>
      </c>
      <c r="Q12" s="173">
        <f>('CO2 per kg feed'!P29*FCR_bonefree_incl_parents_FR)*Production!$C$60</f>
        <v>5.2586506450491712E-2</v>
      </c>
      <c r="R12" s="173">
        <f>('CO2 per kg feed'!Q29*FCR_bonefree_incl_parents_FR)*Production!$C$60</f>
        <v>0.11227876167956242</v>
      </c>
      <c r="S12" s="154"/>
      <c r="T12" s="154"/>
      <c r="U12" s="174"/>
      <c r="V12" s="174"/>
      <c r="W12" s="175">
        <f>(Energy_stables_FR/Bonefree_outof_CW_FR*(Share_heating_FR*(Share_biofuels_FR*EF_biofuels_CO2+(1-Share_biofuels_FR)*EF_oil_CO2)+(1-Share_heating_FR)*EF_el_CO2_FR))*Production!$C$60</f>
        <v>0.10841706942943813</v>
      </c>
      <c r="X12" s="176">
        <f>((Energy_slaughter_el_FR*EF_el_CO2_FR+Energy_slaughter_heat_FR*EF_gas_CO2)/Bonefree_outof_CW_FR)*Production!$C$60</f>
        <v>0.12042663535792353</v>
      </c>
      <c r="Z12" s="20"/>
      <c r="AA12" s="20"/>
    </row>
    <row r="13" spans="1:27" x14ac:dyDescent="0.2">
      <c r="A13" s="13"/>
      <c r="B13" s="13" t="s">
        <v>41</v>
      </c>
      <c r="C13" s="17" t="s">
        <v>41</v>
      </c>
      <c r="D13" s="18" t="s">
        <v>49</v>
      </c>
      <c r="E13" s="18" t="s">
        <v>50</v>
      </c>
      <c r="F13" s="13" t="s">
        <v>45</v>
      </c>
      <c r="G13" s="32">
        <f>SUM(H13:X13)</f>
        <v>1.3710440904857405E-3</v>
      </c>
      <c r="H13" s="33">
        <f>('CH4 per kg feed'!G29*FCR_bonefree_incl_parents_FR-Excreted_N_after_losses_FR*Manure_repl_factor_FR*EF_min_fert_CH4_FR)*Production!$C$60</f>
        <v>7.4740872276148046E-5</v>
      </c>
      <c r="I13" s="33">
        <f>('CH4 per kg feed'!H29*FCR_bonefree_incl_parents_FR)*Production!$C$60</f>
        <v>3.1962837518546909E-4</v>
      </c>
      <c r="J13" s="33"/>
      <c r="K13" s="33"/>
      <c r="L13" s="33">
        <f>('CH4 per kg feed'!K29*FCR_bonefree_incl_parents_FR)*Production!$C$60</f>
        <v>4.652884869805221E-5</v>
      </c>
      <c r="M13" s="33"/>
      <c r="N13" s="33">
        <f>('CH4 per kg feed'!M29*FCR_bonefree_incl_parents_FR)*Production!$C$60</f>
        <v>9.8386520265822875E-6</v>
      </c>
      <c r="O13" s="33">
        <f>('CH4 per kg feed'!N29*FCR_bonefree_incl_parents_FR)*Production!$C$60</f>
        <v>6.9084086689420621E-5</v>
      </c>
      <c r="P13" s="33">
        <f>('CH4 per kg feed'!O29*FCR_bonefree_incl_parents_FR)*Production!$C$60</f>
        <v>0</v>
      </c>
      <c r="Q13" s="33">
        <f>('CH4 per kg feed'!P29*FCR_bonefree_incl_parents_FR)*Production!$C$60</f>
        <v>1.5845535483593125E-4</v>
      </c>
      <c r="R13" s="33">
        <f>('CH4 per kg feed'!Q29*FCR_bonefree_incl_parents_FR)*Production!$C$60</f>
        <v>1.0773156593311245E-4</v>
      </c>
      <c r="W13" s="4">
        <f>(Energy_stables_FR/Bonefree_outof_CW_FR*(Share_heating_FR*(Share_biofuels_FR*EF_biofuel_CH4+(1-Share_biofuels_FR)*EF_oil_CH4)+(1-Share_heating_FR)*EF_el_CH4_FR))*Production!$C$60</f>
        <v>8.9038522369469048E-5</v>
      </c>
      <c r="X13" s="12">
        <f>((Energy_slaughter_el_FR*EF_el_CH4_FR+Energy_slaughter_heat_FR*EF_gas_CH4)/Bonefree_outof_CW_FR)*Production!$C$60</f>
        <v>4.9599781247155561E-4</v>
      </c>
      <c r="Z13" s="32"/>
      <c r="AA13" s="32"/>
    </row>
    <row r="14" spans="1:27" x14ac:dyDescent="0.2">
      <c r="A14" s="13"/>
      <c r="B14" s="13" t="s">
        <v>41</v>
      </c>
      <c r="C14" s="17" t="s">
        <v>41</v>
      </c>
      <c r="D14" s="18" t="s">
        <v>49</v>
      </c>
      <c r="E14" s="18" t="s">
        <v>50</v>
      </c>
      <c r="F14" s="13" t="s">
        <v>46</v>
      </c>
      <c r="G14" s="32">
        <f>SUM(H14:T14)+SUM(W14:X14)</f>
        <v>2.55030612040919E-3</v>
      </c>
      <c r="H14" s="33"/>
      <c r="I14" s="33"/>
      <c r="J14" s="33"/>
      <c r="K14" s="33"/>
      <c r="L14" s="33"/>
      <c r="M14" s="33"/>
      <c r="N14" s="33"/>
      <c r="O14" s="33"/>
      <c r="P14" s="33"/>
      <c r="Q14" s="33"/>
      <c r="R14" s="33"/>
      <c r="T14" s="47">
        <f>SUM(U14:V14)</f>
        <v>2.55030612040919E-3</v>
      </c>
      <c r="U14" s="63">
        <f>(((Production!C40*(Slaughter_age_FR/365)+SUM(Production!C41:C44))*EF_CH4_manure_FR)/Production!$C$60)*Production!$C$60</f>
        <v>2.55030612040919E-3</v>
      </c>
      <c r="W14" s="4"/>
      <c r="X14" s="12"/>
    </row>
    <row r="15" spans="1:27" ht="15" customHeight="1" thickBot="1" x14ac:dyDescent="0.25">
      <c r="A15" s="13"/>
      <c r="B15" s="13" t="s">
        <v>41</v>
      </c>
      <c r="C15" s="17" t="s">
        <v>41</v>
      </c>
      <c r="D15" s="18" t="s">
        <v>49</v>
      </c>
      <c r="E15" s="18" t="s">
        <v>50</v>
      </c>
      <c r="F15" s="34" t="s">
        <v>47</v>
      </c>
      <c r="G15" s="32">
        <f>SUM(H15:T15)+SUM(W15:X15)</f>
        <v>2.0999705558364429E-3</v>
      </c>
      <c r="H15" s="33">
        <f>('N2O per kg feed'!G29*FCR_bonefree_incl_parents_FR-Excreted_N_after_losses_FR*Manure_repl_factor_FR*EF_min_fert_N2O_FR)*Production!$C$60</f>
        <v>1.0815466576758396E-4</v>
      </c>
      <c r="I15" s="32">
        <f>('N2O per kg feed'!H29*FCR_bonefree_incl_parents_FR)*Production!$C$60</f>
        <v>3.7009601337264827E-6</v>
      </c>
      <c r="J15" s="32">
        <f>('N2O per kg feed'!I29*FCR_bonefree_incl_parents_FR-Excreted_N_after_losses_FR*Manure_repl_factor_FR*EF_N2O_diff_FR)*Production!$C$60</f>
        <v>1.5428808787449867E-3</v>
      </c>
      <c r="K15" s="32">
        <f>J15*EF_indirect_N2O_FR</f>
        <v>1.5428808787449868E-4</v>
      </c>
      <c r="L15" s="32">
        <f>('N2O per kg feed'!K29*FCR_bonefree_incl_parents_FR)*Production!$C$60</f>
        <v>2.8224457729416189E-6</v>
      </c>
      <c r="M15" s="32"/>
      <c r="N15" s="32">
        <f>('N2O per kg feed'!M29*FCR_bonefree_incl_parents_FR)*Production!$C$60</f>
        <v>1.4205976845443452E-7</v>
      </c>
      <c r="O15" s="32">
        <f>('N2O per kg feed'!N29*FCR_bonefree_incl_parents_FR)*Production!$C$60</f>
        <v>4.7678695543656921E-6</v>
      </c>
      <c r="P15" s="32">
        <f>('N2O per kg feed'!O29*FCR_bonefree_incl_parents_FR)*Production!$C$60</f>
        <v>0</v>
      </c>
      <c r="Q15" s="32">
        <f>('N2O per kg feed'!P29*FCR_bonefree_incl_parents_FR)*Production!$C$60</f>
        <v>9.0780773552559442E-6</v>
      </c>
      <c r="R15" s="32">
        <f>('N2O per kg feed'!Q29*FCR_bonefree_incl_parents_FR)*Production!$C$60</f>
        <v>3.9300519301404734E-6</v>
      </c>
      <c r="T15" s="47">
        <f>SUM(U15:V15)</f>
        <v>2.5488920946609665E-4</v>
      </c>
      <c r="U15" s="9">
        <f>(Excreted_N_per_kg_of_bonefree_meat_FR*EF_N2O_manure_direct_FR*44/28)*Production!$C$60</f>
        <v>9.4462887546268635E-5</v>
      </c>
      <c r="V15" s="63">
        <f>((Excreted_N_per_kg_of_bonefree_meat_FR-(U15/Production!$C$60)*28/44)*EF_ammonia_FR*EF_N2O_manure_indirect_FR*44/28)*Production!$C$60</f>
        <v>1.6042632191982801E-4</v>
      </c>
      <c r="W15" s="4">
        <f>(Energy_stables_FR/Bonefree_outof_CW_FR*(Share_heating_FR*(Share_biofuels_FR*EF_biofuel_N2O+(1-Share_biofuels_FR)*EF_oil_N2O)+(1-Share_heating_FR)*EF_el_N2O_FR))*Production!$C$60</f>
        <v>9.353611426489393E-6</v>
      </c>
      <c r="X15" s="12">
        <f>((Energy_slaughter_el_FR*EF_el_N2O_FR+Energy_slaughter_heat_FR*EF_gas_N2O)/Bonefree_outof_CW_FR)*Production!$C$60</f>
        <v>5.962638041903152E-6</v>
      </c>
      <c r="Z15" s="32"/>
      <c r="AA15" s="32"/>
    </row>
    <row r="16" spans="1:27" ht="15.5" customHeight="1" thickTop="1" thickBot="1" x14ac:dyDescent="0.25">
      <c r="A16" s="164"/>
      <c r="B16" s="164" t="s">
        <v>41</v>
      </c>
      <c r="C16" s="165" t="s">
        <v>41</v>
      </c>
      <c r="D16" s="36" t="s">
        <v>49</v>
      </c>
      <c r="E16" s="36" t="s">
        <v>50</v>
      </c>
      <c r="F16" s="177" t="s">
        <v>48</v>
      </c>
      <c r="G16" s="178">
        <f>SUM(H16:X16)</f>
        <v>1.6446734762090558</v>
      </c>
      <c r="H16" s="168">
        <f>SUMPRODUCT(H12:H15,'Parameters, general'!$B$11:$B$14)</f>
        <v>0.15580560207615685</v>
      </c>
      <c r="I16" s="168">
        <f>SUMPRODUCT(I12:I15,'Parameters, general'!$B$11:$B$14)</f>
        <v>0.10137703643395708</v>
      </c>
      <c r="J16" s="168">
        <f>SUMPRODUCT(J12:J15,'Parameters, general'!$B$11:$B$14)</f>
        <v>0.42120647989738136</v>
      </c>
      <c r="K16" s="168">
        <f>SUMPRODUCT(K12:K15,'Parameters, general'!$B$11:$B$14)</f>
        <v>4.2120647989738136E-2</v>
      </c>
      <c r="L16" s="168">
        <f>SUMPRODUCT(L12:L15,'Parameters, general'!$B$11:$B$14)</f>
        <v>0.1071963437998267</v>
      </c>
      <c r="M16" s="168">
        <f>SUMPRODUCT(M12:M15,'Parameters, general'!$B$11:$B$14)</f>
        <v>0</v>
      </c>
      <c r="N16" s="168">
        <f>SUMPRODUCT(N12:N15,'Parameters, general'!$B$11:$B$14)</f>
        <v>3.6429519097804794E-3</v>
      </c>
      <c r="O16" s="168">
        <f>SUMPRODUCT(O12:O15,'Parameters, general'!$B$11:$B$14)</f>
        <v>0.12960724881740604</v>
      </c>
      <c r="P16" s="168">
        <f>SUMPRODUCT(P12:P15,'Parameters, general'!$B$11:$B$14)</f>
        <v>0.11846616451513643</v>
      </c>
      <c r="Q16" s="168">
        <f>SUMPRODUCT(Q12:Q15,'Parameters, general'!$B$11:$B$14)</f>
        <v>5.9786791142587337E-2</v>
      </c>
      <c r="R16" s="168">
        <f>SUMPRODUCT(R12:R15,'Parameters, general'!$B$11:$B$14)</f>
        <v>0.11656206652129752</v>
      </c>
      <c r="S16" s="168">
        <f>SUMPRODUCT(S12:S15,'Parameters, general'!$B$11:$B$14)</f>
        <v>0</v>
      </c>
      <c r="T16" s="168">
        <f>SUMPRODUCT(T12:T15,'Parameters, general'!$B$11:$B$14)</f>
        <v>0.13844301943529252</v>
      </c>
      <c r="U16" s="169"/>
      <c r="V16" s="169"/>
      <c r="W16" s="168">
        <f>SUMPRODUCT(W12:W15,'Parameters, general'!$B$11:$B$14)</f>
        <v>0.11362395331547992</v>
      </c>
      <c r="X16" s="168">
        <f>SUMPRODUCT(X12:X15,'Parameters, general'!$B$11:$B$14)</f>
        <v>0.13683517035501544</v>
      </c>
      <c r="Z16" s="113">
        <f>SUM(H16:R16)</f>
        <v>1.2557713331032678</v>
      </c>
      <c r="AA16" s="200">
        <f>'CO2 per kg feed'!F29+'CH4 per kg feed'!F29*CF_GWP_CH4_fossil+'N2O per kg feed'!F29*CF_GWP_N2O</f>
        <v>0.36649003642536138</v>
      </c>
    </row>
    <row r="17" spans="1:27" ht="15" customHeight="1" thickTop="1" x14ac:dyDescent="0.2">
      <c r="A17" s="170"/>
      <c r="B17" s="170" t="s">
        <v>41</v>
      </c>
      <c r="C17" s="171" t="s">
        <v>41</v>
      </c>
      <c r="D17" s="155" t="s">
        <v>51</v>
      </c>
      <c r="E17" s="155" t="s">
        <v>52</v>
      </c>
      <c r="F17" s="172" t="s">
        <v>44</v>
      </c>
      <c r="G17" s="20">
        <f>SUM(H17:X17)</f>
        <v>1.1528829978854953</v>
      </c>
      <c r="H17" s="173">
        <f>('CO2 per kg feed'!G41*FCR_bonefree_incl_parents_DE-Excreted_N_after_losses_DE*Manure_repl_factor_DE*EF_min_fert_CO2_DE)*Production!$D$60</f>
        <v>7.8796323644560337E-2</v>
      </c>
      <c r="I17" s="173">
        <f>('CO2 per kg feed'!H41*FCR_bonefree_incl_parents_DE)*Production!$D$60</f>
        <v>9.593066124730168E-2</v>
      </c>
      <c r="J17" s="173">
        <f>('CO2 per kg feed'!I41*FCR_bonefree_incl_parents_DE)*Production!$D$60</f>
        <v>0</v>
      </c>
      <c r="K17" s="173"/>
      <c r="L17" s="173">
        <f>('CO2 per kg feed'!K41*FCR_bonefree_incl_parents_DE)*Production!$D$60</f>
        <v>0.10126863237100361</v>
      </c>
      <c r="M17" s="173"/>
      <c r="N17" s="173">
        <f>('CO2 per kg feed'!M41*FCR_bonefree_incl_parents_DE)*Production!$D$60</f>
        <v>6.4861877396304611E-4</v>
      </c>
      <c r="O17" s="173">
        <f>('CO2 per kg feed'!N41*FCR_bonefree_incl_parents_DE)*Production!$D$60</f>
        <v>0.15536087017965161</v>
      </c>
      <c r="P17" s="173">
        <f>('CO2 per kg feed'!O41*FCR_bonefree_incl_parents_DE)*Production!$D$60</f>
        <v>0.12118319106250429</v>
      </c>
      <c r="Q17" s="173">
        <f>('CO2 per kg feed'!P41*FCR_bonefree_incl_parents_DE)*Production!$D$60</f>
        <v>5.7197926193500975E-2</v>
      </c>
      <c r="R17" s="173">
        <f>('CO2 per kg feed'!Q41*FCR_bonefree_incl_parents_DE)*Production!$D$60</f>
        <v>0.11266815129129144</v>
      </c>
      <c r="S17" s="154"/>
      <c r="T17" s="154"/>
      <c r="U17" s="174"/>
      <c r="V17" s="174"/>
      <c r="W17" s="175">
        <f>(Energy_stables_DE/Bonefree_outof_CW_DE*(Share_heating_DE*(Share_biofuels_DE*EF_biofuels_CO2+(1-Share_biofuels_DE)*EF_oil_CO2)+(1-Share_heating_DE)*EF_el_CO2_DE))*Production!$D$60</f>
        <v>0.16384155557148408</v>
      </c>
      <c r="X17" s="176">
        <f>((Energy_slaughter_el_DE*EF_el_CO2_DE+Energy_slaughter_heat_DE*EF_gas_CO2)/Bonefree_outof_CW_DE)*Production!$D$60</f>
        <v>0.26598706755023432</v>
      </c>
      <c r="Z17" s="20"/>
      <c r="AA17" s="20"/>
    </row>
    <row r="18" spans="1:27" x14ac:dyDescent="0.2">
      <c r="A18" s="13"/>
      <c r="B18" s="13" t="s">
        <v>41</v>
      </c>
      <c r="C18" s="17" t="s">
        <v>41</v>
      </c>
      <c r="D18" s="18" t="s">
        <v>51</v>
      </c>
      <c r="E18" s="18" t="s">
        <v>52</v>
      </c>
      <c r="F18" s="13" t="s">
        <v>45</v>
      </c>
      <c r="G18" s="32">
        <f>SUM(H18:X18)</f>
        <v>1.7198005214960122E-3</v>
      </c>
      <c r="H18" s="33">
        <f>('CH4 per kg feed'!G41*FCR_bonefree_incl_parents_DE-Excreted_N_after_losses_DE*Manure_repl_factor_DE*EF_min_fert_CH4_DE)*Production!$D$60</f>
        <v>6.9424595284890532E-5</v>
      </c>
      <c r="I18" s="33">
        <f>('CH4 per kg feed'!H41*FCR_bonefree_incl_parents_DE)*Production!$D$60</f>
        <v>3.3753380809235784E-4</v>
      </c>
      <c r="J18" s="33"/>
      <c r="K18" s="33"/>
      <c r="L18" s="33">
        <f>('CH4 per kg feed'!K41*FCR_bonefree_incl_parents_DE)*Production!$D$60</f>
        <v>4.4858589391950179E-5</v>
      </c>
      <c r="M18" s="33"/>
      <c r="N18" s="33">
        <f>('CH4 per kg feed'!M41*FCR_bonefree_incl_parents_DE)*Production!$D$60</f>
        <v>1.9701233583914417E-6</v>
      </c>
      <c r="O18" s="33">
        <f>('CH4 per kg feed'!N41*FCR_bonefree_incl_parents_DE)*Production!$D$60</f>
        <v>1.0999549923546328E-4</v>
      </c>
      <c r="P18" s="33">
        <f>('CH4 per kg feed'!O41*FCR_bonefree_incl_parents_DE)*Production!$D$60</f>
        <v>0</v>
      </c>
      <c r="Q18" s="33">
        <f>('CH4 per kg feed'!P41*FCR_bonefree_incl_parents_DE)*Production!$D$60</f>
        <v>1.327295703796481E-4</v>
      </c>
      <c r="R18" s="33">
        <f>('CH4 per kg feed'!Q41*FCR_bonefree_incl_parents_DE)*Production!$D$60</f>
        <v>1.0747194831347759E-4</v>
      </c>
      <c r="W18" s="4">
        <f>(Energy_stables_DE/Bonefree_outof_CW_DE*(Share_heating_DE*(Share_biofuels_DE*EF_biofuel_CH4+(1-Share_biofuels_DE)*EF_oil_CH4)+(1-Share_heating_DE)*EF_el_CH4_DE))*Production!$D$60</f>
        <v>1.8195171736073756E-4</v>
      </c>
      <c r="X18" s="12">
        <f>((Energy_slaughter_el_DE*EF_el_CH4_DE+Energy_slaughter_heat_DE*EF_gas_CH4)/Bonefree_outof_CW_DE)*Production!$D$60</f>
        <v>7.3386467007909581E-4</v>
      </c>
      <c r="Z18" s="32"/>
      <c r="AA18" s="32"/>
    </row>
    <row r="19" spans="1:27" x14ac:dyDescent="0.2">
      <c r="A19" s="13"/>
      <c r="B19" s="13" t="s">
        <v>41</v>
      </c>
      <c r="C19" s="17" t="s">
        <v>41</v>
      </c>
      <c r="D19" s="18" t="s">
        <v>51</v>
      </c>
      <c r="E19" s="18" t="s">
        <v>52</v>
      </c>
      <c r="F19" s="13" t="s">
        <v>46</v>
      </c>
      <c r="G19" s="32">
        <f>SUM(H19:T19)+SUM(W19:X19)</f>
        <v>3.75199807285093E-3</v>
      </c>
      <c r="H19" s="33"/>
      <c r="I19" s="33"/>
      <c r="J19" s="33"/>
      <c r="K19" s="33"/>
      <c r="L19" s="33"/>
      <c r="M19" s="33"/>
      <c r="N19" s="33"/>
      <c r="O19" s="33"/>
      <c r="P19" s="33"/>
      <c r="Q19" s="33"/>
      <c r="R19" s="33"/>
      <c r="T19" s="47">
        <f>SUM(U19:V19)</f>
        <v>3.75199807285093E-3</v>
      </c>
      <c r="U19" s="63">
        <f>(((Production!D40*(Slaughter_age_DE/365)+SUM(Production!D41:D44))*EF_CH4_manure_DE)/Production!$D$60)*Production!$D$60</f>
        <v>3.75199807285093E-3</v>
      </c>
      <c r="W19" s="4"/>
      <c r="X19" s="12"/>
    </row>
    <row r="20" spans="1:27" ht="15" customHeight="1" thickBot="1" x14ac:dyDescent="0.25">
      <c r="A20" s="13"/>
      <c r="B20" s="13" t="s">
        <v>41</v>
      </c>
      <c r="C20" s="17" t="s">
        <v>41</v>
      </c>
      <c r="D20" s="18" t="s">
        <v>51</v>
      </c>
      <c r="E20" s="18" t="s">
        <v>52</v>
      </c>
      <c r="F20" s="34" t="s">
        <v>47</v>
      </c>
      <c r="G20" s="32">
        <f>SUM(H20:T20)+SUM(W20:X20)</f>
        <v>2.0899050448146524E-3</v>
      </c>
      <c r="H20" s="33">
        <f>('N2O per kg feed'!G41*FCR_bonefree_incl_parents_DE-Excreted_N_after_losses_DE*Manure_repl_factor_DE*EF_min_fert_N2O_DE)*Production!$D$60</f>
        <v>9.0869375126821845E-5</v>
      </c>
      <c r="I20" s="32">
        <f>('N2O per kg feed'!H41*FCR_bonefree_incl_parents_DE)*Production!$D$60</f>
        <v>3.9082861989641442E-6</v>
      </c>
      <c r="J20" s="32">
        <f>('N2O per kg feed'!I41*FCR_bonefree_incl_parents_DE-Excreted_N_after_losses_DE*Manure_repl_factor_DE*EF_N2O_diff_DE)*Production!$D$60</f>
        <v>1.4338952430622228E-3</v>
      </c>
      <c r="K20" s="32">
        <f>J20*EF_indirect_N2O_DE</f>
        <v>1.4338952430622228E-4</v>
      </c>
      <c r="L20" s="32">
        <f>('N2O per kg feed'!K41*FCR_bonefree_incl_parents_DE)*Production!$D$60</f>
        <v>2.7211276348372969E-6</v>
      </c>
      <c r="M20" s="32"/>
      <c r="N20" s="32">
        <f>('N2O per kg feed'!M41*FCR_bonefree_incl_parents_DE)*Production!$D$60</f>
        <v>2.7629377768095952E-8</v>
      </c>
      <c r="O20" s="32">
        <f>('N2O per kg feed'!N41*FCR_bonefree_incl_parents_DE)*Production!$D$60</f>
        <v>5.7752829629391455E-6</v>
      </c>
      <c r="P20" s="32">
        <f>('N2O per kg feed'!O41*FCR_bonefree_incl_parents_DE)*Production!$D$60</f>
        <v>0</v>
      </c>
      <c r="Q20" s="32">
        <f>('N2O per kg feed'!P41*FCR_bonefree_incl_parents_DE)*Production!$D$60</f>
        <v>7.8367434803769365E-6</v>
      </c>
      <c r="R20" s="32">
        <f>('N2O per kg feed'!Q41*FCR_bonefree_incl_parents_DE)*Production!$D$60</f>
        <v>3.9297835047368114E-6</v>
      </c>
      <c r="T20" s="47">
        <f>SUM(U20:V20)</f>
        <v>3.7565156361913239E-4</v>
      </c>
      <c r="U20" s="9">
        <f>(Excreted_N_per_kg_of_bonefree_meat_DE*EF_N2O_manure_direct_DE*44/28)*Production!$D$60</f>
        <v>1.3921786444025215E-4</v>
      </c>
      <c r="V20" s="63">
        <f>((Excreted_N_per_kg_of_bonefree_meat_DE-(U20/Production!$D$60)*28/44)*EF_ammonia_DE*EF_N2O_manure_indirect_DE*44/28)*Production!$D$60</f>
        <v>2.3643369917888024E-4</v>
      </c>
      <c r="W20" s="4">
        <f>(Energy_stables_DE/Bonefree_outof_CW_DE*(Share_heating_DE*(Share_biofuels_DE*EF_biofuel_N2O+(1-Share_biofuels_DE)*EF_oil_N2O)+(1-Share_heating_DE)*EF_el_N2O_DE))*Production!$D$60</f>
        <v>1.1070871856047216E-5</v>
      </c>
      <c r="X20" s="12">
        <f>((Energy_slaughter_el_DE*EF_el_N2O_DE+Energy_slaughter_heat_DE*EF_gas_N2O)/Bonefree_outof_CW_DE)*Production!$D$60</f>
        <v>1.0829613684583378E-5</v>
      </c>
      <c r="Z20" s="32"/>
      <c r="AA20" s="32"/>
    </row>
    <row r="21" spans="1:27" ht="15.5" customHeight="1" thickTop="1" thickBot="1" x14ac:dyDescent="0.25">
      <c r="A21" s="164"/>
      <c r="B21" s="164" t="s">
        <v>41</v>
      </c>
      <c r="C21" s="165" t="s">
        <v>41</v>
      </c>
      <c r="D21" s="166" t="s">
        <v>51</v>
      </c>
      <c r="E21" s="166" t="s">
        <v>52</v>
      </c>
      <c r="F21" s="167" t="s">
        <v>48</v>
      </c>
      <c r="G21" s="178">
        <f>SUM(H21:X21)</f>
        <v>1.8759810786274518</v>
      </c>
      <c r="H21" s="168">
        <f>SUMPRODUCT(H17:H20,'Parameters, general'!$B$11:$B$14)</f>
        <v>0.10567251599367243</v>
      </c>
      <c r="I21" s="168">
        <f>SUMPRODUCT(I17:I20,'Parameters, general'!$B$11:$B$14)</f>
        <v>0.10705613086077116</v>
      </c>
      <c r="J21" s="168">
        <f>SUMPRODUCT(J17:J20,'Parameters, general'!$B$11:$B$14)</f>
        <v>0.39145340135598683</v>
      </c>
      <c r="K21" s="168">
        <f>SUMPRODUCT(K17:K20,'Parameters, general'!$B$11:$B$14)</f>
        <v>3.9145340135598679E-2</v>
      </c>
      <c r="L21" s="168">
        <f>SUMPRODUCT(L17:L20,'Parameters, general'!$B$11:$B$14)</f>
        <v>0.10334828617919432</v>
      </c>
      <c r="M21" s="168">
        <f>SUMPRODUCT(M17:M20,'Parameters, general'!$B$11:$B$14)</f>
        <v>0</v>
      </c>
      <c r="N21" s="168">
        <f>SUMPRODUCT(N17:N20,'Parameters, general'!$B$11:$B$14)</f>
        <v>7.1487127017380125E-4</v>
      </c>
      <c r="O21" s="168">
        <f>SUMPRODUCT(O17:O20,'Parameters, general'!$B$11:$B$14)</f>
        <v>0.16021538830575083</v>
      </c>
      <c r="P21" s="168">
        <f>SUMPRODUCT(P17:P20,'Parameters, general'!$B$11:$B$14)</f>
        <v>0.12118319106250429</v>
      </c>
      <c r="Q21" s="168">
        <f>SUMPRODUCT(Q17:Q20,'Parameters, general'!$B$11:$B$14)</f>
        <v>6.3292698360957397E-2</v>
      </c>
      <c r="R21" s="168">
        <f>SUMPRODUCT(R17:R20,'Parameters, general'!$B$11:$B$14)</f>
        <v>0.11694364624782623</v>
      </c>
      <c r="S21" s="168">
        <f>SUMPRODUCT(S17:S20,'Parameters, general'!$B$11:$B$14)</f>
        <v>0</v>
      </c>
      <c r="T21" s="168">
        <f>SUMPRODUCT(T17:T20,'Parameters, general'!$B$11:$B$14)</f>
        <v>0.20385682483499826</v>
      </c>
      <c r="U21" s="169"/>
      <c r="V21" s="169"/>
      <c r="W21" s="168">
        <f>SUMPRODUCT(W17:W20,'Parameters, general'!$B$11:$B$14)</f>
        <v>0.17228606476553496</v>
      </c>
      <c r="X21" s="168">
        <f>SUMPRODUCT(X17:X20,'Parameters, general'!$B$11:$B$14)</f>
        <v>0.29081271925448265</v>
      </c>
      <c r="Z21" s="113">
        <f>SUM(H21:R21)</f>
        <v>1.2090254697724359</v>
      </c>
      <c r="AA21" s="200">
        <f>'CO2 per kg feed'!F41+'CH4 per kg feed'!F41*CF_GWP_CH4_fossil+'N2O per kg feed'!F41*CF_GWP_N2O</f>
        <v>0.38364581415903354</v>
      </c>
    </row>
    <row r="22" spans="1:27" ht="15" customHeight="1" thickTop="1" x14ac:dyDescent="0.2">
      <c r="A22" s="13"/>
      <c r="B22" s="13" t="s">
        <v>41</v>
      </c>
      <c r="C22" s="17" t="s">
        <v>41</v>
      </c>
      <c r="D22" s="18" t="s">
        <v>53</v>
      </c>
      <c r="E22" s="18" t="s">
        <v>54</v>
      </c>
      <c r="F22" s="35" t="s">
        <v>44</v>
      </c>
      <c r="G22" s="20">
        <f>SUM(H22:X22)</f>
        <v>1.8356939941345189</v>
      </c>
      <c r="H22" s="173">
        <f>('CO2 per kg feed'!G53*FCR_bonefree_incl_parents_GR-Excreted_N_after_losses_GR*Manure_repl_factor_GR*EF_min_fert_CO2_GR)*Production!$E$60</f>
        <v>9.2391152169526716E-2</v>
      </c>
      <c r="I22" s="173">
        <f>('CO2 per kg feed'!H53*FCR_bonefree_incl_parents_GR)*Production!$E$60</f>
        <v>8.443407554121421E-2</v>
      </c>
      <c r="J22" s="173">
        <f>('CO2 per kg feed'!I53*FCR_bonefree_incl_parents_GR)*Production!$E$60</f>
        <v>0</v>
      </c>
      <c r="K22" s="173"/>
      <c r="L22" s="173">
        <f>('CO2 per kg feed'!K53*FCR_bonefree_incl_parents_GR)*Production!$E$60</f>
        <v>0.14831846170941723</v>
      </c>
      <c r="M22" s="173"/>
      <c r="N22" s="173">
        <f>('CO2 per kg feed'!M53*FCR_bonefree_incl_parents_GR)*Production!$E$60</f>
        <v>2.2461756036318253E-2</v>
      </c>
      <c r="O22" s="173">
        <f>('CO2 per kg feed'!N53*FCR_bonefree_incl_parents_GR)*Production!$E$60</f>
        <v>0.13937049894063147</v>
      </c>
      <c r="P22" s="173">
        <f>('CO2 per kg feed'!O53*FCR_bonefree_incl_parents_GR)*Production!$E$60</f>
        <v>0.26302644957975668</v>
      </c>
      <c r="Q22" s="173">
        <f>('CO2 per kg feed'!P53*FCR_bonefree_incl_parents_GR)*Production!$E$60</f>
        <v>0.37487885486853362</v>
      </c>
      <c r="R22" s="173">
        <f>('CO2 per kg feed'!Q53*FCR_bonefree_incl_parents_GR)*Production!$E$60</f>
        <v>0.20834137110325898</v>
      </c>
      <c r="S22" s="154"/>
      <c r="T22" s="154"/>
      <c r="U22" s="174"/>
      <c r="V22" s="174"/>
      <c r="W22" s="175">
        <f>(Energy_stables_GR/Bonefree_outof_CW_GR*(Share_heating_GR*(Share_biofuels_GR*EF_biofuels_CO2+(1-Share_biofuels_GR)*EF_oil_CO2)+(1-Share_heating_GR)*EF_el_CO2_GR))*Production!$E$60</f>
        <v>0.16804779079959867</v>
      </c>
      <c r="X22" s="176">
        <f>((Energy_slaughter_el_GR*EF_el_CO2_GR+Energy_slaughter_heat_GR*EF_gas_CO2)/Bonefree_outof_CW_GR)*Production!$E$60</f>
        <v>0.33442358338626327</v>
      </c>
      <c r="Z22" s="20"/>
      <c r="AA22" s="20"/>
    </row>
    <row r="23" spans="1:27" x14ac:dyDescent="0.2">
      <c r="A23" s="13"/>
      <c r="B23" s="13" t="s">
        <v>41</v>
      </c>
      <c r="C23" s="17" t="s">
        <v>41</v>
      </c>
      <c r="D23" s="18" t="s">
        <v>53</v>
      </c>
      <c r="E23" s="18" t="s">
        <v>54</v>
      </c>
      <c r="F23" s="13" t="s">
        <v>45</v>
      </c>
      <c r="G23" s="32">
        <f>SUM(H23:X23)</f>
        <v>2.695890831107856E-3</v>
      </c>
      <c r="H23" s="33">
        <f>('CH4 per kg feed'!G53*FCR_bonefree_incl_parents_GR-Excreted_N_after_losses_GR*Manure_repl_factor_GR*EF_min_fert_CH4_GR)*Production!$E$60</f>
        <v>2.285068459727991E-5</v>
      </c>
      <c r="I23" s="33">
        <f>('CH4 per kg feed'!H53*FCR_bonefree_incl_parents_GR)*Production!$E$60</f>
        <v>2.9708285838575381E-4</v>
      </c>
      <c r="J23" s="33"/>
      <c r="K23" s="33"/>
      <c r="L23" s="33">
        <f>('CH4 per kg feed'!K53*FCR_bonefree_incl_parents_GR)*Production!$E$60</f>
        <v>6.5700077282504002E-5</v>
      </c>
      <c r="M23" s="33"/>
      <c r="N23" s="33">
        <f>('CH4 per kg feed'!M53*FCR_bonefree_incl_parents_GR)*Production!$E$60</f>
        <v>6.6422601960497706E-5</v>
      </c>
      <c r="O23" s="33">
        <f>('CH4 per kg feed'!N53*FCR_bonefree_incl_parents_GR)*Production!$E$60</f>
        <v>1.1317483430374952E-4</v>
      </c>
      <c r="P23" s="33">
        <f>('CH4 per kg feed'!O53*FCR_bonefree_incl_parents_GR)*Production!$E$60</f>
        <v>0</v>
      </c>
      <c r="Q23" s="33">
        <f>('CH4 per kg feed'!P53*FCR_bonefree_incl_parents_GR)*Production!$E$60</f>
        <v>7.8581888988011196E-4</v>
      </c>
      <c r="R23" s="33">
        <f>('CH4 per kg feed'!Q53*FCR_bonefree_incl_parents_GR)*Production!$E$60</f>
        <v>2.4999994359033249E-4</v>
      </c>
      <c r="W23" s="4">
        <f>(Energy_stables_GR/Bonefree_outof_CW_GR*(Share_heating_GR*(Share_biofuels_GR*EF_biofuel_CH4+(1-Share_biofuels_GR)*EF_oil_CH4)+(1-Share_heating_GR)*EF_el_CH4_GR))*Production!$E$60</f>
        <v>2.1209210187775137E-4</v>
      </c>
      <c r="X23" s="12">
        <f>((Energy_slaughter_el_GR*EF_el_CH4_GR+Energy_slaughter_heat_GR*EF_gas_CH4)/Bonefree_outof_CW_GR)*Production!$E$60</f>
        <v>8.827488392298753E-4</v>
      </c>
      <c r="Z23" s="32"/>
      <c r="AA23" s="32"/>
    </row>
    <row r="24" spans="1:27" x14ac:dyDescent="0.2">
      <c r="A24" s="13"/>
      <c r="B24" s="13" t="s">
        <v>41</v>
      </c>
      <c r="C24" s="17" t="s">
        <v>41</v>
      </c>
      <c r="D24" s="18" t="s">
        <v>53</v>
      </c>
      <c r="E24" s="18" t="s">
        <v>54</v>
      </c>
      <c r="F24" s="13" t="s">
        <v>46</v>
      </c>
      <c r="G24" s="32">
        <f>SUM(H24:T24)+SUM(W24:X24)</f>
        <v>3.3402574646207933E-3</v>
      </c>
      <c r="H24" s="33"/>
      <c r="I24" s="33"/>
      <c r="J24" s="33"/>
      <c r="K24" s="33"/>
      <c r="L24" s="33"/>
      <c r="M24" s="33"/>
      <c r="N24" s="33"/>
      <c r="O24" s="33"/>
      <c r="P24" s="33"/>
      <c r="Q24" s="33"/>
      <c r="R24" s="33"/>
      <c r="T24" s="47">
        <f>SUM(U24:V24)</f>
        <v>3.3402574646207933E-3</v>
      </c>
      <c r="U24" s="63">
        <f>(((Production!E40*(Slaughter_age_GR/365)+SUM(Production!E41:E44))*EF_CH4_manure_GR)/Production!$E$60)*Production!$E$60</f>
        <v>3.3402574646207933E-3</v>
      </c>
      <c r="W24" s="4"/>
      <c r="X24" s="12"/>
    </row>
    <row r="25" spans="1:27" ht="15" customHeight="1" thickBot="1" x14ac:dyDescent="0.25">
      <c r="A25" s="13"/>
      <c r="B25" s="13" t="s">
        <v>41</v>
      </c>
      <c r="C25" s="17" t="s">
        <v>41</v>
      </c>
      <c r="D25" s="18" t="s">
        <v>53</v>
      </c>
      <c r="E25" s="18" t="s">
        <v>54</v>
      </c>
      <c r="F25" s="34" t="s">
        <v>47</v>
      </c>
      <c r="G25" s="32">
        <f>SUM(H25:T25)+SUM(W25:X25)</f>
        <v>1.9084083486592177E-3</v>
      </c>
      <c r="H25" s="33">
        <f>('N2O per kg feed'!G53*FCR_bonefree_incl_parents_GR-Excreted_N_after_losses_GR*Manure_repl_factor_GR*EF_min_fert_N2O_GR)*Production!$E$60</f>
        <v>3.2529429889434312E-5</v>
      </c>
      <c r="I25" s="32">
        <f>('N2O per kg feed'!H53*FCR_bonefree_incl_parents_GR)*Production!$E$60</f>
        <v>3.4399067813087264E-6</v>
      </c>
      <c r="J25" s="32">
        <f>('N2O per kg feed'!I53*FCR_bonefree_incl_parents_GR-Excreted_N_after_losses_GR*Manure_repl_factor_GR*EF_N2O_diff_GR)*Production!$E$60</f>
        <v>1.3871482186002643E-3</v>
      </c>
      <c r="K25" s="32">
        <f>J25*EF_indirect_N2O_GR</f>
        <v>1.3871482186002645E-4</v>
      </c>
      <c r="L25" s="32">
        <f>('N2O per kg feed'!K53*FCR_bonefree_incl_parents_GR)*Production!$E$60</f>
        <v>3.9853748931402944E-6</v>
      </c>
      <c r="M25" s="32"/>
      <c r="N25" s="32">
        <f>('N2O per kg feed'!M53*FCR_bonefree_incl_parents_GR)*Production!$E$60</f>
        <v>9.6524930251371744E-7</v>
      </c>
      <c r="O25" s="32">
        <f>('N2O per kg feed'!N53*FCR_bonefree_incl_parents_GR)*Production!$E$60</f>
        <v>4.9366480502850604E-6</v>
      </c>
      <c r="P25" s="32">
        <f>('N2O per kg feed'!O53*FCR_bonefree_incl_parents_GR)*Production!$E$60</f>
        <v>0</v>
      </c>
      <c r="Q25" s="32">
        <f>('N2O per kg feed'!P53*FCR_bonefree_incl_parents_GR)*Production!$E$60</f>
        <v>2.2228704035046653E-5</v>
      </c>
      <c r="R25" s="32">
        <f>('N2O per kg feed'!Q53*FCR_bonefree_incl_parents_GR)*Production!$E$60</f>
        <v>7.9716435874239704E-6</v>
      </c>
      <c r="T25" s="47">
        <f>SUM(U25:V25)</f>
        <v>2.8525670259701568E-4</v>
      </c>
      <c r="U25" s="9">
        <f>(Excreted_N_per_kg_of_bonefree_meat_GR*EF_N2O_manure_direct_GR*44/28)*Production!$E$60</f>
        <v>1.0571719326873057E-4</v>
      </c>
      <c r="V25" s="63">
        <f>((Excreted_N_per_kg_of_bonefree_meat_GR-(U25/Production!$E$60)*28/44)*EF_ammonia_GR*EF_N2O_manure_indirect_GR*44/28)*Production!$E$60</f>
        <v>1.795395093282851E-4</v>
      </c>
      <c r="W25" s="4">
        <f>(Energy_stables_GR/Bonefree_outof_CW_GR*(Share_heating_GR*(Share_biofuels_GR*EF_biofuel_N2O+(1-Share_biofuels_GR)*EF_oil_N2O)+(1-Share_heating_GR)*EF_el_N2O_GR))*Production!$E$60</f>
        <v>9.9095908253209366E-6</v>
      </c>
      <c r="X25" s="12">
        <f>((Energy_slaughter_el_GR*EF_el_N2O_GR+Energy_slaughter_heat_GR*EF_gas_N2O)/Bonefree_outof_CW_GR)*Production!$E$60</f>
        <v>1.1322058237437763E-5</v>
      </c>
      <c r="Z25" s="32"/>
      <c r="AA25" s="32"/>
    </row>
    <row r="26" spans="1:27" ht="15.5" customHeight="1" thickTop="1" thickBot="1" x14ac:dyDescent="0.25">
      <c r="A26" s="164"/>
      <c r="B26" s="164" t="s">
        <v>41</v>
      </c>
      <c r="C26" s="165" t="s">
        <v>41</v>
      </c>
      <c r="D26" s="36" t="s">
        <v>53</v>
      </c>
      <c r="E26" s="36" t="s">
        <v>54</v>
      </c>
      <c r="F26" s="167" t="s">
        <v>48</v>
      </c>
      <c r="G26" s="178">
        <f>SUM(H26:X26)</f>
        <v>2.5272139716302617</v>
      </c>
      <c r="H26" s="168">
        <f>SUMPRODUCT(H22:H25,'Parameters, general'!$B$11:$B$14)</f>
        <v>0.10195263693034122</v>
      </c>
      <c r="I26" s="168">
        <f>SUMPRODUCT(I22:I25,'Parameters, general'!$B$11:$B$14)</f>
        <v>9.4226239272406961E-2</v>
      </c>
      <c r="J26" s="168">
        <f>SUMPRODUCT(J22:J25,'Parameters, general'!$B$11:$B$14)</f>
        <v>0.37869146367787215</v>
      </c>
      <c r="K26" s="168">
        <f>SUMPRODUCT(K22:K25,'Parameters, general'!$B$11:$B$14)</f>
        <v>3.7869146367787217E-2</v>
      </c>
      <c r="L26" s="168">
        <f>SUMPRODUCT(L22:L25,'Parameters, general'!$B$11:$B$14)</f>
        <v>0.15136433135826316</v>
      </c>
      <c r="M26" s="168">
        <f>SUMPRODUCT(M22:M25,'Parameters, general'!$B$11:$B$14)</f>
        <v>0</v>
      </c>
      <c r="N26" s="168">
        <f>SUMPRODUCT(N22:N25,'Parameters, general'!$B$11:$B$14)</f>
        <v>2.4704662634327329E-2</v>
      </c>
      <c r="O26" s="168">
        <f>SUMPRODUCT(O22:O25,'Parameters, general'!$B$11:$B$14)</f>
        <v>0.14409081392061102</v>
      </c>
      <c r="P26" s="168">
        <f>SUMPRODUCT(P22:P25,'Parameters, general'!$B$11:$B$14)</f>
        <v>0.26302644957975668</v>
      </c>
      <c r="Q26" s="168">
        <f>SUMPRODUCT(Q22:Q25,'Parameters, general'!$B$11:$B$14)</f>
        <v>0.4043646939885287</v>
      </c>
      <c r="R26" s="168">
        <f>SUMPRODUCT(R22:R25,'Parameters, general'!$B$11:$B$14)</f>
        <v>0.21796762812161763</v>
      </c>
      <c r="S26" s="168">
        <f>SUMPRODUCT(S22:S25,'Parameters, general'!$B$11:$B$14)</f>
        <v>0</v>
      </c>
      <c r="T26" s="168">
        <f>SUMPRODUCT(T22:T25,'Parameters, general'!$B$11:$B$14)</f>
        <v>0.1680620313537467</v>
      </c>
      <c r="U26" s="169"/>
      <c r="V26" s="169"/>
      <c r="W26" s="168">
        <f>SUMPRODUCT(W22:W25,'Parameters, general'!$B$11:$B$14)</f>
        <v>0.17707345373086827</v>
      </c>
      <c r="X26" s="168">
        <f>SUMPRODUCT(X22:X25,'Parameters, general'!$B$11:$B$14)</f>
        <v>0.36382042069413406</v>
      </c>
      <c r="Z26" s="113">
        <f>SUM(H26:R26)</f>
        <v>1.8182580658515124</v>
      </c>
      <c r="AA26" s="200">
        <f>'CO2 per kg feed'!F53+'CH4 per kg feed'!F53*CF_GWP_CH4_fossil+'N2O per kg feed'!F53*CF_GWP_N2O</f>
        <v>0.5132362719946818</v>
      </c>
    </row>
    <row r="27" spans="1:27" ht="15" customHeight="1" thickTop="1" x14ac:dyDescent="0.2">
      <c r="A27" s="170"/>
      <c r="B27" s="170" t="s">
        <v>41</v>
      </c>
      <c r="C27" s="171" t="s">
        <v>41</v>
      </c>
      <c r="D27" s="155" t="s">
        <v>55</v>
      </c>
      <c r="E27" s="155" t="s">
        <v>56</v>
      </c>
      <c r="F27" s="172" t="s">
        <v>44</v>
      </c>
      <c r="G27" s="20">
        <f>SUM(H27:X27)</f>
        <v>1.2538171032381984</v>
      </c>
      <c r="H27" s="173">
        <f>('CO2 per kg feed'!G65*FCR_bonefree_incl_parents_HU-Excreted_N_after_losses_HU*Manure_repl_factor_HU*EF_min_fert_CO2_HU)*Production!$F$60</f>
        <v>0.10714821187452422</v>
      </c>
      <c r="I27" s="173">
        <f>('CO2 per kg feed'!H65*FCR_bonefree_incl_parents_HU)*Production!$F$60</f>
        <v>9.1798673082903348E-2</v>
      </c>
      <c r="J27" s="173">
        <f>('CO2 per kg feed'!I65*FCR_bonefree_incl_parents_HU)*Production!$F$60</f>
        <v>0</v>
      </c>
      <c r="K27" s="173"/>
      <c r="L27" s="173">
        <f>('CO2 per kg feed'!K65*FCR_bonefree_incl_parents_HU)*Production!$F$60</f>
        <v>0.11833151583172197</v>
      </c>
      <c r="M27" s="173"/>
      <c r="N27" s="173">
        <f>('CO2 per kg feed'!M65*FCR_bonefree_incl_parents_HU)*Production!$F$60</f>
        <v>2.1462588614922051E-3</v>
      </c>
      <c r="O27" s="173">
        <f>('CO2 per kg feed'!N65*FCR_bonefree_incl_parents_HU)*Production!$F$60</f>
        <v>0.14145680208604561</v>
      </c>
      <c r="P27" s="173">
        <f>('CO2 per kg feed'!O65*FCR_bonefree_incl_parents_HU)*Production!$F$60</f>
        <v>0.14366179171722376</v>
      </c>
      <c r="Q27" s="173">
        <f>('CO2 per kg feed'!P65*FCR_bonefree_incl_parents_HU)*Production!$F$60</f>
        <v>0.15844866921288012</v>
      </c>
      <c r="R27" s="173">
        <f>('CO2 per kg feed'!Q65*FCR_bonefree_incl_parents_HU)*Production!$F$60</f>
        <v>9.4432862977916129E-2</v>
      </c>
      <c r="S27" s="154"/>
      <c r="T27" s="154"/>
      <c r="U27" s="174"/>
      <c r="V27" s="174"/>
      <c r="W27" s="175">
        <f>(Energy_stables_HU/Bonefree_outof_CW_HU*(Share_heating_HU*(Share_biofuels_HU*EF_biofuels_CO2+(1-Share_biofuels_HU)*EF_oil_CO2)+(1-Share_heating_HU)*EF_el_CO2_HU))*Production!$F$60</f>
        <v>0.14054581316453957</v>
      </c>
      <c r="X27" s="176">
        <f>((Energy_slaughter_el_HU*EF_el_CO2_HU+Energy_slaughter_heat_HU*EF_gas_CO2)/Bonefree_outof_CW_HU)*Production!$F$60</f>
        <v>0.25584650442895152</v>
      </c>
      <c r="Z27" s="20"/>
      <c r="AA27" s="20"/>
    </row>
    <row r="28" spans="1:27" x14ac:dyDescent="0.2">
      <c r="A28" s="13"/>
      <c r="B28" s="13" t="s">
        <v>41</v>
      </c>
      <c r="C28" s="17" t="s">
        <v>41</v>
      </c>
      <c r="D28" s="18" t="s">
        <v>55</v>
      </c>
      <c r="E28" s="18" t="s">
        <v>56</v>
      </c>
      <c r="F28" s="13" t="s">
        <v>45</v>
      </c>
      <c r="G28" s="32">
        <f>SUM(H28:X28)</f>
        <v>2.0081656515139931E-3</v>
      </c>
      <c r="H28" s="33">
        <f>('CH4 per kg feed'!G65*FCR_bonefree_incl_parents_HU-Excreted_N_after_losses_HU*Manure_repl_factor_HU*EF_min_fert_CH4_HU)*Production!$F$60</f>
        <v>1.1344250686395516E-5</v>
      </c>
      <c r="I28" s="33">
        <f>('CH4 per kg feed'!H65*FCR_bonefree_incl_parents_HU)*Production!$F$60</f>
        <v>3.2299533121762285E-4</v>
      </c>
      <c r="J28" s="33"/>
      <c r="K28" s="33"/>
      <c r="L28" s="33">
        <f>('CH4 per kg feed'!K65*FCR_bonefree_incl_parents_HU)*Production!$F$60</f>
        <v>5.2416871409652405E-5</v>
      </c>
      <c r="M28" s="33"/>
      <c r="N28" s="33">
        <f>('CH4 per kg feed'!M65*FCR_bonefree_incl_parents_HU)*Production!$F$60</f>
        <v>6.3710407587473222E-6</v>
      </c>
      <c r="O28" s="33">
        <f>('CH4 per kg feed'!N65*FCR_bonefree_incl_parents_HU)*Production!$F$60</f>
        <v>1.1612259258697305E-4</v>
      </c>
      <c r="P28" s="33">
        <f>('CH4 per kg feed'!O65*FCR_bonefree_incl_parents_HU)*Production!$F$60</f>
        <v>0</v>
      </c>
      <c r="Q28" s="33">
        <f>('CH4 per kg feed'!P65*FCR_bonefree_incl_parents_HU)*Production!$F$60</f>
        <v>4.1211354093076581E-4</v>
      </c>
      <c r="R28" s="33">
        <f>('CH4 per kg feed'!Q65*FCR_bonefree_incl_parents_HU)*Production!$F$60</f>
        <v>7.9134784932095048E-5</v>
      </c>
      <c r="W28" s="4">
        <f>(Energy_stables_HU/Bonefree_outof_CW_HU*(Share_heating_HU*(Share_biofuels_HU*EF_biofuel_CH4+(1-Share_biofuels_HU)*EF_oil_CH4)+(1-Share_heating_HU)*EF_el_CH4_HU))*Production!$F$60</f>
        <v>1.894915124402996E-4</v>
      </c>
      <c r="X28" s="12">
        <f>((Energy_slaughter_el_HU*EF_el_CH4_HU+Energy_slaughter_heat_HU*EF_gas_CH4)/Bonefree_outof_CW_HU)*Production!$F$60</f>
        <v>8.1817572655144138E-4</v>
      </c>
      <c r="Z28" s="32"/>
      <c r="AA28" s="32"/>
    </row>
    <row r="29" spans="1:27" x14ac:dyDescent="0.2">
      <c r="A29" s="13"/>
      <c r="B29" s="13" t="s">
        <v>41</v>
      </c>
      <c r="C29" s="17" t="s">
        <v>41</v>
      </c>
      <c r="D29" s="18" t="s">
        <v>55</v>
      </c>
      <c r="E29" s="18" t="s">
        <v>56</v>
      </c>
      <c r="F29" s="13" t="s">
        <v>46</v>
      </c>
      <c r="G29" s="32">
        <f>SUM(H29:T29)+SUM(W29:X29)</f>
        <v>2.2268383097471954E-3</v>
      </c>
      <c r="H29" s="33"/>
      <c r="I29" s="33"/>
      <c r="J29" s="33"/>
      <c r="K29" s="33"/>
      <c r="L29" s="33"/>
      <c r="M29" s="33"/>
      <c r="N29" s="33"/>
      <c r="O29" s="33"/>
      <c r="P29" s="33"/>
      <c r="Q29" s="33"/>
      <c r="R29" s="33"/>
      <c r="T29" s="47">
        <f>SUM(U29:V29)</f>
        <v>2.2268383097471954E-3</v>
      </c>
      <c r="U29" s="63">
        <f>(((Production!F40*(Slaughter_age_HU/365)+SUM(Production!F41:F44))*EF_CH4_manure_HU)/Production!$F$60)*Production!$F$60</f>
        <v>2.2268383097471954E-3</v>
      </c>
      <c r="W29" s="4"/>
      <c r="X29" s="12"/>
    </row>
    <row r="30" spans="1:27" ht="15" customHeight="1" thickBot="1" x14ac:dyDescent="0.25">
      <c r="A30" s="13"/>
      <c r="B30" s="13" t="s">
        <v>41</v>
      </c>
      <c r="C30" s="17" t="s">
        <v>41</v>
      </c>
      <c r="D30" s="18" t="s">
        <v>55</v>
      </c>
      <c r="E30" s="18" t="s">
        <v>56</v>
      </c>
      <c r="F30" s="34" t="s">
        <v>47</v>
      </c>
      <c r="G30" s="32">
        <f>SUM(H30:T30)+SUM(W30:X30)</f>
        <v>2.17506952737241E-3</v>
      </c>
      <c r="H30" s="33">
        <f>('N2O per kg feed'!G65*FCR_bonefree_incl_parents_HU-Excreted_N_after_losses_HU*Manure_repl_factor_HU*EF_min_fert_N2O_HU)*Production!$F$60</f>
        <v>5.1705195659377189E-5</v>
      </c>
      <c r="I30" s="32">
        <f>('N2O per kg feed'!H65*FCR_bonefree_incl_parents_HU)*Production!$F$60</f>
        <v>3.7399459404145813E-6</v>
      </c>
      <c r="J30" s="32">
        <f>('N2O per kg feed'!I65*FCR_bonefree_incl_parents_HU-Excreted_N_after_losses_HU*Manure_repl_factor_HU*EF_N2O_diff_HU)*Production!$F$60</f>
        <v>1.6295136046477546E-3</v>
      </c>
      <c r="K30" s="32">
        <f>J30*EF_indirect_N2O_HU</f>
        <v>1.6295136046477548E-4</v>
      </c>
      <c r="L30" s="32">
        <f>('N2O per kg feed'!K65*FCR_bonefree_incl_parents_HU)*Production!$F$60</f>
        <v>3.1796139659735616E-6</v>
      </c>
      <c r="M30" s="32"/>
      <c r="N30" s="32">
        <f>('N2O per kg feed'!M65*FCR_bonefree_incl_parents_HU)*Production!$F$60</f>
        <v>9.2117696877362934E-8</v>
      </c>
      <c r="O30" s="32">
        <f>('N2O per kg feed'!N65*FCR_bonefree_incl_parents_HU)*Production!$F$60</f>
        <v>5.014954212229821E-6</v>
      </c>
      <c r="P30" s="32">
        <f>('N2O per kg feed'!O65*FCR_bonefree_incl_parents_HU)*Production!$F$60</f>
        <v>0</v>
      </c>
      <c r="Q30" s="32">
        <f>('N2O per kg feed'!P65*FCR_bonefree_incl_parents_HU)*Production!$F$60</f>
        <v>1.0088001167547108E-5</v>
      </c>
      <c r="R30" s="32">
        <f>('N2O per kg feed'!Q65*FCR_bonefree_incl_parents_HU)*Production!$F$60</f>
        <v>3.4436196312914392E-6</v>
      </c>
      <c r="T30" s="47">
        <f>SUM(U30:V30)</f>
        <v>2.8761730378062858E-4</v>
      </c>
      <c r="U30" s="9">
        <f>(Excreted_N_per_kg_of_bonefree_meat_HU*EF_N2O_manure_direct_HU*44/28)*Production!$F$60</f>
        <v>1.0659204083335007E-4</v>
      </c>
      <c r="V30" s="63">
        <f>((Excreted_N_per_kg_of_bonefree_meat_HU-(U30/Production!$F$60)*28/44)*EF_ammonia_HU*EF_N2O_manure_indirect_HU*44/28)*Production!$F$60</f>
        <v>1.8102526294727848E-4</v>
      </c>
      <c r="W30" s="4">
        <f>(Energy_stables_HU/Bonefree_outof_CW_HU*(Share_heating_HU*(Share_biofuels_HU*EF_biofuel_N2O+(1-Share_biofuels_HU)*EF_oil_N2O)+(1-Share_heating_HU)*EF_el_N2O_HU))*Production!$F$60</f>
        <v>9.0001511215977019E-6</v>
      </c>
      <c r="X30" s="12">
        <f>((Energy_slaughter_el_HU*EF_el_N2O_HU+Energy_slaughter_heat_HU*EF_gas_N2O)/Bonefree_outof_CW_HU)*Production!$F$60</f>
        <v>8.7236590839428086E-6</v>
      </c>
      <c r="Z30" s="32"/>
      <c r="AA30" s="32"/>
    </row>
    <row r="31" spans="1:27" ht="15.5" customHeight="1" thickTop="1" thickBot="1" x14ac:dyDescent="0.25">
      <c r="A31" s="164"/>
      <c r="B31" s="164" t="s">
        <v>41</v>
      </c>
      <c r="C31" s="165" t="s">
        <v>41</v>
      </c>
      <c r="D31" s="166" t="s">
        <v>55</v>
      </c>
      <c r="E31" s="166" t="s">
        <v>56</v>
      </c>
      <c r="F31" s="167" t="s">
        <v>48</v>
      </c>
      <c r="G31" s="178">
        <f>SUM(H31:X31)</f>
        <v>1.9675790549891579</v>
      </c>
      <c r="H31" s="168">
        <f>SUMPRODUCT(H27:H30,'Parameters, general'!$B$11:$B$14)</f>
        <v>0.12160178895998879</v>
      </c>
      <c r="I31" s="168">
        <f>SUMPRODUCT(I27:I30,'Parameters, general'!$B$11:$B$14)</f>
        <v>0.10244493919492169</v>
      </c>
      <c r="J31" s="168">
        <f>SUMPRODUCT(J27:J30,'Parameters, general'!$B$11:$B$14)</f>
        <v>0.44485721406883699</v>
      </c>
      <c r="K31" s="168">
        <f>SUMPRODUCT(K27:K30,'Parameters, general'!$B$11:$B$14)</f>
        <v>4.4485721406883706E-2</v>
      </c>
      <c r="L31" s="168">
        <f>SUMPRODUCT(L27:L30,'Parameters, general'!$B$11:$B$14)</f>
        <v>0.1207615732124404</v>
      </c>
      <c r="M31" s="168">
        <f>SUMPRODUCT(M27:M30,'Parameters, general'!$B$11:$B$14)</f>
        <v>0</v>
      </c>
      <c r="N31" s="168">
        <f>SUMPRODUCT(N27:N30,'Parameters, general'!$B$11:$B$14)</f>
        <v>2.3612640073503955E-3</v>
      </c>
      <c r="O31" s="168">
        <f>SUMPRODUCT(O27:O30,'Parameters, general'!$B$11:$B$14)</f>
        <v>0.14628633784507616</v>
      </c>
      <c r="P31" s="168">
        <f>SUMPRODUCT(P27:P30,'Parameters, general'!$B$11:$B$14)</f>
        <v>0.14366179171722376</v>
      </c>
      <c r="Q31" s="168">
        <f>SUMPRODUCT(Q27:Q30,'Parameters, general'!$B$11:$B$14)</f>
        <v>0.17348367705135731</v>
      </c>
      <c r="R31" s="168">
        <f>SUMPRODUCT(R27:R30,'Parameters, general'!$B$11:$B$14)</f>
        <v>9.7731187728235122E-2</v>
      </c>
      <c r="S31" s="168">
        <f>SUMPRODUCT(S27:S30,'Parameters, general'!$B$11:$B$14)</f>
        <v>0</v>
      </c>
      <c r="T31" s="168">
        <f>SUMPRODUCT(T27:T30,'Parameters, general'!$B$11:$B$14)</f>
        <v>0.13864415829528587</v>
      </c>
      <c r="U31" s="169"/>
      <c r="V31" s="169"/>
      <c r="W31" s="168">
        <f>SUMPRODUCT(W27:W30,'Parameters, general'!$B$11:$B$14)</f>
        <v>0.14864970149145668</v>
      </c>
      <c r="X31" s="168">
        <f>SUMPRODUCT(X27:X30,'Parameters, general'!$B$11:$B$14)</f>
        <v>0.28260970001010083</v>
      </c>
      <c r="Z31" s="113">
        <f>SUM(H31:R31)</f>
        <v>1.3976754951923143</v>
      </c>
      <c r="AA31" s="200">
        <f>'CO2 per kg feed'!F65+'CH4 per kg feed'!F65*CF_GWP_CH4_fossil+'N2O per kg feed'!F65*CF_GWP_N2O</f>
        <v>0.42828160094760837</v>
      </c>
    </row>
    <row r="32" spans="1:27" ht="15" customHeight="1" thickTop="1" x14ac:dyDescent="0.2">
      <c r="A32" s="170"/>
      <c r="B32" s="170" t="s">
        <v>41</v>
      </c>
      <c r="C32" s="171" t="s">
        <v>41</v>
      </c>
      <c r="D32" s="155" t="s">
        <v>57</v>
      </c>
      <c r="E32" s="155" t="s">
        <v>58</v>
      </c>
      <c r="F32" s="172" t="s">
        <v>44</v>
      </c>
      <c r="G32" s="20">
        <f>SUM(H32:X32)</f>
        <v>1.5903984070289519</v>
      </c>
      <c r="H32" s="173">
        <f>('CO2 per kg feed'!G77*FCR_bonefree_incl_parents_IE-Excreted_N_after_losses_IE*Manure_repl_factor_IE*EF_min_fert_CO2_IE)*Production!$G$60</f>
        <v>8.9842270997411544E-2</v>
      </c>
      <c r="I32" s="173">
        <f>('CO2 per kg feed'!H77*FCR_bonefree_incl_parents_IE)*Production!$G$60</f>
        <v>0.1003409530672429</v>
      </c>
      <c r="J32" s="173">
        <f>('CO2 per kg feed'!I77*FCR_bonefree_incl_parents_IE)*Production!$G$60</f>
        <v>0</v>
      </c>
      <c r="K32" s="173"/>
      <c r="L32" s="173">
        <f>('CO2 per kg feed'!K77*FCR_bonefree_incl_parents_IE)*Production!$G$60</f>
        <v>0.1113585044491205</v>
      </c>
      <c r="M32" s="173"/>
      <c r="N32" s="173">
        <f>('CO2 per kg feed'!M77*FCR_bonefree_incl_parents_IE)*Production!$G$60</f>
        <v>2.3892445105770464E-3</v>
      </c>
      <c r="O32" s="173">
        <f>('CO2 per kg feed'!N77*FCR_bonefree_incl_parents_IE)*Production!$G$60</f>
        <v>0.14787155561551196</v>
      </c>
      <c r="P32" s="173">
        <f>('CO2 per kg feed'!O77*FCR_bonefree_incl_parents_IE)*Production!$G$60</f>
        <v>0.3827161959477276</v>
      </c>
      <c r="Q32" s="173">
        <f>('CO2 per kg feed'!P77*FCR_bonefree_incl_parents_IE)*Production!$G$60</f>
        <v>4.2243656045675822E-2</v>
      </c>
      <c r="R32" s="173">
        <f>('CO2 per kg feed'!Q77*FCR_bonefree_incl_parents_IE)*Production!$G$60</f>
        <v>0.29104698871445622</v>
      </c>
      <c r="S32" s="154"/>
      <c r="T32" s="154"/>
      <c r="U32" s="174"/>
      <c r="V32" s="174"/>
      <c r="W32" s="175">
        <f>(Energy_stables_IE/Bonefree_outof_CW_IE*(Share_heating_IE*(Share_biofuels_IE*EF_biofuels_CO2+(1-Share_biofuels_IE)*EF_oil_CO2)+(1-Share_heating_IE)*EF_el_CO2_IE))*Production!$G$60</f>
        <v>0.15239335036180118</v>
      </c>
      <c r="X32" s="176">
        <f>((Energy_slaughter_el_IE*EF_el_CO2_IE+Energy_slaughter_heat_IE*EF_gas_CO2)/Bonefree_outof_CW_IE)*Production!$G$60</f>
        <v>0.27019568731942722</v>
      </c>
      <c r="Z32" s="20"/>
      <c r="AA32" s="20"/>
    </row>
    <row r="33" spans="1:27" x14ac:dyDescent="0.2">
      <c r="A33" s="13"/>
      <c r="B33" s="13" t="s">
        <v>41</v>
      </c>
      <c r="C33" s="17" t="s">
        <v>41</v>
      </c>
      <c r="D33" s="18" t="s">
        <v>57</v>
      </c>
      <c r="E33" s="18" t="s">
        <v>58</v>
      </c>
      <c r="F33" s="13" t="s">
        <v>45</v>
      </c>
      <c r="G33" s="32">
        <f>SUM(H33:X33)</f>
        <v>1.6749958514056553E-3</v>
      </c>
      <c r="H33" s="33">
        <f>('CH4 per kg feed'!G77*FCR_bonefree_incl_parents_IE-Excreted_N_after_losses_IE*Manure_repl_factor_IE*EF_min_fert_CH4_IE)*Production!$G$60</f>
        <v>4.2947800574989203E-5</v>
      </c>
      <c r="I33" s="33">
        <f>('CH4 per kg feed'!H77*FCR_bonefree_incl_parents_IE)*Production!$G$60</f>
        <v>3.5305150153289177E-4</v>
      </c>
      <c r="J33" s="33"/>
      <c r="K33" s="33"/>
      <c r="L33" s="33">
        <f>('CH4 per kg feed'!K77*FCR_bonefree_incl_parents_IE)*Production!$G$60</f>
        <v>4.9328062495046355E-5</v>
      </c>
      <c r="M33" s="33"/>
      <c r="N33" s="33">
        <f>('CH4 per kg feed'!M77*FCR_bonefree_incl_parents_IE)*Production!$G$60</f>
        <v>7.1503883675574959E-6</v>
      </c>
      <c r="O33" s="33">
        <f>('CH4 per kg feed'!N77*FCR_bonefree_incl_parents_IE)*Production!$G$60</f>
        <v>8.5072658186728672E-5</v>
      </c>
      <c r="P33" s="33">
        <f>('CH4 per kg feed'!O77*FCR_bonefree_incl_parents_IE)*Production!$G$60</f>
        <v>0</v>
      </c>
      <c r="Q33" s="33">
        <f>('CH4 per kg feed'!P77*FCR_bonefree_incl_parents_IE)*Production!$G$60</f>
        <v>1.5120321920687667E-4</v>
      </c>
      <c r="R33" s="33">
        <f>('CH4 per kg feed'!Q77*FCR_bonefree_incl_parents_IE)*Production!$G$60</f>
        <v>2.4783863071836199E-4</v>
      </c>
      <c r="W33" s="4">
        <f>(Energy_stables_IE/Bonefree_outof_CW_IE*(Share_heating_IE*(Share_biofuels_IE*EF_biofuel_CH4+(1-Share_biofuels_IE)*EF_oil_CH4)+(1-Share_heating_IE)*EF_el_CH4_IE))*Production!$G$60</f>
        <v>1.1007929548249366E-4</v>
      </c>
      <c r="X33" s="12">
        <f>((Energy_slaughter_el_IE*EF_el_CH4_IE+Energy_slaughter_heat_IE*EF_gas_CH4)/Bonefree_outof_CW_IE)*Production!$G$60</f>
        <v>6.2832429484070934E-4</v>
      </c>
      <c r="Z33" s="32"/>
      <c r="AA33" s="32"/>
    </row>
    <row r="34" spans="1:27" x14ac:dyDescent="0.2">
      <c r="A34" s="13"/>
      <c r="B34" s="13" t="s">
        <v>41</v>
      </c>
      <c r="C34" s="17" t="s">
        <v>41</v>
      </c>
      <c r="D34" s="18" t="s">
        <v>57</v>
      </c>
      <c r="E34" s="18" t="s">
        <v>58</v>
      </c>
      <c r="F34" s="13" t="s">
        <v>46</v>
      </c>
      <c r="G34" s="32">
        <f>SUM(H34:T34)+SUM(W34:X34)</f>
        <v>2.3468216527891563E-3</v>
      </c>
      <c r="H34" s="33"/>
      <c r="I34" s="33"/>
      <c r="J34" s="33"/>
      <c r="K34" s="33"/>
      <c r="L34" s="33"/>
      <c r="M34" s="33"/>
      <c r="N34" s="33"/>
      <c r="O34" s="33"/>
      <c r="P34" s="33"/>
      <c r="Q34" s="33"/>
      <c r="R34" s="33"/>
      <c r="T34" s="47">
        <f>SUM(U34:V34)</f>
        <v>2.3468216527891563E-3</v>
      </c>
      <c r="U34" s="63">
        <f>(((Production!G40*(Slaughter_age_IE/365)+SUM(Production!G41:G44))*EF_CH4_manure_IE)/Production!$G$60)*Production!$G$60</f>
        <v>2.3468216527891563E-3</v>
      </c>
      <c r="W34" s="4"/>
      <c r="X34" s="12"/>
    </row>
    <row r="35" spans="1:27" ht="15" customHeight="1" thickBot="1" x14ac:dyDescent="0.25">
      <c r="A35" s="13"/>
      <c r="B35" s="13" t="s">
        <v>41</v>
      </c>
      <c r="C35" s="17" t="s">
        <v>41</v>
      </c>
      <c r="D35" s="18" t="s">
        <v>57</v>
      </c>
      <c r="E35" s="18" t="s">
        <v>58</v>
      </c>
      <c r="F35" s="34" t="s">
        <v>47</v>
      </c>
      <c r="G35" s="32">
        <f>SUM(H35:T35)+SUM(W35:X35)</f>
        <v>1.8059585227124305E-3</v>
      </c>
      <c r="H35" s="33">
        <f>('N2O per kg feed'!G77*FCR_bonefree_incl_parents_IE-Excreted_N_after_losses_IE*Manure_repl_factor_IE*EF_min_fert_N2O_IE)*Production!$G$60</f>
        <v>6.8598474324586901E-5</v>
      </c>
      <c r="I35" s="32">
        <f>('N2O per kg feed'!H77*FCR_bonefree_incl_parents_IE)*Production!$G$60</f>
        <v>4.0879647545913776E-6</v>
      </c>
      <c r="J35" s="32">
        <f>('N2O per kg feed'!I77*FCR_bonefree_incl_parents_IE-Excreted_N_after_losses_IE*Manure_repl_factor_IE*EF_N2O_diff_IE)*Production!$G$60</f>
        <v>1.3407465742583515E-3</v>
      </c>
      <c r="K35" s="32">
        <f>J35*EF_indirect_N2O_IE</f>
        <v>1.3407465742583516E-4</v>
      </c>
      <c r="L35" s="32">
        <f>('N2O per kg feed'!K77*FCR_bonefree_incl_parents_IE)*Production!$G$60</f>
        <v>2.9922464314568712E-6</v>
      </c>
      <c r="M35" s="32"/>
      <c r="N35" s="32">
        <f>('N2O per kg feed'!M77*FCR_bonefree_incl_parents_IE)*Production!$G$60</f>
        <v>1.0227488950031518E-7</v>
      </c>
      <c r="O35" s="32">
        <f>('N2O per kg feed'!N77*FCR_bonefree_incl_parents_IE)*Production!$G$60</f>
        <v>5.3730804561857422E-6</v>
      </c>
      <c r="P35" s="32">
        <f>('N2O per kg feed'!O77*FCR_bonefree_incl_parents_IE)*Production!$G$60</f>
        <v>0</v>
      </c>
      <c r="Q35" s="32">
        <f>('N2O per kg feed'!P77*FCR_bonefree_incl_parents_IE)*Production!$G$60</f>
        <v>1.5626916178154669E-5</v>
      </c>
      <c r="R35" s="32">
        <f>('N2O per kg feed'!Q77*FCR_bonefree_incl_parents_IE)*Production!$G$60</f>
        <v>1.0482085669647062E-5</v>
      </c>
      <c r="T35" s="47">
        <f>SUM(U35:V35)</f>
        <v>2.0432412587509312E-4</v>
      </c>
      <c r="U35" s="9">
        <f>(Excreted_N_per_kg_of_bonefree_meat_IE*EF_N2O_manure_direct_IE*44/28)*Production!$G$60</f>
        <v>7.572327979657307E-5</v>
      </c>
      <c r="V35" s="63">
        <f>((Excreted_N_per_kg_of_bonefree_meat_IE-(U35/Production!$G$60)*28/44)*EF_ammonia_IE*EF_N2O_manure_indirect_IE*44/28)*Production!$G$60</f>
        <v>1.2860084607852005E-4</v>
      </c>
      <c r="W35" s="4">
        <f>(Energy_stables_IE/Bonefree_outof_CW_IE*(Share_heating_IE*(Share_biofuels_IE*EF_biofuel_N2O+(1-Share_biofuels_IE)*EF_oil_N2O)+(1-Share_heating_IE)*EF_el_N2O_IE))*Production!$G$60</f>
        <v>1.0063177338805634E-5</v>
      </c>
      <c r="X35" s="12">
        <f>((Energy_slaughter_el_IE*EF_el_N2O_IE+Energy_slaughter_heat_IE*EF_gas_N2O)/Bonefree_outof_CW_IE)*Production!$G$60</f>
        <v>9.4869451102219736E-6</v>
      </c>
      <c r="Z35" s="32"/>
      <c r="AA35" s="32"/>
    </row>
    <row r="36" spans="1:27" ht="15.5" customHeight="1" thickTop="1" thickBot="1" x14ac:dyDescent="0.25">
      <c r="A36" s="164"/>
      <c r="B36" s="164" t="s">
        <v>41</v>
      </c>
      <c r="C36" s="165" t="s">
        <v>41</v>
      </c>
      <c r="D36" s="36" t="s">
        <v>57</v>
      </c>
      <c r="E36" s="36" t="s">
        <v>58</v>
      </c>
      <c r="F36" s="167" t="s">
        <v>48</v>
      </c>
      <c r="G36" s="178">
        <f>SUM(H36:X36)</f>
        <v>2.1967041447266413</v>
      </c>
      <c r="H36" s="168">
        <f>SUMPRODUCT(H32:H35,'Parameters, general'!$B$11:$B$14)</f>
        <v>0.10984949894515844</v>
      </c>
      <c r="I36" s="168">
        <f>SUMPRODUCT(I32:I35,'Parameters, general'!$B$11:$B$14)</f>
        <v>0.11197790219092653</v>
      </c>
      <c r="J36" s="168">
        <f>SUMPRODUCT(J32:J35,'Parameters, general'!$B$11:$B$14)</f>
        <v>0.36602381477252993</v>
      </c>
      <c r="K36" s="168">
        <f>SUMPRODUCT(K32:K35,'Parameters, general'!$B$11:$B$14)</f>
        <v>3.6602381477252997E-2</v>
      </c>
      <c r="L36" s="168">
        <f>SUMPRODUCT(L32:L35,'Parameters, general'!$B$11:$B$14)</f>
        <v>0.11364536398726062</v>
      </c>
      <c r="M36" s="168">
        <f>SUMPRODUCT(M32:M35,'Parameters, general'!$B$11:$B$14)</f>
        <v>0</v>
      </c>
      <c r="N36" s="168">
        <f>SUMPRODUCT(N32:N35,'Parameters, general'!$B$11:$B$14)</f>
        <v>2.630247128763846E-3</v>
      </c>
      <c r="O36" s="168">
        <f>SUMPRODUCT(O32:O35,'Parameters, general'!$B$11:$B$14)</f>
        <v>0.1518735717940152</v>
      </c>
      <c r="P36" s="168">
        <f>SUMPRODUCT(P32:P35,'Parameters, general'!$B$11:$B$14)</f>
        <v>0.3827161959477276</v>
      </c>
      <c r="Q36" s="168">
        <f>SUMPRODUCT(Q32:Q35,'Parameters, general'!$B$11:$B$14)</f>
        <v>5.1015660094676972E-2</v>
      </c>
      <c r="R36" s="168">
        <f>SUMPRODUCT(R32:R35,'Parameters, general'!$B$11:$B$14)</f>
        <v>0.30129418929767704</v>
      </c>
      <c r="S36" s="168">
        <f>SUMPRODUCT(S32:S35,'Parameters, general'!$B$11:$B$14)</f>
        <v>0</v>
      </c>
      <c r="T36" s="168">
        <f>SUMPRODUCT(T32:T35,'Parameters, general'!$B$11:$B$14)</f>
        <v>0.11914467098920764</v>
      </c>
      <c r="U36" s="169"/>
      <c r="V36" s="169"/>
      <c r="W36" s="168">
        <f>SUMPRODUCT(W32:W35,'Parameters, general'!$B$11:$B$14)</f>
        <v>0.15842096078067344</v>
      </c>
      <c r="X36" s="168">
        <f>SUMPRODUCT(X32:X35,'Parameters, general'!$B$11:$B$14)</f>
        <v>0.29150968732077098</v>
      </c>
      <c r="Z36" s="113">
        <f>SUM(H36:R36)</f>
        <v>1.6276288256359892</v>
      </c>
      <c r="AA36" s="200">
        <f>'CO2 per kg feed'!F77+'CH4 per kg feed'!F77*CF_GWP_CH4_fossil+'N2O per kg feed'!F77*CF_GWP_N2O</f>
        <v>0.44111439898830118</v>
      </c>
    </row>
    <row r="37" spans="1:27" ht="15" customHeight="1" thickTop="1" x14ac:dyDescent="0.2">
      <c r="A37" s="170"/>
      <c r="B37" s="170" t="s">
        <v>41</v>
      </c>
      <c r="C37" s="171" t="s">
        <v>41</v>
      </c>
      <c r="D37" s="155" t="s">
        <v>59</v>
      </c>
      <c r="E37" s="155" t="s">
        <v>60</v>
      </c>
      <c r="F37" s="172" t="s">
        <v>44</v>
      </c>
      <c r="G37" s="20">
        <f>SUM(H37:X37)</f>
        <v>1.286107461153229</v>
      </c>
      <c r="H37" s="173">
        <f>('CO2 per kg feed'!G89*FCR_bonefree_incl_parents_IT-Excreted_N_after_losses_IT*Manure_repl_factor_IT*EF_min_fert_CO2_IT)*Production!$H$60</f>
        <v>9.8564661167558257E-2</v>
      </c>
      <c r="I37" s="173">
        <f>('CO2 per kg feed'!H89*FCR_bonefree_incl_parents_IT)*Production!$H$60</f>
        <v>8.6362585868297093E-2</v>
      </c>
      <c r="J37" s="173">
        <f>('CO2 per kg feed'!I89*FCR_bonefree_incl_parents_IT)*Production!$H$60</f>
        <v>0</v>
      </c>
      <c r="K37" s="173"/>
      <c r="L37" s="173">
        <f>('CO2 per kg feed'!K89*FCR_bonefree_incl_parents_IT)*Production!$H$60</f>
        <v>0.10724512214052034</v>
      </c>
      <c r="M37" s="173"/>
      <c r="N37" s="173">
        <f>('CO2 per kg feed'!M89*FCR_bonefree_incl_parents_IT)*Production!$H$60</f>
        <v>5.331859297176742E-3</v>
      </c>
      <c r="O37" s="173">
        <f>('CO2 per kg feed'!N89*FCR_bonefree_incl_parents_IT)*Production!$H$60</f>
        <v>0.13028492620897963</v>
      </c>
      <c r="P37" s="173">
        <f>('CO2 per kg feed'!O89*FCR_bonefree_incl_parents_IT)*Production!$H$60</f>
        <v>0.14949658060401944</v>
      </c>
      <c r="Q37" s="173">
        <f>('CO2 per kg feed'!P89*FCR_bonefree_incl_parents_IT)*Production!$H$60</f>
        <v>0.21553701705383407</v>
      </c>
      <c r="R37" s="173">
        <f>('CO2 per kg feed'!Q89*FCR_bonefree_incl_parents_IT)*Production!$H$60</f>
        <v>0.12784376240393963</v>
      </c>
      <c r="S37" s="154"/>
      <c r="T37" s="154"/>
      <c r="U37" s="174"/>
      <c r="V37" s="174"/>
      <c r="W37" s="175">
        <f>(Energy_stables_IT/Bonefree_outof_CW_IT*(Share_heating_IT*(Share_biofuels_IT*EF_biofuels_CO2+(1-Share_biofuels_IT)*EF_oil_CO2)+(1-Share_heating_IT)*EF_el_CO2_IT))*Production!$H$60</f>
        <v>0.13252138359816515</v>
      </c>
      <c r="X37" s="176">
        <f>((Energy_slaughter_el_IT*EF_el_CO2_IT+Energy_slaughter_heat_IT*EF_gas_CO2)/Bonefree_outof_CW_IT)*Production!$H$60</f>
        <v>0.23291956281073886</v>
      </c>
      <c r="Z37" s="20"/>
      <c r="AA37" s="20"/>
    </row>
    <row r="38" spans="1:27" x14ac:dyDescent="0.2">
      <c r="A38" s="13"/>
      <c r="B38" s="13" t="s">
        <v>41</v>
      </c>
      <c r="C38" s="17" t="s">
        <v>41</v>
      </c>
      <c r="D38" s="18" t="s">
        <v>59</v>
      </c>
      <c r="E38" s="18" t="s">
        <v>60</v>
      </c>
      <c r="F38" s="13" t="s">
        <v>45</v>
      </c>
      <c r="G38" s="32">
        <f>SUM(H38:X38)</f>
        <v>2.9218650410653057E-3</v>
      </c>
      <c r="H38" s="33">
        <f>('CH4 per kg feed'!G89*FCR_bonefree_incl_parents_IT-Excreted_N_after_losses_IT*Manure_repl_factor_IT*EF_min_fert_CH4_IT)*Production!$H$60</f>
        <v>2.0784313112218519E-5</v>
      </c>
      <c r="I38" s="33">
        <f>('CH4 per kg feed'!H89*FCR_bonefree_incl_parents_IT)*Production!$H$60</f>
        <v>3.0386835768474906E-4</v>
      </c>
      <c r="J38" s="33"/>
      <c r="K38" s="33"/>
      <c r="L38" s="33">
        <f>('CH4 per kg feed'!K89*FCR_bonefree_incl_parents_IT)*Production!$H$60</f>
        <v>4.750597283437433E-5</v>
      </c>
      <c r="M38" s="33"/>
      <c r="N38" s="33">
        <f>('CH4 per kg feed'!M89*FCR_bonefree_incl_parents_IT)*Production!$H$60</f>
        <v>1.5793065152564526E-5</v>
      </c>
      <c r="O38" s="33">
        <f>('CH4 per kg feed'!N89*FCR_bonefree_incl_parents_IT)*Production!$H$60</f>
        <v>1.3879090415382287E-4</v>
      </c>
      <c r="P38" s="33">
        <f>('CH4 per kg feed'!O89*FCR_bonefree_incl_parents_IT)*Production!$H$60</f>
        <v>0</v>
      </c>
      <c r="Q38" s="33">
        <f>('CH4 per kg feed'!P89*FCR_bonefree_incl_parents_IT)*Production!$H$60</f>
        <v>9.1718988736243299E-4</v>
      </c>
      <c r="R38" s="33">
        <f>('CH4 per kg feed'!Q89*FCR_bonefree_incl_parents_IT)*Production!$H$60</f>
        <v>1.8813641580880656E-4</v>
      </c>
      <c r="W38" s="4">
        <f>(Energy_stables_IT/Bonefree_outof_CW_IT*(Share_heating_IT*(Share_biofuels_IT*EF_biofuel_CH4+(1-Share_biofuels_IT)*EF_oil_CH4)+(1-Share_heating_IT)*EF_el_CH4_IT))*Production!$H$60</f>
        <v>2.6263603843112076E-4</v>
      </c>
      <c r="X38" s="12">
        <f>((Energy_slaughter_el_IT*EF_el_CH4_IT+Energy_slaughter_heat_IT*EF_gas_CH4)/Bonefree_outof_CW_IT)*Production!$H$60</f>
        <v>1.0271600865252161E-3</v>
      </c>
      <c r="Z38" s="32"/>
      <c r="AA38" s="32"/>
    </row>
    <row r="39" spans="1:27" x14ac:dyDescent="0.2">
      <c r="A39" s="13"/>
      <c r="B39" s="13" t="s">
        <v>41</v>
      </c>
      <c r="C39" s="17" t="s">
        <v>41</v>
      </c>
      <c r="D39" s="18" t="s">
        <v>59</v>
      </c>
      <c r="E39" s="18" t="s">
        <v>60</v>
      </c>
      <c r="F39" s="13" t="s">
        <v>46</v>
      </c>
      <c r="G39" s="32">
        <f>SUM(H39:T39)+SUM(W39:X39)</f>
        <v>2.2268383097471954E-3</v>
      </c>
      <c r="H39" s="33"/>
      <c r="I39" s="33"/>
      <c r="J39" s="33"/>
      <c r="K39" s="33"/>
      <c r="L39" s="33"/>
      <c r="M39" s="33"/>
      <c r="N39" s="33"/>
      <c r="O39" s="33"/>
      <c r="P39" s="33"/>
      <c r="Q39" s="33"/>
      <c r="R39" s="33"/>
      <c r="T39" s="47">
        <f>SUM(U39:V39)</f>
        <v>2.2268383097471954E-3</v>
      </c>
      <c r="U39" s="63">
        <f>(((Production!H40*(Slaughter_age_IT/365)+SUM(Production!H41:H44))*EF_CH4_manure_IT)/Production!$H$60)*Production!$H$60</f>
        <v>2.2268383097471954E-3</v>
      </c>
      <c r="W39" s="4"/>
      <c r="X39" s="12"/>
    </row>
    <row r="40" spans="1:27" ht="15" customHeight="1" thickBot="1" x14ac:dyDescent="0.25">
      <c r="A40" s="13"/>
      <c r="B40" s="13" t="s">
        <v>41</v>
      </c>
      <c r="C40" s="17" t="s">
        <v>41</v>
      </c>
      <c r="D40" s="18" t="s">
        <v>59</v>
      </c>
      <c r="E40" s="18" t="s">
        <v>60</v>
      </c>
      <c r="F40" s="34" t="s">
        <v>47</v>
      </c>
      <c r="G40" s="32">
        <f>SUM(H40:T40)+SUM(W40:X40)</f>
        <v>1.7677869223192398E-3</v>
      </c>
      <c r="H40" s="33">
        <f>('N2O per kg feed'!G89*FCR_bonefree_incl_parents_IT-Excreted_N_after_losses_IT*Manure_repl_factor_IT*EF_min_fert_N2O_IT)*Production!$H$60</f>
        <v>2.7004199307738303E-5</v>
      </c>
      <c r="I40" s="32">
        <f>('N2O per kg feed'!H89*FCR_bonefree_incl_parents_IT)*Production!$H$60</f>
        <v>3.5184757205602524E-6</v>
      </c>
      <c r="J40" s="32">
        <f>('N2O per kg feed'!I89*FCR_bonefree_incl_parents_IT-Excreted_N_after_losses_IT*Manure_repl_factor_IT*EF_N2O_diff_IT)*Production!$H$60</f>
        <v>1.3404206173038657E-3</v>
      </c>
      <c r="K40" s="32">
        <f>J40*EF_indirect_N2O_IT</f>
        <v>1.3404206173038658E-4</v>
      </c>
      <c r="L40" s="32">
        <f>('N2O per kg feed'!K89*FCR_bonefree_incl_parents_IT)*Production!$H$60</f>
        <v>2.8817182450824738E-6</v>
      </c>
      <c r="M40" s="32"/>
      <c r="N40" s="32">
        <f>('N2O per kg feed'!M89*FCR_bonefree_incl_parents_IT)*Production!$H$60</f>
        <v>2.2900434199580766E-7</v>
      </c>
      <c r="O40" s="32">
        <f>('N2O per kg feed'!N89*FCR_bonefree_incl_parents_IT)*Production!$H$60</f>
        <v>4.8019041425356396E-6</v>
      </c>
      <c r="P40" s="32">
        <f>('N2O per kg feed'!O89*FCR_bonefree_incl_parents_IT)*Production!$H$60</f>
        <v>0</v>
      </c>
      <c r="Q40" s="32">
        <f>('N2O per kg feed'!P89*FCR_bonefree_incl_parents_IT)*Production!$H$60</f>
        <v>1.465333032960867E-5</v>
      </c>
      <c r="R40" s="32">
        <f>('N2O per kg feed'!Q89*FCR_bonefree_incl_parents_IT)*Production!$H$60</f>
        <v>5.0122949669810683E-6</v>
      </c>
      <c r="T40" s="47">
        <f>SUM(U40:V40)</f>
        <v>2.1690730477778432E-4</v>
      </c>
      <c r="U40" s="9">
        <f>(Excreted_N_per_kg_of_bonefree_meat_IT*EF_N2O_manure_direct_IT*44/28)*Production!$H$60</f>
        <v>8.0386652624906183E-5</v>
      </c>
      <c r="V40" s="63">
        <f>((Excreted_N_per_kg_of_bonefree_meat_IT-(U40/Production!$H$60)*28/44)*EF_ammonia_IT*EF_N2O_manure_indirect_IT*44/28)*Production!$H$60</f>
        <v>1.3652065215287814E-4</v>
      </c>
      <c r="W40" s="4">
        <f>(Energy_stables_IT/Bonefree_outof_CW_IT*(Share_heating_IT*(Share_biofuels_IT*EF_biofuel_N2O+(1-Share_biofuels_IT)*EF_oil_N2O)+(1-Share_heating_IT)*EF_el_N2O_IT))*Production!$H$60</f>
        <v>9.1536847782689268E-6</v>
      </c>
      <c r="X40" s="12">
        <f>((Energy_slaughter_el_IT*EF_el_N2O_IT+Energy_slaughter_heat_IT*EF_gas_N2O)/Bonefree_outof_CW_IT)*Production!$H$60</f>
        <v>9.1623266744320236E-6</v>
      </c>
      <c r="Z40" s="32"/>
      <c r="AA40" s="32"/>
    </row>
    <row r="41" spans="1:27" ht="15.5" customHeight="1" thickTop="1" thickBot="1" x14ac:dyDescent="0.25">
      <c r="A41" s="164"/>
      <c r="B41" s="164" t="s">
        <v>41</v>
      </c>
      <c r="C41" s="165" t="s">
        <v>41</v>
      </c>
      <c r="D41" s="166" t="s">
        <v>59</v>
      </c>
      <c r="E41" s="166" t="s">
        <v>60</v>
      </c>
      <c r="F41" s="167" t="s">
        <v>48</v>
      </c>
      <c r="G41" s="178">
        <f>SUM(H41:X41)</f>
        <v>1.9159095035333018</v>
      </c>
      <c r="H41" s="168">
        <f>SUMPRODUCT(H37:H40,'Parameters, general'!$B$11:$B$14)</f>
        <v>0.10655618010931492</v>
      </c>
      <c r="I41" s="168">
        <f>SUMPRODUCT(I37:I40,'Parameters, general'!$B$11:$B$14)</f>
        <v>9.6378406799015562E-2</v>
      </c>
      <c r="J41" s="168">
        <f>SUMPRODUCT(J37:J40,'Parameters, general'!$B$11:$B$14)</f>
        <v>0.36593482852395537</v>
      </c>
      <c r="K41" s="168">
        <f>SUMPRODUCT(K37:K40,'Parameters, general'!$B$11:$B$14)</f>
        <v>3.6593482852395533E-2</v>
      </c>
      <c r="L41" s="168">
        <f>SUMPRODUCT(L37:L40,'Parameters, general'!$B$11:$B$14)</f>
        <v>0.10944750921189221</v>
      </c>
      <c r="M41" s="168">
        <f>SUMPRODUCT(M37:M40,'Parameters, general'!$B$11:$B$14)</f>
        <v>0</v>
      </c>
      <c r="N41" s="168">
        <f>SUMPRODUCT(N37:N40,'Parameters, general'!$B$11:$B$14)</f>
        <v>5.8650108240880204E-3</v>
      </c>
      <c r="O41" s="168">
        <f>SUMPRODUCT(O37:O40,'Parameters, general'!$B$11:$B$14)</f>
        <v>0.13573181498367579</v>
      </c>
      <c r="P41" s="168">
        <f>SUMPRODUCT(P37:P40,'Parameters, general'!$B$11:$B$14)</f>
        <v>0.14949658060401944</v>
      </c>
      <c r="Q41" s="168">
        <f>SUMPRODUCT(Q37:Q40,'Parameters, general'!$B$11:$B$14)</f>
        <v>0.24686963487721775</v>
      </c>
      <c r="R41" s="168">
        <f>SUMPRODUCT(R37:R40,'Parameters, general'!$B$11:$B$14)</f>
        <v>0.1348185841210279</v>
      </c>
      <c r="S41" s="168">
        <f>SUMPRODUCT(S37:S40,'Parameters, general'!$B$11:$B$14)</f>
        <v>0</v>
      </c>
      <c r="T41" s="168">
        <f>SUMPRODUCT(T37:T40,'Parameters, general'!$B$11:$B$14)</f>
        <v>0.1193403285675094</v>
      </c>
      <c r="U41" s="169"/>
      <c r="V41" s="169"/>
      <c r="W41" s="168">
        <f>SUMPRODUCT(W37:W40,'Parameters, general'!$B$11:$B$14)</f>
        <v>0.14284689348787996</v>
      </c>
      <c r="X41" s="168">
        <f>SUMPRODUCT(X37:X40,'Parameters, general'!$B$11:$B$14)</f>
        <v>0.26603024857131025</v>
      </c>
      <c r="Z41" s="113">
        <f>SUM(H41:R41)</f>
        <v>1.3876920329066023</v>
      </c>
      <c r="AA41" s="200">
        <f>'CO2 per kg feed'!F89+'CH4 per kg feed'!F89*CF_GWP_CH4_fossil+'N2O per kg feed'!F89*CF_GWP_N2O</f>
        <v>0.41138184446441245</v>
      </c>
    </row>
    <row r="42" spans="1:27" ht="15" customHeight="1" thickTop="1" x14ac:dyDescent="0.2">
      <c r="A42" s="170"/>
      <c r="B42" s="170" t="s">
        <v>41</v>
      </c>
      <c r="C42" s="171" t="s">
        <v>41</v>
      </c>
      <c r="D42" t="s">
        <v>61</v>
      </c>
      <c r="E42" s="18" t="s">
        <v>62</v>
      </c>
      <c r="F42" s="172" t="s">
        <v>44</v>
      </c>
      <c r="G42" s="20">
        <f>SUM(H42:X42)</f>
        <v>1.4976320149698403</v>
      </c>
      <c r="H42" s="173">
        <f>('CO2 per kg feed'!G101*FCR_bonefree_incl_parents_NL-Excreted_N_after_losses_NL*Manure_repl_factor_NL*EF_min_fert_CO2_NL)*Production!$I$60</f>
        <v>9.6949043131931423E-2</v>
      </c>
      <c r="I42" s="173">
        <f>('CO2 per kg feed'!H101*FCR_bonefree_incl_parents_NL)*Production!$I$60</f>
        <v>0.1039622977913247</v>
      </c>
      <c r="J42" s="173">
        <f>('CO2 per kg feed'!I101*FCR_bonefree_incl_parents_NL)*Production!$I$60</f>
        <v>0</v>
      </c>
      <c r="K42" s="173"/>
      <c r="L42" s="173">
        <f>('CO2 per kg feed'!K101*FCR_bonefree_incl_parents_NL)*Production!$I$60</f>
        <v>0.12651045107880049</v>
      </c>
      <c r="M42" s="173"/>
      <c r="N42" s="173">
        <f>('CO2 per kg feed'!M101*FCR_bonefree_incl_parents_NL)*Production!$I$60</f>
        <v>1.5313690787181436E-3</v>
      </c>
      <c r="O42" s="173">
        <f>('CO2 per kg feed'!N101*FCR_bonefree_incl_parents_NL)*Production!$I$60</f>
        <v>0.17205084125511008</v>
      </c>
      <c r="P42" s="173">
        <f>('CO2 per kg feed'!O101*FCR_bonefree_incl_parents_NL)*Production!$I$60</f>
        <v>0.22334772426562252</v>
      </c>
      <c r="Q42" s="173">
        <f>('CO2 per kg feed'!P101*FCR_bonefree_incl_parents_NL)*Production!$I$60</f>
        <v>7.6505886882534166E-2</v>
      </c>
      <c r="R42" s="173">
        <f>('CO2 per kg feed'!Q101*FCR_bonefree_incl_parents_NL)*Production!$I$60</f>
        <v>0.21182107886211973</v>
      </c>
      <c r="S42" s="154"/>
      <c r="T42" s="154"/>
      <c r="U42" s="174"/>
      <c r="V42" s="174"/>
      <c r="W42" s="175">
        <f>(Energy_stables_NL/Bonefree_outof_CW_NL*(Share_heating_NL*(Share_biofuels_NL*EF_biofuels_CO2+(1-Share_biofuels_NL)*EF_oil_CO2)+(1-Share_heating_NL)*EF_el_CO2_NL))*Production!$I$60</f>
        <v>0.20671319356520756</v>
      </c>
      <c r="X42" s="176">
        <f>((Energy_slaughter_el_NL*EF_el_CO2_NL+Energy_slaughter_heat_NL*EF_gas_CO2)/Bonefree_outof_CW_NL)*Production!$I$60</f>
        <v>0.27824012905847151</v>
      </c>
      <c r="Z42" s="20"/>
      <c r="AA42" s="20"/>
    </row>
    <row r="43" spans="1:27" x14ac:dyDescent="0.2">
      <c r="A43" s="13"/>
      <c r="B43" s="13" t="s">
        <v>41</v>
      </c>
      <c r="C43" s="17" t="s">
        <v>41</v>
      </c>
      <c r="D43" t="s">
        <v>61</v>
      </c>
      <c r="E43" s="18" t="s">
        <v>62</v>
      </c>
      <c r="F43" s="13" t="s">
        <v>45</v>
      </c>
      <c r="G43" s="32">
        <f>SUM(H43:X43)</f>
        <v>2.1836166346643269E-3</v>
      </c>
      <c r="H43" s="33">
        <f>('CH4 per kg feed'!G101*FCR_bonefree_incl_parents_NL-Excreted_N_after_losses_NL*Manure_repl_factor_NL*EF_min_fert_CH4_NL)*Production!$I$60</f>
        <v>1.6198392011698107E-4</v>
      </c>
      <c r="I43" s="33">
        <f>('CH4 per kg feed'!H101*FCR_bonefree_incl_parents_NL)*Production!$I$60</f>
        <v>4.7673696872013109E-4</v>
      </c>
      <c r="J43" s="33"/>
      <c r="K43" s="33"/>
      <c r="L43" s="33">
        <f>('CH4 per kg feed'!K101*FCR_bonefree_incl_parents_NL)*Production!$I$60</f>
        <v>5.5587503685841253E-5</v>
      </c>
      <c r="M43" s="33"/>
      <c r="N43" s="33">
        <f>('CH4 per kg feed'!M101*FCR_bonefree_incl_parents_NL)*Production!$I$60</f>
        <v>4.3686208189614568E-6</v>
      </c>
      <c r="O43" s="33">
        <f>('CH4 per kg feed'!N101*FCR_bonefree_incl_parents_NL)*Production!$I$60</f>
        <v>1.1544155453333693E-4</v>
      </c>
      <c r="P43" s="33">
        <f>('CH4 per kg feed'!O101*FCR_bonefree_incl_parents_NL)*Production!$I$60</f>
        <v>1.2246172841573035E-5</v>
      </c>
      <c r="Q43" s="33">
        <f>('CH4 per kg feed'!P101*FCR_bonefree_incl_parents_NL)*Production!$I$60</f>
        <v>1.9823878471654966E-4</v>
      </c>
      <c r="R43" s="33">
        <f>('CH4 per kg feed'!Q101*FCR_bonefree_incl_parents_NL)*Production!$I$60</f>
        <v>1.4847947553936236E-4</v>
      </c>
      <c r="W43" s="4">
        <f>(Energy_stables_NL/Bonefree_outof_CW_NL*(Share_heating_NL*(Share_biofuels_NL*EF_biofuel_CH4+(1-Share_biofuels_NL)*EF_oil_CH4)+(1-Share_heating_NL)*EF_el_CH4_NL))*Production!$I$60</f>
        <v>2.4086700605891782E-4</v>
      </c>
      <c r="X43" s="12">
        <f>((Energy_slaughter_el_NL*EF_el_CH4_NL+Energy_slaughter_heat_NL*EF_gas_CH4)/Bonefree_outof_CW_NL)*Production!$I$60</f>
        <v>7.6966662763267208E-4</v>
      </c>
      <c r="Z43" s="32"/>
      <c r="AA43" s="32"/>
    </row>
    <row r="44" spans="1:27" x14ac:dyDescent="0.2">
      <c r="A44" s="13"/>
      <c r="B44" s="13" t="s">
        <v>41</v>
      </c>
      <c r="C44" s="17" t="s">
        <v>41</v>
      </c>
      <c r="D44" t="s">
        <v>61</v>
      </c>
      <c r="E44" s="18" t="s">
        <v>62</v>
      </c>
      <c r="F44" s="13" t="s">
        <v>46</v>
      </c>
      <c r="G44" s="32">
        <f>SUM(H44:T44)+SUM(W44:X44)</f>
        <v>4.3061753659000279E-3</v>
      </c>
      <c r="H44" s="33"/>
      <c r="I44" s="33"/>
      <c r="J44" s="33"/>
      <c r="K44" s="33"/>
      <c r="L44" s="33"/>
      <c r="M44" s="33"/>
      <c r="N44" s="33"/>
      <c r="O44" s="33"/>
      <c r="P44" s="33"/>
      <c r="Q44" s="33"/>
      <c r="R44" s="33"/>
      <c r="T44" s="47">
        <f>SUM(U44:V44)</f>
        <v>4.3061753659000279E-3</v>
      </c>
      <c r="U44" s="63">
        <f>(((Production!I40*(Slaughter_age_NL/365)+SUM(Production!I41:I44))*EF_CH4_manure_NL)/Production!$I$60)*Production!$I$60</f>
        <v>4.3061753659000279E-3</v>
      </c>
      <c r="W44" s="4"/>
      <c r="X44" s="12"/>
    </row>
    <row r="45" spans="1:27" ht="15" customHeight="1" thickBot="1" x14ac:dyDescent="0.25">
      <c r="A45" s="13"/>
      <c r="B45" s="13" t="s">
        <v>41</v>
      </c>
      <c r="C45" s="17" t="s">
        <v>41</v>
      </c>
      <c r="D45" t="s">
        <v>61</v>
      </c>
      <c r="E45" s="18" t="s">
        <v>62</v>
      </c>
      <c r="F45" s="34" t="s">
        <v>47</v>
      </c>
      <c r="G45" s="32">
        <f>SUM(H45:T45)+SUM(W45:X45)</f>
        <v>2.0918504457974729E-3</v>
      </c>
      <c r="H45" s="33">
        <f>('N2O per kg feed'!G101*FCR_bonefree_incl_parents_NL-Excreted_N_after_losses_NL*Manure_repl_factor_NL*EF_min_fert_N2O_NL)*Production!$I$60</f>
        <v>1.4597900542953545E-4</v>
      </c>
      <c r="I45" s="32">
        <f>('N2O per kg feed'!H101*FCR_bonefree_incl_parents_NL)*Production!$I$60</f>
        <v>4.2355010211280423E-6</v>
      </c>
      <c r="J45" s="32">
        <f>('N2O per kg feed'!I101*FCR_bonefree_incl_parents_NL-Excreted_N_after_losses_NL*Manure_repl_factor_NL*EF_N2O_diff_NL)*Production!$I$60</f>
        <v>1.4096074434346224E-3</v>
      </c>
      <c r="K45" s="32">
        <f>J45*EF_indirect_N2O_NL</f>
        <v>1.4096074434346225E-4</v>
      </c>
      <c r="L45" s="32">
        <f>('N2O per kg feed'!K101*FCR_bonefree_incl_parents_NL)*Production!$I$60</f>
        <v>3.3993851448992762E-6</v>
      </c>
      <c r="M45" s="32"/>
      <c r="N45" s="32">
        <f>('N2O per kg feed'!M101*FCR_bonefree_incl_parents_NL)*Production!$I$60</f>
        <v>6.5338474052081314E-8</v>
      </c>
      <c r="O45" s="32">
        <f>('N2O per kg feed'!N101*FCR_bonefree_incl_parents_NL)*Production!$I$60</f>
        <v>6.2524069481660005E-6</v>
      </c>
      <c r="P45" s="32">
        <f>('N2O per kg feed'!O101*FCR_bonefree_incl_parents_NL)*Production!$I$60</f>
        <v>0</v>
      </c>
      <c r="Q45" s="32">
        <f>('N2O per kg feed'!P101*FCR_bonefree_incl_parents_NL)*Production!$I$60</f>
        <v>1.3377044940057283E-5</v>
      </c>
      <c r="R45" s="32">
        <f>('N2O per kg feed'!Q101*FCR_bonefree_incl_parents_NL)*Production!$I$60</f>
        <v>7.4399444650796689E-6</v>
      </c>
      <c r="T45" s="47">
        <f>SUM(U45:V45)</f>
        <v>3.3665332951197567E-4</v>
      </c>
      <c r="U45" s="9">
        <f>(Excreted_N_per_kg_of_bonefree_meat_NL*EF_N2O_manure_direct_NL*44/28)*Production!$I$60</f>
        <v>1.2476497406217827E-4</v>
      </c>
      <c r="V45" s="63">
        <f>((Excreted_N_per_kg_of_bonefree_meat_NL-(U45/Production!$I$60)*28/44)*EF_ammonia_NL*EF_N2O_manure_indirect_NL*44/28)*Production!$I$60</f>
        <v>2.1188835544979739E-4</v>
      </c>
      <c r="W45" s="4">
        <f>(Energy_stables_NL/Bonefree_outof_CW_NL*(Share_heating_NL*(Share_biofuels_NL*EF_biofuel_N2O+(1-Share_biofuels_NL)*EF_oil_N2O)+(1-Share_heating_NL)*EF_el_N2O_NL))*Production!$I$60</f>
        <v>1.3390262863055503E-5</v>
      </c>
      <c r="X45" s="12">
        <f>((Energy_slaughter_el_NL*EF_el_N2O_NL+Energy_slaughter_heat_NL*EF_gas_N2O)/Bonefree_outof_CW_NL)*Production!$I$60</f>
        <v>1.049003922143952E-5</v>
      </c>
      <c r="Z45" s="32"/>
      <c r="AA45" s="32"/>
    </row>
    <row r="46" spans="1:27" ht="15.5" customHeight="1" thickTop="1" thickBot="1" x14ac:dyDescent="0.25">
      <c r="A46" s="164"/>
      <c r="B46" s="164" t="s">
        <v>41</v>
      </c>
      <c r="C46" s="165" t="s">
        <v>41</v>
      </c>
      <c r="D46" s="201" t="s">
        <v>61</v>
      </c>
      <c r="E46" s="166" t="s">
        <v>62</v>
      </c>
      <c r="F46" s="167" t="s">
        <v>48</v>
      </c>
      <c r="G46" s="178">
        <f>SUM(H46:X46)</f>
        <v>2.2500456972648482</v>
      </c>
      <c r="H46" s="168">
        <f>SUMPRODUCT(H42:H45,'Parameters, general'!$B$11:$B$14)</f>
        <v>0.14162843243368065</v>
      </c>
      <c r="I46" s="168">
        <f>SUMPRODUCT(I42:I45,'Parameters, general'!$B$11:$B$14)</f>
        <v>0.11932535123795256</v>
      </c>
      <c r="J46" s="168">
        <f>SUMPRODUCT(J42:J45,'Parameters, general'!$B$11:$B$14)</f>
        <v>0.38482283205765189</v>
      </c>
      <c r="K46" s="168">
        <f>SUMPRODUCT(K42:K45,'Parameters, general'!$B$11:$B$14)</f>
        <v>3.8482283205765196E-2</v>
      </c>
      <c r="L46" s="168">
        <f>SUMPRODUCT(L42:L45,'Parameters, general'!$B$11:$B$14)</f>
        <v>0.12909499083319606</v>
      </c>
      <c r="M46" s="168">
        <f>SUMPRODUCT(M42:M45,'Parameters, general'!$B$11:$B$14)</f>
        <v>0</v>
      </c>
      <c r="N46" s="168">
        <f>SUMPRODUCT(N42:N45,'Parameters, general'!$B$11:$B$14)</f>
        <v>1.6793913825394133E-3</v>
      </c>
      <c r="O46" s="168">
        <f>SUMPRODUCT(O42:O45,'Parameters, general'!$B$11:$B$14)</f>
        <v>0.17719790667705285</v>
      </c>
      <c r="P46" s="168">
        <f>SUMPRODUCT(P42:P45,'Parameters, general'!$B$11:$B$14)</f>
        <v>0.2237126602163014</v>
      </c>
      <c r="Q46" s="168">
        <f>SUMPRODUCT(Q42:Q45,'Parameters, general'!$B$11:$B$14)</f>
        <v>8.6065335935722978E-2</v>
      </c>
      <c r="R46" s="168">
        <f>SUMPRODUCT(R42:R45,'Parameters, general'!$B$11:$B$14)</f>
        <v>0.21827687207215948</v>
      </c>
      <c r="S46" s="168">
        <f>SUMPRODUCT(S42:S45,'Parameters, general'!$B$11:$B$14)</f>
        <v>0</v>
      </c>
      <c r="T46" s="168">
        <f>SUMPRODUCT(T42:T45,'Parameters, general'!$B$11:$B$14)</f>
        <v>0.20817309383607011</v>
      </c>
      <c r="U46" s="169"/>
      <c r="V46" s="169"/>
      <c r="W46" s="168">
        <f>SUMPRODUCT(W42:W45,'Parameters, general'!$B$11:$B$14)</f>
        <v>0.21754657210737746</v>
      </c>
      <c r="X46" s="168">
        <f>SUMPRODUCT(X42:X45,'Parameters, general'!$B$11:$B$14)</f>
        <v>0.30403997526937809</v>
      </c>
      <c r="Z46" s="113">
        <f>SUM(H46:R46)</f>
        <v>1.5202860560520224</v>
      </c>
      <c r="AA46" s="200">
        <f>'CO2 per kg feed'!F101+'CH4 per kg feed'!F101*CF_GWP_CH4_fossil+'N2O per kg feed'!F101*CF_GWP_N2O</f>
        <v>0.4014437988617689</v>
      </c>
    </row>
    <row r="47" spans="1:27" ht="15" customHeight="1" thickTop="1" x14ac:dyDescent="0.2">
      <c r="A47" s="170"/>
      <c r="B47" s="170" t="s">
        <v>41</v>
      </c>
      <c r="C47" s="171" t="s">
        <v>41</v>
      </c>
      <c r="D47" t="s">
        <v>63</v>
      </c>
      <c r="E47" s="18" t="s">
        <v>64</v>
      </c>
      <c r="F47" s="172" t="s">
        <v>44</v>
      </c>
      <c r="G47" s="20">
        <f>SUM(H47:X47)</f>
        <v>1.751091402569489</v>
      </c>
      <c r="H47" s="173">
        <f>('CO2 per kg feed'!G113*FCR_bonefree_incl_parents_PL-Excreted_N_after_losses_PL*Manure_repl_factor_PL*EF_min_fert_CO2_PL)*Production!$J$60</f>
        <v>0.14505228866296169</v>
      </c>
      <c r="I47" s="173">
        <f>('CO2 per kg feed'!H113*FCR_bonefree_incl_parents_PL)*Production!$J$60</f>
        <v>9.2587822530208003E-2</v>
      </c>
      <c r="J47" s="173">
        <f>('CO2 per kg feed'!I113*FCR_bonefree_incl_parents_PL)*Production!$J$60</f>
        <v>0</v>
      </c>
      <c r="K47" s="173"/>
      <c r="L47" s="173">
        <f>('CO2 per kg feed'!K113*FCR_bonefree_incl_parents_PL)*Production!$J$60</f>
        <v>0.13527525064186471</v>
      </c>
      <c r="M47" s="173"/>
      <c r="N47" s="173">
        <f>('CO2 per kg feed'!M113*FCR_bonefree_incl_parents_PL)*Production!$J$60</f>
        <v>1.7350222760070488E-4</v>
      </c>
      <c r="O47" s="173">
        <f>('CO2 per kg feed'!N113*FCR_bonefree_incl_parents_PL)*Production!$J$60</f>
        <v>0.17703170671501009</v>
      </c>
      <c r="P47" s="173">
        <f>('CO2 per kg feed'!O113*FCR_bonefree_incl_parents_PL)*Production!$J$60</f>
        <v>0.18635200555062184</v>
      </c>
      <c r="Q47" s="173">
        <f>('CO2 per kg feed'!P113*FCR_bonefree_incl_parents_PL)*Production!$J$60</f>
        <v>0.22940855698127241</v>
      </c>
      <c r="R47" s="173">
        <f>('CO2 per kg feed'!Q113*FCR_bonefree_incl_parents_PL)*Production!$J$60</f>
        <v>0.10726401533551454</v>
      </c>
      <c r="S47" s="154"/>
      <c r="T47" s="154"/>
      <c r="U47" s="174"/>
      <c r="V47" s="174"/>
      <c r="W47" s="175">
        <f>(Energy_stables_PL/Bonefree_outof_CW_PL*(Share_heating_PL*(Share_biofuels_PL*EF_biofuels_CO2+(1-Share_biofuels_PL)*EF_oil_CO2)+(1-Share_heating_PL)*EF_el_CO2_PL))*Production!$J$60</f>
        <v>0.21354127813922877</v>
      </c>
      <c r="X47" s="176">
        <f>((Energy_slaughter_el_PL*EF_el_CO2_PL+Energy_slaughter_heat_PL*EF_gas_CO2)/Bonefree_outof_CW_PL)*Production!$J$60</f>
        <v>0.46440497578520645</v>
      </c>
      <c r="Z47" s="20"/>
      <c r="AA47" s="20"/>
    </row>
    <row r="48" spans="1:27" x14ac:dyDescent="0.2">
      <c r="A48" s="13"/>
      <c r="B48" s="13" t="s">
        <v>41</v>
      </c>
      <c r="C48" s="17" t="s">
        <v>41</v>
      </c>
      <c r="D48" t="s">
        <v>63</v>
      </c>
      <c r="E48" s="18" t="s">
        <v>64</v>
      </c>
      <c r="F48" s="13" t="s">
        <v>45</v>
      </c>
      <c r="G48" s="32">
        <f>SUM(H48:X48)</f>
        <v>2.6060355110748305E-3</v>
      </c>
      <c r="H48" s="33">
        <f>('CH4 per kg feed'!G113*FCR_bonefree_incl_parents_PL-Excreted_N_after_losses_PL*Manure_repl_factor_PL*EF_min_fert_CH4_PL)*Production!$J$60</f>
        <v>3.9073147047438086E-5</v>
      </c>
      <c r="I48" s="33">
        <f>('CH4 per kg feed'!H113*FCR_bonefree_incl_parents_PL)*Production!$J$60</f>
        <v>3.4988662745353026E-4</v>
      </c>
      <c r="J48" s="33"/>
      <c r="K48" s="33"/>
      <c r="L48" s="33">
        <f>('CH4 per kg feed'!K113*FCR_bonefree_incl_parents_PL)*Production!$J$60</f>
        <v>5.9824049826645477E-5</v>
      </c>
      <c r="M48" s="33"/>
      <c r="N48" s="33">
        <f>('CH4 per kg feed'!M113*FCR_bonefree_incl_parents_PL)*Production!$J$60</f>
        <v>4.9599658115696662E-7</v>
      </c>
      <c r="O48" s="33">
        <f>('CH4 per kg feed'!N113*FCR_bonefree_incl_parents_PL)*Production!$J$60</f>
        <v>1.6254294505777534E-4</v>
      </c>
      <c r="P48" s="33">
        <f>('CH4 per kg feed'!O113*FCR_bonefree_incl_parents_PL)*Production!$J$60</f>
        <v>5.2405595411703256E-6</v>
      </c>
      <c r="Q48" s="33">
        <f>('CH4 per kg feed'!P113*FCR_bonefree_incl_parents_PL)*Production!$J$60</f>
        <v>4.6670299414870118E-4</v>
      </c>
      <c r="R48" s="33">
        <f>('CH4 per kg feed'!Q113*FCR_bonefree_incl_parents_PL)*Production!$J$60</f>
        <v>1.0890278144793095E-4</v>
      </c>
      <c r="W48" s="4">
        <f>(Energy_stables_PL/Bonefree_outof_CW_PL*(Share_heating_PL*(Share_biofuels_PL*EF_biofuel_CH4+(1-Share_biofuels_PL)*EF_oil_CH4)+(1-Share_heating_PL)*EF_el_CH4_PL))*Production!$J$60</f>
        <v>2.9467277899034348E-4</v>
      </c>
      <c r="X48" s="12">
        <f>((Energy_slaughter_el_PL*EF_el_CH4_PL+Energy_slaughter_heat_PL*EF_gas_CH4)/Bonefree_outof_CW_PL)*Production!$J$60</f>
        <v>1.1186936309801384E-3</v>
      </c>
      <c r="Z48" s="32"/>
      <c r="AA48" s="32"/>
    </row>
    <row r="49" spans="1:29" x14ac:dyDescent="0.2">
      <c r="A49" s="13"/>
      <c r="B49" s="13" t="s">
        <v>41</v>
      </c>
      <c r="C49" s="17" t="s">
        <v>41</v>
      </c>
      <c r="D49" t="s">
        <v>63</v>
      </c>
      <c r="E49" s="18" t="s">
        <v>64</v>
      </c>
      <c r="F49" s="13" t="s">
        <v>46</v>
      </c>
      <c r="G49" s="32">
        <f>SUM(H49:T49)+SUM(W49:X49)</f>
        <v>3.3402574646207933E-3</v>
      </c>
      <c r="H49" s="33"/>
      <c r="I49" s="33"/>
      <c r="J49" s="33"/>
      <c r="K49" s="33"/>
      <c r="L49" s="33"/>
      <c r="M49" s="33"/>
      <c r="N49" s="33"/>
      <c r="O49" s="33"/>
      <c r="P49" s="33"/>
      <c r="Q49" s="33"/>
      <c r="R49" s="33"/>
      <c r="T49" s="47">
        <f>SUM(U49:V49)</f>
        <v>3.3402574646207933E-3</v>
      </c>
      <c r="U49" s="63">
        <f>(((Production!J40*(Slaughter_age_PL/365)+SUM(Production!J41:J44))*EF_CH4_manure_PL)/Production!$J$60)*Production!$J$60</f>
        <v>3.3402574646207933E-3</v>
      </c>
      <c r="W49" s="4"/>
      <c r="X49" s="12"/>
    </row>
    <row r="50" spans="1:29" ht="15" customHeight="1" thickBot="1" x14ac:dyDescent="0.25">
      <c r="A50" s="13"/>
      <c r="B50" s="13" t="s">
        <v>41</v>
      </c>
      <c r="C50" s="17" t="s">
        <v>41</v>
      </c>
      <c r="D50" t="s">
        <v>63</v>
      </c>
      <c r="E50" s="18" t="s">
        <v>64</v>
      </c>
      <c r="F50" s="34" t="s">
        <v>47</v>
      </c>
      <c r="G50" s="32">
        <f>SUM(H50:T50)+SUM(W50:X50)</f>
        <v>2.4805356347411063E-3</v>
      </c>
      <c r="H50" s="33">
        <f>('N2O per kg feed'!G113*FCR_bonefree_incl_parents_PL-Excreted_N_after_losses_PL*Manure_repl_factor_PL*EF_min_fert_N2O_PL)*Production!$J$60</f>
        <v>8.4201981279851757E-5</v>
      </c>
      <c r="I50" s="32">
        <f>('N2O per kg feed'!H113*FCR_bonefree_incl_parents_PL)*Production!$J$60</f>
        <v>3.7720964734529196E-6</v>
      </c>
      <c r="J50" s="32">
        <f>('N2O per kg feed'!I113*FCR_bonefree_incl_parents_PL-Excreted_N_after_losses_PL*Manure_repl_factor_PL*EF_N2O_diff_PL)*Production!$J$60</f>
        <v>1.901785640238693E-3</v>
      </c>
      <c r="K50" s="32">
        <f>J50*EF_indirect_N2O_PL</f>
        <v>1.9017856402386932E-4</v>
      </c>
      <c r="L50" s="32">
        <f>('N2O per kg feed'!K113*FCR_bonefree_incl_parents_PL)*Production!$J$60</f>
        <v>3.6348987264147001E-6</v>
      </c>
      <c r="M50" s="32"/>
      <c r="N50" s="32">
        <f>('N2O per kg feed'!M113*FCR_bonefree_incl_parents_PL)*Production!$J$60</f>
        <v>7.2712332892607573E-9</v>
      </c>
      <c r="O50" s="32">
        <f>('N2O per kg feed'!N113*FCR_bonefree_incl_parents_PL)*Production!$J$60</f>
        <v>5.2574095722337814E-6</v>
      </c>
      <c r="P50" s="32">
        <f>('N2O per kg feed'!O113*FCR_bonefree_incl_parents_PL)*Production!$J$60</f>
        <v>0</v>
      </c>
      <c r="Q50" s="32">
        <f>('N2O per kg feed'!P113*FCR_bonefree_incl_parents_PL)*Production!$J$60</f>
        <v>9.6146103201786964E-6</v>
      </c>
      <c r="R50" s="32">
        <f>('N2O per kg feed'!Q113*FCR_bonefree_incl_parents_PL)*Production!$J$60</f>
        <v>3.852826753162254E-6</v>
      </c>
      <c r="T50" s="47">
        <f>SUM(U50:V50)</f>
        <v>2.5931172753707228E-4</v>
      </c>
      <c r="U50" s="9">
        <f>(Excreted_N_per_kg_of_bonefree_meat_PL*EF_N2O_manure_direct_PL*44/28)*Production!$J$60</f>
        <v>9.6101889166168435E-5</v>
      </c>
      <c r="V50" s="63">
        <f>((Excreted_N_per_kg_of_bonefree_meat_PL-(U50/Production!$J$60)*28/44)*EF_ammonia_PL*EF_N2O_manure_indirect_PL*44/28)*Production!$J$60</f>
        <v>1.6320983837090386E-4</v>
      </c>
      <c r="W50" s="4">
        <f>(Energy_stables_PL/Bonefree_outof_CW_PL*(Share_heating_PL*(Share_biofuels_PL*EF_biofuel_N2O+(1-Share_biofuels_PL)*EF_oil_N2O)+(1-Share_heating_PL)*EF_el_N2O_PL))*Production!$J$60</f>
        <v>9.309913663873134E-6</v>
      </c>
      <c r="X50" s="12">
        <f>((Energy_slaughter_el_PL*EF_el_N2O_PL+Energy_slaughter_heat_PL*EF_gas_N2O)/Bonefree_outof_CW_PL)*Production!$J$60</f>
        <v>9.608694919015476E-6</v>
      </c>
      <c r="Z50" s="32"/>
      <c r="AA50" s="32"/>
    </row>
    <row r="51" spans="1:29" ht="15.5" customHeight="1" thickTop="1" thickBot="1" x14ac:dyDescent="0.25">
      <c r="A51" s="164"/>
      <c r="B51" s="164" t="s">
        <v>41</v>
      </c>
      <c r="C51" s="165" t="s">
        <v>41</v>
      </c>
      <c r="D51" s="201" t="s">
        <v>63</v>
      </c>
      <c r="E51" s="36" t="s">
        <v>64</v>
      </c>
      <c r="F51" s="167" t="s">
        <v>48</v>
      </c>
      <c r="G51" s="178">
        <f>SUM(H51:X51)</f>
        <v>2.5961244406286026</v>
      </c>
      <c r="H51" s="168">
        <f>SUMPRODUCT(H47:H50,'Parameters, general'!$B$11:$B$14)</f>
        <v>0.16920380933437484</v>
      </c>
      <c r="I51" s="168">
        <f>SUMPRODUCT(I47:I50,'Parameters, general'!$B$11:$B$14)</f>
        <v>0.10404422636557585</v>
      </c>
      <c r="J51" s="168">
        <f>SUMPRODUCT(J47:J50,'Parameters, general'!$B$11:$B$14)</f>
        <v>0.51918747978516322</v>
      </c>
      <c r="K51" s="168">
        <f>SUMPRODUCT(K47:K50,'Parameters, general'!$B$11:$B$14)</f>
        <v>5.1918747978516325E-2</v>
      </c>
      <c r="L51" s="168">
        <f>SUMPRODUCT(L47:L50,'Parameters, general'!$B$11:$B$14)</f>
        <v>0.13805033467900998</v>
      </c>
      <c r="M51" s="168">
        <f>SUMPRODUCT(M47:M50,'Parameters, general'!$B$11:$B$14)</f>
        <v>0</v>
      </c>
      <c r="N51" s="168">
        <f>SUMPRODUCT(N47:N50,'Parameters, general'!$B$11:$B$14)</f>
        <v>1.9026797240715066E-4</v>
      </c>
      <c r="O51" s="168">
        <f>SUMPRODUCT(O47:O50,'Parameters, general'!$B$11:$B$14)</f>
        <v>0.18331075929095161</v>
      </c>
      <c r="P51" s="168">
        <f>SUMPRODUCT(P47:P50,'Parameters, general'!$B$11:$B$14)</f>
        <v>0.18650817422494873</v>
      </c>
      <c r="Q51" s="168">
        <f>SUMPRODUCT(Q47:Q50,'Parameters, general'!$B$11:$B$14)</f>
        <v>0.24594109482431248</v>
      </c>
      <c r="R51" s="168">
        <f>SUMPRODUCT(R47:R50,'Parameters, general'!$B$11:$B$14)</f>
        <v>0.11156113992627618</v>
      </c>
      <c r="S51" s="168">
        <f>SUMPRODUCT(S47:S50,'Parameters, general'!$B$11:$B$14)</f>
        <v>0</v>
      </c>
      <c r="T51" s="168">
        <f>SUMPRODUCT(T47:T50,'Parameters, general'!$B$11:$B$14)</f>
        <v>0.16097905316238215</v>
      </c>
      <c r="U51" s="169"/>
      <c r="V51" s="169"/>
      <c r="W51" s="168">
        <f>SUMPRODUCT(W47:W50,'Parameters, general'!$B$11:$B$14)</f>
        <v>0.22486413338337838</v>
      </c>
      <c r="X51" s="168">
        <f>SUMPRODUCT(X47:X50,'Parameters, general'!$B$11:$B$14)</f>
        <v>0.50036521970130587</v>
      </c>
      <c r="Z51" s="113">
        <f>SUM(H51:R51)</f>
        <v>1.7099160343815363</v>
      </c>
      <c r="AA51" s="200">
        <f>'CO2 per kg feed'!F113+'CH4 per kg feed'!F113*CF_GWP_CH4_fossil+'N2O per kg feed'!F113*CF_GWP_N2O</f>
        <v>0.50477047863882629</v>
      </c>
    </row>
    <row r="52" spans="1:29" ht="15" customHeight="1" thickTop="1" x14ac:dyDescent="0.2">
      <c r="A52" s="170"/>
      <c r="B52" s="170" t="s">
        <v>41</v>
      </c>
      <c r="C52" s="171" t="s">
        <v>41</v>
      </c>
      <c r="D52" t="s">
        <v>65</v>
      </c>
      <c r="E52" s="155" t="s">
        <v>66</v>
      </c>
      <c r="F52" s="172" t="s">
        <v>44</v>
      </c>
      <c r="G52" s="173">
        <f>SUM(H52:X52)</f>
        <v>1.3057176058300737</v>
      </c>
      <c r="H52" s="173">
        <f>('CO2 per kg feed'!G125*FCR_bonefree_incl_parents_ES-Excreted_N_after_losses_ES*Manure_repl_factor_ES*EF_min_fert_CO2_ES)*Production!$K$60</f>
        <v>0.12889143021517671</v>
      </c>
      <c r="I52" s="173">
        <f>('CO2 per kg feed'!H125*FCR_bonefree_incl_parents_ES)*Production!$K$60</f>
        <v>9.4263785086342214E-2</v>
      </c>
      <c r="J52" s="173">
        <f>('CO2 per kg feed'!I125*FCR_bonefree_incl_parents_ES)*Production!$K$60</f>
        <v>0</v>
      </c>
      <c r="K52" s="173"/>
      <c r="L52" s="173">
        <f>('CO2 per kg feed'!K125*FCR_bonefree_incl_parents_ES)*Production!$K$60</f>
        <v>0.16478510948977915</v>
      </c>
      <c r="M52" s="173"/>
      <c r="N52" s="173">
        <f>('CO2 per kg feed'!M125*FCR_bonefree_incl_parents_ES)*Production!$K$60</f>
        <v>2.8325395948995011E-2</v>
      </c>
      <c r="O52" s="173">
        <f>('CO2 per kg feed'!N125*FCR_bonefree_incl_parents_ES)*Production!$K$60</f>
        <v>0.13565827906080163</v>
      </c>
      <c r="P52" s="173">
        <f>('CO2 per kg feed'!O125*FCR_bonefree_incl_parents_ES)*Production!$K$60</f>
        <v>0.21337894025174509</v>
      </c>
      <c r="Q52" s="173">
        <f>('CO2 per kg feed'!P125*FCR_bonefree_incl_parents_ES)*Production!$K$60</f>
        <v>5.4950337903228869E-2</v>
      </c>
      <c r="R52" s="173">
        <f>('CO2 per kg feed'!Q125*FCR_bonefree_incl_parents_ES)*Production!$K$60</f>
        <v>0.1774856022628219</v>
      </c>
      <c r="S52" s="154"/>
      <c r="T52" s="154"/>
      <c r="U52" s="174"/>
      <c r="V52" s="174"/>
      <c r="W52" s="175">
        <f>(Energy_stables_ES/Bonefree_outof_CW_ES*(Share_heating_ES*(Share_biofuels_ES*EF_biofuels_CO2+(1-Share_biofuels_ES)*EF_oil_CO2)+(1-Share_heating_ES)*EF_el_CO2_ES))*Production!$K$60</f>
        <v>0.11762377079875598</v>
      </c>
      <c r="X52" s="176">
        <f>((Energy_slaughter_el_ES*EF_el_CO2_ES+Energy_slaughter_heat_ES*EF_gas_CO2)/Bonefree_outof_CW_ES)*Production!$K$60</f>
        <v>0.19035495481242692</v>
      </c>
      <c r="Z52" s="20"/>
      <c r="AA52" s="20"/>
    </row>
    <row r="53" spans="1:29" x14ac:dyDescent="0.2">
      <c r="A53" s="13"/>
      <c r="B53" s="13" t="s">
        <v>41</v>
      </c>
      <c r="C53" s="17" t="s">
        <v>41</v>
      </c>
      <c r="D53" t="s">
        <v>65</v>
      </c>
      <c r="E53" s="18" t="s">
        <v>66</v>
      </c>
      <c r="F53" s="13" t="s">
        <v>45</v>
      </c>
      <c r="G53" s="32">
        <f>SUM(H53:X53)</f>
        <v>1.8273357325985721E-3</v>
      </c>
      <c r="H53" s="33">
        <f>('CH4 per kg feed'!G125*FCR_bonefree_incl_parents_ES-Excreted_N_after_losses_ES*Manure_repl_factor_ES*EF_min_fert_CH4_ES)*Production!$K$60</f>
        <v>3.0943774660783198E-5</v>
      </c>
      <c r="I53" s="33">
        <f>('CH4 per kg feed'!H125*FCR_bonefree_incl_parents_ES)*Production!$K$60</f>
        <v>3.4696851939380419E-4</v>
      </c>
      <c r="J53" s="33"/>
      <c r="K53" s="33"/>
      <c r="L53" s="33">
        <f>('CH4 per kg feed'!K125*FCR_bonefree_incl_parents_ES)*Production!$K$60</f>
        <v>7.2931864441625401E-5</v>
      </c>
      <c r="M53" s="33"/>
      <c r="N53" s="33">
        <f>('CH4 per kg feed'!M125*FCR_bonefree_incl_parents_ES)*Production!$K$60</f>
        <v>8.3701637997831923E-5</v>
      </c>
      <c r="O53" s="33">
        <f>('CH4 per kg feed'!N125*FCR_bonefree_incl_parents_ES)*Production!$K$60</f>
        <v>1.0108478591264938E-4</v>
      </c>
      <c r="P53" s="33">
        <f>('CH4 per kg feed'!O125*FCR_bonefree_incl_parents_ES)*Production!$K$60</f>
        <v>1.7084115857435124E-6</v>
      </c>
      <c r="Q53" s="33">
        <f>('CH4 per kg feed'!P125*FCR_bonefree_incl_parents_ES)*Production!$K$60</f>
        <v>1.81190337578799E-4</v>
      </c>
      <c r="R53" s="33">
        <f>('CH4 per kg feed'!Q125*FCR_bonefree_incl_parents_ES)*Production!$K$60</f>
        <v>1.4495792013014032E-4</v>
      </c>
      <c r="W53" s="4">
        <f>(Energy_stables_ES/Bonefree_outof_CW_ES*(Share_heating_ES*(Share_biofuels_ES*EF_biofuel_CH4+(1-Share_biofuels_ES)*EF_oil_CH4)+(1-Share_heating_ES)*EF_el_CH4_ES))*Production!$K$60</f>
        <v>1.5220516774912106E-4</v>
      </c>
      <c r="X53" s="12">
        <f>((Energy_slaughter_el_ES*EF_el_CH4_ES+Energy_slaughter_heat_ES*EF_gas_CH4)/Bonefree_outof_CW_ES)*Production!$K$60</f>
        <v>7.1164331314807418E-4</v>
      </c>
      <c r="Z53" s="32"/>
      <c r="AA53" s="32"/>
    </row>
    <row r="54" spans="1:29" x14ac:dyDescent="0.2">
      <c r="A54" s="13"/>
      <c r="B54" s="13" t="s">
        <v>41</v>
      </c>
      <c r="C54" s="17" t="s">
        <v>41</v>
      </c>
      <c r="D54" t="s">
        <v>65</v>
      </c>
      <c r="E54" s="18" t="s">
        <v>66</v>
      </c>
      <c r="F54" s="13" t="s">
        <v>46</v>
      </c>
      <c r="G54" s="32">
        <f>SUM(H54:T54)+SUM(W54:X54)</f>
        <v>3.0237422979333996E-3</v>
      </c>
      <c r="H54" s="33"/>
      <c r="I54" s="33"/>
      <c r="J54" s="33"/>
      <c r="K54" s="33"/>
      <c r="L54" s="33"/>
      <c r="M54" s="33"/>
      <c r="N54" s="33"/>
      <c r="O54" s="33"/>
      <c r="P54" s="33"/>
      <c r="Q54" s="33"/>
      <c r="R54" s="33"/>
      <c r="T54" s="47">
        <f>SUM(U54:V54)</f>
        <v>3.0237422979333996E-3</v>
      </c>
      <c r="U54" s="63">
        <f>(((Production!K40*(Slaughter_age_ES/365)+SUM(Production!K41:K44))*EF_CH4_manure_ES)/Production!$K$60)*Production!$K$60</f>
        <v>3.0237422979333996E-3</v>
      </c>
      <c r="W54" s="4"/>
      <c r="X54" s="12"/>
    </row>
    <row r="55" spans="1:29" ht="15" customHeight="1" thickBot="1" x14ac:dyDescent="0.25">
      <c r="A55" s="13"/>
      <c r="B55" s="13" t="s">
        <v>41</v>
      </c>
      <c r="C55" s="17" t="s">
        <v>41</v>
      </c>
      <c r="D55" t="s">
        <v>65</v>
      </c>
      <c r="E55" s="18" t="s">
        <v>66</v>
      </c>
      <c r="F55" s="34" t="s">
        <v>47</v>
      </c>
      <c r="G55" s="32">
        <f>SUM(H55:T55)+SUM(W55:X55)</f>
        <v>2.4372261128636345E-3</v>
      </c>
      <c r="H55" s="33">
        <f>('N2O per kg feed'!G125*FCR_bonefree_incl_parents_ES-Excreted_N_after_losses_ES*Manure_repl_factor_ES*EF_min_fert_N2O_ES)*Production!$K$60</f>
        <v>4.7124880532505923E-5</v>
      </c>
      <c r="I55" s="32">
        <f>('N2O per kg feed'!H125*FCR_bonefree_incl_parents_ES)*Production!$K$60</f>
        <v>3.8403764294435705E-6</v>
      </c>
      <c r="J55" s="32">
        <f>('N2O per kg feed'!I125*FCR_bonefree_incl_parents_ES-Excreted_N_after_losses_ES*Manure_repl_factor_ES*EF_N2O_diff_ES)*Production!$K$60</f>
        <v>1.7976438389200472E-3</v>
      </c>
      <c r="K55" s="32">
        <f>J55*EF_indirect_N2O_ES</f>
        <v>1.7976438389200473E-4</v>
      </c>
      <c r="L55" s="32">
        <f>('N2O per kg feed'!K125*FCR_bonefree_incl_parents_ES)*Production!$K$60</f>
        <v>4.42784013908258E-6</v>
      </c>
      <c r="M55" s="32"/>
      <c r="N55" s="32">
        <f>('N2O per kg feed'!M125*FCR_bonefree_incl_parents_ES)*Production!$K$60</f>
        <v>1.2173432684845609E-6</v>
      </c>
      <c r="O55" s="32">
        <f>('N2O per kg feed'!N125*FCR_bonefree_incl_parents_ES)*Production!$K$60</f>
        <v>4.9838283729383334E-6</v>
      </c>
      <c r="P55" s="32">
        <f>('N2O per kg feed'!O125*FCR_bonefree_incl_parents_ES)*Production!$K$60</f>
        <v>0</v>
      </c>
      <c r="Q55" s="32">
        <f>('N2O per kg feed'!P125*FCR_bonefree_incl_parents_ES)*Production!$K$60</f>
        <v>1.0389548324928782E-5</v>
      </c>
      <c r="R55" s="32">
        <f>('N2O per kg feed'!Q125*FCR_bonefree_incl_parents_ES)*Production!$K$60</f>
        <v>6.6439588074429487E-6</v>
      </c>
      <c r="T55" s="47">
        <f>SUM(U55:V55)</f>
        <v>3.6512857932418009E-4</v>
      </c>
      <c r="U55" s="9">
        <f>(Excreted_N_per_kg_of_bonefree_meat_ES*EF_N2O_manure_direct_ES*44/28)*Production!$K$60</f>
        <v>1.3531800738397513E-4</v>
      </c>
      <c r="V55" s="63">
        <f>((Excreted_N_per_kg_of_bonefree_meat_ES-(U55/Production!$K$60)*28/44)*EF_ammonia_ES*EF_N2O_manure_indirect_ES*44/28)*Production!$K$60</f>
        <v>2.2981057194020496E-4</v>
      </c>
      <c r="W55" s="4">
        <f>(Energy_stables_ES/Bonefree_outof_CW_ES*(Share_heating_ES*(Share_biofuels_ES*EF_biofuel_N2O+(1-Share_biofuels_ES)*EF_oil_N2O)+(1-Share_heating_ES)*EF_el_N2O_ES))*Production!$K$60</f>
        <v>8.5691908449032813E-6</v>
      </c>
      <c r="X55" s="12">
        <f>((Energy_slaughter_el_ES*EF_el_N2O_ES+Energy_slaughter_heat_ES*EF_gas_N2O)/Bonefree_outof_CW_ES)*Production!$K$60</f>
        <v>7.4923440076730315E-6</v>
      </c>
      <c r="Z55" s="32"/>
      <c r="AA55" s="32"/>
    </row>
    <row r="56" spans="1:29" ht="15.5" customHeight="1" thickTop="1" thickBot="1" x14ac:dyDescent="0.25">
      <c r="A56" s="164"/>
      <c r="B56" s="164" t="s">
        <v>41</v>
      </c>
      <c r="C56" s="165" t="s">
        <v>41</v>
      </c>
      <c r="D56" s="201" t="s">
        <v>65</v>
      </c>
      <c r="E56" s="166" t="s">
        <v>66</v>
      </c>
      <c r="F56" s="167" t="s">
        <v>48</v>
      </c>
      <c r="G56" s="178">
        <f>SUM(H56:X56)</f>
        <v>2.1071759815174849</v>
      </c>
      <c r="H56" s="295">
        <f>SUMPRODUCT(H52:H55,'Parameters, general'!$B$11:$B$14)</f>
        <v>0.14267864708544217</v>
      </c>
      <c r="I56" s="295">
        <f>SUMPRODUCT(I52:I55,'Parameters, general'!$B$11:$B$14)</f>
        <v>0.10565186972951567</v>
      </c>
      <c r="J56" s="295">
        <f>SUMPRODUCT(J52:J55,'Parameters, general'!$B$11:$B$14)</f>
        <v>0.49075676802517287</v>
      </c>
      <c r="K56" s="295">
        <f>SUMPRODUCT(K52:K55,'Parameters, general'!$B$11:$B$14)</f>
        <v>4.9075676802517287E-2</v>
      </c>
      <c r="L56" s="295">
        <f>SUMPRODUCT(L52:L55,'Parameters, general'!$B$11:$B$14)</f>
        <v>0.16816727940810913</v>
      </c>
      <c r="M56" s="295">
        <f>SUMPRODUCT(M52:M55,'Parameters, general'!$B$11:$B$14)</f>
        <v>0</v>
      </c>
      <c r="N56" s="295">
        <f>SUMPRODUCT(N52:N55,'Parameters, general'!$B$11:$B$14)</f>
        <v>3.1152039473626686E-2</v>
      </c>
      <c r="O56" s="295">
        <f>SUMPRODUCT(O52:O55,'Parameters, general'!$B$11:$B$14)</f>
        <v>0.14003119082681076</v>
      </c>
      <c r="P56" s="295">
        <f>SUMPRODUCT(P52:P55,'Parameters, general'!$B$11:$B$14)</f>
        <v>0.21342985091700023</v>
      </c>
      <c r="Q56" s="295">
        <f>SUMPRODUCT(Q52:Q55,'Parameters, general'!$B$11:$B$14)</f>
        <v>6.3186156655782644E-2</v>
      </c>
      <c r="R56" s="295">
        <f>SUMPRODUCT(R52:R55,'Parameters, general'!$B$11:$B$14)</f>
        <v>0.183619149037132</v>
      </c>
      <c r="S56" s="295">
        <f>SUMPRODUCT(S52:S55,'Parameters, general'!$B$11:$B$14)</f>
        <v>0</v>
      </c>
      <c r="T56" s="295">
        <f>SUMPRODUCT(T52:T55,'Parameters, general'!$B$11:$B$14)</f>
        <v>0.18132114419970297</v>
      </c>
      <c r="U56" s="295"/>
      <c r="V56" s="295"/>
      <c r="W56" s="295">
        <f>SUMPRODUCT(W52:W55,'Parameters, general'!$B$11:$B$14)</f>
        <v>0.12449887389833837</v>
      </c>
      <c r="X56" s="295">
        <f>SUMPRODUCT(X52:X55,'Parameters, general'!$B$11:$B$14)</f>
        <v>0.21360733545833427</v>
      </c>
      <c r="Z56" s="113">
        <f>SUM(H56:R56)</f>
        <v>1.5877486279611095</v>
      </c>
      <c r="AA56" s="200" t="e">
        <f>'CO2 per kg feed'!#REF!+'CH4 per kg feed'!#REF!*CF_GWP_CH4_fossil+'N2O per kg feed'!#REF!*CF_GWP_N2O</f>
        <v>#REF!</v>
      </c>
    </row>
    <row r="57" spans="1:29" ht="15" customHeight="1" thickTop="1" x14ac:dyDescent="0.2">
      <c r="A57" s="13"/>
      <c r="B57" s="13" t="s">
        <v>41</v>
      </c>
      <c r="C57" s="17" t="s">
        <v>41</v>
      </c>
      <c r="D57" s="18" t="s">
        <v>67</v>
      </c>
      <c r="E57" s="18" t="s">
        <v>68</v>
      </c>
      <c r="F57" s="35" t="s">
        <v>44</v>
      </c>
      <c r="G57" s="173">
        <f>SUM(H57:X57)</f>
        <v>1.2817304168366817</v>
      </c>
      <c r="H57" s="20">
        <f>('CO2 per kg feed'!G137*FCR_bonefree_incl_parents_SE-Excreted_N_after_losses_SE*Manure_repl_factor_SE*EF_min_fert_CO2_SE)*Production!$L$60</f>
        <v>0.15820676258729907</v>
      </c>
      <c r="I57" s="20">
        <f>('CO2 per kg feed'!H137*FCR_bonefree_incl_parents_SE)*Production!$L$60</f>
        <v>0.10290856468323391</v>
      </c>
      <c r="J57" s="20">
        <f>('CO2 per kg feed'!I137*FCR_bonefree_incl_parents_SE)*Production!$L$60</f>
        <v>0</v>
      </c>
      <c r="K57" s="20"/>
      <c r="L57" s="20">
        <f>('CO2 per kg feed'!K137*FCR_bonefree_incl_parents_SE)*Production!$L$60</f>
        <v>0.13864635012565055</v>
      </c>
      <c r="M57" s="20"/>
      <c r="N57" s="20">
        <f>('CO2 per kg feed'!M137*FCR_bonefree_incl_parents_SE)*Production!$L$60</f>
        <v>3.9256017686455265E-4</v>
      </c>
      <c r="O57" s="20">
        <f>('CO2 per kg feed'!N137*FCR_bonefree_incl_parents_SE)*Production!$L$60</f>
        <v>0.14127163314839214</v>
      </c>
      <c r="P57" s="20">
        <f>('CO2 per kg feed'!O137*FCR_bonefree_incl_parents_SE)*Production!$L$60</f>
        <v>0.32002799053034497</v>
      </c>
      <c r="Q57" s="20">
        <f>('CO2 per kg feed'!P137*FCR_bonefree_incl_parents_SE)*Production!$L$60</f>
        <v>3.3043892151545184E-2</v>
      </c>
      <c r="R57" s="20">
        <f>('CO2 per kg feed'!Q137*FCR_bonefree_incl_parents_SE)*Production!$L$60</f>
        <v>0.21120223639957181</v>
      </c>
      <c r="W57" s="4">
        <f>(Energy_stables_SE/Bonefree_outof_CW_SE*(Share_heating_SE*(Share_biofuels_SE*EF_biofuels_CO2+(1-Share_biofuels_SE)*EF_oil_CO2)+(1-Share_heating_SE)*EF_el_CO2_SE))*Production!$L$60</f>
        <v>0.10417505186505809</v>
      </c>
      <c r="X57" s="12">
        <f>((Energy_slaughter_el_SE*EF_el_CO2_SE+Energy_slaughter_heat_SE*EF_gas_CO2)/Bonefree_outof_CW_SE)*Production!$L$60</f>
        <v>7.1855375168721258E-2</v>
      </c>
    </row>
    <row r="58" spans="1:29" x14ac:dyDescent="0.2">
      <c r="A58" s="13"/>
      <c r="B58" s="13" t="s">
        <v>41</v>
      </c>
      <c r="C58" s="17" t="s">
        <v>41</v>
      </c>
      <c r="D58" s="18" t="s">
        <v>67</v>
      </c>
      <c r="E58" s="18" t="s">
        <v>68</v>
      </c>
      <c r="F58" s="13" t="s">
        <v>45</v>
      </c>
      <c r="G58" s="32">
        <f>SUM(H58:X58)</f>
        <v>1.0823837204900297E-3</v>
      </c>
      <c r="H58" s="33">
        <f>('CH4 per kg feed'!G137*FCR_bonefree_incl_parents_SE-Excreted_N_after_losses_SE*Manure_repl_factor_SE*EF_min_fert_CH4_SE)*Production!$L$60</f>
        <v>8.6171356417633375E-5</v>
      </c>
      <c r="I58" s="33">
        <f>('CH4 per kg feed'!H137*FCR_bonefree_incl_parents_SE)*Production!$L$60</f>
        <v>4.1671607496504077E-4</v>
      </c>
      <c r="J58" s="33"/>
      <c r="K58" s="33"/>
      <c r="L58" s="33">
        <f>('CH4 per kg feed'!K137*FCR_bonefree_incl_parents_SE)*Production!$L$60</f>
        <v>6.1192908845253999E-5</v>
      </c>
      <c r="M58" s="33"/>
      <c r="N58" s="33">
        <f>('CH4 per kg feed'!M137*FCR_bonefree_incl_parents_SE)*Production!$L$60</f>
        <v>1.1117107372828658E-6</v>
      </c>
      <c r="O58" s="33">
        <f>('CH4 per kg feed'!N137*FCR_bonefree_incl_parents_SE)*Production!$L$60</f>
        <v>6.4786796494169867E-5</v>
      </c>
      <c r="P58" s="33">
        <f>('CH4 per kg feed'!O137*FCR_bonefree_incl_parents_SE)*Production!$L$60</f>
        <v>6.3353347663056513E-6</v>
      </c>
      <c r="Q58" s="33">
        <f>('CH4 per kg feed'!P137*FCR_bonefree_incl_parents_SE)*Production!$L$60</f>
        <v>1.1545406249379215E-4</v>
      </c>
      <c r="R58" s="33">
        <f>('CH4 per kg feed'!Q137*FCR_bonefree_incl_parents_SE)*Production!$L$60</f>
        <v>1.6180809816818104E-4</v>
      </c>
      <c r="W58" s="4">
        <f>(Energy_stables_SE/Bonefree_outof_CW_SE*(Share_heating_SE*(Share_biofuels_SE*EF_biofuel_CH4+(1-Share_biofuels_SE)*EF_oil_CH4)+(1-Share_heating_SE)*EF_el_CH4_SE))*Production!$L$60</f>
        <v>5.9365452400721606E-5</v>
      </c>
      <c r="X58" s="12">
        <f>((Energy_slaughter_el_SE*EF_el_CH4_SE+Energy_slaughter_heat_SE*EF_gas_CH4)/Bonefree_outof_CW_SE)*Production!$L$60</f>
        <v>1.0944192520164857E-4</v>
      </c>
    </row>
    <row r="59" spans="1:29" x14ac:dyDescent="0.2">
      <c r="A59" s="13"/>
      <c r="B59" s="13" t="s">
        <v>41</v>
      </c>
      <c r="C59" s="17" t="s">
        <v>41</v>
      </c>
      <c r="D59" s="18" t="s">
        <v>67</v>
      </c>
      <c r="E59" s="18" t="s">
        <v>68</v>
      </c>
      <c r="F59" s="13" t="s">
        <v>46</v>
      </c>
      <c r="G59" s="32">
        <f>SUM(H59:T59)+SUM(W59:X59)</f>
        <v>2.2160269688759511E-3</v>
      </c>
      <c r="H59" s="33"/>
      <c r="I59" s="33"/>
      <c r="J59" s="33"/>
      <c r="K59" s="33"/>
      <c r="L59" s="33"/>
      <c r="M59" s="33"/>
      <c r="N59" s="33"/>
      <c r="O59" s="33"/>
      <c r="P59" s="33"/>
      <c r="Q59" s="33"/>
      <c r="R59" s="33"/>
      <c r="T59" s="47">
        <f>SUM(U59:V59)</f>
        <v>2.2160269688759511E-3</v>
      </c>
      <c r="U59" s="63">
        <f>(((Production!L40*(Slaughter_age_SE/365)+SUM(Production!L41:L44))*EF_CH4_manure_SE)/Production!$L$60)*Production!$L$60</f>
        <v>2.2160269688759511E-3</v>
      </c>
      <c r="W59" s="4"/>
      <c r="X59" s="12"/>
    </row>
    <row r="60" spans="1:29" ht="15" customHeight="1" thickBot="1" x14ac:dyDescent="0.25">
      <c r="A60" s="13"/>
      <c r="B60" s="13" t="s">
        <v>41</v>
      </c>
      <c r="C60" s="17" t="s">
        <v>41</v>
      </c>
      <c r="D60" s="18" t="s">
        <v>67</v>
      </c>
      <c r="E60" s="18" t="s">
        <v>68</v>
      </c>
      <c r="F60" s="34" t="s">
        <v>47</v>
      </c>
      <c r="G60" s="32">
        <f>SUM(H60:T60)+SUM(W60:X60)</f>
        <v>2.5970552553112891E-3</v>
      </c>
      <c r="H60" s="33">
        <f>('N2O per kg feed'!G137*FCR_bonefree_incl_parents_SE-Excreted_N_after_losses_SE*Manure_repl_factor_SE*EF_min_fert_N2O_SE)*Production!$L$60</f>
        <v>1.3668756671047672E-4</v>
      </c>
      <c r="I60" s="32">
        <f>('N2O per kg feed'!H137*FCR_bonefree_incl_parents_SE)*Production!$L$60</f>
        <v>4.192571153761382E-6</v>
      </c>
      <c r="J60" s="32">
        <f>('N2O per kg feed'!I137*FCR_bonefree_incl_parents_SE-Excreted_N_after_losses_SE*Manure_repl_factor_SE*EF_N2O_diff_SE)*Production!$L$60</f>
        <v>1.9584270436375185E-3</v>
      </c>
      <c r="K60" s="32">
        <f>J60*EF_indirect_N2O_SE</f>
        <v>1.9584270436375187E-4</v>
      </c>
      <c r="L60" s="32">
        <f>('N2O per kg feed'!K137*FCR_bonefree_incl_parents_SE)*Production!$L$60</f>
        <v>3.7254814838820734E-6</v>
      </c>
      <c r="M60" s="32"/>
      <c r="N60" s="32">
        <f>('N2O per kg feed'!M137*FCR_bonefree_incl_parents_SE)*Production!$L$60</f>
        <v>1.6500098694764051E-8</v>
      </c>
      <c r="O60" s="32">
        <f>('N2O per kg feed'!N137*FCR_bonefree_incl_parents_SE)*Production!$L$60</f>
        <v>5.332880286497017E-6</v>
      </c>
      <c r="P60" s="32">
        <f>('N2O per kg feed'!O137*FCR_bonefree_incl_parents_SE)*Production!$L$60</f>
        <v>0</v>
      </c>
      <c r="Q60" s="32">
        <f>('N2O per kg feed'!P137*FCR_bonefree_incl_parents_SE)*Production!$L$60</f>
        <v>1.1447010675594376E-5</v>
      </c>
      <c r="R60" s="32">
        <f>('N2O per kg feed'!Q137*FCR_bonefree_incl_parents_SE)*Production!$L$60</f>
        <v>7.5171652199041271E-6</v>
      </c>
      <c r="T60" s="47">
        <f>SUM(U60:V60)</f>
        <v>2.5877868031290961E-4</v>
      </c>
      <c r="U60" s="9">
        <f>(Excreted_N_per_kg_of_bonefree_meat_SE*EF_N2O_manure_direct_SE*44/28)*Production!$L$60</f>
        <v>9.590433988544994E-5</v>
      </c>
      <c r="V60" s="63">
        <f>((Excreted_N_per_kg_of_bonefree_meat_SE-(U60/Production!$L$60)*28/44)*EF_ammonia_SE*EF_N2O_manure_indirect_SE*44/28)*Production!$L$60</f>
        <v>1.6287434042745969E-4</v>
      </c>
      <c r="W60" s="4">
        <f>(Energy_stables_SE/Bonefree_outof_CW_SE*(Share_heating_SE*(Share_biofuels_SE*EF_biofuel_N2O+(1-Share_biofuels_SE)*EF_oil_N2O)+(1-Share_heating_SE)*EF_el_N2O_SE))*Production!$L$60</f>
        <v>8.971366203333712E-6</v>
      </c>
      <c r="X60" s="12">
        <f>((Energy_slaughter_el_SE*EF_el_N2O_SE+Energy_slaughter_heat_SE*EF_gas_N2O)/Bonefree_outof_CW_SE)*Production!$L$60</f>
        <v>6.1162851649644963E-6</v>
      </c>
    </row>
    <row r="61" spans="1:29" ht="15.5" customHeight="1" thickTop="1" thickBot="1" x14ac:dyDescent="0.25">
      <c r="A61" s="51"/>
      <c r="B61" s="51" t="s">
        <v>41</v>
      </c>
      <c r="C61" s="72" t="s">
        <v>41</v>
      </c>
      <c r="D61" s="36" t="s">
        <v>67</v>
      </c>
      <c r="E61" s="36" t="s">
        <v>68</v>
      </c>
      <c r="F61" s="37" t="s">
        <v>48</v>
      </c>
      <c r="G61" s="178">
        <f>SUM(H61:X61)</f>
        <v>2.0828142645669163</v>
      </c>
      <c r="H61" s="215">
        <f>SUMPRODUCT(H57:H60,'Parameters, general'!$B$11:$B$14)</f>
        <v>0.19809037472050467</v>
      </c>
      <c r="I61" s="168">
        <f>SUMPRODUCT(I57:I60,'Parameters, general'!$B$11:$B$14)</f>
        <v>0.11647127564216898</v>
      </c>
      <c r="J61" s="168">
        <f>SUMPRODUCT(J57:J60,'Parameters, general'!$B$11:$B$14)</f>
        <v>0.53465058291304257</v>
      </c>
      <c r="K61" s="168">
        <f>SUMPRODUCT(K57:K60,'Parameters, general'!$B$11:$B$14)</f>
        <v>5.3465058291304261E-2</v>
      </c>
      <c r="L61" s="168">
        <f>SUMPRODUCT(L57:L60,'Parameters, general'!$B$11:$B$14)</f>
        <v>0.14148695525433894</v>
      </c>
      <c r="M61" s="168">
        <f>SUMPRODUCT(M57:M60,'Parameters, general'!$B$11:$B$14)</f>
        <v>0</v>
      </c>
      <c r="N61" s="168">
        <f>SUMPRODUCT(N57:N60,'Parameters, general'!$B$11:$B$14)</f>
        <v>4.3019368377925261E-4</v>
      </c>
      <c r="O61" s="168">
        <f>SUMPRODUCT(O57:O60,'Parameters, general'!$B$11:$B$14)</f>
        <v>0.14465815600213208</v>
      </c>
      <c r="P61" s="168">
        <f>SUMPRODUCT(P57:P60,'Parameters, general'!$B$11:$B$14)</f>
        <v>0.32021678350638089</v>
      </c>
      <c r="Q61" s="168">
        <f>SUMPRODUCT(Q57:Q60,'Parameters, general'!$B$11:$B$14)</f>
        <v>3.9609457128297457E-2</v>
      </c>
      <c r="R61" s="168">
        <f>SUMPRODUCT(R57:R60,'Parameters, general'!$B$11:$B$14)</f>
        <v>0.21807630383001742</v>
      </c>
      <c r="S61" s="168">
        <f>SUMPRODUCT(S57:S60,'Parameters, general'!$B$11:$B$14)</f>
        <v>0</v>
      </c>
      <c r="T61" s="168">
        <f>SUMPRODUCT(T57:T60,'Parameters, general'!$B$11:$B$14)</f>
        <v>0.130479307885075</v>
      </c>
      <c r="U61" s="169"/>
      <c r="V61" s="169"/>
      <c r="W61" s="168">
        <f>SUMPRODUCT(W57:W60,'Parameters, general'!$B$11:$B$14)</f>
        <v>0.10839332532010969</v>
      </c>
      <c r="X61" s="168">
        <f>SUMPRODUCT(X57:X60,'Parameters, general'!$B$11:$B$14)</f>
        <v>7.6786490389765691E-2</v>
      </c>
      <c r="Z61" s="113">
        <f>SUM(H61:R61)</f>
        <v>1.7671551409719664</v>
      </c>
      <c r="AA61" s="200">
        <f>'CO2 per kg feed'!F137+'CH4 per kg feed'!F137*CF_GWP_CH4_fossil+'N2O per kg feed'!F137*CF_GWP_N2O</f>
        <v>0.47335329360420869</v>
      </c>
      <c r="AC61" s="293"/>
    </row>
    <row r="62" spans="1:29" ht="15" customHeight="1" thickTop="1" x14ac:dyDescent="0.2">
      <c r="A62" s="170"/>
      <c r="B62" s="170" t="s">
        <v>41</v>
      </c>
      <c r="C62" s="171" t="s">
        <v>41</v>
      </c>
      <c r="D62" s="155" t="s">
        <v>69</v>
      </c>
      <c r="E62" s="155" t="s">
        <v>70</v>
      </c>
      <c r="F62" s="172" t="s">
        <v>44</v>
      </c>
      <c r="G62" s="173">
        <f>SUM(H62:X62)</f>
        <v>1.3247715846714476</v>
      </c>
      <c r="H62" s="20">
        <f>('CO2 per kg feed'!G149*FCR_bonefree_incl_parents_GB-Excreted_N_after_losses_GB*Manure_repl_factor_GB*EF_min_fert_CO2_GB)*Production!$M$60</f>
        <v>0.1253107642888753</v>
      </c>
      <c r="I62" s="20">
        <f>('CO2 per kg feed'!H149*FCR_bonefree_incl_parents_GB)*Production!$M$60</f>
        <v>9.1230880078544963E-2</v>
      </c>
      <c r="J62" s="20">
        <f>('CO2 per kg feed'!I149*FCR_bonefree_incl_parents_GB)*Production!$M$60</f>
        <v>0</v>
      </c>
      <c r="K62" s="20"/>
      <c r="L62" s="20">
        <f>('CO2 per kg feed'!K149*FCR_bonefree_incl_parents_GB)*Production!$M$60</f>
        <v>0.11562180656631264</v>
      </c>
      <c r="M62" s="20"/>
      <c r="N62" s="20">
        <f>('CO2 per kg feed'!M149*FCR_bonefree_incl_parents_GB)*Production!$M$60</f>
        <v>4.0549798879621976E-4</v>
      </c>
      <c r="O62" s="20">
        <f>('CO2 per kg feed'!N149*FCR_bonefree_incl_parents_GB)*Production!$M$60</f>
        <v>0.14282503104274974</v>
      </c>
      <c r="P62" s="20">
        <f>('CO2 per kg feed'!O149*FCR_bonefree_incl_parents_GB)*Production!$M$60</f>
        <v>0.22303833587320948</v>
      </c>
      <c r="Q62" s="20">
        <f>('CO2 per kg feed'!P149*FCR_bonefree_incl_parents_GB)*Production!$M$60</f>
        <v>5.2550240819198193E-2</v>
      </c>
      <c r="R62" s="20">
        <f>('CO2 per kg feed'!Q149*FCR_bonefree_incl_parents_GB)*Production!$M$60</f>
        <v>0.19998599987278437</v>
      </c>
      <c r="W62" s="4">
        <f>(Energy_stables_GB/Bonefree_outof_CW_GB*(Share_heating_GB*(Share_biofuels_GB*EF_biofuels_CO2+(1-Share_biofuels_GB)*EF_oil_CO2)+(1-Share_heating_GB)*EF_el_CO2_GB))*Production!$M$60</f>
        <v>0.13468933071388764</v>
      </c>
      <c r="X62" s="12">
        <f>((Energy_slaughter_el_GB*EF_el_CO2_GB+Energy_slaughter_heat_GB*EF_gas_CO2)/Bonefree_outof_CW_GB)*Production!$M$60</f>
        <v>0.23911369742708882</v>
      </c>
    </row>
    <row r="63" spans="1:29" x14ac:dyDescent="0.2">
      <c r="A63" s="13"/>
      <c r="B63" s="13" t="s">
        <v>41</v>
      </c>
      <c r="C63" s="17" t="s">
        <v>41</v>
      </c>
      <c r="D63" s="18" t="s">
        <v>69</v>
      </c>
      <c r="E63" s="18" t="s">
        <v>70</v>
      </c>
      <c r="F63" s="13" t="s">
        <v>45</v>
      </c>
      <c r="G63" s="32">
        <f>SUM(H63:X63)</f>
        <v>1.6339585169893151E-3</v>
      </c>
      <c r="H63" s="33">
        <f>('CH4 per kg feed'!G149*FCR_bonefree_incl_parents_GB-Excreted_N_after_losses_GB*Manure_repl_factor_GB*EF_min_fert_CH4_GB)*Production!$M$60</f>
        <v>9.8753028146692464E-5</v>
      </c>
      <c r="I63" s="33">
        <f>('CH4 per kg feed'!H149*FCR_bonefree_incl_parents_GB)*Production!$M$60</f>
        <v>3.8593621715590689E-4</v>
      </c>
      <c r="J63" s="33"/>
      <c r="K63" s="33"/>
      <c r="L63" s="33">
        <f>('CH4 per kg feed'!K149*FCR_bonefree_incl_parents_GB)*Production!$M$60</f>
        <v>5.0951781548347911E-5</v>
      </c>
      <c r="M63" s="33"/>
      <c r="N63" s="33">
        <f>('CH4 per kg feed'!M149*FCR_bonefree_incl_parents_GB)*Production!$M$60</f>
        <v>1.1244585722474285E-6</v>
      </c>
      <c r="O63" s="33">
        <f>('CH4 per kg feed'!N149*FCR_bonefree_incl_parents_GB)*Production!$M$60</f>
        <v>8.1730890353230411E-5</v>
      </c>
      <c r="P63" s="33">
        <f>('CH4 per kg feed'!O149*FCR_bonefree_incl_parents_GB)*Production!$M$60</f>
        <v>8.0137297787271687E-6</v>
      </c>
      <c r="Q63" s="33">
        <f>('CH4 per kg feed'!P149*FCR_bonefree_incl_parents_GB)*Production!$M$60</f>
        <v>1.3260771492557035E-4</v>
      </c>
      <c r="R63" s="33">
        <f>('CH4 per kg feed'!Q149*FCR_bonefree_incl_parents_GB)*Production!$M$60</f>
        <v>1.4855139531735326E-4</v>
      </c>
      <c r="W63" s="4">
        <f>(Energy_stables_GB/Bonefree_outof_CW_GB*(Share_heating_GB*(Share_biofuels_GB*EF_biofuel_CH4+(1-Share_biofuels_GB)*EF_oil_CH4)+(1-Share_heating_GB)*EF_el_CH4_GB))*Production!$M$60</f>
        <v>1.1654167671424351E-4</v>
      </c>
      <c r="X63" s="12">
        <f>((Energy_slaughter_el_GB*EF_el_CH4_GB+Energy_slaughter_heat_GB*EF_gas_CH4)/Bonefree_outof_CW_GB)*Production!$M$60</f>
        <v>6.0974762447699551E-4</v>
      </c>
    </row>
    <row r="64" spans="1:29" x14ac:dyDescent="0.2">
      <c r="A64" s="13"/>
      <c r="B64" s="13" t="s">
        <v>41</v>
      </c>
      <c r="C64" s="17" t="s">
        <v>41</v>
      </c>
      <c r="D64" s="18" t="s">
        <v>69</v>
      </c>
      <c r="E64" s="18" t="s">
        <v>70</v>
      </c>
      <c r="F64" s="13" t="s">
        <v>46</v>
      </c>
      <c r="G64" s="32">
        <f>SUM(H64:T64)+SUM(W64:X64)</f>
        <v>2.2268383097471954E-3</v>
      </c>
      <c r="H64" s="33"/>
      <c r="I64" s="33"/>
      <c r="J64" s="33"/>
      <c r="K64" s="33"/>
      <c r="L64" s="33"/>
      <c r="M64" s="33"/>
      <c r="N64" s="33"/>
      <c r="O64" s="33"/>
      <c r="P64" s="33"/>
      <c r="Q64" s="33"/>
      <c r="R64" s="33"/>
      <c r="T64" s="47">
        <f>SUM(U64:V64)</f>
        <v>2.2268383097471954E-3</v>
      </c>
      <c r="U64" s="63">
        <f>(((Production!M40*(Slaughter_age_GB/365)+SUM(Production!M41:M44))*EF_CH4_manure_GB)/Production!$M$60)*Production!$M$60</f>
        <v>2.2268383097471954E-3</v>
      </c>
      <c r="W64" s="4"/>
      <c r="X64" s="12"/>
    </row>
    <row r="65" spans="1:27" ht="15" customHeight="1" thickBot="1" x14ac:dyDescent="0.25">
      <c r="A65" s="13"/>
      <c r="B65" s="13" t="s">
        <v>41</v>
      </c>
      <c r="C65" s="17" t="s">
        <v>41</v>
      </c>
      <c r="D65" s="18" t="s">
        <v>69</v>
      </c>
      <c r="E65" s="18" t="s">
        <v>70</v>
      </c>
      <c r="F65" s="34" t="s">
        <v>47</v>
      </c>
      <c r="G65" s="32">
        <f>SUM(H65:T65)+SUM(W65:X65)</f>
        <v>1.9598061687936567E-3</v>
      </c>
      <c r="H65" s="33">
        <f>('N2O per kg feed'!G149*FCR_bonefree_incl_parents_GB-Excreted_N_after_losses_GB*Manure_repl_factor_GB*EF_min_fert_N2O_GB)*Production!$M$60</f>
        <v>1.1076581329269072E-4</v>
      </c>
      <c r="I65" s="32">
        <f>('N2O per kg feed'!H149*FCR_bonefree_incl_parents_GB)*Production!$M$60</f>
        <v>3.7168136328296099E-6</v>
      </c>
      <c r="J65" s="32">
        <f>('N2O per kg feed'!I149*FCR_bonefree_incl_parents_GB-Excreted_N_after_losses_GB*Manure_repl_factor_GB*EF_N2O_diff_GB)*Production!$M$60</f>
        <v>1.4764117150145113E-3</v>
      </c>
      <c r="K65" s="32">
        <f>J65*EF_indirect_N2O_GB</f>
        <v>1.4764117150145115E-4</v>
      </c>
      <c r="L65" s="32">
        <f>('N2O per kg feed'!K149*FCR_bonefree_incl_parents_GB)*Production!$M$60</f>
        <v>3.1068030215394892E-6</v>
      </c>
      <c r="M65" s="32"/>
      <c r="N65" s="32">
        <f>('N2O per kg feed'!M149*FCR_bonefree_incl_parents_GB)*Production!$M$60</f>
        <v>1.7062384621386491E-8</v>
      </c>
      <c r="O65" s="32">
        <f>('N2O per kg feed'!N149*FCR_bonefree_incl_parents_GB)*Production!$M$60</f>
        <v>5.0874564688416781E-6</v>
      </c>
      <c r="P65" s="32">
        <f>('N2O per kg feed'!O149*FCR_bonefree_incl_parents_GB)*Production!$M$60</f>
        <v>0</v>
      </c>
      <c r="Q65" s="32">
        <f>('N2O per kg feed'!P149*FCR_bonefree_incl_parents_GB)*Production!$M$60</f>
        <v>1.1563535040222523E-5</v>
      </c>
      <c r="R65" s="32">
        <f>('N2O per kg feed'!Q149*FCR_bonefree_incl_parents_GB)*Production!$M$60</f>
        <v>7.1060345125790352E-6</v>
      </c>
      <c r="T65" s="47">
        <f>SUM(U65:V65)</f>
        <v>1.7735544904446657E-4</v>
      </c>
      <c r="U65" s="9">
        <f>(Excreted_N_per_kg_of_bonefree_meat_GB*EF_N2O_manure_direct_GB*44/28)*Production!$M$60</f>
        <v>6.5728588016331242E-5</v>
      </c>
      <c r="V65" s="63">
        <f>((Excreted_N_per_kg_of_bonefree_meat_GB-(U65/Production!$M$60)*28/44)*EF_ammonia_GB*EF_N2O_manure_indirect_GB*44/28)*Production!$M$60</f>
        <v>1.1162686102813534E-4</v>
      </c>
      <c r="W65" s="4">
        <f>(Energy_stables_GB/Bonefree_outof_CW_GB*(Share_heating_GB*(Share_biofuels_GB*EF_biofuel_N2O+(1-Share_biofuels_GB)*EF_oil_N2O)+(1-Share_heating_GB)*EF_el_N2O_GB))*Production!$M$60</f>
        <v>8.8213930742103412E-6</v>
      </c>
      <c r="X65" s="12">
        <f>((Energy_slaughter_el_GB*EF_el_N2O_GB+Energy_slaughter_heat_GB*EF_gas_N2O)/Bonefree_outof_CW_GB)*Production!$M$60</f>
        <v>8.2129218056932092E-6</v>
      </c>
    </row>
    <row r="66" spans="1:27" ht="15.5" customHeight="1" thickTop="1" thickBot="1" x14ac:dyDescent="0.25">
      <c r="A66" s="164"/>
      <c r="B66" s="164" t="s">
        <v>41</v>
      </c>
      <c r="C66" s="165" t="s">
        <v>41</v>
      </c>
      <c r="D66" s="166" t="s">
        <v>69</v>
      </c>
      <c r="E66" s="166" t="s">
        <v>70</v>
      </c>
      <c r="F66" s="167" t="s">
        <v>48</v>
      </c>
      <c r="G66" s="178">
        <f>SUM(H66:X66)</f>
        <v>1.968615266921572</v>
      </c>
      <c r="H66" s="215">
        <f>SUMPRODUCT(H62:H65,'Parameters, general'!$B$11:$B$14)</f>
        <v>0.15849267155655128</v>
      </c>
      <c r="I66" s="168">
        <f>SUMPRODUCT(I62:I65,'Parameters, general'!$B$11:$B$14)</f>
        <v>0.10374646947155347</v>
      </c>
      <c r="J66" s="168">
        <f>SUMPRODUCT(J62:J65,'Parameters, general'!$B$11:$B$14)</f>
        <v>0.40306039819896161</v>
      </c>
      <c r="K66" s="168">
        <f>SUMPRODUCT(K62:K65,'Parameters, general'!$B$11:$B$14)</f>
        <v>4.0306039819896167E-2</v>
      </c>
      <c r="L66" s="168">
        <f>SUMPRODUCT(L62:L65,'Parameters, general'!$B$11:$B$14)</f>
        <v>0.11798832688133369</v>
      </c>
      <c r="M66" s="168">
        <f>SUMPRODUCT(M62:M65,'Parameters, general'!$B$11:$B$14)</f>
        <v>0</v>
      </c>
      <c r="N66" s="168">
        <f>SUMPRODUCT(N62:N65,'Parameters, general'!$B$11:$B$14)</f>
        <v>4.4366488525083165E-4</v>
      </c>
      <c r="O66" s="168">
        <f>SUMPRODUCT(O62:O65,'Parameters, general'!$B$11:$B$14)</f>
        <v>0.14664948719126977</v>
      </c>
      <c r="P66" s="168">
        <f>SUMPRODUCT(P62:P65,'Parameters, general'!$B$11:$B$14)</f>
        <v>0.22327714502061555</v>
      </c>
      <c r="Q66" s="168">
        <f>SUMPRODUCT(Q62:Q65,'Parameters, general'!$B$11:$B$14)</f>
        <v>5.9658795789960938E-2</v>
      </c>
      <c r="R66" s="168">
        <f>SUMPRODUCT(R62:R65,'Parameters, general'!$B$11:$B$14)</f>
        <v>0.20635277887517556</v>
      </c>
      <c r="S66" s="168">
        <f>SUMPRODUCT(S62:S65,'Parameters, general'!$B$11:$B$14)</f>
        <v>0</v>
      </c>
      <c r="T66" s="168">
        <f>SUMPRODUCT(T62:T65,'Parameters, general'!$B$11:$B$14)</f>
        <v>0.10854267195231365</v>
      </c>
      <c r="U66" s="169"/>
      <c r="V66" s="169"/>
      <c r="W66" s="168">
        <f>SUMPRODUCT(W62:W65,'Parameters, general'!$B$11:$B$14)</f>
        <v>0.14057051298923154</v>
      </c>
      <c r="X66" s="168">
        <f>SUMPRODUCT(X62:X65,'Parameters, general'!$B$11:$B$14)</f>
        <v>0.2595263042894575</v>
      </c>
      <c r="Z66" s="113">
        <f>SUM(H66:R66)</f>
        <v>1.4599757776905691</v>
      </c>
      <c r="AA66" s="200">
        <f>'CO2 per kg feed'!F149+'CH4 per kg feed'!F149*CF_GWP_CH4_fossil+'N2O per kg feed'!F149*CF_GWP_N2O</f>
        <v>0.41801055927404296</v>
      </c>
    </row>
    <row r="67" spans="1:27" ht="15" customHeight="1" thickTop="1" x14ac:dyDescent="0.2"/>
    <row r="68" spans="1:27" x14ac:dyDescent="0.2">
      <c r="F68" s="33"/>
    </row>
  </sheetData>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
  <dimension ref="A2:O60"/>
  <sheetViews>
    <sheetView topLeftCell="A27" zoomScale="80" zoomScaleNormal="80" workbookViewId="0">
      <selection activeCell="B52" sqref="B52:M52"/>
    </sheetView>
  </sheetViews>
  <sheetFormatPr baseColWidth="10" defaultColWidth="8.83203125" defaultRowHeight="15" x14ac:dyDescent="0.2"/>
  <cols>
    <col min="1" max="1" width="28.5" customWidth="1"/>
    <col min="2" max="13" width="8.6640625" customWidth="1"/>
  </cols>
  <sheetData>
    <row r="2" spans="1:15" ht="18.5" customHeight="1" x14ac:dyDescent="0.25">
      <c r="A2" s="1" t="s">
        <v>147</v>
      </c>
    </row>
    <row r="4" spans="1:15" x14ac:dyDescent="0.2">
      <c r="A4" s="115" t="s">
        <v>148</v>
      </c>
      <c r="B4" s="115" t="s">
        <v>99</v>
      </c>
      <c r="C4" s="115" t="s">
        <v>49</v>
      </c>
      <c r="D4" s="115" t="s">
        <v>51</v>
      </c>
      <c r="E4" s="115" t="s">
        <v>53</v>
      </c>
      <c r="F4" s="115" t="s">
        <v>100</v>
      </c>
      <c r="G4" s="115" t="s">
        <v>91</v>
      </c>
      <c r="H4" s="115" t="s">
        <v>59</v>
      </c>
      <c r="I4" s="115" t="s">
        <v>90</v>
      </c>
      <c r="J4" s="115" t="s">
        <v>63</v>
      </c>
      <c r="K4" s="115" t="s">
        <v>65</v>
      </c>
      <c r="L4" s="115" t="s">
        <v>67</v>
      </c>
      <c r="M4" s="115" t="s">
        <v>69</v>
      </c>
    </row>
    <row r="5" spans="1:15" x14ac:dyDescent="0.2">
      <c r="A5" s="3" t="s">
        <v>149</v>
      </c>
      <c r="B5" s="231">
        <v>1</v>
      </c>
      <c r="C5" s="231">
        <v>1</v>
      </c>
      <c r="D5" s="231">
        <v>1</v>
      </c>
      <c r="E5" s="231">
        <v>1</v>
      </c>
      <c r="F5" s="231">
        <v>1</v>
      </c>
      <c r="G5" s="231">
        <v>1</v>
      </c>
      <c r="H5" s="231">
        <v>1</v>
      </c>
      <c r="I5" s="231">
        <v>1</v>
      </c>
      <c r="J5" s="231">
        <v>1</v>
      </c>
      <c r="K5" s="231">
        <v>1</v>
      </c>
      <c r="L5" s="231">
        <v>1</v>
      </c>
      <c r="M5" s="231">
        <v>1</v>
      </c>
      <c r="N5" s="17"/>
      <c r="O5" s="17"/>
    </row>
    <row r="6" spans="1:15" x14ac:dyDescent="0.2">
      <c r="A6" s="3" t="s">
        <v>150</v>
      </c>
      <c r="B6" s="11">
        <f>B41*(1-'Parameters, country spec'!B18/100)</f>
        <v>7.0529716788098563E-3</v>
      </c>
      <c r="C6" s="11">
        <f>C41*(1-'Parameters, country spec'!C18/100)</f>
        <v>6.9256096430293825E-3</v>
      </c>
      <c r="D6" s="11">
        <f>D41*(1-'Parameters, country spec'!D18/100)</f>
        <v>7.0159233733646199E-3</v>
      </c>
      <c r="E6" s="11">
        <f>E41*(1-'Parameters, country spec'!E18/100)</f>
        <v>7.1111566225134952E-3</v>
      </c>
      <c r="F6" s="11">
        <f>F41*(1-'Parameters, country spec'!F18/100)</f>
        <v>7.1111566225134952E-3</v>
      </c>
      <c r="G6" s="11">
        <f>G41*(1-'Parameters, country spec'!G18/100)</f>
        <v>6.5845322647216913E-3</v>
      </c>
      <c r="H6" s="11">
        <f>H41*(1-'Parameters, country spec'!H18/100)</f>
        <v>7.1111566225134952E-3</v>
      </c>
      <c r="I6" s="11">
        <f>I41*(1-'Parameters, country spec'!I18/100)</f>
        <v>6.2033550503364544E-3</v>
      </c>
      <c r="J6" s="11">
        <f>J41*(1-'Parameters, country spec'!J18/100)</f>
        <v>7.1111566225134952E-3</v>
      </c>
      <c r="K6" s="11">
        <f>K41*(1-'Parameters, country spec'!K18/100)</f>
        <v>7.1111566225134952E-3</v>
      </c>
      <c r="L6" s="11">
        <f>L41*(1-'Parameters, country spec'!L18/100)</f>
        <v>7.1718855751245793E-3</v>
      </c>
      <c r="M6" s="11">
        <f>M41*(1-'Parameters, country spec'!M18/100)</f>
        <v>7.1111566225134952E-3</v>
      </c>
    </row>
    <row r="7" spans="1:15" x14ac:dyDescent="0.2">
      <c r="A7" s="3" t="s">
        <v>151</v>
      </c>
      <c r="B7" s="230">
        <f>B42*(1-'Parameters, country spec'!B18/100)</f>
        <v>5.6423773430478851E-4</v>
      </c>
      <c r="C7" s="230">
        <f>C42*(1-'Parameters, country spec'!C18/100)</f>
        <v>5.5404877144235056E-4</v>
      </c>
      <c r="D7" s="230">
        <f>D42*(1-'Parameters, country spec'!D18/100)</f>
        <v>5.6127386986916969E-4</v>
      </c>
      <c r="E7" s="230">
        <f>E42*(1-'Parameters, country spec'!E18/100)</f>
        <v>5.6889252980107951E-4</v>
      </c>
      <c r="F7" s="230">
        <f>F42*(1-'Parameters, country spec'!F18/100)</f>
        <v>5.6889252980107951E-4</v>
      </c>
      <c r="G7" s="230">
        <f>G42*(1-'Parameters, country spec'!G18/100)</f>
        <v>5.2676258117773534E-4</v>
      </c>
      <c r="H7" s="230">
        <f>H42*(1-'Parameters, country spec'!H18/100)</f>
        <v>5.6889252980107951E-4</v>
      </c>
      <c r="I7" s="230">
        <f>I42*(1-'Parameters, country spec'!I18/100)</f>
        <v>4.9626840402691643E-4</v>
      </c>
      <c r="J7" s="230">
        <f>J42*(1-'Parameters, country spec'!J18/100)</f>
        <v>5.6889252980107951E-4</v>
      </c>
      <c r="K7" s="230">
        <f>K42*(1-'Parameters, country spec'!K18/100)</f>
        <v>5.6889252980107951E-4</v>
      </c>
      <c r="L7" s="230">
        <f>L42*(1-'Parameters, country spec'!L18/100)</f>
        <v>5.7375084600996633E-4</v>
      </c>
      <c r="M7" s="230">
        <f>M42*(1-'Parameters, country spec'!M18/100)</f>
        <v>5.6889252980107951E-4</v>
      </c>
    </row>
    <row r="8" spans="1:15" x14ac:dyDescent="0.2">
      <c r="A8" s="3" t="s">
        <v>152</v>
      </c>
      <c r="B8" s="230">
        <f>B43*(1-'Parameters, country spec'!B18/100)</f>
        <v>5.9393445716293537E-5</v>
      </c>
      <c r="C8" s="230">
        <f>C43*(1-'Parameters, country spec'!C18/100)</f>
        <v>5.6916971349760359E-5</v>
      </c>
      <c r="D8" s="230">
        <f>D43*(1-'Parameters, country spec'!D18/100)</f>
        <v>5.8380889314454922E-5</v>
      </c>
      <c r="E8" s="230">
        <f>E43*(1-'Parameters, country spec'!E18/100)</f>
        <v>5.9883424189587328E-5</v>
      </c>
      <c r="F8" s="230">
        <f>F43*(1-'Parameters, country spec'!F18/100)</f>
        <v>5.9883424189587328E-5</v>
      </c>
      <c r="G8" s="230">
        <f>G43*(1-'Parameters, country spec'!G18/100)</f>
        <v>5.2991854048551574E-5</v>
      </c>
      <c r="H8" s="230">
        <f>H43*(1-'Parameters, country spec'!H18/100)</f>
        <v>5.9883424189587328E-5</v>
      </c>
      <c r="I8" s="230">
        <f>I43*(1-'Parameters, country spec'!I18/100)</f>
        <v>4.5877148159766704E-5</v>
      </c>
      <c r="J8" s="230">
        <f>J43*(1-'Parameters, country spec'!J18/100)</f>
        <v>5.9883424189587328E-5</v>
      </c>
      <c r="K8" s="230">
        <f>K43*(1-'Parameters, country spec'!K18/100)</f>
        <v>5.9883424189587328E-5</v>
      </c>
      <c r="L8" s="230">
        <f>L43*(1-'Parameters, country spec'!L18/100)</f>
        <v>6.0433465616491986E-5</v>
      </c>
      <c r="M8" s="230">
        <f>M43*(1-'Parameters, country spec'!M18/100)</f>
        <v>5.9883424189587328E-5</v>
      </c>
    </row>
    <row r="9" spans="1:15" x14ac:dyDescent="0.2">
      <c r="A9" s="3" t="s">
        <v>153</v>
      </c>
      <c r="B9" s="230">
        <f>B44*(1-'Parameters, country spec'!B18/100)</f>
        <v>4.7514756573034829E-6</v>
      </c>
      <c r="C9" s="230">
        <f>C44*(1-'Parameters, country spec'!C18/100)</f>
        <v>4.5533577079808289E-6</v>
      </c>
      <c r="D9" s="230">
        <f>D44*(1-'Parameters, country spec'!D18/100)</f>
        <v>4.6704711451563939E-6</v>
      </c>
      <c r="E9" s="230">
        <f>E44*(1-'Parameters, country spec'!E18/100)</f>
        <v>4.7906739351669863E-6</v>
      </c>
      <c r="F9" s="230">
        <f>F44*(1-'Parameters, country spec'!F18/100)</f>
        <v>4.7906739351669863E-6</v>
      </c>
      <c r="G9" s="230">
        <f>G44*(1-'Parameters, country spec'!G18/100)</f>
        <v>4.2393483238841265E-6</v>
      </c>
      <c r="H9" s="230">
        <f>H44*(1-'Parameters, country spec'!H18/100)</f>
        <v>4.7906739351669863E-6</v>
      </c>
      <c r="I9" s="230">
        <f>I44*(1-'Parameters, country spec'!I18/100)</f>
        <v>3.6701718527813366E-6</v>
      </c>
      <c r="J9" s="230">
        <f>J44*(1-'Parameters, country spec'!J18/100)</f>
        <v>4.7906739351669863E-6</v>
      </c>
      <c r="K9" s="230">
        <f>K44*(1-'Parameters, country spec'!K18/100)</f>
        <v>4.7906739351669863E-6</v>
      </c>
      <c r="L9" s="230">
        <f>L44*(1-'Parameters, country spec'!L18/100)</f>
        <v>4.8346772493193598E-6</v>
      </c>
      <c r="M9" s="230">
        <f>M44*(1-'Parameters, country spec'!M18/100)</f>
        <v>4.7906739351669863E-6</v>
      </c>
    </row>
    <row r="10" spans="1:15" x14ac:dyDescent="0.2">
      <c r="A10" s="6" t="s">
        <v>154</v>
      </c>
      <c r="B10" s="7">
        <f t="shared" ref="B10:M10" si="0">SUM(B5:B9)</f>
        <v>1.0076813543344882</v>
      </c>
      <c r="C10" s="7">
        <f t="shared" si="0"/>
        <v>1.0075411287435296</v>
      </c>
      <c r="D10" s="7">
        <f t="shared" si="0"/>
        <v>1.0076402486036935</v>
      </c>
      <c r="E10" s="7">
        <f t="shared" si="0"/>
        <v>1.0077447232504393</v>
      </c>
      <c r="F10" s="7">
        <f t="shared" si="0"/>
        <v>1.0077447232504393</v>
      </c>
      <c r="G10" s="7">
        <f t="shared" si="0"/>
        <v>1.0071685260482721</v>
      </c>
      <c r="H10" s="7">
        <f t="shared" si="0"/>
        <v>1.0077447232504393</v>
      </c>
      <c r="I10" s="7">
        <f t="shared" si="0"/>
        <v>1.0067491707743759</v>
      </c>
      <c r="J10" s="7">
        <f t="shared" si="0"/>
        <v>1.0077447232504393</v>
      </c>
      <c r="K10" s="7">
        <f t="shared" si="0"/>
        <v>1.0077447232504393</v>
      </c>
      <c r="L10" s="7">
        <f t="shared" si="0"/>
        <v>1.0078109045640002</v>
      </c>
      <c r="M10" s="7">
        <f t="shared" si="0"/>
        <v>1.0077447232504393</v>
      </c>
    </row>
    <row r="11" spans="1:15" x14ac:dyDescent="0.2">
      <c r="A11" s="115" t="s">
        <v>155</v>
      </c>
      <c r="B11" s="163"/>
      <c r="C11" s="163"/>
      <c r="D11" s="163"/>
      <c r="E11" s="163"/>
      <c r="F11" s="163"/>
      <c r="G11" s="163"/>
      <c r="H11" s="163"/>
      <c r="I11" s="163"/>
      <c r="J11" s="163"/>
      <c r="K11" s="163"/>
      <c r="L11" s="163"/>
      <c r="M11" s="163"/>
    </row>
    <row r="12" spans="1:15" x14ac:dyDescent="0.2">
      <c r="A12" s="3" t="s">
        <v>149</v>
      </c>
      <c r="B12" s="11">
        <f>B5*'Parameters, country spec'!B11</f>
        <v>1.6998660256588789</v>
      </c>
      <c r="C12" s="11">
        <f>C5*'Parameters, country spec'!C11</f>
        <v>1.4379</v>
      </c>
      <c r="D12" s="11">
        <f>D5*'Parameters, country spec'!D11</f>
        <v>1.4379</v>
      </c>
      <c r="E12" s="11">
        <f>E5*'Parameters, country spec'!E11</f>
        <v>1.4379</v>
      </c>
      <c r="F12" s="11">
        <f>F5*'Parameters, country spec'!F11</f>
        <v>1.4379</v>
      </c>
      <c r="G12" s="11">
        <f>G5*'Parameters, country spec'!G11</f>
        <v>1.6819999999999999</v>
      </c>
      <c r="H12" s="11">
        <f>H5*'Parameters, country spec'!H11</f>
        <v>1.4379</v>
      </c>
      <c r="I12" s="11">
        <f>I5*'Parameters, country spec'!I11</f>
        <v>1.4379</v>
      </c>
      <c r="J12" s="11">
        <f>J5*'Parameters, country spec'!J11</f>
        <v>1.4379</v>
      </c>
      <c r="K12" s="11">
        <f>K5*'Parameters, country spec'!K11</f>
        <v>1.4379</v>
      </c>
      <c r="L12" s="11">
        <f>L5*'Parameters, country spec'!L11</f>
        <v>1.648997</v>
      </c>
      <c r="M12" s="11">
        <f>M5*'Parameters, country spec'!M11</f>
        <v>1.4379</v>
      </c>
    </row>
    <row r="13" spans="1:15" x14ac:dyDescent="0.2">
      <c r="A13" s="3" t="s">
        <v>150</v>
      </c>
      <c r="B13" s="11">
        <f>B6*'Parameters, country spec'!B12</f>
        <v>3.0327778218882381E-2</v>
      </c>
      <c r="C13" s="11">
        <f>C6*'Parameters, country spec'!C12</f>
        <v>3.3935487250843978E-2</v>
      </c>
      <c r="D13" s="11">
        <f>D6*'Parameters, country spec'!D12</f>
        <v>3.0168470505467865E-2</v>
      </c>
      <c r="E13" s="11">
        <f>E6*'Parameters, country spec'!E12</f>
        <v>3.0577973476808028E-2</v>
      </c>
      <c r="F13" s="11">
        <f>F6*'Parameters, country spec'!F12</f>
        <v>3.0577973476808028E-2</v>
      </c>
      <c r="G13" s="11">
        <f>G6*'Parameters, country spec'!G12</f>
        <v>2.831348873830327E-2</v>
      </c>
      <c r="H13" s="11">
        <f>H6*'Parameters, country spec'!H12</f>
        <v>3.0577973476808028E-2</v>
      </c>
      <c r="I13" s="11">
        <f>I6*'Parameters, country spec'!I12</f>
        <v>2.6674426716446754E-2</v>
      </c>
      <c r="J13" s="11">
        <f>J6*'Parameters, country spec'!J12</f>
        <v>3.0577973476808028E-2</v>
      </c>
      <c r="K13" s="11">
        <f>K6*'Parameters, country spec'!K12</f>
        <v>3.0577973476808028E-2</v>
      </c>
      <c r="L13" s="11">
        <f>L6*'Parameters, country spec'!L12</f>
        <v>3.062395140578195E-2</v>
      </c>
      <c r="M13" s="11">
        <f>M6*'Parameters, country spec'!M12</f>
        <v>3.0577973476808028E-2</v>
      </c>
    </row>
    <row r="14" spans="1:15" x14ac:dyDescent="0.2">
      <c r="A14" s="3" t="s">
        <v>151</v>
      </c>
      <c r="B14" s="230">
        <f>B7*'Parameters, country spec'!B13</f>
        <v>2.8211886715239424E-3</v>
      </c>
      <c r="C14" s="230">
        <f>C7*'Parameters, country spec'!C13</f>
        <v>2.7702438572117529E-3</v>
      </c>
      <c r="D14" s="230">
        <f>D7*'Parameters, country spec'!D13</f>
        <v>2.8063693493458487E-3</v>
      </c>
      <c r="E14" s="230">
        <f>E7*'Parameters, country spec'!E13</f>
        <v>2.8444626490053975E-3</v>
      </c>
      <c r="F14" s="230">
        <f>F7*'Parameters, country spec'!F13</f>
        <v>2.8444626490053975E-3</v>
      </c>
      <c r="G14" s="230">
        <f>G7*'Parameters, country spec'!G13</f>
        <v>2.6338129058886767E-3</v>
      </c>
      <c r="H14" s="230">
        <f>H7*'Parameters, country spec'!H13</f>
        <v>2.8444626490053975E-3</v>
      </c>
      <c r="I14" s="230">
        <f>I7*'Parameters, country spec'!I13</f>
        <v>2.481342020134582E-3</v>
      </c>
      <c r="J14" s="230">
        <f>J7*'Parameters, country spec'!J13</f>
        <v>2.8444626490053975E-3</v>
      </c>
      <c r="K14" s="230">
        <f>K7*'Parameters, country spec'!K13</f>
        <v>2.8444626490053975E-3</v>
      </c>
      <c r="L14" s="230">
        <f>L7*'Parameters, country spec'!L13</f>
        <v>2.8687542300498319E-3</v>
      </c>
      <c r="M14" s="230">
        <f>M7*'Parameters, country spec'!M13</f>
        <v>2.8444626490053975E-3</v>
      </c>
    </row>
    <row r="15" spans="1:15" x14ac:dyDescent="0.2">
      <c r="A15" s="3" t="s">
        <v>152</v>
      </c>
      <c r="B15" s="230">
        <f>B8*'Parameters, country spec'!B12</f>
        <v>2.5539181658006219E-4</v>
      </c>
      <c r="C15" s="230">
        <f>C8*'Parameters, country spec'!C12</f>
        <v>2.7889315961382579E-4</v>
      </c>
      <c r="D15" s="230">
        <f>D8*'Parameters, country spec'!D12</f>
        <v>2.5103782405215617E-4</v>
      </c>
      <c r="E15" s="230">
        <f>E8*'Parameters, country spec'!E12</f>
        <v>2.5749872401522548E-4</v>
      </c>
      <c r="F15" s="230">
        <f>F8*'Parameters, country spec'!F12</f>
        <v>2.5749872401522548E-4</v>
      </c>
      <c r="G15" s="230">
        <f>G8*'Parameters, country spec'!G12</f>
        <v>2.2786497240877176E-4</v>
      </c>
      <c r="H15" s="230">
        <f>H8*'Parameters, country spec'!H12</f>
        <v>2.5749872401522548E-4</v>
      </c>
      <c r="I15" s="230">
        <f>I8*'Parameters, country spec'!I12</f>
        <v>1.9727173708699683E-4</v>
      </c>
      <c r="J15" s="230">
        <f>J8*'Parameters, country spec'!J12</f>
        <v>2.5749872401522548E-4</v>
      </c>
      <c r="K15" s="230">
        <f>K8*'Parameters, country spec'!K12</f>
        <v>2.5749872401522548E-4</v>
      </c>
      <c r="L15" s="230">
        <f>L8*'Parameters, country spec'!L12</f>
        <v>2.5805089818242076E-4</v>
      </c>
      <c r="M15" s="230">
        <f>M8*'Parameters, country spec'!M12</f>
        <v>2.5749872401522548E-4</v>
      </c>
    </row>
    <row r="16" spans="1:15" x14ac:dyDescent="0.2">
      <c r="A16" s="3" t="s">
        <v>153</v>
      </c>
      <c r="B16" s="230">
        <f>B9*'Parameters, country spec'!B13</f>
        <v>2.3757378286517416E-5</v>
      </c>
      <c r="C16" s="230">
        <f>C9*'Parameters, country spec'!C13</f>
        <v>2.2766788539904144E-5</v>
      </c>
      <c r="D16" s="230">
        <f>D9*'Parameters, country spec'!D13</f>
        <v>2.335235572578197E-5</v>
      </c>
      <c r="E16" s="230">
        <f>E9*'Parameters, country spec'!E13</f>
        <v>2.3953369675834933E-5</v>
      </c>
      <c r="F16" s="230">
        <f>F9*'Parameters, country spec'!F13</f>
        <v>2.3953369675834933E-5</v>
      </c>
      <c r="G16" s="230">
        <f>G9*'Parameters, country spec'!G13</f>
        <v>2.1196741619420631E-5</v>
      </c>
      <c r="H16" s="230">
        <f>H9*'Parameters, country spec'!H13</f>
        <v>2.3953369675834933E-5</v>
      </c>
      <c r="I16" s="230">
        <f>I9*'Parameters, country spec'!I13</f>
        <v>1.8350859263906683E-5</v>
      </c>
      <c r="J16" s="230">
        <f>J9*'Parameters, country spec'!J13</f>
        <v>2.3953369675834933E-5</v>
      </c>
      <c r="K16" s="230">
        <f>K9*'Parameters, country spec'!K13</f>
        <v>2.3953369675834933E-5</v>
      </c>
      <c r="L16" s="230">
        <f>L9*'Parameters, country spec'!L13</f>
        <v>2.41733862465968E-5</v>
      </c>
      <c r="M16" s="230">
        <f>M9*'Parameters, country spec'!M13</f>
        <v>2.3953369675834933E-5</v>
      </c>
    </row>
    <row r="17" spans="1:13" x14ac:dyDescent="0.2">
      <c r="A17" s="6" t="s">
        <v>154</v>
      </c>
      <c r="B17" s="7">
        <f t="shared" ref="B17:M17" si="1">SUM(B12:B16)</f>
        <v>1.7332941417441516</v>
      </c>
      <c r="C17" s="7">
        <f t="shared" si="1"/>
        <v>1.4749073910562094</v>
      </c>
      <c r="D17" s="7">
        <f t="shared" si="1"/>
        <v>1.4711492300345916</v>
      </c>
      <c r="E17" s="7">
        <f t="shared" si="1"/>
        <v>1.4716038882195044</v>
      </c>
      <c r="F17" s="7">
        <f t="shared" si="1"/>
        <v>1.4716038882195044</v>
      </c>
      <c r="G17" s="7">
        <f t="shared" si="1"/>
        <v>1.7131963633582201</v>
      </c>
      <c r="H17" s="7">
        <f t="shared" si="1"/>
        <v>1.4716038882195044</v>
      </c>
      <c r="I17" s="7">
        <f t="shared" si="1"/>
        <v>1.4672713913329323</v>
      </c>
      <c r="J17" s="7">
        <f t="shared" si="1"/>
        <v>1.4716038882195044</v>
      </c>
      <c r="K17" s="7">
        <f t="shared" si="1"/>
        <v>1.4716038882195044</v>
      </c>
      <c r="L17" s="7">
        <f t="shared" si="1"/>
        <v>1.6827719299202608</v>
      </c>
      <c r="M17" s="7">
        <f t="shared" si="1"/>
        <v>1.4716038882195044</v>
      </c>
    </row>
    <row r="18" spans="1:13" x14ac:dyDescent="0.2">
      <c r="A18" s="115" t="s">
        <v>156</v>
      </c>
      <c r="B18" s="163"/>
      <c r="C18" s="163"/>
      <c r="D18" s="163"/>
      <c r="E18" s="163"/>
      <c r="F18" s="163"/>
      <c r="G18" s="163"/>
      <c r="H18" s="163"/>
      <c r="I18" s="163"/>
      <c r="J18" s="163"/>
      <c r="K18" s="163"/>
      <c r="L18" s="163"/>
      <c r="M18" s="163"/>
    </row>
    <row r="19" spans="1:13" x14ac:dyDescent="0.2">
      <c r="A19" s="3" t="s">
        <v>149</v>
      </c>
      <c r="B19" s="11">
        <f>B12*'Parameters, country spec'!B10</f>
        <v>1.3088968397573368</v>
      </c>
      <c r="C19" s="11">
        <f>C12*'Parameters, country spec'!C10</f>
        <v>1.107183</v>
      </c>
      <c r="D19" s="11">
        <f>D12*'Parameters, country spec'!D10</f>
        <v>1.107183</v>
      </c>
      <c r="E19" s="11">
        <f>E12*'Parameters, country spec'!E10</f>
        <v>1.107183</v>
      </c>
      <c r="F19" s="11">
        <f>F12*'Parameters, country spec'!F10</f>
        <v>1.107183</v>
      </c>
      <c r="G19" s="11">
        <f>G12*'Parameters, country spec'!G10</f>
        <v>1.29514</v>
      </c>
      <c r="H19" s="11">
        <f>H12*'Parameters, country spec'!H10</f>
        <v>1.107183</v>
      </c>
      <c r="I19" s="11">
        <f>I12*'Parameters, country spec'!I10</f>
        <v>1.107183</v>
      </c>
      <c r="J19" s="11">
        <f>J12*'Parameters, country spec'!J10</f>
        <v>1.107183</v>
      </c>
      <c r="K19" s="11">
        <f>K12*'Parameters, country spec'!K10</f>
        <v>1.107183</v>
      </c>
      <c r="L19" s="11">
        <f>L12*'Parameters, country spec'!L10</f>
        <v>1.2697276900000001</v>
      </c>
      <c r="M19" s="11">
        <f>M12*'Parameters, country spec'!M10</f>
        <v>1.107183</v>
      </c>
    </row>
    <row r="20" spans="1:13" x14ac:dyDescent="0.2">
      <c r="A20" s="3" t="s">
        <v>150</v>
      </c>
      <c r="B20" s="11">
        <f>B13*'Parameters, country spec'!B10</f>
        <v>2.3352389228539435E-2</v>
      </c>
      <c r="C20" s="11">
        <f>C13*'Parameters, country spec'!C10</f>
        <v>2.6130325183149863E-2</v>
      </c>
      <c r="D20" s="11">
        <f>D13*'Parameters, country spec'!D10</f>
        <v>2.3229722289210258E-2</v>
      </c>
      <c r="E20" s="11">
        <f>E13*'Parameters, country spec'!E10</f>
        <v>2.3545039577142182E-2</v>
      </c>
      <c r="F20" s="11">
        <f>F13*'Parameters, country spec'!F10</f>
        <v>2.3545039577142182E-2</v>
      </c>
      <c r="G20" s="11">
        <f>G13*'Parameters, country spec'!G10</f>
        <v>2.180138632849352E-2</v>
      </c>
      <c r="H20" s="11">
        <f>H13*'Parameters, country spec'!H10</f>
        <v>2.3545039577142182E-2</v>
      </c>
      <c r="I20" s="11">
        <f>I13*'Parameters, country spec'!I10</f>
        <v>2.0539308571664E-2</v>
      </c>
      <c r="J20" s="11">
        <f>J13*'Parameters, country spec'!J10</f>
        <v>2.3545039577142182E-2</v>
      </c>
      <c r="K20" s="11">
        <f>K13*'Parameters, country spec'!K10</f>
        <v>2.3545039577142182E-2</v>
      </c>
      <c r="L20" s="11">
        <f>L13*'Parameters, country spec'!L10</f>
        <v>2.3580442582452101E-2</v>
      </c>
      <c r="M20" s="11">
        <f>M13*'Parameters, country spec'!M10</f>
        <v>2.3545039577142182E-2</v>
      </c>
    </row>
    <row r="21" spans="1:13" x14ac:dyDescent="0.2">
      <c r="A21" s="3" t="s">
        <v>151</v>
      </c>
      <c r="B21" s="11">
        <f>B14*'Parameters, country spec'!B10</f>
        <v>2.1723152770734356E-3</v>
      </c>
      <c r="C21" s="11">
        <f>C14*'Parameters, country spec'!C10</f>
        <v>2.1330877700530496E-3</v>
      </c>
      <c r="D21" s="11">
        <f>D14*'Parameters, country spec'!D10</f>
        <v>2.1609043989963034E-3</v>
      </c>
      <c r="E21" s="11">
        <f>E14*'Parameters, country spec'!E10</f>
        <v>2.1902362397341561E-3</v>
      </c>
      <c r="F21" s="11">
        <f>F14*'Parameters, country spec'!F10</f>
        <v>2.1902362397341561E-3</v>
      </c>
      <c r="G21" s="11">
        <f>G14*'Parameters, country spec'!G10</f>
        <v>2.0280359375342812E-3</v>
      </c>
      <c r="H21" s="11">
        <f>H14*'Parameters, country spec'!H10</f>
        <v>2.1902362397341561E-3</v>
      </c>
      <c r="I21" s="11">
        <f>I14*'Parameters, country spec'!I10</f>
        <v>1.9106333555036282E-3</v>
      </c>
      <c r="J21" s="11">
        <f>J14*'Parameters, country spec'!J10</f>
        <v>2.1902362397341561E-3</v>
      </c>
      <c r="K21" s="11">
        <f>K14*'Parameters, country spec'!K10</f>
        <v>2.1902362397341561E-3</v>
      </c>
      <c r="L21" s="11">
        <f>L14*'Parameters, country spec'!L10</f>
        <v>2.2089407571383706E-3</v>
      </c>
      <c r="M21" s="11">
        <f>M14*'Parameters, country spec'!M10</f>
        <v>2.1902362397341561E-3</v>
      </c>
    </row>
    <row r="22" spans="1:13" x14ac:dyDescent="0.2">
      <c r="A22" s="3" t="s">
        <v>152</v>
      </c>
      <c r="B22" s="11">
        <f>B15*'Parameters, country spec'!B10</f>
        <v>1.966516987666479E-4</v>
      </c>
      <c r="C22" s="11">
        <f>C15*'Parameters, country spec'!C10</f>
        <v>2.1474773290264588E-4</v>
      </c>
      <c r="D22" s="11">
        <f>D15*'Parameters, country spec'!D10</f>
        <v>1.9329912452016026E-4</v>
      </c>
      <c r="E22" s="11">
        <f>E15*'Parameters, country spec'!E10</f>
        <v>1.9827401749172361E-4</v>
      </c>
      <c r="F22" s="11">
        <f>F15*'Parameters, country spec'!F10</f>
        <v>1.9827401749172361E-4</v>
      </c>
      <c r="G22" s="11">
        <f>G15*'Parameters, country spec'!G10</f>
        <v>1.7545602875475427E-4</v>
      </c>
      <c r="H22" s="11">
        <f>H15*'Parameters, country spec'!H10</f>
        <v>1.9827401749172361E-4</v>
      </c>
      <c r="I22" s="11">
        <f>I15*'Parameters, country spec'!I10</f>
        <v>1.5189923755698755E-4</v>
      </c>
      <c r="J22" s="11">
        <f>J15*'Parameters, country spec'!J10</f>
        <v>1.9827401749172361E-4</v>
      </c>
      <c r="K22" s="11">
        <f>K15*'Parameters, country spec'!K10</f>
        <v>1.9827401749172361E-4</v>
      </c>
      <c r="L22" s="11">
        <f>L15*'Parameters, country spec'!L10</f>
        <v>1.98699191600464E-4</v>
      </c>
      <c r="M22" s="11">
        <f>M15*'Parameters, country spec'!M10</f>
        <v>1.9827401749172361E-4</v>
      </c>
    </row>
    <row r="23" spans="1:13" x14ac:dyDescent="0.2">
      <c r="A23" s="3" t="s">
        <v>153</v>
      </c>
      <c r="B23" s="11">
        <f>B16*'Parameters, country spec'!B10</f>
        <v>1.8293181280618411E-5</v>
      </c>
      <c r="C23" s="11">
        <f>C16*'Parameters, country spec'!C10</f>
        <v>1.7530427175726192E-5</v>
      </c>
      <c r="D23" s="11">
        <f>D16*'Parameters, country spec'!D10</f>
        <v>1.7981313908852118E-5</v>
      </c>
      <c r="E23" s="11">
        <f>E16*'Parameters, country spec'!E10</f>
        <v>1.8444094650392899E-5</v>
      </c>
      <c r="F23" s="11">
        <f>F16*'Parameters, country spec'!F10</f>
        <v>1.8444094650392899E-5</v>
      </c>
      <c r="G23" s="11">
        <f>G16*'Parameters, country spec'!G10</f>
        <v>1.6321491046953887E-5</v>
      </c>
      <c r="H23" s="11">
        <f>H16*'Parameters, country spec'!H10</f>
        <v>1.8444094650392899E-5</v>
      </c>
      <c r="I23" s="11">
        <f>I16*'Parameters, country spec'!I10</f>
        <v>1.4130161633208146E-5</v>
      </c>
      <c r="J23" s="11">
        <f>J16*'Parameters, country spec'!J10</f>
        <v>1.8444094650392899E-5</v>
      </c>
      <c r="K23" s="11">
        <f>K16*'Parameters, country spec'!K10</f>
        <v>1.8444094650392899E-5</v>
      </c>
      <c r="L23" s="11">
        <f>L16*'Parameters, country spec'!L10</f>
        <v>1.8613507409879538E-5</v>
      </c>
      <c r="M23" s="11">
        <f>M16*'Parameters, country spec'!M10</f>
        <v>1.8444094650392899E-5</v>
      </c>
    </row>
    <row r="24" spans="1:13" x14ac:dyDescent="0.2">
      <c r="A24" s="6" t="s">
        <v>154</v>
      </c>
      <c r="B24" s="7">
        <f t="shared" ref="B24:M24" si="2">SUM(B19:B23)</f>
        <v>1.3346364891429969</v>
      </c>
      <c r="C24" s="7">
        <f t="shared" si="2"/>
        <v>1.1356786911132812</v>
      </c>
      <c r="D24" s="7">
        <f t="shared" si="2"/>
        <v>1.1327849071266356</v>
      </c>
      <c r="E24" s="7">
        <f t="shared" si="2"/>
        <v>1.1331349939290185</v>
      </c>
      <c r="F24" s="7">
        <f t="shared" si="2"/>
        <v>1.1331349939290185</v>
      </c>
      <c r="G24" s="7">
        <f t="shared" si="2"/>
        <v>1.3191611997858295</v>
      </c>
      <c r="H24" s="7">
        <f t="shared" si="2"/>
        <v>1.1331349939290185</v>
      </c>
      <c r="I24" s="7">
        <f t="shared" si="2"/>
        <v>1.1297989713263581</v>
      </c>
      <c r="J24" s="7">
        <f t="shared" si="2"/>
        <v>1.1331349939290185</v>
      </c>
      <c r="K24" s="7">
        <f t="shared" si="2"/>
        <v>1.1331349939290185</v>
      </c>
      <c r="L24" s="7">
        <f t="shared" si="2"/>
        <v>1.295734386038601</v>
      </c>
      <c r="M24" s="7">
        <f t="shared" si="2"/>
        <v>1.1331349939290185</v>
      </c>
    </row>
    <row r="25" spans="1:13" x14ac:dyDescent="0.2">
      <c r="A25" s="115" t="s">
        <v>157</v>
      </c>
      <c r="B25" s="163"/>
      <c r="C25" s="163"/>
      <c r="D25" s="163"/>
      <c r="E25" s="163"/>
      <c r="F25" s="163"/>
      <c r="G25" s="163"/>
      <c r="H25" s="163"/>
      <c r="I25" s="163"/>
      <c r="J25" s="163"/>
      <c r="K25" s="163"/>
      <c r="L25" s="163"/>
      <c r="M25" s="163"/>
    </row>
    <row r="26" spans="1:13" x14ac:dyDescent="0.2">
      <c r="A26" s="3" t="s">
        <v>149</v>
      </c>
      <c r="B26" s="11">
        <f>B5*'Parameters, country spec'!B14</f>
        <v>0.27500000000000002</v>
      </c>
      <c r="C26" s="11">
        <f>C5*'Parameters, country spec'!C14</f>
        <v>0.27500000000000002</v>
      </c>
      <c r="D26" s="11">
        <f>D5*'Parameters, country spec'!D14</f>
        <v>0.27500000000000002</v>
      </c>
      <c r="E26" s="11">
        <f>E5*'Parameters, country spec'!E14</f>
        <v>0.27500000000000002</v>
      </c>
      <c r="F26" s="11">
        <f>F5*'Parameters, country spec'!F14</f>
        <v>0.27500000000000002</v>
      </c>
      <c r="G26" s="11">
        <f>G5*'Parameters, country spec'!G14</f>
        <v>0.27500000000000002</v>
      </c>
      <c r="H26" s="11">
        <f>H5*'Parameters, country spec'!H14</f>
        <v>0.27500000000000002</v>
      </c>
      <c r="I26" s="11">
        <f>I5*'Parameters, country spec'!I14</f>
        <v>0.27500000000000002</v>
      </c>
      <c r="J26" s="11">
        <f>J5*'Parameters, country spec'!J14</f>
        <v>0.27500000000000002</v>
      </c>
      <c r="K26" s="11">
        <f>K5*'Parameters, country spec'!K14</f>
        <v>0.27500000000000002</v>
      </c>
      <c r="L26" s="11">
        <f>L5*'Parameters, country spec'!L14</f>
        <v>0.27500000000000002</v>
      </c>
      <c r="M26" s="11">
        <f>M5*'Parameters, country spec'!M14</f>
        <v>0.27500000000000002</v>
      </c>
    </row>
    <row r="27" spans="1:13" x14ac:dyDescent="0.2">
      <c r="A27" s="3" t="s">
        <v>150</v>
      </c>
      <c r="B27" s="11">
        <f>B6*'Parameters, country spec'!B14</f>
        <v>1.9395672116727107E-3</v>
      </c>
      <c r="C27" s="11">
        <f>C6*'Parameters, country spec'!C14</f>
        <v>1.9045426518330803E-3</v>
      </c>
      <c r="D27" s="11">
        <f>D6*'Parameters, country spec'!D14</f>
        <v>1.9293789276752706E-3</v>
      </c>
      <c r="E27" s="11">
        <f>E6*'Parameters, country spec'!E14</f>
        <v>1.9555680711912113E-3</v>
      </c>
      <c r="F27" s="11">
        <f>F6*'Parameters, country spec'!F14</f>
        <v>1.9555680711912113E-3</v>
      </c>
      <c r="G27" s="11">
        <f>G6*'Parameters, country spec'!G14</f>
        <v>1.8107463727984653E-3</v>
      </c>
      <c r="H27" s="11">
        <f>H6*'Parameters, country spec'!H14</f>
        <v>1.9555680711912113E-3</v>
      </c>
      <c r="I27" s="11">
        <f>I6*'Parameters, country spec'!I14</f>
        <v>1.705922638842525E-3</v>
      </c>
      <c r="J27" s="11">
        <f>J6*'Parameters, country spec'!J14</f>
        <v>1.9555680711912113E-3</v>
      </c>
      <c r="K27" s="11">
        <f>K6*'Parameters, country spec'!K14</f>
        <v>1.9555680711912113E-3</v>
      </c>
      <c r="L27" s="11">
        <f>L6*'Parameters, country spec'!L14</f>
        <v>1.9722685331592595E-3</v>
      </c>
      <c r="M27" s="11">
        <f>M6*'Parameters, country spec'!M14</f>
        <v>1.9555680711912113E-3</v>
      </c>
    </row>
    <row r="28" spans="1:13" x14ac:dyDescent="0.2">
      <c r="A28" s="3" t="s">
        <v>151</v>
      </c>
      <c r="B28" s="11">
        <f>B7*'Parameters, country spec'!B14</f>
        <v>1.5516537693381686E-4</v>
      </c>
      <c r="C28" s="11">
        <f>C7*'Parameters, country spec'!C14</f>
        <v>1.5236341214664641E-4</v>
      </c>
      <c r="D28" s="11">
        <f>D7*'Parameters, country spec'!D14</f>
        <v>1.5435031421402167E-4</v>
      </c>
      <c r="E28" s="11">
        <f>E7*'Parameters, country spec'!E14</f>
        <v>1.5644544569529687E-4</v>
      </c>
      <c r="F28" s="11">
        <f>F7*'Parameters, country spec'!F14</f>
        <v>1.5644544569529687E-4</v>
      </c>
      <c r="G28" s="11">
        <f>G7*'Parameters, country spec'!G14</f>
        <v>1.4485970982387722E-4</v>
      </c>
      <c r="H28" s="11">
        <f>H7*'Parameters, country spec'!H14</f>
        <v>1.5644544569529687E-4</v>
      </c>
      <c r="I28" s="11">
        <f>I7*'Parameters, country spec'!I14</f>
        <v>1.3647381110740202E-4</v>
      </c>
      <c r="J28" s="11">
        <f>J7*'Parameters, country spec'!J14</f>
        <v>1.5644544569529687E-4</v>
      </c>
      <c r="K28" s="11">
        <f>K7*'Parameters, country spec'!K14</f>
        <v>1.5644544569529687E-4</v>
      </c>
      <c r="L28" s="11">
        <f>L7*'Parameters, country spec'!L14</f>
        <v>1.5778148265274076E-4</v>
      </c>
      <c r="M28" s="11">
        <f>M7*'Parameters, country spec'!M14</f>
        <v>1.5644544569529687E-4</v>
      </c>
    </row>
    <row r="29" spans="1:13" x14ac:dyDescent="0.2">
      <c r="A29" s="3" t="s">
        <v>152</v>
      </c>
      <c r="B29" s="11">
        <f>B8*'Parameters, country spec'!B14</f>
        <v>1.6333197571980722E-5</v>
      </c>
      <c r="C29" s="11">
        <f>C8*'Parameters, country spec'!C14</f>
        <v>1.5652167121184101E-5</v>
      </c>
      <c r="D29" s="11">
        <f>D8*'Parameters, country spec'!D14</f>
        <v>1.6054744561475106E-5</v>
      </c>
      <c r="E29" s="11">
        <f>E8*'Parameters, country spec'!E14</f>
        <v>1.6467941652136515E-5</v>
      </c>
      <c r="F29" s="11">
        <f>F8*'Parameters, country spec'!F14</f>
        <v>1.6467941652136515E-5</v>
      </c>
      <c r="G29" s="11">
        <f>G8*'Parameters, country spec'!G14</f>
        <v>1.4572759863351684E-5</v>
      </c>
      <c r="H29" s="11">
        <f>H8*'Parameters, country spec'!H14</f>
        <v>1.6467941652136515E-5</v>
      </c>
      <c r="I29" s="11">
        <f>I8*'Parameters, country spec'!I14</f>
        <v>1.2616215743935845E-5</v>
      </c>
      <c r="J29" s="11">
        <f>J8*'Parameters, country spec'!J14</f>
        <v>1.6467941652136515E-5</v>
      </c>
      <c r="K29" s="11">
        <f>K8*'Parameters, country spec'!K14</f>
        <v>1.6467941652136515E-5</v>
      </c>
      <c r="L29" s="11">
        <f>L8*'Parameters, country spec'!L14</f>
        <v>1.6619203044535298E-5</v>
      </c>
      <c r="M29" s="11">
        <f>M8*'Parameters, country spec'!M14</f>
        <v>1.6467941652136515E-5</v>
      </c>
    </row>
    <row r="30" spans="1:13" x14ac:dyDescent="0.2">
      <c r="A30" s="3" t="s">
        <v>153</v>
      </c>
      <c r="B30" s="11">
        <f>B9*'Parameters, country spec'!B14</f>
        <v>1.3066558057584579E-6</v>
      </c>
      <c r="C30" s="11">
        <f>C9*'Parameters, country spec'!C14</f>
        <v>1.2521733696947281E-6</v>
      </c>
      <c r="D30" s="11">
        <f>D9*'Parameters, country spec'!D14</f>
        <v>1.2843795649180085E-6</v>
      </c>
      <c r="E30" s="11">
        <f>E9*'Parameters, country spec'!E14</f>
        <v>1.3174353321709214E-6</v>
      </c>
      <c r="F30" s="11">
        <f>F9*'Parameters, country spec'!F14</f>
        <v>1.3174353321709214E-6</v>
      </c>
      <c r="G30" s="11">
        <f>G9*'Parameters, country spec'!G14</f>
        <v>1.165820789068135E-6</v>
      </c>
      <c r="H30" s="11">
        <f>H9*'Parameters, country spec'!H14</f>
        <v>1.3174353321709214E-6</v>
      </c>
      <c r="I30" s="11">
        <f>I9*'Parameters, country spec'!I14</f>
        <v>1.0092972595148676E-6</v>
      </c>
      <c r="J30" s="11">
        <f>J9*'Parameters, country spec'!J14</f>
        <v>1.3174353321709214E-6</v>
      </c>
      <c r="K30" s="11">
        <f>K9*'Parameters, country spec'!K14</f>
        <v>1.3174353321709214E-6</v>
      </c>
      <c r="L30" s="11">
        <f>L9*'Parameters, country spec'!L14</f>
        <v>1.329536243562824E-6</v>
      </c>
      <c r="M30" s="11">
        <f>M9*'Parameters, country spec'!M14</f>
        <v>1.3174353321709214E-6</v>
      </c>
    </row>
    <row r="31" spans="1:13" x14ac:dyDescent="0.2">
      <c r="A31" s="6" t="s">
        <v>154</v>
      </c>
      <c r="B31" s="7">
        <f t="shared" ref="B31:M31" si="3">SUM(B26:B30)</f>
        <v>0.27711237244198433</v>
      </c>
      <c r="C31" s="7">
        <f t="shared" si="3"/>
        <v>0.27707381040447066</v>
      </c>
      <c r="D31" s="7">
        <f t="shared" si="3"/>
        <v>0.27710106836601567</v>
      </c>
      <c r="E31" s="7">
        <f t="shared" si="3"/>
        <v>0.27712979889387085</v>
      </c>
      <c r="F31" s="7">
        <f t="shared" si="3"/>
        <v>0.27712979889387085</v>
      </c>
      <c r="G31" s="7">
        <f t="shared" si="3"/>
        <v>0.27697134466327478</v>
      </c>
      <c r="H31" s="7">
        <f t="shared" si="3"/>
        <v>0.27712979889387085</v>
      </c>
      <c r="I31" s="7">
        <f t="shared" si="3"/>
        <v>0.27685602196295339</v>
      </c>
      <c r="J31" s="7">
        <f t="shared" si="3"/>
        <v>0.27712979889387085</v>
      </c>
      <c r="K31" s="7">
        <f t="shared" si="3"/>
        <v>0.27712979889387085</v>
      </c>
      <c r="L31" s="7">
        <f t="shared" si="3"/>
        <v>0.27714799875510004</v>
      </c>
      <c r="M31" s="7">
        <f t="shared" si="3"/>
        <v>0.27712979889387085</v>
      </c>
    </row>
    <row r="32" spans="1:13" x14ac:dyDescent="0.2">
      <c r="A32" s="115" t="s">
        <v>158</v>
      </c>
      <c r="B32" s="163"/>
      <c r="C32" s="163"/>
      <c r="D32" s="163"/>
      <c r="E32" s="163"/>
      <c r="F32" s="163"/>
      <c r="G32" s="163"/>
      <c r="H32" s="163"/>
      <c r="I32" s="163"/>
      <c r="J32" s="163"/>
      <c r="K32" s="163"/>
      <c r="L32" s="163"/>
      <c r="M32" s="163"/>
    </row>
    <row r="33" spans="1:13" x14ac:dyDescent="0.2">
      <c r="A33" s="3" t="s">
        <v>149</v>
      </c>
      <c r="B33" s="11">
        <f t="shared" ref="B33:M33" si="4">B19+B26</f>
        <v>1.5838968397573367</v>
      </c>
      <c r="C33" s="11">
        <f t="shared" si="4"/>
        <v>1.3821829999999999</v>
      </c>
      <c r="D33" s="11">
        <f t="shared" si="4"/>
        <v>1.3821829999999999</v>
      </c>
      <c r="E33" s="11">
        <f t="shared" si="4"/>
        <v>1.3821829999999999</v>
      </c>
      <c r="F33" s="11">
        <f t="shared" si="4"/>
        <v>1.3821829999999999</v>
      </c>
      <c r="G33" s="11">
        <f t="shared" si="4"/>
        <v>1.5701399999999999</v>
      </c>
      <c r="H33" s="11">
        <f t="shared" si="4"/>
        <v>1.3821829999999999</v>
      </c>
      <c r="I33" s="11">
        <f t="shared" si="4"/>
        <v>1.3821829999999999</v>
      </c>
      <c r="J33" s="11">
        <f t="shared" si="4"/>
        <v>1.3821829999999999</v>
      </c>
      <c r="K33" s="11">
        <f t="shared" si="4"/>
        <v>1.3821829999999999</v>
      </c>
      <c r="L33" s="11">
        <f t="shared" si="4"/>
        <v>1.5447276900000002</v>
      </c>
      <c r="M33" s="11">
        <f t="shared" si="4"/>
        <v>1.3821829999999999</v>
      </c>
    </row>
    <row r="34" spans="1:13" x14ac:dyDescent="0.2">
      <c r="A34" s="3" t="s">
        <v>150</v>
      </c>
      <c r="B34" s="11">
        <f t="shared" ref="B34:M34" si="5">B20+B27</f>
        <v>2.5291956440212145E-2</v>
      </c>
      <c r="C34" s="11">
        <f t="shared" si="5"/>
        <v>2.8034867834982942E-2</v>
      </c>
      <c r="D34" s="11">
        <f t="shared" si="5"/>
        <v>2.5159101216885527E-2</v>
      </c>
      <c r="E34" s="11">
        <f t="shared" si="5"/>
        <v>2.5500607648333392E-2</v>
      </c>
      <c r="F34" s="11">
        <f t="shared" si="5"/>
        <v>2.5500607648333392E-2</v>
      </c>
      <c r="G34" s="11">
        <f t="shared" si="5"/>
        <v>2.3612132701291984E-2</v>
      </c>
      <c r="H34" s="11">
        <f t="shared" si="5"/>
        <v>2.5500607648333392E-2</v>
      </c>
      <c r="I34" s="11">
        <f t="shared" si="5"/>
        <v>2.2245231210506526E-2</v>
      </c>
      <c r="J34" s="11">
        <f t="shared" si="5"/>
        <v>2.5500607648333392E-2</v>
      </c>
      <c r="K34" s="11">
        <f t="shared" si="5"/>
        <v>2.5500607648333392E-2</v>
      </c>
      <c r="L34" s="11">
        <f t="shared" si="5"/>
        <v>2.555271111561136E-2</v>
      </c>
      <c r="M34" s="11">
        <f t="shared" si="5"/>
        <v>2.5500607648333392E-2</v>
      </c>
    </row>
    <row r="35" spans="1:13" x14ac:dyDescent="0.2">
      <c r="A35" s="3" t="s">
        <v>151</v>
      </c>
      <c r="B35" s="11">
        <f t="shared" ref="B35:M35" si="6">B21+B28</f>
        <v>2.3274806540072523E-3</v>
      </c>
      <c r="C35" s="11">
        <f t="shared" si="6"/>
        <v>2.2854511821996958E-3</v>
      </c>
      <c r="D35" s="11">
        <f t="shared" si="6"/>
        <v>2.3152547132103251E-3</v>
      </c>
      <c r="E35" s="11">
        <f t="shared" si="6"/>
        <v>2.346681685429453E-3</v>
      </c>
      <c r="F35" s="11">
        <f t="shared" si="6"/>
        <v>2.346681685429453E-3</v>
      </c>
      <c r="G35" s="11">
        <f t="shared" si="6"/>
        <v>2.1728956473581586E-3</v>
      </c>
      <c r="H35" s="11">
        <f t="shared" si="6"/>
        <v>2.346681685429453E-3</v>
      </c>
      <c r="I35" s="11">
        <f t="shared" si="6"/>
        <v>2.0471071666110304E-3</v>
      </c>
      <c r="J35" s="11">
        <f t="shared" si="6"/>
        <v>2.346681685429453E-3</v>
      </c>
      <c r="K35" s="11">
        <f t="shared" si="6"/>
        <v>2.346681685429453E-3</v>
      </c>
      <c r="L35" s="11">
        <f t="shared" si="6"/>
        <v>2.3667222397911114E-3</v>
      </c>
      <c r="M35" s="11">
        <f t="shared" si="6"/>
        <v>2.346681685429453E-3</v>
      </c>
    </row>
    <row r="36" spans="1:13" x14ac:dyDescent="0.2">
      <c r="A36" s="3" t="s">
        <v>152</v>
      </c>
      <c r="B36" s="11">
        <f t="shared" ref="B36:M36" si="7">B22+B29</f>
        <v>2.1298489633862861E-4</v>
      </c>
      <c r="C36" s="11">
        <f t="shared" si="7"/>
        <v>2.3039990002382999E-4</v>
      </c>
      <c r="D36" s="11">
        <f t="shared" si="7"/>
        <v>2.0935386908163537E-4</v>
      </c>
      <c r="E36" s="11">
        <f t="shared" si="7"/>
        <v>2.1474195914386013E-4</v>
      </c>
      <c r="F36" s="11">
        <f t="shared" si="7"/>
        <v>2.1474195914386013E-4</v>
      </c>
      <c r="G36" s="11">
        <f t="shared" si="7"/>
        <v>1.9002878861810595E-4</v>
      </c>
      <c r="H36" s="11">
        <f t="shared" si="7"/>
        <v>2.1474195914386013E-4</v>
      </c>
      <c r="I36" s="11">
        <f t="shared" si="7"/>
        <v>1.6451545330092339E-4</v>
      </c>
      <c r="J36" s="11">
        <f t="shared" si="7"/>
        <v>2.1474195914386013E-4</v>
      </c>
      <c r="K36" s="11">
        <f t="shared" si="7"/>
        <v>2.1474195914386013E-4</v>
      </c>
      <c r="L36" s="11">
        <f t="shared" si="7"/>
        <v>2.1531839464499928E-4</v>
      </c>
      <c r="M36" s="11">
        <f t="shared" si="7"/>
        <v>2.1474195914386013E-4</v>
      </c>
    </row>
    <row r="37" spans="1:13" x14ac:dyDescent="0.2">
      <c r="A37" s="3" t="s">
        <v>153</v>
      </c>
      <c r="B37" s="11">
        <f t="shared" ref="B37:M37" si="8">B23+B30</f>
        <v>1.9599837086376869E-5</v>
      </c>
      <c r="C37" s="11">
        <f t="shared" si="8"/>
        <v>1.8782600545420919E-5</v>
      </c>
      <c r="D37" s="11">
        <f t="shared" si="8"/>
        <v>1.9265693473770127E-5</v>
      </c>
      <c r="E37" s="11">
        <f t="shared" si="8"/>
        <v>1.9761529982563819E-5</v>
      </c>
      <c r="F37" s="11">
        <f t="shared" si="8"/>
        <v>1.9761529982563819E-5</v>
      </c>
      <c r="G37" s="11">
        <f t="shared" si="8"/>
        <v>1.7487311836022022E-5</v>
      </c>
      <c r="H37" s="11">
        <f t="shared" si="8"/>
        <v>1.9761529982563819E-5</v>
      </c>
      <c r="I37" s="11">
        <f t="shared" si="8"/>
        <v>1.5139458892723014E-5</v>
      </c>
      <c r="J37" s="11">
        <f t="shared" si="8"/>
        <v>1.9761529982563819E-5</v>
      </c>
      <c r="K37" s="11">
        <f t="shared" si="8"/>
        <v>1.9761529982563819E-5</v>
      </c>
      <c r="L37" s="11">
        <f t="shared" si="8"/>
        <v>1.9943043653442361E-5</v>
      </c>
      <c r="M37" s="11">
        <f t="shared" si="8"/>
        <v>1.9761529982563819E-5</v>
      </c>
    </row>
    <row r="38" spans="1:13" x14ac:dyDescent="0.2">
      <c r="A38" s="6" t="s">
        <v>154</v>
      </c>
      <c r="B38" s="7">
        <f t="shared" ref="B38:M38" si="9">SUM(B33:B37)</f>
        <v>1.6117488615849811</v>
      </c>
      <c r="C38" s="7">
        <f t="shared" si="9"/>
        <v>1.4127525015177518</v>
      </c>
      <c r="D38" s="7">
        <f t="shared" si="9"/>
        <v>1.4098859754926514</v>
      </c>
      <c r="E38" s="7">
        <f t="shared" si="9"/>
        <v>1.4102647928228891</v>
      </c>
      <c r="F38" s="7">
        <f t="shared" si="9"/>
        <v>1.4102647928228891</v>
      </c>
      <c r="G38" s="7">
        <f t="shared" si="9"/>
        <v>1.5961325444491039</v>
      </c>
      <c r="H38" s="7">
        <f t="shared" si="9"/>
        <v>1.4102647928228891</v>
      </c>
      <c r="I38" s="7">
        <f t="shared" si="9"/>
        <v>1.4066549932893113</v>
      </c>
      <c r="J38" s="7">
        <f t="shared" si="9"/>
        <v>1.4102647928228891</v>
      </c>
      <c r="K38" s="7">
        <f t="shared" si="9"/>
        <v>1.4102647928228891</v>
      </c>
      <c r="L38" s="7">
        <f t="shared" si="9"/>
        <v>1.572882384793701</v>
      </c>
      <c r="M38" s="7">
        <f t="shared" si="9"/>
        <v>1.4102647928228891</v>
      </c>
    </row>
    <row r="39" spans="1:13" x14ac:dyDescent="0.2">
      <c r="A39" s="115" t="s">
        <v>159</v>
      </c>
      <c r="B39" s="163"/>
      <c r="C39" s="163"/>
      <c r="D39" s="163"/>
      <c r="E39" s="163"/>
      <c r="F39" s="163"/>
      <c r="G39" s="163"/>
      <c r="H39" s="163"/>
      <c r="I39" s="163"/>
      <c r="J39" s="163"/>
      <c r="K39" s="163"/>
      <c r="L39" s="163"/>
      <c r="M39" s="163"/>
    </row>
    <row r="40" spans="1:13" x14ac:dyDescent="0.2">
      <c r="A40" s="3" t="s">
        <v>149</v>
      </c>
      <c r="B40" s="11">
        <f>B5/(1-'Parameters, country spec'!B7/100)/(1-'Parameters, country spec'!B8/100)</f>
        <v>1.0579457518214785</v>
      </c>
      <c r="C40" s="11">
        <f>C5/(1-'Parameters, country spec'!C7/100)/(1-'Parameters, country spec'!C8/100)</f>
        <v>1.064466202133616</v>
      </c>
      <c r="D40" s="11">
        <f>D5/(1-'Parameters, country spec'!D7/100)/(1-'Parameters, country spec'!D8/100)</f>
        <v>1.0650171680767495</v>
      </c>
      <c r="E40" s="11">
        <f>E5/(1-'Parameters, country spec'!E7/100)/(1-'Parameters, country spec'!E8/100)</f>
        <v>1.0666734933770243</v>
      </c>
      <c r="F40" s="11">
        <f>F5/(1-'Parameters, country spec'!F7/100)/(1-'Parameters, country spec'!F8/100)</f>
        <v>1.0666734933770243</v>
      </c>
      <c r="G40" s="11">
        <f>G5/(1-'Parameters, country spec'!G7/100)/(1-'Parameters, country spec'!G8/100)</f>
        <v>1.0469406300907489</v>
      </c>
      <c r="H40" s="11">
        <f>H5/(1-'Parameters, country spec'!H7/100)/(1-'Parameters, country spec'!H8/100)</f>
        <v>1.0666734933770243</v>
      </c>
      <c r="I40" s="11">
        <f>I5/(1-'Parameters, country spec'!I7/100)/(1-'Parameters, country spec'!I8/100)</f>
        <v>1.0595330425974665</v>
      </c>
      <c r="J40" s="11">
        <f>J5/(1-'Parameters, country spec'!J7/100)/(1-'Parameters, country spec'!J8/100)</f>
        <v>1.0666734933770243</v>
      </c>
      <c r="K40" s="11">
        <f>K5/(1-'Parameters, country spec'!K7/100)/(1-'Parameters, country spec'!K8/100)</f>
        <v>1.0666734933770243</v>
      </c>
      <c r="L40" s="11">
        <f>L5/(1-'Parameters, country spec'!L7/100)/(1-'Parameters, country spec'!L8/100)</f>
        <v>1.0614390651184376</v>
      </c>
      <c r="M40" s="11">
        <f>M5/(1-'Parameters, country spec'!M7/100)/(1-'Parameters, country spec'!M8/100)</f>
        <v>1.0666734933770243</v>
      </c>
    </row>
    <row r="41" spans="1:13" x14ac:dyDescent="0.2">
      <c r="A41" s="3" t="s">
        <v>150</v>
      </c>
      <c r="B41" s="11">
        <f>B40/'Parameters, country spec'!B16/(1-'Parameters, country spec'!B18/100)</f>
        <v>8.2490896828185459E-3</v>
      </c>
      <c r="C41" s="11">
        <f>C40/'Parameters, country spec'!C16/(1-'Parameters, country spec'!C18/100)</f>
        <v>8.1001282374612658E-3</v>
      </c>
      <c r="D41" s="11">
        <f>D40/'Parameters, country spec'!D16/(1-'Parameters, country spec'!D18/100)</f>
        <v>8.2057583314206085E-3</v>
      </c>
      <c r="E41" s="11">
        <f>E40/'Parameters, country spec'!E16/(1-'Parameters, country spec'!E18/100)</f>
        <v>8.3171422485537952E-3</v>
      </c>
      <c r="F41" s="11">
        <f>F40/'Parameters, country spec'!F16/(1-'Parameters, country spec'!F18/100)</f>
        <v>8.3171422485537952E-3</v>
      </c>
      <c r="G41" s="11">
        <f>G40/'Parameters, country spec'!G16/(1-'Parameters, country spec'!G18/100)</f>
        <v>7.8015785127034257E-3</v>
      </c>
      <c r="H41" s="11">
        <f>H40/'Parameters, country spec'!H16/(1-'Parameters, country spec'!H18/100)</f>
        <v>8.3171422485537952E-3</v>
      </c>
      <c r="I41" s="11">
        <f>I40/'Parameters, country spec'!I16/(1-'Parameters, country spec'!I18/100)</f>
        <v>7.255386023785327E-3</v>
      </c>
      <c r="J41" s="11">
        <f>J40/'Parameters, country spec'!J16/(1-'Parameters, country spec'!J18/100)</f>
        <v>8.3171422485537952E-3</v>
      </c>
      <c r="K41" s="11">
        <f>K40/'Parameters, country spec'!K16/(1-'Parameters, country spec'!K18/100)</f>
        <v>8.3171422485537952E-3</v>
      </c>
      <c r="L41" s="11">
        <f>L40/'Parameters, country spec'!L16/(1-'Parameters, country spec'!L18/100)</f>
        <v>8.2816230659637172E-3</v>
      </c>
      <c r="M41" s="11">
        <f>M40/'Parameters, country spec'!M16/(1-'Parameters, country spec'!M18/100)</f>
        <v>8.3171422485537952E-3</v>
      </c>
    </row>
    <row r="42" spans="1:13" x14ac:dyDescent="0.2">
      <c r="A42" s="3" t="s">
        <v>151</v>
      </c>
      <c r="B42" s="230">
        <f>B41/'Parameters, country spec'!B17</f>
        <v>6.5992717462548371E-4</v>
      </c>
      <c r="C42" s="230">
        <f>C41/'Parameters, country spec'!C17</f>
        <v>6.4801025899690126E-4</v>
      </c>
      <c r="D42" s="230">
        <f>D41/'Parameters, country spec'!D17</f>
        <v>6.5646066651364873E-4</v>
      </c>
      <c r="E42" s="230">
        <f>E41/'Parameters, country spec'!E17</f>
        <v>6.6537137988430359E-4</v>
      </c>
      <c r="F42" s="230">
        <f>F41/'Parameters, country spec'!F17</f>
        <v>6.6537137988430359E-4</v>
      </c>
      <c r="G42" s="230">
        <f>G41/'Parameters, country spec'!G17</f>
        <v>6.2412628101627407E-4</v>
      </c>
      <c r="H42" s="230">
        <f>H41/'Parameters, country spec'!H17</f>
        <v>6.6537137988430359E-4</v>
      </c>
      <c r="I42" s="230">
        <f>I41/'Parameters, country spec'!I17</f>
        <v>5.8043088190282621E-4</v>
      </c>
      <c r="J42" s="230">
        <f>J41/'Parameters, country spec'!J17</f>
        <v>6.6537137988430359E-4</v>
      </c>
      <c r="K42" s="230">
        <f>K41/'Parameters, country spec'!K17</f>
        <v>6.6537137988430359E-4</v>
      </c>
      <c r="L42" s="230">
        <f>L41/'Parameters, country spec'!L17</f>
        <v>6.6252984527709737E-4</v>
      </c>
      <c r="M42" s="230">
        <f>M41/'Parameters, country spec'!M17</f>
        <v>6.6537137988430359E-4</v>
      </c>
    </row>
    <row r="43" spans="1:13" x14ac:dyDescent="0.2">
      <c r="A43" s="3" t="s">
        <v>152</v>
      </c>
      <c r="B43" s="230">
        <f>(B41+B42)/'Parameters, country spec'!B16/(1-'Parameters, country spec'!B18/100)</f>
        <v>6.9466018381629866E-5</v>
      </c>
      <c r="C43" s="230">
        <f>(C41+C42)/'Parameters, country spec'!C16/(1-'Parameters, country spec'!C18/100)</f>
        <v>6.6569557134222646E-5</v>
      </c>
      <c r="D43" s="230">
        <f>(D41+D42)/'Parameters, country spec'!D16/(1-'Parameters, country spec'!D18/100)</f>
        <v>6.8281741888251372E-5</v>
      </c>
      <c r="E43" s="230">
        <f>(E41+E42)/'Parameters, country spec'!E16/(1-'Parameters, country spec'!E18/100)</f>
        <v>7.0039092619400388E-5</v>
      </c>
      <c r="F43" s="230">
        <f>(F41+F42)/'Parameters, country spec'!F16/(1-'Parameters, country spec'!F18/100)</f>
        <v>7.0039092619400388E-5</v>
      </c>
      <c r="G43" s="230">
        <f>(G41+G42)/'Parameters, country spec'!G16/(1-'Parameters, country spec'!G18/100)</f>
        <v>6.278655692956348E-5</v>
      </c>
      <c r="H43" s="230">
        <f>(H41+H42)/'Parameters, country spec'!H16/(1-'Parameters, country spec'!H18/100)</f>
        <v>7.0039092619400388E-5</v>
      </c>
      <c r="I43" s="230">
        <f>(I41+I42)/'Parameters, country spec'!I16/(1-'Parameters, country spec'!I18/100)</f>
        <v>5.3657483227797313E-5</v>
      </c>
      <c r="J43" s="230">
        <f>(J41+J42)/'Parameters, country spec'!J16/(1-'Parameters, country spec'!J18/100)</f>
        <v>7.0039092619400388E-5</v>
      </c>
      <c r="K43" s="230">
        <f>(K41+K42)/'Parameters, country spec'!K16/(1-'Parameters, country spec'!K18/100)</f>
        <v>7.0039092619400388E-5</v>
      </c>
      <c r="L43" s="230">
        <f>(L41+L42)/'Parameters, country spec'!L16/(1-'Parameters, country spec'!L18/100)</f>
        <v>6.9784602328512691E-5</v>
      </c>
      <c r="M43" s="230">
        <f>(M41+M42)/'Parameters, country spec'!M16/(1-'Parameters, country spec'!M18/100)</f>
        <v>7.0039092619400388E-5</v>
      </c>
    </row>
    <row r="44" spans="1:13" x14ac:dyDescent="0.2">
      <c r="A44" s="3" t="s">
        <v>153</v>
      </c>
      <c r="B44" s="230">
        <f>B43/'Parameters, country spec'!B17</f>
        <v>5.5572814705303892E-6</v>
      </c>
      <c r="C44" s="230">
        <f>C43/'Parameters, country spec'!C17</f>
        <v>5.3255645707378118E-6</v>
      </c>
      <c r="D44" s="230">
        <f>D43/'Parameters, country spec'!D17</f>
        <v>5.4625393510601096E-6</v>
      </c>
      <c r="E44" s="230">
        <f>E43/'Parameters, country spec'!E17</f>
        <v>5.6031274095520313E-6</v>
      </c>
      <c r="F44" s="230">
        <f>F43/'Parameters, country spec'!F17</f>
        <v>5.6031274095520313E-6</v>
      </c>
      <c r="G44" s="230">
        <f>G43/'Parameters, country spec'!G17</f>
        <v>5.0229245543650785E-6</v>
      </c>
      <c r="H44" s="230">
        <f>H43/'Parameters, country spec'!H17</f>
        <v>5.6031274095520313E-6</v>
      </c>
      <c r="I44" s="230">
        <f>I43/'Parameters, country spec'!I17</f>
        <v>4.2925986582237855E-6</v>
      </c>
      <c r="J44" s="230">
        <f>J43/'Parameters, country spec'!J17</f>
        <v>5.6031274095520313E-6</v>
      </c>
      <c r="K44" s="230">
        <f>K43/'Parameters, country spec'!K17</f>
        <v>5.6031274095520313E-6</v>
      </c>
      <c r="L44" s="230">
        <f>L43/'Parameters, country spec'!L17</f>
        <v>5.5827681862810156E-6</v>
      </c>
      <c r="M44" s="230">
        <f>M43/'Parameters, country spec'!M17</f>
        <v>5.6031274095520313E-6</v>
      </c>
    </row>
    <row r="45" spans="1:13" x14ac:dyDescent="0.2">
      <c r="A45" s="6" t="s">
        <v>154</v>
      </c>
      <c r="B45" s="7">
        <f t="shared" ref="B45:M45" si="10">SUM(B40:B44)</f>
        <v>1.0669297919787746</v>
      </c>
      <c r="C45" s="7">
        <f t="shared" si="10"/>
        <v>1.0732862357517792</v>
      </c>
      <c r="D45" s="7">
        <f t="shared" si="10"/>
        <v>1.073953131355923</v>
      </c>
      <c r="E45" s="7">
        <f t="shared" si="10"/>
        <v>1.0757316492254914</v>
      </c>
      <c r="F45" s="7">
        <f t="shared" si="10"/>
        <v>1.0757316492254914</v>
      </c>
      <c r="G45" s="7">
        <f t="shared" si="10"/>
        <v>1.0554341443659525</v>
      </c>
      <c r="H45" s="7">
        <f t="shared" si="10"/>
        <v>1.0757316492254914</v>
      </c>
      <c r="I45" s="7">
        <f t="shared" si="10"/>
        <v>1.0674268095850408</v>
      </c>
      <c r="J45" s="7">
        <f t="shared" si="10"/>
        <v>1.0757316492254914</v>
      </c>
      <c r="K45" s="7">
        <f t="shared" si="10"/>
        <v>1.0757316492254914</v>
      </c>
      <c r="L45" s="7">
        <f t="shared" si="10"/>
        <v>1.0704585854001931</v>
      </c>
      <c r="M45" s="7">
        <f t="shared" si="10"/>
        <v>1.0757316492254914</v>
      </c>
    </row>
    <row r="46" spans="1:13" x14ac:dyDescent="0.2">
      <c r="A46" s="115" t="s">
        <v>160</v>
      </c>
      <c r="B46" s="115" t="s">
        <v>99</v>
      </c>
      <c r="C46" s="115" t="s">
        <v>49</v>
      </c>
      <c r="D46" s="115" t="s">
        <v>51</v>
      </c>
      <c r="E46" s="115" t="s">
        <v>53</v>
      </c>
      <c r="F46" s="115" t="s">
        <v>100</v>
      </c>
      <c r="G46" s="115" t="s">
        <v>91</v>
      </c>
      <c r="H46" s="115" t="s">
        <v>59</v>
      </c>
      <c r="I46" s="115" t="s">
        <v>90</v>
      </c>
      <c r="J46" s="115" t="s">
        <v>63</v>
      </c>
      <c r="K46" s="115" t="s">
        <v>65</v>
      </c>
      <c r="L46" s="115" t="s">
        <v>67</v>
      </c>
      <c r="M46" s="115" t="s">
        <v>69</v>
      </c>
    </row>
    <row r="47" spans="1:13" x14ac:dyDescent="0.2">
      <c r="A47" s="3" t="s">
        <v>149</v>
      </c>
      <c r="B47" s="11">
        <f t="shared" ref="B47:M47" si="11">B40/B60</f>
        <v>0.61942549675796477</v>
      </c>
      <c r="C47" s="11">
        <f t="shared" si="11"/>
        <v>0.71243974279377753</v>
      </c>
      <c r="D47" s="11">
        <f t="shared" si="11"/>
        <v>0.71417485158520744</v>
      </c>
      <c r="E47" s="11">
        <f t="shared" si="11"/>
        <v>0.71509984404237692</v>
      </c>
      <c r="F47" s="11">
        <f t="shared" si="11"/>
        <v>0.71509984404237692</v>
      </c>
      <c r="G47" s="11">
        <f t="shared" si="11"/>
        <v>0.61902597981990271</v>
      </c>
      <c r="H47" s="11">
        <f t="shared" si="11"/>
        <v>0.71509984404237692</v>
      </c>
      <c r="I47" s="11">
        <f t="shared" si="11"/>
        <v>0.7120744825219919</v>
      </c>
      <c r="J47" s="11">
        <f t="shared" si="11"/>
        <v>0.71509984404237692</v>
      </c>
      <c r="K47" s="11">
        <f t="shared" si="11"/>
        <v>0.71509984404237692</v>
      </c>
      <c r="L47" s="11">
        <f t="shared" si="11"/>
        <v>0.63703664959257589</v>
      </c>
      <c r="M47" s="11">
        <f t="shared" si="11"/>
        <v>0.71509984404237692</v>
      </c>
    </row>
    <row r="48" spans="1:13" x14ac:dyDescent="0.2">
      <c r="A48" s="3" t="s">
        <v>150</v>
      </c>
      <c r="B48" s="304">
        <f t="shared" ref="B48:M48" si="12">B41/B60</f>
        <v>4.8298284347599594E-3</v>
      </c>
      <c r="C48" s="304">
        <f t="shared" si="12"/>
        <v>5.4213588618656191E-3</v>
      </c>
      <c r="D48" s="304">
        <f t="shared" si="12"/>
        <v>5.5025838213192749E-3</v>
      </c>
      <c r="E48" s="304">
        <f t="shared" si="12"/>
        <v>5.5758272439951411E-3</v>
      </c>
      <c r="F48" s="304">
        <f t="shared" si="12"/>
        <v>5.5758272439951411E-3</v>
      </c>
      <c r="G48" s="304">
        <f t="shared" si="12"/>
        <v>4.6128497110189777E-3</v>
      </c>
      <c r="H48" s="304">
        <f t="shared" si="12"/>
        <v>5.5758272439951411E-3</v>
      </c>
      <c r="I48" s="304">
        <f t="shared" si="12"/>
        <v>4.8760869559280155E-3</v>
      </c>
      <c r="J48" s="304">
        <f t="shared" si="12"/>
        <v>5.5758272439951411E-3</v>
      </c>
      <c r="K48" s="304">
        <f t="shared" si="12"/>
        <v>5.5758272439951411E-3</v>
      </c>
      <c r="L48" s="304">
        <f t="shared" si="12"/>
        <v>4.9703252730211589E-3</v>
      </c>
      <c r="M48" s="304">
        <f t="shared" si="12"/>
        <v>5.5758272439951411E-3</v>
      </c>
    </row>
    <row r="49" spans="1:13" x14ac:dyDescent="0.2">
      <c r="A49" s="3" t="s">
        <v>151</v>
      </c>
      <c r="B49" s="11">
        <f t="shared" ref="B49:M49" si="13">B42/B60</f>
        <v>3.8638627478079676E-4</v>
      </c>
      <c r="C49" s="11">
        <f t="shared" si="13"/>
        <v>4.3370870894924955E-4</v>
      </c>
      <c r="D49" s="11">
        <f t="shared" si="13"/>
        <v>4.4020670570554202E-4</v>
      </c>
      <c r="E49" s="11">
        <f t="shared" si="13"/>
        <v>4.4606617951961132E-4</v>
      </c>
      <c r="F49" s="11">
        <f t="shared" si="13"/>
        <v>4.4606617951961132E-4</v>
      </c>
      <c r="G49" s="11">
        <f t="shared" si="13"/>
        <v>3.6902797688151824E-4</v>
      </c>
      <c r="H49" s="11">
        <f t="shared" si="13"/>
        <v>4.4606617951961132E-4</v>
      </c>
      <c r="I49" s="11">
        <f t="shared" si="13"/>
        <v>3.9008695647424133E-4</v>
      </c>
      <c r="J49" s="11">
        <f t="shared" si="13"/>
        <v>4.4606617951961132E-4</v>
      </c>
      <c r="K49" s="11">
        <f t="shared" si="13"/>
        <v>4.4606617951961132E-4</v>
      </c>
      <c r="L49" s="11">
        <f t="shared" si="13"/>
        <v>3.9762602184169272E-4</v>
      </c>
      <c r="M49" s="11">
        <f t="shared" si="13"/>
        <v>4.4606617951961132E-4</v>
      </c>
    </row>
    <row r="50" spans="1:13" x14ac:dyDescent="0.2">
      <c r="A50" s="3" t="s">
        <v>152</v>
      </c>
      <c r="B50" s="11">
        <f t="shared" ref="B50:M50" si="14">B43/B60</f>
        <v>4.0672239450610184E-5</v>
      </c>
      <c r="C50" s="11">
        <f t="shared" si="14"/>
        <v>4.4554536412277804E-5</v>
      </c>
      <c r="D50" s="11">
        <f t="shared" si="14"/>
        <v>4.5788090878462866E-5</v>
      </c>
      <c r="E50" s="11">
        <f t="shared" si="14"/>
        <v>4.6954334686274881E-5</v>
      </c>
      <c r="F50" s="11">
        <f t="shared" si="14"/>
        <v>4.6954334686274881E-5</v>
      </c>
      <c r="G50" s="11">
        <f t="shared" si="14"/>
        <v>3.7123891083940627E-5</v>
      </c>
      <c r="H50" s="11">
        <f t="shared" si="14"/>
        <v>4.6954334686274881E-5</v>
      </c>
      <c r="I50" s="11">
        <f t="shared" si="14"/>
        <v>3.6061286497680383E-5</v>
      </c>
      <c r="J50" s="11">
        <f t="shared" si="14"/>
        <v>4.6954334686274881E-5</v>
      </c>
      <c r="K50" s="11">
        <f t="shared" si="14"/>
        <v>4.6954334686274881E-5</v>
      </c>
      <c r="L50" s="11">
        <f t="shared" si="14"/>
        <v>4.1882149170329975E-5</v>
      </c>
      <c r="M50" s="11">
        <f t="shared" si="14"/>
        <v>4.6954334686274881E-5</v>
      </c>
    </row>
    <row r="51" spans="1:13" x14ac:dyDescent="0.2">
      <c r="A51" s="3" t="s">
        <v>153</v>
      </c>
      <c r="B51" s="11">
        <f t="shared" ref="B51:M51" si="15">B44/B60</f>
        <v>3.2537791560488148E-6</v>
      </c>
      <c r="C51" s="11">
        <f t="shared" si="15"/>
        <v>3.5643629129822243E-6</v>
      </c>
      <c r="D51" s="11">
        <f t="shared" si="15"/>
        <v>3.663047270277029E-6</v>
      </c>
      <c r="E51" s="11">
        <f t="shared" si="15"/>
        <v>3.7563467749019905E-6</v>
      </c>
      <c r="F51" s="11">
        <f t="shared" si="15"/>
        <v>3.7563467749019905E-6</v>
      </c>
      <c r="G51" s="11">
        <f t="shared" si="15"/>
        <v>2.9699112867152505E-6</v>
      </c>
      <c r="H51" s="11">
        <f t="shared" si="15"/>
        <v>3.7563467749019905E-6</v>
      </c>
      <c r="I51" s="11">
        <f t="shared" si="15"/>
        <v>2.8849029198144309E-6</v>
      </c>
      <c r="J51" s="11">
        <f t="shared" si="15"/>
        <v>3.7563467749019905E-6</v>
      </c>
      <c r="K51" s="11">
        <f t="shared" si="15"/>
        <v>3.7563467749019905E-6</v>
      </c>
      <c r="L51" s="11">
        <f t="shared" si="15"/>
        <v>3.3505719336263981E-6</v>
      </c>
      <c r="M51" s="11">
        <f t="shared" si="15"/>
        <v>3.7563467749019905E-6</v>
      </c>
    </row>
    <row r="52" spans="1:13" x14ac:dyDescent="0.2">
      <c r="A52" s="3" t="s">
        <v>161</v>
      </c>
      <c r="B52" s="304">
        <f t="shared" ref="B52:M52" si="16">SUM(B48:B51)</f>
        <v>5.2601407281474147E-3</v>
      </c>
      <c r="C52" s="304">
        <f t="shared" si="16"/>
        <v>5.9031864701401286E-3</v>
      </c>
      <c r="D52" s="304">
        <f t="shared" si="16"/>
        <v>5.9922416651735566E-3</v>
      </c>
      <c r="E52" s="304">
        <f t="shared" si="16"/>
        <v>6.0726041049759287E-3</v>
      </c>
      <c r="F52" s="304">
        <f t="shared" si="16"/>
        <v>6.0726041049759287E-3</v>
      </c>
      <c r="G52" s="304">
        <f t="shared" si="16"/>
        <v>5.0219714902711527E-3</v>
      </c>
      <c r="H52" s="304">
        <f t="shared" si="16"/>
        <v>6.0726041049759287E-3</v>
      </c>
      <c r="I52" s="304">
        <f t="shared" si="16"/>
        <v>5.3051201018197514E-3</v>
      </c>
      <c r="J52" s="304">
        <f t="shared" si="16"/>
        <v>6.0726041049759287E-3</v>
      </c>
      <c r="K52" s="304">
        <f t="shared" si="16"/>
        <v>6.0726041049759287E-3</v>
      </c>
      <c r="L52" s="304">
        <f t="shared" si="16"/>
        <v>5.4131840159668074E-3</v>
      </c>
      <c r="M52" s="304">
        <f t="shared" si="16"/>
        <v>6.0726041049759287E-3</v>
      </c>
    </row>
    <row r="53" spans="1:13" x14ac:dyDescent="0.2">
      <c r="A53" t="s">
        <v>162</v>
      </c>
    </row>
    <row r="54" spans="1:13" x14ac:dyDescent="0.2">
      <c r="A54" t="s">
        <v>149</v>
      </c>
      <c r="B54">
        <f>B5*'Parameters, country spec'!B15</f>
        <v>9.5464571465574105E-2</v>
      </c>
      <c r="C54">
        <f>C5*'Parameters, country spec'!C15</f>
        <v>8.0752544752544758E-2</v>
      </c>
      <c r="D54">
        <f>D5*'Parameters, country spec'!D15</f>
        <v>8.0752544752544758E-2</v>
      </c>
      <c r="E54">
        <f>E5*'Parameters, country spec'!E15</f>
        <v>8.0752544752544758E-2</v>
      </c>
      <c r="F54">
        <f>F5*'Parameters, country spec'!F15</f>
        <v>8.0752544752544758E-2</v>
      </c>
      <c r="G54">
        <f>G5*'Parameters, country spec'!G15</f>
        <v>9.4461214461214457E-2</v>
      </c>
      <c r="H54">
        <f>H5*'Parameters, country spec'!H15</f>
        <v>8.0752544752544758E-2</v>
      </c>
      <c r="I54">
        <f>I5*'Parameters, country spec'!I15</f>
        <v>8.0752544752544758E-2</v>
      </c>
      <c r="J54">
        <f>J5*'Parameters, country spec'!J15</f>
        <v>8.0752544752544758E-2</v>
      </c>
      <c r="K54">
        <f>K5*'Parameters, country spec'!K15</f>
        <v>8.0752544752544758E-2</v>
      </c>
      <c r="L54">
        <f>L5*'Parameters, country spec'!L15</f>
        <v>9.2607764127764142E-2</v>
      </c>
      <c r="M54">
        <f>M5*'Parameters, country spec'!M15</f>
        <v>8.0752544752544758E-2</v>
      </c>
    </row>
    <row r="55" spans="1:13" x14ac:dyDescent="0.2">
      <c r="A55" t="s">
        <v>150</v>
      </c>
      <c r="B55">
        <f>B6*'Parameters, country spec'!B15</f>
        <v>6.7330891887641372E-4</v>
      </c>
      <c r="C55">
        <f>C6*'Parameters, country spec'!C15</f>
        <v>5.5926060263738575E-4</v>
      </c>
      <c r="D55">
        <f>D6*'Parameters, country spec'!D15</f>
        <v>5.6655366618805125E-4</v>
      </c>
      <c r="E55">
        <f>E6*'Parameters, country spec'!E15</f>
        <v>5.7424399340187606E-4</v>
      </c>
      <c r="F55">
        <f>F6*'Parameters, country spec'!F15</f>
        <v>5.7424399340187606E-4</v>
      </c>
      <c r="G55">
        <f>G6*'Parameters, country spec'!G15</f>
        <v>6.2198291438466183E-4</v>
      </c>
      <c r="H55">
        <f>H6*'Parameters, country spec'!H15</f>
        <v>5.7424399340187606E-4</v>
      </c>
      <c r="I55">
        <f>I6*'Parameters, country spec'!I15</f>
        <v>5.0093670631821908E-4</v>
      </c>
      <c r="J55">
        <f>J6*'Parameters, country spec'!J15</f>
        <v>5.7424399340187606E-4</v>
      </c>
      <c r="K55">
        <f>K6*'Parameters, country spec'!K15</f>
        <v>5.7424399340187606E-4</v>
      </c>
      <c r="L55">
        <f>L6*'Parameters, country spec'!L15</f>
        <v>6.6417228769245112E-4</v>
      </c>
      <c r="M55">
        <f>M6*'Parameters, country spec'!M15</f>
        <v>5.7424399340187606E-4</v>
      </c>
    </row>
    <row r="56" spans="1:13" x14ac:dyDescent="0.2">
      <c r="A56" t="s">
        <v>151</v>
      </c>
      <c r="B56">
        <f>B7*'Parameters, country spec'!B15</f>
        <v>5.3864713510113099E-5</v>
      </c>
      <c r="C56">
        <f>C7*'Parameters, country spec'!C15</f>
        <v>4.4740848210990854E-5</v>
      </c>
      <c r="D56">
        <f>D7*'Parameters, country spec'!D15</f>
        <v>4.532429329504411E-5</v>
      </c>
      <c r="E56">
        <f>E7*'Parameters, country spec'!E15</f>
        <v>4.5939519472150078E-5</v>
      </c>
      <c r="F56">
        <f>F7*'Parameters, country spec'!F15</f>
        <v>4.5939519472150078E-5</v>
      </c>
      <c r="G56">
        <f>G7*'Parameters, country spec'!G15</f>
        <v>4.9758633150772947E-5</v>
      </c>
      <c r="H56">
        <f>H7*'Parameters, country spec'!H15</f>
        <v>4.5939519472150078E-5</v>
      </c>
      <c r="I56">
        <f>I7*'Parameters, country spec'!I15</f>
        <v>4.0074936505457529E-5</v>
      </c>
      <c r="J56">
        <f>J7*'Parameters, country spec'!J15</f>
        <v>4.5939519472150078E-5</v>
      </c>
      <c r="K56">
        <f>K7*'Parameters, country spec'!K15</f>
        <v>4.5939519472150078E-5</v>
      </c>
      <c r="L56">
        <f>L7*'Parameters, country spec'!L15</f>
        <v>5.3133783015396087E-5</v>
      </c>
      <c r="M56">
        <f>M7*'Parameters, country spec'!M15</f>
        <v>4.5939519472150078E-5</v>
      </c>
    </row>
    <row r="57" spans="1:13" x14ac:dyDescent="0.2">
      <c r="A57" t="s">
        <v>152</v>
      </c>
      <c r="B57">
        <f>B8*'Parameters, country spec'!B15</f>
        <v>5.6699698431698004E-6</v>
      </c>
      <c r="C57">
        <f>C8*'Parameters, country spec'!C15</f>
        <v>4.5961902761008317E-6</v>
      </c>
      <c r="D57">
        <f>D8*'Parameters, country spec'!D15</f>
        <v>4.7144053770588828E-6</v>
      </c>
      <c r="E57">
        <f>E8*'Parameters, country spec'!E15</f>
        <v>4.8357388918052724E-6</v>
      </c>
      <c r="F57">
        <f>F8*'Parameters, country spec'!F15</f>
        <v>4.8357388918052724E-6</v>
      </c>
      <c r="G57">
        <f>G8*'Parameters, country spec'!G15</f>
        <v>5.0056748899776057E-6</v>
      </c>
      <c r="H57">
        <f>H8*'Parameters, country spec'!H15</f>
        <v>4.8357388918052724E-6</v>
      </c>
      <c r="I57">
        <f>I8*'Parameters, country spec'!I15</f>
        <v>3.7046964598906872E-6</v>
      </c>
      <c r="J57">
        <f>J8*'Parameters, country spec'!J15</f>
        <v>4.8357388918052724E-6</v>
      </c>
      <c r="K57">
        <f>K8*'Parameters, country spec'!K15</f>
        <v>4.8357388918052724E-6</v>
      </c>
      <c r="L57">
        <f>L8*'Parameters, country spec'!L15</f>
        <v>5.5966081292354346E-6</v>
      </c>
      <c r="M57">
        <f>M8*'Parameters, country spec'!M15</f>
        <v>4.8357388918052724E-6</v>
      </c>
    </row>
    <row r="58" spans="1:13" x14ac:dyDescent="0.2">
      <c r="A58" t="s">
        <v>153</v>
      </c>
      <c r="B58">
        <f>B9*'Parameters, country spec'!B15</f>
        <v>4.5359758745358405E-7</v>
      </c>
      <c r="C58">
        <f>C9*'Parameters, country spec'!C15</f>
        <v>3.6769522208806651E-7</v>
      </c>
      <c r="D58">
        <f>D9*'Parameters, country spec'!D15</f>
        <v>3.7715243016471068E-7</v>
      </c>
      <c r="E58">
        <f>E9*'Parameters, country spec'!E15</f>
        <v>3.8685911134442177E-7</v>
      </c>
      <c r="F58">
        <f>F9*'Parameters, country spec'!F15</f>
        <v>3.8685911134442177E-7</v>
      </c>
      <c r="G58">
        <f>G9*'Parameters, country spec'!G15</f>
        <v>4.004539911982085E-7</v>
      </c>
      <c r="H58">
        <f>H9*'Parameters, country spec'!H15</f>
        <v>3.8685911134442177E-7</v>
      </c>
      <c r="I58">
        <f>I9*'Parameters, country spec'!I15</f>
        <v>2.9637571679125502E-7</v>
      </c>
      <c r="J58">
        <f>J9*'Parameters, country spec'!J15</f>
        <v>3.8685911134442177E-7</v>
      </c>
      <c r="K58">
        <f>K9*'Parameters, country spec'!K15</f>
        <v>3.8685911134442177E-7</v>
      </c>
      <c r="L58">
        <f>L9*'Parameters, country spec'!L15</f>
        <v>4.477286503388348E-7</v>
      </c>
      <c r="M58">
        <f>M9*'Parameters, country spec'!M15</f>
        <v>3.8685911134442177E-7</v>
      </c>
    </row>
    <row r="59" spans="1:13" x14ac:dyDescent="0.2">
      <c r="A59" t="s">
        <v>154</v>
      </c>
      <c r="B59">
        <f t="shared" ref="B59:M59" si="17">SUM(B54:B58)</f>
        <v>9.6197868665391248E-2</v>
      </c>
      <c r="C59">
        <f t="shared" si="17"/>
        <v>8.1361510088891323E-2</v>
      </c>
      <c r="D59">
        <f t="shared" si="17"/>
        <v>8.1369514269835061E-2</v>
      </c>
      <c r="E59">
        <f t="shared" si="17"/>
        <v>8.1377950863421936E-2</v>
      </c>
      <c r="F59">
        <f t="shared" si="17"/>
        <v>8.1377950863421936E-2</v>
      </c>
      <c r="G59">
        <f t="shared" si="17"/>
        <v>9.5138362137631077E-2</v>
      </c>
      <c r="H59">
        <f t="shared" si="17"/>
        <v>8.1377950863421936E-2</v>
      </c>
      <c r="I59">
        <f t="shared" si="17"/>
        <v>8.129755746754512E-2</v>
      </c>
      <c r="J59">
        <f t="shared" si="17"/>
        <v>8.1377950863421936E-2</v>
      </c>
      <c r="K59">
        <f t="shared" si="17"/>
        <v>8.1377950863421936E-2</v>
      </c>
      <c r="L59">
        <f t="shared" si="17"/>
        <v>9.3331114535251572E-2</v>
      </c>
      <c r="M59">
        <f t="shared" si="17"/>
        <v>8.1377950863421936E-2</v>
      </c>
    </row>
    <row r="60" spans="1:13" x14ac:dyDescent="0.2">
      <c r="A60" t="s">
        <v>163</v>
      </c>
      <c r="B60">
        <f t="shared" ref="B60:M60" si="18">B38+B59</f>
        <v>1.7079467302503724</v>
      </c>
      <c r="C60">
        <f t="shared" si="18"/>
        <v>1.4941140116066431</v>
      </c>
      <c r="D60">
        <f t="shared" si="18"/>
        <v>1.4912554897624863</v>
      </c>
      <c r="E60">
        <f t="shared" si="18"/>
        <v>1.4916427436863111</v>
      </c>
      <c r="F60">
        <f t="shared" si="18"/>
        <v>1.4916427436863111</v>
      </c>
      <c r="G60">
        <f t="shared" si="18"/>
        <v>1.6912709065867351</v>
      </c>
      <c r="H60">
        <f t="shared" si="18"/>
        <v>1.4916427436863111</v>
      </c>
      <c r="I60">
        <f t="shared" si="18"/>
        <v>1.4879525507568565</v>
      </c>
      <c r="J60">
        <f t="shared" si="18"/>
        <v>1.4916427436863111</v>
      </c>
      <c r="K60">
        <f t="shared" si="18"/>
        <v>1.4916427436863111</v>
      </c>
      <c r="L60">
        <f t="shared" si="18"/>
        <v>1.6662134993289526</v>
      </c>
      <c r="M60">
        <f t="shared" si="18"/>
        <v>1.4916427436863111</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tabColor theme="4" tint="0.39997558519241921"/>
  </sheetPr>
  <dimension ref="A2:AC88"/>
  <sheetViews>
    <sheetView zoomScale="61" zoomScaleNormal="61" workbookViewId="0">
      <pane xSplit="1" topLeftCell="I1" activePane="topRight" state="frozen"/>
      <selection activeCell="T23" sqref="T23"/>
      <selection pane="topRight" activeCell="T23" sqref="T23"/>
    </sheetView>
  </sheetViews>
  <sheetFormatPr baseColWidth="10" defaultColWidth="8.83203125" defaultRowHeight="15" x14ac:dyDescent="0.2"/>
  <cols>
    <col min="1" max="1" width="56.5" customWidth="1"/>
    <col min="2" max="13" width="10.6640625" customWidth="1"/>
    <col min="15" max="15" width="30.5" customWidth="1"/>
    <col min="17" max="17" width="41.6640625" customWidth="1"/>
    <col min="18" max="18" width="44.83203125" customWidth="1"/>
  </cols>
  <sheetData>
    <row r="2" spans="1:18" ht="18.5" customHeight="1" x14ac:dyDescent="0.25">
      <c r="A2" s="1" t="s">
        <v>164</v>
      </c>
    </row>
    <row r="3" spans="1:18" x14ac:dyDescent="0.2">
      <c r="B3" t="s">
        <v>43</v>
      </c>
      <c r="C3" t="s">
        <v>50</v>
      </c>
      <c r="D3" t="s">
        <v>52</v>
      </c>
      <c r="E3" t="s">
        <v>54</v>
      </c>
      <c r="F3" t="s">
        <v>56</v>
      </c>
      <c r="G3" t="s">
        <v>58</v>
      </c>
      <c r="H3" t="s">
        <v>60</v>
      </c>
      <c r="I3" t="s">
        <v>62</v>
      </c>
      <c r="J3" t="s">
        <v>64</v>
      </c>
      <c r="K3" t="s">
        <v>66</v>
      </c>
      <c r="L3" s="18" t="s">
        <v>68</v>
      </c>
      <c r="M3" t="s">
        <v>70</v>
      </c>
    </row>
    <row r="4" spans="1:18" x14ac:dyDescent="0.2">
      <c r="A4" s="162" t="s">
        <v>165</v>
      </c>
      <c r="B4" s="162" t="s">
        <v>99</v>
      </c>
      <c r="C4" s="162" t="s">
        <v>49</v>
      </c>
      <c r="D4" s="162" t="s">
        <v>51</v>
      </c>
      <c r="E4" s="162" t="s">
        <v>53</v>
      </c>
      <c r="F4" s="162" t="s">
        <v>100</v>
      </c>
      <c r="G4" s="162" t="s">
        <v>91</v>
      </c>
      <c r="H4" s="162" t="s">
        <v>59</v>
      </c>
      <c r="I4" s="162" t="s">
        <v>90</v>
      </c>
      <c r="J4" s="162" t="s">
        <v>63</v>
      </c>
      <c r="K4" s="162" t="s">
        <v>65</v>
      </c>
      <c r="L4" s="162" t="s">
        <v>67</v>
      </c>
      <c r="M4" s="221" t="s">
        <v>69</v>
      </c>
      <c r="O4" s="162" t="s">
        <v>166</v>
      </c>
      <c r="P4" s="162" t="s">
        <v>167</v>
      </c>
      <c r="Q4" s="162" t="s">
        <v>168</v>
      </c>
      <c r="R4" s="162" t="s">
        <v>167</v>
      </c>
    </row>
    <row r="5" spans="1:18" x14ac:dyDescent="0.2">
      <c r="A5" s="3" t="s">
        <v>169</v>
      </c>
      <c r="B5" s="308">
        <v>36.75</v>
      </c>
      <c r="C5" s="305">
        <v>40.700000000000003</v>
      </c>
      <c r="D5" s="305">
        <v>39.799999999999997</v>
      </c>
      <c r="E5" s="14">
        <v>35</v>
      </c>
      <c r="F5" s="14">
        <v>35</v>
      </c>
      <c r="G5" s="305">
        <v>36</v>
      </c>
      <c r="H5" s="14">
        <v>35</v>
      </c>
      <c r="I5" s="305">
        <v>48.8</v>
      </c>
      <c r="J5" s="14">
        <v>35</v>
      </c>
      <c r="K5" s="14">
        <v>35</v>
      </c>
      <c r="L5" s="308">
        <v>35</v>
      </c>
      <c r="M5" s="222">
        <v>35</v>
      </c>
      <c r="O5" s="96" t="s">
        <v>170</v>
      </c>
      <c r="Q5" s="95"/>
      <c r="R5" s="305" t="s">
        <v>171</v>
      </c>
    </row>
    <row r="6" spans="1:18" x14ac:dyDescent="0.2">
      <c r="A6" s="3" t="s">
        <v>172</v>
      </c>
      <c r="B6" s="14">
        <v>60</v>
      </c>
      <c r="C6" s="14">
        <v>60</v>
      </c>
      <c r="D6" s="14">
        <v>60</v>
      </c>
      <c r="E6" s="14">
        <v>60</v>
      </c>
      <c r="F6" s="14">
        <v>60</v>
      </c>
      <c r="G6" s="14">
        <v>60</v>
      </c>
      <c r="H6" s="14">
        <v>60</v>
      </c>
      <c r="I6" s="14">
        <v>60</v>
      </c>
      <c r="J6" s="14">
        <v>60</v>
      </c>
      <c r="K6" s="14">
        <v>60</v>
      </c>
      <c r="L6" s="14">
        <v>60</v>
      </c>
      <c r="M6" s="14">
        <v>60</v>
      </c>
      <c r="O6" s="96"/>
      <c r="Q6" s="95"/>
      <c r="R6" s="305"/>
    </row>
    <row r="7" spans="1:18" x14ac:dyDescent="0.2">
      <c r="A7" s="3" t="s">
        <v>173</v>
      </c>
      <c r="B7" s="306">
        <v>3.95</v>
      </c>
      <c r="C7" s="307">
        <v>3.35</v>
      </c>
      <c r="D7" s="305">
        <v>3.4</v>
      </c>
      <c r="E7" s="16">
        <f>AVERAGE($B$7:$D$7,$G$7,$I$7,$L$7)</f>
        <v>3.5500000000000003</v>
      </c>
      <c r="F7" s="16">
        <f>AVERAGE($B$7:$D$7,$G$7,$I$7,$L$7)</f>
        <v>3.5500000000000003</v>
      </c>
      <c r="G7" s="305">
        <v>4.0999999999999996</v>
      </c>
      <c r="H7" s="16">
        <f>AVERAGE($B$7:$D$7,$G$7,$I$7,$L$7)</f>
        <v>3.5500000000000003</v>
      </c>
      <c r="I7" s="307">
        <v>2.9</v>
      </c>
      <c r="J7" s="16">
        <f>AVERAGE($B$7:$D$7,$G$7,$I$7,$L$7)</f>
        <v>3.5500000000000003</v>
      </c>
      <c r="K7" s="16">
        <f>AVERAGE($B$7:$D$7,$G$7,$I$7,$L$7)</f>
        <v>3.5500000000000003</v>
      </c>
      <c r="L7" s="308">
        <v>3.6</v>
      </c>
      <c r="M7" s="16">
        <f>AVERAGE($B$7:$D$7,$G$7,$I$7,$L$7)</f>
        <v>3.5500000000000003</v>
      </c>
      <c r="O7" s="96" t="s">
        <v>170</v>
      </c>
      <c r="Q7" s="96" t="s">
        <v>174</v>
      </c>
      <c r="R7" s="305" t="s">
        <v>175</v>
      </c>
    </row>
    <row r="8" spans="1:18" x14ac:dyDescent="0.2">
      <c r="A8" s="3" t="s">
        <v>176</v>
      </c>
      <c r="B8" s="309">
        <v>1.59</v>
      </c>
      <c r="C8" s="14">
        <v>2.8</v>
      </c>
      <c r="D8" s="14">
        <v>2.8</v>
      </c>
      <c r="E8" s="14">
        <v>2.8</v>
      </c>
      <c r="F8" s="14">
        <v>2.8</v>
      </c>
      <c r="G8" s="305">
        <v>0.4</v>
      </c>
      <c r="H8" s="14">
        <v>2.8</v>
      </c>
      <c r="I8" s="14">
        <v>2.8</v>
      </c>
      <c r="J8" s="14">
        <v>2.8</v>
      </c>
      <c r="K8" s="14">
        <v>2.8</v>
      </c>
      <c r="L8" s="308">
        <v>2.27</v>
      </c>
      <c r="M8" s="222">
        <v>2.8</v>
      </c>
      <c r="O8" s="96"/>
      <c r="Q8" s="96" t="s">
        <v>177</v>
      </c>
      <c r="R8" s="305" t="s">
        <v>178</v>
      </c>
    </row>
    <row r="9" spans="1:18" x14ac:dyDescent="0.2">
      <c r="A9" s="3" t="s">
        <v>179</v>
      </c>
      <c r="B9" s="306">
        <v>0.74322500000000002</v>
      </c>
      <c r="C9" s="14">
        <v>0.7</v>
      </c>
      <c r="D9" s="14">
        <v>0.7</v>
      </c>
      <c r="E9" s="14">
        <v>0.7</v>
      </c>
      <c r="F9" s="14">
        <v>0.7</v>
      </c>
      <c r="G9" s="305">
        <v>0.71899999999999997</v>
      </c>
      <c r="H9" s="14">
        <v>0.7</v>
      </c>
      <c r="I9" s="14">
        <v>0.7</v>
      </c>
      <c r="J9" s="14">
        <v>0.7</v>
      </c>
      <c r="K9" s="14">
        <v>0.7</v>
      </c>
      <c r="L9" s="308">
        <v>0.72</v>
      </c>
      <c r="M9" s="222">
        <v>0.7</v>
      </c>
      <c r="O9" s="96"/>
      <c r="Q9" s="96"/>
      <c r="R9" s="305" t="s">
        <v>180</v>
      </c>
    </row>
    <row r="10" spans="1:18" x14ac:dyDescent="0.2">
      <c r="A10" s="3" t="s">
        <v>181</v>
      </c>
      <c r="B10" s="14">
        <v>0.77</v>
      </c>
      <c r="C10" s="14">
        <v>0.77</v>
      </c>
      <c r="D10" s="14">
        <v>0.77</v>
      </c>
      <c r="E10" s="14">
        <v>0.77</v>
      </c>
      <c r="F10" s="14">
        <v>0.77</v>
      </c>
      <c r="G10" s="14">
        <v>0.77</v>
      </c>
      <c r="H10" s="14">
        <v>0.77</v>
      </c>
      <c r="I10" s="14">
        <v>0.77</v>
      </c>
      <c r="J10" s="14">
        <v>0.77</v>
      </c>
      <c r="K10" s="14">
        <v>0.77</v>
      </c>
      <c r="L10" s="236">
        <v>0.77</v>
      </c>
      <c r="M10" s="222">
        <v>0.77</v>
      </c>
      <c r="O10" s="96"/>
      <c r="Q10" s="96"/>
      <c r="R10" s="305" t="s">
        <v>182</v>
      </c>
    </row>
    <row r="11" spans="1:18" x14ac:dyDescent="0.2">
      <c r="A11" s="3" t="s">
        <v>183</v>
      </c>
      <c r="B11" s="310">
        <v>1.6998660256588789</v>
      </c>
      <c r="C11" s="237">
        <v>1.4379</v>
      </c>
      <c r="D11" s="15">
        <v>1.4379</v>
      </c>
      <c r="E11" s="15">
        <v>1.4379</v>
      </c>
      <c r="F11" s="15">
        <v>1.4379</v>
      </c>
      <c r="G11" s="307">
        <v>1.6819999999999999</v>
      </c>
      <c r="H11" s="15">
        <v>1.4379</v>
      </c>
      <c r="I11" s="15">
        <v>1.4379</v>
      </c>
      <c r="J11" s="15">
        <v>1.4379</v>
      </c>
      <c r="K11" s="15">
        <v>1.4379</v>
      </c>
      <c r="L11" s="310">
        <v>1.648997</v>
      </c>
      <c r="M11" s="223">
        <v>1.4379</v>
      </c>
      <c r="O11" s="96" t="s">
        <v>170</v>
      </c>
      <c r="Q11" s="96" t="s">
        <v>184</v>
      </c>
    </row>
    <row r="12" spans="1:18" x14ac:dyDescent="0.2">
      <c r="A12" s="3" t="s">
        <v>185</v>
      </c>
      <c r="B12" s="15">
        <v>4.3</v>
      </c>
      <c r="C12" s="237">
        <v>4.9000000000000004</v>
      </c>
      <c r="D12" s="15">
        <v>4.3</v>
      </c>
      <c r="E12" s="15">
        <v>4.3</v>
      </c>
      <c r="F12" s="15">
        <v>4.3</v>
      </c>
      <c r="G12" s="15">
        <v>4.3</v>
      </c>
      <c r="H12" s="15">
        <v>4.3</v>
      </c>
      <c r="I12" s="15">
        <v>4.3</v>
      </c>
      <c r="J12" s="15">
        <v>4.3</v>
      </c>
      <c r="K12" s="15">
        <v>4.3</v>
      </c>
      <c r="L12" s="310">
        <v>4.2699999999999996</v>
      </c>
      <c r="M12" s="223">
        <v>4.3</v>
      </c>
      <c r="O12" s="96" t="s">
        <v>170</v>
      </c>
      <c r="Q12" s="96" t="s">
        <v>186</v>
      </c>
      <c r="R12" s="95"/>
    </row>
    <row r="13" spans="1:18" x14ac:dyDescent="0.2">
      <c r="A13" s="3" t="s">
        <v>187</v>
      </c>
      <c r="B13" s="15">
        <v>5</v>
      </c>
      <c r="C13" s="15">
        <v>5</v>
      </c>
      <c r="D13" s="15">
        <v>5</v>
      </c>
      <c r="E13" s="15">
        <v>5</v>
      </c>
      <c r="F13" s="15">
        <v>5</v>
      </c>
      <c r="G13" s="15">
        <v>5</v>
      </c>
      <c r="H13" s="15">
        <v>5</v>
      </c>
      <c r="I13" s="15">
        <v>5</v>
      </c>
      <c r="J13" s="15">
        <v>5</v>
      </c>
      <c r="K13" s="15">
        <v>5</v>
      </c>
      <c r="L13" s="310">
        <v>5</v>
      </c>
      <c r="M13" s="223">
        <v>5</v>
      </c>
      <c r="O13" s="96"/>
      <c r="Q13" s="96" t="s">
        <v>188</v>
      </c>
      <c r="R13" s="95"/>
    </row>
    <row r="14" spans="1:18" x14ac:dyDescent="0.2">
      <c r="A14" s="3" t="s">
        <v>189</v>
      </c>
      <c r="B14" s="15">
        <v>0.27500000000000002</v>
      </c>
      <c r="C14" s="15">
        <v>0.27500000000000002</v>
      </c>
      <c r="D14" s="15">
        <v>0.27500000000000002</v>
      </c>
      <c r="E14" s="15">
        <v>0.27500000000000002</v>
      </c>
      <c r="F14" s="15">
        <v>0.27500000000000002</v>
      </c>
      <c r="G14" s="15">
        <v>0.27500000000000002</v>
      </c>
      <c r="H14" s="15">
        <v>0.27500000000000002</v>
      </c>
      <c r="I14" s="15">
        <v>0.27500000000000002</v>
      </c>
      <c r="J14" s="15">
        <v>0.27500000000000002</v>
      </c>
      <c r="K14" s="15">
        <v>0.27500000000000002</v>
      </c>
      <c r="L14" s="237">
        <v>0.27500000000000002</v>
      </c>
      <c r="M14" s="223">
        <v>0.27500000000000002</v>
      </c>
      <c r="O14" s="96"/>
      <c r="Q14" s="96" t="s">
        <v>190</v>
      </c>
      <c r="R14" s="95"/>
    </row>
    <row r="15" spans="1:18" x14ac:dyDescent="0.2">
      <c r="A15" s="3" t="s">
        <v>191</v>
      </c>
      <c r="B15" s="16">
        <f t="shared" ref="B15:M15" si="0">0.032*B11/(0.77*0.74)</f>
        <v>9.5464571465574105E-2</v>
      </c>
      <c r="C15" s="16">
        <f t="shared" si="0"/>
        <v>8.0752544752544758E-2</v>
      </c>
      <c r="D15" s="16">
        <f t="shared" si="0"/>
        <v>8.0752544752544758E-2</v>
      </c>
      <c r="E15" s="16">
        <f t="shared" si="0"/>
        <v>8.0752544752544758E-2</v>
      </c>
      <c r="F15" s="16">
        <f t="shared" si="0"/>
        <v>8.0752544752544758E-2</v>
      </c>
      <c r="G15" s="16">
        <f t="shared" si="0"/>
        <v>9.4461214461214457E-2</v>
      </c>
      <c r="H15" s="16">
        <f t="shared" si="0"/>
        <v>8.0752544752544758E-2</v>
      </c>
      <c r="I15" s="16">
        <f t="shared" si="0"/>
        <v>8.0752544752544758E-2</v>
      </c>
      <c r="J15" s="16">
        <f t="shared" si="0"/>
        <v>8.0752544752544758E-2</v>
      </c>
      <c r="K15" s="16">
        <f t="shared" si="0"/>
        <v>8.0752544752544758E-2</v>
      </c>
      <c r="L15" s="16">
        <f t="shared" si="0"/>
        <v>9.2607764127764142E-2</v>
      </c>
      <c r="M15" s="16">
        <f t="shared" si="0"/>
        <v>8.0752544752544758E-2</v>
      </c>
      <c r="O15" s="96"/>
      <c r="Q15" s="96" t="s">
        <v>192</v>
      </c>
      <c r="R15" s="95"/>
    </row>
    <row r="16" spans="1:18" x14ac:dyDescent="0.2">
      <c r="A16" s="3" t="s">
        <v>193</v>
      </c>
      <c r="B16" s="14">
        <v>150</v>
      </c>
      <c r="C16" s="14">
        <v>153.69999999999999</v>
      </c>
      <c r="D16" s="14">
        <v>151.80000000000001</v>
      </c>
      <c r="E16" s="14">
        <v>150</v>
      </c>
      <c r="F16" s="14">
        <v>150</v>
      </c>
      <c r="G16" s="305">
        <v>159</v>
      </c>
      <c r="H16" s="14">
        <v>150</v>
      </c>
      <c r="I16" s="14">
        <v>170.8</v>
      </c>
      <c r="J16" s="14">
        <v>150</v>
      </c>
      <c r="K16" s="14">
        <v>150</v>
      </c>
      <c r="L16" s="308">
        <v>148</v>
      </c>
      <c r="M16" s="222">
        <v>150</v>
      </c>
      <c r="O16" s="96"/>
      <c r="Q16" s="96" t="s">
        <v>194</v>
      </c>
      <c r="R16" s="95"/>
    </row>
    <row r="17" spans="1:18" x14ac:dyDescent="0.2">
      <c r="A17" s="3" t="s">
        <v>195</v>
      </c>
      <c r="B17" s="14">
        <v>12.5</v>
      </c>
      <c r="C17" s="14">
        <v>12.5</v>
      </c>
      <c r="D17" s="14">
        <v>12.5</v>
      </c>
      <c r="E17" s="14">
        <v>12.5</v>
      </c>
      <c r="F17" s="14">
        <v>12.5</v>
      </c>
      <c r="G17" s="14">
        <v>12.5</v>
      </c>
      <c r="H17" s="14">
        <v>12.5</v>
      </c>
      <c r="I17" s="14">
        <v>12.5</v>
      </c>
      <c r="J17" s="14">
        <v>12.5</v>
      </c>
      <c r="K17" s="14">
        <v>12.5</v>
      </c>
      <c r="L17" s="236">
        <v>12.5</v>
      </c>
      <c r="M17" s="222">
        <v>12.5</v>
      </c>
      <c r="O17" s="96"/>
      <c r="Q17" s="96" t="s">
        <v>194</v>
      </c>
      <c r="R17" s="95"/>
    </row>
    <row r="18" spans="1:18" x14ac:dyDescent="0.2">
      <c r="A18" s="3" t="s">
        <v>196</v>
      </c>
      <c r="B18" s="14">
        <f>AVERAGE(G18,L18)</f>
        <v>14.5</v>
      </c>
      <c r="C18" s="14">
        <f>AVERAGE(G18,L18)</f>
        <v>14.5</v>
      </c>
      <c r="D18" s="14">
        <f>AVERAGE(G18,L18)</f>
        <v>14.5</v>
      </c>
      <c r="E18" s="14">
        <f>AVERAGE(G18,L18)</f>
        <v>14.5</v>
      </c>
      <c r="F18" s="14">
        <f>AVERAGE(G18,L18)</f>
        <v>14.5</v>
      </c>
      <c r="G18" s="305">
        <v>15.6</v>
      </c>
      <c r="H18" s="14">
        <f>AVERAGE(G18,L18)</f>
        <v>14.5</v>
      </c>
      <c r="I18" s="14">
        <f>AVERAGE(G18,L18)</f>
        <v>14.5</v>
      </c>
      <c r="J18" s="14">
        <f>AVERAGE(G18,L18)</f>
        <v>14.5</v>
      </c>
      <c r="K18" s="14">
        <f>AVERAGE(G18,L18)</f>
        <v>14.5</v>
      </c>
      <c r="L18" s="308">
        <v>13.4</v>
      </c>
      <c r="M18" s="222">
        <f>AVERAGE(G18,L18)</f>
        <v>14.5</v>
      </c>
      <c r="O18" s="96"/>
      <c r="Q18" s="96" t="s">
        <v>194</v>
      </c>
      <c r="R18" s="95"/>
    </row>
    <row r="19" spans="1:18" x14ac:dyDescent="0.2">
      <c r="M19" s="224"/>
      <c r="O19" s="96"/>
      <c r="Q19" s="96"/>
      <c r="R19" s="95"/>
    </row>
    <row r="20" spans="1:18" x14ac:dyDescent="0.2">
      <c r="A20" s="162" t="s">
        <v>197</v>
      </c>
      <c r="B20" s="162"/>
      <c r="C20" s="162"/>
      <c r="D20" s="162"/>
      <c r="E20" s="162"/>
      <c r="F20" s="162"/>
      <c r="G20" s="162"/>
      <c r="H20" s="162"/>
      <c r="I20" s="162"/>
      <c r="J20" s="162"/>
      <c r="K20" s="162"/>
      <c r="L20" s="162"/>
      <c r="M20" s="221"/>
      <c r="O20" s="96"/>
      <c r="Q20" s="96"/>
      <c r="R20" s="95"/>
    </row>
    <row r="21" spans="1:18" x14ac:dyDescent="0.2">
      <c r="A21" s="90" t="s">
        <v>198</v>
      </c>
      <c r="B21" s="247"/>
      <c r="C21" s="79">
        <v>0.1293861840707447</v>
      </c>
      <c r="D21" s="79">
        <v>0.1284012676024372</v>
      </c>
      <c r="E21" s="79">
        <v>0.1222750503811094</v>
      </c>
      <c r="F21" s="79">
        <v>8.7418005626499207E-2</v>
      </c>
      <c r="G21" s="79"/>
      <c r="H21" s="79">
        <v>6.9755357742184998E-2</v>
      </c>
      <c r="I21" s="79">
        <v>6.5976692624369268E-2</v>
      </c>
      <c r="J21" s="79">
        <v>0.1699689878759473</v>
      </c>
      <c r="K21" s="79">
        <v>0.21894700375858381</v>
      </c>
      <c r="L21" s="247">
        <v>0</v>
      </c>
      <c r="M21" s="303">
        <v>0.24290688316534451</v>
      </c>
      <c r="O21" s="96"/>
      <c r="Q21" s="285" t="s">
        <v>199</v>
      </c>
      <c r="R21" s="96" t="s">
        <v>200</v>
      </c>
    </row>
    <row r="22" spans="1:18" x14ac:dyDescent="0.2">
      <c r="A22" s="91" t="s">
        <v>201</v>
      </c>
      <c r="B22" s="311">
        <v>0.15</v>
      </c>
      <c r="C22" s="79">
        <v>0.21280975376032871</v>
      </c>
      <c r="D22" s="79">
        <v>0.19116633717197409</v>
      </c>
      <c r="E22" s="79">
        <v>0.36571383818682729</v>
      </c>
      <c r="F22" s="79">
        <v>0.51851224834420662</v>
      </c>
      <c r="G22" s="312">
        <v>0.16</v>
      </c>
      <c r="H22" s="79">
        <v>0.45612129266564322</v>
      </c>
      <c r="I22" s="79">
        <v>0.1981410733338565</v>
      </c>
      <c r="J22" s="79">
        <v>0.2328388503447609</v>
      </c>
      <c r="K22" s="79">
        <v>0.28877148486086363</v>
      </c>
      <c r="L22" s="247">
        <v>2.9000000000000001E-2</v>
      </c>
      <c r="M22" s="303">
        <v>1.1405036092928851E-2</v>
      </c>
      <c r="O22" s="96"/>
      <c r="Q22" s="96" t="s">
        <v>202</v>
      </c>
      <c r="R22" s="20" t="s">
        <v>203</v>
      </c>
    </row>
    <row r="23" spans="1:18" x14ac:dyDescent="0.2">
      <c r="A23" s="91" t="s">
        <v>204</v>
      </c>
      <c r="B23" s="311"/>
      <c r="C23" s="79">
        <v>1.4661663802605951E-2</v>
      </c>
      <c r="D23" s="79">
        <v>2.55587587755639E-5</v>
      </c>
      <c r="E23" s="79">
        <v>3.3230481611398861E-2</v>
      </c>
      <c r="F23" s="79">
        <v>4.6821690090770259E-2</v>
      </c>
      <c r="G23" s="312">
        <v>0.01</v>
      </c>
      <c r="H23" s="79">
        <v>1.448634181078594E-2</v>
      </c>
      <c r="I23" s="79">
        <v>2.1671841623166059E-3</v>
      </c>
      <c r="J23" s="79">
        <v>5.0904696791723991E-3</v>
      </c>
      <c r="K23" s="79">
        <v>3.4137674118133308E-2</v>
      </c>
      <c r="L23" s="247">
        <v>4.9000000000000002E-2</v>
      </c>
      <c r="M23" s="303">
        <v>2.6784717007595299E-2</v>
      </c>
      <c r="O23" s="96"/>
      <c r="Q23" s="96"/>
      <c r="R23" s="247"/>
    </row>
    <row r="24" spans="1:18" x14ac:dyDescent="0.2">
      <c r="A24" s="91" t="s">
        <v>205</v>
      </c>
      <c r="B24" s="311"/>
      <c r="C24" s="79">
        <v>2.2515954502451301E-3</v>
      </c>
      <c r="D24" s="79">
        <v>2.0974185801992559E-2</v>
      </c>
      <c r="E24" s="79">
        <v>7.3294724625475594E-3</v>
      </c>
      <c r="F24" s="79">
        <v>1.8197973513379369E-2</v>
      </c>
      <c r="G24" s="312"/>
      <c r="H24" s="79">
        <v>1.154218810875446E-3</v>
      </c>
      <c r="I24" s="79">
        <v>8.1550834411767848E-3</v>
      </c>
      <c r="J24" s="79">
        <v>6.6462863913214348E-2</v>
      </c>
      <c r="K24" s="79">
        <v>9.0108782601985467E-3</v>
      </c>
      <c r="L24" s="247">
        <v>0</v>
      </c>
      <c r="M24" s="303">
        <v>1.270348359145042E-3</v>
      </c>
      <c r="O24" s="96"/>
      <c r="Q24" s="96"/>
      <c r="R24" s="247"/>
    </row>
    <row r="25" spans="1:18" x14ac:dyDescent="0.2">
      <c r="A25" s="92" t="s">
        <v>206</v>
      </c>
      <c r="B25" s="311">
        <v>0.5</v>
      </c>
      <c r="C25" s="79">
        <v>0.31521053769451612</v>
      </c>
      <c r="D25" s="79">
        <v>0.42888207443270587</v>
      </c>
      <c r="E25" s="79">
        <v>5.256160625309033E-3</v>
      </c>
      <c r="F25" s="79">
        <v>8.1866500320142158E-2</v>
      </c>
      <c r="G25" s="312">
        <v>0.46</v>
      </c>
      <c r="H25" s="79">
        <v>6.607302843520492E-2</v>
      </c>
      <c r="I25" s="79">
        <v>0.22324493125110029</v>
      </c>
      <c r="J25" s="79">
        <v>0.26723420141656068</v>
      </c>
      <c r="K25" s="79">
        <v>0.18547053507474909</v>
      </c>
      <c r="L25" s="247">
        <v>0.59099999999999997</v>
      </c>
      <c r="M25" s="303">
        <v>0.36306225085662319</v>
      </c>
      <c r="Q25" s="96"/>
      <c r="R25" s="247"/>
    </row>
    <row r="26" spans="1:18" x14ac:dyDescent="0.2">
      <c r="A26" s="91" t="s">
        <v>207</v>
      </c>
      <c r="B26" s="311"/>
      <c r="C26" s="79">
        <v>0</v>
      </c>
      <c r="D26" s="79">
        <v>9.3450155108809542E-4</v>
      </c>
      <c r="E26" s="79">
        <v>1.0533673599513421E-3</v>
      </c>
      <c r="F26" s="79">
        <v>1.1994594385271529E-3</v>
      </c>
      <c r="G26" s="312"/>
      <c r="H26" s="79">
        <v>2.8132125343424521E-3</v>
      </c>
      <c r="I26" s="79">
        <v>0</v>
      </c>
      <c r="J26" s="79">
        <v>4.1789296546899217E-3</v>
      </c>
      <c r="K26" s="79">
        <v>6.9661330661395359E-3</v>
      </c>
      <c r="L26" s="247">
        <v>0</v>
      </c>
      <c r="M26" s="303">
        <v>6.0909129056991628E-3</v>
      </c>
      <c r="Q26" s="95"/>
      <c r="R26" s="247"/>
    </row>
    <row r="27" spans="1:18" x14ac:dyDescent="0.2">
      <c r="A27" s="91" t="s">
        <v>208</v>
      </c>
      <c r="B27" s="311"/>
      <c r="C27" s="79">
        <v>0</v>
      </c>
      <c r="D27" s="79">
        <v>9.1798847805104754E-4</v>
      </c>
      <c r="E27" s="79">
        <v>1.034753873470441E-3</v>
      </c>
      <c r="F27" s="79">
        <v>1.1782644376318839E-3</v>
      </c>
      <c r="G27" s="312"/>
      <c r="H27" s="79">
        <v>2.763501773404974E-3</v>
      </c>
      <c r="I27" s="79">
        <v>0</v>
      </c>
      <c r="J27" s="79">
        <v>4.1050860427910684E-3</v>
      </c>
      <c r="K27" s="79">
        <v>6.843038286368717E-3</v>
      </c>
      <c r="L27" s="247">
        <v>0</v>
      </c>
      <c r="M27" s="303">
        <v>5.9832836689627722E-3</v>
      </c>
      <c r="Q27" s="95"/>
      <c r="R27" s="247"/>
    </row>
    <row r="28" spans="1:18" x14ac:dyDescent="0.2">
      <c r="A28" s="91" t="s">
        <v>209</v>
      </c>
      <c r="B28" s="311">
        <v>0.03</v>
      </c>
      <c r="C28" s="79">
        <v>9.7073458625180783E-2</v>
      </c>
      <c r="D28" s="79">
        <v>9.4499576799197224E-2</v>
      </c>
      <c r="E28" s="79">
        <v>1.1495502598072799E-3</v>
      </c>
      <c r="F28" s="79">
        <v>5.1767642112223974E-4</v>
      </c>
      <c r="G28" s="312">
        <v>0.03</v>
      </c>
      <c r="H28" s="79">
        <v>4.7386628229038642E-3</v>
      </c>
      <c r="I28" s="79">
        <v>0.12320054874364431</v>
      </c>
      <c r="J28" s="79">
        <v>3.0119810543340508E-2</v>
      </c>
      <c r="K28" s="79">
        <v>2.017458178365223E-2</v>
      </c>
      <c r="L28" s="247">
        <v>6.8000000000000005E-2</v>
      </c>
      <c r="M28" s="303">
        <v>9.4633897453147445E-2</v>
      </c>
      <c r="Q28" s="95"/>
      <c r="R28" s="247" t="s">
        <v>210</v>
      </c>
    </row>
    <row r="29" spans="1:18" x14ac:dyDescent="0.2">
      <c r="A29" s="91" t="s">
        <v>211</v>
      </c>
      <c r="B29" s="311">
        <v>0.28999999999999998</v>
      </c>
      <c r="C29" s="79">
        <v>8.7459166665531385E-2</v>
      </c>
      <c r="D29" s="79">
        <v>9.0801007307611245E-2</v>
      </c>
      <c r="E29" s="79">
        <v>0.2025581580279131</v>
      </c>
      <c r="F29" s="79">
        <v>9.8710786383614704E-2</v>
      </c>
      <c r="G29" s="312">
        <v>0.28000000000000003</v>
      </c>
      <c r="H29" s="79">
        <v>0.1169921159057515</v>
      </c>
      <c r="I29" s="79">
        <v>0.15910748774892911</v>
      </c>
      <c r="J29" s="79">
        <v>0.1050568603152183</v>
      </c>
      <c r="K29" s="79">
        <v>0.1724593547162262</v>
      </c>
      <c r="L29" s="247">
        <f>0.3*0.62</f>
        <v>0.186</v>
      </c>
      <c r="M29" s="303">
        <v>0.1863493678947572</v>
      </c>
      <c r="R29" s="247" t="s">
        <v>212</v>
      </c>
    </row>
    <row r="30" spans="1:18" x14ac:dyDescent="0.2">
      <c r="A30" s="91" t="s">
        <v>213</v>
      </c>
      <c r="B30" s="311"/>
      <c r="C30" s="79">
        <v>8.0151207366747315E-2</v>
      </c>
      <c r="D30" s="79">
        <v>1.8113105318221089E-2</v>
      </c>
      <c r="E30" s="79">
        <v>0.1276820518863053</v>
      </c>
      <c r="F30" s="79">
        <v>7.7842176173985381E-2</v>
      </c>
      <c r="G30" s="312"/>
      <c r="H30" s="79">
        <v>0.1235041146996869</v>
      </c>
      <c r="I30" s="79">
        <v>1.7335418632101661E-2</v>
      </c>
      <c r="J30" s="79">
        <v>5.1412336687770267E-2</v>
      </c>
      <c r="K30" s="79">
        <v>2.6495909583274711E-2</v>
      </c>
      <c r="L30" s="247">
        <v>0</v>
      </c>
      <c r="M30" s="303">
        <v>1.2143080899157419E-2</v>
      </c>
      <c r="R30" s="247"/>
    </row>
    <row r="31" spans="1:18" x14ac:dyDescent="0.2">
      <c r="A31" s="91" t="s">
        <v>214</v>
      </c>
      <c r="B31" s="311">
        <v>0.03</v>
      </c>
      <c r="C31" s="79">
        <v>6.0996432564100048E-2</v>
      </c>
      <c r="D31" s="79">
        <v>2.528439677794618E-2</v>
      </c>
      <c r="E31" s="79">
        <v>0.1327171153253604</v>
      </c>
      <c r="F31" s="79">
        <v>6.7735219250121048E-2</v>
      </c>
      <c r="G31" s="312">
        <v>0.06</v>
      </c>
      <c r="H31" s="79">
        <v>0.14159815279921581</v>
      </c>
      <c r="I31" s="79">
        <v>0.20267158006250541</v>
      </c>
      <c r="J31" s="79">
        <v>6.3531603526534211E-2</v>
      </c>
      <c r="K31" s="79">
        <v>3.0723406491810091E-2</v>
      </c>
      <c r="L31" s="247">
        <f>1-SUM(L21:L30)</f>
        <v>7.7000000000000179E-2</v>
      </c>
      <c r="M31" s="303">
        <v>4.9370221696639308E-2</v>
      </c>
      <c r="R31" s="247"/>
    </row>
    <row r="32" spans="1:18" x14ac:dyDescent="0.2">
      <c r="A32" s="3"/>
      <c r="B32" s="14"/>
      <c r="C32" s="14"/>
      <c r="D32" s="14"/>
      <c r="E32" s="14"/>
      <c r="F32" s="14"/>
      <c r="G32" s="14"/>
      <c r="H32" s="14"/>
      <c r="I32" s="14"/>
      <c r="J32" s="14"/>
      <c r="K32" s="14"/>
      <c r="L32" s="14"/>
      <c r="M32" s="222"/>
    </row>
    <row r="33" spans="1:29" x14ac:dyDescent="0.2">
      <c r="A33" s="91" t="s">
        <v>215</v>
      </c>
      <c r="B33" s="12">
        <f t="shared" ref="B33:M33" si="1">SUM(B21:B25)</f>
        <v>0.65</v>
      </c>
      <c r="C33" s="12">
        <f t="shared" si="1"/>
        <v>0.67431973477844065</v>
      </c>
      <c r="D33" s="12">
        <f t="shared" si="1"/>
        <v>0.76944942376788528</v>
      </c>
      <c r="E33" s="12">
        <f t="shared" si="1"/>
        <v>0.53380500326719216</v>
      </c>
      <c r="F33" s="12">
        <f t="shared" si="1"/>
        <v>0.75281641789499776</v>
      </c>
      <c r="G33" s="12">
        <f t="shared" si="1"/>
        <v>0.63</v>
      </c>
      <c r="H33" s="12">
        <f t="shared" si="1"/>
        <v>0.60759023946469448</v>
      </c>
      <c r="I33" s="12">
        <f t="shared" si="1"/>
        <v>0.49768496481281943</v>
      </c>
      <c r="J33" s="12">
        <f t="shared" si="1"/>
        <v>0.74159537322965563</v>
      </c>
      <c r="K33" s="12">
        <f t="shared" si="1"/>
        <v>0.73633757607252837</v>
      </c>
      <c r="L33" s="12">
        <f t="shared" si="1"/>
        <v>0.66899999999999993</v>
      </c>
      <c r="M33" s="225">
        <f t="shared" si="1"/>
        <v>0.64542923548163689</v>
      </c>
    </row>
    <row r="34" spans="1:29" x14ac:dyDescent="0.2">
      <c r="L34" s="18"/>
      <c r="M34" s="224"/>
    </row>
    <row r="35" spans="1:29" x14ac:dyDescent="0.2">
      <c r="A35" s="162" t="s">
        <v>216</v>
      </c>
      <c r="B35" s="162"/>
      <c r="C35" s="162"/>
      <c r="D35" s="162"/>
      <c r="E35" s="162"/>
      <c r="F35" s="162"/>
      <c r="G35" s="162"/>
      <c r="H35" s="162"/>
      <c r="I35" s="162"/>
      <c r="J35" s="162"/>
      <c r="K35" s="162"/>
      <c r="L35" s="162"/>
      <c r="M35" s="221"/>
      <c r="Q35" s="162" t="s">
        <v>217</v>
      </c>
      <c r="R35" s="162" t="s">
        <v>167</v>
      </c>
    </row>
    <row r="36" spans="1:29" x14ac:dyDescent="0.2">
      <c r="A36" s="93" t="s">
        <v>218</v>
      </c>
      <c r="B36" s="306">
        <v>1.539166666666667</v>
      </c>
      <c r="C36" s="309">
        <v>1.5863750000000001</v>
      </c>
      <c r="D36" s="309">
        <v>1.5567500000000001</v>
      </c>
      <c r="E36" s="14">
        <v>1.52</v>
      </c>
      <c r="F36" s="14">
        <v>1.52</v>
      </c>
      <c r="G36" s="305">
        <v>1.48</v>
      </c>
      <c r="H36" s="14">
        <v>1.52</v>
      </c>
      <c r="I36" s="309">
        <v>1.853</v>
      </c>
      <c r="J36" s="14">
        <v>1.52</v>
      </c>
      <c r="K36" s="14">
        <v>1.52</v>
      </c>
      <c r="L36" s="308">
        <v>1.5</v>
      </c>
      <c r="M36" s="222">
        <v>1.52</v>
      </c>
      <c r="O36" s="96"/>
      <c r="Q36" s="96" t="s">
        <v>219</v>
      </c>
      <c r="R36" s="96" t="s">
        <v>220</v>
      </c>
    </row>
    <row r="37" spans="1:29" x14ac:dyDescent="0.2">
      <c r="A37" s="3" t="s">
        <v>221</v>
      </c>
      <c r="B37" s="14">
        <v>48</v>
      </c>
      <c r="C37" s="305">
        <v>53.5</v>
      </c>
      <c r="D37" s="305">
        <v>54</v>
      </c>
      <c r="E37" s="14">
        <v>48</v>
      </c>
      <c r="F37" s="14">
        <v>48</v>
      </c>
      <c r="G37" s="14">
        <v>48</v>
      </c>
      <c r="H37" s="14">
        <v>48</v>
      </c>
      <c r="I37" s="305">
        <v>49</v>
      </c>
      <c r="J37" s="14">
        <v>48</v>
      </c>
      <c r="K37" s="14">
        <v>48</v>
      </c>
      <c r="L37" s="308">
        <v>55</v>
      </c>
      <c r="M37" s="222">
        <v>48</v>
      </c>
      <c r="O37" s="323"/>
      <c r="Q37" s="96" t="s">
        <v>222</v>
      </c>
      <c r="R37" s="96" t="s">
        <v>223</v>
      </c>
    </row>
    <row r="38" spans="1:29" x14ac:dyDescent="0.2">
      <c r="A38" s="3" t="s">
        <v>224</v>
      </c>
      <c r="B38" s="5">
        <f>Production!B47*(B36*B11/B9)+SUM(Production!B48:B51)*'Parameters, country spec'!B37</f>
        <v>2.4330521288895639</v>
      </c>
      <c r="C38" s="5">
        <f>Production!C47*(C36*C11/C9)+SUM(Production!C48:C51)*'Parameters, country spec'!C37</f>
        <v>2.6374057429947877</v>
      </c>
      <c r="D38" s="5">
        <f>Production!D47*(D36*D11/D9)+SUM(Production!D48:D51)*'Parameters, country spec'!D37</f>
        <v>2.6073600295267441</v>
      </c>
      <c r="E38" s="5">
        <f>Production!E47*(E36*E11/E9)+SUM(Production!E48:E51)*'Parameters, country spec'!E37</f>
        <v>2.5242391969499463</v>
      </c>
      <c r="F38" s="5">
        <f>Production!F47*(F36*F11/F9)+SUM(Production!F48:F51)*'Parameters, country spec'!F37</f>
        <v>2.5242391969499463</v>
      </c>
      <c r="G38" s="5">
        <f>Production!G47*(G36*G11/G9)+SUM(Production!G48:G51)*'Parameters, country spec'!G37</f>
        <v>2.3842792673111419</v>
      </c>
      <c r="H38" s="5">
        <f>Production!H47*(H36*H11/H9)+SUM(Production!H48:H51)*'Parameters, country spec'!H37</f>
        <v>2.5242391969499463</v>
      </c>
      <c r="I38" s="5">
        <f>Production!I47*(I36*I11/I9)+SUM(Production!I48:I51)*'Parameters, country spec'!I37</f>
        <v>2.970339010373801</v>
      </c>
      <c r="J38" s="5">
        <f>Production!J47*(J36*J11/J9)+SUM(Production!J48:J51)*'Parameters, country spec'!J37</f>
        <v>2.5242391969499463</v>
      </c>
      <c r="K38" s="5">
        <f>Production!K47*(K36*K11/K9)+SUM(Production!K48:K51)*'Parameters, country spec'!K37</f>
        <v>2.5242391969499463</v>
      </c>
      <c r="L38" s="5">
        <f>Production!L47*(L36*L11/L9)+SUM(Production!L48:L51)*'Parameters, country spec'!L37</f>
        <v>2.4862074626869433</v>
      </c>
      <c r="M38" s="314">
        <f>Production!M47*(M36*M11/M9)+SUM(Production!M48:M51)*'Parameters, country spec'!M37</f>
        <v>2.5242391969499463</v>
      </c>
      <c r="Q38" s="96"/>
      <c r="R38" s="96"/>
    </row>
    <row r="39" spans="1:29" x14ac:dyDescent="0.2">
      <c r="M39" s="224"/>
      <c r="Q39" s="96"/>
      <c r="R39" s="96"/>
    </row>
    <row r="40" spans="1:29" x14ac:dyDescent="0.2">
      <c r="A40" s="162" t="s">
        <v>225</v>
      </c>
      <c r="B40" s="162"/>
      <c r="C40" s="162"/>
      <c r="D40" s="162"/>
      <c r="E40" s="162"/>
      <c r="F40" s="162"/>
      <c r="G40" s="162"/>
      <c r="H40" s="162"/>
      <c r="I40" s="162"/>
      <c r="J40" s="162"/>
      <c r="K40" s="162"/>
      <c r="L40" s="162"/>
      <c r="M40" s="221"/>
      <c r="Q40" s="96"/>
      <c r="R40" s="96"/>
      <c r="T40" t="s">
        <v>49</v>
      </c>
      <c r="U40" t="s">
        <v>51</v>
      </c>
      <c r="V40" t="s">
        <v>53</v>
      </c>
      <c r="W40" t="s">
        <v>55</v>
      </c>
      <c r="X40" t="s">
        <v>91</v>
      </c>
      <c r="Y40" t="s">
        <v>59</v>
      </c>
      <c r="Z40" t="s">
        <v>90</v>
      </c>
      <c r="AA40" t="s">
        <v>63</v>
      </c>
      <c r="AB40" t="s">
        <v>65</v>
      </c>
      <c r="AC40" t="s">
        <v>67</v>
      </c>
    </row>
    <row r="41" spans="1:29" x14ac:dyDescent="0.2">
      <c r="A41" s="3" t="s">
        <v>226</v>
      </c>
      <c r="B41" s="14"/>
      <c r="C41" s="280">
        <v>0.44843073897000002</v>
      </c>
      <c r="D41" s="280">
        <v>0.66</v>
      </c>
      <c r="E41" s="280">
        <v>0.5</v>
      </c>
      <c r="F41" s="14">
        <v>0.49</v>
      </c>
      <c r="G41" s="280"/>
      <c r="H41" s="14">
        <v>0.36</v>
      </c>
      <c r="I41" s="280">
        <v>0.59901214226393995</v>
      </c>
      <c r="J41" s="14">
        <v>0.435</v>
      </c>
      <c r="K41" s="280">
        <v>0.64</v>
      </c>
      <c r="L41" s="236"/>
      <c r="M41" s="222">
        <v>0.28999999999999998</v>
      </c>
      <c r="Q41" s="96" t="s">
        <v>227</v>
      </c>
      <c r="R41" s="96"/>
      <c r="T41" t="s">
        <v>228</v>
      </c>
      <c r="U41" t="s">
        <v>228</v>
      </c>
      <c r="V41" t="s">
        <v>228</v>
      </c>
      <c r="W41" t="s">
        <v>229</v>
      </c>
      <c r="X41" t="s">
        <v>228</v>
      </c>
      <c r="Y41" t="s">
        <v>230</v>
      </c>
      <c r="Z41" t="s">
        <v>228</v>
      </c>
      <c r="AA41" t="s">
        <v>231</v>
      </c>
      <c r="AC41" s="96" t="s">
        <v>227</v>
      </c>
    </row>
    <row r="42" spans="1:29" x14ac:dyDescent="0.2">
      <c r="A42" s="3" t="s">
        <v>232</v>
      </c>
      <c r="B42" s="312">
        <v>5.2347676555165097E-2</v>
      </c>
      <c r="C42" s="20">
        <f>C41/8.5</f>
        <v>5.2756557525882354E-2</v>
      </c>
      <c r="D42" s="20">
        <f>D41/8.5</f>
        <v>7.7647058823529416E-2</v>
      </c>
      <c r="E42" s="20">
        <f>E41/8.5</f>
        <v>5.8823529411764705E-2</v>
      </c>
      <c r="F42" s="20">
        <f>F41/8.5</f>
        <v>5.7647058823529412E-2</v>
      </c>
      <c r="G42" s="312">
        <v>3.7914306000411888E-2</v>
      </c>
      <c r="H42" s="20">
        <f>H41/8.5</f>
        <v>4.2352941176470586E-2</v>
      </c>
      <c r="I42" s="20">
        <f>I41/8.5</f>
        <v>7.0472016736934109E-2</v>
      </c>
      <c r="J42" s="20">
        <f>J41/8.5</f>
        <v>5.1176470588235295E-2</v>
      </c>
      <c r="K42" s="20">
        <f>K41/8.5</f>
        <v>7.5294117647058831E-2</v>
      </c>
      <c r="L42" s="312">
        <v>4.9000000000000002E-2</v>
      </c>
      <c r="M42" s="226">
        <f>M41/8.5</f>
        <v>3.411764705882353E-2</v>
      </c>
      <c r="Q42" s="96" t="s">
        <v>233</v>
      </c>
      <c r="R42" s="96"/>
    </row>
    <row r="43" spans="1:29" x14ac:dyDescent="0.2">
      <c r="A43" s="3" t="s">
        <v>234</v>
      </c>
      <c r="B43" s="305">
        <v>1</v>
      </c>
      <c r="C43" s="280">
        <v>0.44843073897000002</v>
      </c>
      <c r="D43" s="280">
        <v>0.66</v>
      </c>
      <c r="E43" s="280">
        <v>0.5</v>
      </c>
      <c r="F43" s="14">
        <v>0.7</v>
      </c>
      <c r="G43" s="313">
        <v>1</v>
      </c>
      <c r="H43" s="14">
        <v>0.66</v>
      </c>
      <c r="I43" s="280">
        <v>0.59901214226393995</v>
      </c>
      <c r="J43" s="14">
        <v>0.72499999999999998</v>
      </c>
      <c r="K43" s="280">
        <v>0.64</v>
      </c>
      <c r="L43" s="308">
        <v>1</v>
      </c>
      <c r="M43" s="222">
        <v>0.6</v>
      </c>
      <c r="Q43" s="96" t="s">
        <v>227</v>
      </c>
      <c r="R43" s="96" t="s">
        <v>235</v>
      </c>
      <c r="T43" t="s">
        <v>228</v>
      </c>
      <c r="U43" t="s">
        <v>228</v>
      </c>
      <c r="V43" t="s">
        <v>228</v>
      </c>
      <c r="W43" t="s">
        <v>229</v>
      </c>
      <c r="X43" t="s">
        <v>228</v>
      </c>
      <c r="Y43" t="s">
        <v>230</v>
      </c>
      <c r="Z43" t="s">
        <v>228</v>
      </c>
      <c r="AA43" t="s">
        <v>231</v>
      </c>
      <c r="AC43" s="96" t="s">
        <v>227</v>
      </c>
    </row>
    <row r="44" spans="1:29" x14ac:dyDescent="0.2">
      <c r="A44" s="3" t="s">
        <v>236</v>
      </c>
      <c r="B44" s="14">
        <v>0.17</v>
      </c>
      <c r="C44" s="14">
        <v>0.17</v>
      </c>
      <c r="D44" s="14">
        <v>0.17</v>
      </c>
      <c r="E44" s="14">
        <v>0.17</v>
      </c>
      <c r="F44" s="14">
        <v>0.17</v>
      </c>
      <c r="G44" s="14">
        <v>0.17</v>
      </c>
      <c r="H44" s="14">
        <v>0.17</v>
      </c>
      <c r="I44" s="14">
        <v>0.17</v>
      </c>
      <c r="J44" s="14">
        <v>0.17</v>
      </c>
      <c r="K44" s="14">
        <v>0.17</v>
      </c>
      <c r="L44" s="236">
        <v>0.17</v>
      </c>
      <c r="M44" s="222">
        <v>0.17</v>
      </c>
      <c r="Q44" s="96" t="s">
        <v>237</v>
      </c>
      <c r="R44" s="96"/>
    </row>
    <row r="45" spans="1:29" x14ac:dyDescent="0.2">
      <c r="A45" s="3" t="s">
        <v>238</v>
      </c>
      <c r="B45" s="4">
        <f>Production!B47*B42+SUM(Production!B48:B51)*B43</f>
        <v>3.7685626282455822E-2</v>
      </c>
      <c r="C45" s="4">
        <f>Production!C47*C42+SUM(Production!C48:C51)*C43</f>
        <v>4.0233038545507402E-2</v>
      </c>
      <c r="D45" s="4">
        <f>Production!D47*D42+SUM(Production!D48:D51)*D43</f>
        <v>5.9408456210336538E-2</v>
      </c>
      <c r="E45" s="4">
        <f>Production!E47*E42+SUM(Production!E48:E51)*E43</f>
        <v>4.5100998760863077E-2</v>
      </c>
      <c r="F45" s="4">
        <f>Production!F47*F42+SUM(Production!F48:F51)*F43</f>
        <v>4.5474225647690762E-2</v>
      </c>
      <c r="G45" s="4">
        <f>Production!G47*G42+SUM(Production!G48:G51)*G43</f>
        <v>2.849191191136774E-2</v>
      </c>
      <c r="H45" s="4">
        <f>Production!H47*H42+SUM(Production!H48:H51)*H43</f>
        <v>3.4294500339314193E-2</v>
      </c>
      <c r="I45" s="4">
        <f>Production!I47*I42+SUM(Production!I48:I51)*I43</f>
        <v>5.3359156207392046E-2</v>
      </c>
      <c r="J45" s="4">
        <f>Production!J47*J42+SUM(Production!J48:J51)*J43</f>
        <v>4.0998924112393899E-2</v>
      </c>
      <c r="K45" s="4">
        <f>Production!K47*K42+SUM(Production!K48:K51)*K43</f>
        <v>5.7729278413904746E-2</v>
      </c>
      <c r="L45" s="4">
        <f>Production!L47*L42+SUM(Production!L48:L51)*L43</f>
        <v>3.662797984600303E-2</v>
      </c>
      <c r="M45" s="4">
        <f>Production!M47*M42+SUM(Production!M48:M51)*M43</f>
        <v>2.804108655384312E-2</v>
      </c>
      <c r="Q45" s="96"/>
      <c r="R45" s="96"/>
    </row>
    <row r="46" spans="1:29" x14ac:dyDescent="0.2">
      <c r="A46" s="3" t="s">
        <v>239</v>
      </c>
      <c r="B46" s="4">
        <f t="shared" ref="B46:M46" si="2">B52</f>
        <v>1E-3</v>
      </c>
      <c r="C46" s="4">
        <f t="shared" si="2"/>
        <v>1E-3</v>
      </c>
      <c r="D46" s="4">
        <f t="shared" si="2"/>
        <v>1E-3</v>
      </c>
      <c r="E46" s="4">
        <f t="shared" si="2"/>
        <v>1E-3</v>
      </c>
      <c r="F46" s="4">
        <f t="shared" si="2"/>
        <v>1E-3</v>
      </c>
      <c r="G46" s="4">
        <f t="shared" si="2"/>
        <v>1E-3</v>
      </c>
      <c r="H46" s="4">
        <f t="shared" si="2"/>
        <v>1E-3</v>
      </c>
      <c r="I46" s="4">
        <f t="shared" si="2"/>
        <v>1E-3</v>
      </c>
      <c r="J46" s="4">
        <f t="shared" si="2"/>
        <v>1E-3</v>
      </c>
      <c r="K46" s="4">
        <f t="shared" si="2"/>
        <v>1E-3</v>
      </c>
      <c r="L46" s="4">
        <f t="shared" si="2"/>
        <v>1E-3</v>
      </c>
      <c r="M46" s="227">
        <f t="shared" si="2"/>
        <v>1E-3</v>
      </c>
      <c r="Q46" s="96"/>
      <c r="R46" s="96"/>
    </row>
    <row r="47" spans="1:29" x14ac:dyDescent="0.2">
      <c r="A47" s="3" t="s">
        <v>240</v>
      </c>
      <c r="B47" s="108">
        <f t="shared" ref="B47:M47" si="3">(B45-B46*28/44)*B44*B53</f>
        <v>6.2983746498356717E-5</v>
      </c>
      <c r="C47" s="108">
        <f t="shared" si="3"/>
        <v>6.7314347345544403E-5</v>
      </c>
      <c r="D47" s="108">
        <f t="shared" si="3"/>
        <v>9.9912557375753938E-5</v>
      </c>
      <c r="E47" s="108">
        <f t="shared" si="3"/>
        <v>7.5589879711649051E-5</v>
      </c>
      <c r="F47" s="108">
        <f t="shared" si="3"/>
        <v>7.6224365419256114E-5</v>
      </c>
      <c r="G47" s="108">
        <f t="shared" si="3"/>
        <v>4.7354432067506984E-5</v>
      </c>
      <c r="H47" s="108">
        <f t="shared" si="3"/>
        <v>5.7218832395015952E-5</v>
      </c>
      <c r="I47" s="108">
        <f t="shared" si="3"/>
        <v>8.9628747370748313E-5</v>
      </c>
      <c r="J47" s="108">
        <f t="shared" si="3"/>
        <v>6.8616352809251454E-5</v>
      </c>
      <c r="K47" s="108">
        <f t="shared" si="3"/>
        <v>9.7057955121819894E-5</v>
      </c>
      <c r="L47" s="108">
        <f t="shared" si="3"/>
        <v>6.1185747556386969E-5</v>
      </c>
      <c r="M47" s="228">
        <f t="shared" si="3"/>
        <v>4.6588028959715128E-5</v>
      </c>
      <c r="Q47" s="96"/>
      <c r="R47" s="96"/>
    </row>
    <row r="48" spans="1:29" x14ac:dyDescent="0.2">
      <c r="A48" s="3" t="s">
        <v>241</v>
      </c>
      <c r="B48" s="4">
        <f t="shared" ref="B48:M48" si="4">B45-B46-B47</f>
        <v>3.6622642535957463E-2</v>
      </c>
      <c r="C48" s="4">
        <f t="shared" si="4"/>
        <v>3.9165724198161854E-2</v>
      </c>
      <c r="D48" s="4">
        <f t="shared" si="4"/>
        <v>5.830854365296078E-2</v>
      </c>
      <c r="E48" s="4">
        <f t="shared" si="4"/>
        <v>4.4025408881151425E-2</v>
      </c>
      <c r="F48" s="4">
        <f t="shared" si="4"/>
        <v>4.4398001282271504E-2</v>
      </c>
      <c r="G48" s="4">
        <f t="shared" si="4"/>
        <v>2.7444557479300233E-2</v>
      </c>
      <c r="H48" s="4">
        <f t="shared" si="4"/>
        <v>3.3237281506919174E-2</v>
      </c>
      <c r="I48" s="4">
        <f t="shared" si="4"/>
        <v>5.2269527460021295E-2</v>
      </c>
      <c r="J48" s="4">
        <f t="shared" si="4"/>
        <v>3.9930307759584643E-2</v>
      </c>
      <c r="K48" s="4">
        <f t="shared" si="4"/>
        <v>5.6632220458782925E-2</v>
      </c>
      <c r="L48" s="4">
        <f t="shared" si="4"/>
        <v>3.5566794098446639E-2</v>
      </c>
      <c r="M48" s="227">
        <f t="shared" si="4"/>
        <v>2.6994498524883403E-2</v>
      </c>
      <c r="Q48" s="96"/>
      <c r="R48" s="96"/>
    </row>
    <row r="49" spans="1:28" x14ac:dyDescent="0.2">
      <c r="M49" s="224"/>
      <c r="Q49" s="96"/>
      <c r="R49" s="96"/>
    </row>
    <row r="50" spans="1:28" x14ac:dyDescent="0.2">
      <c r="A50" s="162" t="s">
        <v>242</v>
      </c>
      <c r="B50" s="162"/>
      <c r="C50" s="162"/>
      <c r="D50" s="162"/>
      <c r="E50" s="162"/>
      <c r="F50" s="162"/>
      <c r="G50" s="162"/>
      <c r="H50" s="162"/>
      <c r="I50" s="162"/>
      <c r="J50" s="162"/>
      <c r="K50" s="162"/>
      <c r="L50" s="162"/>
      <c r="M50" s="221"/>
      <c r="Q50" s="96"/>
      <c r="R50" s="96"/>
    </row>
    <row r="51" spans="1:28" x14ac:dyDescent="0.2">
      <c r="A51" s="3" t="s">
        <v>243</v>
      </c>
      <c r="B51" s="14">
        <v>0.02</v>
      </c>
      <c r="C51" s="280">
        <v>0.02</v>
      </c>
      <c r="D51" s="280">
        <v>0.03</v>
      </c>
      <c r="E51" s="280">
        <v>0.03</v>
      </c>
      <c r="F51" s="280">
        <v>0.02</v>
      </c>
      <c r="G51" s="280">
        <v>2.1000000000000001E-2</v>
      </c>
      <c r="H51" s="14">
        <v>0.02</v>
      </c>
      <c r="I51" s="280">
        <v>2.879385581064E-2</v>
      </c>
      <c r="J51" s="280">
        <v>0.03</v>
      </c>
      <c r="K51" s="284">
        <v>2.7157268533580001E-2</v>
      </c>
      <c r="L51" s="236">
        <v>0.02</v>
      </c>
      <c r="M51" s="222">
        <v>0.02</v>
      </c>
      <c r="Q51" s="96" t="s">
        <v>244</v>
      </c>
      <c r="R51" s="96" t="s">
        <v>245</v>
      </c>
      <c r="T51" t="s">
        <v>228</v>
      </c>
      <c r="U51" t="s">
        <v>228</v>
      </c>
      <c r="V51" t="s">
        <v>228</v>
      </c>
      <c r="W51" t="s">
        <v>228</v>
      </c>
      <c r="X51" t="s">
        <v>246</v>
      </c>
      <c r="Y51" t="s">
        <v>230</v>
      </c>
      <c r="Z51" t="s">
        <v>228</v>
      </c>
      <c r="AA51" t="s">
        <v>231</v>
      </c>
      <c r="AB51" t="s">
        <v>228</v>
      </c>
    </row>
    <row r="52" spans="1:28" x14ac:dyDescent="0.2">
      <c r="A52" s="3" t="s">
        <v>247</v>
      </c>
      <c r="B52" s="14">
        <v>1E-3</v>
      </c>
      <c r="C52" s="14">
        <v>1E-3</v>
      </c>
      <c r="D52" s="14">
        <v>1E-3</v>
      </c>
      <c r="E52" s="14">
        <v>1E-3</v>
      </c>
      <c r="F52" s="14">
        <v>1E-3</v>
      </c>
      <c r="G52" s="14">
        <v>1E-3</v>
      </c>
      <c r="H52" s="14">
        <v>1E-3</v>
      </c>
      <c r="I52" s="14">
        <v>1E-3</v>
      </c>
      <c r="J52" s="14">
        <v>1E-3</v>
      </c>
      <c r="K52" s="14">
        <v>1E-3</v>
      </c>
      <c r="L52" s="236">
        <v>1E-3</v>
      </c>
      <c r="M52" s="222">
        <v>1E-3</v>
      </c>
      <c r="Q52" s="96" t="s">
        <v>248</v>
      </c>
      <c r="R52" s="96" t="s">
        <v>249</v>
      </c>
    </row>
    <row r="53" spans="1:28" x14ac:dyDescent="0.2">
      <c r="A53" s="3" t="s">
        <v>250</v>
      </c>
      <c r="B53" s="14">
        <v>0.01</v>
      </c>
      <c r="C53" s="14">
        <v>0.01</v>
      </c>
      <c r="D53" s="14">
        <v>0.01</v>
      </c>
      <c r="E53" s="14">
        <v>0.01</v>
      </c>
      <c r="F53" s="14">
        <v>0.01</v>
      </c>
      <c r="G53" s="14">
        <v>0.01</v>
      </c>
      <c r="H53" s="14">
        <v>0.01</v>
      </c>
      <c r="I53" s="14">
        <v>0.01</v>
      </c>
      <c r="J53" s="14">
        <v>0.01</v>
      </c>
      <c r="K53" s="14">
        <v>0.01</v>
      </c>
      <c r="L53" s="236">
        <v>0.01</v>
      </c>
      <c r="M53" s="222">
        <v>0.01</v>
      </c>
      <c r="Q53" s="96" t="s">
        <v>251</v>
      </c>
      <c r="R53" s="96" t="s">
        <v>252</v>
      </c>
    </row>
    <row r="54" spans="1:28" x14ac:dyDescent="0.2">
      <c r="L54" s="236"/>
      <c r="M54" s="224"/>
      <c r="Q54" s="96"/>
      <c r="R54" s="96"/>
    </row>
    <row r="55" spans="1:28" x14ac:dyDescent="0.2">
      <c r="A55" s="162" t="s">
        <v>253</v>
      </c>
      <c r="B55" s="162"/>
      <c r="C55" s="162"/>
      <c r="D55" s="162"/>
      <c r="E55" s="162"/>
      <c r="F55" s="162"/>
      <c r="G55" s="162"/>
      <c r="H55" s="162"/>
      <c r="I55" s="162"/>
      <c r="J55" s="162"/>
      <c r="K55" s="162"/>
      <c r="L55" s="248"/>
      <c r="M55" s="221"/>
      <c r="Q55" s="96"/>
      <c r="R55" s="96"/>
    </row>
    <row r="56" spans="1:28" x14ac:dyDescent="0.2">
      <c r="A56" s="3" t="s">
        <v>254</v>
      </c>
      <c r="B56" s="309">
        <f>0.35/35*Slaughter_age_DK</f>
        <v>0.36749999999999999</v>
      </c>
      <c r="C56" s="309">
        <f>0.35/35*Slaughter_age_FR</f>
        <v>0.40700000000000003</v>
      </c>
      <c r="D56" s="309">
        <f>0.35/35*Slaughter_age_DE</f>
        <v>0.39799999999999996</v>
      </c>
      <c r="E56" s="16">
        <v>0.35</v>
      </c>
      <c r="F56" s="16">
        <v>0.35</v>
      </c>
      <c r="G56" s="16">
        <v>0.35</v>
      </c>
      <c r="H56" s="16">
        <v>0.35</v>
      </c>
      <c r="I56" s="309">
        <f>0.35/35*Slaughter_age_NL</f>
        <v>0.48799999999999999</v>
      </c>
      <c r="J56" s="16">
        <v>0.35</v>
      </c>
      <c r="K56" s="16">
        <v>0.35</v>
      </c>
      <c r="L56" s="249">
        <v>0.35</v>
      </c>
      <c r="M56" s="229">
        <v>0.35</v>
      </c>
      <c r="Q56" s="96" t="s">
        <v>255</v>
      </c>
      <c r="R56" s="96"/>
    </row>
    <row r="57" spans="1:28" x14ac:dyDescent="0.2">
      <c r="A57" s="3" t="s">
        <v>256</v>
      </c>
      <c r="B57" s="14">
        <v>0.8</v>
      </c>
      <c r="C57" s="14">
        <v>0.8</v>
      </c>
      <c r="D57" s="14">
        <v>0.8</v>
      </c>
      <c r="E57" s="14">
        <v>0.8</v>
      </c>
      <c r="F57" s="14">
        <v>0.8</v>
      </c>
      <c r="G57" s="14">
        <v>0.8</v>
      </c>
      <c r="H57" s="14">
        <v>0.8</v>
      </c>
      <c r="I57" s="14">
        <v>0.8</v>
      </c>
      <c r="J57" s="14">
        <v>0.8</v>
      </c>
      <c r="K57" s="14">
        <v>0.8</v>
      </c>
      <c r="L57" s="236">
        <v>0.8</v>
      </c>
      <c r="M57" s="222">
        <v>0.8</v>
      </c>
      <c r="Q57" s="96" t="s">
        <v>255</v>
      </c>
      <c r="R57" s="96"/>
    </row>
    <row r="58" spans="1:28" x14ac:dyDescent="0.2">
      <c r="A58" s="3" t="s">
        <v>257</v>
      </c>
      <c r="B58" s="14">
        <v>0.5</v>
      </c>
      <c r="C58" s="14">
        <v>0.5</v>
      </c>
      <c r="D58" s="14">
        <v>0.5</v>
      </c>
      <c r="E58" s="14">
        <v>0.5</v>
      </c>
      <c r="F58" s="14">
        <v>0.5</v>
      </c>
      <c r="G58" s="14">
        <v>0.5</v>
      </c>
      <c r="H58" s="14">
        <v>0.5</v>
      </c>
      <c r="I58" s="14">
        <v>0.5</v>
      </c>
      <c r="J58" s="14">
        <v>0.5</v>
      </c>
      <c r="K58" s="14">
        <v>0.5</v>
      </c>
      <c r="L58" s="236">
        <v>0.5</v>
      </c>
      <c r="M58" s="222">
        <v>0.5</v>
      </c>
      <c r="Q58" s="96" t="s">
        <v>258</v>
      </c>
      <c r="R58" s="96"/>
    </row>
    <row r="59" spans="1:28" x14ac:dyDescent="0.2">
      <c r="L59" s="236"/>
      <c r="M59" s="224"/>
      <c r="Q59" s="96" t="s">
        <v>259</v>
      </c>
      <c r="R59" s="96"/>
    </row>
    <row r="60" spans="1:28" x14ac:dyDescent="0.2">
      <c r="A60" s="162" t="s">
        <v>260</v>
      </c>
      <c r="B60" s="162"/>
      <c r="C60" s="162"/>
      <c r="D60" s="162"/>
      <c r="E60" s="162"/>
      <c r="F60" s="162"/>
      <c r="G60" s="162"/>
      <c r="H60" s="162"/>
      <c r="I60" s="162"/>
      <c r="J60" s="162"/>
      <c r="K60" s="162"/>
      <c r="L60" s="248"/>
      <c r="M60" s="221"/>
    </row>
    <row r="61" spans="1:28" x14ac:dyDescent="0.2">
      <c r="A61" s="3" t="s">
        <v>261</v>
      </c>
      <c r="B61" s="321">
        <v>0.2</v>
      </c>
      <c r="C61" s="321">
        <v>0.2</v>
      </c>
      <c r="D61" s="321">
        <v>0.2</v>
      </c>
      <c r="E61" s="321">
        <v>0.2</v>
      </c>
      <c r="F61" s="321">
        <v>0.2</v>
      </c>
      <c r="G61" s="321">
        <v>0.2</v>
      </c>
      <c r="H61" s="321">
        <v>0.2</v>
      </c>
      <c r="I61" s="321">
        <v>0.2</v>
      </c>
      <c r="J61" s="321">
        <v>0.2</v>
      </c>
      <c r="K61" s="321">
        <v>0.2</v>
      </c>
      <c r="L61" s="249">
        <v>0.33</v>
      </c>
      <c r="M61" s="322">
        <v>0.2</v>
      </c>
      <c r="Q61" s="111" t="s">
        <v>262</v>
      </c>
    </row>
    <row r="62" spans="1:28" x14ac:dyDescent="0.2">
      <c r="A62" s="3" t="s">
        <v>263</v>
      </c>
      <c r="B62" s="321">
        <v>0.2</v>
      </c>
      <c r="C62" s="321">
        <v>0.2</v>
      </c>
      <c r="D62" s="321">
        <v>0.2</v>
      </c>
      <c r="E62" s="321">
        <v>0.2</v>
      </c>
      <c r="F62" s="321">
        <v>0.2</v>
      </c>
      <c r="G62" s="321">
        <v>0.2</v>
      </c>
      <c r="H62" s="321">
        <v>0.2</v>
      </c>
      <c r="I62" s="321">
        <v>0.2</v>
      </c>
      <c r="J62" s="321">
        <v>0.2</v>
      </c>
      <c r="K62" s="321">
        <v>0.2</v>
      </c>
      <c r="L62" s="249">
        <f>0.018</f>
        <v>1.7999999999999999E-2</v>
      </c>
      <c r="M62" s="322">
        <v>0.2</v>
      </c>
      <c r="Q62" s="111" t="s">
        <v>264</v>
      </c>
    </row>
    <row r="63" spans="1:28" x14ac:dyDescent="0.2">
      <c r="L63" s="18"/>
      <c r="M63" s="224"/>
    </row>
    <row r="64" spans="1:28" x14ac:dyDescent="0.2">
      <c r="A64" s="162" t="s">
        <v>265</v>
      </c>
      <c r="B64" s="162"/>
      <c r="C64" s="162"/>
      <c r="D64" s="162"/>
      <c r="E64" s="162"/>
      <c r="F64" s="162"/>
      <c r="G64" s="162"/>
      <c r="H64" s="162"/>
      <c r="I64" s="162"/>
      <c r="J64" s="162"/>
      <c r="K64" s="162"/>
      <c r="L64" s="162"/>
      <c r="M64" s="221"/>
      <c r="Q64" s="96"/>
      <c r="R64" s="96"/>
    </row>
    <row r="65" spans="1:18" x14ac:dyDescent="0.2">
      <c r="A65" s="3" t="s">
        <v>266</v>
      </c>
      <c r="B65" s="20">
        <f>B66+EF_el_CH4_DK*CF_GWP_CH4_fossil+EF_el_N2O_DK*CF_GWP_N2O</f>
        <v>0.39096643315116797</v>
      </c>
      <c r="C65" s="20">
        <f>C66+EF_el_CH4_FR*CF_GWP_CH4_fossil+EF_el_N2O_FR*CF_GWP_N2O</f>
        <v>9.7389846101688715E-2</v>
      </c>
      <c r="D65" s="20">
        <f>D66+EF_el_CH4_DE*CF_GWP_CH4_fossil+EF_el_N2O_DE*CF_GWP_N2O</f>
        <v>0.49559220951342314</v>
      </c>
      <c r="E65" s="20">
        <f>E66+EF_el_CH4_GR*CF_GWP_CH4_fossil+EF_el_N2O_GR*CF_GWP_N2O</f>
        <v>0.68383359838017999</v>
      </c>
      <c r="F65" s="20">
        <f>F66+EF_el_CH4_HU*CF_GWP_CH4_fossil+EF_el_N2O_HU*CF_GWP_N2O</f>
        <v>0.47422491295135871</v>
      </c>
      <c r="G65" s="20">
        <f>G66+EF_el_CH4_IE*CF_GWP_CH4_fossil+EF_el_N2O_IE*CF_GWP_N2O</f>
        <v>0.40838708515026739</v>
      </c>
      <c r="H65" s="20">
        <f>H66+EF_el_CH4_IT*CF_GWP_CH4_fossil+EF_el_N2O_IT*CF_GWP_N2O</f>
        <v>0.43143256987221246</v>
      </c>
      <c r="I65" s="20">
        <f>I66+EF_el_CH4_NL*CF_GWP_CH4_fossil+EF_el_N2O_NL*CF_GWP_N2O</f>
        <v>0.53148365626410343</v>
      </c>
      <c r="J65" s="20">
        <f>J66+EF_el_CH4_PL*CF_GWP_CH4_fossil+EF_el_N2O_PL*CF_GWP_N2O</f>
        <v>1.0362621395994065</v>
      </c>
      <c r="K65" s="20">
        <f>K66+EF_el_CH4_ES*CF_GWP_CH4_fossil+EF_el_N2O_ES*CF_GWP_N2O</f>
        <v>0.29612656825806077</v>
      </c>
      <c r="L65" s="20">
        <f>L66+EF_el_CH4_SE*CF_GWP_CH4_fossil+EF_el_N2O_SE*CF_GWP_N2O</f>
        <v>9.361010590226701E-2</v>
      </c>
      <c r="M65" s="226">
        <f>M66+EF_el_CH4_GB*CF_GWP_CH4_fossil+EF_el_N2O_GB*CF_GWP_N2O</f>
        <v>0.41464558412034869</v>
      </c>
      <c r="Q65" s="96" t="s">
        <v>267</v>
      </c>
      <c r="R65" s="96"/>
    </row>
    <row r="66" spans="1:18" x14ac:dyDescent="0.2">
      <c r="A66" s="3" t="s">
        <v>268</v>
      </c>
      <c r="B66" s="238">
        <v>0.37053203522740003</v>
      </c>
      <c r="C66" s="239">
        <v>8.7112695367499993E-2</v>
      </c>
      <c r="D66" s="238">
        <v>0.46350339663360002</v>
      </c>
      <c r="E66" s="238">
        <v>0.63996298020209996</v>
      </c>
      <c r="F66" s="238">
        <v>0.43715184780049998</v>
      </c>
      <c r="G66" s="238">
        <v>0.3918720101247401</v>
      </c>
      <c r="H66" s="238">
        <v>0.37797633435819999</v>
      </c>
      <c r="I66" s="238">
        <v>0.49673189321139988</v>
      </c>
      <c r="J66" s="238">
        <v>0.9754510606115</v>
      </c>
      <c r="K66" s="238">
        <v>0.26811508139590001</v>
      </c>
      <c r="L66" s="238">
        <v>8.8450339728460003E-2</v>
      </c>
      <c r="M66" s="240">
        <v>0.39396368680830002</v>
      </c>
      <c r="Q66" s="96"/>
      <c r="R66" s="96"/>
    </row>
    <row r="67" spans="1:18" x14ac:dyDescent="0.2">
      <c r="A67" s="3" t="s">
        <v>269</v>
      </c>
      <c r="B67" s="241">
        <v>5.1107441647039987E-4</v>
      </c>
      <c r="C67" s="241">
        <v>2.700762131814E-4</v>
      </c>
      <c r="D67" s="241">
        <v>8.866310670443999E-4</v>
      </c>
      <c r="E67" s="241">
        <v>1.2704162262849E-3</v>
      </c>
      <c r="F67" s="241">
        <v>1.1037499887663999E-3</v>
      </c>
      <c r="G67" s="241">
        <v>4.22314047096554E-4</v>
      </c>
      <c r="H67" s="241">
        <v>1.6431484401077999E-3</v>
      </c>
      <c r="I67" s="241">
        <v>9.8347245312259998E-4</v>
      </c>
      <c r="J67" s="241">
        <v>1.87940081866364E-3</v>
      </c>
      <c r="K67" s="241">
        <v>8.28784824796E-4</v>
      </c>
      <c r="L67" s="241">
        <v>9.8278548655939986E-5</v>
      </c>
      <c r="M67" s="242">
        <v>5.6578726519659992E-4</v>
      </c>
      <c r="Q67" s="96"/>
      <c r="R67" s="96"/>
    </row>
    <row r="68" spans="1:18" x14ac:dyDescent="0.2">
      <c r="A68" s="3" t="s">
        <v>270</v>
      </c>
      <c r="B68" s="243">
        <v>1.9063664150000001E-5</v>
      </c>
      <c r="C68" s="243">
        <v>8.1643940709999986E-6</v>
      </c>
      <c r="D68" s="243">
        <v>2.07590003E-5</v>
      </c>
      <c r="E68" s="243">
        <v>2.2022764229999999E-5</v>
      </c>
      <c r="F68" s="243">
        <v>1.5316173940000001E-5</v>
      </c>
      <c r="G68" s="243">
        <v>1.439603085E-5</v>
      </c>
      <c r="H68" s="243">
        <v>1.6448395599999999E-5</v>
      </c>
      <c r="I68" s="243">
        <v>1.9942432050000001E-5</v>
      </c>
      <c r="J68" s="243">
        <v>1.7600493009999999E-5</v>
      </c>
      <c r="K68" s="243">
        <v>1.213809188E-5</v>
      </c>
      <c r="L68" s="243">
        <v>8.172400819999999E-6</v>
      </c>
      <c r="M68" s="244">
        <v>1.3997937029999999E-5</v>
      </c>
    </row>
    <row r="69" spans="1:18" x14ac:dyDescent="0.2">
      <c r="A69" s="3"/>
      <c r="M69" s="224"/>
    </row>
    <row r="70" spans="1:18" x14ac:dyDescent="0.2">
      <c r="A70" s="162" t="s">
        <v>271</v>
      </c>
      <c r="B70" s="162" t="s">
        <v>99</v>
      </c>
      <c r="C70" s="162" t="s">
        <v>49</v>
      </c>
      <c r="D70" s="162" t="s">
        <v>51</v>
      </c>
      <c r="E70" s="162" t="s">
        <v>53</v>
      </c>
      <c r="F70" s="162" t="s">
        <v>100</v>
      </c>
      <c r="G70" s="162" t="s">
        <v>91</v>
      </c>
      <c r="H70" s="162" t="s">
        <v>59</v>
      </c>
      <c r="I70" s="162" t="s">
        <v>90</v>
      </c>
      <c r="J70" s="162" t="s">
        <v>63</v>
      </c>
      <c r="K70" s="162" t="s">
        <v>65</v>
      </c>
      <c r="L70" s="162" t="s">
        <v>67</v>
      </c>
      <c r="M70" s="221" t="s">
        <v>69</v>
      </c>
      <c r="Q70" s="96"/>
      <c r="R70" s="96"/>
    </row>
    <row r="71" spans="1:18" x14ac:dyDescent="0.2">
      <c r="A71" s="3" t="s">
        <v>272</v>
      </c>
      <c r="B71" s="317">
        <v>3.1162677395757101</v>
      </c>
      <c r="C71" s="317">
        <v>3.1792442157854</v>
      </c>
      <c r="D71" s="317">
        <v>3.2077829821500399</v>
      </c>
      <c r="E71" s="317">
        <v>3.3911286486486398</v>
      </c>
      <c r="F71" s="317">
        <v>3.1523065430190602</v>
      </c>
      <c r="G71" s="317">
        <v>3.2030592553749302</v>
      </c>
      <c r="H71" s="317">
        <v>3.46067082188886</v>
      </c>
      <c r="I71" s="317">
        <v>3.1627724594992599</v>
      </c>
      <c r="J71" s="317">
        <v>3.0606571322894802</v>
      </c>
      <c r="K71" s="317">
        <v>3.3359411047220702</v>
      </c>
      <c r="L71" s="317">
        <v>3.0736425884123402</v>
      </c>
      <c r="M71" s="319">
        <v>3.1359149198520302</v>
      </c>
      <c r="O71" s="96" t="s">
        <v>273</v>
      </c>
    </row>
    <row r="72" spans="1:18" x14ac:dyDescent="0.2">
      <c r="A72" s="3" t="s">
        <v>274</v>
      </c>
      <c r="B72" s="318">
        <v>0</v>
      </c>
      <c r="C72" s="318">
        <v>0</v>
      </c>
      <c r="D72" s="318">
        <v>0</v>
      </c>
      <c r="E72" s="318">
        <v>0</v>
      </c>
      <c r="F72" s="318">
        <v>0</v>
      </c>
      <c r="G72" s="318">
        <v>0</v>
      </c>
      <c r="H72" s="318">
        <v>0</v>
      </c>
      <c r="I72" s="318">
        <v>0</v>
      </c>
      <c r="J72" s="318">
        <v>0</v>
      </c>
      <c r="K72" s="318">
        <v>0</v>
      </c>
      <c r="L72" s="318">
        <v>0</v>
      </c>
      <c r="M72" s="320">
        <v>0</v>
      </c>
    </row>
    <row r="73" spans="1:18" x14ac:dyDescent="0.2">
      <c r="A73" s="3" t="s">
        <v>275</v>
      </c>
      <c r="B73" s="241">
        <v>1.40781530101208E-3</v>
      </c>
      <c r="C73" s="241">
        <v>9.4235970813619002E-4</v>
      </c>
      <c r="D73" s="241">
        <v>1.06652006786216E-3</v>
      </c>
      <c r="E73" s="241">
        <v>3.1944559944559902E-4</v>
      </c>
      <c r="F73" s="241">
        <v>1.22755160004E-3</v>
      </c>
      <c r="G73" s="241">
        <v>1.12337810764659E-3</v>
      </c>
      <c r="H73" s="241">
        <v>1.53739351711039E-4</v>
      </c>
      <c r="I73" s="241">
        <v>1.2356109771426401E-3</v>
      </c>
      <c r="J73" s="241">
        <v>1.2125413730641099E-3</v>
      </c>
      <c r="K73" s="241">
        <v>5.5574384377311695E-4</v>
      </c>
      <c r="L73" s="241">
        <v>1.6242541005520601E-3</v>
      </c>
      <c r="M73" s="319">
        <v>1.0330483326784099E-3</v>
      </c>
    </row>
    <row r="74" spans="1:18" x14ac:dyDescent="0.2">
      <c r="M74" s="224"/>
    </row>
    <row r="75" spans="1:18" x14ac:dyDescent="0.2">
      <c r="A75" s="162" t="s">
        <v>276</v>
      </c>
      <c r="B75" s="162"/>
      <c r="C75" s="162"/>
      <c r="D75" s="162"/>
      <c r="E75" s="162"/>
      <c r="F75" s="162"/>
      <c r="G75" s="162"/>
      <c r="H75" s="162"/>
      <c r="I75" s="162"/>
      <c r="J75" s="162"/>
      <c r="K75" s="162"/>
      <c r="L75" s="162"/>
      <c r="M75" s="221"/>
    </row>
    <row r="76" spans="1:18" x14ac:dyDescent="0.2">
      <c r="A76" s="94" t="s">
        <v>277</v>
      </c>
      <c r="B76" s="324">
        <v>1.6E-2</v>
      </c>
      <c r="C76" s="324">
        <v>1.6E-2</v>
      </c>
      <c r="D76" s="324">
        <v>1.6E-2</v>
      </c>
      <c r="E76" s="324">
        <v>0.01</v>
      </c>
      <c r="F76" s="324">
        <v>1.6E-2</v>
      </c>
      <c r="G76" s="324">
        <v>1.6E-2</v>
      </c>
      <c r="H76" s="324">
        <v>1.6E-2</v>
      </c>
      <c r="I76" s="324">
        <v>1.6E-2</v>
      </c>
      <c r="J76" s="324">
        <v>1.6E-2</v>
      </c>
      <c r="K76" s="324">
        <v>0.01</v>
      </c>
      <c r="L76" s="324">
        <v>1.6E-2</v>
      </c>
      <c r="M76" s="326">
        <v>1.6E-2</v>
      </c>
      <c r="O76" s="325" t="s">
        <v>278</v>
      </c>
    </row>
    <row r="77" spans="1:18" x14ac:dyDescent="0.2">
      <c r="A77" s="94" t="s">
        <v>279</v>
      </c>
      <c r="B77" s="324">
        <v>6.0000000000000001E-3</v>
      </c>
      <c r="C77" s="324">
        <v>6.0000000000000001E-3</v>
      </c>
      <c r="D77" s="324">
        <v>6.0000000000000001E-3</v>
      </c>
      <c r="E77" s="324">
        <v>0.01</v>
      </c>
      <c r="F77" s="324">
        <v>6.0000000000000001E-3</v>
      </c>
      <c r="G77" s="324">
        <v>6.0000000000000001E-3</v>
      </c>
      <c r="H77" s="324">
        <v>6.0000000000000001E-3</v>
      </c>
      <c r="I77" s="324">
        <v>6.0000000000000001E-3</v>
      </c>
      <c r="J77" s="324">
        <v>6.0000000000000001E-3</v>
      </c>
      <c r="K77" s="324">
        <v>0.01</v>
      </c>
      <c r="L77" s="324">
        <v>6.0000000000000001E-3</v>
      </c>
      <c r="M77" s="326">
        <v>6.0000000000000001E-3</v>
      </c>
    </row>
    <row r="78" spans="1:18" x14ac:dyDescent="0.2">
      <c r="A78" s="3" t="s">
        <v>280</v>
      </c>
      <c r="B78" s="4">
        <f t="shared" ref="B78:M78" si="5">B76-B77</f>
        <v>0.01</v>
      </c>
      <c r="C78" s="4">
        <f t="shared" si="5"/>
        <v>0.01</v>
      </c>
      <c r="D78" s="4">
        <f t="shared" si="5"/>
        <v>0.01</v>
      </c>
      <c r="E78" s="4">
        <f t="shared" si="5"/>
        <v>0</v>
      </c>
      <c r="F78" s="4">
        <f t="shared" si="5"/>
        <v>0.01</v>
      </c>
      <c r="G78" s="4">
        <f t="shared" si="5"/>
        <v>0.01</v>
      </c>
      <c r="H78" s="4">
        <f t="shared" si="5"/>
        <v>0.01</v>
      </c>
      <c r="I78" s="4">
        <f t="shared" si="5"/>
        <v>0.01</v>
      </c>
      <c r="J78" s="4">
        <f t="shared" si="5"/>
        <v>0.01</v>
      </c>
      <c r="K78" s="4">
        <f t="shared" si="5"/>
        <v>0</v>
      </c>
      <c r="L78" s="4">
        <f t="shared" si="5"/>
        <v>0.01</v>
      </c>
      <c r="M78" s="227">
        <f t="shared" si="5"/>
        <v>0.01</v>
      </c>
    </row>
    <row r="79" spans="1:18" x14ac:dyDescent="0.2">
      <c r="A79" s="94" t="s">
        <v>281</v>
      </c>
      <c r="B79" s="315">
        <v>0.1</v>
      </c>
      <c r="C79" s="315">
        <v>0.1</v>
      </c>
      <c r="D79" s="315">
        <v>0.1</v>
      </c>
      <c r="E79" s="315">
        <v>0.1</v>
      </c>
      <c r="F79" s="315">
        <v>0.1</v>
      </c>
      <c r="G79" s="315">
        <v>0.1</v>
      </c>
      <c r="H79" s="315">
        <v>0.1</v>
      </c>
      <c r="I79" s="315">
        <v>0.1</v>
      </c>
      <c r="J79" s="315">
        <v>0.1</v>
      </c>
      <c r="K79" s="315">
        <v>0.1</v>
      </c>
      <c r="L79" s="315">
        <v>0.1</v>
      </c>
      <c r="M79" s="316">
        <v>0.1</v>
      </c>
    </row>
    <row r="80" spans="1:18" x14ac:dyDescent="0.2">
      <c r="A80" s="3"/>
      <c r="M80" s="224"/>
    </row>
    <row r="81" spans="1:17" x14ac:dyDescent="0.2">
      <c r="A81" s="162" t="s">
        <v>282</v>
      </c>
      <c r="B81" s="162"/>
      <c r="C81" s="162"/>
      <c r="D81" s="162"/>
      <c r="E81" s="162"/>
      <c r="F81" s="162"/>
      <c r="G81" s="162"/>
      <c r="H81" s="162"/>
      <c r="I81" s="162"/>
      <c r="J81" s="162"/>
      <c r="K81" s="162"/>
      <c r="L81" s="162"/>
      <c r="M81" s="221"/>
    </row>
    <row r="82" spans="1:17" x14ac:dyDescent="0.2">
      <c r="A82" s="94" t="s">
        <v>282</v>
      </c>
      <c r="B82" s="245">
        <v>0.5</v>
      </c>
      <c r="C82" s="245">
        <v>0.5</v>
      </c>
      <c r="D82" s="245">
        <v>0.5</v>
      </c>
      <c r="E82" s="245">
        <v>0.5</v>
      </c>
      <c r="F82" s="245">
        <v>0.5</v>
      </c>
      <c r="G82" s="245">
        <v>0.5</v>
      </c>
      <c r="H82" s="245">
        <v>0.5</v>
      </c>
      <c r="I82" s="245">
        <v>0.5</v>
      </c>
      <c r="J82" s="245">
        <v>0.5</v>
      </c>
      <c r="K82" s="245">
        <v>0.5</v>
      </c>
      <c r="L82" s="245">
        <v>0.5</v>
      </c>
      <c r="M82" s="246">
        <v>0.5</v>
      </c>
      <c r="Q82" t="s">
        <v>283</v>
      </c>
    </row>
    <row r="83" spans="1:17" x14ac:dyDescent="0.2">
      <c r="M83" s="224"/>
    </row>
    <row r="84" spans="1:17" x14ac:dyDescent="0.2">
      <c r="A84" s="162" t="s">
        <v>284</v>
      </c>
      <c r="B84" s="162"/>
      <c r="C84" s="162"/>
      <c r="D84" s="162"/>
      <c r="E84" s="162"/>
      <c r="F84" s="162"/>
      <c r="G84" s="162"/>
      <c r="H84" s="162"/>
      <c r="I84" s="162"/>
      <c r="J84" s="162"/>
      <c r="K84" s="162"/>
      <c r="L84" s="162"/>
      <c r="M84" s="221"/>
    </row>
    <row r="85" spans="1:17" x14ac:dyDescent="0.2">
      <c r="A85" s="3" t="s">
        <v>285</v>
      </c>
      <c r="B85" s="327">
        <v>0.1925</v>
      </c>
      <c r="C85" s="327">
        <v>0.1925</v>
      </c>
      <c r="D85" s="327">
        <v>0.1925</v>
      </c>
      <c r="E85" s="327">
        <v>0.1925</v>
      </c>
      <c r="F85" s="327">
        <v>0.1925</v>
      </c>
      <c r="G85" s="327">
        <v>0.1925</v>
      </c>
      <c r="H85" s="327">
        <v>0.1925</v>
      </c>
      <c r="I85" s="327">
        <v>0.1925</v>
      </c>
      <c r="J85" s="327">
        <v>0.1925</v>
      </c>
      <c r="K85" s="327">
        <v>0.1925</v>
      </c>
      <c r="L85" s="327">
        <v>0.1925</v>
      </c>
      <c r="M85" s="327">
        <v>0.1925</v>
      </c>
    </row>
    <row r="86" spans="1:17" x14ac:dyDescent="0.2">
      <c r="A86" s="3" t="s">
        <v>286</v>
      </c>
      <c r="B86" s="327">
        <v>0.01</v>
      </c>
      <c r="C86" s="327">
        <v>0.01</v>
      </c>
      <c r="D86" s="327">
        <v>0.01</v>
      </c>
      <c r="E86" s="327">
        <v>0.01</v>
      </c>
      <c r="F86" s="327">
        <v>0.01</v>
      </c>
      <c r="G86" s="327">
        <v>0.01</v>
      </c>
      <c r="H86" s="327">
        <v>0.01</v>
      </c>
      <c r="I86" s="327">
        <v>0.01</v>
      </c>
      <c r="J86" s="327">
        <v>0.01</v>
      </c>
      <c r="K86" s="327">
        <v>0.01</v>
      </c>
      <c r="L86" s="327">
        <v>0.01</v>
      </c>
      <c r="M86" s="327">
        <v>0.01</v>
      </c>
    </row>
    <row r="87" spans="1:17" x14ac:dyDescent="0.2">
      <c r="A87" s="3" t="s">
        <v>287</v>
      </c>
      <c r="B87" s="327">
        <v>0.27500000000000002</v>
      </c>
      <c r="C87" s="327">
        <v>0.27500000000000002</v>
      </c>
      <c r="D87" s="327">
        <v>0.27500000000000002</v>
      </c>
      <c r="E87" s="327">
        <v>0.27500000000000002</v>
      </c>
      <c r="F87" s="327">
        <v>0.27500000000000002</v>
      </c>
      <c r="G87" s="327">
        <v>0.27500000000000002</v>
      </c>
      <c r="H87" s="327">
        <v>0.27500000000000002</v>
      </c>
      <c r="I87" s="327">
        <v>0.27500000000000002</v>
      </c>
      <c r="J87" s="327">
        <v>0.27500000000000002</v>
      </c>
      <c r="K87" s="327">
        <v>0.27500000000000002</v>
      </c>
      <c r="L87" s="327">
        <v>0.27500000000000002</v>
      </c>
      <c r="M87" s="327">
        <v>0.27500000000000002</v>
      </c>
    </row>
    <row r="88" spans="1:17" x14ac:dyDescent="0.2">
      <c r="A88" s="3" t="s">
        <v>288</v>
      </c>
      <c r="B88" s="327">
        <v>0.15</v>
      </c>
      <c r="C88" s="327">
        <v>0.15</v>
      </c>
      <c r="D88" s="327">
        <v>0.15</v>
      </c>
      <c r="E88" s="327">
        <v>0.15</v>
      </c>
      <c r="F88" s="327">
        <v>0.15</v>
      </c>
      <c r="G88" s="327">
        <v>0.15</v>
      </c>
      <c r="H88" s="327">
        <v>0.15</v>
      </c>
      <c r="I88" s="327">
        <v>0.15</v>
      </c>
      <c r="J88" s="327">
        <v>0.15</v>
      </c>
      <c r="K88" s="327">
        <v>0.15</v>
      </c>
      <c r="L88" s="327">
        <v>0.15</v>
      </c>
      <c r="M88" s="327">
        <v>0.15</v>
      </c>
    </row>
  </sheetData>
  <pageMargins left="0.7" right="0.7" top="0.75" bottom="0.75" header="0.3" footer="0.3"/>
  <pageSetup paperSize="9" orientation="portrait"/>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4">
    <tabColor theme="4" tint="0.79998168889431442"/>
  </sheetPr>
  <dimension ref="A1:S261"/>
  <sheetViews>
    <sheetView topLeftCell="B1" zoomScale="66" zoomScaleNormal="90" workbookViewId="0">
      <selection activeCell="H6" sqref="H6"/>
    </sheetView>
  </sheetViews>
  <sheetFormatPr baseColWidth="10" defaultColWidth="8.83203125" defaultRowHeight="15" x14ac:dyDescent="0.2"/>
  <cols>
    <col min="1" max="1" width="8.6640625" customWidth="1"/>
    <col min="2" max="2" width="30.5" customWidth="1"/>
    <col min="3" max="3" width="19" customWidth="1"/>
    <col min="4" max="4" width="12.83203125" customWidth="1"/>
    <col min="5" max="5" width="10.33203125" customWidth="1"/>
    <col min="6" max="11" width="12.6640625" customWidth="1"/>
    <col min="12" max="12" width="14.1640625" customWidth="1"/>
    <col min="13" max="15" width="12.6640625" customWidth="1"/>
    <col min="16" max="18" width="12.6640625" style="12" customWidth="1"/>
  </cols>
  <sheetData>
    <row r="1" spans="1:19" x14ac:dyDescent="0.2">
      <c r="F1" s="12"/>
      <c r="G1" s="12"/>
      <c r="H1" s="12"/>
      <c r="I1" s="12"/>
      <c r="J1" s="12"/>
      <c r="K1" s="12"/>
      <c r="L1" s="12"/>
      <c r="M1" s="12"/>
      <c r="N1" s="12"/>
      <c r="O1" s="12"/>
    </row>
    <row r="2" spans="1:19" ht="21" customHeight="1" x14ac:dyDescent="0.25">
      <c r="A2" s="2" t="s">
        <v>289</v>
      </c>
      <c r="G2" t="s">
        <v>290</v>
      </c>
      <c r="Q2" t="s">
        <v>291</v>
      </c>
    </row>
    <row r="3" spans="1:19" x14ac:dyDescent="0.2">
      <c r="I3" s="9"/>
      <c r="J3" s="9"/>
      <c r="K3" s="9"/>
      <c r="L3" s="9"/>
      <c r="M3" s="9"/>
      <c r="N3" s="9"/>
      <c r="O3" s="9"/>
      <c r="P3" s="9"/>
    </row>
    <row r="4" spans="1:19" ht="29" customHeight="1" x14ac:dyDescent="0.2">
      <c r="A4" s="196" t="s">
        <v>292</v>
      </c>
      <c r="B4" s="179"/>
      <c r="C4" s="179"/>
      <c r="D4" s="179"/>
      <c r="E4" s="179"/>
      <c r="F4" s="180" t="s">
        <v>9</v>
      </c>
      <c r="G4" s="180" t="s">
        <v>10</v>
      </c>
      <c r="H4" s="181"/>
      <c r="I4" s="180" t="s">
        <v>11</v>
      </c>
      <c r="J4" s="103"/>
      <c r="K4" s="180" t="s">
        <v>12</v>
      </c>
      <c r="L4" s="103"/>
      <c r="M4" s="103"/>
      <c r="N4" s="103"/>
      <c r="O4" s="104" t="s">
        <v>13</v>
      </c>
      <c r="P4" s="104" t="s">
        <v>14</v>
      </c>
      <c r="Q4" s="182" t="s">
        <v>15</v>
      </c>
      <c r="R4" s="180" t="s">
        <v>293</v>
      </c>
    </row>
    <row r="5" spans="1:19" ht="47.25" customHeight="1" x14ac:dyDescent="0.2">
      <c r="A5" s="97" t="s">
        <v>114</v>
      </c>
      <c r="B5" s="97" t="s">
        <v>292</v>
      </c>
      <c r="C5" s="97" t="s">
        <v>294</v>
      </c>
      <c r="D5" s="97" t="s">
        <v>19</v>
      </c>
      <c r="E5" s="184" t="s">
        <v>20</v>
      </c>
      <c r="F5" s="183"/>
      <c r="G5" s="98" t="s">
        <v>92</v>
      </c>
      <c r="H5" s="98" t="s">
        <v>24</v>
      </c>
      <c r="I5" s="98" t="s">
        <v>295</v>
      </c>
      <c r="J5" s="98" t="s">
        <v>296</v>
      </c>
      <c r="K5" s="98" t="s">
        <v>27</v>
      </c>
      <c r="L5" s="98" t="s">
        <v>28</v>
      </c>
      <c r="M5" s="98" t="s">
        <v>29</v>
      </c>
      <c r="N5" s="98" t="s">
        <v>30</v>
      </c>
      <c r="O5" s="98" t="s">
        <v>31</v>
      </c>
      <c r="P5" s="98" t="s">
        <v>297</v>
      </c>
      <c r="Q5" s="184" t="s">
        <v>298</v>
      </c>
      <c r="R5" s="98"/>
    </row>
    <row r="6" spans="1:19" x14ac:dyDescent="0.2">
      <c r="A6" s="22" t="s">
        <v>299</v>
      </c>
      <c r="B6" s="17" t="s">
        <v>198</v>
      </c>
      <c r="C6" s="17" t="s">
        <v>300</v>
      </c>
      <c r="D6" s="23" t="s">
        <v>42</v>
      </c>
      <c r="E6" s="23" t="s">
        <v>43</v>
      </c>
      <c r="F6" s="116">
        <f t="shared" ref="F6:F16" si="0">SUM(G6:Q6)</f>
        <v>0.19835268831988837</v>
      </c>
      <c r="G6" s="279">
        <v>9.5923455349377004E-2</v>
      </c>
      <c r="H6" s="328">
        <v>2.7E-2</v>
      </c>
      <c r="I6" s="279">
        <v>0</v>
      </c>
      <c r="J6" s="279"/>
      <c r="K6" s="279">
        <v>3.3556503358935202E-2</v>
      </c>
      <c r="L6" s="279">
        <v>0</v>
      </c>
      <c r="M6" s="279">
        <v>0</v>
      </c>
      <c r="N6" s="279">
        <v>4.0440240704547999E-2</v>
      </c>
      <c r="O6" s="14">
        <v>1.43248890702816E-3</v>
      </c>
      <c r="P6" s="14"/>
      <c r="R6" s="187">
        <f>'Parameters, country spec'!B21</f>
        <v>0</v>
      </c>
    </row>
    <row r="7" spans="1:19" x14ac:dyDescent="0.2">
      <c r="A7" s="22" t="s">
        <v>301</v>
      </c>
      <c r="B7" s="17" t="s">
        <v>201</v>
      </c>
      <c r="C7" s="17" t="s">
        <v>300</v>
      </c>
      <c r="D7" s="23" t="s">
        <v>42</v>
      </c>
      <c r="E7" s="23" t="s">
        <v>43</v>
      </c>
      <c r="F7" s="116">
        <f t="shared" si="0"/>
        <v>0.11879102667902652</v>
      </c>
      <c r="G7" s="279">
        <v>1.8958167491456901E-2</v>
      </c>
      <c r="H7" s="302">
        <v>2.7E-2</v>
      </c>
      <c r="I7" s="279">
        <v>0</v>
      </c>
      <c r="J7" s="279"/>
      <c r="K7" s="279">
        <v>2.4386625784786099E-2</v>
      </c>
      <c r="L7" s="279">
        <v>0</v>
      </c>
      <c r="M7" s="279">
        <v>0</v>
      </c>
      <c r="N7" s="279">
        <v>4.0440240704547999E-2</v>
      </c>
      <c r="O7" s="14">
        <v>8.0059926982355405E-3</v>
      </c>
      <c r="P7" s="14"/>
      <c r="R7" s="187">
        <f>'Parameters, country spec'!B22</f>
        <v>0.15</v>
      </c>
    </row>
    <row r="8" spans="1:19" x14ac:dyDescent="0.2">
      <c r="A8" s="22" t="s">
        <v>302</v>
      </c>
      <c r="B8" s="17" t="s">
        <v>204</v>
      </c>
      <c r="C8" s="17" t="s">
        <v>300</v>
      </c>
      <c r="D8" s="23" t="s">
        <v>42</v>
      </c>
      <c r="E8" s="23" t="s">
        <v>43</v>
      </c>
      <c r="F8" s="116">
        <f t="shared" si="0"/>
        <v>0.21014937397186484</v>
      </c>
      <c r="G8" s="279">
        <v>9.3216390865701701E-2</v>
      </c>
      <c r="H8" s="302">
        <v>2.7E-2</v>
      </c>
      <c r="I8" s="279">
        <v>0</v>
      </c>
      <c r="J8" s="279"/>
      <c r="K8" s="279">
        <v>3.6803932914955199E-2</v>
      </c>
      <c r="L8" s="279">
        <v>0</v>
      </c>
      <c r="M8" s="279">
        <v>4.9511763574970203E-7</v>
      </c>
      <c r="N8" s="279">
        <v>4.0440240704547999E-2</v>
      </c>
      <c r="O8" s="14">
        <v>1.2688314369024199E-2</v>
      </c>
      <c r="P8" s="14"/>
      <c r="R8" s="187">
        <f>'Parameters, country spec'!B23</f>
        <v>0</v>
      </c>
    </row>
    <row r="9" spans="1:19" x14ac:dyDescent="0.2">
      <c r="A9" s="22" t="s">
        <v>303</v>
      </c>
      <c r="B9" s="17" t="s">
        <v>205</v>
      </c>
      <c r="C9" s="17" t="s">
        <v>300</v>
      </c>
      <c r="D9" s="23" t="s">
        <v>42</v>
      </c>
      <c r="E9" s="23" t="s">
        <v>43</v>
      </c>
      <c r="F9" s="116">
        <f t="shared" si="0"/>
        <v>0.1902811689127652</v>
      </c>
      <c r="G9" s="279">
        <v>7.9062197914838997E-2</v>
      </c>
      <c r="H9" s="302">
        <v>2.7E-2</v>
      </c>
      <c r="I9" s="279">
        <v>0</v>
      </c>
      <c r="J9" s="279"/>
      <c r="K9" s="279">
        <v>3.2116032674916598E-2</v>
      </c>
      <c r="L9" s="279">
        <v>0</v>
      </c>
      <c r="M9" s="279">
        <v>1.8594204821412199E-4</v>
      </c>
      <c r="N9" s="279">
        <v>4.0440240704547999E-2</v>
      </c>
      <c r="O9" s="14">
        <v>1.14767555702475E-2</v>
      </c>
      <c r="P9" s="14"/>
      <c r="R9" s="187">
        <f>'Parameters, country spec'!B24</f>
        <v>0</v>
      </c>
    </row>
    <row r="10" spans="1:19" x14ac:dyDescent="0.2">
      <c r="A10" s="22" t="s">
        <v>304</v>
      </c>
      <c r="B10" s="17" t="s">
        <v>206</v>
      </c>
      <c r="C10" s="17" t="s">
        <v>300</v>
      </c>
      <c r="D10" s="23" t="s">
        <v>42</v>
      </c>
      <c r="E10" s="23" t="s">
        <v>43</v>
      </c>
      <c r="F10" s="116">
        <f t="shared" si="0"/>
        <v>0.17213603280221426</v>
      </c>
      <c r="G10" s="279">
        <v>7.8082582640392695E-2</v>
      </c>
      <c r="H10" s="302">
        <v>2.7E-2</v>
      </c>
      <c r="I10" s="279">
        <v>0</v>
      </c>
      <c r="J10" s="279"/>
      <c r="K10" s="279">
        <v>2.5110163258381502E-2</v>
      </c>
      <c r="L10" s="279">
        <v>0</v>
      </c>
      <c r="M10" s="279">
        <v>1.46976759244913E-4</v>
      </c>
      <c r="N10" s="279">
        <v>4.0440240704547999E-2</v>
      </c>
      <c r="O10" s="14">
        <v>1.3560694396471599E-3</v>
      </c>
      <c r="P10" s="14"/>
      <c r="R10" s="187">
        <f>'Parameters, country spec'!B25</f>
        <v>0.5</v>
      </c>
    </row>
    <row r="11" spans="1:19" x14ac:dyDescent="0.2">
      <c r="A11" s="22" t="s">
        <v>305</v>
      </c>
      <c r="B11" s="17" t="s">
        <v>207</v>
      </c>
      <c r="C11" s="17" t="s">
        <v>306</v>
      </c>
      <c r="D11" s="23" t="s">
        <v>42</v>
      </c>
      <c r="E11" s="23" t="s">
        <v>43</v>
      </c>
      <c r="F11" s="116">
        <f t="shared" si="0"/>
        <v>0.16649179682173021</v>
      </c>
      <c r="G11" s="279">
        <v>0</v>
      </c>
      <c r="H11" s="302">
        <v>2.7E-2</v>
      </c>
      <c r="I11" s="279">
        <v>0</v>
      </c>
      <c r="J11" s="279"/>
      <c r="K11" s="279">
        <v>4.9539466455450903E-2</v>
      </c>
      <c r="L11" s="279">
        <v>0</v>
      </c>
      <c r="M11" s="279">
        <v>1.42568630868594E-2</v>
      </c>
      <c r="N11" s="279">
        <v>4.0440240704547999E-2</v>
      </c>
      <c r="O11" s="14">
        <v>3.5255226574871901E-2</v>
      </c>
      <c r="P11" s="14"/>
      <c r="R11" s="187">
        <f>'Parameters, country spec'!B26</f>
        <v>0</v>
      </c>
    </row>
    <row r="12" spans="1:19" x14ac:dyDescent="0.2">
      <c r="A12" s="22" t="s">
        <v>307</v>
      </c>
      <c r="B12" s="17" t="s">
        <v>208</v>
      </c>
      <c r="C12" s="17" t="s">
        <v>306</v>
      </c>
      <c r="D12" s="23" t="s">
        <v>42</v>
      </c>
      <c r="E12" s="23" t="s">
        <v>43</v>
      </c>
      <c r="F12" s="116">
        <f t="shared" si="0"/>
        <v>0.2328017021900203</v>
      </c>
      <c r="G12" s="279">
        <v>0</v>
      </c>
      <c r="H12" s="302">
        <v>2.7E-2</v>
      </c>
      <c r="I12" s="279">
        <v>0</v>
      </c>
      <c r="J12" s="279"/>
      <c r="K12" s="279">
        <v>4.6022206218492699E-2</v>
      </c>
      <c r="L12" s="279">
        <v>0</v>
      </c>
      <c r="M12" s="279">
        <v>1.9421122100326E-2</v>
      </c>
      <c r="N12" s="279">
        <v>4.0440240704547999E-2</v>
      </c>
      <c r="O12" s="14">
        <v>9.99181331666536E-2</v>
      </c>
      <c r="P12" s="14"/>
      <c r="R12" s="187">
        <f>'Parameters, country spec'!B27</f>
        <v>0</v>
      </c>
    </row>
    <row r="13" spans="1:19" x14ac:dyDescent="0.2">
      <c r="B13" s="18" t="s">
        <v>209</v>
      </c>
      <c r="C13" s="17" t="s">
        <v>308</v>
      </c>
      <c r="D13" s="23" t="str">
        <f>'Off-farm feed'!$D$74</f>
        <v>France, Germany, Poland</v>
      </c>
      <c r="E13" s="23"/>
      <c r="F13" s="116">
        <f t="shared" si="0"/>
        <v>0.27085685084992916</v>
      </c>
      <c r="G13" s="210">
        <f>'Off-farm feed'!$F$74</f>
        <v>0.11176753125767681</v>
      </c>
      <c r="H13" s="210">
        <f>'Off-farm feed'!$G$74</f>
        <v>1.3034482758620692E-2</v>
      </c>
      <c r="I13" s="210">
        <f>'Off-farm feed'!$H$74</f>
        <v>0</v>
      </c>
      <c r="J13" s="210">
        <f>'Off-farm feed'!$I$74</f>
        <v>0</v>
      </c>
      <c r="K13" s="210">
        <f>'Off-farm feed'!$J$74</f>
        <v>2.4688740026345454E-2</v>
      </c>
      <c r="L13" s="210">
        <f>'Off-farm feed'!$K$74</f>
        <v>0</v>
      </c>
      <c r="M13" s="210">
        <f>'Off-farm feed'!$L$74</f>
        <v>1.931759303794134E-4</v>
      </c>
      <c r="N13" s="210">
        <f>'Off-farm feed'!$M$74</f>
        <v>3.6802128767029069E-2</v>
      </c>
      <c r="O13" s="210">
        <f>'Off-farm feed'!$N$74</f>
        <v>0</v>
      </c>
      <c r="P13" s="210">
        <f>'Off-farm feed'!$O$74</f>
        <v>2.1170792109877701E-2</v>
      </c>
      <c r="Q13" s="210">
        <f>'Off-farm feed'!$P$74</f>
        <v>6.3200000000000006E-2</v>
      </c>
      <c r="R13" s="187">
        <f>'Parameters, country spec'!B28</f>
        <v>0.03</v>
      </c>
    </row>
    <row r="14" spans="1:19" x14ac:dyDescent="0.2">
      <c r="B14" s="18" t="s">
        <v>309</v>
      </c>
      <c r="C14" s="17" t="s">
        <v>308</v>
      </c>
      <c r="D14" s="23" t="str">
        <f>'Off-farm feed'!$D$23</f>
        <v>Brazil, Argentina</v>
      </c>
      <c r="E14" s="23"/>
      <c r="F14" s="116">
        <f t="shared" si="0"/>
        <v>0.70611717059976009</v>
      </c>
      <c r="G14" s="210">
        <f>'Off-farm feed'!$F$23</f>
        <v>7.2632670993098914E-3</v>
      </c>
      <c r="H14" s="210">
        <f>'Off-farm feed'!$G$23</f>
        <v>2.1402439024390246E-2</v>
      </c>
      <c r="I14" s="210">
        <f>'Off-farm feed'!$H$23</f>
        <v>0</v>
      </c>
      <c r="J14" s="210">
        <f>'Off-farm feed'!$I$23</f>
        <v>0</v>
      </c>
      <c r="K14" s="210">
        <f>'Off-farm feed'!$J$23</f>
        <v>4.3083619664332343E-2</v>
      </c>
      <c r="L14" s="210">
        <f>'Off-farm feed'!$K$23</f>
        <v>0</v>
      </c>
      <c r="M14" s="210">
        <f>'Off-farm feed'!$L$23</f>
        <v>1.7842060425123844E-4</v>
      </c>
      <c r="N14" s="210">
        <f>'Off-farm feed'!$M$23</f>
        <v>3.0432604948959403E-2</v>
      </c>
      <c r="O14" s="210">
        <f>'Off-farm feed'!$N$23</f>
        <v>0.31761120248475611</v>
      </c>
      <c r="P14" s="210">
        <f>'Off-farm feed'!$O$23</f>
        <v>3.5145616773760872E-2</v>
      </c>
      <c r="Q14" s="210">
        <f>'Off-farm feed'!$P$23</f>
        <v>0.251</v>
      </c>
      <c r="R14" s="187">
        <f>'Parameters, country spec'!B29</f>
        <v>0.28999999999999998</v>
      </c>
    </row>
    <row r="15" spans="1:19" x14ac:dyDescent="0.2">
      <c r="B15" s="17" t="s">
        <v>213</v>
      </c>
      <c r="C15" s="17" t="s">
        <v>310</v>
      </c>
      <c r="D15" s="23" t="s">
        <v>42</v>
      </c>
      <c r="E15" s="23" t="s">
        <v>43</v>
      </c>
      <c r="F15" s="116">
        <f t="shared" si="0"/>
        <v>0.55277306375924962</v>
      </c>
      <c r="G15" s="79">
        <v>7.0274324376353404E-3</v>
      </c>
      <c r="H15" s="16">
        <v>2.4299999999999999E-3</v>
      </c>
      <c r="I15" s="16"/>
      <c r="J15" s="14"/>
      <c r="K15" s="79">
        <v>2.2599146932543398E-3</v>
      </c>
      <c r="L15" s="14">
        <v>0</v>
      </c>
      <c r="M15" s="14">
        <v>1.32279083320422E-5</v>
      </c>
      <c r="N15" s="79">
        <v>3.6396216634093201E-3</v>
      </c>
      <c r="O15" s="14">
        <v>1.22046249568244E-4</v>
      </c>
      <c r="P15" s="16">
        <v>0.52550926010708199</v>
      </c>
      <c r="Q15" s="16">
        <v>1.1771560699968301E-2</v>
      </c>
      <c r="R15" s="187">
        <f>'Parameters, country spec'!B30</f>
        <v>0</v>
      </c>
      <c r="S15" t="s">
        <v>311</v>
      </c>
    </row>
    <row r="16" spans="1:19" x14ac:dyDescent="0.2">
      <c r="A16" s="82"/>
      <c r="B16" s="17" t="s">
        <v>312</v>
      </c>
      <c r="C16" s="83" t="s">
        <v>313</v>
      </c>
      <c r="D16" s="23" t="s">
        <v>42</v>
      </c>
      <c r="E16" s="23" t="s">
        <v>43</v>
      </c>
      <c r="F16" s="116">
        <f t="shared" si="0"/>
        <v>0.14553939359705401</v>
      </c>
      <c r="G16" s="80">
        <f t="shared" ref="G16:N16" si="1">SUMPRODUCT(G6:G14,$R$126:$R$134)</f>
        <v>6.0215356156137372E-2</v>
      </c>
      <c r="H16" s="80">
        <f t="shared" si="1"/>
        <v>2.2930198486122794E-2</v>
      </c>
      <c r="I16" s="80">
        <f t="shared" si="1"/>
        <v>0</v>
      </c>
      <c r="J16" s="80">
        <f t="shared" si="1"/>
        <v>0</v>
      </c>
      <c r="K16" s="80">
        <f t="shared" si="1"/>
        <v>2.7043098925652376E-2</v>
      </c>
      <c r="L16" s="80">
        <f t="shared" si="1"/>
        <v>0</v>
      </c>
      <c r="M16" s="80">
        <f t="shared" si="1"/>
        <v>1.3320972113442579E-4</v>
      </c>
      <c r="N16" s="80">
        <f t="shared" si="1"/>
        <v>3.5217530308007033E-2</v>
      </c>
      <c r="O16" s="80"/>
      <c r="P16" s="80"/>
      <c r="Q16" s="80"/>
      <c r="R16" s="187">
        <f>'Parameters, country spec'!B31</f>
        <v>0.03</v>
      </c>
    </row>
    <row r="17" spans="1:18" x14ac:dyDescent="0.2">
      <c r="A17" s="185"/>
      <c r="B17" s="25" t="s">
        <v>314</v>
      </c>
      <c r="C17" s="26"/>
      <c r="D17" s="102"/>
      <c r="E17" s="102"/>
      <c r="F17" s="27">
        <f t="shared" ref="F17:O17" si="2">SUMPRODUCT(F6:F16,$R$6:$R$16)</f>
        <v>0.32115253721030101</v>
      </c>
      <c r="G17" s="27">
        <f t="shared" si="2"/>
        <v>4.9150850525129172E-2</v>
      </c>
      <c r="H17" s="199">
        <f t="shared" si="2"/>
        <v>2.4835647754415477E-2</v>
      </c>
      <c r="I17" s="27">
        <f t="shared" si="2"/>
        <v>0</v>
      </c>
      <c r="J17" s="27">
        <f t="shared" si="2"/>
        <v>0</v>
      </c>
      <c r="K17" s="27">
        <f t="shared" si="2"/>
        <v>3.0259280368124981E-2</v>
      </c>
      <c r="L17" s="27">
        <f t="shared" si="2"/>
        <v>0</v>
      </c>
      <c r="M17" s="27">
        <f t="shared" si="2"/>
        <v>1.3502192440073083E-4</v>
      </c>
      <c r="N17" s="27">
        <f t="shared" si="2"/>
        <v>3.7272201665405513E-2</v>
      </c>
      <c r="O17" s="27">
        <f t="shared" si="2"/>
        <v>9.3986182345138183E-2</v>
      </c>
      <c r="P17" s="199">
        <f>SUMPRODUCT(P6:P16,R6:R16)</f>
        <v>1.0827352627686982E-2</v>
      </c>
      <c r="Q17" s="199">
        <f>SUMPRODUCT(Q6:Q16,$R$6:$R$16)</f>
        <v>7.4685999999999989E-2</v>
      </c>
      <c r="R17" s="301"/>
    </row>
    <row r="18" spans="1:18" x14ac:dyDescent="0.2">
      <c r="A18" s="22" t="s">
        <v>299</v>
      </c>
      <c r="B18" s="17" t="s">
        <v>198</v>
      </c>
      <c r="C18" s="17" t="s">
        <v>300</v>
      </c>
      <c r="D18" s="23" t="s">
        <v>49</v>
      </c>
      <c r="E18" s="23" t="s">
        <v>50</v>
      </c>
      <c r="F18" s="116">
        <f t="shared" ref="F18:F28" si="3">SUM(G18:Q18)</f>
        <v>0.14554169956945451</v>
      </c>
      <c r="G18" s="79">
        <v>5.0091678279701103E-2</v>
      </c>
      <c r="H18" s="16">
        <v>2.7E-2</v>
      </c>
      <c r="I18" s="16">
        <v>0</v>
      </c>
      <c r="J18" s="14"/>
      <c r="K18" s="79">
        <v>3.2251149506205098E-2</v>
      </c>
      <c r="L18" s="14">
        <v>0</v>
      </c>
      <c r="M18" s="14">
        <v>2.14172233739949E-7</v>
      </c>
      <c r="N18" s="79">
        <v>3.4771853907349999E-2</v>
      </c>
      <c r="O18" s="14">
        <v>1.42680370396456E-3</v>
      </c>
      <c r="P18" s="16"/>
      <c r="R18" s="187">
        <f>'Parameters, country spec'!C21</f>
        <v>0.1293861840707447</v>
      </c>
    </row>
    <row r="19" spans="1:18" x14ac:dyDescent="0.2">
      <c r="A19" s="22" t="s">
        <v>301</v>
      </c>
      <c r="B19" s="17" t="s">
        <v>201</v>
      </c>
      <c r="C19" s="17" t="s">
        <v>300</v>
      </c>
      <c r="D19" s="23" t="s">
        <v>49</v>
      </c>
      <c r="E19" s="23" t="s">
        <v>50</v>
      </c>
      <c r="F19" s="116">
        <f t="shared" si="3"/>
        <v>0.13477267534421772</v>
      </c>
      <c r="G19" s="79">
        <v>4.7382930338829898E-2</v>
      </c>
      <c r="H19" s="16">
        <v>2.7E-2</v>
      </c>
      <c r="I19" s="16">
        <v>0</v>
      </c>
      <c r="J19" s="14"/>
      <c r="K19" s="79">
        <v>1.8104396956838902E-2</v>
      </c>
      <c r="L19" s="14">
        <v>0</v>
      </c>
      <c r="M19" s="14">
        <v>3.20452980210324E-3</v>
      </c>
      <c r="N19" s="79">
        <v>3.4771853907349999E-2</v>
      </c>
      <c r="O19" s="14">
        <v>4.3089643390956597E-3</v>
      </c>
      <c r="P19" s="16"/>
      <c r="R19" s="187">
        <f>'Parameters, country spec'!C22</f>
        <v>0.21280975376032871</v>
      </c>
    </row>
    <row r="20" spans="1:18" x14ac:dyDescent="0.2">
      <c r="A20" s="22" t="s">
        <v>302</v>
      </c>
      <c r="B20" s="17" t="s">
        <v>204</v>
      </c>
      <c r="C20" s="17" t="s">
        <v>300</v>
      </c>
      <c r="D20" s="23" t="s">
        <v>49</v>
      </c>
      <c r="E20" s="23" t="s">
        <v>50</v>
      </c>
      <c r="F20" s="116">
        <f t="shared" si="3"/>
        <v>0.17820546959520445</v>
      </c>
      <c r="G20" s="79">
        <v>5.5122444595226201E-2</v>
      </c>
      <c r="H20" s="16">
        <v>2.7E-2</v>
      </c>
      <c r="I20" s="16">
        <v>0</v>
      </c>
      <c r="J20" s="14"/>
      <c r="K20" s="79">
        <v>4.47731716871737E-2</v>
      </c>
      <c r="L20" s="14">
        <v>0</v>
      </c>
      <c r="M20" s="14">
        <v>1.2132968108574599E-3</v>
      </c>
      <c r="N20" s="79">
        <v>3.4771853907349999E-2</v>
      </c>
      <c r="O20" s="14">
        <v>1.53247025945971E-2</v>
      </c>
      <c r="P20" s="16"/>
      <c r="R20" s="187">
        <f>'Parameters, country spec'!C23</f>
        <v>1.4661663802605951E-2</v>
      </c>
    </row>
    <row r="21" spans="1:18" x14ac:dyDescent="0.2">
      <c r="A21" s="22" t="s">
        <v>303</v>
      </c>
      <c r="B21" s="17" t="s">
        <v>205</v>
      </c>
      <c r="C21" s="17" t="s">
        <v>300</v>
      </c>
      <c r="D21" s="23" t="s">
        <v>49</v>
      </c>
      <c r="E21" s="23" t="s">
        <v>50</v>
      </c>
      <c r="F21" s="116">
        <f t="shared" si="3"/>
        <v>0.23086931651797959</v>
      </c>
      <c r="G21" s="79">
        <v>7.3795450330937706E-2</v>
      </c>
      <c r="H21" s="16">
        <v>2.7E-2</v>
      </c>
      <c r="I21" s="14">
        <v>0</v>
      </c>
      <c r="J21" s="14"/>
      <c r="K21" s="79">
        <v>4.7010620238752597E-2</v>
      </c>
      <c r="L21" s="14">
        <v>0</v>
      </c>
      <c r="M21" s="14">
        <v>2.75986968179931E-5</v>
      </c>
      <c r="N21" s="79">
        <v>3.4771853907349999E-2</v>
      </c>
      <c r="O21" s="14">
        <v>4.82637933441213E-2</v>
      </c>
      <c r="P21" s="16"/>
      <c r="R21" s="187">
        <f>'Parameters, country spec'!C24</f>
        <v>2.2515954502451301E-3</v>
      </c>
    </row>
    <row r="22" spans="1:18" x14ac:dyDescent="0.2">
      <c r="A22" s="22" t="s">
        <v>304</v>
      </c>
      <c r="B22" s="17" t="s">
        <v>206</v>
      </c>
      <c r="C22" s="17" t="s">
        <v>300</v>
      </c>
      <c r="D22" s="23" t="s">
        <v>49</v>
      </c>
      <c r="E22" s="23" t="s">
        <v>50</v>
      </c>
      <c r="F22" s="116">
        <f t="shared" si="3"/>
        <v>0.16491186327352214</v>
      </c>
      <c r="G22" s="79">
        <v>7.2003559292666594E-2</v>
      </c>
      <c r="H22" s="16">
        <v>2.7E-2</v>
      </c>
      <c r="I22" s="14">
        <v>0</v>
      </c>
      <c r="J22" s="14"/>
      <c r="K22" s="79">
        <v>2.8481968630283801E-2</v>
      </c>
      <c r="L22" s="14">
        <v>0</v>
      </c>
      <c r="M22" s="14">
        <v>1.7811290586034401E-5</v>
      </c>
      <c r="N22" s="79">
        <v>3.4771853907349999E-2</v>
      </c>
      <c r="O22" s="14">
        <v>2.6366701526357099E-3</v>
      </c>
      <c r="P22" s="16"/>
      <c r="R22" s="187">
        <f>'Parameters, country spec'!C25</f>
        <v>0.31521053769451612</v>
      </c>
    </row>
    <row r="23" spans="1:18" x14ac:dyDescent="0.2">
      <c r="A23" s="22" t="s">
        <v>305</v>
      </c>
      <c r="B23" s="17" t="s">
        <v>207</v>
      </c>
      <c r="C23" s="17" t="s">
        <v>306</v>
      </c>
      <c r="D23" s="23" t="s">
        <v>49</v>
      </c>
      <c r="E23" s="23" t="s">
        <v>50</v>
      </c>
      <c r="F23" s="116">
        <f t="shared" si="3"/>
        <v>0.14636810260852107</v>
      </c>
      <c r="G23" s="79">
        <v>0</v>
      </c>
      <c r="H23" s="16">
        <v>2.7E-2</v>
      </c>
      <c r="I23" s="16">
        <v>0</v>
      </c>
      <c r="J23" s="14"/>
      <c r="K23" s="79">
        <v>5.9912817690818299E-2</v>
      </c>
      <c r="L23" s="16">
        <v>0</v>
      </c>
      <c r="M23" s="14">
        <v>4.6529167754077701E-3</v>
      </c>
      <c r="N23" s="79">
        <v>3.4771853907349999E-2</v>
      </c>
      <c r="O23" s="14">
        <v>2.0030514234945E-2</v>
      </c>
      <c r="P23" s="16"/>
      <c r="R23" s="187">
        <f>'Parameters, country spec'!C26</f>
        <v>0</v>
      </c>
    </row>
    <row r="24" spans="1:18" x14ac:dyDescent="0.2">
      <c r="A24" s="22" t="s">
        <v>307</v>
      </c>
      <c r="B24" s="17" t="s">
        <v>208</v>
      </c>
      <c r="C24" s="17" t="s">
        <v>306</v>
      </c>
      <c r="D24" s="23" t="s">
        <v>49</v>
      </c>
      <c r="E24" s="23" t="s">
        <v>50</v>
      </c>
      <c r="F24" s="116">
        <f t="shared" si="3"/>
        <v>0.17963284345534819</v>
      </c>
      <c r="G24" s="79">
        <v>2.6496130610184302E-3</v>
      </c>
      <c r="H24" s="16">
        <v>2.7E-2</v>
      </c>
      <c r="I24" s="16">
        <v>0</v>
      </c>
      <c r="J24" s="14"/>
      <c r="K24" s="79">
        <v>7.3497297252248101E-2</v>
      </c>
      <c r="L24" s="14">
        <v>0</v>
      </c>
      <c r="M24" s="14">
        <v>5.3099924240375502E-3</v>
      </c>
      <c r="N24" s="79">
        <v>3.4771853907349999E-2</v>
      </c>
      <c r="O24" s="14">
        <v>3.6404086810694097E-2</v>
      </c>
      <c r="P24" s="16"/>
      <c r="R24" s="187">
        <f>'Parameters, country spec'!C27</f>
        <v>0</v>
      </c>
    </row>
    <row r="25" spans="1:18" x14ac:dyDescent="0.2">
      <c r="B25" s="18" t="s">
        <v>209</v>
      </c>
      <c r="C25" s="17" t="s">
        <v>308</v>
      </c>
      <c r="D25" s="23" t="str">
        <f>'Off-farm feed'!$D$74</f>
        <v>France, Germany, Poland</v>
      </c>
      <c r="E25" s="23"/>
      <c r="F25" s="116">
        <f t="shared" si="3"/>
        <v>0.27085685084992916</v>
      </c>
      <c r="G25" s="210">
        <f>'Off-farm feed'!$F$74</f>
        <v>0.11176753125767681</v>
      </c>
      <c r="H25" s="210">
        <f>'Off-farm feed'!$G$74</f>
        <v>1.3034482758620692E-2</v>
      </c>
      <c r="I25" s="210">
        <f>'Off-farm feed'!$H$74</f>
        <v>0</v>
      </c>
      <c r="J25" s="210">
        <f>'Off-farm feed'!$I$74</f>
        <v>0</v>
      </c>
      <c r="K25" s="210">
        <f>'Off-farm feed'!$J$74</f>
        <v>2.4688740026345454E-2</v>
      </c>
      <c r="L25" s="210">
        <f>'Off-farm feed'!$K$74</f>
        <v>0</v>
      </c>
      <c r="M25" s="210">
        <f>'Off-farm feed'!$L$74</f>
        <v>1.931759303794134E-4</v>
      </c>
      <c r="N25" s="210">
        <f>'Off-farm feed'!$M$74</f>
        <v>3.6802128767029069E-2</v>
      </c>
      <c r="O25" s="210">
        <f>'Off-farm feed'!$N$74</f>
        <v>0</v>
      </c>
      <c r="P25" s="210">
        <f>'Off-farm feed'!$O$74</f>
        <v>2.1170792109877701E-2</v>
      </c>
      <c r="Q25" s="210">
        <f>'Off-farm feed'!$P$74</f>
        <v>6.3200000000000006E-2</v>
      </c>
      <c r="R25" s="187">
        <f>'Parameters, country spec'!C28</f>
        <v>9.7073458625180783E-2</v>
      </c>
    </row>
    <row r="26" spans="1:18" x14ac:dyDescent="0.2">
      <c r="B26" s="18" t="s">
        <v>309</v>
      </c>
      <c r="C26" s="17" t="s">
        <v>308</v>
      </c>
      <c r="D26" s="23" t="str">
        <f>'Off-farm feed'!$D$23</f>
        <v>Brazil, Argentina</v>
      </c>
      <c r="E26" s="23"/>
      <c r="F26" s="116">
        <f t="shared" si="3"/>
        <v>0.70611717059976009</v>
      </c>
      <c r="G26" s="210">
        <f>'Off-farm feed'!$F$23</f>
        <v>7.2632670993098914E-3</v>
      </c>
      <c r="H26" s="210">
        <f>'Off-farm feed'!$G$23</f>
        <v>2.1402439024390246E-2</v>
      </c>
      <c r="I26" s="210">
        <f>'Off-farm feed'!$H$23</f>
        <v>0</v>
      </c>
      <c r="J26" s="210">
        <f>'Off-farm feed'!$I$23</f>
        <v>0</v>
      </c>
      <c r="K26" s="210">
        <f>'Off-farm feed'!$J$23</f>
        <v>4.3083619664332343E-2</v>
      </c>
      <c r="L26" s="210">
        <f>'Off-farm feed'!$K$23</f>
        <v>0</v>
      </c>
      <c r="M26" s="210">
        <f>'Off-farm feed'!$L$23</f>
        <v>1.7842060425123844E-4</v>
      </c>
      <c r="N26" s="210">
        <f>'Off-farm feed'!$M$23</f>
        <v>3.0432604948959403E-2</v>
      </c>
      <c r="O26" s="210">
        <f>'Off-farm feed'!$N$23</f>
        <v>0.31761120248475611</v>
      </c>
      <c r="P26" s="210">
        <f>'Off-farm feed'!$O$23</f>
        <v>3.5145616773760872E-2</v>
      </c>
      <c r="Q26" s="210">
        <f>'Off-farm feed'!$P$23</f>
        <v>0.251</v>
      </c>
      <c r="R26" s="187">
        <f>'Parameters, country spec'!C29</f>
        <v>8.7459166665531385E-2</v>
      </c>
    </row>
    <row r="27" spans="1:18" x14ac:dyDescent="0.2">
      <c r="B27" s="17" t="s">
        <v>213</v>
      </c>
      <c r="C27" s="17" t="s">
        <v>310</v>
      </c>
      <c r="D27" s="23" t="s">
        <v>49</v>
      </c>
      <c r="E27" s="23" t="s">
        <v>50</v>
      </c>
      <c r="F27" s="116">
        <f t="shared" si="3"/>
        <v>0.12240806147995828</v>
      </c>
      <c r="G27" s="79">
        <v>6.4803203363399996E-3</v>
      </c>
      <c r="H27" s="16">
        <v>2.4299999999999999E-3</v>
      </c>
      <c r="I27" s="16"/>
      <c r="J27" s="14"/>
      <c r="K27" s="79">
        <v>2.5633771767255399E-3</v>
      </c>
      <c r="L27" s="14">
        <v>0</v>
      </c>
      <c r="M27" s="14">
        <v>1.6030161527431E-6</v>
      </c>
      <c r="N27" s="79">
        <v>3.1294668516615E-3</v>
      </c>
      <c r="O27" s="14">
        <v>2.3730031373721399E-4</v>
      </c>
      <c r="P27" s="16">
        <v>0.102505251885267</v>
      </c>
      <c r="Q27" s="16">
        <v>5.06074190007427E-3</v>
      </c>
      <c r="R27" s="187">
        <f>'Parameters, country spec'!C30</f>
        <v>8.0151207366747315E-2</v>
      </c>
    </row>
    <row r="28" spans="1:18" x14ac:dyDescent="0.2">
      <c r="A28" s="82"/>
      <c r="B28" s="17" t="s">
        <v>312</v>
      </c>
      <c r="C28" s="83" t="s">
        <v>313</v>
      </c>
      <c r="D28" s="23" t="s">
        <v>49</v>
      </c>
      <c r="E28" s="23" t="s">
        <v>50</v>
      </c>
      <c r="F28" s="116">
        <f t="shared" si="3"/>
        <v>0.14897253836283209</v>
      </c>
      <c r="G28" s="80">
        <f>AVERAGE(G18:G26)</f>
        <v>4.6675163806151845E-2</v>
      </c>
      <c r="H28" s="80">
        <f>AVERAGE(H18:H26)</f>
        <v>2.4826324642556769E-2</v>
      </c>
      <c r="I28" s="80">
        <f>AVERAGE(I18:I26)</f>
        <v>0</v>
      </c>
      <c r="J28" s="80"/>
      <c r="K28" s="80">
        <f>AVERAGE(K18:K26)</f>
        <v>4.1311531294777583E-2</v>
      </c>
      <c r="L28" s="80"/>
      <c r="M28" s="80">
        <f>AVERAGE(M18:M26)</f>
        <v>1.6442173896304934E-3</v>
      </c>
      <c r="N28" s="80">
        <f>AVERAGE(N18:N26)</f>
        <v>3.4515301229715384E-2</v>
      </c>
      <c r="O28" s="80"/>
      <c r="P28" s="80"/>
      <c r="Q28" s="80"/>
      <c r="R28" s="187">
        <f>'Parameters, country spec'!C31</f>
        <v>6.0996432564100048E-2</v>
      </c>
    </row>
    <row r="29" spans="1:18" x14ac:dyDescent="0.2">
      <c r="A29" s="185"/>
      <c r="B29" s="25" t="s">
        <v>314</v>
      </c>
      <c r="C29" s="26"/>
      <c r="D29" s="102"/>
      <c r="E29" s="102"/>
      <c r="F29" s="27">
        <f>SUMPRODUCT(F18:F28,$R$18:$R$28)</f>
        <v>0.20957397298679931</v>
      </c>
      <c r="G29" s="27">
        <f>SUMPRODUCT(G18:G28,$R$18:$R$28)</f>
        <v>5.5086669825123155E-2</v>
      </c>
      <c r="H29" s="199">
        <f>SUMPRODUCT(H18:H28,$R$18:$R$28)</f>
        <v>2.3052859314245881E-2</v>
      </c>
      <c r="I29" s="27">
        <f>SUMPRODUCT(I18:I28,$R$18:$R$28)</f>
        <v>0</v>
      </c>
      <c r="J29" s="27"/>
      <c r="K29" s="27">
        <f>SUMPRODUCT(K18:K28,$R$18:$R$28)</f>
        <v>2.6655752825338688E-2</v>
      </c>
      <c r="L29" s="27"/>
      <c r="M29" s="27">
        <f>SUMPRODUCT(M18:M28,$R$18:$R$28)</f>
        <v>8.4022495840392272E-4</v>
      </c>
      <c r="N29" s="27">
        <f>SUMPRODUCT(N18:N28,$R$18:$R$28)</f>
        <v>3.2037608287503842E-2</v>
      </c>
      <c r="O29" s="27">
        <f>SUMPRODUCT(O18:O28,$R$18:$R$28)</f>
        <v>3.0063091717605114E-2</v>
      </c>
      <c r="P29" s="199">
        <f>SUMPRODUCT(P18:P28,R18:R28)</f>
        <v>1.3344848066956468E-2</v>
      </c>
      <c r="Q29" s="199">
        <f>SUMPRODUCT(Q18:Q28,$R$18:$R$28)</f>
        <v>2.8492917991622242E-2</v>
      </c>
      <c r="R29" s="301"/>
    </row>
    <row r="30" spans="1:18" x14ac:dyDescent="0.2">
      <c r="A30" s="22" t="s">
        <v>299</v>
      </c>
      <c r="B30" s="17" t="s">
        <v>198</v>
      </c>
      <c r="C30" s="17" t="s">
        <v>300</v>
      </c>
      <c r="D30" s="23" t="s">
        <v>51</v>
      </c>
      <c r="E30" s="23" t="s">
        <v>52</v>
      </c>
      <c r="F30" s="116">
        <f t="shared" ref="F30:F40" si="4">SUM(G30:Q30)</f>
        <v>0.14473841159423895</v>
      </c>
      <c r="G30" s="79">
        <v>4.4980950411589199E-2</v>
      </c>
      <c r="H30" s="16">
        <v>2.7E-2</v>
      </c>
      <c r="I30" s="16">
        <v>0</v>
      </c>
      <c r="J30" s="14"/>
      <c r="K30" s="79">
        <v>2.87029909570167E-2</v>
      </c>
      <c r="L30" s="14">
        <v>0</v>
      </c>
      <c r="M30" s="14">
        <v>3.26422856216014E-5</v>
      </c>
      <c r="N30" s="79">
        <v>4.2299667932672001E-2</v>
      </c>
      <c r="O30" s="14">
        <v>1.7221600073394499E-3</v>
      </c>
      <c r="P30" s="16"/>
      <c r="R30" s="187">
        <f>'Parameters, country spec'!D21</f>
        <v>0.1284012676024372</v>
      </c>
    </row>
    <row r="31" spans="1:18" x14ac:dyDescent="0.2">
      <c r="A31" s="22" t="s">
        <v>301</v>
      </c>
      <c r="B31" s="17" t="s">
        <v>201</v>
      </c>
      <c r="C31" s="17" t="s">
        <v>300</v>
      </c>
      <c r="D31" s="23" t="s">
        <v>51</v>
      </c>
      <c r="E31" s="23" t="s">
        <v>52</v>
      </c>
      <c r="F31" s="116">
        <f t="shared" si="4"/>
        <v>0.13403161558339008</v>
      </c>
      <c r="G31" s="79">
        <v>4.40602108280801E-2</v>
      </c>
      <c r="H31" s="16">
        <v>2.7E-2</v>
      </c>
      <c r="I31" s="16">
        <v>0</v>
      </c>
      <c r="J31" s="14"/>
      <c r="K31" s="79">
        <v>1.6685054495430798E-2</v>
      </c>
      <c r="L31" s="14">
        <v>0</v>
      </c>
      <c r="M31" s="14">
        <v>5.39925016942717E-4</v>
      </c>
      <c r="N31" s="79">
        <v>4.2299667932672001E-2</v>
      </c>
      <c r="O31" s="14">
        <v>3.44675731026444E-3</v>
      </c>
      <c r="P31" s="16"/>
      <c r="R31" s="187">
        <f>'Parameters, country spec'!D22</f>
        <v>0.19116633717197409</v>
      </c>
    </row>
    <row r="32" spans="1:18" x14ac:dyDescent="0.2">
      <c r="A32" s="22" t="s">
        <v>302</v>
      </c>
      <c r="B32" s="17" t="s">
        <v>204</v>
      </c>
      <c r="C32" s="17" t="s">
        <v>300</v>
      </c>
      <c r="D32" s="23" t="s">
        <v>51</v>
      </c>
      <c r="E32" s="23" t="s">
        <v>52</v>
      </c>
      <c r="F32" s="116">
        <f t="shared" si="4"/>
        <v>0.21056371914571581</v>
      </c>
      <c r="G32" s="79">
        <v>5.3373617708358002E-2</v>
      </c>
      <c r="H32" s="16">
        <v>2.7E-2</v>
      </c>
      <c r="I32" s="16">
        <v>0</v>
      </c>
      <c r="J32" s="14"/>
      <c r="K32" s="79">
        <v>4.2966991135923699E-2</v>
      </c>
      <c r="L32" s="14">
        <v>0</v>
      </c>
      <c r="M32" s="14">
        <v>2.3078315408886199E-5</v>
      </c>
      <c r="N32" s="79">
        <v>4.2299667932672001E-2</v>
      </c>
      <c r="O32" s="14">
        <v>4.4900364053353202E-2</v>
      </c>
      <c r="P32" s="16"/>
      <c r="R32" s="187">
        <f>'Parameters, country spec'!D23</f>
        <v>2.55587587755639E-5</v>
      </c>
    </row>
    <row r="33" spans="1:18" x14ac:dyDescent="0.2">
      <c r="A33" s="22" t="s">
        <v>303</v>
      </c>
      <c r="B33" s="17" t="s">
        <v>205</v>
      </c>
      <c r="C33" s="17" t="s">
        <v>300</v>
      </c>
      <c r="D33" s="23" t="s">
        <v>51</v>
      </c>
      <c r="E33" s="23" t="s">
        <v>52</v>
      </c>
      <c r="F33" s="116">
        <f t="shared" si="4"/>
        <v>0.18078165437145743</v>
      </c>
      <c r="G33" s="79">
        <v>5.8746625069878398E-2</v>
      </c>
      <c r="H33" s="16">
        <v>2.7E-2</v>
      </c>
      <c r="I33" s="14">
        <v>0</v>
      </c>
      <c r="J33" s="14"/>
      <c r="K33" s="79">
        <v>3.7090973020071097E-2</v>
      </c>
      <c r="L33" s="14">
        <v>0</v>
      </c>
      <c r="M33" s="14">
        <v>1.0681729263934599E-9</v>
      </c>
      <c r="N33" s="79">
        <v>4.2299667932672001E-2</v>
      </c>
      <c r="O33" s="14">
        <v>1.5644387280662999E-2</v>
      </c>
      <c r="P33" s="16"/>
      <c r="R33" s="187">
        <f>'Parameters, country spec'!D24</f>
        <v>2.0974185801992559E-2</v>
      </c>
    </row>
    <row r="34" spans="1:18" x14ac:dyDescent="0.2">
      <c r="A34" s="22" t="s">
        <v>304</v>
      </c>
      <c r="B34" s="17" t="s">
        <v>206</v>
      </c>
      <c r="C34" s="17" t="s">
        <v>300</v>
      </c>
      <c r="D34" s="23" t="s">
        <v>51</v>
      </c>
      <c r="E34" s="23" t="s">
        <v>52</v>
      </c>
      <c r="F34" s="116">
        <f t="shared" si="4"/>
        <v>0.16349228978032743</v>
      </c>
      <c r="G34" s="79">
        <v>6.5941156527055095E-2</v>
      </c>
      <c r="H34" s="16">
        <v>2.7E-2</v>
      </c>
      <c r="I34" s="14">
        <v>0</v>
      </c>
      <c r="J34" s="14"/>
      <c r="K34" s="79">
        <v>2.5851842974340501E-2</v>
      </c>
      <c r="L34" s="14">
        <v>0</v>
      </c>
      <c r="M34" s="14">
        <v>7.1947622038905602E-10</v>
      </c>
      <c r="N34" s="79">
        <v>4.2299667932672001E-2</v>
      </c>
      <c r="O34" s="14">
        <v>2.39962162678361E-3</v>
      </c>
      <c r="P34" s="16"/>
      <c r="R34" s="187">
        <f>'Parameters, country spec'!D25</f>
        <v>0.42888207443270587</v>
      </c>
    </row>
    <row r="35" spans="1:18" x14ac:dyDescent="0.2">
      <c r="A35" s="22" t="s">
        <v>305</v>
      </c>
      <c r="B35" s="17" t="s">
        <v>207</v>
      </c>
      <c r="C35" s="17" t="s">
        <v>306</v>
      </c>
      <c r="D35" s="23" t="s">
        <v>51</v>
      </c>
      <c r="E35" s="23" t="s">
        <v>52</v>
      </c>
      <c r="F35" s="116">
        <f t="shared" si="4"/>
        <v>0.19853035044256107</v>
      </c>
      <c r="G35" s="79">
        <v>0</v>
      </c>
      <c r="H35" s="16">
        <v>2.7E-2</v>
      </c>
      <c r="I35" s="16">
        <v>0</v>
      </c>
      <c r="J35" s="14"/>
      <c r="K35" s="79">
        <v>5.9424727096304697E-2</v>
      </c>
      <c r="L35" s="16">
        <v>0</v>
      </c>
      <c r="M35" s="14">
        <v>3.67360914877965E-3</v>
      </c>
      <c r="N35" s="79">
        <v>4.2299667932672001E-2</v>
      </c>
      <c r="O35" s="14">
        <v>6.6132346264804701E-2</v>
      </c>
      <c r="P35" s="16"/>
      <c r="R35" s="187">
        <f>'Parameters, country spec'!D26</f>
        <v>9.3450155108809542E-4</v>
      </c>
    </row>
    <row r="36" spans="1:18" x14ac:dyDescent="0.2">
      <c r="A36" s="22" t="s">
        <v>307</v>
      </c>
      <c r="B36" s="17" t="s">
        <v>208</v>
      </c>
      <c r="C36" s="17" t="s">
        <v>306</v>
      </c>
      <c r="D36" s="23" t="s">
        <v>51</v>
      </c>
      <c r="E36" s="23" t="s">
        <v>52</v>
      </c>
      <c r="F36" s="116">
        <f t="shared" si="4"/>
        <v>0.14615124952666306</v>
      </c>
      <c r="G36" s="79">
        <v>1.7380422848296E-3</v>
      </c>
      <c r="H36" s="16">
        <v>2.7E-2</v>
      </c>
      <c r="I36" s="16">
        <v>0</v>
      </c>
      <c r="J36" s="14"/>
      <c r="K36" s="79">
        <v>4.7782422262316902E-2</v>
      </c>
      <c r="L36" s="14">
        <v>0</v>
      </c>
      <c r="M36" s="14">
        <v>2.27535607308224E-3</v>
      </c>
      <c r="N36" s="79">
        <v>4.2299667932672001E-2</v>
      </c>
      <c r="O36" s="14">
        <v>2.50557609737623E-2</v>
      </c>
      <c r="P36" s="16"/>
      <c r="R36" s="187">
        <f>'Parameters, country spec'!D27</f>
        <v>9.1798847805104754E-4</v>
      </c>
    </row>
    <row r="37" spans="1:18" x14ac:dyDescent="0.2">
      <c r="B37" s="18" t="s">
        <v>209</v>
      </c>
      <c r="C37" s="17" t="s">
        <v>308</v>
      </c>
      <c r="D37" s="23" t="str">
        <f>'Off-farm feed'!$D$74</f>
        <v>France, Germany, Poland</v>
      </c>
      <c r="E37" s="23"/>
      <c r="F37" s="116">
        <f t="shared" si="4"/>
        <v>0.27085685084992916</v>
      </c>
      <c r="G37" s="210">
        <f>'Off-farm feed'!$F$74</f>
        <v>0.11176753125767681</v>
      </c>
      <c r="H37" s="210">
        <f>'Off-farm feed'!$G$74</f>
        <v>1.3034482758620692E-2</v>
      </c>
      <c r="I37" s="210">
        <f>'Off-farm feed'!$H$74</f>
        <v>0</v>
      </c>
      <c r="J37" s="210">
        <f>'Off-farm feed'!$I$74</f>
        <v>0</v>
      </c>
      <c r="K37" s="210">
        <f>'Off-farm feed'!$J$74</f>
        <v>2.4688740026345454E-2</v>
      </c>
      <c r="L37" s="210">
        <f>'Off-farm feed'!$K$74</f>
        <v>0</v>
      </c>
      <c r="M37" s="210">
        <f>'Off-farm feed'!$L$74</f>
        <v>1.931759303794134E-4</v>
      </c>
      <c r="N37" s="210">
        <f>'Off-farm feed'!$M$74</f>
        <v>3.6802128767029069E-2</v>
      </c>
      <c r="O37" s="210">
        <f>'Off-farm feed'!$N$74</f>
        <v>0</v>
      </c>
      <c r="P37" s="210">
        <f>'Off-farm feed'!$O$74</f>
        <v>2.1170792109877701E-2</v>
      </c>
      <c r="Q37" s="210">
        <f>'Off-farm feed'!$P$74</f>
        <v>6.3200000000000006E-2</v>
      </c>
      <c r="R37" s="187">
        <f>'Parameters, country spec'!D28</f>
        <v>9.4499576799197224E-2</v>
      </c>
    </row>
    <row r="38" spans="1:18" x14ac:dyDescent="0.2">
      <c r="B38" s="18" t="s">
        <v>309</v>
      </c>
      <c r="C38" s="17" t="s">
        <v>308</v>
      </c>
      <c r="D38" s="23" t="str">
        <f>'Off-farm feed'!$D$23</f>
        <v>Brazil, Argentina</v>
      </c>
      <c r="E38" s="23"/>
      <c r="F38" s="116">
        <f t="shared" si="4"/>
        <v>0.70611717059976009</v>
      </c>
      <c r="G38" s="210">
        <f>'Off-farm feed'!$F$23</f>
        <v>7.2632670993098914E-3</v>
      </c>
      <c r="H38" s="210">
        <f>'Off-farm feed'!$G$23</f>
        <v>2.1402439024390246E-2</v>
      </c>
      <c r="I38" s="210">
        <f>'Off-farm feed'!$H$23</f>
        <v>0</v>
      </c>
      <c r="J38" s="210">
        <f>'Off-farm feed'!$I$23</f>
        <v>0</v>
      </c>
      <c r="K38" s="210">
        <f>'Off-farm feed'!$J$23</f>
        <v>4.3083619664332343E-2</v>
      </c>
      <c r="L38" s="210">
        <f>'Off-farm feed'!$K$23</f>
        <v>0</v>
      </c>
      <c r="M38" s="210">
        <f>'Off-farm feed'!$L$23</f>
        <v>1.7842060425123844E-4</v>
      </c>
      <c r="N38" s="210">
        <f>'Off-farm feed'!$M$23</f>
        <v>3.0432604948959403E-2</v>
      </c>
      <c r="O38" s="210">
        <f>'Off-farm feed'!$N$23</f>
        <v>0.31761120248475611</v>
      </c>
      <c r="P38" s="210">
        <f>'Off-farm feed'!$O$23</f>
        <v>3.5145616773760872E-2</v>
      </c>
      <c r="Q38" s="210">
        <f>'Off-farm feed'!$P$23</f>
        <v>0.251</v>
      </c>
      <c r="R38" s="187">
        <f>'Parameters, country spec'!D29</f>
        <v>9.0801007307611245E-2</v>
      </c>
    </row>
    <row r="39" spans="1:18" x14ac:dyDescent="0.2">
      <c r="B39" s="17" t="s">
        <v>213</v>
      </c>
      <c r="C39" s="17" t="s">
        <v>310</v>
      </c>
      <c r="D39" s="23" t="s">
        <v>51</v>
      </c>
      <c r="E39" s="23" t="s">
        <v>52</v>
      </c>
      <c r="F39" s="116">
        <f t="shared" si="4"/>
        <v>0.55199512688727981</v>
      </c>
      <c r="G39" s="79">
        <v>5.9347040874349602E-3</v>
      </c>
      <c r="H39" s="16">
        <v>2.4299999999999999E-3</v>
      </c>
      <c r="I39" s="16"/>
      <c r="J39" s="14"/>
      <c r="K39" s="79">
        <v>2.3266658676906501E-3</v>
      </c>
      <c r="L39" s="14">
        <v>0</v>
      </c>
      <c r="M39" s="14">
        <v>6.4752859835014994E-11</v>
      </c>
      <c r="N39" s="79">
        <v>3.8069701139404801E-3</v>
      </c>
      <c r="O39" s="14">
        <v>2.1596594641052499E-4</v>
      </c>
      <c r="P39" s="16">
        <v>0.52550926010708199</v>
      </c>
      <c r="Q39" s="16">
        <v>1.1771560699968301E-2</v>
      </c>
      <c r="R39" s="187">
        <f>'Parameters, country spec'!D30</f>
        <v>1.8113105318221089E-2</v>
      </c>
    </row>
    <row r="40" spans="1:18" x14ac:dyDescent="0.2">
      <c r="A40" s="82"/>
      <c r="B40" s="17" t="s">
        <v>312</v>
      </c>
      <c r="C40" s="83" t="s">
        <v>313</v>
      </c>
      <c r="D40" s="23" t="s">
        <v>51</v>
      </c>
      <c r="E40" s="23" t="s">
        <v>52</v>
      </c>
      <c r="F40" s="116">
        <f t="shared" si="4"/>
        <v>0.14531492255651973</v>
      </c>
      <c r="G40" s="80">
        <f>AVERAGE(G30:G38)</f>
        <v>4.3096822354086343E-2</v>
      </c>
      <c r="H40" s="80">
        <f>AVERAGE(H30:H38)</f>
        <v>2.4826324642556769E-2</v>
      </c>
      <c r="I40" s="80">
        <f>AVERAGE(I30:I38)</f>
        <v>0</v>
      </c>
      <c r="J40" s="80"/>
      <c r="K40" s="80">
        <f>AVERAGE(K30:K38)</f>
        <v>3.6253040181342469E-2</v>
      </c>
      <c r="L40" s="80"/>
      <c r="M40" s="80">
        <f>AVERAGE(M30:M38)</f>
        <v>7.6846768467943262E-4</v>
      </c>
      <c r="N40" s="80">
        <f>AVERAGE(N30:N38)</f>
        <v>4.0370267693854718E-2</v>
      </c>
      <c r="O40" s="80"/>
      <c r="P40" s="80"/>
      <c r="Q40" s="80"/>
      <c r="R40" s="187">
        <f>'Parameters, country spec'!D31</f>
        <v>2.528439677794618E-2</v>
      </c>
    </row>
    <row r="41" spans="1:18" x14ac:dyDescent="0.2">
      <c r="A41" s="185"/>
      <c r="B41" s="25" t="s">
        <v>314</v>
      </c>
      <c r="C41" s="26"/>
      <c r="D41" s="102"/>
      <c r="E41" s="102"/>
      <c r="F41" s="27">
        <f>SUMPRODUCT(F30:F40,$R$30:$R$40)</f>
        <v>0.22182721694402008</v>
      </c>
      <c r="G41" s="27">
        <f>SUMPRODUCT(G30:G40,$R$30:$R$40)</f>
        <v>5.6133211916462686E-2</v>
      </c>
      <c r="H41" s="199">
        <f>SUMPRODUCT(H30:H40,$R$30:$R$40)</f>
        <v>2.4672001287983893E-2</v>
      </c>
      <c r="I41" s="27">
        <f>SUMPRODUCT(I30:I40,$R$30:$R$40)</f>
        <v>0</v>
      </c>
      <c r="J41" s="27"/>
      <c r="K41" s="27">
        <f>SUMPRODUCT(K30:K40,$R$30:$R$40)</f>
        <v>2.6044851518836436E-2</v>
      </c>
      <c r="L41" s="27"/>
      <c r="M41" s="27">
        <f>SUMPRODUCT(M30:M40,$R$30:$R$40)</f>
        <v>1.6681552090392715E-4</v>
      </c>
      <c r="N41" s="27">
        <f>SUMPRODUCT(N30:N40,$R$30:$R$40)</f>
        <v>3.9956605524622907E-2</v>
      </c>
      <c r="O41" s="27">
        <f>SUMPRODUCT(O30:O40,$R$30:$R$40)</f>
        <v>3.1166592694160142E-2</v>
      </c>
      <c r="P41" s="199">
        <f>SUMPRODUCT(P30:P40,R30:R40)</f>
        <v>1.471049287441201E-2</v>
      </c>
      <c r="Q41" s="199">
        <f>SUMPRODUCT(Q30:Q40,$R$30:$R$40)</f>
        <v>2.8976645606638044E-2</v>
      </c>
      <c r="R41" s="301"/>
    </row>
    <row r="42" spans="1:18" x14ac:dyDescent="0.2">
      <c r="A42" s="22" t="s">
        <v>299</v>
      </c>
      <c r="B42" s="17" t="s">
        <v>198</v>
      </c>
      <c r="C42" s="17" t="s">
        <v>300</v>
      </c>
      <c r="D42" s="23" t="s">
        <v>53</v>
      </c>
      <c r="E42" s="23" t="s">
        <v>54</v>
      </c>
      <c r="F42" s="116">
        <f t="shared" ref="F42:F52" si="5">SUM(G42:Q42)</f>
        <v>0.25451304867723556</v>
      </c>
      <c r="G42" s="79">
        <v>0.11185874155109</v>
      </c>
      <c r="H42" s="16">
        <v>2.7E-2</v>
      </c>
      <c r="I42" s="16">
        <v>0</v>
      </c>
      <c r="J42" s="14"/>
      <c r="K42" s="79">
        <v>6.7519492441362697E-2</v>
      </c>
      <c r="L42" s="14">
        <v>0</v>
      </c>
      <c r="M42" s="14">
        <v>0</v>
      </c>
      <c r="N42" s="79">
        <v>4.5828859604041997E-2</v>
      </c>
      <c r="O42" s="14">
        <v>2.3059550807408998E-3</v>
      </c>
      <c r="P42" s="16"/>
      <c r="R42" s="187">
        <f>'Parameters, country spec'!E21</f>
        <v>0.1222750503811094</v>
      </c>
    </row>
    <row r="43" spans="1:18" x14ac:dyDescent="0.2">
      <c r="A43" s="22" t="s">
        <v>301</v>
      </c>
      <c r="B43" s="17" t="s">
        <v>201</v>
      </c>
      <c r="C43" s="17" t="s">
        <v>300</v>
      </c>
      <c r="D43" s="23" t="s">
        <v>53</v>
      </c>
      <c r="E43" s="23" t="s">
        <v>54</v>
      </c>
      <c r="F43" s="116">
        <f t="shared" si="5"/>
        <v>0.15043530566815122</v>
      </c>
      <c r="G43" s="79">
        <v>4.2682640226656403E-2</v>
      </c>
      <c r="H43" s="16">
        <v>2.7E-2</v>
      </c>
      <c r="I43" s="16">
        <v>0</v>
      </c>
      <c r="J43" s="14"/>
      <c r="K43" s="79">
        <v>1.5289491701264601E-2</v>
      </c>
      <c r="L43" s="14">
        <v>0</v>
      </c>
      <c r="M43" s="14">
        <v>1.17496484986656E-2</v>
      </c>
      <c r="N43" s="79">
        <v>4.5828859604041997E-2</v>
      </c>
      <c r="O43" s="14">
        <v>7.8846656375225997E-3</v>
      </c>
      <c r="P43" s="16"/>
      <c r="R43" s="187">
        <f>'Parameters, country spec'!E22</f>
        <v>0.36571383818682729</v>
      </c>
    </row>
    <row r="44" spans="1:18" x14ac:dyDescent="0.2">
      <c r="A44" s="22" t="s">
        <v>302</v>
      </c>
      <c r="B44" s="17" t="s">
        <v>204</v>
      </c>
      <c r="C44" s="17" t="s">
        <v>300</v>
      </c>
      <c r="D44" s="23" t="s">
        <v>53</v>
      </c>
      <c r="E44" s="23" t="s">
        <v>54</v>
      </c>
      <c r="F44" s="116">
        <f t="shared" si="5"/>
        <v>0.47128235421275838</v>
      </c>
      <c r="G44" s="79">
        <v>0.207906423369177</v>
      </c>
      <c r="H44" s="16">
        <v>2.7E-2</v>
      </c>
      <c r="I44" s="16">
        <v>0</v>
      </c>
      <c r="J44" s="14"/>
      <c r="K44" s="79">
        <v>0.15832041591101401</v>
      </c>
      <c r="L44" s="14">
        <v>0</v>
      </c>
      <c r="M44" s="14">
        <v>1.51442683263855E-4</v>
      </c>
      <c r="N44" s="79">
        <v>4.5828859604041997E-2</v>
      </c>
      <c r="O44" s="14">
        <v>3.20752126452616E-2</v>
      </c>
      <c r="P44" s="16"/>
      <c r="R44" s="187">
        <f>'Parameters, country spec'!E23</f>
        <v>3.3230481611398861E-2</v>
      </c>
    </row>
    <row r="45" spans="1:18" x14ac:dyDescent="0.2">
      <c r="A45" s="22" t="s">
        <v>303</v>
      </c>
      <c r="B45" s="17" t="s">
        <v>205</v>
      </c>
      <c r="C45" s="17" t="s">
        <v>300</v>
      </c>
      <c r="D45" s="23" t="s">
        <v>53</v>
      </c>
      <c r="E45" s="23" t="s">
        <v>54</v>
      </c>
      <c r="F45" s="116">
        <f t="shared" si="5"/>
        <v>0.40386400928447763</v>
      </c>
      <c r="G45" s="79">
        <v>0.16799296124068799</v>
      </c>
      <c r="H45" s="16">
        <v>2.7E-2</v>
      </c>
      <c r="I45" s="14">
        <v>0</v>
      </c>
      <c r="J45" s="14"/>
      <c r="K45" s="79">
        <v>0.100331453362256</v>
      </c>
      <c r="L45" s="14">
        <v>0</v>
      </c>
      <c r="M45" s="14">
        <v>9.2555094180597395E-4</v>
      </c>
      <c r="N45" s="79">
        <v>4.5828859604041997E-2</v>
      </c>
      <c r="O45" s="14">
        <v>6.1785184135685699E-2</v>
      </c>
      <c r="P45" s="16"/>
      <c r="R45" s="187">
        <f>'Parameters, country spec'!E24</f>
        <v>7.3294724625475594E-3</v>
      </c>
    </row>
    <row r="46" spans="1:18" x14ac:dyDescent="0.2">
      <c r="A46" s="22" t="s">
        <v>304</v>
      </c>
      <c r="B46" s="17" t="s">
        <v>206</v>
      </c>
      <c r="C46" s="17" t="s">
        <v>300</v>
      </c>
      <c r="D46" s="23" t="s">
        <v>53</v>
      </c>
      <c r="E46" s="23" t="s">
        <v>54</v>
      </c>
      <c r="F46" s="116">
        <f t="shared" si="5"/>
        <v>0.3223575090577927</v>
      </c>
      <c r="G46" s="79">
        <v>0.173617725501517</v>
      </c>
      <c r="H46" s="16">
        <v>2.7E-2</v>
      </c>
      <c r="I46" s="14">
        <v>0</v>
      </c>
      <c r="J46" s="14"/>
      <c r="K46" s="79">
        <v>6.4385744975605799E-2</v>
      </c>
      <c r="L46" s="14">
        <v>0</v>
      </c>
      <c r="M46" s="14">
        <v>7.0103993031324298E-4</v>
      </c>
      <c r="N46" s="79">
        <v>4.5828859604041997E-2</v>
      </c>
      <c r="O46" s="14">
        <v>1.08241390463147E-2</v>
      </c>
      <c r="P46" s="16"/>
      <c r="R46" s="187">
        <f>'Parameters, country spec'!E25</f>
        <v>5.256160625309033E-3</v>
      </c>
    </row>
    <row r="47" spans="1:18" x14ac:dyDescent="0.2">
      <c r="A47" s="22" t="s">
        <v>305</v>
      </c>
      <c r="B47" s="17" t="s">
        <v>207</v>
      </c>
      <c r="C47" s="17" t="s">
        <v>306</v>
      </c>
      <c r="D47" s="23" t="s">
        <v>53</v>
      </c>
      <c r="E47" s="23" t="s">
        <v>54</v>
      </c>
      <c r="F47" s="116">
        <f t="shared" si="5"/>
        <v>0.71026464172261994</v>
      </c>
      <c r="G47" s="79">
        <v>0</v>
      </c>
      <c r="H47" s="16">
        <v>2.7E-2</v>
      </c>
      <c r="I47" s="16">
        <v>0</v>
      </c>
      <c r="J47" s="14"/>
      <c r="K47" s="79">
        <v>0.110267541918302</v>
      </c>
      <c r="L47" s="16">
        <v>0</v>
      </c>
      <c r="M47" s="14">
        <v>4.92852554943079E-2</v>
      </c>
      <c r="N47" s="79">
        <v>4.5828859604041997E-2</v>
      </c>
      <c r="O47" s="14">
        <v>0.47788298470596802</v>
      </c>
      <c r="P47" s="16"/>
      <c r="R47" s="187">
        <f>'Parameters, country spec'!E26</f>
        <v>1.0533673599513421E-3</v>
      </c>
    </row>
    <row r="48" spans="1:18" x14ac:dyDescent="0.2">
      <c r="A48" s="22" t="s">
        <v>307</v>
      </c>
      <c r="B48" s="17" t="s">
        <v>208</v>
      </c>
      <c r="C48" s="17" t="s">
        <v>306</v>
      </c>
      <c r="D48" s="23" t="s">
        <v>53</v>
      </c>
      <c r="E48" s="23" t="s">
        <v>54</v>
      </c>
      <c r="F48" s="116">
        <f t="shared" si="5"/>
        <v>0.32471646869837811</v>
      </c>
      <c r="G48" s="79">
        <v>2.4057723922364499E-3</v>
      </c>
      <c r="H48" s="16">
        <v>2.7E-2</v>
      </c>
      <c r="I48" s="16">
        <v>0</v>
      </c>
      <c r="J48" s="14"/>
      <c r="K48" s="79">
        <v>6.2563793470395507E-2</v>
      </c>
      <c r="L48" s="14">
        <v>0</v>
      </c>
      <c r="M48" s="14">
        <v>3.9600271687539199E-2</v>
      </c>
      <c r="N48" s="79">
        <v>4.5828859604041997E-2</v>
      </c>
      <c r="O48" s="14">
        <v>0.147317771544165</v>
      </c>
      <c r="P48" s="16"/>
      <c r="R48" s="187">
        <f>'Parameters, country spec'!E27</f>
        <v>1.034753873470441E-3</v>
      </c>
    </row>
    <row r="49" spans="1:18" x14ac:dyDescent="0.2">
      <c r="B49" s="18" t="s">
        <v>209</v>
      </c>
      <c r="C49" s="17" t="s">
        <v>308</v>
      </c>
      <c r="D49" s="23" t="str">
        <f>'Off-farm feed'!$D$74</f>
        <v>France, Germany, Poland</v>
      </c>
      <c r="E49" s="23"/>
      <c r="F49" s="116">
        <f t="shared" si="5"/>
        <v>0.27085685084992916</v>
      </c>
      <c r="G49" s="210">
        <f>'Off-farm feed'!$F$74</f>
        <v>0.11176753125767681</v>
      </c>
      <c r="H49" s="210">
        <f>'Off-farm feed'!$G$74</f>
        <v>1.3034482758620692E-2</v>
      </c>
      <c r="I49" s="210">
        <f>'Off-farm feed'!$H$74</f>
        <v>0</v>
      </c>
      <c r="J49" s="210">
        <f>'Off-farm feed'!$I$74</f>
        <v>0</v>
      </c>
      <c r="K49" s="210">
        <f>'Off-farm feed'!$J$74</f>
        <v>2.4688740026345454E-2</v>
      </c>
      <c r="L49" s="210">
        <f>'Off-farm feed'!$K$74</f>
        <v>0</v>
      </c>
      <c r="M49" s="210">
        <f>'Off-farm feed'!$L$74</f>
        <v>1.931759303794134E-4</v>
      </c>
      <c r="N49" s="210">
        <f>'Off-farm feed'!$M$74</f>
        <v>3.6802128767029069E-2</v>
      </c>
      <c r="O49" s="210">
        <f>'Off-farm feed'!$N$74</f>
        <v>0</v>
      </c>
      <c r="P49" s="210">
        <f>'Off-farm feed'!$O$74</f>
        <v>2.1170792109877701E-2</v>
      </c>
      <c r="Q49" s="210">
        <f>'Off-farm feed'!$P$74</f>
        <v>6.3200000000000006E-2</v>
      </c>
      <c r="R49" s="187">
        <f>'Parameters, country spec'!E28</f>
        <v>1.1495502598072799E-3</v>
      </c>
    </row>
    <row r="50" spans="1:18" x14ac:dyDescent="0.2">
      <c r="B50" s="18" t="s">
        <v>309</v>
      </c>
      <c r="C50" s="17" t="s">
        <v>308</v>
      </c>
      <c r="D50" s="23" t="str">
        <f>'Off-farm feed'!$D$23</f>
        <v>Brazil, Argentina</v>
      </c>
      <c r="E50" s="23"/>
      <c r="F50" s="116">
        <f t="shared" si="5"/>
        <v>0.70611717059976009</v>
      </c>
      <c r="G50" s="210">
        <f>'Off-farm feed'!$F$23</f>
        <v>7.2632670993098914E-3</v>
      </c>
      <c r="H50" s="210">
        <f>'Off-farm feed'!$G$23</f>
        <v>2.1402439024390246E-2</v>
      </c>
      <c r="I50" s="210">
        <f>'Off-farm feed'!$H$23</f>
        <v>0</v>
      </c>
      <c r="J50" s="210">
        <f>'Off-farm feed'!$I$23</f>
        <v>0</v>
      </c>
      <c r="K50" s="210">
        <f>'Off-farm feed'!$J$23</f>
        <v>4.3083619664332343E-2</v>
      </c>
      <c r="L50" s="210">
        <f>'Off-farm feed'!$K$23</f>
        <v>0</v>
      </c>
      <c r="M50" s="210">
        <f>'Off-farm feed'!$L$23</f>
        <v>1.7842060425123844E-4</v>
      </c>
      <c r="N50" s="210">
        <f>'Off-farm feed'!$M$23</f>
        <v>3.0432604948959403E-2</v>
      </c>
      <c r="O50" s="210">
        <f>'Off-farm feed'!$N$23</f>
        <v>0.31761120248475611</v>
      </c>
      <c r="P50" s="210">
        <f>'Off-farm feed'!$O$23</f>
        <v>3.5145616773760872E-2</v>
      </c>
      <c r="Q50" s="210">
        <f>'Off-farm feed'!$P$23</f>
        <v>0.251</v>
      </c>
      <c r="R50" s="187">
        <f>'Parameters, country spec'!E29</f>
        <v>0.2025581580279131</v>
      </c>
    </row>
    <row r="51" spans="1:18" x14ac:dyDescent="0.2">
      <c r="B51" s="17" t="s">
        <v>213</v>
      </c>
      <c r="C51" s="17" t="s">
        <v>310</v>
      </c>
      <c r="D51" s="23" t="s">
        <v>53</v>
      </c>
      <c r="E51" s="23" t="s">
        <v>54</v>
      </c>
      <c r="F51" s="116">
        <f t="shared" si="5"/>
        <v>0.78743380346145797</v>
      </c>
      <c r="G51" s="79">
        <v>1.5625595295136501E-2</v>
      </c>
      <c r="H51" s="16">
        <v>2.4299999999999999E-3</v>
      </c>
      <c r="K51" s="16">
        <v>5.7947170478045299E-3</v>
      </c>
      <c r="L51">
        <v>0</v>
      </c>
      <c r="M51">
        <v>6.3093593728191896E-5</v>
      </c>
      <c r="N51" s="106">
        <v>4.1245973643637803E-3</v>
      </c>
      <c r="O51" s="8">
        <v>9.7417251416832698E-4</v>
      </c>
      <c r="P51" s="16">
        <v>0.72382210600774899</v>
      </c>
      <c r="Q51" s="16">
        <v>3.4599521638507699E-2</v>
      </c>
      <c r="R51" s="187">
        <f>'Parameters, country spec'!E30</f>
        <v>0.1276820518863053</v>
      </c>
    </row>
    <row r="52" spans="1:18" x14ac:dyDescent="0.2">
      <c r="A52" s="82"/>
      <c r="B52" s="17" t="s">
        <v>312</v>
      </c>
      <c r="C52" s="83" t="s">
        <v>313</v>
      </c>
      <c r="D52" s="23" t="s">
        <v>53</v>
      </c>
      <c r="E52" s="23" t="s">
        <v>54</v>
      </c>
      <c r="F52" s="116">
        <f t="shared" si="5"/>
        <v>0.24291153717856109</v>
      </c>
      <c r="G52" s="80">
        <f>AVERAGE(G42:G50)</f>
        <v>9.1721673626483508E-2</v>
      </c>
      <c r="H52" s="80">
        <f>AVERAGE(H42:H50)</f>
        <v>2.4826324642556769E-2</v>
      </c>
      <c r="I52" s="80">
        <f>AVERAGE(I42:I50)</f>
        <v>0</v>
      </c>
      <c r="J52" s="80"/>
      <c r="K52" s="80">
        <f>AVERAGE(K42:K50)</f>
        <v>7.1827810385653168E-2</v>
      </c>
      <c r="L52" s="80"/>
      <c r="M52" s="80">
        <f>AVERAGE(M42:M50)</f>
        <v>1.1420533974502937E-2</v>
      </c>
      <c r="N52" s="80">
        <f>AVERAGE(N42:N50)</f>
        <v>4.3115194549364709E-2</v>
      </c>
      <c r="O52" s="80"/>
      <c r="P52" s="80"/>
      <c r="Q52" s="80"/>
      <c r="R52" s="187">
        <f>'Parameters, country spec'!E31</f>
        <v>0.1327171153253604</v>
      </c>
    </row>
    <row r="53" spans="1:18" x14ac:dyDescent="0.2">
      <c r="A53" s="185"/>
      <c r="B53" s="25" t="s">
        <v>314</v>
      </c>
      <c r="C53" s="26"/>
      <c r="D53" s="102"/>
      <c r="E53" s="102"/>
      <c r="F53" s="27">
        <f>SUMPRODUCT(F42:F52,$R$42:$R$52)</f>
        <v>0.38365729192115955</v>
      </c>
      <c r="G53" s="27">
        <f>SUMPRODUCT(G42:G52,$R$42:$R$52)</f>
        <v>5.4110208242125285E-2</v>
      </c>
      <c r="H53" s="199">
        <f>SUMPRODUCT(H42:H52,$R$42:$R$52)</f>
        <v>2.2424482357418184E-2</v>
      </c>
      <c r="I53" s="27">
        <f>SUMPRODUCT(I42:I52,$R$42:$R$52)</f>
        <v>0</v>
      </c>
      <c r="J53" s="27"/>
      <c r="K53" s="27">
        <f>SUMPRODUCT(K42:K52,$R$42:$R$52)</f>
        <v>3.9391261248057974E-2</v>
      </c>
      <c r="L53" s="27"/>
      <c r="M53" s="27">
        <f>SUMPRODUCT(M42:M52,$R$42:$R$52)</f>
        <v>5.9655210141690458E-3</v>
      </c>
      <c r="N53" s="27">
        <f>SUMPRODUCT(N42:N52,$R$42:$R$52)</f>
        <v>3.7014810366618196E-2</v>
      </c>
      <c r="O53" s="27">
        <f>SUMPRODUCT(O42:O52,$R$42:$R$52)</f>
        <v>6.9856061552501209E-2</v>
      </c>
      <c r="P53" s="199">
        <f>SUMPRODUCT(P42:P52,R42:R52)</f>
        <v>9.956245998175435E-2</v>
      </c>
      <c r="Q53" s="199">
        <f>SUMPRODUCT(Q42:Q52,$R$42:$R$52)</f>
        <v>5.5332487158515298E-2</v>
      </c>
      <c r="R53" s="301"/>
    </row>
    <row r="54" spans="1:18" x14ac:dyDescent="0.2">
      <c r="A54" s="22" t="s">
        <v>299</v>
      </c>
      <c r="B54" s="17" t="s">
        <v>198</v>
      </c>
      <c r="C54" s="17" t="s">
        <v>300</v>
      </c>
      <c r="D54" s="23" t="s">
        <v>55</v>
      </c>
      <c r="E54" s="23" t="s">
        <v>56</v>
      </c>
      <c r="F54" s="116">
        <f t="shared" ref="F54:F64" si="6">SUM(G54:Q54)</f>
        <v>0.16331952151499937</v>
      </c>
      <c r="G54" s="79">
        <v>5.3517509155759403E-2</v>
      </c>
      <c r="H54" s="16">
        <v>2.7E-2</v>
      </c>
      <c r="I54" s="16">
        <v>0</v>
      </c>
      <c r="J54" s="14"/>
      <c r="K54" s="79">
        <v>3.4751291896792803E-2</v>
      </c>
      <c r="L54" s="14">
        <v>0</v>
      </c>
      <c r="M54" s="14">
        <v>0</v>
      </c>
      <c r="N54" s="79">
        <v>4.1772636956010002E-2</v>
      </c>
      <c r="O54" s="14">
        <v>6.2780835064371703E-3</v>
      </c>
      <c r="P54" s="16"/>
      <c r="R54" s="187">
        <f>'Parameters, country spec'!F21</f>
        <v>8.7418005626499207E-2</v>
      </c>
    </row>
    <row r="55" spans="1:18" x14ac:dyDescent="0.2">
      <c r="A55" s="22" t="s">
        <v>301</v>
      </c>
      <c r="B55" s="17" t="s">
        <v>201</v>
      </c>
      <c r="C55" s="17" t="s">
        <v>300</v>
      </c>
      <c r="D55" s="23" t="s">
        <v>55</v>
      </c>
      <c r="E55" s="23" t="s">
        <v>56</v>
      </c>
      <c r="F55" s="116">
        <f t="shared" si="6"/>
        <v>0.16765006836412538</v>
      </c>
      <c r="G55" s="79">
        <v>6.4801609246117706E-2</v>
      </c>
      <c r="H55" s="16">
        <v>2.7E-2</v>
      </c>
      <c r="I55" s="16">
        <v>0</v>
      </c>
      <c r="J55" s="14"/>
      <c r="K55" s="79">
        <v>2.49714283934428E-2</v>
      </c>
      <c r="L55" s="14">
        <v>0</v>
      </c>
      <c r="M55" s="14">
        <v>8.2736751041397505E-5</v>
      </c>
      <c r="N55" s="79">
        <v>4.1772636956010002E-2</v>
      </c>
      <c r="O55" s="14">
        <v>9.0216570175134791E-3</v>
      </c>
      <c r="P55" s="16"/>
      <c r="R55" s="187">
        <f>'Parameters, country spec'!F22</f>
        <v>0.51851224834420662</v>
      </c>
    </row>
    <row r="56" spans="1:18" x14ac:dyDescent="0.2">
      <c r="A56" s="22" t="s">
        <v>302</v>
      </c>
      <c r="B56" s="17" t="s">
        <v>204</v>
      </c>
      <c r="C56" s="17" t="s">
        <v>300</v>
      </c>
      <c r="D56" s="23" t="s">
        <v>55</v>
      </c>
      <c r="E56" s="23" t="s">
        <v>56</v>
      </c>
      <c r="F56" s="116">
        <f t="shared" si="6"/>
        <v>0.23008300750098509</v>
      </c>
      <c r="G56" s="79">
        <v>7.9395983086191696E-2</v>
      </c>
      <c r="H56" s="16">
        <v>2.7E-2</v>
      </c>
      <c r="I56" s="16">
        <v>0</v>
      </c>
      <c r="J56" s="14"/>
      <c r="K56" s="79">
        <v>6.5040424601935695E-2</v>
      </c>
      <c r="L56" s="14">
        <v>0</v>
      </c>
      <c r="M56" s="14">
        <v>0</v>
      </c>
      <c r="N56" s="79">
        <v>4.1772636956010002E-2</v>
      </c>
      <c r="O56" s="14">
        <v>1.68739628568477E-2</v>
      </c>
      <c r="P56" s="16"/>
      <c r="R56" s="187">
        <f>'Parameters, country spec'!F23</f>
        <v>4.6821690090770259E-2</v>
      </c>
    </row>
    <row r="57" spans="1:18" x14ac:dyDescent="0.2">
      <c r="A57" s="22" t="s">
        <v>303</v>
      </c>
      <c r="B57" s="17" t="s">
        <v>205</v>
      </c>
      <c r="C57" s="17" t="s">
        <v>300</v>
      </c>
      <c r="D57" s="23" t="s">
        <v>55</v>
      </c>
      <c r="E57" s="23" t="s">
        <v>56</v>
      </c>
      <c r="F57" s="116">
        <f t="shared" si="6"/>
        <v>0.22458257739258536</v>
      </c>
      <c r="G57" s="79">
        <v>9.4845757046005702E-2</v>
      </c>
      <c r="H57" s="16">
        <v>2.7E-2</v>
      </c>
      <c r="I57" s="14">
        <v>0</v>
      </c>
      <c r="J57" s="14"/>
      <c r="K57" s="79">
        <v>6.0936814502337198E-2</v>
      </c>
      <c r="L57" s="14">
        <v>0</v>
      </c>
      <c r="M57" s="14">
        <v>0</v>
      </c>
      <c r="N57" s="79">
        <v>4.1772636956010002E-2</v>
      </c>
      <c r="O57" s="14">
        <v>2.73688882324494E-5</v>
      </c>
      <c r="P57" s="16"/>
      <c r="R57" s="187">
        <f>'Parameters, country spec'!F24</f>
        <v>1.8197973513379369E-2</v>
      </c>
    </row>
    <row r="58" spans="1:18" x14ac:dyDescent="0.2">
      <c r="A58" s="22" t="s">
        <v>304</v>
      </c>
      <c r="B58" s="17" t="s">
        <v>206</v>
      </c>
      <c r="C58" s="17" t="s">
        <v>300</v>
      </c>
      <c r="D58" s="23" t="s">
        <v>55</v>
      </c>
      <c r="E58" s="23" t="s">
        <v>56</v>
      </c>
      <c r="F58" s="116">
        <f t="shared" si="6"/>
        <v>0.1928250291602443</v>
      </c>
      <c r="G58" s="79">
        <v>8.8667749084816894E-2</v>
      </c>
      <c r="H58" s="16">
        <v>2.7E-2</v>
      </c>
      <c r="I58" s="14">
        <v>0</v>
      </c>
      <c r="J58" s="14"/>
      <c r="K58" s="79">
        <v>3.5373429617754797E-2</v>
      </c>
      <c r="L58" s="14">
        <v>0</v>
      </c>
      <c r="M58" s="14">
        <v>0</v>
      </c>
      <c r="N58" s="79">
        <v>4.1772636956010002E-2</v>
      </c>
      <c r="O58" s="14">
        <v>1.1213501662600699E-5</v>
      </c>
      <c r="P58" s="16"/>
      <c r="R58" s="187">
        <f>'Parameters, country spec'!F25</f>
        <v>8.1866500320142158E-2</v>
      </c>
    </row>
    <row r="59" spans="1:18" x14ac:dyDescent="0.2">
      <c r="A59" s="22" t="s">
        <v>305</v>
      </c>
      <c r="B59" s="17" t="s">
        <v>207</v>
      </c>
      <c r="C59" s="17" t="s">
        <v>306</v>
      </c>
      <c r="D59" s="23" t="s">
        <v>55</v>
      </c>
      <c r="E59" s="23" t="s">
        <v>56</v>
      </c>
      <c r="F59" s="116">
        <f t="shared" si="6"/>
        <v>0.17814967754875929</v>
      </c>
      <c r="G59" s="79">
        <v>0</v>
      </c>
      <c r="H59" s="16">
        <v>2.7E-2</v>
      </c>
      <c r="I59" s="16">
        <v>0</v>
      </c>
      <c r="J59" s="14"/>
      <c r="K59" s="79">
        <v>7.5868402171388294E-2</v>
      </c>
      <c r="L59" s="16">
        <v>0</v>
      </c>
      <c r="M59" s="14">
        <v>2.5612929536489099E-2</v>
      </c>
      <c r="N59" s="79">
        <v>4.1772636956010002E-2</v>
      </c>
      <c r="O59" s="14">
        <v>7.8957088848718993E-3</v>
      </c>
      <c r="P59" s="16"/>
      <c r="R59" s="187">
        <f>'Parameters, country spec'!F26</f>
        <v>1.1994594385271529E-3</v>
      </c>
    </row>
    <row r="60" spans="1:18" x14ac:dyDescent="0.2">
      <c r="A60" s="22" t="s">
        <v>307</v>
      </c>
      <c r="B60" s="17" t="s">
        <v>208</v>
      </c>
      <c r="C60" s="17" t="s">
        <v>306</v>
      </c>
      <c r="D60" s="23" t="s">
        <v>55</v>
      </c>
      <c r="E60" s="23" t="s">
        <v>56</v>
      </c>
      <c r="F60" s="116">
        <f t="shared" si="6"/>
        <v>0.88309240535499323</v>
      </c>
      <c r="G60" s="79">
        <v>4.2783747869422697E-3</v>
      </c>
      <c r="H60" s="16">
        <v>2.7E-2</v>
      </c>
      <c r="I60" s="16">
        <v>0</v>
      </c>
      <c r="J60" s="14"/>
      <c r="K60" s="79">
        <v>0.119691465798046</v>
      </c>
      <c r="L60" s="14">
        <v>0</v>
      </c>
      <c r="M60" s="14">
        <v>3.2454409978343902E-2</v>
      </c>
      <c r="N60" s="79">
        <v>4.1772636956010002E-2</v>
      </c>
      <c r="O60" s="14">
        <v>0.65789551783565103</v>
      </c>
      <c r="P60" s="16"/>
      <c r="R60" s="187">
        <f>'Parameters, country spec'!F27</f>
        <v>1.1782644376318839E-3</v>
      </c>
    </row>
    <row r="61" spans="1:18" x14ac:dyDescent="0.2">
      <c r="B61" s="18" t="s">
        <v>209</v>
      </c>
      <c r="C61" s="17" t="s">
        <v>308</v>
      </c>
      <c r="D61" s="23" t="str">
        <f>'Off-farm feed'!$D$74</f>
        <v>France, Germany, Poland</v>
      </c>
      <c r="E61" s="23"/>
      <c r="F61" s="116">
        <f t="shared" si="6"/>
        <v>0.27085685084992916</v>
      </c>
      <c r="G61" s="210">
        <f>'Off-farm feed'!$F$74</f>
        <v>0.11176753125767681</v>
      </c>
      <c r="H61" s="210">
        <f>'Off-farm feed'!$G$74</f>
        <v>1.3034482758620692E-2</v>
      </c>
      <c r="I61" s="210">
        <f>'Off-farm feed'!$H$74</f>
        <v>0</v>
      </c>
      <c r="J61" s="210">
        <f>'Off-farm feed'!$I$74</f>
        <v>0</v>
      </c>
      <c r="K61" s="210">
        <f>'Off-farm feed'!$J$74</f>
        <v>2.4688740026345454E-2</v>
      </c>
      <c r="L61" s="210">
        <f>'Off-farm feed'!$K$74</f>
        <v>0</v>
      </c>
      <c r="M61" s="210">
        <f>'Off-farm feed'!$L$74</f>
        <v>1.931759303794134E-4</v>
      </c>
      <c r="N61" s="210">
        <f>'Off-farm feed'!$M$74</f>
        <v>3.6802128767029069E-2</v>
      </c>
      <c r="O61" s="210">
        <f>'Off-farm feed'!$N$74</f>
        <v>0</v>
      </c>
      <c r="P61" s="210">
        <f>'Off-farm feed'!$O$74</f>
        <v>2.1170792109877701E-2</v>
      </c>
      <c r="Q61" s="210">
        <f>'Off-farm feed'!$P$74</f>
        <v>6.3200000000000006E-2</v>
      </c>
      <c r="R61" s="187">
        <f>'Parameters, country spec'!F28</f>
        <v>5.1767642112223974E-4</v>
      </c>
    </row>
    <row r="62" spans="1:18" x14ac:dyDescent="0.2">
      <c r="B62" s="18" t="s">
        <v>309</v>
      </c>
      <c r="C62" s="17" t="s">
        <v>308</v>
      </c>
      <c r="D62" s="23" t="str">
        <f>'Off-farm feed'!$D$23</f>
        <v>Brazil, Argentina</v>
      </c>
      <c r="E62" s="23"/>
      <c r="F62" s="116">
        <f t="shared" si="6"/>
        <v>0.70611717059976009</v>
      </c>
      <c r="G62" s="210">
        <f>'Off-farm feed'!$F$23</f>
        <v>7.2632670993098914E-3</v>
      </c>
      <c r="H62" s="210">
        <f>'Off-farm feed'!$G$23</f>
        <v>2.1402439024390246E-2</v>
      </c>
      <c r="I62" s="210">
        <f>'Off-farm feed'!$H$23</f>
        <v>0</v>
      </c>
      <c r="J62" s="210">
        <f>'Off-farm feed'!$I$23</f>
        <v>0</v>
      </c>
      <c r="K62" s="210">
        <f>'Off-farm feed'!$J$23</f>
        <v>4.3083619664332343E-2</v>
      </c>
      <c r="L62" s="210">
        <f>'Off-farm feed'!$K$23</f>
        <v>0</v>
      </c>
      <c r="M62" s="210">
        <f>'Off-farm feed'!$L$23</f>
        <v>1.7842060425123844E-4</v>
      </c>
      <c r="N62" s="210">
        <f>'Off-farm feed'!$M$23</f>
        <v>3.0432604948959403E-2</v>
      </c>
      <c r="O62" s="210">
        <f>'Off-farm feed'!$N$23</f>
        <v>0.31761120248475611</v>
      </c>
      <c r="P62" s="210">
        <f>'Off-farm feed'!$O$23</f>
        <v>3.5145616773760872E-2</v>
      </c>
      <c r="Q62" s="210">
        <f>'Off-farm feed'!$P$23</f>
        <v>0.251</v>
      </c>
      <c r="R62" s="187">
        <f>'Parameters, country spec'!F29</f>
        <v>9.8710786383614704E-2</v>
      </c>
    </row>
    <row r="63" spans="1:18" x14ac:dyDescent="0.2">
      <c r="B63" s="17" t="s">
        <v>213</v>
      </c>
      <c r="C63" s="17" t="s">
        <v>310</v>
      </c>
      <c r="D63" s="23" t="s">
        <v>55</v>
      </c>
      <c r="E63" s="23" t="s">
        <v>56</v>
      </c>
      <c r="F63" s="116">
        <f t="shared" si="6"/>
        <v>0.51672853709651922</v>
      </c>
      <c r="G63" s="79">
        <v>7.98009741763352E-3</v>
      </c>
      <c r="H63" s="16">
        <v>2.4299999999999999E-3</v>
      </c>
      <c r="K63" s="16">
        <v>3.1836086655979302E-3</v>
      </c>
      <c r="L63">
        <v>0</v>
      </c>
      <c r="M63">
        <v>0</v>
      </c>
      <c r="N63" s="106">
        <v>3.7595373260408999E-3</v>
      </c>
      <c r="O63" s="8">
        <v>1.00921514963407E-6</v>
      </c>
      <c r="P63" s="16">
        <v>0.49589425967864798</v>
      </c>
      <c r="Q63" s="16">
        <v>3.4800247934492399E-3</v>
      </c>
      <c r="R63" s="187">
        <f>'Parameters, country spec'!F30</f>
        <v>7.7842176173985381E-2</v>
      </c>
    </row>
    <row r="64" spans="1:18" x14ac:dyDescent="0.2">
      <c r="A64" s="82"/>
      <c r="B64" s="17" t="s">
        <v>312</v>
      </c>
      <c r="C64" s="83" t="s">
        <v>313</v>
      </c>
      <c r="D64" s="23" t="s">
        <v>55</v>
      </c>
      <c r="E64" s="23" t="s">
        <v>56</v>
      </c>
      <c r="F64" s="116">
        <f t="shared" si="6"/>
        <v>0.18117168715853005</v>
      </c>
      <c r="G64" s="80">
        <f>AVERAGE(G54:G62)</f>
        <v>5.6059753418091156E-2</v>
      </c>
      <c r="H64" s="80">
        <f>AVERAGE(H54:H62)</f>
        <v>2.4826324642556769E-2</v>
      </c>
      <c r="I64" s="80">
        <f>AVERAGE(I54:I62)</f>
        <v>0</v>
      </c>
      <c r="J64" s="80"/>
      <c r="K64" s="80">
        <f>AVERAGE(K54:K62)</f>
        <v>5.3822846296930599E-2</v>
      </c>
      <c r="L64" s="80"/>
      <c r="M64" s="80">
        <f>AVERAGE(M54:M62)</f>
        <v>6.5024080889450062E-3</v>
      </c>
      <c r="N64" s="80">
        <f>AVERAGE(N54:N62)</f>
        <v>3.9960354712006506E-2</v>
      </c>
      <c r="O64" s="80"/>
      <c r="P64" s="80"/>
      <c r="Q64" s="80"/>
      <c r="R64" s="187">
        <f>'Parameters, country spec'!F31</f>
        <v>6.7735219250121048E-2</v>
      </c>
    </row>
    <row r="65" spans="1:18" x14ac:dyDescent="0.2">
      <c r="A65" s="185"/>
      <c r="B65" s="25" t="s">
        <v>314</v>
      </c>
      <c r="C65" s="26"/>
      <c r="D65" s="102"/>
      <c r="E65" s="102"/>
      <c r="F65" s="27">
        <f>SUMPRODUCT(F54:F64,$R$54:$R$64)</f>
        <v>0.25544218896508591</v>
      </c>
      <c r="G65" s="27">
        <f>SUMPRODUCT(G54:G64,$R$54:$R$64)</f>
        <v>5.6179466138433089E-2</v>
      </c>
      <c r="H65" s="199">
        <f>SUMPRODUCT(H54:H64,$R$54:$R$64)</f>
        <v>2.4380414089772866E-2</v>
      </c>
      <c r="I65" s="27">
        <f>SUMPRODUCT(I54:I64,$R$54:$R$64)</f>
        <v>0</v>
      </c>
      <c r="J65" s="27"/>
      <c r="K65" s="27">
        <f>SUMPRODUCT(K54:K64,$R$54:$R$64)</f>
        <v>3.1427157484536609E-2</v>
      </c>
      <c r="L65" s="27"/>
      <c r="M65" s="27">
        <f>SUMPRODUCT(M54:M64,$R$54:$R$64)</f>
        <v>5.7001564434126643E-4</v>
      </c>
      <c r="N65" s="27">
        <f>SUMPRODUCT(N54:N64,$R$54:$R$64)</f>
        <v>3.7568902630632256E-2</v>
      </c>
      <c r="O65" s="27">
        <f>SUMPRODUCT(O54:O64,$R$54:$R$64)</f>
        <v>3.815451632706586E-2</v>
      </c>
      <c r="P65" s="199">
        <f>SUMPRODUCT(P54:P64,R54:R64)</f>
        <v>4.2081699415140228E-2</v>
      </c>
      <c r="Q65" s="199">
        <f>SUMPRODUCT(Q54:Q64,$R$54:$R$64)</f>
        <v>2.5080017235163732E-2</v>
      </c>
      <c r="R65" s="301"/>
    </row>
    <row r="66" spans="1:18" x14ac:dyDescent="0.2">
      <c r="A66" s="22" t="s">
        <v>299</v>
      </c>
      <c r="B66" s="17" t="s">
        <v>198</v>
      </c>
      <c r="C66" s="17" t="s">
        <v>300</v>
      </c>
      <c r="D66" s="23" t="s">
        <v>91</v>
      </c>
      <c r="E66" s="23" t="s">
        <v>58</v>
      </c>
      <c r="F66" s="116">
        <f t="shared" ref="F66:F76" si="7">SUM(G66:Q66)</f>
        <v>0.13899539970355879</v>
      </c>
      <c r="G66" s="79">
        <v>4.0744992936689602E-2</v>
      </c>
      <c r="H66" s="16">
        <v>2.7E-2</v>
      </c>
      <c r="I66" s="16">
        <v>0</v>
      </c>
      <c r="J66" s="14"/>
      <c r="K66" s="79">
        <v>2.6038309182143501E-2</v>
      </c>
      <c r="L66" s="14">
        <v>0</v>
      </c>
      <c r="M66" s="14">
        <v>0</v>
      </c>
      <c r="N66" s="79">
        <v>4.0867040202494799E-2</v>
      </c>
      <c r="O66" s="14">
        <v>4.34505738223088E-3</v>
      </c>
      <c r="P66" s="16"/>
      <c r="R66" s="187">
        <f>'Parameters, country spec'!G21</f>
        <v>0</v>
      </c>
    </row>
    <row r="67" spans="1:18" x14ac:dyDescent="0.2">
      <c r="A67" s="22" t="s">
        <v>301</v>
      </c>
      <c r="B67" s="17" t="s">
        <v>201</v>
      </c>
      <c r="C67" s="17" t="s">
        <v>300</v>
      </c>
      <c r="D67" s="23" t="s">
        <v>91</v>
      </c>
      <c r="E67" s="23" t="s">
        <v>58</v>
      </c>
      <c r="F67" s="116">
        <f t="shared" si="7"/>
        <v>0.13477267534421772</v>
      </c>
      <c r="G67" s="79">
        <v>4.7382930338829898E-2</v>
      </c>
      <c r="H67" s="14">
        <v>2.7E-2</v>
      </c>
      <c r="I67" s="16"/>
      <c r="J67" s="14"/>
      <c r="K67" s="79">
        <v>1.8104396956838902E-2</v>
      </c>
      <c r="L67" s="14">
        <v>0</v>
      </c>
      <c r="M67" s="14">
        <v>3.20452980210324E-3</v>
      </c>
      <c r="N67" s="79">
        <v>3.4771853907349999E-2</v>
      </c>
      <c r="O67" s="14">
        <v>4.3089643390956597E-3</v>
      </c>
      <c r="P67" s="16"/>
      <c r="R67" s="187">
        <f>'Parameters, country spec'!G22</f>
        <v>0.16</v>
      </c>
    </row>
    <row r="68" spans="1:18" x14ac:dyDescent="0.2">
      <c r="A68" s="22" t="s">
        <v>302</v>
      </c>
      <c r="B68" s="17" t="s">
        <v>204</v>
      </c>
      <c r="C68" s="17" t="s">
        <v>300</v>
      </c>
      <c r="D68" s="23" t="s">
        <v>91</v>
      </c>
      <c r="E68" s="23" t="s">
        <v>58</v>
      </c>
      <c r="F68" s="116">
        <f t="shared" si="7"/>
        <v>0.1552540990960054</v>
      </c>
      <c r="G68" s="79">
        <v>2.97198252686579E-2</v>
      </c>
      <c r="H68" s="16">
        <v>2.7E-2</v>
      </c>
      <c r="I68" s="16">
        <v>0</v>
      </c>
      <c r="J68" s="14"/>
      <c r="K68" s="79">
        <v>2.3960427332777399E-2</v>
      </c>
      <c r="L68" s="14">
        <v>0</v>
      </c>
      <c r="M68" s="14">
        <v>0</v>
      </c>
      <c r="N68" s="79">
        <v>4.0867040202494799E-2</v>
      </c>
      <c r="O68" s="14">
        <v>3.37068062920753E-2</v>
      </c>
      <c r="P68" s="16"/>
      <c r="R68" s="187">
        <f>'Parameters, country spec'!G23</f>
        <v>0.01</v>
      </c>
    </row>
    <row r="69" spans="1:18" x14ac:dyDescent="0.2">
      <c r="A69" s="22" t="s">
        <v>303</v>
      </c>
      <c r="B69" s="17" t="s">
        <v>205</v>
      </c>
      <c r="C69" s="17" t="s">
        <v>300</v>
      </c>
      <c r="D69" s="23" t="s">
        <v>91</v>
      </c>
      <c r="E69" s="23" t="s">
        <v>58</v>
      </c>
      <c r="F69" s="116">
        <f t="shared" si="7"/>
        <v>0.23086931651797959</v>
      </c>
      <c r="G69" s="79">
        <v>7.3795450330937706E-2</v>
      </c>
      <c r="H69" s="16">
        <v>2.7E-2</v>
      </c>
      <c r="I69" s="14">
        <v>0</v>
      </c>
      <c r="J69" s="14"/>
      <c r="K69" s="79">
        <v>4.7010620238752597E-2</v>
      </c>
      <c r="L69" s="14">
        <v>0</v>
      </c>
      <c r="M69" s="14">
        <v>2.75986968179931E-5</v>
      </c>
      <c r="N69" s="79">
        <v>3.4771853907349999E-2</v>
      </c>
      <c r="O69" s="14">
        <v>4.82637933441213E-2</v>
      </c>
      <c r="P69" s="16"/>
      <c r="R69" s="187">
        <f>'Parameters, country spec'!G24</f>
        <v>0</v>
      </c>
    </row>
    <row r="70" spans="1:18" x14ac:dyDescent="0.2">
      <c r="A70" s="22" t="s">
        <v>304</v>
      </c>
      <c r="B70" s="17" t="s">
        <v>206</v>
      </c>
      <c r="C70" s="17" t="s">
        <v>300</v>
      </c>
      <c r="D70" s="23" t="s">
        <v>91</v>
      </c>
      <c r="E70" s="23" t="s">
        <v>58</v>
      </c>
      <c r="F70" s="116">
        <f t="shared" si="7"/>
        <v>0.15433738131583741</v>
      </c>
      <c r="G70" s="79">
        <v>5.4362852263661499E-2</v>
      </c>
      <c r="H70" s="16">
        <v>2.7E-2</v>
      </c>
      <c r="I70" s="14">
        <v>0</v>
      </c>
      <c r="J70" s="14"/>
      <c r="K70" s="79">
        <v>2.1344067728924599E-2</v>
      </c>
      <c r="L70" s="14">
        <v>0</v>
      </c>
      <c r="M70" s="14">
        <v>0</v>
      </c>
      <c r="N70" s="79">
        <v>4.0867040202494799E-2</v>
      </c>
      <c r="O70" s="14">
        <v>1.0763421120756501E-2</v>
      </c>
      <c r="P70" s="16"/>
      <c r="R70" s="187">
        <f>'Parameters, country spec'!G25</f>
        <v>0.46</v>
      </c>
    </row>
    <row r="71" spans="1:18" x14ac:dyDescent="0.2">
      <c r="A71" s="22" t="s">
        <v>305</v>
      </c>
      <c r="B71" s="17" t="s">
        <v>207</v>
      </c>
      <c r="C71" s="17" t="s">
        <v>306</v>
      </c>
      <c r="D71" s="23" t="s">
        <v>91</v>
      </c>
      <c r="E71" s="23" t="s">
        <v>58</v>
      </c>
      <c r="F71" s="116">
        <f t="shared" si="7"/>
        <v>0.16414133778056922</v>
      </c>
      <c r="G71" s="79">
        <v>0</v>
      </c>
      <c r="H71" s="16">
        <v>2.7E-2</v>
      </c>
      <c r="I71" s="16">
        <v>0</v>
      </c>
      <c r="J71" s="14"/>
      <c r="K71" s="79">
        <v>3.8482609473523402E-2</v>
      </c>
      <c r="L71" s="16">
        <v>0</v>
      </c>
      <c r="M71" s="14">
        <v>0</v>
      </c>
      <c r="N71" s="79">
        <v>4.0867040202494799E-2</v>
      </c>
      <c r="O71" s="14">
        <v>5.7791688104551001E-2</v>
      </c>
      <c r="P71" s="16"/>
      <c r="R71" s="187">
        <f>'Parameters, country spec'!G26</f>
        <v>0</v>
      </c>
    </row>
    <row r="72" spans="1:18" x14ac:dyDescent="0.2">
      <c r="A72" s="22" t="s">
        <v>307</v>
      </c>
      <c r="B72" s="17" t="s">
        <v>208</v>
      </c>
      <c r="C72" s="17" t="s">
        <v>306</v>
      </c>
      <c r="D72" s="23" t="s">
        <v>91</v>
      </c>
      <c r="E72" s="23" t="s">
        <v>58</v>
      </c>
      <c r="F72" s="116">
        <f t="shared" si="7"/>
        <v>0.13212813840286639</v>
      </c>
      <c r="G72" s="79">
        <v>1.30084565805609E-3</v>
      </c>
      <c r="H72" s="16">
        <v>2.7E-2</v>
      </c>
      <c r="I72" s="16">
        <v>0</v>
      </c>
      <c r="J72" s="14"/>
      <c r="K72" s="79">
        <v>3.5815713015120099E-2</v>
      </c>
      <c r="L72" s="14">
        <v>0</v>
      </c>
      <c r="M72" s="14">
        <v>0</v>
      </c>
      <c r="N72" s="79">
        <v>4.0867040202494799E-2</v>
      </c>
      <c r="O72" s="14">
        <v>2.7144539527195401E-2</v>
      </c>
      <c r="P72" s="16"/>
      <c r="R72" s="187">
        <f>'Parameters, country spec'!G27</f>
        <v>0</v>
      </c>
    </row>
    <row r="73" spans="1:18" x14ac:dyDescent="0.2">
      <c r="B73" s="18" t="s">
        <v>209</v>
      </c>
      <c r="C73" s="17" t="s">
        <v>308</v>
      </c>
      <c r="D73" s="23" t="str">
        <f>'Off-farm feed'!$D$74</f>
        <v>France, Germany, Poland</v>
      </c>
      <c r="E73" s="23"/>
      <c r="F73" s="116">
        <f t="shared" si="7"/>
        <v>0.27085685084992916</v>
      </c>
      <c r="G73" s="210">
        <f>'Off-farm feed'!$F$74</f>
        <v>0.11176753125767681</v>
      </c>
      <c r="H73" s="210">
        <f>'Off-farm feed'!$G$74</f>
        <v>1.3034482758620692E-2</v>
      </c>
      <c r="I73" s="210">
        <f>'Off-farm feed'!$H$74</f>
        <v>0</v>
      </c>
      <c r="J73" s="210">
        <f>'Off-farm feed'!$I$74</f>
        <v>0</v>
      </c>
      <c r="K73" s="210">
        <f>'Off-farm feed'!$J$74</f>
        <v>2.4688740026345454E-2</v>
      </c>
      <c r="L73" s="210">
        <f>'Off-farm feed'!$K$74</f>
        <v>0</v>
      </c>
      <c r="M73" s="210">
        <f>'Off-farm feed'!$L$74</f>
        <v>1.931759303794134E-4</v>
      </c>
      <c r="N73" s="210">
        <f>'Off-farm feed'!$M$74</f>
        <v>3.6802128767029069E-2</v>
      </c>
      <c r="O73" s="210">
        <f>'Off-farm feed'!$N$74</f>
        <v>0</v>
      </c>
      <c r="P73" s="210">
        <f>'Off-farm feed'!$O$74</f>
        <v>2.1170792109877701E-2</v>
      </c>
      <c r="Q73" s="210">
        <f>'Off-farm feed'!$P$74</f>
        <v>6.3200000000000006E-2</v>
      </c>
      <c r="R73" s="187">
        <f>'Parameters, country spec'!G28</f>
        <v>0.03</v>
      </c>
    </row>
    <row r="74" spans="1:18" x14ac:dyDescent="0.2">
      <c r="B74" s="18" t="s">
        <v>309</v>
      </c>
      <c r="C74" s="17" t="s">
        <v>308</v>
      </c>
      <c r="D74" s="23" t="str">
        <f>'Off-farm feed'!$D$23</f>
        <v>Brazil, Argentina</v>
      </c>
      <c r="E74" s="23"/>
      <c r="F74" s="116">
        <f t="shared" si="7"/>
        <v>0.70611717059976009</v>
      </c>
      <c r="G74" s="210">
        <f>'Off-farm feed'!$F$23</f>
        <v>7.2632670993098914E-3</v>
      </c>
      <c r="H74" s="210">
        <f>'Off-farm feed'!$G$23</f>
        <v>2.1402439024390246E-2</v>
      </c>
      <c r="I74" s="210">
        <f>'Off-farm feed'!$H$23</f>
        <v>0</v>
      </c>
      <c r="J74" s="210">
        <f>'Off-farm feed'!$I$23</f>
        <v>0</v>
      </c>
      <c r="K74" s="210">
        <f>'Off-farm feed'!$J$23</f>
        <v>4.3083619664332343E-2</v>
      </c>
      <c r="L74" s="210">
        <f>'Off-farm feed'!$K$23</f>
        <v>0</v>
      </c>
      <c r="M74" s="210">
        <f>'Off-farm feed'!$L$23</f>
        <v>1.7842060425123844E-4</v>
      </c>
      <c r="N74" s="210">
        <f>'Off-farm feed'!$M$23</f>
        <v>3.0432604948959403E-2</v>
      </c>
      <c r="O74" s="210">
        <f>'Off-farm feed'!$N$23</f>
        <v>0.31761120248475611</v>
      </c>
      <c r="P74" s="210">
        <f>'Off-farm feed'!$O$23</f>
        <v>3.5145616773760872E-2</v>
      </c>
      <c r="Q74" s="210">
        <f>'Off-farm feed'!$P$23</f>
        <v>0.251</v>
      </c>
      <c r="R74" s="187">
        <f>'Parameters, country spec'!G29</f>
        <v>0.28000000000000003</v>
      </c>
    </row>
    <row r="75" spans="1:18" x14ac:dyDescent="0.2">
      <c r="B75" s="17" t="s">
        <v>213</v>
      </c>
      <c r="C75" s="17" t="s">
        <v>310</v>
      </c>
      <c r="D75" s="23" t="s">
        <v>91</v>
      </c>
      <c r="E75" s="23" t="s">
        <v>58</v>
      </c>
      <c r="F75" s="116">
        <f t="shared" si="7"/>
        <v>0.48845036407378517</v>
      </c>
      <c r="G75" s="79">
        <v>4.8926567037295299E-3</v>
      </c>
      <c r="H75" s="16">
        <v>2.4299999999999999E-3</v>
      </c>
      <c r="K75" s="16">
        <v>1.9209660956032101E-3</v>
      </c>
      <c r="L75">
        <v>0</v>
      </c>
      <c r="M75">
        <v>0</v>
      </c>
      <c r="N75" s="106">
        <v>3.67803361822453E-3</v>
      </c>
      <c r="O75" s="8">
        <v>9.6870790086808301E-4</v>
      </c>
      <c r="P75" s="16">
        <v>0.44500683667895402</v>
      </c>
      <c r="Q75" s="16">
        <v>2.9553163076405799E-2</v>
      </c>
      <c r="R75" s="187">
        <f>'Parameters, country spec'!G30</f>
        <v>0</v>
      </c>
    </row>
    <row r="76" spans="1:18" x14ac:dyDescent="0.2">
      <c r="A76" s="82"/>
      <c r="B76" s="17" t="s">
        <v>312</v>
      </c>
      <c r="C76" s="83" t="s">
        <v>313</v>
      </c>
      <c r="D76" s="23" t="s">
        <v>91</v>
      </c>
      <c r="E76" s="23" t="s">
        <v>58</v>
      </c>
      <c r="F76" s="116">
        <f t="shared" si="7"/>
        <v>0.13478005423692255</v>
      </c>
      <c r="G76" s="80">
        <f>AVERAGE(G66:G74)</f>
        <v>4.0704188350424379E-2</v>
      </c>
      <c r="H76" s="80">
        <f>AVERAGE(H66:H74)</f>
        <v>2.4826324642556769E-2</v>
      </c>
      <c r="I76" s="80">
        <f>AVERAGE(I66:I74)</f>
        <v>0</v>
      </c>
      <c r="J76" s="80"/>
      <c r="K76" s="80">
        <f>AVERAGE(K66:K74)</f>
        <v>3.0947611513195368E-2</v>
      </c>
      <c r="L76" s="80"/>
      <c r="M76" s="80">
        <f>AVERAGE(M66:M74)</f>
        <v>4.004138926168761E-4</v>
      </c>
      <c r="N76" s="80">
        <f>AVERAGE(N66:N74)</f>
        <v>3.790151583812916E-2</v>
      </c>
      <c r="O76" s="80"/>
      <c r="P76" s="80"/>
      <c r="Q76" s="80"/>
      <c r="R76" s="187">
        <f>'Parameters, country spec'!G31</f>
        <v>0.06</v>
      </c>
    </row>
    <row r="77" spans="1:18" x14ac:dyDescent="0.2">
      <c r="A77" s="185"/>
      <c r="B77" s="25" t="s">
        <v>314</v>
      </c>
      <c r="C77" s="26"/>
      <c r="D77" s="102"/>
      <c r="E77" s="102"/>
      <c r="F77" s="27">
        <f>SUMPRODUCT(F66:F76,$R$66:$R$76)</f>
        <v>0.30803668099896614</v>
      </c>
      <c r="G77" s="27">
        <f>SUMPRODUCT(G66:G76,$R$66:$R$76)</f>
        <v>4.0714371174746189E-2</v>
      </c>
      <c r="H77" s="199">
        <f>SUMPRODUCT(H66:H76,$R$66:$R$76)</f>
        <v>2.4883296888141296E-2</v>
      </c>
      <c r="I77" s="27">
        <f>SUMPRODUCT(I66:I76,$R$66:$R$76)</f>
        <v>0</v>
      </c>
      <c r="J77" s="27"/>
      <c r="K77" s="27">
        <f>SUMPRODUCT(K66:K76,$R$66:$R$76)</f>
        <v>2.7615511339322458E-2</v>
      </c>
      <c r="L77" s="27"/>
      <c r="M77" s="27">
        <f>SUMPRODUCT(M66:M76,$R$66:$R$76)</f>
        <v>5.9250264899526016E-4</v>
      </c>
      <c r="N77" s="27">
        <f>SUMPRODUCT(N66:N76,$R$66:$R$76)</f>
        <v>3.6670289719355813E-2</v>
      </c>
      <c r="O77" s="27">
        <f>SUMPRODUCT(O66:O76,$R$66:$R$76)</f>
        <v>9.4908812768455766E-2</v>
      </c>
      <c r="P77" s="199">
        <f>SUMPRODUCT(P66:P76,R66:R76)</f>
        <v>1.0475896459949376E-2</v>
      </c>
      <c r="Q77" s="199">
        <f>SUMPRODUCT(Q66:Q76,$R$66:$R$76)</f>
        <v>7.2176000000000004E-2</v>
      </c>
      <c r="R77" s="301"/>
    </row>
    <row r="78" spans="1:18" x14ac:dyDescent="0.2">
      <c r="A78" s="22" t="s">
        <v>299</v>
      </c>
      <c r="B78" s="17" t="s">
        <v>198</v>
      </c>
      <c r="C78" s="17" t="s">
        <v>300</v>
      </c>
      <c r="D78" s="23" t="s">
        <v>59</v>
      </c>
      <c r="E78" s="23" t="s">
        <v>60</v>
      </c>
      <c r="F78" s="116">
        <f t="shared" ref="F78:F88" si="8">SUM(G78:Q78)</f>
        <v>0.21010835271971048</v>
      </c>
      <c r="G78" s="79">
        <v>7.7894511100415106E-2</v>
      </c>
      <c r="H78" s="16">
        <v>2.7E-2</v>
      </c>
      <c r="I78" s="16">
        <v>0</v>
      </c>
      <c r="J78" s="14"/>
      <c r="K78" s="79">
        <v>4.6073379627412502E-2</v>
      </c>
      <c r="L78" s="14">
        <v>0</v>
      </c>
      <c r="M78" s="14">
        <v>0</v>
      </c>
      <c r="N78" s="79">
        <v>4.0589126687164002E-2</v>
      </c>
      <c r="O78" s="14">
        <v>1.8551335304718902E-2</v>
      </c>
      <c r="P78" s="16"/>
      <c r="R78" s="187">
        <f>'Parameters, country spec'!H21</f>
        <v>6.9755357742184998E-2</v>
      </c>
    </row>
    <row r="79" spans="1:18" x14ac:dyDescent="0.2">
      <c r="A79" s="22" t="s">
        <v>301</v>
      </c>
      <c r="B79" s="17" t="s">
        <v>201</v>
      </c>
      <c r="C79" s="17" t="s">
        <v>300</v>
      </c>
      <c r="D79" s="23" t="s">
        <v>59</v>
      </c>
      <c r="E79" s="23" t="s">
        <v>60</v>
      </c>
      <c r="F79" s="116">
        <f t="shared" si="8"/>
        <v>0.13129895998357821</v>
      </c>
      <c r="G79" s="79">
        <v>4.51070489112637E-2</v>
      </c>
      <c r="H79" s="16">
        <v>2.7E-2</v>
      </c>
      <c r="I79" s="16">
        <v>0</v>
      </c>
      <c r="J79" s="14"/>
      <c r="K79" s="79">
        <v>1.5833253348974698E-2</v>
      </c>
      <c r="L79" s="14">
        <v>0</v>
      </c>
      <c r="M79" s="14">
        <v>2.7675134446790901E-3</v>
      </c>
      <c r="N79" s="79">
        <v>4.0589126687164002E-2</v>
      </c>
      <c r="O79" s="14">
        <v>2.01759149672033E-6</v>
      </c>
      <c r="P79" s="16"/>
      <c r="R79" s="187">
        <f>'Parameters, country spec'!H22</f>
        <v>0.45612129266564322</v>
      </c>
    </row>
    <row r="80" spans="1:18" x14ac:dyDescent="0.2">
      <c r="A80" s="22" t="s">
        <v>302</v>
      </c>
      <c r="B80" s="17" t="s">
        <v>204</v>
      </c>
      <c r="C80" s="17" t="s">
        <v>300</v>
      </c>
      <c r="D80" s="23" t="s">
        <v>59</v>
      </c>
      <c r="E80" s="23" t="s">
        <v>60</v>
      </c>
      <c r="F80" s="116">
        <f t="shared" si="8"/>
        <v>0.25293210451323705</v>
      </c>
      <c r="G80" s="79">
        <v>0.104941269604442</v>
      </c>
      <c r="H80" s="16">
        <v>2.7E-2</v>
      </c>
      <c r="I80" s="16">
        <v>0</v>
      </c>
      <c r="J80" s="14"/>
      <c r="K80" s="79">
        <v>7.8306768726079806E-2</v>
      </c>
      <c r="L80" s="14">
        <v>0</v>
      </c>
      <c r="M80" s="14">
        <v>0</v>
      </c>
      <c r="N80" s="79">
        <v>4.0589126687164002E-2</v>
      </c>
      <c r="O80" s="14">
        <v>2.0949394955512199E-3</v>
      </c>
      <c r="P80" s="16"/>
      <c r="R80" s="187">
        <f>'Parameters, country spec'!H23</f>
        <v>1.448634181078594E-2</v>
      </c>
    </row>
    <row r="81" spans="1:18" x14ac:dyDescent="0.2">
      <c r="A81" s="22" t="s">
        <v>303</v>
      </c>
      <c r="B81" s="17" t="s">
        <v>205</v>
      </c>
      <c r="C81" s="17" t="s">
        <v>300</v>
      </c>
      <c r="D81" s="23" t="s">
        <v>59</v>
      </c>
      <c r="E81" s="23" t="s">
        <v>60</v>
      </c>
      <c r="F81" s="116">
        <f t="shared" si="8"/>
        <v>0.23098021053624562</v>
      </c>
      <c r="G81" s="79">
        <v>0.10252301427971</v>
      </c>
      <c r="H81" s="16">
        <v>2.7E-2</v>
      </c>
      <c r="I81" s="14">
        <v>0</v>
      </c>
      <c r="J81" s="14"/>
      <c r="K81" s="79">
        <v>6.0000014967912497E-2</v>
      </c>
      <c r="L81" s="14">
        <v>0</v>
      </c>
      <c r="M81" s="14">
        <v>8.5266518907149398E-4</v>
      </c>
      <c r="N81" s="79">
        <v>4.0589126687164002E-2</v>
      </c>
      <c r="O81" s="14">
        <v>1.5389412387661699E-5</v>
      </c>
      <c r="P81" s="16"/>
      <c r="R81" s="187">
        <f>'Parameters, country spec'!H24</f>
        <v>1.154218810875446E-3</v>
      </c>
    </row>
    <row r="82" spans="1:18" x14ac:dyDescent="0.2">
      <c r="A82" s="22" t="s">
        <v>304</v>
      </c>
      <c r="B82" s="17" t="s">
        <v>206</v>
      </c>
      <c r="C82" s="17" t="s">
        <v>300</v>
      </c>
      <c r="D82" s="23" t="s">
        <v>59</v>
      </c>
      <c r="E82" s="23" t="s">
        <v>60</v>
      </c>
      <c r="F82" s="116">
        <f t="shared" si="8"/>
        <v>0.25729159901647192</v>
      </c>
      <c r="G82" s="79">
        <v>0.137735454905831</v>
      </c>
      <c r="H82" s="16">
        <v>2.7E-2</v>
      </c>
      <c r="I82" s="14">
        <v>0</v>
      </c>
      <c r="J82" s="14"/>
      <c r="K82" s="79">
        <v>5.0052455127204597E-2</v>
      </c>
      <c r="L82" s="14">
        <v>0</v>
      </c>
      <c r="M82" s="14">
        <v>6.8496619331236098E-4</v>
      </c>
      <c r="N82" s="79">
        <v>4.0589126687164002E-2</v>
      </c>
      <c r="O82" s="14">
        <v>1.2295961029599499E-3</v>
      </c>
      <c r="P82" s="16"/>
      <c r="R82" s="187">
        <f>'Parameters, country spec'!H25</f>
        <v>6.607302843520492E-2</v>
      </c>
    </row>
    <row r="83" spans="1:18" x14ac:dyDescent="0.2">
      <c r="A83" s="22" t="s">
        <v>305</v>
      </c>
      <c r="B83" s="17" t="s">
        <v>207</v>
      </c>
      <c r="C83" s="17" t="s">
        <v>306</v>
      </c>
      <c r="D83" s="23" t="s">
        <v>59</v>
      </c>
      <c r="E83" s="23" t="s">
        <v>60</v>
      </c>
      <c r="F83" s="116">
        <f t="shared" si="8"/>
        <v>0.27382788366606919</v>
      </c>
      <c r="G83" s="79">
        <v>0</v>
      </c>
      <c r="H83" s="16">
        <v>2.7E-2</v>
      </c>
      <c r="I83" s="16">
        <v>0</v>
      </c>
      <c r="J83" s="14"/>
      <c r="K83" s="79">
        <v>6.2984260482655693E-2</v>
      </c>
      <c r="L83" s="16">
        <v>0</v>
      </c>
      <c r="M83" s="14">
        <v>1.02082282460499E-4</v>
      </c>
      <c r="N83" s="79">
        <v>4.0589126687164002E-2</v>
      </c>
      <c r="O83" s="14">
        <v>0.14315241421378899</v>
      </c>
      <c r="P83" s="16"/>
      <c r="R83" s="187">
        <f>'Parameters, country spec'!H26</f>
        <v>2.8132125343424521E-3</v>
      </c>
    </row>
    <row r="84" spans="1:18" x14ac:dyDescent="0.2">
      <c r="A84" s="22" t="s">
        <v>307</v>
      </c>
      <c r="B84" s="17" t="s">
        <v>208</v>
      </c>
      <c r="C84" s="17" t="s">
        <v>306</v>
      </c>
      <c r="D84" s="23" t="s">
        <v>59</v>
      </c>
      <c r="E84" s="23" t="s">
        <v>60</v>
      </c>
      <c r="F84" s="116">
        <f t="shared" si="8"/>
        <v>0.42216039934343069</v>
      </c>
      <c r="G84" s="79">
        <v>3.5018880441687302E-3</v>
      </c>
      <c r="H84" s="16">
        <v>2.7E-2</v>
      </c>
      <c r="I84" s="16">
        <v>0</v>
      </c>
      <c r="J84" s="14"/>
      <c r="K84" s="79">
        <v>8.9239015209009995E-2</v>
      </c>
      <c r="L84" s="14">
        <v>0</v>
      </c>
      <c r="M84" s="14">
        <v>1.4196643495394999E-4</v>
      </c>
      <c r="N84" s="79">
        <v>4.0589126687164002E-2</v>
      </c>
      <c r="O84" s="14">
        <v>0.261688402968134</v>
      </c>
      <c r="P84" s="16"/>
      <c r="R84" s="187">
        <f>'Parameters, country spec'!H27</f>
        <v>2.763501773404974E-3</v>
      </c>
    </row>
    <row r="85" spans="1:18" x14ac:dyDescent="0.2">
      <c r="B85" s="18" t="s">
        <v>209</v>
      </c>
      <c r="C85" s="17" t="s">
        <v>308</v>
      </c>
      <c r="D85" s="23" t="str">
        <f>'Off-farm feed'!$D$74</f>
        <v>France, Germany, Poland</v>
      </c>
      <c r="E85" s="23"/>
      <c r="F85" s="116">
        <f t="shared" si="8"/>
        <v>0.27085685084992916</v>
      </c>
      <c r="G85" s="210">
        <f>'Off-farm feed'!$F$74</f>
        <v>0.11176753125767681</v>
      </c>
      <c r="H85" s="210">
        <f>'Off-farm feed'!$G$74</f>
        <v>1.3034482758620692E-2</v>
      </c>
      <c r="I85" s="210">
        <f>'Off-farm feed'!$H$74</f>
        <v>0</v>
      </c>
      <c r="J85" s="210">
        <f>'Off-farm feed'!$I$74</f>
        <v>0</v>
      </c>
      <c r="K85" s="210">
        <f>'Off-farm feed'!$J$74</f>
        <v>2.4688740026345454E-2</v>
      </c>
      <c r="L85" s="210">
        <f>'Off-farm feed'!$K$74</f>
        <v>0</v>
      </c>
      <c r="M85" s="210">
        <f>'Off-farm feed'!$L$74</f>
        <v>1.931759303794134E-4</v>
      </c>
      <c r="N85" s="210">
        <f>'Off-farm feed'!$M$74</f>
        <v>3.6802128767029069E-2</v>
      </c>
      <c r="O85" s="210">
        <f>'Off-farm feed'!$N$74</f>
        <v>0</v>
      </c>
      <c r="P85" s="210">
        <f>'Off-farm feed'!$O$74</f>
        <v>2.1170792109877701E-2</v>
      </c>
      <c r="Q85" s="210">
        <f>'Off-farm feed'!$P$74</f>
        <v>6.3200000000000006E-2</v>
      </c>
      <c r="R85" s="187">
        <f>'Parameters, country spec'!H28</f>
        <v>4.7386628229038642E-3</v>
      </c>
    </row>
    <row r="86" spans="1:18" x14ac:dyDescent="0.2">
      <c r="B86" s="18" t="s">
        <v>309</v>
      </c>
      <c r="C86" s="17" t="s">
        <v>308</v>
      </c>
      <c r="D86" s="23" t="str">
        <f>'Off-farm feed'!$D$23</f>
        <v>Brazil, Argentina</v>
      </c>
      <c r="E86" s="23"/>
      <c r="F86" s="116">
        <f t="shared" si="8"/>
        <v>0.70611717059976009</v>
      </c>
      <c r="G86" s="210">
        <f>'Off-farm feed'!$F$23</f>
        <v>7.2632670993098914E-3</v>
      </c>
      <c r="H86" s="210">
        <f>'Off-farm feed'!$G$23</f>
        <v>2.1402439024390246E-2</v>
      </c>
      <c r="I86" s="210">
        <f>'Off-farm feed'!$H$23</f>
        <v>0</v>
      </c>
      <c r="J86" s="210">
        <f>'Off-farm feed'!$I$23</f>
        <v>0</v>
      </c>
      <c r="K86" s="210">
        <f>'Off-farm feed'!$J$23</f>
        <v>4.3083619664332343E-2</v>
      </c>
      <c r="L86" s="210">
        <f>'Off-farm feed'!$K$23</f>
        <v>0</v>
      </c>
      <c r="M86" s="210">
        <f>'Off-farm feed'!$L$23</f>
        <v>1.7842060425123844E-4</v>
      </c>
      <c r="N86" s="210">
        <f>'Off-farm feed'!$M$23</f>
        <v>3.0432604948959403E-2</v>
      </c>
      <c r="O86" s="210">
        <f>'Off-farm feed'!$N$23</f>
        <v>0.31761120248475611</v>
      </c>
      <c r="P86" s="210">
        <f>'Off-farm feed'!$O$23</f>
        <v>3.5145616773760872E-2</v>
      </c>
      <c r="Q86" s="210">
        <f>'Off-farm feed'!$P$23</f>
        <v>0.251</v>
      </c>
      <c r="R86" s="187">
        <f>'Parameters, country spec'!H29</f>
        <v>0.1169921159057515</v>
      </c>
    </row>
    <row r="87" spans="1:18" x14ac:dyDescent="0.2">
      <c r="B87" s="17" t="s">
        <v>213</v>
      </c>
      <c r="C87" s="17" t="s">
        <v>310</v>
      </c>
      <c r="D87" s="23" t="s">
        <v>59</v>
      </c>
      <c r="E87" s="23" t="s">
        <v>60</v>
      </c>
      <c r="F87" s="116">
        <f t="shared" si="8"/>
        <v>0.48727386522204608</v>
      </c>
      <c r="G87" s="79">
        <v>1.23961909415248E-2</v>
      </c>
      <c r="H87" s="16">
        <v>2.4299999999999999E-3</v>
      </c>
      <c r="K87" s="16">
        <v>4.5047209614484203E-3</v>
      </c>
      <c r="L87">
        <v>0</v>
      </c>
      <c r="M87">
        <v>6.1646957398112502E-5</v>
      </c>
      <c r="N87">
        <v>3.6530214018447599E-3</v>
      </c>
      <c r="O87">
        <v>1.10663649266396E-4</v>
      </c>
      <c r="P87" s="16">
        <v>0.429390280461106</v>
      </c>
      <c r="Q87" s="16">
        <v>3.4727340849457597E-2</v>
      </c>
      <c r="R87" s="187">
        <f>'Parameters, country spec'!H30</f>
        <v>0.1235041146996869</v>
      </c>
    </row>
    <row r="88" spans="1:18" x14ac:dyDescent="0.2">
      <c r="A88" s="82"/>
      <c r="B88" s="17" t="s">
        <v>312</v>
      </c>
      <c r="C88" s="83" t="s">
        <v>313</v>
      </c>
      <c r="D88" s="23" t="s">
        <v>59</v>
      </c>
      <c r="E88" s="23" t="s">
        <v>60</v>
      </c>
      <c r="F88" s="116">
        <f t="shared" si="8"/>
        <v>0.1823013138634445</v>
      </c>
      <c r="G88" s="80">
        <f>AVERAGE(G78:G86)</f>
        <v>6.5637109466979704E-2</v>
      </c>
      <c r="H88" s="80">
        <f>AVERAGE(H78:H86)</f>
        <v>2.4826324642556769E-2</v>
      </c>
      <c r="I88" s="80">
        <f>AVERAGE(I78:I86)</f>
        <v>0</v>
      </c>
      <c r="J88" s="80"/>
      <c r="K88" s="80">
        <f>AVERAGE(K78:K86)</f>
        <v>5.2251278575547511E-2</v>
      </c>
      <c r="L88" s="80"/>
      <c r="M88" s="80">
        <f>AVERAGE(M78:M86)</f>
        <v>5.4675445323422748E-4</v>
      </c>
      <c r="N88" s="80">
        <f>AVERAGE(N78:N86)</f>
        <v>3.9039846725126268E-2</v>
      </c>
      <c r="O88" s="80"/>
      <c r="P88" s="80"/>
      <c r="Q88" s="80"/>
      <c r="R88" s="187">
        <f>'Parameters, country spec'!H31</f>
        <v>0.14159815279921581</v>
      </c>
    </row>
    <row r="89" spans="1:18" x14ac:dyDescent="0.2">
      <c r="A89" s="185"/>
      <c r="B89" s="25" t="s">
        <v>314</v>
      </c>
      <c r="C89" s="26"/>
      <c r="D89" s="102"/>
      <c r="E89" s="102"/>
      <c r="F89" s="27">
        <f>SUMPRODUCT(F78:F88,$R$78:$R$88)</f>
        <v>0.26729960726335039</v>
      </c>
      <c r="G89" s="27">
        <f>SUMPRODUCT(G78:G88,$R$78:$R$88)</f>
        <v>4.8961117816227251E-2</v>
      </c>
      <c r="H89" s="199">
        <f>SUMPRODUCT(H78:H88,$R$78:$R$88)</f>
        <v>2.2936667106627163E-2</v>
      </c>
      <c r="I89" s="27">
        <f>SUMPRODUCT(I78:I88,$R$78:$R$88)</f>
        <v>0</v>
      </c>
      <c r="J89" s="27"/>
      <c r="K89" s="27">
        <f>SUMPRODUCT(K78:K88,$R$78:$R$88)</f>
        <v>2.8482769947369906E-2</v>
      </c>
      <c r="L89" s="27"/>
      <c r="M89" s="27">
        <f>SUMPRODUCT(M78:M88,$R$78:$R$88)</f>
        <v>1.4160655395985705E-3</v>
      </c>
      <c r="N89" s="27">
        <f>SUMPRODUCT(N78:N88,$R$78:$R$88)</f>
        <v>3.4601812248002968E-2</v>
      </c>
      <c r="O89" s="27">
        <f>SUMPRODUCT(O78:O88,$R$78:$R$88)</f>
        <v>3.9704152769610222E-2</v>
      </c>
      <c r="P89" s="199">
        <f>SUMPRODUCT(P78:P88,R78:R88)</f>
        <v>5.7243547765676625E-2</v>
      </c>
      <c r="Q89" s="199">
        <f>SUMPRODUCT(Q78:Q88,$R$78:$R$88)</f>
        <v>3.3953474070237681E-2</v>
      </c>
      <c r="R89" s="301"/>
    </row>
    <row r="90" spans="1:18" x14ac:dyDescent="0.2">
      <c r="A90" s="22" t="s">
        <v>299</v>
      </c>
      <c r="B90" s="17" t="s">
        <v>198</v>
      </c>
      <c r="C90" s="17" t="s">
        <v>300</v>
      </c>
      <c r="D90" s="23" t="s">
        <v>90</v>
      </c>
      <c r="E90" s="23" t="s">
        <v>62</v>
      </c>
      <c r="F90" s="116">
        <f t="shared" ref="F90:F100" si="9">SUM(G90:Q90)</f>
        <v>0.1431111373616365</v>
      </c>
      <c r="G90" s="79">
        <v>4.4406099320232699E-2</v>
      </c>
      <c r="H90" s="16">
        <v>2.7E-2</v>
      </c>
      <c r="I90" s="16">
        <v>0</v>
      </c>
      <c r="J90" s="14"/>
      <c r="K90" s="79">
        <v>2.8739432176656199E-2</v>
      </c>
      <c r="L90" s="14">
        <v>0</v>
      </c>
      <c r="M90" s="14">
        <v>1.36800051961635E-6</v>
      </c>
      <c r="N90" s="79">
        <v>4.2964237864227997E-2</v>
      </c>
      <c r="O90" s="14">
        <v>0</v>
      </c>
      <c r="P90" s="16"/>
      <c r="R90" s="187">
        <f>'Parameters, country spec'!I21</f>
        <v>6.5976692624369268E-2</v>
      </c>
    </row>
    <row r="91" spans="1:18" x14ac:dyDescent="0.2">
      <c r="A91" s="22" t="s">
        <v>301</v>
      </c>
      <c r="B91" s="17" t="s">
        <v>201</v>
      </c>
      <c r="C91" s="17" t="s">
        <v>300</v>
      </c>
      <c r="D91" s="23" t="s">
        <v>90</v>
      </c>
      <c r="E91" s="23" t="s">
        <v>62</v>
      </c>
      <c r="F91" s="116">
        <f t="shared" si="9"/>
        <v>0.13349668018929536</v>
      </c>
      <c r="G91" s="79">
        <v>4.5357172887487598E-2</v>
      </c>
      <c r="H91" s="16">
        <v>2.7E-2</v>
      </c>
      <c r="I91" s="16">
        <v>0</v>
      </c>
      <c r="J91" s="14"/>
      <c r="K91" s="79">
        <v>1.7420638404206799E-2</v>
      </c>
      <c r="L91" s="14">
        <v>0</v>
      </c>
      <c r="M91" s="14">
        <v>7.5463103337298197E-4</v>
      </c>
      <c r="N91" s="79">
        <v>4.2964237864227997E-2</v>
      </c>
      <c r="O91" s="14">
        <v>0</v>
      </c>
      <c r="P91" s="16"/>
      <c r="R91" s="187">
        <f>'Parameters, country spec'!I22</f>
        <v>0.1981410733338565</v>
      </c>
    </row>
    <row r="92" spans="1:18" x14ac:dyDescent="0.2">
      <c r="A92" s="22" t="s">
        <v>302</v>
      </c>
      <c r="B92" s="17" t="s">
        <v>204</v>
      </c>
      <c r="C92" s="17" t="s">
        <v>300</v>
      </c>
      <c r="D92" s="23" t="s">
        <v>90</v>
      </c>
      <c r="E92" s="23" t="s">
        <v>62</v>
      </c>
      <c r="F92" s="116">
        <f t="shared" si="9"/>
        <v>0.15534923816677168</v>
      </c>
      <c r="G92" s="79">
        <v>4.6682126200482899E-2</v>
      </c>
      <c r="H92" s="16">
        <v>2.7E-2</v>
      </c>
      <c r="I92" s="16">
        <v>0</v>
      </c>
      <c r="J92" s="14"/>
      <c r="K92" s="79">
        <v>3.8115003201796303E-2</v>
      </c>
      <c r="L92" s="14">
        <v>0</v>
      </c>
      <c r="M92" s="14">
        <v>5.8787090026448405E-4</v>
      </c>
      <c r="N92" s="79">
        <v>4.2964237864227997E-2</v>
      </c>
      <c r="O92" s="14">
        <v>0</v>
      </c>
      <c r="P92" s="16"/>
      <c r="R92" s="187">
        <f>'Parameters, country spec'!I23</f>
        <v>2.1671841623166059E-3</v>
      </c>
    </row>
    <row r="93" spans="1:18" x14ac:dyDescent="0.2">
      <c r="A93" s="22" t="s">
        <v>303</v>
      </c>
      <c r="B93" s="17" t="s">
        <v>205</v>
      </c>
      <c r="C93" s="17" t="s">
        <v>300</v>
      </c>
      <c r="D93" s="23" t="s">
        <v>90</v>
      </c>
      <c r="E93" s="23" t="s">
        <v>62</v>
      </c>
      <c r="F93" s="116">
        <f t="shared" si="9"/>
        <v>0.20760760089613001</v>
      </c>
      <c r="G93" s="79">
        <v>8.3910600877136393E-2</v>
      </c>
      <c r="H93" s="16">
        <v>2.7E-2</v>
      </c>
      <c r="I93" s="14">
        <v>0</v>
      </c>
      <c r="J93" s="14"/>
      <c r="K93" s="79">
        <v>5.37327621547656E-2</v>
      </c>
      <c r="L93" s="14">
        <v>0</v>
      </c>
      <c r="M93" s="14">
        <v>0</v>
      </c>
      <c r="N93" s="79">
        <v>4.2964237864227997E-2</v>
      </c>
      <c r="O93" s="14">
        <v>0</v>
      </c>
      <c r="P93" s="16"/>
      <c r="R93" s="187">
        <f>'Parameters, country spec'!I24</f>
        <v>8.1550834411767848E-3</v>
      </c>
    </row>
    <row r="94" spans="1:18" x14ac:dyDescent="0.2">
      <c r="A94" s="22" t="s">
        <v>304</v>
      </c>
      <c r="B94" s="17" t="s">
        <v>206</v>
      </c>
      <c r="C94" s="17" t="s">
        <v>300</v>
      </c>
      <c r="D94" s="23" t="s">
        <v>90</v>
      </c>
      <c r="E94" s="23" t="s">
        <v>62</v>
      </c>
      <c r="F94" s="116">
        <f t="shared" si="9"/>
        <v>0.15163483331060859</v>
      </c>
      <c r="G94" s="79">
        <v>5.8435336021816997E-2</v>
      </c>
      <c r="H94" s="16">
        <v>2.7E-2</v>
      </c>
      <c r="I94" s="14">
        <v>0</v>
      </c>
      <c r="J94" s="14"/>
      <c r="K94" s="79">
        <v>2.3235259424563601E-2</v>
      </c>
      <c r="L94" s="14">
        <v>0</v>
      </c>
      <c r="M94" s="14">
        <v>0</v>
      </c>
      <c r="N94" s="79">
        <v>4.2964237864227997E-2</v>
      </c>
      <c r="O94" s="14">
        <v>0</v>
      </c>
      <c r="P94" s="16"/>
      <c r="R94" s="187">
        <f>'Parameters, country spec'!I25</f>
        <v>0.22324493125110029</v>
      </c>
    </row>
    <row r="95" spans="1:18" x14ac:dyDescent="0.2">
      <c r="A95" s="22" t="s">
        <v>305</v>
      </c>
      <c r="B95" s="17" t="s">
        <v>207</v>
      </c>
      <c r="C95" s="17" t="s">
        <v>306</v>
      </c>
      <c r="D95" s="23" t="s">
        <v>90</v>
      </c>
      <c r="E95" s="23" t="s">
        <v>62</v>
      </c>
      <c r="F95" s="116">
        <f t="shared" si="9"/>
        <v>0.14636810260852107</v>
      </c>
      <c r="G95" s="79">
        <v>0</v>
      </c>
      <c r="H95" s="16">
        <v>2.7E-2</v>
      </c>
      <c r="I95" s="16">
        <v>0</v>
      </c>
      <c r="J95" s="14"/>
      <c r="K95" s="79">
        <v>5.9912817690818299E-2</v>
      </c>
      <c r="L95" s="16">
        <v>0</v>
      </c>
      <c r="M95" s="14">
        <v>4.6529167754077701E-3</v>
      </c>
      <c r="N95" s="79">
        <v>3.4771853907349999E-2</v>
      </c>
      <c r="O95" s="14">
        <v>2.0030514234945E-2</v>
      </c>
      <c r="P95" s="16"/>
      <c r="R95" s="187">
        <f>'Parameters, country spec'!I26</f>
        <v>0</v>
      </c>
    </row>
    <row r="96" spans="1:18" x14ac:dyDescent="0.2">
      <c r="A96" s="22" t="s">
        <v>307</v>
      </c>
      <c r="B96" s="17" t="s">
        <v>208</v>
      </c>
      <c r="C96" s="17" t="s">
        <v>306</v>
      </c>
      <c r="D96" s="23" t="s">
        <v>90</v>
      </c>
      <c r="E96" s="23" t="s">
        <v>62</v>
      </c>
      <c r="F96" s="116">
        <f t="shared" si="9"/>
        <v>0.12189748854700576</v>
      </c>
      <c r="G96" s="79">
        <v>1.7980343901417999E-3</v>
      </c>
      <c r="H96" s="16">
        <v>2.7E-2</v>
      </c>
      <c r="I96" s="16">
        <v>0</v>
      </c>
      <c r="J96" s="14"/>
      <c r="K96" s="79">
        <v>5.0135211150169098E-2</v>
      </c>
      <c r="L96" s="14">
        <v>0</v>
      </c>
      <c r="M96" s="14">
        <v>5.1424668685509601E-9</v>
      </c>
      <c r="N96" s="79">
        <v>4.2964237864227997E-2</v>
      </c>
      <c r="O96" s="14">
        <v>0</v>
      </c>
      <c r="P96" s="16"/>
      <c r="R96" s="187">
        <f>'Parameters, country spec'!I27</f>
        <v>0</v>
      </c>
    </row>
    <row r="97" spans="1:19" x14ac:dyDescent="0.2">
      <c r="B97" s="18" t="s">
        <v>209</v>
      </c>
      <c r="C97" s="17" t="s">
        <v>308</v>
      </c>
      <c r="D97" s="23" t="str">
        <f>'Off-farm feed'!$D$74</f>
        <v>France, Germany, Poland</v>
      </c>
      <c r="E97" s="23"/>
      <c r="F97" s="116">
        <f t="shared" si="9"/>
        <v>0.27085685084992916</v>
      </c>
      <c r="G97" s="210">
        <f>'Off-farm feed'!$F$74</f>
        <v>0.11176753125767681</v>
      </c>
      <c r="H97" s="210">
        <f>'Off-farm feed'!$G$74</f>
        <v>1.3034482758620692E-2</v>
      </c>
      <c r="I97" s="210">
        <f>'Off-farm feed'!$H$74</f>
        <v>0</v>
      </c>
      <c r="J97" s="210">
        <f>'Off-farm feed'!$I$74</f>
        <v>0</v>
      </c>
      <c r="K97" s="210">
        <f>'Off-farm feed'!$J$74</f>
        <v>2.4688740026345454E-2</v>
      </c>
      <c r="L97" s="210">
        <f>'Off-farm feed'!$K$74</f>
        <v>0</v>
      </c>
      <c r="M97" s="210">
        <f>'Off-farm feed'!$L$74</f>
        <v>1.931759303794134E-4</v>
      </c>
      <c r="N97" s="210">
        <f>'Off-farm feed'!$M$74</f>
        <v>3.6802128767029069E-2</v>
      </c>
      <c r="O97" s="210">
        <f>'Off-farm feed'!$N$74</f>
        <v>0</v>
      </c>
      <c r="P97" s="210">
        <f>'Off-farm feed'!$O$74</f>
        <v>2.1170792109877701E-2</v>
      </c>
      <c r="Q97" s="210">
        <f>'Off-farm feed'!$P$74</f>
        <v>6.3200000000000006E-2</v>
      </c>
      <c r="R97" s="187">
        <f>'Parameters, country spec'!I28</f>
        <v>0.12320054874364431</v>
      </c>
    </row>
    <row r="98" spans="1:19" x14ac:dyDescent="0.2">
      <c r="B98" s="18" t="s">
        <v>309</v>
      </c>
      <c r="C98" s="17" t="s">
        <v>308</v>
      </c>
      <c r="D98" s="23" t="str">
        <f>'Off-farm feed'!$D$23</f>
        <v>Brazil, Argentina</v>
      </c>
      <c r="E98" s="23"/>
      <c r="F98" s="116">
        <f t="shared" si="9"/>
        <v>0.70611717059976009</v>
      </c>
      <c r="G98" s="210">
        <f>'Off-farm feed'!$F$23</f>
        <v>7.2632670993098914E-3</v>
      </c>
      <c r="H98" s="210">
        <f>'Off-farm feed'!$G$23</f>
        <v>2.1402439024390246E-2</v>
      </c>
      <c r="I98" s="210">
        <f>'Off-farm feed'!$H$23</f>
        <v>0</v>
      </c>
      <c r="J98" s="210">
        <f>'Off-farm feed'!$I$23</f>
        <v>0</v>
      </c>
      <c r="K98" s="210">
        <f>'Off-farm feed'!$J$23</f>
        <v>4.3083619664332343E-2</v>
      </c>
      <c r="L98" s="210">
        <f>'Off-farm feed'!$K$23</f>
        <v>0</v>
      </c>
      <c r="M98" s="210">
        <f>'Off-farm feed'!$L$23</f>
        <v>1.7842060425123844E-4</v>
      </c>
      <c r="N98" s="210">
        <f>'Off-farm feed'!$M$23</f>
        <v>3.0432604948959403E-2</v>
      </c>
      <c r="O98" s="210">
        <f>'Off-farm feed'!$N$23</f>
        <v>0.31761120248475611</v>
      </c>
      <c r="P98" s="210">
        <f>'Off-farm feed'!$O$23</f>
        <v>3.5145616773760872E-2</v>
      </c>
      <c r="Q98" s="210">
        <f>'Off-farm feed'!$P$23</f>
        <v>0.251</v>
      </c>
      <c r="R98" s="187">
        <f>'Parameters, country spec'!I29</f>
        <v>0.15910748774892911</v>
      </c>
    </row>
    <row r="99" spans="1:19" x14ac:dyDescent="0.2">
      <c r="B99" s="17" t="s">
        <v>213</v>
      </c>
      <c r="C99" s="17" t="s">
        <v>310</v>
      </c>
      <c r="D99" s="23" t="s">
        <v>90</v>
      </c>
      <c r="E99" s="23" t="s">
        <v>62</v>
      </c>
      <c r="F99" s="116">
        <f t="shared" si="9"/>
        <v>0.55092795580500509</v>
      </c>
      <c r="G99" s="79">
        <v>5.2591802419635304E-3</v>
      </c>
      <c r="H99" s="16">
        <v>2.4299999999999999E-3</v>
      </c>
      <c r="I99" s="16"/>
      <c r="J99" s="14"/>
      <c r="K99" s="79">
        <v>2.0911733482107302E-3</v>
      </c>
      <c r="L99" s="14">
        <v>0</v>
      </c>
      <c r="M99" s="14">
        <v>0</v>
      </c>
      <c r="N99" s="79">
        <v>3.86678140778052E-3</v>
      </c>
      <c r="O99" s="14">
        <v>0</v>
      </c>
      <c r="P99" s="16">
        <v>0.52550926010708199</v>
      </c>
      <c r="Q99" s="16">
        <v>1.1771560699968301E-2</v>
      </c>
      <c r="R99" s="187">
        <f>'Parameters, country spec'!I30</f>
        <v>1.7335418632101661E-2</v>
      </c>
      <c r="S99" t="s">
        <v>315</v>
      </c>
    </row>
    <row r="100" spans="1:19" x14ac:dyDescent="0.2">
      <c r="A100" s="82"/>
      <c r="B100" s="17" t="s">
        <v>312</v>
      </c>
      <c r="C100" s="83" t="s">
        <v>313</v>
      </c>
      <c r="D100" s="23" t="s">
        <v>90</v>
      </c>
      <c r="E100" s="23" t="s">
        <v>62</v>
      </c>
      <c r="F100" s="116">
        <f t="shared" si="9"/>
        <v>0.14758677521403538</v>
      </c>
      <c r="G100" s="80">
        <f>AVERAGE(G90:G98)</f>
        <v>4.4402240894920571E-2</v>
      </c>
      <c r="H100" s="80">
        <f>AVERAGE(H90:H98)</f>
        <v>2.4826324642556769E-2</v>
      </c>
      <c r="I100" s="80">
        <f>AVERAGE(I90:I98)</f>
        <v>0</v>
      </c>
      <c r="J100" s="80"/>
      <c r="K100" s="80">
        <f>AVERAGE(K90:K98)</f>
        <v>3.7673720432628191E-2</v>
      </c>
      <c r="L100" s="80"/>
      <c r="M100" s="80">
        <f>AVERAGE(M90:M98)</f>
        <v>7.0759870962915257E-4</v>
      </c>
      <c r="N100" s="80">
        <f>AVERAGE(N90:N98)</f>
        <v>3.9976890534300709E-2</v>
      </c>
      <c r="O100" s="80"/>
      <c r="P100" s="80"/>
      <c r="Q100" s="80"/>
      <c r="R100" s="187">
        <f>'Parameters, country spec'!I31</f>
        <v>0.20267158006250541</v>
      </c>
    </row>
    <row r="101" spans="1:19" x14ac:dyDescent="0.2">
      <c r="A101" s="185"/>
      <c r="B101" s="25" t="s">
        <v>314</v>
      </c>
      <c r="C101" s="26"/>
      <c r="D101" s="102"/>
      <c r="E101" s="102"/>
      <c r="F101" s="27">
        <f>SUMPRODUCT(F90:F100,$R$90:$R$100)</f>
        <v>0.2569550640798211</v>
      </c>
      <c r="G101" s="27">
        <f>SUMPRODUCT(G90:G100,$R$90:$R$100)</f>
        <v>4.9763449549291572E-2</v>
      </c>
      <c r="H101" s="199">
        <f>SUMPRODUCT(H90:H100,$R$90:$R$100)</f>
        <v>2.3522353292995842E-2</v>
      </c>
      <c r="I101" s="27">
        <f>SUMPRODUCT(I90:I100,$R$90:$R$100)</f>
        <v>0</v>
      </c>
      <c r="J101" s="27"/>
      <c r="K101" s="27">
        <f>SUMPRODUCT(K90:K100,$R$90:$R$100)</f>
        <v>2.8624064576804061E-2</v>
      </c>
      <c r="L101" s="27"/>
      <c r="M101" s="27">
        <f>SUMPRODUCT(M90:M100,$R$90:$R$100)</f>
        <v>3.4648526684049116E-4</v>
      </c>
      <c r="N101" s="27">
        <f>SUMPRODUCT(N90:N100,$R$90:$R$100)</f>
        <v>3.8927964832819954E-2</v>
      </c>
      <c r="O101" s="27">
        <f>SUMPRODUCT(O90:O100,$R$90:$R$100)</f>
        <v>5.0534320508265972E-2</v>
      </c>
      <c r="P101" s="199">
        <f>SUMPRODUCT(P90:P100,R90:R100)</f>
        <v>1.731010701453653E-2</v>
      </c>
      <c r="Q101" s="199">
        <f>SUMPRODUCT(Q90:Q100,$R$90:$R$100)</f>
        <v>4.7926319038266676E-2</v>
      </c>
      <c r="R101" s="301"/>
    </row>
    <row r="102" spans="1:19" x14ac:dyDescent="0.2">
      <c r="A102" s="22" t="s">
        <v>299</v>
      </c>
      <c r="B102" s="17" t="s">
        <v>198</v>
      </c>
      <c r="C102" s="17" t="s">
        <v>300</v>
      </c>
      <c r="D102" s="23" t="s">
        <v>63</v>
      </c>
      <c r="E102" s="23" t="s">
        <v>64</v>
      </c>
      <c r="F102" s="116">
        <f t="shared" ref="F102:F112" si="10">SUM(G102:Q102)</f>
        <v>0.19778401533184728</v>
      </c>
      <c r="G102" s="79">
        <v>6.6974674658077701E-2</v>
      </c>
      <c r="H102" s="16">
        <v>2.7E-2</v>
      </c>
      <c r="I102" s="16">
        <v>0</v>
      </c>
      <c r="J102" s="14"/>
      <c r="K102" s="79">
        <v>4.479189511323E-2</v>
      </c>
      <c r="L102" s="14">
        <v>0</v>
      </c>
      <c r="M102" s="14">
        <v>9.414416162111999E-10</v>
      </c>
      <c r="N102" s="79">
        <v>5.2538621212229998E-2</v>
      </c>
      <c r="O102" s="14">
        <v>6.4788234068679897E-3</v>
      </c>
      <c r="P102" s="16"/>
      <c r="R102" s="187">
        <f>'Parameters, country spec'!J21</f>
        <v>0.1699689878759473</v>
      </c>
    </row>
    <row r="103" spans="1:19" x14ac:dyDescent="0.2">
      <c r="A103" s="22" t="s">
        <v>301</v>
      </c>
      <c r="B103" s="17" t="s">
        <v>201</v>
      </c>
      <c r="C103" s="17" t="s">
        <v>300</v>
      </c>
      <c r="D103" s="23" t="s">
        <v>63</v>
      </c>
      <c r="E103" s="23" t="s">
        <v>64</v>
      </c>
      <c r="F103" s="116">
        <f t="shared" si="10"/>
        <v>0.21676807042422677</v>
      </c>
      <c r="G103" s="79">
        <v>5.6481038667633099E-2</v>
      </c>
      <c r="H103" s="16">
        <v>2.7E-2</v>
      </c>
      <c r="I103" s="16">
        <v>0</v>
      </c>
      <c r="J103" s="14"/>
      <c r="K103" s="79">
        <v>2.24168213846326E-2</v>
      </c>
      <c r="L103" s="14">
        <v>0</v>
      </c>
      <c r="M103" s="14">
        <v>7.8565565286555606E-5</v>
      </c>
      <c r="N103" s="79">
        <v>5.2538621212229998E-2</v>
      </c>
      <c r="O103" s="14">
        <v>5.8253023594444502E-2</v>
      </c>
      <c r="P103" s="16"/>
      <c r="R103" s="187">
        <f>'Parameters, country spec'!J22</f>
        <v>0.2328388503447609</v>
      </c>
    </row>
    <row r="104" spans="1:19" x14ac:dyDescent="0.2">
      <c r="A104" s="22" t="s">
        <v>302</v>
      </c>
      <c r="B104" s="17" t="s">
        <v>204</v>
      </c>
      <c r="C104" s="17" t="s">
        <v>300</v>
      </c>
      <c r="D104" s="23" t="s">
        <v>63</v>
      </c>
      <c r="E104" s="23" t="s">
        <v>64</v>
      </c>
      <c r="F104" s="116">
        <f t="shared" si="10"/>
        <v>0.22833778477683531</v>
      </c>
      <c r="G104" s="79">
        <v>6.9247588887104E-2</v>
      </c>
      <c r="H104" s="16">
        <v>2.7E-2</v>
      </c>
      <c r="I104" s="16">
        <v>0</v>
      </c>
      <c r="J104" s="14"/>
      <c r="K104" s="79">
        <v>5.84256101167712E-2</v>
      </c>
      <c r="L104" s="14">
        <v>0</v>
      </c>
      <c r="M104" s="14">
        <v>4.1031532346544501E-9</v>
      </c>
      <c r="N104" s="79">
        <v>5.2538621212229998E-2</v>
      </c>
      <c r="O104" s="14">
        <v>2.1125960457576899E-2</v>
      </c>
      <c r="P104" s="16"/>
      <c r="R104" s="187">
        <f>'Parameters, country spec'!J23</f>
        <v>5.0904696791723991E-3</v>
      </c>
    </row>
    <row r="105" spans="1:19" x14ac:dyDescent="0.2">
      <c r="A105" s="22" t="s">
        <v>303</v>
      </c>
      <c r="B105" s="17" t="s">
        <v>205</v>
      </c>
      <c r="C105" s="17" t="s">
        <v>300</v>
      </c>
      <c r="D105" s="23" t="s">
        <v>63</v>
      </c>
      <c r="E105" s="23" t="s">
        <v>64</v>
      </c>
      <c r="F105" s="116">
        <f t="shared" si="10"/>
        <v>0.22905734672402878</v>
      </c>
      <c r="G105" s="79">
        <v>8.4491992987339795E-2</v>
      </c>
      <c r="H105" s="16">
        <v>2.7E-2</v>
      </c>
      <c r="I105" s="14">
        <v>0</v>
      </c>
      <c r="J105" s="14"/>
      <c r="K105" s="79">
        <v>5.5910214328885599E-2</v>
      </c>
      <c r="L105" s="14">
        <v>0</v>
      </c>
      <c r="M105" s="14">
        <v>3.0569525446393402E-10</v>
      </c>
      <c r="N105" s="79">
        <v>5.2538621212229998E-2</v>
      </c>
      <c r="O105" s="14">
        <v>9.1165178898781202E-3</v>
      </c>
      <c r="P105" s="16"/>
      <c r="R105" s="187">
        <f>'Parameters, country spec'!J24</f>
        <v>6.6462863913214348E-2</v>
      </c>
    </row>
    <row r="106" spans="1:19" x14ac:dyDescent="0.2">
      <c r="A106" s="22" t="s">
        <v>304</v>
      </c>
      <c r="B106" s="17" t="s">
        <v>206</v>
      </c>
      <c r="C106" s="17" t="s">
        <v>300</v>
      </c>
      <c r="D106" s="23" t="s">
        <v>63</v>
      </c>
      <c r="E106" s="23" t="s">
        <v>64</v>
      </c>
      <c r="F106" s="116">
        <f t="shared" si="10"/>
        <v>0.20938329626454633</v>
      </c>
      <c r="G106" s="79">
        <v>9.0625939340276698E-2</v>
      </c>
      <c r="H106" s="16">
        <v>2.7E-2</v>
      </c>
      <c r="I106" s="14">
        <v>0</v>
      </c>
      <c r="J106" s="14"/>
      <c r="K106" s="79">
        <v>3.7237264426631202E-2</v>
      </c>
      <c r="L106" s="14">
        <v>0</v>
      </c>
      <c r="M106" s="14">
        <v>1.8815089803987399E-10</v>
      </c>
      <c r="N106" s="79">
        <v>5.2538621212229998E-2</v>
      </c>
      <c r="O106" s="14">
        <v>1.98147109725751E-3</v>
      </c>
      <c r="P106" s="16"/>
      <c r="R106" s="187">
        <f>'Parameters, country spec'!J25</f>
        <v>0.26723420141656068</v>
      </c>
    </row>
    <row r="107" spans="1:19" x14ac:dyDescent="0.2">
      <c r="A107" s="22" t="s">
        <v>305</v>
      </c>
      <c r="B107" s="17" t="s">
        <v>207</v>
      </c>
      <c r="C107" s="17" t="s">
        <v>306</v>
      </c>
      <c r="D107" s="23" t="s">
        <v>63</v>
      </c>
      <c r="E107" s="23" t="s">
        <v>64</v>
      </c>
      <c r="F107" s="116">
        <f t="shared" si="10"/>
        <v>0.17634972946846228</v>
      </c>
      <c r="G107" s="79">
        <v>0</v>
      </c>
      <c r="H107" s="16">
        <v>2.7E-2</v>
      </c>
      <c r="I107" s="16">
        <v>0</v>
      </c>
      <c r="J107" s="14"/>
      <c r="K107" s="79">
        <v>8.3714945321992695E-2</v>
      </c>
      <c r="L107" s="16">
        <v>0</v>
      </c>
      <c r="M107" s="14">
        <v>2.4148435539825202E-6</v>
      </c>
      <c r="N107" s="79">
        <v>5.2538621212229998E-2</v>
      </c>
      <c r="O107" s="14">
        <v>1.30937480906856E-2</v>
      </c>
      <c r="P107" s="16"/>
      <c r="R107" s="187">
        <f>'Parameters, country spec'!J26</f>
        <v>4.1789296546899217E-3</v>
      </c>
    </row>
    <row r="108" spans="1:19" x14ac:dyDescent="0.2">
      <c r="A108" s="22" t="s">
        <v>307</v>
      </c>
      <c r="B108" s="17" t="s">
        <v>208</v>
      </c>
      <c r="C108" s="17" t="s">
        <v>306</v>
      </c>
      <c r="D108" s="23" t="s">
        <v>63</v>
      </c>
      <c r="E108" s="23" t="s">
        <v>64</v>
      </c>
      <c r="F108" s="116">
        <f t="shared" si="10"/>
        <v>0.18407428350603985</v>
      </c>
      <c r="G108" s="79">
        <v>2.25145992179658E-3</v>
      </c>
      <c r="H108" s="16">
        <v>2.7E-2</v>
      </c>
      <c r="I108" s="16">
        <v>0</v>
      </c>
      <c r="J108" s="14"/>
      <c r="K108" s="79">
        <v>6.48727550922827E-2</v>
      </c>
      <c r="L108" s="14">
        <v>0</v>
      </c>
      <c r="M108" s="14">
        <v>1.6757553987597499E-6</v>
      </c>
      <c r="N108" s="79">
        <v>5.2538621212229998E-2</v>
      </c>
      <c r="O108" s="14">
        <v>3.7409771524331802E-2</v>
      </c>
      <c r="P108" s="16"/>
      <c r="R108" s="187">
        <f>'Parameters, country spec'!J27</f>
        <v>4.1050860427910684E-3</v>
      </c>
    </row>
    <row r="109" spans="1:19" x14ac:dyDescent="0.2">
      <c r="B109" s="18" t="s">
        <v>209</v>
      </c>
      <c r="C109" s="17" t="s">
        <v>308</v>
      </c>
      <c r="D109" s="23" t="str">
        <f>'Off-farm feed'!$D$74</f>
        <v>France, Germany, Poland</v>
      </c>
      <c r="E109" s="23"/>
      <c r="F109" s="116">
        <f t="shared" si="10"/>
        <v>0.27085685084992916</v>
      </c>
      <c r="G109" s="210">
        <f>'Off-farm feed'!$F$74</f>
        <v>0.11176753125767681</v>
      </c>
      <c r="H109" s="210">
        <f>'Off-farm feed'!$G$74</f>
        <v>1.3034482758620692E-2</v>
      </c>
      <c r="I109" s="210">
        <f>'Off-farm feed'!$H$74</f>
        <v>0</v>
      </c>
      <c r="J109" s="210">
        <f>'Off-farm feed'!$I$74</f>
        <v>0</v>
      </c>
      <c r="K109" s="210">
        <f>'Off-farm feed'!$J$74</f>
        <v>2.4688740026345454E-2</v>
      </c>
      <c r="L109" s="210">
        <f>'Off-farm feed'!$K$74</f>
        <v>0</v>
      </c>
      <c r="M109" s="210">
        <f>'Off-farm feed'!$L$74</f>
        <v>1.931759303794134E-4</v>
      </c>
      <c r="N109" s="210">
        <f>'Off-farm feed'!$M$74</f>
        <v>3.6802128767029069E-2</v>
      </c>
      <c r="O109" s="210">
        <f>'Off-farm feed'!$N$74</f>
        <v>0</v>
      </c>
      <c r="P109" s="210">
        <f>'Off-farm feed'!$O$74</f>
        <v>2.1170792109877701E-2</v>
      </c>
      <c r="Q109" s="210">
        <f>'Off-farm feed'!$P$74</f>
        <v>6.3200000000000006E-2</v>
      </c>
      <c r="R109" s="187">
        <f>'Parameters, country spec'!J28</f>
        <v>3.0119810543340508E-2</v>
      </c>
    </row>
    <row r="110" spans="1:19" x14ac:dyDescent="0.2">
      <c r="B110" s="18" t="s">
        <v>309</v>
      </c>
      <c r="C110" s="17" t="s">
        <v>308</v>
      </c>
      <c r="D110" s="23" t="str">
        <f>'Off-farm feed'!$D$23</f>
        <v>Brazil, Argentina</v>
      </c>
      <c r="E110" s="23"/>
      <c r="F110" s="116">
        <f t="shared" si="10"/>
        <v>0.70611717059976009</v>
      </c>
      <c r="G110" s="210">
        <f>'Off-farm feed'!$F$23</f>
        <v>7.2632670993098914E-3</v>
      </c>
      <c r="H110" s="210">
        <f>'Off-farm feed'!$G$23</f>
        <v>2.1402439024390246E-2</v>
      </c>
      <c r="I110" s="210">
        <f>'Off-farm feed'!$H$23</f>
        <v>0</v>
      </c>
      <c r="J110" s="210">
        <f>'Off-farm feed'!$I$23</f>
        <v>0</v>
      </c>
      <c r="K110" s="210">
        <f>'Off-farm feed'!$J$23</f>
        <v>4.3083619664332343E-2</v>
      </c>
      <c r="L110" s="210">
        <f>'Off-farm feed'!$K$23</f>
        <v>0</v>
      </c>
      <c r="M110" s="210">
        <f>'Off-farm feed'!$L$23</f>
        <v>1.7842060425123844E-4</v>
      </c>
      <c r="N110" s="210">
        <f>'Off-farm feed'!$M$23</f>
        <v>3.0432604948959403E-2</v>
      </c>
      <c r="O110" s="210">
        <f>'Off-farm feed'!$N$23</f>
        <v>0.31761120248475611</v>
      </c>
      <c r="P110" s="210">
        <f>'Off-farm feed'!$O$23</f>
        <v>3.5145616773760872E-2</v>
      </c>
      <c r="Q110" s="210">
        <f>'Off-farm feed'!$P$23</f>
        <v>0.251</v>
      </c>
      <c r="R110" s="187">
        <f>'Parameters, country spec'!J29</f>
        <v>0.1050568603152183</v>
      </c>
    </row>
    <row r="111" spans="1:19" x14ac:dyDescent="0.2">
      <c r="B111" s="17" t="s">
        <v>213</v>
      </c>
      <c r="C111" s="17" t="s">
        <v>310</v>
      </c>
      <c r="D111" s="23" t="s">
        <v>63</v>
      </c>
      <c r="E111" s="23" t="s">
        <v>64</v>
      </c>
      <c r="F111" s="116">
        <f t="shared" si="10"/>
        <v>1.1238832732952029</v>
      </c>
      <c r="G111" s="79">
        <v>8.1563345406249002E-3</v>
      </c>
      <c r="H111" s="16">
        <v>2.4299999999999999E-3</v>
      </c>
      <c r="K111" s="16">
        <v>3.3513537983968001E-3</v>
      </c>
      <c r="L111">
        <v>0</v>
      </c>
      <c r="M111">
        <v>1.6933580823588599E-11</v>
      </c>
      <c r="N111" s="106">
        <v>4.7284759091007003E-3</v>
      </c>
      <c r="O111" s="8">
        <v>1.78332398753176E-4</v>
      </c>
      <c r="P111" s="16">
        <v>1.10085799516881</v>
      </c>
      <c r="Q111" s="16">
        <v>4.1807814625837696E-3</v>
      </c>
      <c r="R111" s="187">
        <f>'Parameters, country spec'!J30</f>
        <v>5.1412336687770267E-2</v>
      </c>
    </row>
    <row r="112" spans="1:19" x14ac:dyDescent="0.2">
      <c r="A112" s="82"/>
      <c r="B112" s="17" t="s">
        <v>312</v>
      </c>
      <c r="C112" s="83" t="s">
        <v>313</v>
      </c>
      <c r="D112" s="23" t="s">
        <v>63</v>
      </c>
      <c r="E112" s="23" t="s">
        <v>64</v>
      </c>
      <c r="F112" s="116">
        <f t="shared" si="10"/>
        <v>0.17590462450180433</v>
      </c>
      <c r="G112" s="80">
        <f>AVERAGE(G102:G110)</f>
        <v>5.4344832535468283E-2</v>
      </c>
      <c r="H112" s="80">
        <f>AVERAGE(H102:H110)</f>
        <v>2.4826324642556769E-2</v>
      </c>
      <c r="I112" s="80">
        <f>AVERAGE(I102:I110)</f>
        <v>0</v>
      </c>
      <c r="J112" s="80"/>
      <c r="K112" s="80">
        <f>AVERAGE(K102:K110)</f>
        <v>4.8349096163900422E-2</v>
      </c>
      <c r="L112" s="80"/>
      <c r="M112" s="80">
        <f>AVERAGE(M102:M110)</f>
        <v>5.0473137478994785E-5</v>
      </c>
      <c r="N112" s="80">
        <f>AVERAGE(N102:N110)</f>
        <v>4.8333898022399832E-2</v>
      </c>
      <c r="O112" s="80"/>
      <c r="P112" s="80"/>
      <c r="Q112" s="80"/>
      <c r="R112" s="187">
        <f>'Parameters, country spec'!J31</f>
        <v>6.3531603526534211E-2</v>
      </c>
    </row>
    <row r="113" spans="1:18" x14ac:dyDescent="0.2">
      <c r="A113" s="185"/>
      <c r="B113" s="25" t="s">
        <v>314</v>
      </c>
      <c r="C113" s="26"/>
      <c r="D113" s="102"/>
      <c r="E113" s="102"/>
      <c r="F113" s="27">
        <f>SUMPRODUCT(F102:F112,$R$102:$R$112)</f>
        <v>0.30921988099661457</v>
      </c>
      <c r="G113" s="27">
        <f>SUMPRODUCT(G102:G112,$R$102:$R$112)</f>
        <v>6.273169679715121E-2</v>
      </c>
      <c r="H113" s="199">
        <f>SUMPRODUCT(H102:H112,$R$102:$R$112)</f>
        <v>2.4590000891606349E-2</v>
      </c>
      <c r="I113" s="27">
        <f>SUMPRODUCT(I102:I112,$R$102:$R$112)</f>
        <v>0</v>
      </c>
      <c r="J113" s="27"/>
      <c r="K113" s="27">
        <f>SUMPRODUCT(K102:K112,$R$102:$R$112)</f>
        <v>3.5927171014421867E-2</v>
      </c>
      <c r="L113" s="27"/>
      <c r="M113" s="27">
        <f>SUMPRODUCT(M102:M112,$R$102:$R$112)</f>
        <v>4.6079709132429851E-5</v>
      </c>
      <c r="N113" s="27">
        <f>SUMPRODUCT(N102:N112,$R$102:$R$112)</f>
        <v>4.7017088284416655E-2</v>
      </c>
      <c r="O113" s="27">
        <f>SUMPRODUCT(O102:O112,$R$102:$R$112)</f>
        <v>4.949242629771701E-2</v>
      </c>
      <c r="P113" s="199">
        <f>SUMPRODUCT(P102:P112,R102:R112)</f>
        <v>6.0927630292537789E-2</v>
      </c>
      <c r="Q113" s="199">
        <f>SUMPRODUCT(Q102:Q112,$R$102:$R$112)</f>
        <v>2.8487787709631257E-2</v>
      </c>
      <c r="R113" s="301"/>
    </row>
    <row r="114" spans="1:18" x14ac:dyDescent="0.2">
      <c r="A114" s="22" t="s">
        <v>299</v>
      </c>
      <c r="B114" s="17" t="s">
        <v>198</v>
      </c>
      <c r="C114" s="17" t="s">
        <v>300</v>
      </c>
      <c r="D114" s="23" t="s">
        <v>65</v>
      </c>
      <c r="E114" s="23" t="s">
        <v>66</v>
      </c>
      <c r="F114" s="116">
        <f t="shared" ref="F114:F124" si="11">SUM(G114:Q114)</f>
        <v>0.22941747708670257</v>
      </c>
      <c r="G114" s="79">
        <v>9.9982930263453701E-2</v>
      </c>
      <c r="H114" s="16">
        <v>2.7E-2</v>
      </c>
      <c r="I114" s="16">
        <v>0</v>
      </c>
      <c r="J114" s="14"/>
      <c r="K114" s="79">
        <v>6.1349494949495001E-2</v>
      </c>
      <c r="L114" s="14">
        <v>0</v>
      </c>
      <c r="M114" s="14">
        <v>9.4126417879238501E-4</v>
      </c>
      <c r="N114" s="79">
        <v>3.8391901627918001E-2</v>
      </c>
      <c r="O114" s="14">
        <v>1.7518860670434899E-3</v>
      </c>
      <c r="P114" s="16"/>
      <c r="R114" s="187">
        <f>'Parameters, country spec'!K21</f>
        <v>0.21894700375858381</v>
      </c>
    </row>
    <row r="115" spans="1:18" x14ac:dyDescent="0.2">
      <c r="A115" s="22" t="s">
        <v>301</v>
      </c>
      <c r="B115" s="17" t="s">
        <v>201</v>
      </c>
      <c r="C115" s="17" t="s">
        <v>300</v>
      </c>
      <c r="D115" s="23" t="s">
        <v>65</v>
      </c>
      <c r="E115" s="23" t="s">
        <v>66</v>
      </c>
      <c r="F115" s="116">
        <f t="shared" si="11"/>
        <v>0.1397596159422505</v>
      </c>
      <c r="G115" s="79">
        <v>3.6422323265829101E-2</v>
      </c>
      <c r="H115" s="16">
        <v>2.7E-2</v>
      </c>
      <c r="I115" s="16">
        <v>0</v>
      </c>
      <c r="J115" s="14"/>
      <c r="K115" s="79">
        <v>1.32628026548263E-2</v>
      </c>
      <c r="L115" s="14">
        <v>0</v>
      </c>
      <c r="M115" s="14">
        <v>2.30959332519068E-2</v>
      </c>
      <c r="N115" s="79">
        <v>3.8391901627918001E-2</v>
      </c>
      <c r="O115" s="14">
        <v>1.5866551417703101E-3</v>
      </c>
      <c r="P115" s="16"/>
      <c r="R115" s="187">
        <f>'Parameters, country spec'!K22</f>
        <v>0.28877148486086363</v>
      </c>
    </row>
    <row r="116" spans="1:18" x14ac:dyDescent="0.2">
      <c r="A116" s="22" t="s">
        <v>302</v>
      </c>
      <c r="B116" s="17" t="s">
        <v>204</v>
      </c>
      <c r="C116" s="17" t="s">
        <v>300</v>
      </c>
      <c r="D116" s="23" t="s">
        <v>65</v>
      </c>
      <c r="E116" s="23" t="s">
        <v>66</v>
      </c>
      <c r="F116" s="116">
        <f t="shared" si="11"/>
        <v>0.27809828671256548</v>
      </c>
      <c r="G116" s="79">
        <v>0.115661066806918</v>
      </c>
      <c r="H116" s="16">
        <v>2.7E-2</v>
      </c>
      <c r="I116" s="16">
        <v>0</v>
      </c>
      <c r="J116" s="14"/>
      <c r="K116" s="79">
        <v>8.9532786215923199E-2</v>
      </c>
      <c r="L116" s="14">
        <v>0</v>
      </c>
      <c r="M116" s="14">
        <v>1.3686923606236899E-3</v>
      </c>
      <c r="N116" s="79">
        <v>3.8391901627918001E-2</v>
      </c>
      <c r="O116" s="14">
        <v>6.1438397011825399E-3</v>
      </c>
      <c r="P116" s="16"/>
      <c r="R116" s="187">
        <f>'Parameters, country spec'!K23</f>
        <v>3.4137674118133308E-2</v>
      </c>
    </row>
    <row r="117" spans="1:18" x14ac:dyDescent="0.2">
      <c r="A117" s="22" t="s">
        <v>303</v>
      </c>
      <c r="B117" s="17" t="s">
        <v>205</v>
      </c>
      <c r="C117" s="17" t="s">
        <v>300</v>
      </c>
      <c r="D117" s="23" t="s">
        <v>65</v>
      </c>
      <c r="E117" s="23" t="s">
        <v>66</v>
      </c>
      <c r="F117" s="116">
        <f t="shared" si="11"/>
        <v>0.29893090047224069</v>
      </c>
      <c r="G117" s="79">
        <v>0.14048313981866201</v>
      </c>
      <c r="H117" s="16">
        <v>2.7E-2</v>
      </c>
      <c r="I117" s="14">
        <v>0</v>
      </c>
      <c r="J117" s="14"/>
      <c r="K117" s="79">
        <v>8.5289607177368595E-2</v>
      </c>
      <c r="L117" s="14">
        <v>0</v>
      </c>
      <c r="M117" s="14">
        <v>1.7956752415814799E-3</v>
      </c>
      <c r="N117" s="79">
        <v>3.8391901627918001E-2</v>
      </c>
      <c r="O117" s="14">
        <v>5.9705766067106401E-3</v>
      </c>
      <c r="P117" s="16"/>
      <c r="R117" s="187">
        <f>'Parameters, country spec'!K24</f>
        <v>9.0108782601985467E-3</v>
      </c>
    </row>
    <row r="118" spans="1:18" x14ac:dyDescent="0.2">
      <c r="A118" s="22" t="s">
        <v>304</v>
      </c>
      <c r="B118" s="17" t="s">
        <v>206</v>
      </c>
      <c r="C118" s="17" t="s">
        <v>300</v>
      </c>
      <c r="D118" s="23" t="s">
        <v>65</v>
      </c>
      <c r="E118" s="23" t="s">
        <v>66</v>
      </c>
      <c r="F118" s="116">
        <f t="shared" si="11"/>
        <v>0.27707357530941978</v>
      </c>
      <c r="G118" s="79">
        <v>0.15016151486392401</v>
      </c>
      <c r="H118" s="16">
        <v>2.7E-2</v>
      </c>
      <c r="I118" s="14">
        <v>0</v>
      </c>
      <c r="J118" s="14"/>
      <c r="K118" s="79">
        <v>5.6608310679611702E-2</v>
      </c>
      <c r="L118" s="14">
        <v>0</v>
      </c>
      <c r="M118" s="14">
        <v>1.14595040621167E-3</v>
      </c>
      <c r="N118" s="79">
        <v>3.8391901627918001E-2</v>
      </c>
      <c r="O118" s="14">
        <v>3.76589773175438E-3</v>
      </c>
      <c r="P118" s="16"/>
      <c r="R118" s="187">
        <f>'Parameters, country spec'!K25</f>
        <v>0.18547053507474909</v>
      </c>
    </row>
    <row r="119" spans="1:18" x14ac:dyDescent="0.2">
      <c r="A119" s="22" t="s">
        <v>305</v>
      </c>
      <c r="B119" s="17" t="s">
        <v>207</v>
      </c>
      <c r="C119" s="17" t="s">
        <v>306</v>
      </c>
      <c r="D119" s="23" t="s">
        <v>65</v>
      </c>
      <c r="E119" s="23" t="s">
        <v>66</v>
      </c>
      <c r="F119" s="116">
        <f t="shared" si="11"/>
        <v>0.21283404448058676</v>
      </c>
      <c r="G119" s="79">
        <v>0</v>
      </c>
      <c r="H119" s="16">
        <v>2.7E-2</v>
      </c>
      <c r="I119" s="16">
        <v>0</v>
      </c>
      <c r="J119" s="14"/>
      <c r="K119" s="79">
        <v>0.13295843685924499</v>
      </c>
      <c r="L119" s="16">
        <v>0</v>
      </c>
      <c r="M119" s="14">
        <v>1.10406453723893E-2</v>
      </c>
      <c r="N119" s="79">
        <v>3.8391901627918001E-2</v>
      </c>
      <c r="O119" s="14">
        <v>3.4430606210344599E-3</v>
      </c>
      <c r="P119" s="16"/>
      <c r="R119" s="187">
        <f>'Parameters, country spec'!K26</f>
        <v>6.9661330661395359E-3</v>
      </c>
    </row>
    <row r="120" spans="1:18" x14ac:dyDescent="0.2">
      <c r="A120" s="22" t="s">
        <v>307</v>
      </c>
      <c r="B120" s="17" t="s">
        <v>208</v>
      </c>
      <c r="C120" s="17" t="s">
        <v>306</v>
      </c>
      <c r="D120" s="23" t="s">
        <v>65</v>
      </c>
      <c r="E120" s="23" t="s">
        <v>66</v>
      </c>
      <c r="F120" s="116">
        <f t="shared" si="11"/>
        <v>0.23344472687066423</v>
      </c>
      <c r="G120" s="79">
        <v>5.3800295208884302E-3</v>
      </c>
      <c r="H120" s="16">
        <v>2.7E-2</v>
      </c>
      <c r="I120" s="16">
        <v>0</v>
      </c>
      <c r="J120" s="14"/>
      <c r="K120" s="79">
        <v>0.14222602973905801</v>
      </c>
      <c r="L120" s="14">
        <v>0</v>
      </c>
      <c r="M120" s="14">
        <v>1.18753181517716E-2</v>
      </c>
      <c r="N120" s="79">
        <v>3.8391901627918001E-2</v>
      </c>
      <c r="O120" s="14">
        <v>8.5714478310281901E-3</v>
      </c>
      <c r="P120" s="16"/>
      <c r="R120" s="187">
        <f>'Parameters, country spec'!K27</f>
        <v>6.843038286368717E-3</v>
      </c>
    </row>
    <row r="121" spans="1:18" x14ac:dyDescent="0.2">
      <c r="B121" s="18" t="s">
        <v>209</v>
      </c>
      <c r="C121" s="17" t="s">
        <v>308</v>
      </c>
      <c r="D121" s="23" t="str">
        <f>'Off-farm feed'!$D$74</f>
        <v>France, Germany, Poland</v>
      </c>
      <c r="E121" s="23"/>
      <c r="F121" s="116">
        <f t="shared" si="11"/>
        <v>0.27085685084992916</v>
      </c>
      <c r="G121" s="210">
        <f>'Off-farm feed'!$F$74</f>
        <v>0.11176753125767681</v>
      </c>
      <c r="H121" s="210">
        <f>'Off-farm feed'!$G$74</f>
        <v>1.3034482758620692E-2</v>
      </c>
      <c r="I121" s="210">
        <f>'Off-farm feed'!$H$74</f>
        <v>0</v>
      </c>
      <c r="J121" s="210">
        <f>'Off-farm feed'!$I$74</f>
        <v>0</v>
      </c>
      <c r="K121" s="210">
        <f>'Off-farm feed'!$J$74</f>
        <v>2.4688740026345454E-2</v>
      </c>
      <c r="L121" s="210">
        <f>'Off-farm feed'!$K$74</f>
        <v>0</v>
      </c>
      <c r="M121" s="210">
        <f>'Off-farm feed'!$L$74</f>
        <v>1.931759303794134E-4</v>
      </c>
      <c r="N121" s="210">
        <f>'Off-farm feed'!$M$74</f>
        <v>3.6802128767029069E-2</v>
      </c>
      <c r="O121" s="210">
        <f>'Off-farm feed'!$N$74</f>
        <v>0</v>
      </c>
      <c r="P121" s="210">
        <f>'Off-farm feed'!$O$74</f>
        <v>2.1170792109877701E-2</v>
      </c>
      <c r="Q121" s="210">
        <f>'Off-farm feed'!$P$74</f>
        <v>6.3200000000000006E-2</v>
      </c>
      <c r="R121" s="187">
        <f>'Parameters, country spec'!K28</f>
        <v>2.017458178365223E-2</v>
      </c>
    </row>
    <row r="122" spans="1:18" x14ac:dyDescent="0.2">
      <c r="B122" s="18" t="s">
        <v>309</v>
      </c>
      <c r="C122" s="17" t="s">
        <v>308</v>
      </c>
      <c r="D122" s="23" t="str">
        <f>'Off-farm feed'!$D$23</f>
        <v>Brazil, Argentina</v>
      </c>
      <c r="E122" s="23"/>
      <c r="F122" s="116">
        <f t="shared" si="11"/>
        <v>0.70611717059976009</v>
      </c>
      <c r="G122" s="210">
        <f>'Off-farm feed'!$F$23</f>
        <v>7.2632670993098914E-3</v>
      </c>
      <c r="H122" s="210">
        <f>'Off-farm feed'!$G$23</f>
        <v>2.1402439024390246E-2</v>
      </c>
      <c r="I122" s="210">
        <f>'Off-farm feed'!$H$23</f>
        <v>0</v>
      </c>
      <c r="J122" s="210">
        <f>'Off-farm feed'!$I$23</f>
        <v>0</v>
      </c>
      <c r="K122" s="210">
        <f>'Off-farm feed'!$J$23</f>
        <v>4.3083619664332343E-2</v>
      </c>
      <c r="L122" s="210">
        <f>'Off-farm feed'!$K$23</f>
        <v>0</v>
      </c>
      <c r="M122" s="210">
        <f>'Off-farm feed'!$L$23</f>
        <v>1.7842060425123844E-4</v>
      </c>
      <c r="N122" s="210">
        <f>'Off-farm feed'!$M$23</f>
        <v>3.0432604948959403E-2</v>
      </c>
      <c r="O122" s="210">
        <f>'Off-farm feed'!$N$23</f>
        <v>0.31761120248475611</v>
      </c>
      <c r="P122" s="210">
        <f>'Off-farm feed'!$O$23</f>
        <v>3.5145616773760872E-2</v>
      </c>
      <c r="Q122" s="210">
        <f>'Off-farm feed'!$P$23</f>
        <v>0.251</v>
      </c>
      <c r="R122" s="187">
        <f>'Parameters, country spec'!K29</f>
        <v>0.1724593547162262</v>
      </c>
    </row>
    <row r="123" spans="1:18" x14ac:dyDescent="0.2">
      <c r="B123" s="17" t="s">
        <v>213</v>
      </c>
      <c r="C123" s="17" t="s">
        <v>310</v>
      </c>
      <c r="D123" s="23" t="s">
        <v>65</v>
      </c>
      <c r="E123" s="23" t="s">
        <v>66</v>
      </c>
      <c r="F123" s="116">
        <f t="shared" si="11"/>
        <v>0.42805643342083843</v>
      </c>
      <c r="G123" s="79">
        <v>1.3514536337753199E-2</v>
      </c>
      <c r="H123" s="16">
        <v>2.4299999999999999E-3</v>
      </c>
      <c r="K123" s="16">
        <v>5.0947479611650496E-3</v>
      </c>
      <c r="L123">
        <v>0</v>
      </c>
      <c r="M123">
        <v>1.0313553655905001E-4</v>
      </c>
      <c r="N123" s="106">
        <v>3.45527114651262E-3</v>
      </c>
      <c r="O123" s="8">
        <v>3.38930795857894E-4</v>
      </c>
      <c r="P123" s="16">
        <v>0.30592349396770402</v>
      </c>
      <c r="Q123" s="16">
        <v>9.7196317675286595E-2</v>
      </c>
      <c r="R123" s="187">
        <f>'Parameters, country spec'!K30</f>
        <v>2.6495909583274711E-2</v>
      </c>
    </row>
    <row r="124" spans="1:18" x14ac:dyDescent="0.2">
      <c r="A124" s="82"/>
      <c r="B124" s="17" t="s">
        <v>312</v>
      </c>
      <c r="C124" s="83" t="s">
        <v>313</v>
      </c>
      <c r="D124" s="23" t="s">
        <v>65</v>
      </c>
      <c r="E124" s="23" t="s">
        <v>66</v>
      </c>
      <c r="F124" s="116">
        <f t="shared" si="11"/>
        <v>0.2141301859172445</v>
      </c>
      <c r="G124" s="80">
        <f>AVERAGE(G114:G122)</f>
        <v>7.412464476629578E-2</v>
      </c>
      <c r="H124" s="80">
        <f>AVERAGE(H114:H122)</f>
        <v>2.4826324642556769E-2</v>
      </c>
      <c r="I124" s="80">
        <f>AVERAGE(I114:I122)</f>
        <v>0</v>
      </c>
      <c r="J124" s="80"/>
      <c r="K124" s="80">
        <f>AVERAGE(K114:K122)</f>
        <v>7.2111091996245075E-2</v>
      </c>
      <c r="L124" s="80"/>
      <c r="M124" s="80">
        <f>AVERAGE(M114:M122)</f>
        <v>5.7372306108786197E-3</v>
      </c>
      <c r="N124" s="80">
        <f>AVERAGE(N114:N122)</f>
        <v>3.7330893901268279E-2</v>
      </c>
      <c r="O124" s="80"/>
      <c r="P124" s="80"/>
      <c r="Q124" s="80"/>
      <c r="R124" s="187">
        <f>'Parameters, country spec'!K31</f>
        <v>3.0723406491810091E-2</v>
      </c>
    </row>
    <row r="125" spans="1:18" x14ac:dyDescent="0.2">
      <c r="A125" s="185"/>
      <c r="B125" s="25" t="s">
        <v>314</v>
      </c>
      <c r="C125" s="26"/>
      <c r="D125" s="102"/>
      <c r="E125" s="102"/>
      <c r="F125" s="27">
        <f>SUMPRODUCT(F114:F124,$R$114:$R$124)</f>
        <v>0.30240669400585796</v>
      </c>
      <c r="G125" s="27">
        <f>SUMPRODUCT(G114:G124,$R$114:$R$124)</f>
        <v>7.1653242996783634E-2</v>
      </c>
      <c r="H125" s="199">
        <f>SUMPRODUCT(H114:H124,$R$114:$R$124)</f>
        <v>2.5035112566375379E-2</v>
      </c>
      <c r="I125" s="27">
        <f>SUMPRODUCT(I114:I124,$R$114:$R$124)</f>
        <v>0</v>
      </c>
      <c r="J125" s="27"/>
      <c r="K125" s="27">
        <f>SUMPRODUCT(K114:K124,$R$114:$R$124)</f>
        <v>4.3764567289127879E-2</v>
      </c>
      <c r="L125" s="27"/>
      <c r="M125" s="27">
        <f>SUMPRODUCT(M114:M124,$R$114:$R$124)</f>
        <v>7.5228198763788914E-3</v>
      </c>
      <c r="N125" s="27">
        <f>SUMPRODUCT(N114:N124,$R$114:$R$124)</f>
        <v>3.6028897882013952E-2</v>
      </c>
      <c r="O125" s="27">
        <f>SUMPRODUCT(O114:O124,$R$114:$R$124)</f>
        <v>5.6670393445407245E-2</v>
      </c>
      <c r="P125" s="199">
        <f>SUMPRODUCT(P114:P124,R114:R124)</f>
        <v>1.4594023502319774E-2</v>
      </c>
      <c r="Q125" s="199">
        <f>SUMPRODUCT(Q114:Q124,$R$114:$R$124)</f>
        <v>4.7137636447451239E-2</v>
      </c>
      <c r="R125" s="301"/>
    </row>
    <row r="126" spans="1:18" x14ac:dyDescent="0.2">
      <c r="A126" s="22" t="s">
        <v>299</v>
      </c>
      <c r="B126" s="17" t="s">
        <v>198</v>
      </c>
      <c r="C126" s="17" t="s">
        <v>300</v>
      </c>
      <c r="D126" s="23" t="s">
        <v>67</v>
      </c>
      <c r="E126" s="23" t="s">
        <v>68</v>
      </c>
      <c r="F126" s="116">
        <f t="shared" ref="F126:F136" si="12">SUM(G126:Q126)</f>
        <v>0.17740753224089859</v>
      </c>
      <c r="G126" s="79">
        <v>6.4707685331096707E-2</v>
      </c>
      <c r="H126" s="16">
        <v>2.7E-2</v>
      </c>
      <c r="I126" s="16">
        <v>0</v>
      </c>
      <c r="J126" s="14"/>
      <c r="K126" s="79">
        <v>4.3092928170856297E-2</v>
      </c>
      <c r="L126" s="14">
        <v>0</v>
      </c>
      <c r="M126" s="14">
        <v>9.7648302092659699E-7</v>
      </c>
      <c r="N126" s="79">
        <v>3.4798606794569198E-2</v>
      </c>
      <c r="O126" s="14">
        <v>7.8073354613554897E-3</v>
      </c>
      <c r="P126" s="16"/>
      <c r="R126" s="187">
        <f>'Parameters, country spec'!L21</f>
        <v>0</v>
      </c>
    </row>
    <row r="127" spans="1:18" x14ac:dyDescent="0.2">
      <c r="A127" s="22" t="s">
        <v>301</v>
      </c>
      <c r="B127" s="17" t="s">
        <v>201</v>
      </c>
      <c r="C127" s="17" t="s">
        <v>300</v>
      </c>
      <c r="D127" s="23" t="s">
        <v>67</v>
      </c>
      <c r="E127" s="23" t="s">
        <v>68</v>
      </c>
      <c r="F127" s="116">
        <f t="shared" si="12"/>
        <v>0.35998073385997809</v>
      </c>
      <c r="G127" s="79">
        <v>5.4898894569621E-2</v>
      </c>
      <c r="H127" s="16">
        <v>2.7E-2</v>
      </c>
      <c r="I127" s="16">
        <v>0</v>
      </c>
      <c r="J127" s="14"/>
      <c r="K127" s="79">
        <v>2.16968292973359E-2</v>
      </c>
      <c r="L127" s="14">
        <v>0</v>
      </c>
      <c r="M127" s="14">
        <v>0</v>
      </c>
      <c r="N127" s="79">
        <v>3.4798606794569198E-2</v>
      </c>
      <c r="O127" s="14">
        <v>0.22158640319845199</v>
      </c>
      <c r="P127" s="16"/>
      <c r="R127" s="187">
        <f>'Parameters, country spec'!L22</f>
        <v>2.9000000000000001E-2</v>
      </c>
    </row>
    <row r="128" spans="1:18" x14ac:dyDescent="0.2">
      <c r="A128" s="22" t="s">
        <v>302</v>
      </c>
      <c r="B128" s="17" t="s">
        <v>204</v>
      </c>
      <c r="C128" s="17" t="s">
        <v>300</v>
      </c>
      <c r="D128" s="23" t="s">
        <v>67</v>
      </c>
      <c r="E128" s="23" t="s">
        <v>68</v>
      </c>
      <c r="F128" s="116">
        <f t="shared" si="12"/>
        <v>0.21424851038583509</v>
      </c>
      <c r="G128" s="79">
        <v>5.5883302587627401E-2</v>
      </c>
      <c r="H128" s="16">
        <v>2.7E-2</v>
      </c>
      <c r="I128" s="16">
        <v>0</v>
      </c>
      <c r="J128" s="14"/>
      <c r="K128" s="79">
        <v>4.6950690050811303E-2</v>
      </c>
      <c r="L128" s="14">
        <v>0</v>
      </c>
      <c r="M128" s="14">
        <v>1.1717330995727201E-6</v>
      </c>
      <c r="N128" s="79">
        <v>3.4798606794569198E-2</v>
      </c>
      <c r="O128" s="14">
        <v>4.9614739219727602E-2</v>
      </c>
      <c r="P128" s="16"/>
      <c r="R128" s="187">
        <f>'Parameters, country spec'!L23</f>
        <v>4.9000000000000002E-2</v>
      </c>
    </row>
    <row r="129" spans="1:19" x14ac:dyDescent="0.2">
      <c r="A129" s="22" t="s">
        <v>303</v>
      </c>
      <c r="B129" s="17" t="s">
        <v>205</v>
      </c>
      <c r="C129" s="17" t="s">
        <v>300</v>
      </c>
      <c r="D129" s="23" t="s">
        <v>67</v>
      </c>
      <c r="E129" s="23" t="s">
        <v>68</v>
      </c>
      <c r="F129" s="116">
        <f t="shared" si="12"/>
        <v>0.24420370598103047</v>
      </c>
      <c r="G129" s="79">
        <v>5.0338186409046998E-2</v>
      </c>
      <c r="H129" s="16">
        <v>2.7E-2</v>
      </c>
      <c r="I129" s="14">
        <v>0</v>
      </c>
      <c r="J129" s="14"/>
      <c r="K129" s="79">
        <v>3.3169160753811502E-2</v>
      </c>
      <c r="L129" s="14">
        <v>0</v>
      </c>
      <c r="M129" s="14">
        <v>0</v>
      </c>
      <c r="N129" s="79">
        <v>3.4798606794569198E-2</v>
      </c>
      <c r="O129" s="14">
        <v>9.8897752023602806E-2</v>
      </c>
      <c r="P129" s="16"/>
      <c r="R129" s="187">
        <f>'Parameters, country spec'!L24</f>
        <v>0</v>
      </c>
    </row>
    <row r="130" spans="1:19" x14ac:dyDescent="0.2">
      <c r="A130" s="22" t="s">
        <v>304</v>
      </c>
      <c r="B130" s="17" t="s">
        <v>206</v>
      </c>
      <c r="C130" s="17" t="s">
        <v>300</v>
      </c>
      <c r="D130" s="23" t="s">
        <v>67</v>
      </c>
      <c r="E130" s="23" t="s">
        <v>68</v>
      </c>
      <c r="F130" s="116">
        <f t="shared" si="12"/>
        <v>0.18080986700633911</v>
      </c>
      <c r="G130" s="79">
        <v>7.3263598411408906E-2</v>
      </c>
      <c r="H130" s="16">
        <v>2.7E-2</v>
      </c>
      <c r="I130" s="14">
        <v>0</v>
      </c>
      <c r="J130" s="14"/>
      <c r="K130" s="79">
        <v>2.9976077920621201E-2</v>
      </c>
      <c r="L130" s="14">
        <v>0</v>
      </c>
      <c r="M130" s="14">
        <v>0</v>
      </c>
      <c r="N130" s="79">
        <v>3.4798606794569198E-2</v>
      </c>
      <c r="O130" s="14">
        <v>1.5771583879739801E-2</v>
      </c>
      <c r="P130" s="16"/>
      <c r="R130" s="187">
        <f>'Parameters, country spec'!L25</f>
        <v>0.59099999999999997</v>
      </c>
    </row>
    <row r="131" spans="1:19" x14ac:dyDescent="0.2">
      <c r="A131" s="22" t="s">
        <v>305</v>
      </c>
      <c r="B131" s="17" t="s">
        <v>207</v>
      </c>
      <c r="C131" s="17" t="s">
        <v>306</v>
      </c>
      <c r="D131" s="23" t="s">
        <v>67</v>
      </c>
      <c r="E131" s="23" t="s">
        <v>68</v>
      </c>
      <c r="F131" s="116">
        <f t="shared" si="12"/>
        <v>0.18857160448604016</v>
      </c>
      <c r="G131" s="79">
        <v>0</v>
      </c>
      <c r="H131" s="16">
        <v>2.7E-2</v>
      </c>
      <c r="I131" s="16">
        <v>0</v>
      </c>
      <c r="J131" s="14"/>
      <c r="K131" s="79">
        <v>6.1915464004380999E-2</v>
      </c>
      <c r="L131" s="16">
        <v>0</v>
      </c>
      <c r="M131" s="14">
        <v>3.46110222394324E-3</v>
      </c>
      <c r="N131" s="79">
        <v>3.4798606794569198E-2</v>
      </c>
      <c r="O131" s="14">
        <v>6.1396431463146703E-2</v>
      </c>
      <c r="P131" s="16"/>
      <c r="R131" s="187">
        <f>'Parameters, country spec'!L26</f>
        <v>0</v>
      </c>
    </row>
    <row r="132" spans="1:19" x14ac:dyDescent="0.2">
      <c r="A132" s="22" t="s">
        <v>307</v>
      </c>
      <c r="B132" s="17" t="s">
        <v>208</v>
      </c>
      <c r="C132" s="17" t="s">
        <v>306</v>
      </c>
      <c r="D132" s="23" t="s">
        <v>67</v>
      </c>
      <c r="E132" s="23" t="s">
        <v>68</v>
      </c>
      <c r="F132" s="116">
        <f t="shared" si="12"/>
        <v>0.25743797241278388</v>
      </c>
      <c r="G132" s="79">
        <v>2.1386473524115401E-3</v>
      </c>
      <c r="H132" s="16">
        <v>2.7E-2</v>
      </c>
      <c r="I132" s="16">
        <v>0</v>
      </c>
      <c r="J132" s="14"/>
      <c r="K132" s="79">
        <v>6.1361874212873702E-2</v>
      </c>
      <c r="L132" s="14">
        <v>0</v>
      </c>
      <c r="M132" s="14">
        <v>1.8203397236044301E-3</v>
      </c>
      <c r="N132" s="79">
        <v>3.4798606794569198E-2</v>
      </c>
      <c r="O132" s="14">
        <v>0.13031850432932501</v>
      </c>
      <c r="P132" s="16"/>
      <c r="R132" s="187">
        <f>'Parameters, country spec'!L27</f>
        <v>0</v>
      </c>
    </row>
    <row r="133" spans="1:19" x14ac:dyDescent="0.2">
      <c r="B133" s="18" t="s">
        <v>209</v>
      </c>
      <c r="C133" s="17" t="s">
        <v>308</v>
      </c>
      <c r="D133" s="23" t="str">
        <f>'Off-farm feed'!$D$74</f>
        <v>France, Germany, Poland</v>
      </c>
      <c r="E133" s="23"/>
      <c r="F133" s="116">
        <f t="shared" si="12"/>
        <v>0.27085685084992916</v>
      </c>
      <c r="G133" s="210">
        <f>'Off-farm feed'!$F$74</f>
        <v>0.11176753125767681</v>
      </c>
      <c r="H133" s="210">
        <f>'Off-farm feed'!$G$74</f>
        <v>1.3034482758620692E-2</v>
      </c>
      <c r="I133" s="210">
        <f>'Off-farm feed'!$H$74</f>
        <v>0</v>
      </c>
      <c r="J133" s="210">
        <f>'Off-farm feed'!$I$74</f>
        <v>0</v>
      </c>
      <c r="K133" s="210">
        <f>'Off-farm feed'!$J$74</f>
        <v>2.4688740026345454E-2</v>
      </c>
      <c r="L133" s="210">
        <f>'Off-farm feed'!$K$74</f>
        <v>0</v>
      </c>
      <c r="M133" s="210">
        <f>'Off-farm feed'!$L$74</f>
        <v>1.931759303794134E-4</v>
      </c>
      <c r="N133" s="210">
        <f>'Off-farm feed'!$M$74</f>
        <v>3.6802128767029069E-2</v>
      </c>
      <c r="O133" s="210">
        <f>'Off-farm feed'!$N$74</f>
        <v>0</v>
      </c>
      <c r="P133" s="210">
        <f>'Off-farm feed'!$O$74</f>
        <v>2.1170792109877701E-2</v>
      </c>
      <c r="Q133" s="210">
        <f>'Off-farm feed'!$P$74</f>
        <v>6.3200000000000006E-2</v>
      </c>
      <c r="R133" s="187">
        <f>'Parameters, country spec'!L28</f>
        <v>6.8000000000000005E-2</v>
      </c>
    </row>
    <row r="134" spans="1:19" x14ac:dyDescent="0.2">
      <c r="B134" s="18" t="s">
        <v>309</v>
      </c>
      <c r="C134" s="17" t="s">
        <v>308</v>
      </c>
      <c r="D134" s="23" t="str">
        <f>'Off-farm feed'!$D$23</f>
        <v>Brazil, Argentina</v>
      </c>
      <c r="E134" s="23"/>
      <c r="F134" s="116">
        <f t="shared" si="12"/>
        <v>0.70611717059976009</v>
      </c>
      <c r="G134" s="210">
        <f>'Off-farm feed'!$F$23</f>
        <v>7.2632670993098914E-3</v>
      </c>
      <c r="H134" s="210">
        <f>'Off-farm feed'!$G$23</f>
        <v>2.1402439024390246E-2</v>
      </c>
      <c r="I134" s="210">
        <f>'Off-farm feed'!$H$23</f>
        <v>0</v>
      </c>
      <c r="J134" s="210">
        <f>'Off-farm feed'!$I$23</f>
        <v>0</v>
      </c>
      <c r="K134" s="210">
        <f>'Off-farm feed'!$J$23</f>
        <v>4.3083619664332343E-2</v>
      </c>
      <c r="L134" s="210">
        <f>'Off-farm feed'!$K$23</f>
        <v>0</v>
      </c>
      <c r="M134" s="210">
        <f>'Off-farm feed'!$L$23</f>
        <v>1.7842060425123844E-4</v>
      </c>
      <c r="N134" s="210">
        <f>'Off-farm feed'!$M$23</f>
        <v>3.0432604948959403E-2</v>
      </c>
      <c r="O134" s="210">
        <f>'Off-farm feed'!$N$23</f>
        <v>0.31761120248475611</v>
      </c>
      <c r="P134" s="210">
        <f>'Off-farm feed'!$O$23</f>
        <v>3.5145616773760872E-2</v>
      </c>
      <c r="Q134" s="210">
        <f>'Off-farm feed'!$P$23</f>
        <v>0.251</v>
      </c>
      <c r="R134" s="187">
        <f>'Parameters, country spec'!L29</f>
        <v>0.186</v>
      </c>
    </row>
    <row r="135" spans="1:19" x14ac:dyDescent="0.2">
      <c r="B135" s="17" t="s">
        <v>213</v>
      </c>
      <c r="C135" s="17" t="s">
        <v>310</v>
      </c>
      <c r="D135" s="23" t="s">
        <v>67</v>
      </c>
      <c r="E135" s="23" t="s">
        <v>68</v>
      </c>
      <c r="F135" s="116">
        <f t="shared" si="12"/>
        <v>0.13915930282130612</v>
      </c>
      <c r="G135" s="79">
        <v>6.5937238570268003E-3</v>
      </c>
      <c r="H135" s="16">
        <v>2.4299999999999999E-3</v>
      </c>
      <c r="K135" s="16">
        <v>2.6978470128559101E-3</v>
      </c>
      <c r="L135">
        <v>0</v>
      </c>
      <c r="M135">
        <v>0</v>
      </c>
      <c r="N135" s="106">
        <v>3.1318746115112299E-3</v>
      </c>
      <c r="O135" s="8">
        <v>1.41944254917658E-3</v>
      </c>
      <c r="P135" s="16">
        <v>0.104008553970993</v>
      </c>
      <c r="Q135" s="16">
        <v>1.88778608197426E-2</v>
      </c>
      <c r="R135" s="187">
        <f>'Parameters, country spec'!L30</f>
        <v>0</v>
      </c>
    </row>
    <row r="136" spans="1:19" x14ac:dyDescent="0.2">
      <c r="A136" s="82"/>
      <c r="B136" s="17" t="s">
        <v>312</v>
      </c>
      <c r="C136" s="83" t="s">
        <v>313</v>
      </c>
      <c r="D136" s="23" t="s">
        <v>67</v>
      </c>
      <c r="E136" s="23" t="s">
        <v>68</v>
      </c>
      <c r="F136" s="116">
        <f t="shared" si="12"/>
        <v>0.14734595409765006</v>
      </c>
      <c r="G136" s="80">
        <f>AVERAGE(G126:G134)</f>
        <v>4.6695679224244363E-2</v>
      </c>
      <c r="H136" s="80">
        <f>AVERAGE(H126:H134)</f>
        <v>2.4826324642556769E-2</v>
      </c>
      <c r="I136" s="80">
        <f>AVERAGE(I126:I134)</f>
        <v>0</v>
      </c>
      <c r="J136" s="80"/>
      <c r="K136" s="80">
        <f>AVERAGE(K126:K134)</f>
        <v>4.0659487122374299E-2</v>
      </c>
      <c r="L136" s="80"/>
      <c r="M136" s="80">
        <f>AVERAGE(M126:M134)</f>
        <v>6.2835407758875803E-4</v>
      </c>
      <c r="N136" s="80">
        <f>AVERAGE(N126:N134)</f>
        <v>3.4536109030885873E-2</v>
      </c>
      <c r="O136" s="80"/>
      <c r="P136" s="80"/>
      <c r="Q136" s="80"/>
      <c r="R136" s="187">
        <f>'Parameters, country spec'!L31</f>
        <v>7.7000000000000179E-2</v>
      </c>
    </row>
    <row r="137" spans="1:19" x14ac:dyDescent="0.2">
      <c r="A137" s="185"/>
      <c r="B137" s="25" t="s">
        <v>314</v>
      </c>
      <c r="C137" s="26"/>
      <c r="D137" s="102"/>
      <c r="E137" s="102"/>
      <c r="F137" s="27">
        <f>SUMPRODUCT(F126:F136,$R$126:$R$136)</f>
        <v>0.28889794774646133</v>
      </c>
      <c r="G137" s="27">
        <f>SUMPRODUCT(G126:G136,$R$126:$R$136)</f>
        <v>6.0175863536715897E-2</v>
      </c>
      <c r="H137" s="199">
        <f>SUMPRODUCT(H126:H136,$R$126:$R$136)</f>
        <v>2.4841825483599669E-2</v>
      </c>
      <c r="I137" s="27">
        <f>SUMPRODUCT(I126:I136,$R$126:$R$136)</f>
        <v>0</v>
      </c>
      <c r="J137" s="27"/>
      <c r="K137" s="27">
        <f>SUMPRODUCT(K126:K136,$R$126:$R$136)</f>
        <v>3.346882200097976E-2</v>
      </c>
      <c r="L137" s="27"/>
      <c r="M137" s="27">
        <f>SUMPRODUCT(M126:M136,$R$126:$R$136)</f>
        <v>9.476287455274401E-5</v>
      </c>
      <c r="N137" s="27">
        <f>SUMPRODUCT(N126:N136,$R$126:$R$136)</f>
        <v>3.4102557617609434E-2</v>
      </c>
      <c r="O137" s="27">
        <f>SUMPRODUCT(O126:O136,$R$126:$R$136)</f>
        <v>7.7253817649612616E-2</v>
      </c>
      <c r="P137" s="199">
        <f>SUMPRODUCT(P126:P136,R126:R136)</f>
        <v>7.976698583391206E-3</v>
      </c>
      <c r="Q137" s="199">
        <f>SUMPRODUCT(Q126:Q136,$R$126:$R$136)</f>
        <v>5.0983599999999997E-2</v>
      </c>
      <c r="R137" s="301"/>
    </row>
    <row r="138" spans="1:19" x14ac:dyDescent="0.2">
      <c r="A138" s="22" t="s">
        <v>299</v>
      </c>
      <c r="B138" s="17" t="s">
        <v>198</v>
      </c>
      <c r="C138" s="17" t="s">
        <v>300</v>
      </c>
      <c r="D138" s="23" t="s">
        <v>69</v>
      </c>
      <c r="E138" s="23" t="s">
        <v>70</v>
      </c>
      <c r="F138" s="116">
        <f t="shared" ref="F138:F146" si="13">SUM(G138:Q138)</f>
        <v>0.14737653950451821</v>
      </c>
      <c r="G138" s="79">
        <v>4.8082419203556402E-2</v>
      </c>
      <c r="H138" s="16">
        <v>2.7E-2</v>
      </c>
      <c r="I138" s="16">
        <v>0</v>
      </c>
      <c r="J138" s="14"/>
      <c r="K138" s="79">
        <v>3.1385246564795799E-2</v>
      </c>
      <c r="L138" s="14">
        <v>0</v>
      </c>
      <c r="M138" s="14">
        <v>0</v>
      </c>
      <c r="N138" s="79">
        <v>4.0908873736166002E-2</v>
      </c>
      <c r="O138" s="14">
        <v>0</v>
      </c>
      <c r="P138" s="16"/>
      <c r="R138" s="187">
        <f>'Parameters, country spec'!M21</f>
        <v>0.24290688316534451</v>
      </c>
    </row>
    <row r="139" spans="1:19" x14ac:dyDescent="0.2">
      <c r="A139" s="22" t="s">
        <v>301</v>
      </c>
      <c r="B139" s="17" t="s">
        <v>201</v>
      </c>
      <c r="C139" s="17" t="s">
        <v>300</v>
      </c>
      <c r="D139" s="23" t="s">
        <v>69</v>
      </c>
      <c r="E139" s="23" t="s">
        <v>70</v>
      </c>
      <c r="F139" s="116">
        <f t="shared" si="13"/>
        <v>0.13477267534421772</v>
      </c>
      <c r="G139" s="79">
        <v>4.7382930338829898E-2</v>
      </c>
      <c r="H139" s="16">
        <v>2.7E-2</v>
      </c>
      <c r="I139" s="14">
        <v>0</v>
      </c>
      <c r="J139" s="14"/>
      <c r="K139" s="79">
        <v>1.8104396956838902E-2</v>
      </c>
      <c r="L139" s="14">
        <v>0</v>
      </c>
      <c r="M139" s="14">
        <v>3.20452980210324E-3</v>
      </c>
      <c r="N139" s="79">
        <v>3.4771853907349999E-2</v>
      </c>
      <c r="O139" s="14">
        <v>4.3089643390956597E-3</v>
      </c>
      <c r="P139" s="16"/>
      <c r="R139" s="187">
        <f>'Parameters, country spec'!M22</f>
        <v>1.1405036092928851E-2</v>
      </c>
      <c r="S139" t="s">
        <v>316</v>
      </c>
    </row>
    <row r="140" spans="1:19" x14ac:dyDescent="0.2">
      <c r="A140" s="22" t="s">
        <v>302</v>
      </c>
      <c r="B140" s="17" t="s">
        <v>204</v>
      </c>
      <c r="C140" s="17" t="s">
        <v>300</v>
      </c>
      <c r="D140" s="23" t="s">
        <v>69</v>
      </c>
      <c r="E140" s="23" t="s">
        <v>70</v>
      </c>
      <c r="F140" s="116">
        <f t="shared" si="13"/>
        <v>0.1423326719546088</v>
      </c>
      <c r="G140" s="79">
        <v>4.08143283050856E-2</v>
      </c>
      <c r="H140" s="16">
        <v>2.7E-2</v>
      </c>
      <c r="I140" s="16">
        <v>0</v>
      </c>
      <c r="J140" s="14"/>
      <c r="K140" s="79">
        <v>3.3609469913357198E-2</v>
      </c>
      <c r="L140" s="14">
        <v>0</v>
      </c>
      <c r="M140" s="14">
        <v>0</v>
      </c>
      <c r="N140" s="79">
        <v>4.0908873736166002E-2</v>
      </c>
      <c r="O140" s="14">
        <v>0</v>
      </c>
      <c r="P140" s="16"/>
      <c r="R140" s="187">
        <f>'Parameters, country spec'!M23</f>
        <v>2.6784717007595299E-2</v>
      </c>
    </row>
    <row r="141" spans="1:19" x14ac:dyDescent="0.2">
      <c r="A141" s="22" t="s">
        <v>303</v>
      </c>
      <c r="B141" s="17" t="s">
        <v>205</v>
      </c>
      <c r="C141" s="17" t="s">
        <v>300</v>
      </c>
      <c r="D141" s="23" t="s">
        <v>69</v>
      </c>
      <c r="E141" s="23" t="s">
        <v>70</v>
      </c>
      <c r="F141" s="116">
        <f t="shared" si="13"/>
        <v>0.1932483495555993</v>
      </c>
      <c r="G141" s="79">
        <v>7.6155248583654703E-2</v>
      </c>
      <c r="H141" s="16">
        <v>2.7E-2</v>
      </c>
      <c r="I141" s="14">
        <v>0</v>
      </c>
      <c r="J141" s="14"/>
      <c r="K141" s="79">
        <v>4.9184227235778602E-2</v>
      </c>
      <c r="L141" s="14">
        <v>0</v>
      </c>
      <c r="M141" s="14">
        <v>0</v>
      </c>
      <c r="N141" s="79">
        <v>4.0908873736166002E-2</v>
      </c>
      <c r="O141" s="14">
        <v>0</v>
      </c>
      <c r="P141" s="16"/>
      <c r="R141" s="187">
        <f>'Parameters, country spec'!M24</f>
        <v>1.270348359145042E-3</v>
      </c>
    </row>
    <row r="142" spans="1:19" x14ac:dyDescent="0.2">
      <c r="A142" s="22" t="s">
        <v>304</v>
      </c>
      <c r="B142" s="17" t="s">
        <v>206</v>
      </c>
      <c r="C142" s="17" t="s">
        <v>300</v>
      </c>
      <c r="D142" s="23" t="s">
        <v>69</v>
      </c>
      <c r="E142" s="23" t="s">
        <v>70</v>
      </c>
      <c r="F142" s="116">
        <f t="shared" si="13"/>
        <v>0.1545841490566964</v>
      </c>
      <c r="G142" s="79">
        <v>6.1865444826916902E-2</v>
      </c>
      <c r="H142" s="16">
        <v>2.7E-2</v>
      </c>
      <c r="I142" s="14">
        <v>0</v>
      </c>
      <c r="J142" s="14"/>
      <c r="K142" s="79">
        <v>2.4809830493613499E-2</v>
      </c>
      <c r="L142" s="14">
        <v>0</v>
      </c>
      <c r="M142" s="14">
        <v>0</v>
      </c>
      <c r="N142" s="79">
        <v>4.0908873736166002E-2</v>
      </c>
      <c r="O142" s="14">
        <v>0</v>
      </c>
      <c r="P142" s="16"/>
      <c r="R142" s="187">
        <f>'Parameters, country spec'!M25</f>
        <v>0.36306225085662319</v>
      </c>
    </row>
    <row r="143" spans="1:19" x14ac:dyDescent="0.2">
      <c r="A143" s="22" t="s">
        <v>305</v>
      </c>
      <c r="B143" s="17" t="s">
        <v>207</v>
      </c>
      <c r="C143" s="17" t="s">
        <v>306</v>
      </c>
      <c r="D143" s="23" t="s">
        <v>69</v>
      </c>
      <c r="E143" s="23" t="s">
        <v>70</v>
      </c>
      <c r="F143" s="116">
        <f t="shared" si="13"/>
        <v>0.12518577493056232</v>
      </c>
      <c r="G143" s="79">
        <v>0</v>
      </c>
      <c r="H143" s="16">
        <v>2.7E-2</v>
      </c>
      <c r="I143" s="16">
        <v>0</v>
      </c>
      <c r="J143" s="14"/>
      <c r="K143" s="79">
        <v>5.7276901194396303E-2</v>
      </c>
      <c r="L143" s="16">
        <v>0</v>
      </c>
      <c r="M143" s="14">
        <v>0</v>
      </c>
      <c r="N143" s="79">
        <v>4.0908873736166002E-2</v>
      </c>
      <c r="O143" s="14">
        <v>0</v>
      </c>
      <c r="P143" s="16"/>
      <c r="R143" s="187">
        <f>'Parameters, country spec'!M26</f>
        <v>6.0909129056991628E-3</v>
      </c>
    </row>
    <row r="144" spans="1:19" x14ac:dyDescent="0.2">
      <c r="A144" s="22" t="s">
        <v>307</v>
      </c>
      <c r="B144" s="17" t="s">
        <v>208</v>
      </c>
      <c r="C144" s="17" t="s">
        <v>306</v>
      </c>
      <c r="D144" s="23" t="s">
        <v>69</v>
      </c>
      <c r="E144" s="23" t="s">
        <v>70</v>
      </c>
      <c r="F144" s="116">
        <f t="shared" si="13"/>
        <v>0.12374747265629003</v>
      </c>
      <c r="G144" s="79">
        <v>1.9173926908744299E-3</v>
      </c>
      <c r="H144" s="16">
        <v>2.7E-2</v>
      </c>
      <c r="I144" s="16">
        <v>0</v>
      </c>
      <c r="J144" s="14"/>
      <c r="K144" s="79">
        <v>5.3921206229249598E-2</v>
      </c>
      <c r="L144" s="14">
        <v>0</v>
      </c>
      <c r="M144" s="14">
        <v>0</v>
      </c>
      <c r="N144" s="79">
        <v>4.0908873736166002E-2</v>
      </c>
      <c r="O144" s="14">
        <v>0</v>
      </c>
      <c r="P144" s="16"/>
      <c r="R144" s="187">
        <f>'Parameters, country spec'!M27</f>
        <v>5.9832836689627722E-3</v>
      </c>
    </row>
    <row r="145" spans="1:19" x14ac:dyDescent="0.2">
      <c r="B145" s="18" t="s">
        <v>209</v>
      </c>
      <c r="C145" s="17" t="s">
        <v>308</v>
      </c>
      <c r="D145" s="23" t="str">
        <f>'Off-farm feed'!$D$74</f>
        <v>France, Germany, Poland</v>
      </c>
      <c r="E145" s="23"/>
      <c r="F145" s="116">
        <f t="shared" si="13"/>
        <v>0.27085685084992916</v>
      </c>
      <c r="G145" s="210">
        <f>'Off-farm feed'!$F$74</f>
        <v>0.11176753125767681</v>
      </c>
      <c r="H145" s="210">
        <f>'Off-farm feed'!$G$74</f>
        <v>1.3034482758620692E-2</v>
      </c>
      <c r="I145" s="210">
        <f>'Off-farm feed'!$H$74</f>
        <v>0</v>
      </c>
      <c r="J145" s="210">
        <f>'Off-farm feed'!$I$74</f>
        <v>0</v>
      </c>
      <c r="K145" s="210">
        <f>'Off-farm feed'!$J$74</f>
        <v>2.4688740026345454E-2</v>
      </c>
      <c r="L145" s="210">
        <f>'Off-farm feed'!$K$74</f>
        <v>0</v>
      </c>
      <c r="M145" s="210">
        <f>'Off-farm feed'!$L$74</f>
        <v>1.931759303794134E-4</v>
      </c>
      <c r="N145" s="210">
        <f>'Off-farm feed'!$M$74</f>
        <v>3.6802128767029069E-2</v>
      </c>
      <c r="O145" s="210">
        <f>'Off-farm feed'!$N$74</f>
        <v>0</v>
      </c>
      <c r="P145" s="210">
        <f>'Off-farm feed'!$O$74</f>
        <v>2.1170792109877701E-2</v>
      </c>
      <c r="Q145" s="210">
        <f>'Off-farm feed'!$P$74</f>
        <v>6.3200000000000006E-2</v>
      </c>
      <c r="R145" s="187">
        <f>'Parameters, country spec'!M28</f>
        <v>9.4633897453147445E-2</v>
      </c>
    </row>
    <row r="146" spans="1:19" x14ac:dyDescent="0.2">
      <c r="B146" s="18" t="s">
        <v>309</v>
      </c>
      <c r="C146" s="17" t="s">
        <v>308</v>
      </c>
      <c r="D146" s="23" t="str">
        <f>'Off-farm feed'!$D$23</f>
        <v>Brazil, Argentina</v>
      </c>
      <c r="E146" s="23"/>
      <c r="F146" s="116">
        <f t="shared" si="13"/>
        <v>0.70611717059976009</v>
      </c>
      <c r="G146" s="210">
        <f>'Off-farm feed'!$F$23</f>
        <v>7.2632670993098914E-3</v>
      </c>
      <c r="H146" s="210">
        <f>'Off-farm feed'!$G$23</f>
        <v>2.1402439024390246E-2</v>
      </c>
      <c r="I146" s="210">
        <f>'Off-farm feed'!$H$23</f>
        <v>0</v>
      </c>
      <c r="J146" s="210">
        <f>'Off-farm feed'!$I$23</f>
        <v>0</v>
      </c>
      <c r="K146" s="210">
        <f>'Off-farm feed'!$J$23</f>
        <v>4.3083619664332343E-2</v>
      </c>
      <c r="L146" s="210">
        <f>'Off-farm feed'!$K$23</f>
        <v>0</v>
      </c>
      <c r="M146" s="210">
        <f>'Off-farm feed'!$L$23</f>
        <v>1.7842060425123844E-4</v>
      </c>
      <c r="N146" s="210">
        <f>'Off-farm feed'!$M$23</f>
        <v>3.0432604948959403E-2</v>
      </c>
      <c r="O146" s="210">
        <f>'Off-farm feed'!$N$23</f>
        <v>0.31761120248475611</v>
      </c>
      <c r="P146" s="210">
        <f>'Off-farm feed'!$O$23</f>
        <v>3.5145616773760872E-2</v>
      </c>
      <c r="Q146" s="210">
        <f>'Off-farm feed'!$P$23</f>
        <v>0.251</v>
      </c>
      <c r="R146" s="187">
        <f>'Parameters, country spec'!M29</f>
        <v>0.1863493678947572</v>
      </c>
    </row>
    <row r="147" spans="1:19" x14ac:dyDescent="0.2">
      <c r="B147" s="17" t="s">
        <v>213</v>
      </c>
      <c r="C147" s="17" t="s">
        <v>310</v>
      </c>
      <c r="D147" s="23" t="s">
        <v>69</v>
      </c>
      <c r="E147" s="23" t="s">
        <v>70</v>
      </c>
      <c r="F147" s="116">
        <f>SUM(G135:Q135)</f>
        <v>0.13915930282130612</v>
      </c>
      <c r="G147" s="79">
        <v>5.5678900344225202E-3</v>
      </c>
      <c r="H147" s="16">
        <v>2.4299999999999999E-3</v>
      </c>
      <c r="K147" s="16">
        <v>2.2328847444252199E-3</v>
      </c>
      <c r="L147">
        <v>0</v>
      </c>
      <c r="M147">
        <v>0</v>
      </c>
      <c r="N147" s="106">
        <v>3.6817986362549398E-3</v>
      </c>
      <c r="O147" s="8">
        <v>0</v>
      </c>
      <c r="P147" s="16">
        <v>0.44500683667895402</v>
      </c>
      <c r="Q147" s="16">
        <v>2.9553163076405799E-2</v>
      </c>
      <c r="R147" s="187">
        <f>'Parameters, country spec'!M30</f>
        <v>1.2143080899157419E-2</v>
      </c>
      <c r="S147" t="s">
        <v>317</v>
      </c>
    </row>
    <row r="148" spans="1:19" x14ac:dyDescent="0.2">
      <c r="A148" s="82"/>
      <c r="B148" s="17" t="s">
        <v>312</v>
      </c>
      <c r="C148" s="83" t="s">
        <v>313</v>
      </c>
      <c r="D148" s="23" t="s">
        <v>69</v>
      </c>
      <c r="E148" s="23" t="s">
        <v>70</v>
      </c>
      <c r="F148" s="116">
        <f>SUM(G148:Q148)</f>
        <v>0.1450872309716324</v>
      </c>
      <c r="G148" s="80">
        <f>AVERAGE(G138:G146)</f>
        <v>4.3916506922878296E-2</v>
      </c>
      <c r="H148" s="80">
        <f>AVERAGE(H138:H146)</f>
        <v>2.4826324642556769E-2</v>
      </c>
      <c r="I148" s="80">
        <f>AVERAGE(I138:I146)</f>
        <v>0</v>
      </c>
      <c r="J148" s="80"/>
      <c r="K148" s="80">
        <f>AVERAGE(K138:K146)</f>
        <v>3.7340404253189748E-2</v>
      </c>
      <c r="L148" s="80"/>
      <c r="M148" s="80">
        <f>AVERAGE(M138:M146)</f>
        <v>3.9734737074821022E-4</v>
      </c>
      <c r="N148" s="80">
        <f>AVERAGE(N138:N146)</f>
        <v>3.8606647782259383E-2</v>
      </c>
      <c r="O148" s="80"/>
      <c r="P148" s="80"/>
      <c r="Q148" s="80"/>
      <c r="R148" s="187">
        <f>'Parameters, country spec'!M31</f>
        <v>4.9370221696639308E-2</v>
      </c>
    </row>
    <row r="149" spans="1:19" x14ac:dyDescent="0.2">
      <c r="A149" s="185"/>
      <c r="B149" s="25" t="s">
        <v>314</v>
      </c>
      <c r="C149" s="26"/>
      <c r="D149" s="102"/>
      <c r="E149" s="102"/>
      <c r="F149" s="27">
        <f>SUMPRODUCT(F138:F148,$R$138:$R$148)</f>
        <v>0.26508981641918183</v>
      </c>
      <c r="G149" s="27">
        <f>SUMPRODUCT(G138:G148,$R$138:$R$148)</f>
        <v>5.004865984304252E-2</v>
      </c>
      <c r="H149" s="27">
        <f>SUMPRODUCT(H138:H148,$R$138:$R$148)</f>
        <v>2.4229616391956123E-2</v>
      </c>
      <c r="I149" s="27">
        <f>SUMPRODUCT(I138:I148,$R$138:$R$148)</f>
        <v>0</v>
      </c>
      <c r="J149" s="27"/>
      <c r="K149" s="27">
        <f>SUMPRODUCT(K138:K148,$R$138:$R$148)</f>
        <v>3.0707497474920659E-2</v>
      </c>
      <c r="L149" s="27"/>
      <c r="M149" s="27">
        <f>SUMPRODUCT(M138:M148,$R$138:$R$148)</f>
        <v>1.0769446384583014E-4</v>
      </c>
      <c r="N149" s="27">
        <f>SUMPRODUCT(N138:N148,$R$138:$R$148)</f>
        <v>3.7932284664530927E-2</v>
      </c>
      <c r="O149" s="27">
        <f>SUMPRODUCT(O138:O148,$R$138:$R$148)</f>
        <v>5.9235790713138566E-2</v>
      </c>
      <c r="P149" s="199">
        <f>SUMPRODUCT(P138:P148,R138:R148)</f>
        <v>1.3956592058060454E-2</v>
      </c>
      <c r="Q149" s="199">
        <f>SUMPRODUCT(Q138:Q148,$R$138:$R$148)</f>
        <v>5.3113420110685761E-2</v>
      </c>
      <c r="R149" s="301"/>
    </row>
    <row r="150" spans="1:19" x14ac:dyDescent="0.2">
      <c r="F150" s="17"/>
    </row>
    <row r="151" spans="1:19" x14ac:dyDescent="0.2">
      <c r="F151" s="17"/>
    </row>
    <row r="152" spans="1:19" x14ac:dyDescent="0.2">
      <c r="F152" s="17"/>
    </row>
    <row r="153" spans="1:19" x14ac:dyDescent="0.2">
      <c r="F153" s="17"/>
    </row>
    <row r="154" spans="1:19" x14ac:dyDescent="0.2">
      <c r="F154" s="17"/>
    </row>
    <row r="155" spans="1:19" x14ac:dyDescent="0.2">
      <c r="F155" s="17"/>
    </row>
    <row r="156" spans="1:19" x14ac:dyDescent="0.2">
      <c r="F156" s="17"/>
    </row>
    <row r="157" spans="1:19" x14ac:dyDescent="0.2">
      <c r="F157" s="17"/>
    </row>
    <row r="158" spans="1:19" x14ac:dyDescent="0.2">
      <c r="F158" s="17"/>
    </row>
    <row r="159" spans="1:19" x14ac:dyDescent="0.2">
      <c r="F159" s="17"/>
    </row>
    <row r="160" spans="1:19" x14ac:dyDescent="0.2">
      <c r="F160" s="17"/>
    </row>
    <row r="161" spans="6:6" x14ac:dyDescent="0.2">
      <c r="F161" s="17"/>
    </row>
    <row r="162" spans="6:6" x14ac:dyDescent="0.2">
      <c r="F162" s="17"/>
    </row>
    <row r="163" spans="6:6" x14ac:dyDescent="0.2">
      <c r="F163" s="17"/>
    </row>
    <row r="164" spans="6:6" x14ac:dyDescent="0.2">
      <c r="F164" s="17"/>
    </row>
    <row r="165" spans="6:6" x14ac:dyDescent="0.2">
      <c r="F165" s="17"/>
    </row>
    <row r="166" spans="6:6" x14ac:dyDescent="0.2">
      <c r="F166" s="17"/>
    </row>
    <row r="167" spans="6:6" x14ac:dyDescent="0.2">
      <c r="F167" s="17"/>
    </row>
    <row r="168" spans="6:6" x14ac:dyDescent="0.2">
      <c r="F168" s="17"/>
    </row>
    <row r="169" spans="6:6" x14ac:dyDescent="0.2">
      <c r="F169" s="17"/>
    </row>
    <row r="170" spans="6:6" x14ac:dyDescent="0.2">
      <c r="F170" s="17"/>
    </row>
    <row r="171" spans="6:6" x14ac:dyDescent="0.2">
      <c r="F171" s="17"/>
    </row>
    <row r="172" spans="6:6" x14ac:dyDescent="0.2">
      <c r="F172" s="17"/>
    </row>
    <row r="173" spans="6:6" x14ac:dyDescent="0.2">
      <c r="F173" s="17"/>
    </row>
    <row r="174" spans="6:6" x14ac:dyDescent="0.2">
      <c r="F174" s="17"/>
    </row>
    <row r="175" spans="6:6" x14ac:dyDescent="0.2">
      <c r="F175" s="17"/>
    </row>
    <row r="176" spans="6:6" x14ac:dyDescent="0.2">
      <c r="F176" s="17"/>
    </row>
    <row r="177" spans="6:6" x14ac:dyDescent="0.2">
      <c r="F177" s="17"/>
    </row>
    <row r="178" spans="6:6" x14ac:dyDescent="0.2">
      <c r="F178" s="17"/>
    </row>
    <row r="179" spans="6:6" x14ac:dyDescent="0.2">
      <c r="F179" s="17"/>
    </row>
    <row r="180" spans="6:6" x14ac:dyDescent="0.2">
      <c r="F180" s="17"/>
    </row>
    <row r="181" spans="6:6" x14ac:dyDescent="0.2">
      <c r="F181" s="17"/>
    </row>
    <row r="182" spans="6:6" x14ac:dyDescent="0.2">
      <c r="F182" s="17"/>
    </row>
    <row r="183" spans="6:6" x14ac:dyDescent="0.2">
      <c r="F183" s="17"/>
    </row>
    <row r="184" spans="6:6" x14ac:dyDescent="0.2">
      <c r="F184" s="17"/>
    </row>
    <row r="185" spans="6:6" x14ac:dyDescent="0.2">
      <c r="F185" s="17"/>
    </row>
    <row r="186" spans="6:6" x14ac:dyDescent="0.2">
      <c r="F186" s="17"/>
    </row>
    <row r="187" spans="6:6" x14ac:dyDescent="0.2">
      <c r="F187" s="17"/>
    </row>
    <row r="188" spans="6:6" x14ac:dyDescent="0.2">
      <c r="F188" s="17"/>
    </row>
    <row r="189" spans="6:6" x14ac:dyDescent="0.2">
      <c r="F189" s="17"/>
    </row>
    <row r="190" spans="6:6" x14ac:dyDescent="0.2">
      <c r="F190" s="17"/>
    </row>
    <row r="191" spans="6:6" x14ac:dyDescent="0.2">
      <c r="F191" s="17"/>
    </row>
    <row r="192" spans="6:6" x14ac:dyDescent="0.2">
      <c r="F192" s="17"/>
    </row>
    <row r="193" spans="6:6" x14ac:dyDescent="0.2">
      <c r="F193" s="17"/>
    </row>
    <row r="194" spans="6:6" x14ac:dyDescent="0.2">
      <c r="F194" s="17"/>
    </row>
    <row r="195" spans="6:6" x14ac:dyDescent="0.2">
      <c r="F195" s="17"/>
    </row>
    <row r="196" spans="6:6" x14ac:dyDescent="0.2">
      <c r="F196" s="17"/>
    </row>
    <row r="197" spans="6:6" x14ac:dyDescent="0.2">
      <c r="F197" s="17"/>
    </row>
    <row r="198" spans="6:6" x14ac:dyDescent="0.2">
      <c r="F198" s="17"/>
    </row>
    <row r="199" spans="6:6" x14ac:dyDescent="0.2">
      <c r="F199" s="17"/>
    </row>
    <row r="200" spans="6:6" x14ac:dyDescent="0.2">
      <c r="F200" s="17"/>
    </row>
    <row r="201" spans="6:6" x14ac:dyDescent="0.2">
      <c r="F201" s="17"/>
    </row>
    <row r="202" spans="6:6" x14ac:dyDescent="0.2">
      <c r="F202" s="17"/>
    </row>
    <row r="203" spans="6:6" x14ac:dyDescent="0.2">
      <c r="F203" s="17"/>
    </row>
    <row r="204" spans="6:6" x14ac:dyDescent="0.2">
      <c r="F204" s="17"/>
    </row>
    <row r="205" spans="6:6" x14ac:dyDescent="0.2">
      <c r="F205" s="17"/>
    </row>
    <row r="206" spans="6:6" x14ac:dyDescent="0.2">
      <c r="F206" s="17"/>
    </row>
    <row r="207" spans="6:6" x14ac:dyDescent="0.2">
      <c r="F207" s="17"/>
    </row>
    <row r="208" spans="6:6" x14ac:dyDescent="0.2">
      <c r="F208" s="17"/>
    </row>
    <row r="209" spans="6:6" x14ac:dyDescent="0.2">
      <c r="F209" s="17"/>
    </row>
    <row r="210" spans="6:6" x14ac:dyDescent="0.2">
      <c r="F210" s="17"/>
    </row>
    <row r="211" spans="6:6" x14ac:dyDescent="0.2">
      <c r="F211" s="17"/>
    </row>
    <row r="212" spans="6:6" x14ac:dyDescent="0.2">
      <c r="F212" s="17"/>
    </row>
    <row r="213" spans="6:6" x14ac:dyDescent="0.2">
      <c r="F213" s="17"/>
    </row>
    <row r="214" spans="6:6" x14ac:dyDescent="0.2">
      <c r="F214" s="17"/>
    </row>
    <row r="215" spans="6:6" x14ac:dyDescent="0.2">
      <c r="F215" s="17"/>
    </row>
    <row r="216" spans="6:6" x14ac:dyDescent="0.2">
      <c r="F216" s="17"/>
    </row>
    <row r="217" spans="6:6" x14ac:dyDescent="0.2">
      <c r="F217" s="17"/>
    </row>
    <row r="218" spans="6:6" x14ac:dyDescent="0.2">
      <c r="F218" s="17"/>
    </row>
    <row r="219" spans="6:6" x14ac:dyDescent="0.2">
      <c r="F219" s="17"/>
    </row>
    <row r="220" spans="6:6" x14ac:dyDescent="0.2">
      <c r="F220" s="17"/>
    </row>
    <row r="221" spans="6:6" x14ac:dyDescent="0.2">
      <c r="F221" s="17"/>
    </row>
    <row r="222" spans="6:6" x14ac:dyDescent="0.2">
      <c r="F222" s="17"/>
    </row>
    <row r="223" spans="6:6" x14ac:dyDescent="0.2">
      <c r="F223" s="17"/>
    </row>
    <row r="224" spans="6:6" x14ac:dyDescent="0.2">
      <c r="F224" s="17"/>
    </row>
    <row r="225" spans="6:6" x14ac:dyDescent="0.2">
      <c r="F225" s="17"/>
    </row>
    <row r="226" spans="6:6" x14ac:dyDescent="0.2">
      <c r="F226" s="17"/>
    </row>
    <row r="227" spans="6:6" x14ac:dyDescent="0.2">
      <c r="F227" s="17"/>
    </row>
    <row r="228" spans="6:6" x14ac:dyDescent="0.2">
      <c r="F228" s="17"/>
    </row>
    <row r="229" spans="6:6" x14ac:dyDescent="0.2">
      <c r="F229" s="17"/>
    </row>
    <row r="230" spans="6:6" x14ac:dyDescent="0.2">
      <c r="F230" s="17"/>
    </row>
    <row r="231" spans="6:6" x14ac:dyDescent="0.2">
      <c r="F231" s="17"/>
    </row>
    <row r="232" spans="6:6" x14ac:dyDescent="0.2">
      <c r="F232" s="17"/>
    </row>
    <row r="233" spans="6:6" x14ac:dyDescent="0.2">
      <c r="F233" s="17"/>
    </row>
    <row r="234" spans="6:6" x14ac:dyDescent="0.2">
      <c r="F234" s="17"/>
    </row>
    <row r="235" spans="6:6" x14ac:dyDescent="0.2">
      <c r="F235" s="17"/>
    </row>
    <row r="236" spans="6:6" x14ac:dyDescent="0.2">
      <c r="F236" s="17"/>
    </row>
    <row r="237" spans="6:6" x14ac:dyDescent="0.2">
      <c r="F237" s="17"/>
    </row>
    <row r="238" spans="6:6" x14ac:dyDescent="0.2">
      <c r="F238" s="17"/>
    </row>
    <row r="239" spans="6:6" x14ac:dyDescent="0.2">
      <c r="F239" s="17"/>
    </row>
    <row r="240" spans="6:6" x14ac:dyDescent="0.2">
      <c r="F240" s="17"/>
    </row>
    <row r="241" spans="6:6" x14ac:dyDescent="0.2">
      <c r="F241" s="17"/>
    </row>
    <row r="242" spans="6:6" x14ac:dyDescent="0.2">
      <c r="F242" s="17"/>
    </row>
    <row r="243" spans="6:6" x14ac:dyDescent="0.2">
      <c r="F243" s="17"/>
    </row>
    <row r="244" spans="6:6" x14ac:dyDescent="0.2">
      <c r="F244" s="17"/>
    </row>
    <row r="245" spans="6:6" x14ac:dyDescent="0.2">
      <c r="F245" s="17"/>
    </row>
    <row r="246" spans="6:6" x14ac:dyDescent="0.2">
      <c r="F246" s="17"/>
    </row>
    <row r="247" spans="6:6" x14ac:dyDescent="0.2">
      <c r="F247" s="17"/>
    </row>
    <row r="248" spans="6:6" x14ac:dyDescent="0.2">
      <c r="F248" s="17"/>
    </row>
    <row r="249" spans="6:6" x14ac:dyDescent="0.2">
      <c r="F249" s="17"/>
    </row>
    <row r="250" spans="6:6" x14ac:dyDescent="0.2">
      <c r="F250" s="17"/>
    </row>
    <row r="251" spans="6:6" x14ac:dyDescent="0.2">
      <c r="F251" s="17"/>
    </row>
    <row r="252" spans="6:6" x14ac:dyDescent="0.2">
      <c r="F252" s="17"/>
    </row>
    <row r="253" spans="6:6" x14ac:dyDescent="0.2">
      <c r="F253" s="17"/>
    </row>
    <row r="254" spans="6:6" x14ac:dyDescent="0.2">
      <c r="F254" s="17"/>
    </row>
    <row r="255" spans="6:6" x14ac:dyDescent="0.2">
      <c r="F255" s="17"/>
    </row>
    <row r="256" spans="6:6" x14ac:dyDescent="0.2">
      <c r="F256" s="17"/>
    </row>
    <row r="257" spans="6:6" x14ac:dyDescent="0.2">
      <c r="F257" s="17"/>
    </row>
    <row r="258" spans="6:6" x14ac:dyDescent="0.2">
      <c r="F258" s="17"/>
    </row>
    <row r="259" spans="6:6" x14ac:dyDescent="0.2">
      <c r="F259" s="17"/>
    </row>
    <row r="260" spans="6:6" x14ac:dyDescent="0.2">
      <c r="F260" s="17"/>
    </row>
    <row r="261" spans="6:6" x14ac:dyDescent="0.2">
      <c r="F261" s="17"/>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tabColor theme="4" tint="0.79998168889431442"/>
  </sheetPr>
  <dimension ref="A2:S149"/>
  <sheetViews>
    <sheetView topLeftCell="A122" zoomScale="74" zoomScaleNormal="80" workbookViewId="0">
      <selection activeCell="K131" sqref="K1:K1048576"/>
    </sheetView>
  </sheetViews>
  <sheetFormatPr baseColWidth="10" defaultColWidth="8.83203125" defaultRowHeight="15" x14ac:dyDescent="0.2"/>
  <cols>
    <col min="1" max="1" width="8.6640625" customWidth="1"/>
    <col min="2" max="2" width="30.5" customWidth="1"/>
    <col min="3" max="3" width="19" customWidth="1"/>
    <col min="4" max="4" width="12.83203125" customWidth="1"/>
    <col min="5" max="5" width="11.33203125" customWidth="1"/>
    <col min="6" max="10" width="12.6640625" customWidth="1"/>
    <col min="11" max="11" width="14.33203125" customWidth="1"/>
    <col min="12" max="17" width="12.6640625" customWidth="1"/>
  </cols>
  <sheetData>
    <row r="2" spans="1:19" ht="21" customHeight="1" x14ac:dyDescent="0.25">
      <c r="A2" s="2" t="s">
        <v>318</v>
      </c>
      <c r="F2" t="s">
        <v>290</v>
      </c>
      <c r="O2" t="s">
        <v>291</v>
      </c>
    </row>
    <row r="3" spans="1:19" x14ac:dyDescent="0.2">
      <c r="H3" s="9"/>
      <c r="I3" s="9"/>
      <c r="J3" s="9"/>
      <c r="K3" s="9"/>
      <c r="L3" s="9"/>
      <c r="M3" s="9"/>
      <c r="N3" s="9"/>
      <c r="P3" s="9"/>
    </row>
    <row r="4" spans="1:19" ht="29" customHeight="1" x14ac:dyDescent="0.2">
      <c r="A4" s="196" t="s">
        <v>292</v>
      </c>
      <c r="B4" s="179"/>
      <c r="C4" s="179"/>
      <c r="D4" s="179"/>
      <c r="E4" s="179"/>
      <c r="F4" s="180" t="s">
        <v>9</v>
      </c>
      <c r="G4" s="180" t="s">
        <v>10</v>
      </c>
      <c r="H4" s="181"/>
      <c r="I4" s="180" t="s">
        <v>11</v>
      </c>
      <c r="J4" s="103"/>
      <c r="K4" s="180" t="s">
        <v>12</v>
      </c>
      <c r="L4" s="103"/>
      <c r="M4" s="103"/>
      <c r="N4" s="103"/>
      <c r="O4" s="104" t="s">
        <v>13</v>
      </c>
      <c r="P4" s="104" t="s">
        <v>14</v>
      </c>
      <c r="Q4" s="182" t="s">
        <v>15</v>
      </c>
      <c r="R4" s="180" t="s">
        <v>293</v>
      </c>
    </row>
    <row r="5" spans="1:19" ht="57" customHeight="1" x14ac:dyDescent="0.2">
      <c r="A5" s="97" t="s">
        <v>114</v>
      </c>
      <c r="B5" s="97" t="s">
        <v>292</v>
      </c>
      <c r="C5" s="97" t="s">
        <v>294</v>
      </c>
      <c r="D5" s="97" t="s">
        <v>19</v>
      </c>
      <c r="E5" s="184" t="s">
        <v>20</v>
      </c>
      <c r="F5" s="183"/>
      <c r="G5" s="98" t="s">
        <v>92</v>
      </c>
      <c r="H5" s="98" t="s">
        <v>24</v>
      </c>
      <c r="I5" s="98" t="s">
        <v>295</v>
      </c>
      <c r="J5" s="98" t="s">
        <v>296</v>
      </c>
      <c r="K5" s="98" t="s">
        <v>27</v>
      </c>
      <c r="L5" s="98" t="s">
        <v>28</v>
      </c>
      <c r="M5" s="98" t="s">
        <v>29</v>
      </c>
      <c r="N5" s="98" t="s">
        <v>30</v>
      </c>
      <c r="O5" s="98" t="s">
        <v>31</v>
      </c>
      <c r="P5" s="98" t="s">
        <v>297</v>
      </c>
      <c r="Q5" s="184" t="s">
        <v>298</v>
      </c>
      <c r="R5" s="98"/>
    </row>
    <row r="6" spans="1:19" x14ac:dyDescent="0.2">
      <c r="A6" s="22" t="s">
        <v>299</v>
      </c>
      <c r="B6" s="17" t="s">
        <v>198</v>
      </c>
      <c r="C6" s="17" t="s">
        <v>300</v>
      </c>
      <c r="D6" s="23" t="s">
        <v>42</v>
      </c>
      <c r="E6" s="23" t="s">
        <v>43</v>
      </c>
      <c r="F6" s="213">
        <f t="shared" ref="F6:F12" si="0">SUM(G6:Q6)</f>
        <v>1.3263188780202382E-4</v>
      </c>
      <c r="G6" s="195">
        <v>0</v>
      </c>
      <c r="H6" s="195">
        <v>9.5000000000000005E-5</v>
      </c>
      <c r="I6" s="195">
        <v>0</v>
      </c>
      <c r="J6" s="195"/>
      <c r="K6" s="195">
        <v>1.4864399472615801E-5</v>
      </c>
      <c r="L6" s="195">
        <v>0</v>
      </c>
      <c r="M6" s="195">
        <v>0</v>
      </c>
      <c r="N6" s="195">
        <v>2.2767488329407998E-5</v>
      </c>
      <c r="O6" s="195"/>
      <c r="P6" s="101"/>
      <c r="Q6" s="195"/>
      <c r="R6" s="198">
        <f>'Parameters, country spec'!B21</f>
        <v>0</v>
      </c>
    </row>
    <row r="7" spans="1:19" x14ac:dyDescent="0.2">
      <c r="A7" s="22" t="s">
        <v>301</v>
      </c>
      <c r="B7" s="17" t="s">
        <v>201</v>
      </c>
      <c r="C7" s="17" t="s">
        <v>300</v>
      </c>
      <c r="D7" s="23" t="s">
        <v>42</v>
      </c>
      <c r="E7" s="23" t="s">
        <v>43</v>
      </c>
      <c r="F7" s="211">
        <f t="shared" si="0"/>
        <v>1.2856994124224201E-4</v>
      </c>
      <c r="G7" s="101">
        <v>0</v>
      </c>
      <c r="H7" s="101">
        <v>9.5000000000000005E-5</v>
      </c>
      <c r="I7" s="101">
        <v>0</v>
      </c>
      <c r="J7" s="101"/>
      <c r="K7" s="101">
        <v>1.0802452912833999E-5</v>
      </c>
      <c r="L7" s="101">
        <v>0</v>
      </c>
      <c r="M7" s="101">
        <v>0</v>
      </c>
      <c r="N7" s="101">
        <v>2.2767488329407998E-5</v>
      </c>
      <c r="O7" s="101"/>
      <c r="P7" s="101"/>
      <c r="Q7" s="101"/>
      <c r="R7" s="187">
        <f>'Parameters, country spec'!B22</f>
        <v>0.15</v>
      </c>
    </row>
    <row r="8" spans="1:19" x14ac:dyDescent="0.2">
      <c r="A8" s="22" t="s">
        <v>302</v>
      </c>
      <c r="B8" s="17" t="s">
        <v>204</v>
      </c>
      <c r="C8" s="17" t="s">
        <v>300</v>
      </c>
      <c r="D8" s="23" t="s">
        <v>42</v>
      </c>
      <c r="E8" s="23" t="s">
        <v>43</v>
      </c>
      <c r="F8" s="211">
        <f t="shared" si="0"/>
        <v>1.3407185237155131E-4</v>
      </c>
      <c r="G8" s="101">
        <v>0</v>
      </c>
      <c r="H8" s="101">
        <v>9.5000000000000005E-5</v>
      </c>
      <c r="I8" s="101">
        <v>0</v>
      </c>
      <c r="J8" s="101"/>
      <c r="K8" s="101">
        <v>1.6302901263566199E-5</v>
      </c>
      <c r="L8" s="101">
        <v>0</v>
      </c>
      <c r="M8" s="101">
        <v>1.4627785770931999E-9</v>
      </c>
      <c r="N8" s="101">
        <v>2.2767488329407998E-5</v>
      </c>
      <c r="O8" s="101"/>
      <c r="P8" s="101"/>
      <c r="Q8" s="101"/>
      <c r="R8" s="187">
        <f>'Parameters, country spec'!B23</f>
        <v>0</v>
      </c>
    </row>
    <row r="9" spans="1:19" x14ac:dyDescent="0.2">
      <c r="A9" s="22" t="s">
        <v>303</v>
      </c>
      <c r="B9" s="17" t="s">
        <v>205</v>
      </c>
      <c r="C9" s="17" t="s">
        <v>300</v>
      </c>
      <c r="D9" s="23" t="s">
        <v>42</v>
      </c>
      <c r="E9" s="23" t="s">
        <v>43</v>
      </c>
      <c r="F9" s="211">
        <f t="shared" si="0"/>
        <v>1.3254315618792918E-4</v>
      </c>
      <c r="G9" s="101">
        <v>0</v>
      </c>
      <c r="H9" s="101">
        <v>9.5000000000000005E-5</v>
      </c>
      <c r="I9" s="101">
        <v>0</v>
      </c>
      <c r="J9" s="101"/>
      <c r="K9" s="101">
        <v>1.4226319531841999E-5</v>
      </c>
      <c r="L9" s="101">
        <v>0</v>
      </c>
      <c r="M9" s="101">
        <v>5.4934832667917605E-7</v>
      </c>
      <c r="N9" s="101">
        <v>2.2767488329407998E-5</v>
      </c>
      <c r="O9" s="101"/>
      <c r="P9" s="101"/>
      <c r="Q9" s="101"/>
      <c r="R9" s="187">
        <f>'Parameters, country spec'!B24</f>
        <v>0</v>
      </c>
    </row>
    <row r="10" spans="1:19" x14ac:dyDescent="0.2">
      <c r="A10" s="22" t="s">
        <v>304</v>
      </c>
      <c r="B10" s="17" t="s">
        <v>206</v>
      </c>
      <c r="C10" s="17" t="s">
        <v>300</v>
      </c>
      <c r="D10" s="23" t="s">
        <v>42</v>
      </c>
      <c r="E10" s="23" t="s">
        <v>43</v>
      </c>
      <c r="F10" s="211">
        <f t="shared" si="0"/>
        <v>1.2932467298374753E-4</v>
      </c>
      <c r="G10" s="101">
        <v>0</v>
      </c>
      <c r="H10" s="101">
        <v>9.5000000000000005E-5</v>
      </c>
      <c r="I10" s="101">
        <v>0</v>
      </c>
      <c r="J10" s="101"/>
      <c r="K10" s="101">
        <v>1.11229556161666E-5</v>
      </c>
      <c r="L10" s="101">
        <v>0</v>
      </c>
      <c r="M10" s="101">
        <v>4.3422903817292198E-7</v>
      </c>
      <c r="N10" s="101">
        <v>2.2767488329407998E-5</v>
      </c>
      <c r="O10" s="101"/>
      <c r="P10" s="101"/>
      <c r="Q10" s="101"/>
      <c r="R10" s="187">
        <f>'Parameters, country spec'!B25</f>
        <v>0.5</v>
      </c>
    </row>
    <row r="11" spans="1:19" x14ac:dyDescent="0.2">
      <c r="A11" s="22" t="s">
        <v>305</v>
      </c>
      <c r="B11" s="17" t="s">
        <v>207</v>
      </c>
      <c r="C11" s="17" t="s">
        <v>306</v>
      </c>
      <c r="D11" s="23" t="s">
        <v>42</v>
      </c>
      <c r="E11" s="23" t="s">
        <v>43</v>
      </c>
      <c r="F11" s="211">
        <f t="shared" si="0"/>
        <v>1.818323651815133E-4</v>
      </c>
      <c r="G11" s="101">
        <v>0</v>
      </c>
      <c r="H11" s="101">
        <v>9.5000000000000005E-5</v>
      </c>
      <c r="I11" s="101">
        <v>0</v>
      </c>
      <c r="J11" s="101"/>
      <c r="K11" s="101">
        <v>2.19443131835724E-5</v>
      </c>
      <c r="L11" s="101">
        <v>0</v>
      </c>
      <c r="M11" s="101">
        <v>4.21205636685329E-5</v>
      </c>
      <c r="N11" s="101">
        <v>2.2767488329407998E-5</v>
      </c>
      <c r="O11" s="101"/>
      <c r="P11" s="101"/>
      <c r="Q11" s="101"/>
      <c r="R11" s="187">
        <f>'Parameters, country spec'!B26</f>
        <v>0</v>
      </c>
    </row>
    <row r="12" spans="1:19" x14ac:dyDescent="0.2">
      <c r="A12" s="22" t="s">
        <v>307</v>
      </c>
      <c r="B12" s="17" t="s">
        <v>208</v>
      </c>
      <c r="C12" s="17" t="s">
        <v>306</v>
      </c>
      <c r="D12" s="23" t="s">
        <v>42</v>
      </c>
      <c r="E12" s="23" t="s">
        <v>43</v>
      </c>
      <c r="F12" s="211">
        <f t="shared" si="0"/>
        <v>1.9553165597299701E-4</v>
      </c>
      <c r="G12" s="101">
        <v>0</v>
      </c>
      <c r="H12" s="101">
        <v>9.5000000000000005E-5</v>
      </c>
      <c r="I12" s="101">
        <v>0</v>
      </c>
      <c r="J12" s="101"/>
      <c r="K12" s="101">
        <v>2.0386285499577299E-5</v>
      </c>
      <c r="L12" s="101">
        <v>0</v>
      </c>
      <c r="M12" s="101">
        <v>5.7377882144011697E-5</v>
      </c>
      <c r="N12" s="101">
        <v>2.2767488329407998E-5</v>
      </c>
      <c r="O12" s="101"/>
      <c r="P12" s="101"/>
      <c r="Q12" s="101"/>
      <c r="R12" s="187">
        <f>'Parameters, country spec'!B27</f>
        <v>0</v>
      </c>
    </row>
    <row r="13" spans="1:19" x14ac:dyDescent="0.2">
      <c r="B13" s="18" t="s">
        <v>209</v>
      </c>
      <c r="C13" s="17" t="s">
        <v>308</v>
      </c>
      <c r="D13" s="23" t="str">
        <f>'Off-farm feed'!$D$75</f>
        <v>France, Germany, Poland</v>
      </c>
      <c r="E13" s="23" t="s">
        <v>319</v>
      </c>
      <c r="F13" s="212">
        <f>'Off-farm feed'!$E$75</f>
        <v>3.8246443678729503E-4</v>
      </c>
      <c r="G13" s="212">
        <f>'Off-farm feed'!$F$75</f>
        <v>1.6847747663020733E-4</v>
      </c>
      <c r="H13" s="212">
        <f>'Off-farm feed'!$G$75</f>
        <v>4.5862068965517246E-5</v>
      </c>
      <c r="I13" s="212">
        <f>'Off-farm feed'!$H$75</f>
        <v>0</v>
      </c>
      <c r="J13" s="212">
        <f>'Off-farm feed'!$I$75</f>
        <v>0</v>
      </c>
      <c r="K13" s="212">
        <f>'Off-farm feed'!$J$75</f>
        <v>1.0936279334641699E-5</v>
      </c>
      <c r="L13" s="212">
        <f>'Off-farm feed'!$K$75</f>
        <v>0</v>
      </c>
      <c r="M13" s="212">
        <f>'Off-farm feed'!$L$75</f>
        <v>6.4606960551724142E-7</v>
      </c>
      <c r="N13" s="212">
        <f>'Off-farm feed'!$M$75</f>
        <v>2.1884761697575221E-5</v>
      </c>
      <c r="O13" s="212">
        <f>'Off-farm feed'!$N$75</f>
        <v>0</v>
      </c>
      <c r="P13" s="212">
        <f>'Off-farm feed'!$O$75</f>
        <v>4.5962128379923288E-5</v>
      </c>
      <c r="Q13" s="212">
        <f>'Off-farm feed'!$P$75</f>
        <v>8.8695652173913049E-5</v>
      </c>
      <c r="R13" s="187">
        <f>'Parameters, country spec'!B28</f>
        <v>0.03</v>
      </c>
    </row>
    <row r="14" spans="1:19" x14ac:dyDescent="0.2">
      <c r="B14" s="18" t="s">
        <v>309</v>
      </c>
      <c r="C14" s="17" t="s">
        <v>308</v>
      </c>
      <c r="D14" s="23" t="str">
        <f>'Off-farm feed'!$D$24</f>
        <v>Brazil, Argentina</v>
      </c>
      <c r="E14" s="23"/>
      <c r="F14" s="212">
        <f>'Off-farm feed'!$E$24</f>
        <v>4.7266553697523981E-4</v>
      </c>
      <c r="G14" s="212">
        <f>'Off-farm feed'!$F$24</f>
        <v>1.5603516238625262E-5</v>
      </c>
      <c r="H14" s="212">
        <f>'Off-farm feed'!$G$24</f>
        <v>7.5304878048780503E-5</v>
      </c>
      <c r="I14" s="212">
        <f>'Off-farm feed'!$H$24</f>
        <v>0</v>
      </c>
      <c r="J14" s="212">
        <f>'Off-farm feed'!$I$24</f>
        <v>0</v>
      </c>
      <c r="K14" s="212">
        <f>'Off-farm feed'!$J$24</f>
        <v>1.9084590744355864E-5</v>
      </c>
      <c r="L14" s="212">
        <f>'Off-farm feed'!$K$24</f>
        <v>0</v>
      </c>
      <c r="M14" s="212">
        <f>'Off-farm feed'!$L$24</f>
        <v>5.9672097439024396E-7</v>
      </c>
      <c r="N14" s="212">
        <f>'Off-farm feed'!$M$24</f>
        <v>2.3084271612619523E-5</v>
      </c>
      <c r="O14" s="212">
        <f>'Off-farm feed'!$N$24</f>
        <v>0</v>
      </c>
      <c r="P14" s="212">
        <f>'Off-farm feed'!$O$24</f>
        <v>1.2899155935646844E-4</v>
      </c>
      <c r="Q14" s="212">
        <f>'Off-farm feed'!$P$24</f>
        <v>2.1000000000000001E-4</v>
      </c>
      <c r="R14" s="187">
        <f>'Parameters, country spec'!B29</f>
        <v>0.28999999999999998</v>
      </c>
    </row>
    <row r="15" spans="1:19" x14ac:dyDescent="0.2">
      <c r="B15" s="17" t="s">
        <v>213</v>
      </c>
      <c r="C15" s="17" t="s">
        <v>310</v>
      </c>
      <c r="D15" s="23" t="s">
        <v>42</v>
      </c>
      <c r="E15" s="23" t="s">
        <v>43</v>
      </c>
      <c r="F15" s="211">
        <f>SUM(G15:Q15)</f>
        <v>1.0203306988267478E-3</v>
      </c>
      <c r="G15" s="101">
        <v>0</v>
      </c>
      <c r="H15" s="101">
        <v>8.5499999999999995E-6</v>
      </c>
      <c r="I15" s="47">
        <v>0</v>
      </c>
      <c r="J15" s="47"/>
      <c r="K15" s="101">
        <v>1.0010660054549999E-6</v>
      </c>
      <c r="L15" s="47">
        <v>0</v>
      </c>
      <c r="M15" s="47">
        <v>3.9080613435562999E-8</v>
      </c>
      <c r="N15" s="101">
        <v>2.0490739496467201E-6</v>
      </c>
      <c r="O15" s="101"/>
      <c r="P15" s="101">
        <v>9.9818289932063491E-4</v>
      </c>
      <c r="Q15" s="101">
        <v>1.05085789375756E-5</v>
      </c>
      <c r="R15" s="187">
        <f>'Parameters, country spec'!B30</f>
        <v>0</v>
      </c>
      <c r="S15" t="s">
        <v>315</v>
      </c>
    </row>
    <row r="16" spans="1:19" x14ac:dyDescent="0.2">
      <c r="A16" s="82"/>
      <c r="B16" s="17" t="s">
        <v>312</v>
      </c>
      <c r="C16" s="83" t="s">
        <v>313</v>
      </c>
      <c r="D16" s="23" t="s">
        <v>42</v>
      </c>
      <c r="E16" s="23" t="s">
        <v>43</v>
      </c>
      <c r="F16" s="212">
        <f>SUM(G16:Q16)</f>
        <v>1.5733179617713716E-4</v>
      </c>
      <c r="G16" s="81">
        <f t="shared" ref="G16:N16" si="1">AVERAGE(G6:G14)</f>
        <v>2.045344365209251E-5</v>
      </c>
      <c r="H16" s="81">
        <f t="shared" si="1"/>
        <v>8.7351883001588647E-5</v>
      </c>
      <c r="I16" s="81">
        <f t="shared" si="1"/>
        <v>0</v>
      </c>
      <c r="J16" s="81">
        <f t="shared" si="1"/>
        <v>0</v>
      </c>
      <c r="K16" s="81">
        <f t="shared" si="1"/>
        <v>1.5518944173241319E-5</v>
      </c>
      <c r="L16" s="81">
        <f t="shared" si="1"/>
        <v>0</v>
      </c>
      <c r="M16" s="81">
        <f t="shared" si="1"/>
        <v>1.130291961509792E-5</v>
      </c>
      <c r="N16" s="81">
        <f t="shared" si="1"/>
        <v>2.270460573511675E-5</v>
      </c>
      <c r="O16" s="81"/>
      <c r="P16" s="81"/>
      <c r="Q16" s="81"/>
      <c r="R16" s="187">
        <f>'Parameters, country spec'!B31</f>
        <v>0.03</v>
      </c>
    </row>
    <row r="17" spans="1:18" x14ac:dyDescent="0.2">
      <c r="A17" s="185"/>
      <c r="B17" s="25" t="s">
        <v>314</v>
      </c>
      <c r="C17" s="26"/>
      <c r="D17" s="102"/>
      <c r="E17" s="102"/>
      <c r="F17" s="45">
        <f t="shared" ref="F17:O17" si="2">SUMPRODUCT(F6:F16,$R$6:$R$16)</f>
        <v>2.3721472038996255E-4</v>
      </c>
      <c r="G17" s="45">
        <f t="shared" si="2"/>
        <v>1.0192947317670319E-5</v>
      </c>
      <c r="H17" s="45">
        <f t="shared" si="2"/>
        <v>8.7584833193159534E-5</v>
      </c>
      <c r="I17" s="45">
        <f t="shared" si="2"/>
        <v>0</v>
      </c>
      <c r="J17" s="45">
        <f t="shared" si="2"/>
        <v>0</v>
      </c>
      <c r="K17" s="45">
        <f t="shared" si="2"/>
        <v>1.351003376610809E-5</v>
      </c>
      <c r="L17" s="45">
        <f t="shared" si="2"/>
        <v>0</v>
      </c>
      <c r="M17" s="45">
        <f t="shared" si="2"/>
        <v>7.4863327827808656E-7</v>
      </c>
      <c r="N17" s="45">
        <f t="shared" si="2"/>
        <v>2.2830987204755619E-5</v>
      </c>
      <c r="O17" s="45">
        <f t="shared" si="2"/>
        <v>0</v>
      </c>
      <c r="P17" s="30">
        <f>SUMPRODUCT(P6:P16,R6:R16)</f>
        <v>3.8786416064773547E-5</v>
      </c>
      <c r="Q17" s="45">
        <f>SUMPRODUCT(Q6:Q16,$R$6:$R$16)</f>
        <v>6.3560869565217393E-5</v>
      </c>
      <c r="R17" s="197"/>
    </row>
    <row r="18" spans="1:18" x14ac:dyDescent="0.2">
      <c r="A18" s="22" t="s">
        <v>299</v>
      </c>
      <c r="B18" s="17" t="s">
        <v>198</v>
      </c>
      <c r="C18" s="17" t="s">
        <v>300</v>
      </c>
      <c r="D18" s="23" t="s">
        <v>49</v>
      </c>
      <c r="E18" s="23" t="s">
        <v>50</v>
      </c>
      <c r="F18" s="213">
        <f t="shared" ref="F18:F24" si="3">SUM(G18:Q18)</f>
        <v>1.2723432874739088E-4</v>
      </c>
      <c r="G18" s="195">
        <v>0</v>
      </c>
      <c r="H18" s="195">
        <v>9.5000000000000005E-5</v>
      </c>
      <c r="I18" s="195">
        <v>0</v>
      </c>
      <c r="J18" s="195"/>
      <c r="K18" s="195">
        <v>1.4286171732003099E-5</v>
      </c>
      <c r="L18" s="195">
        <v>0</v>
      </c>
      <c r="M18" s="195">
        <v>6.3275175978860003E-10</v>
      </c>
      <c r="N18" s="195">
        <v>1.7947524263628E-5</v>
      </c>
      <c r="O18" s="195"/>
      <c r="P18" s="101"/>
      <c r="Q18" s="195"/>
      <c r="R18" s="198">
        <f>'Parameters, country spec'!C21</f>
        <v>0.1293861840707447</v>
      </c>
    </row>
    <row r="19" spans="1:18" x14ac:dyDescent="0.2">
      <c r="A19" s="22" t="s">
        <v>301</v>
      </c>
      <c r="B19" s="17" t="s">
        <v>201</v>
      </c>
      <c r="C19" s="17" t="s">
        <v>300</v>
      </c>
      <c r="D19" s="23" t="s">
        <v>49</v>
      </c>
      <c r="E19" s="23" t="s">
        <v>50</v>
      </c>
      <c r="F19" s="211">
        <f t="shared" si="3"/>
        <v>1.3043464412497476E-4</v>
      </c>
      <c r="G19" s="101">
        <v>0</v>
      </c>
      <c r="H19" s="101">
        <v>9.5000000000000005E-5</v>
      </c>
      <c r="I19" s="101">
        <v>0</v>
      </c>
      <c r="J19" s="101"/>
      <c r="K19" s="101">
        <v>8.0196373769558906E-6</v>
      </c>
      <c r="L19" s="101">
        <v>0</v>
      </c>
      <c r="M19" s="101">
        <v>9.4674824843908693E-6</v>
      </c>
      <c r="N19" s="101">
        <v>1.7947524263628E-5</v>
      </c>
      <c r="O19" s="101"/>
      <c r="P19" s="101"/>
      <c r="Q19" s="101"/>
      <c r="R19" s="187">
        <f>'Parameters, country spec'!C22</f>
        <v>0.21280975376032871</v>
      </c>
    </row>
    <row r="20" spans="1:18" x14ac:dyDescent="0.2">
      <c r="A20" s="22" t="s">
        <v>302</v>
      </c>
      <c r="B20" s="17" t="s">
        <v>204</v>
      </c>
      <c r="C20" s="17" t="s">
        <v>300</v>
      </c>
      <c r="D20" s="23" t="s">
        <v>49</v>
      </c>
      <c r="E20" s="23" t="s">
        <v>50</v>
      </c>
      <c r="F20" s="211">
        <f t="shared" si="3"/>
        <v>1.3636510111587278E-4</v>
      </c>
      <c r="G20" s="101">
        <v>0</v>
      </c>
      <c r="H20" s="101">
        <v>9.5000000000000005E-5</v>
      </c>
      <c r="I20" s="101">
        <v>0</v>
      </c>
      <c r="J20" s="101"/>
      <c r="K20" s="101">
        <v>1.9833005319278798E-5</v>
      </c>
      <c r="L20" s="101">
        <v>0</v>
      </c>
      <c r="M20" s="101">
        <v>3.5845715329659699E-6</v>
      </c>
      <c r="N20" s="101">
        <v>1.7947524263628E-5</v>
      </c>
      <c r="O20" s="101"/>
      <c r="P20" s="101"/>
      <c r="Q20" s="101"/>
      <c r="R20" s="187">
        <f>'Parameters, country spec'!C23</f>
        <v>1.4661663802605951E-2</v>
      </c>
    </row>
    <row r="21" spans="1:18" x14ac:dyDescent="0.2">
      <c r="A21" s="22" t="s">
        <v>303</v>
      </c>
      <c r="B21" s="17" t="s">
        <v>205</v>
      </c>
      <c r="C21" s="17" t="s">
        <v>300</v>
      </c>
      <c r="D21" s="23" t="s">
        <v>49</v>
      </c>
      <c r="E21" s="23" t="s">
        <v>50</v>
      </c>
      <c r="F21" s="211">
        <f t="shared" si="3"/>
        <v>1.3385318160415261E-4</v>
      </c>
      <c r="G21" s="101">
        <v>0</v>
      </c>
      <c r="H21" s="101">
        <v>9.5000000000000005E-5</v>
      </c>
      <c r="I21" s="101">
        <v>0</v>
      </c>
      <c r="J21" s="101"/>
      <c r="K21" s="101">
        <v>2.0824119581523299E-5</v>
      </c>
      <c r="L21" s="101">
        <v>0</v>
      </c>
      <c r="M21" s="101">
        <v>8.15377590012958E-8</v>
      </c>
      <c r="N21" s="101">
        <v>1.7947524263628E-5</v>
      </c>
      <c r="O21" s="101"/>
      <c r="P21" s="101"/>
      <c r="Q21" s="101"/>
      <c r="R21" s="187">
        <f>'Parameters, country spec'!C24</f>
        <v>2.2515954502451301E-3</v>
      </c>
    </row>
    <row r="22" spans="1:18" x14ac:dyDescent="0.2">
      <c r="A22" s="22" t="s">
        <v>304</v>
      </c>
      <c r="B22" s="17" t="s">
        <v>206</v>
      </c>
      <c r="C22" s="17" t="s">
        <v>300</v>
      </c>
      <c r="D22" s="23" t="s">
        <v>49</v>
      </c>
      <c r="E22" s="23" t="s">
        <v>50</v>
      </c>
      <c r="F22" s="211">
        <f t="shared" si="3"/>
        <v>1.2561669774931828E-4</v>
      </c>
      <c r="G22" s="101">
        <v>0</v>
      </c>
      <c r="H22" s="101">
        <v>9.5000000000000005E-5</v>
      </c>
      <c r="I22" s="101">
        <v>0</v>
      </c>
      <c r="J22" s="101"/>
      <c r="K22" s="101">
        <v>1.2616551699637E-5</v>
      </c>
      <c r="L22" s="101">
        <v>0</v>
      </c>
      <c r="M22" s="101">
        <v>5.2621786053292597E-8</v>
      </c>
      <c r="N22" s="101">
        <v>1.7947524263628E-5</v>
      </c>
      <c r="O22" s="101"/>
      <c r="P22" s="101"/>
      <c r="Q22" s="101"/>
      <c r="R22" s="187">
        <f>'Parameters, country spec'!C25</f>
        <v>0.31521053769451612</v>
      </c>
    </row>
    <row r="23" spans="1:18" x14ac:dyDescent="0.2">
      <c r="A23" s="22" t="s">
        <v>305</v>
      </c>
      <c r="B23" s="17" t="s">
        <v>207</v>
      </c>
      <c r="C23" s="17" t="s">
        <v>306</v>
      </c>
      <c r="D23" s="23" t="s">
        <v>49</v>
      </c>
      <c r="E23" s="23" t="s">
        <v>50</v>
      </c>
      <c r="F23" s="211">
        <f t="shared" si="3"/>
        <v>1.5323348809202599E-4</v>
      </c>
      <c r="G23" s="101">
        <v>0</v>
      </c>
      <c r="H23" s="101">
        <v>9.5000000000000005E-5</v>
      </c>
      <c r="I23" s="101">
        <v>0</v>
      </c>
      <c r="J23" s="101"/>
      <c r="K23" s="101">
        <v>2.6539357994497098E-5</v>
      </c>
      <c r="L23" s="101">
        <v>0</v>
      </c>
      <c r="M23" s="101">
        <v>1.3746605833900899E-5</v>
      </c>
      <c r="N23" s="101">
        <v>1.7947524263628E-5</v>
      </c>
      <c r="O23" s="101"/>
      <c r="P23" s="101"/>
      <c r="Q23" s="101"/>
      <c r="R23" s="187">
        <f>'Parameters, country spec'!C26</f>
        <v>0</v>
      </c>
    </row>
    <row r="24" spans="1:18" x14ac:dyDescent="0.2">
      <c r="A24" s="22" t="s">
        <v>307</v>
      </c>
      <c r="B24" s="17" t="s">
        <v>208</v>
      </c>
      <c r="C24" s="17" t="s">
        <v>306</v>
      </c>
      <c r="D24" s="23" t="s">
        <v>49</v>
      </c>
      <c r="E24" s="23" t="s">
        <v>50</v>
      </c>
      <c r="F24" s="211">
        <f t="shared" si="3"/>
        <v>1.6119222279590621E-4</v>
      </c>
      <c r="G24" s="101">
        <v>0</v>
      </c>
      <c r="H24" s="101">
        <v>9.5000000000000005E-5</v>
      </c>
      <c r="I24" s="101">
        <v>0</v>
      </c>
      <c r="J24" s="101"/>
      <c r="K24" s="101">
        <v>3.2556824375567801E-5</v>
      </c>
      <c r="L24" s="101">
        <v>0</v>
      </c>
      <c r="M24" s="101">
        <v>1.5687874156710401E-5</v>
      </c>
      <c r="N24" s="101">
        <v>1.7947524263628E-5</v>
      </c>
      <c r="O24" s="101"/>
      <c r="P24" s="101"/>
      <c r="Q24" s="101"/>
      <c r="R24" s="187">
        <f>'Parameters, country spec'!C27</f>
        <v>0</v>
      </c>
    </row>
    <row r="25" spans="1:18" x14ac:dyDescent="0.2">
      <c r="B25" s="18" t="s">
        <v>209</v>
      </c>
      <c r="C25" s="17" t="s">
        <v>308</v>
      </c>
      <c r="D25" s="23" t="str">
        <f>'Off-farm feed'!$D$75</f>
        <v>France, Germany, Poland</v>
      </c>
      <c r="E25" s="23" t="s">
        <v>319</v>
      </c>
      <c r="F25" s="212">
        <f>'Off-farm feed'!$E$75</f>
        <v>3.8246443678729503E-4</v>
      </c>
      <c r="G25" s="212">
        <f>'Off-farm feed'!$F$75</f>
        <v>1.6847747663020733E-4</v>
      </c>
      <c r="H25" s="212">
        <f>'Off-farm feed'!$G$75</f>
        <v>4.5862068965517246E-5</v>
      </c>
      <c r="I25" s="212">
        <f>'Off-farm feed'!$H$75</f>
        <v>0</v>
      </c>
      <c r="J25" s="212">
        <f>'Off-farm feed'!$I$75</f>
        <v>0</v>
      </c>
      <c r="K25" s="212">
        <f>'Off-farm feed'!$J$75</f>
        <v>1.0936279334641699E-5</v>
      </c>
      <c r="L25" s="212">
        <f>'Off-farm feed'!$K$75</f>
        <v>0</v>
      </c>
      <c r="M25" s="212">
        <f>'Off-farm feed'!$L$75</f>
        <v>6.4606960551724142E-7</v>
      </c>
      <c r="N25" s="212">
        <f>'Off-farm feed'!$M$75</f>
        <v>2.1884761697575221E-5</v>
      </c>
      <c r="O25" s="212">
        <f>'Off-farm feed'!$N$75</f>
        <v>0</v>
      </c>
      <c r="P25" s="212">
        <f>'Off-farm feed'!$O$75</f>
        <v>4.5962128379923288E-5</v>
      </c>
      <c r="Q25" s="212">
        <f>'Off-farm feed'!$P$75</f>
        <v>8.8695652173913049E-5</v>
      </c>
      <c r="R25" s="187">
        <f>'Parameters, country spec'!C28</f>
        <v>9.7073458625180783E-2</v>
      </c>
    </row>
    <row r="26" spans="1:18" x14ac:dyDescent="0.2">
      <c r="B26" s="18" t="s">
        <v>309</v>
      </c>
      <c r="C26" s="17" t="s">
        <v>308</v>
      </c>
      <c r="D26" s="23" t="str">
        <f>'Off-farm feed'!$D$24</f>
        <v>Brazil, Argentina</v>
      </c>
      <c r="E26" s="23"/>
      <c r="F26" s="212">
        <f>'Off-farm feed'!$E$24</f>
        <v>4.7266553697523981E-4</v>
      </c>
      <c r="G26" s="212">
        <f>'Off-farm feed'!$F$24</f>
        <v>1.5603516238625262E-5</v>
      </c>
      <c r="H26" s="212">
        <f>'Off-farm feed'!$G$24</f>
        <v>7.5304878048780503E-5</v>
      </c>
      <c r="I26" s="212">
        <f>'Off-farm feed'!$H$24</f>
        <v>0</v>
      </c>
      <c r="J26" s="212">
        <f>'Off-farm feed'!$I$24</f>
        <v>0</v>
      </c>
      <c r="K26" s="212">
        <f>'Off-farm feed'!$J$24</f>
        <v>1.9084590744355864E-5</v>
      </c>
      <c r="L26" s="212">
        <f>'Off-farm feed'!$K$24</f>
        <v>0</v>
      </c>
      <c r="M26" s="212">
        <f>'Off-farm feed'!$L$24</f>
        <v>5.9672097439024396E-7</v>
      </c>
      <c r="N26" s="212">
        <f>'Off-farm feed'!$M$24</f>
        <v>2.3084271612619523E-5</v>
      </c>
      <c r="O26" s="212">
        <f>'Off-farm feed'!$N$24</f>
        <v>0</v>
      </c>
      <c r="P26" s="212">
        <f>'Off-farm feed'!$O$24</f>
        <v>1.2899155935646844E-4</v>
      </c>
      <c r="Q26" s="212">
        <f>'Off-farm feed'!$P$24</f>
        <v>2.1000000000000001E-4</v>
      </c>
      <c r="R26" s="187">
        <f>'Parameters, country spec'!C29</f>
        <v>8.7459166665531385E-2</v>
      </c>
    </row>
    <row r="27" spans="1:18" x14ac:dyDescent="0.2">
      <c r="B27" s="17" t="s">
        <v>213</v>
      </c>
      <c r="C27" s="17" t="s">
        <v>310</v>
      </c>
      <c r="D27" s="23" t="s">
        <v>49</v>
      </c>
      <c r="E27" s="23" t="s">
        <v>50</v>
      </c>
      <c r="F27" s="211">
        <f>SUM(G27:Q27)</f>
        <v>3.2110107183266001E-4</v>
      </c>
      <c r="G27" s="101">
        <v>0</v>
      </c>
      <c r="H27" s="101">
        <v>8.5499999999999995E-6</v>
      </c>
      <c r="I27" s="47">
        <v>0</v>
      </c>
      <c r="J27" s="47"/>
      <c r="K27" s="101">
        <v>1.13548965296733E-6</v>
      </c>
      <c r="L27" s="47">
        <v>0</v>
      </c>
      <c r="M27" s="47">
        <v>4.7359607447963301E-9</v>
      </c>
      <c r="N27" s="101">
        <v>1.61527718372652E-6</v>
      </c>
      <c r="O27" s="101"/>
      <c r="P27" s="101">
        <v>3.05272119125027E-4</v>
      </c>
      <c r="Q27" s="101">
        <v>4.5234499101943599E-6</v>
      </c>
      <c r="R27" s="187">
        <f>'Parameters, country spec'!C30</f>
        <v>8.0151207366747315E-2</v>
      </c>
    </row>
    <row r="28" spans="1:18" x14ac:dyDescent="0.2">
      <c r="A28" s="82"/>
      <c r="B28" s="17" t="s">
        <v>312</v>
      </c>
      <c r="C28" s="83" t="s">
        <v>313</v>
      </c>
      <c r="D28" s="23" t="s">
        <v>49</v>
      </c>
      <c r="E28" s="23" t="s">
        <v>50</v>
      </c>
      <c r="F28" s="212">
        <f>SUM(G28:Q28)</f>
        <v>1.4993447756465238E-4</v>
      </c>
      <c r="G28" s="81">
        <f t="shared" ref="G28:N28" si="4">AVERAGE(G18:G26)</f>
        <v>2.045344365209251E-5</v>
      </c>
      <c r="H28" s="81">
        <f t="shared" si="4"/>
        <v>8.7351883001588647E-5</v>
      </c>
      <c r="I28" s="81">
        <f t="shared" si="4"/>
        <v>0</v>
      </c>
      <c r="J28" s="81">
        <f t="shared" si="4"/>
        <v>0</v>
      </c>
      <c r="K28" s="81">
        <f t="shared" si="4"/>
        <v>1.8299615350940059E-5</v>
      </c>
      <c r="L28" s="81">
        <f t="shared" si="4"/>
        <v>0</v>
      </c>
      <c r="M28" s="81">
        <f t="shared" si="4"/>
        <v>4.8737907649655555E-6</v>
      </c>
      <c r="N28" s="81">
        <f t="shared" si="4"/>
        <v>1.8955744795065639E-5</v>
      </c>
      <c r="O28" s="81"/>
      <c r="P28" s="81"/>
      <c r="Q28" s="81"/>
      <c r="R28" s="187">
        <f>'Parameters, country spec'!C31</f>
        <v>6.0996432564100048E-2</v>
      </c>
    </row>
    <row r="29" spans="1:18" x14ac:dyDescent="0.2">
      <c r="A29" s="185"/>
      <c r="B29" s="25" t="s">
        <v>314</v>
      </c>
      <c r="C29" s="26"/>
      <c r="D29" s="102"/>
      <c r="E29" s="102"/>
      <c r="F29" s="45">
        <f t="shared" ref="F29:O29" si="5">SUMPRODUCT(F18:F28,$R$18:$R$28)</f>
        <v>1.9946474459951689E-4</v>
      </c>
      <c r="G29" s="45">
        <f t="shared" si="5"/>
        <v>1.8966948980648025E-5</v>
      </c>
      <c r="H29" s="45">
        <f t="shared" si="5"/>
        <v>8.1111912401976268E-5</v>
      </c>
      <c r="I29" s="45">
        <f t="shared" si="5"/>
        <v>0</v>
      </c>
      <c r="J29" s="45">
        <f t="shared" si="5"/>
        <v>0</v>
      </c>
      <c r="K29" s="45">
        <f t="shared" si="5"/>
        <v>1.1807599677504457E-5</v>
      </c>
      <c r="L29" s="45">
        <f t="shared" si="5"/>
        <v>0</v>
      </c>
      <c r="M29" s="45">
        <f t="shared" si="5"/>
        <v>2.496749172756014E-6</v>
      </c>
      <c r="N29" s="45">
        <f t="shared" si="5"/>
        <v>1.7531429694473408E-5</v>
      </c>
      <c r="O29" s="45">
        <f t="shared" si="5"/>
        <v>0</v>
      </c>
      <c r="P29" s="30">
        <f>SUMPRODUCT(P18:P28,R18:R28)</f>
        <v>4.0211125979094315E-5</v>
      </c>
      <c r="Q29" s="45">
        <f>SUMPRODUCT(Q18:Q28,$R$18:$R$28)</f>
        <v>2.7338978693064445E-5</v>
      </c>
      <c r="R29" s="188"/>
    </row>
    <row r="30" spans="1:18" x14ac:dyDescent="0.2">
      <c r="A30" s="22" t="s">
        <v>299</v>
      </c>
      <c r="B30" s="17" t="s">
        <v>198</v>
      </c>
      <c r="C30" s="17" t="s">
        <v>300</v>
      </c>
      <c r="D30" s="23" t="s">
        <v>51</v>
      </c>
      <c r="E30" s="23" t="s">
        <v>52</v>
      </c>
      <c r="F30" s="213">
        <f t="shared" ref="F30:F36" si="6">SUM(G30:Q30)</f>
        <v>1.3808951704712943E-4</v>
      </c>
      <c r="G30" s="195">
        <v>0</v>
      </c>
      <c r="H30" s="195">
        <v>9.5000000000000005E-5</v>
      </c>
      <c r="I30" s="195">
        <v>0</v>
      </c>
      <c r="J30" s="195"/>
      <c r="K30" s="195">
        <v>1.27144571375721E-5</v>
      </c>
      <c r="L30" s="195">
        <v>0</v>
      </c>
      <c r="M30" s="195">
        <v>9.6438568669313804E-8</v>
      </c>
      <c r="N30" s="195">
        <v>3.0278621340887999E-5</v>
      </c>
      <c r="O30" s="195"/>
      <c r="P30" s="101"/>
      <c r="Q30" s="195"/>
      <c r="R30" s="198">
        <f>'Parameters, country spec'!D21</f>
        <v>0.1284012676024372</v>
      </c>
    </row>
    <row r="31" spans="1:18" x14ac:dyDescent="0.2">
      <c r="A31" s="22" t="s">
        <v>301</v>
      </c>
      <c r="B31" s="17" t="s">
        <v>201</v>
      </c>
      <c r="C31" s="17" t="s">
        <v>300</v>
      </c>
      <c r="D31" s="23" t="s">
        <v>51</v>
      </c>
      <c r="E31" s="23" t="s">
        <v>52</v>
      </c>
      <c r="F31" s="211">
        <f t="shared" si="6"/>
        <v>1.3426469564591439E-4</v>
      </c>
      <c r="G31" s="101">
        <v>0</v>
      </c>
      <c r="H31" s="101">
        <v>9.5000000000000005E-5</v>
      </c>
      <c r="I31" s="101">
        <v>0</v>
      </c>
      <c r="J31" s="101"/>
      <c r="K31" s="101">
        <v>7.39091652636114E-6</v>
      </c>
      <c r="L31" s="101">
        <v>0</v>
      </c>
      <c r="M31" s="101">
        <v>1.59515777866526E-6</v>
      </c>
      <c r="N31" s="101">
        <v>3.0278621340887999E-5</v>
      </c>
      <c r="O31" s="101"/>
      <c r="P31" s="101"/>
      <c r="Q31" s="101"/>
      <c r="R31" s="187">
        <f>'Parameters, country spec'!D22</f>
        <v>0.19116633717197409</v>
      </c>
    </row>
    <row r="32" spans="1:18" x14ac:dyDescent="0.2">
      <c r="A32" s="22" t="s">
        <v>302</v>
      </c>
      <c r="B32" s="17" t="s">
        <v>204</v>
      </c>
      <c r="C32" s="17" t="s">
        <v>300</v>
      </c>
      <c r="D32" s="23" t="s">
        <v>51</v>
      </c>
      <c r="E32" s="23" t="s">
        <v>52</v>
      </c>
      <c r="F32" s="211">
        <f t="shared" si="6"/>
        <v>1.4437973229630417E-4</v>
      </c>
      <c r="G32" s="101">
        <v>0</v>
      </c>
      <c r="H32" s="101">
        <v>9.5000000000000005E-5</v>
      </c>
      <c r="I32" s="101">
        <v>0</v>
      </c>
      <c r="J32" s="101"/>
      <c r="K32" s="101">
        <v>1.9032928238950399E-5</v>
      </c>
      <c r="L32" s="101">
        <v>0</v>
      </c>
      <c r="M32" s="101">
        <v>6.8182716465758402E-8</v>
      </c>
      <c r="N32" s="101">
        <v>3.0278621340887999E-5</v>
      </c>
      <c r="O32" s="101"/>
      <c r="P32" s="101"/>
      <c r="Q32" s="101"/>
      <c r="R32" s="187">
        <f>'Parameters, country spec'!D23</f>
        <v>2.55587587755639E-5</v>
      </c>
    </row>
    <row r="33" spans="1:18" x14ac:dyDescent="0.2">
      <c r="A33" s="22" t="s">
        <v>303</v>
      </c>
      <c r="B33" s="17" t="s">
        <v>205</v>
      </c>
      <c r="C33" s="17" t="s">
        <v>300</v>
      </c>
      <c r="D33" s="23" t="s">
        <v>51</v>
      </c>
      <c r="E33" s="23" t="s">
        <v>52</v>
      </c>
      <c r="F33" s="211">
        <f t="shared" si="6"/>
        <v>1.4170867484792954E-4</v>
      </c>
      <c r="G33" s="101">
        <v>0</v>
      </c>
      <c r="H33" s="101">
        <v>9.5000000000000005E-5</v>
      </c>
      <c r="I33" s="101">
        <v>0</v>
      </c>
      <c r="J33" s="101"/>
      <c r="K33" s="101">
        <v>1.6430050351224899E-5</v>
      </c>
      <c r="L33" s="101">
        <v>0</v>
      </c>
      <c r="M33" s="101">
        <v>3.1558166394000002E-12</v>
      </c>
      <c r="N33" s="101">
        <v>3.0278621340887999E-5</v>
      </c>
      <c r="O33" s="101"/>
      <c r="P33" s="101"/>
      <c r="Q33" s="101"/>
      <c r="R33" s="187">
        <f>'Parameters, country spec'!D24</f>
        <v>2.0974185801992559E-2</v>
      </c>
    </row>
    <row r="34" spans="1:18" x14ac:dyDescent="0.2">
      <c r="A34" s="22" t="s">
        <v>304</v>
      </c>
      <c r="B34" s="17" t="s">
        <v>206</v>
      </c>
      <c r="C34" s="17" t="s">
        <v>300</v>
      </c>
      <c r="D34" s="23" t="s">
        <v>51</v>
      </c>
      <c r="E34" s="23" t="s">
        <v>52</v>
      </c>
      <c r="F34" s="211">
        <f t="shared" si="6"/>
        <v>1.3673011818762825E-4</v>
      </c>
      <c r="G34" s="101">
        <v>0</v>
      </c>
      <c r="H34" s="101">
        <v>9.5000000000000005E-5</v>
      </c>
      <c r="I34" s="101">
        <v>0</v>
      </c>
      <c r="J34" s="101"/>
      <c r="K34" s="101">
        <v>1.14514947211153E-5</v>
      </c>
      <c r="L34" s="101">
        <v>0</v>
      </c>
      <c r="M34" s="101">
        <v>2.1256249543999999E-12</v>
      </c>
      <c r="N34" s="101">
        <v>3.0278621340887999E-5</v>
      </c>
      <c r="O34" s="101"/>
      <c r="P34" s="101"/>
      <c r="Q34" s="101"/>
      <c r="R34" s="187">
        <f>'Parameters, country spec'!D25</f>
        <v>0.42888207443270587</v>
      </c>
    </row>
    <row r="35" spans="1:18" x14ac:dyDescent="0.2">
      <c r="A35" s="22" t="s">
        <v>305</v>
      </c>
      <c r="B35" s="17" t="s">
        <v>207</v>
      </c>
      <c r="C35" s="17" t="s">
        <v>306</v>
      </c>
      <c r="D35" s="23" t="s">
        <v>51</v>
      </c>
      <c r="E35" s="23" t="s">
        <v>52</v>
      </c>
      <c r="F35" s="211">
        <f t="shared" si="6"/>
        <v>1.6245510504097222E-4</v>
      </c>
      <c r="G35" s="101">
        <v>0</v>
      </c>
      <c r="H35" s="101">
        <v>9.5000000000000005E-5</v>
      </c>
      <c r="I35" s="101">
        <v>0</v>
      </c>
      <c r="J35" s="101"/>
      <c r="K35" s="101">
        <v>2.63231503193984E-5</v>
      </c>
      <c r="L35" s="101">
        <v>0</v>
      </c>
      <c r="M35" s="101">
        <v>1.0853333380685801E-5</v>
      </c>
      <c r="N35" s="101">
        <v>3.0278621340887999E-5</v>
      </c>
      <c r="O35" s="101"/>
      <c r="P35" s="101"/>
      <c r="Q35" s="101"/>
      <c r="R35" s="187">
        <f>'Parameters, country spec'!D26</f>
        <v>9.3450155108809542E-4</v>
      </c>
    </row>
    <row r="36" spans="1:18" x14ac:dyDescent="0.2">
      <c r="A36" s="22" t="s">
        <v>307</v>
      </c>
      <c r="B36" s="17" t="s">
        <v>208</v>
      </c>
      <c r="C36" s="17" t="s">
        <v>306</v>
      </c>
      <c r="D36" s="23" t="s">
        <v>51</v>
      </c>
      <c r="E36" s="23" t="s">
        <v>52</v>
      </c>
      <c r="F36" s="211">
        <f t="shared" si="6"/>
        <v>1.5316694911939586E-4</v>
      </c>
      <c r="G36" s="101">
        <v>0</v>
      </c>
      <c r="H36" s="101">
        <v>9.5000000000000005E-5</v>
      </c>
      <c r="I36" s="101">
        <v>0</v>
      </c>
      <c r="J36" s="101"/>
      <c r="K36" s="101">
        <v>2.11660018530258E-5</v>
      </c>
      <c r="L36" s="101">
        <v>0</v>
      </c>
      <c r="M36" s="101">
        <v>6.7223259254820599E-6</v>
      </c>
      <c r="N36" s="101">
        <v>3.0278621340887999E-5</v>
      </c>
      <c r="O36" s="101"/>
      <c r="P36" s="101"/>
      <c r="Q36" s="101"/>
      <c r="R36" s="187">
        <f>'Parameters, country spec'!D27</f>
        <v>9.1798847805104754E-4</v>
      </c>
    </row>
    <row r="37" spans="1:18" x14ac:dyDescent="0.2">
      <c r="B37" s="18" t="s">
        <v>209</v>
      </c>
      <c r="C37" s="17" t="s">
        <v>308</v>
      </c>
      <c r="D37" s="23" t="str">
        <f>'Off-farm feed'!$D$75</f>
        <v>France, Germany, Poland</v>
      </c>
      <c r="E37" s="23" t="s">
        <v>319</v>
      </c>
      <c r="F37" s="212">
        <f>'Off-farm feed'!$E$75</f>
        <v>3.8246443678729503E-4</v>
      </c>
      <c r="G37" s="212">
        <f>'Off-farm feed'!$F$75</f>
        <v>1.6847747663020733E-4</v>
      </c>
      <c r="H37" s="212">
        <f>'Off-farm feed'!$G$75</f>
        <v>4.5862068965517246E-5</v>
      </c>
      <c r="I37" s="212">
        <f>'Off-farm feed'!$H$75</f>
        <v>0</v>
      </c>
      <c r="J37" s="212">
        <f>'Off-farm feed'!$I$75</f>
        <v>0</v>
      </c>
      <c r="K37" s="212">
        <f>'Off-farm feed'!$J$75</f>
        <v>1.0936279334641699E-5</v>
      </c>
      <c r="L37" s="212">
        <f>'Off-farm feed'!$K$75</f>
        <v>0</v>
      </c>
      <c r="M37" s="212">
        <f>'Off-farm feed'!$L$75</f>
        <v>6.4606960551724142E-7</v>
      </c>
      <c r="N37" s="212">
        <f>'Off-farm feed'!$M$75</f>
        <v>2.1884761697575221E-5</v>
      </c>
      <c r="O37" s="212">
        <f>'Off-farm feed'!$N$75</f>
        <v>0</v>
      </c>
      <c r="P37" s="212">
        <f>'Off-farm feed'!$O$75</f>
        <v>4.5962128379923288E-5</v>
      </c>
      <c r="Q37" s="212">
        <f>'Off-farm feed'!$P$75</f>
        <v>8.8695652173913049E-5</v>
      </c>
      <c r="R37" s="187">
        <f>'Parameters, country spec'!D28</f>
        <v>9.4499576799197224E-2</v>
      </c>
    </row>
    <row r="38" spans="1:18" x14ac:dyDescent="0.2">
      <c r="B38" s="18" t="s">
        <v>309</v>
      </c>
      <c r="C38" s="17" t="s">
        <v>308</v>
      </c>
      <c r="D38" s="23" t="str">
        <f>'Off-farm feed'!$D$24</f>
        <v>Brazil, Argentina</v>
      </c>
      <c r="E38" s="23"/>
      <c r="F38" s="212">
        <f>'Off-farm feed'!$E$24</f>
        <v>4.7266553697523981E-4</v>
      </c>
      <c r="G38" s="212">
        <f>'Off-farm feed'!$F$24</f>
        <v>1.5603516238625262E-5</v>
      </c>
      <c r="H38" s="212">
        <f>'Off-farm feed'!$G$24</f>
        <v>7.5304878048780503E-5</v>
      </c>
      <c r="I38" s="212">
        <f>'Off-farm feed'!$H$24</f>
        <v>0</v>
      </c>
      <c r="J38" s="212">
        <f>'Off-farm feed'!$I$24</f>
        <v>0</v>
      </c>
      <c r="K38" s="212">
        <f>'Off-farm feed'!$J$24</f>
        <v>1.9084590744355864E-5</v>
      </c>
      <c r="L38" s="212">
        <f>'Off-farm feed'!$K$24</f>
        <v>0</v>
      </c>
      <c r="M38" s="212">
        <f>'Off-farm feed'!$L$24</f>
        <v>5.9672097439024396E-7</v>
      </c>
      <c r="N38" s="212">
        <f>'Off-farm feed'!$M$24</f>
        <v>2.3084271612619523E-5</v>
      </c>
      <c r="O38" s="212">
        <f>'Off-farm feed'!$N$24</f>
        <v>0</v>
      </c>
      <c r="P38" s="212">
        <f>'Off-farm feed'!$O$24</f>
        <v>1.2899155935646844E-4</v>
      </c>
      <c r="Q38" s="212">
        <f>'Off-farm feed'!$P$24</f>
        <v>2.1000000000000001E-4</v>
      </c>
      <c r="R38" s="187">
        <f>'Parameters, country spec'!D29</f>
        <v>9.0801007307611245E-2</v>
      </c>
    </row>
    <row r="39" spans="1:18" x14ac:dyDescent="0.2">
      <c r="B39" s="17" t="s">
        <v>213</v>
      </c>
      <c r="C39" s="17" t="s">
        <v>310</v>
      </c>
      <c r="D39" s="23" t="s">
        <v>51</v>
      </c>
      <c r="E39" s="23" t="s">
        <v>52</v>
      </c>
      <c r="F39" s="211">
        <f>SUM(G39:Q39)</f>
        <v>1.0209971888950971E-3</v>
      </c>
      <c r="G39" s="101">
        <v>0</v>
      </c>
      <c r="H39" s="101">
        <v>8.5499999999999995E-6</v>
      </c>
      <c r="I39" s="47">
        <v>0</v>
      </c>
      <c r="J39" s="47"/>
      <c r="K39" s="101">
        <v>1.03063452490037E-6</v>
      </c>
      <c r="L39" s="47">
        <v>0</v>
      </c>
      <c r="M39" s="47">
        <v>1.9130624589599999E-13</v>
      </c>
      <c r="N39" s="101">
        <v>2.72507592067992E-6</v>
      </c>
      <c r="O39" s="101"/>
      <c r="P39" s="101">
        <v>9.9818289932063491E-4</v>
      </c>
      <c r="Q39" s="101">
        <v>1.05085789375756E-5</v>
      </c>
      <c r="R39" s="187">
        <f>'Parameters, country spec'!D30</f>
        <v>1.8113105318221089E-2</v>
      </c>
    </row>
    <row r="40" spans="1:18" x14ac:dyDescent="0.2">
      <c r="A40" s="82"/>
      <c r="B40" s="17" t="s">
        <v>312</v>
      </c>
      <c r="C40" s="83" t="s">
        <v>313</v>
      </c>
      <c r="D40" s="23" t="s">
        <v>51</v>
      </c>
      <c r="E40" s="23" t="s">
        <v>52</v>
      </c>
      <c r="F40" s="212">
        <f>SUM(G40:Q40)</f>
        <v>1.5469726955972269E-4</v>
      </c>
      <c r="G40" s="81">
        <f t="shared" ref="G40:N40" si="7">AVERAGE(G30:G38)</f>
        <v>2.045344365209251E-5</v>
      </c>
      <c r="H40" s="81">
        <f t="shared" si="7"/>
        <v>8.7351883001588647E-5</v>
      </c>
      <c r="I40" s="81">
        <f t="shared" si="7"/>
        <v>0</v>
      </c>
      <c r="J40" s="81">
        <f t="shared" si="7"/>
        <v>0</v>
      </c>
      <c r="K40" s="81">
        <f t="shared" si="7"/>
        <v>1.6058874358516177E-5</v>
      </c>
      <c r="L40" s="81">
        <f t="shared" si="7"/>
        <v>0</v>
      </c>
      <c r="M40" s="81">
        <f t="shared" si="7"/>
        <v>2.2864704701463638E-6</v>
      </c>
      <c r="N40" s="81">
        <f t="shared" si="7"/>
        <v>2.8546598077378963E-5</v>
      </c>
      <c r="O40" s="81"/>
      <c r="P40" s="81"/>
      <c r="Q40" s="81"/>
      <c r="R40" s="187">
        <f>'Parameters, country spec'!D31</f>
        <v>2.528439677794618E-2</v>
      </c>
    </row>
    <row r="41" spans="1:18" x14ac:dyDescent="0.2">
      <c r="A41" s="185"/>
      <c r="B41" s="25" t="s">
        <v>314</v>
      </c>
      <c r="C41" s="26"/>
      <c r="D41" s="102"/>
      <c r="E41" s="102"/>
      <c r="F41" s="45">
        <f t="shared" ref="F41:O41" si="8">SUMPRODUCT(F30:F40,$R$30:$R$40)</f>
        <v>2.0677328117042038E-4</v>
      </c>
      <c r="G41" s="45">
        <f t="shared" si="8"/>
        <v>1.7855018218533945E-5</v>
      </c>
      <c r="H41" s="45">
        <f t="shared" si="8"/>
        <v>8.6808893420684086E-5</v>
      </c>
      <c r="I41" s="45">
        <f t="shared" si="8"/>
        <v>0</v>
      </c>
      <c r="J41" s="45">
        <f t="shared" si="8"/>
        <v>0</v>
      </c>
      <c r="K41" s="45">
        <f t="shared" si="8"/>
        <v>1.1536990998135811E-5</v>
      </c>
      <c r="L41" s="45">
        <f t="shared" si="8"/>
        <v>0</v>
      </c>
      <c r="M41" s="45">
        <f t="shared" si="8"/>
        <v>5.0668769925828068E-7</v>
      </c>
      <c r="N41" s="45">
        <f t="shared" si="8"/>
        <v>2.8289277521123252E-5</v>
      </c>
      <c r="O41" s="45">
        <f t="shared" si="8"/>
        <v>0</v>
      </c>
      <c r="P41" s="30">
        <f>SUMPRODUCT(P30:P40,R30:R40)</f>
        <v>3.4136157186681924E-5</v>
      </c>
      <c r="Q41" s="45">
        <f>SUMPRODUCT(Q30:Q40,$R$30:$R$40)</f>
        <v>2.764025612600309E-5</v>
      </c>
      <c r="R41" s="188"/>
    </row>
    <row r="42" spans="1:18" x14ac:dyDescent="0.2">
      <c r="A42" s="22" t="s">
        <v>299</v>
      </c>
      <c r="B42" s="17" t="s">
        <v>198</v>
      </c>
      <c r="C42" s="17" t="s">
        <v>300</v>
      </c>
      <c r="D42" s="23" t="s">
        <v>53</v>
      </c>
      <c r="E42" s="23" t="s">
        <v>54</v>
      </c>
      <c r="F42" s="213">
        <f t="shared" ref="F42:F48" si="9">SUM(G42:Q42)</f>
        <v>1.6286318293985799E-4</v>
      </c>
      <c r="G42" s="195">
        <v>0</v>
      </c>
      <c r="H42" s="195">
        <v>9.5000000000000005E-5</v>
      </c>
      <c r="I42" s="195">
        <v>0</v>
      </c>
      <c r="J42" s="195"/>
      <c r="K42" s="195">
        <v>2.9908858414160001E-5</v>
      </c>
      <c r="L42" s="195">
        <v>0</v>
      </c>
      <c r="M42" s="195">
        <v>0</v>
      </c>
      <c r="N42" s="195">
        <v>3.7954324525697998E-5</v>
      </c>
      <c r="O42" s="195"/>
      <c r="P42" s="101"/>
      <c r="Q42" s="195"/>
      <c r="R42" s="198">
        <f>'Parameters, country spec'!E21</f>
        <v>0.1222750503811094</v>
      </c>
    </row>
    <row r="43" spans="1:18" x14ac:dyDescent="0.2">
      <c r="A43" s="22" t="s">
        <v>301</v>
      </c>
      <c r="B43" s="17" t="s">
        <v>201</v>
      </c>
      <c r="C43" s="17" t="s">
        <v>300</v>
      </c>
      <c r="D43" s="23" t="s">
        <v>53</v>
      </c>
      <c r="E43" s="23" t="s">
        <v>54</v>
      </c>
      <c r="F43" s="211">
        <f t="shared" si="9"/>
        <v>1.7444028731740727E-4</v>
      </c>
      <c r="G43" s="101">
        <v>0</v>
      </c>
      <c r="H43" s="101">
        <v>9.5000000000000005E-5</v>
      </c>
      <c r="I43" s="101">
        <v>0</v>
      </c>
      <c r="J43" s="101"/>
      <c r="K43" s="101">
        <v>6.7727292665111798E-6</v>
      </c>
      <c r="L43" s="101">
        <v>0</v>
      </c>
      <c r="M43" s="101">
        <v>3.4713233525198098E-5</v>
      </c>
      <c r="N43" s="101">
        <v>3.7954324525697998E-5</v>
      </c>
      <c r="O43" s="101"/>
      <c r="P43" s="101"/>
      <c r="Q43" s="101"/>
      <c r="R43" s="187">
        <f>'Parameters, country spec'!E22</f>
        <v>0.36571383818682729</v>
      </c>
    </row>
    <row r="44" spans="1:18" x14ac:dyDescent="0.2">
      <c r="A44" s="22" t="s">
        <v>302</v>
      </c>
      <c r="B44" s="17" t="s">
        <v>204</v>
      </c>
      <c r="C44" s="17" t="s">
        <v>300</v>
      </c>
      <c r="D44" s="23" t="s">
        <v>53</v>
      </c>
      <c r="E44" s="23" t="s">
        <v>54</v>
      </c>
      <c r="F44" s="211">
        <f t="shared" si="9"/>
        <v>2.0353235344802614E-4</v>
      </c>
      <c r="G44" s="101">
        <v>0</v>
      </c>
      <c r="H44" s="101">
        <v>9.5000000000000005E-5</v>
      </c>
      <c r="I44" s="101">
        <v>0</v>
      </c>
      <c r="J44" s="101"/>
      <c r="K44" s="101">
        <v>7.0130605730866894E-5</v>
      </c>
      <c r="L44" s="101">
        <v>0</v>
      </c>
      <c r="M44" s="101">
        <v>4.4742319146124401E-7</v>
      </c>
      <c r="N44" s="101">
        <v>3.7954324525697998E-5</v>
      </c>
      <c r="O44" s="101"/>
      <c r="P44" s="101"/>
      <c r="Q44" s="101"/>
      <c r="R44" s="187">
        <f>'Parameters, country spec'!E23</f>
        <v>3.3230481611398861E-2</v>
      </c>
    </row>
    <row r="45" spans="1:18" x14ac:dyDescent="0.2">
      <c r="A45" s="22" t="s">
        <v>303</v>
      </c>
      <c r="B45" s="17" t="s">
        <v>205</v>
      </c>
      <c r="C45" s="17" t="s">
        <v>300</v>
      </c>
      <c r="D45" s="23" t="s">
        <v>53</v>
      </c>
      <c r="E45" s="23" t="s">
        <v>54</v>
      </c>
      <c r="F45" s="211">
        <f t="shared" si="9"/>
        <v>1.8013222859233324E-4</v>
      </c>
      <c r="G45" s="101">
        <v>0</v>
      </c>
      <c r="H45" s="101">
        <v>9.5000000000000005E-5</v>
      </c>
      <c r="I45" s="101">
        <v>0</v>
      </c>
      <c r="J45" s="101"/>
      <c r="K45" s="101">
        <v>4.44434506924746E-5</v>
      </c>
      <c r="L45" s="101">
        <v>0</v>
      </c>
      <c r="M45" s="101">
        <v>2.7344533741606401E-6</v>
      </c>
      <c r="N45" s="101">
        <v>3.7954324525697998E-5</v>
      </c>
      <c r="O45" s="101"/>
      <c r="P45" s="101"/>
      <c r="Q45" s="101"/>
      <c r="R45" s="187">
        <f>'Parameters, country spec'!E24</f>
        <v>7.3294724625475594E-3</v>
      </c>
    </row>
    <row r="46" spans="1:18" x14ac:dyDescent="0.2">
      <c r="A46" s="22" t="s">
        <v>304</v>
      </c>
      <c r="B46" s="17" t="s">
        <v>206</v>
      </c>
      <c r="C46" s="17" t="s">
        <v>300</v>
      </c>
      <c r="D46" s="23" t="s">
        <v>53</v>
      </c>
      <c r="E46" s="23" t="s">
        <v>54</v>
      </c>
      <c r="F46" s="211">
        <f t="shared" si="9"/>
        <v>1.6354619514759186E-4</v>
      </c>
      <c r="G46" s="101">
        <v>0</v>
      </c>
      <c r="H46" s="101">
        <v>9.5000000000000005E-5</v>
      </c>
      <c r="I46" s="101">
        <v>0</v>
      </c>
      <c r="J46" s="101"/>
      <c r="K46" s="101">
        <v>2.85207139558697E-5</v>
      </c>
      <c r="L46" s="101">
        <v>0</v>
      </c>
      <c r="M46" s="101">
        <v>2.07115666602417E-6</v>
      </c>
      <c r="N46" s="101">
        <v>3.7954324525697998E-5</v>
      </c>
      <c r="O46" s="101"/>
      <c r="P46" s="101"/>
      <c r="Q46" s="101"/>
      <c r="R46" s="187">
        <f>'Parameters, country spec'!E25</f>
        <v>5.256160625309033E-3</v>
      </c>
    </row>
    <row r="47" spans="1:18" x14ac:dyDescent="0.2">
      <c r="A47" s="22" t="s">
        <v>305</v>
      </c>
      <c r="B47" s="17" t="s">
        <v>207</v>
      </c>
      <c r="C47" s="17" t="s">
        <v>306</v>
      </c>
      <c r="D47" s="23" t="s">
        <v>53</v>
      </c>
      <c r="E47" s="23" t="s">
        <v>54</v>
      </c>
      <c r="F47" s="211">
        <f t="shared" si="9"/>
        <v>3.2740778825431722E-4</v>
      </c>
      <c r="G47" s="101">
        <v>0</v>
      </c>
      <c r="H47" s="101">
        <v>9.5000000000000005E-5</v>
      </c>
      <c r="I47" s="101">
        <v>0</v>
      </c>
      <c r="J47" s="101"/>
      <c r="K47" s="101">
        <v>4.8844802880828202E-5</v>
      </c>
      <c r="L47" s="101">
        <v>0</v>
      </c>
      <c r="M47" s="101">
        <v>1.4560866084779099E-4</v>
      </c>
      <c r="N47" s="101">
        <v>3.7954324525697998E-5</v>
      </c>
      <c r="O47" s="101"/>
      <c r="P47" s="101"/>
      <c r="Q47" s="101"/>
      <c r="R47" s="187">
        <f>'Parameters, country spec'!E26</f>
        <v>1.0533673599513421E-3</v>
      </c>
    </row>
    <row r="48" spans="1:18" x14ac:dyDescent="0.2">
      <c r="A48" s="22" t="s">
        <v>307</v>
      </c>
      <c r="B48" s="17" t="s">
        <v>208</v>
      </c>
      <c r="C48" s="17" t="s">
        <v>306</v>
      </c>
      <c r="D48" s="23" t="s">
        <v>53</v>
      </c>
      <c r="E48" s="23" t="s">
        <v>54</v>
      </c>
      <c r="F48" s="211">
        <f t="shared" si="9"/>
        <v>2.7766326074083061E-4</v>
      </c>
      <c r="G48" s="101">
        <v>0</v>
      </c>
      <c r="H48" s="101">
        <v>9.5000000000000005E-5</v>
      </c>
      <c r="I48" s="101">
        <v>0</v>
      </c>
      <c r="J48" s="101"/>
      <c r="K48" s="101">
        <v>2.7713650874728599E-5</v>
      </c>
      <c r="L48" s="101">
        <v>0</v>
      </c>
      <c r="M48" s="101">
        <v>1.16995285340404E-4</v>
      </c>
      <c r="N48" s="101">
        <v>3.7954324525697998E-5</v>
      </c>
      <c r="O48" s="101"/>
      <c r="P48" s="101"/>
      <c r="Q48" s="101"/>
      <c r="R48" s="187">
        <f>'Parameters, country spec'!E27</f>
        <v>1.034753873470441E-3</v>
      </c>
    </row>
    <row r="49" spans="1:18" x14ac:dyDescent="0.2">
      <c r="B49" s="18" t="s">
        <v>209</v>
      </c>
      <c r="C49" s="17" t="s">
        <v>308</v>
      </c>
      <c r="D49" s="23" t="str">
        <f>'Off-farm feed'!$D$75</f>
        <v>France, Germany, Poland</v>
      </c>
      <c r="E49" s="23" t="s">
        <v>319</v>
      </c>
      <c r="F49" s="212">
        <f>'Off-farm feed'!$E$75</f>
        <v>3.8246443678729503E-4</v>
      </c>
      <c r="G49" s="212">
        <f>'Off-farm feed'!$F$75</f>
        <v>1.6847747663020733E-4</v>
      </c>
      <c r="H49" s="212">
        <f>'Off-farm feed'!$G$75</f>
        <v>4.5862068965517246E-5</v>
      </c>
      <c r="I49" s="212">
        <f>'Off-farm feed'!$H$75</f>
        <v>0</v>
      </c>
      <c r="J49" s="212">
        <f>'Off-farm feed'!$I$75</f>
        <v>0</v>
      </c>
      <c r="K49" s="212">
        <f>'Off-farm feed'!$J$75</f>
        <v>1.0936279334641699E-5</v>
      </c>
      <c r="L49" s="212">
        <f>'Off-farm feed'!$K$75</f>
        <v>0</v>
      </c>
      <c r="M49" s="212">
        <f>'Off-farm feed'!$L$75</f>
        <v>6.4606960551724142E-7</v>
      </c>
      <c r="N49" s="212">
        <f>'Off-farm feed'!$M$75</f>
        <v>2.1884761697575221E-5</v>
      </c>
      <c r="O49" s="212">
        <f>'Off-farm feed'!$N$75</f>
        <v>0</v>
      </c>
      <c r="P49" s="212">
        <f>'Off-farm feed'!$O$75</f>
        <v>4.5962128379923288E-5</v>
      </c>
      <c r="Q49" s="212">
        <f>'Off-farm feed'!$P$75</f>
        <v>8.8695652173913049E-5</v>
      </c>
      <c r="R49" s="187">
        <f>'Parameters, country spec'!E28</f>
        <v>1.1495502598072799E-3</v>
      </c>
    </row>
    <row r="50" spans="1:18" x14ac:dyDescent="0.2">
      <c r="B50" s="18" t="s">
        <v>309</v>
      </c>
      <c r="C50" s="17" t="s">
        <v>308</v>
      </c>
      <c r="D50" s="23" t="str">
        <f>'Off-farm feed'!$D$24</f>
        <v>Brazil, Argentina</v>
      </c>
      <c r="E50" s="23"/>
      <c r="F50" s="212">
        <f>'Off-farm feed'!$E$24</f>
        <v>4.7266553697523981E-4</v>
      </c>
      <c r="G50" s="212">
        <f>'Off-farm feed'!$F$24</f>
        <v>1.5603516238625262E-5</v>
      </c>
      <c r="H50" s="212">
        <f>'Off-farm feed'!$G$24</f>
        <v>7.5304878048780503E-5</v>
      </c>
      <c r="I50" s="212">
        <f>'Off-farm feed'!$H$24</f>
        <v>0</v>
      </c>
      <c r="J50" s="212">
        <f>'Off-farm feed'!$I$24</f>
        <v>0</v>
      </c>
      <c r="K50" s="212">
        <f>'Off-farm feed'!$J$24</f>
        <v>1.9084590744355864E-5</v>
      </c>
      <c r="L50" s="212">
        <f>'Off-farm feed'!$K$24</f>
        <v>0</v>
      </c>
      <c r="M50" s="212">
        <f>'Off-farm feed'!$L$24</f>
        <v>5.9672097439024396E-7</v>
      </c>
      <c r="N50" s="212">
        <f>'Off-farm feed'!$M$24</f>
        <v>2.3084271612619523E-5</v>
      </c>
      <c r="O50" s="212">
        <f>'Off-farm feed'!$N$24</f>
        <v>0</v>
      </c>
      <c r="P50" s="212">
        <f>'Off-farm feed'!$O$24</f>
        <v>1.2899155935646844E-4</v>
      </c>
      <c r="Q50" s="212">
        <f>'Off-farm feed'!$P$24</f>
        <v>2.1000000000000001E-4</v>
      </c>
      <c r="R50" s="187">
        <f>'Parameters, country spec'!E29</f>
        <v>0.2025581580279131</v>
      </c>
    </row>
    <row r="51" spans="1:18" x14ac:dyDescent="0.2">
      <c r="B51" s="17" t="s">
        <v>213</v>
      </c>
      <c r="C51" s="17" t="s">
        <v>310</v>
      </c>
      <c r="D51" s="23" t="s">
        <v>53</v>
      </c>
      <c r="E51" s="23" t="s">
        <v>54</v>
      </c>
      <c r="F51" s="211">
        <f>SUM(G51:Q51)</f>
        <v>1.475044584941611E-3</v>
      </c>
      <c r="G51" s="101">
        <v>0</v>
      </c>
      <c r="H51" s="101">
        <v>8.5499999999999995E-6</v>
      </c>
      <c r="I51" s="47">
        <v>0</v>
      </c>
      <c r="J51" s="47"/>
      <c r="K51" s="101">
        <v>2.56686425602827E-6</v>
      </c>
      <c r="L51" s="47">
        <v>0</v>
      </c>
      <c r="M51" s="47">
        <v>1.8640409994217499E-7</v>
      </c>
      <c r="N51" s="101">
        <v>3.41588920731282E-6</v>
      </c>
      <c r="O51" s="101"/>
      <c r="P51" s="101">
        <v>1.4294971164590801E-3</v>
      </c>
      <c r="Q51" s="101">
        <v>3.0828310919247803E-5</v>
      </c>
      <c r="R51" s="187">
        <f>'Parameters, country spec'!E30</f>
        <v>0.1276820518863053</v>
      </c>
    </row>
    <row r="52" spans="1:18" x14ac:dyDescent="0.2">
      <c r="A52" s="82"/>
      <c r="B52" s="17" t="s">
        <v>312</v>
      </c>
      <c r="C52" s="83" t="s">
        <v>313</v>
      </c>
      <c r="D52" s="23" t="s">
        <v>53</v>
      </c>
      <c r="E52" s="23" t="s">
        <v>54</v>
      </c>
      <c r="F52" s="212">
        <f>SUM(G52:Q52)</f>
        <v>3.5724404056391144E-4</v>
      </c>
      <c r="G52" s="81">
        <f t="shared" ref="G52:O52" si="10">AVERAGE(G42:G50)</f>
        <v>2.045344365209251E-5</v>
      </c>
      <c r="H52" s="81">
        <f t="shared" si="10"/>
        <v>8.7351883001588647E-5</v>
      </c>
      <c r="I52" s="81">
        <f t="shared" si="10"/>
        <v>0</v>
      </c>
      <c r="J52" s="81">
        <f t="shared" si="10"/>
        <v>0</v>
      </c>
      <c r="K52" s="81">
        <f t="shared" si="10"/>
        <v>3.1817297988270754E-5</v>
      </c>
      <c r="L52" s="81">
        <f t="shared" si="10"/>
        <v>0</v>
      </c>
      <c r="M52" s="81">
        <f t="shared" si="10"/>
        <v>3.3757000391660732E-5</v>
      </c>
      <c r="N52" s="81">
        <f t="shared" si="10"/>
        <v>3.4516589443342307E-5</v>
      </c>
      <c r="O52" s="81">
        <f t="shared" si="10"/>
        <v>0</v>
      </c>
      <c r="P52" s="81"/>
      <c r="Q52" s="81">
        <f>AVERAGE(Q42:Q50)</f>
        <v>1.4934782608695652E-4</v>
      </c>
      <c r="R52" s="187">
        <f>'Parameters, country spec'!E31</f>
        <v>0.1327171153253604</v>
      </c>
    </row>
    <row r="53" spans="1:18" x14ac:dyDescent="0.2">
      <c r="A53" s="185"/>
      <c r="B53" s="25" t="s">
        <v>314</v>
      </c>
      <c r="C53" s="26"/>
      <c r="D53" s="102"/>
      <c r="E53" s="102"/>
      <c r="F53" s="45">
        <f t="shared" ref="F53:O53" si="11">SUMPRODUCT(F42:F52,$R$42:$R$52)</f>
        <v>4.2521594251519366E-4</v>
      </c>
      <c r="G53" s="45">
        <f t="shared" si="11"/>
        <v>6.0688148750620165E-6</v>
      </c>
      <c r="H53" s="45">
        <f t="shared" si="11"/>
        <v>7.8900956442767698E-5</v>
      </c>
      <c r="I53" s="45">
        <f t="shared" si="11"/>
        <v>0</v>
      </c>
      <c r="J53" s="45">
        <f t="shared" si="11"/>
        <v>0</v>
      </c>
      <c r="K53" s="45">
        <f t="shared" si="11"/>
        <v>1.7449000471182696E-5</v>
      </c>
      <c r="L53" s="45">
        <f t="shared" si="11"/>
        <v>0</v>
      </c>
      <c r="M53" s="45">
        <f t="shared" si="11"/>
        <v>1.7640892687572992E-5</v>
      </c>
      <c r="N53" s="45">
        <f t="shared" si="11"/>
        <v>3.0057616653946266E-5</v>
      </c>
      <c r="O53" s="45">
        <f t="shared" si="11"/>
        <v>0</v>
      </c>
      <c r="P53" s="30">
        <f>SUMPRODUCT(P42:P52,R42:R52)</f>
        <v>2.0870225343606695E-4</v>
      </c>
      <c r="Q53" s="45">
        <f>SUMPRODUCT(Q42:Q52,$R$42:$R$52)</f>
        <v>6.6396407948595077E-5</v>
      </c>
      <c r="R53" s="188"/>
    </row>
    <row r="54" spans="1:18" x14ac:dyDescent="0.2">
      <c r="A54" s="22" t="s">
        <v>299</v>
      </c>
      <c r="B54" s="17" t="s">
        <v>198</v>
      </c>
      <c r="C54" s="17" t="s">
        <v>300</v>
      </c>
      <c r="D54" s="23" t="s">
        <v>55</v>
      </c>
      <c r="E54" s="23" t="s">
        <v>56</v>
      </c>
      <c r="F54" s="213">
        <f t="shared" ref="F54:F60" si="12">SUM(G54:Q54)</f>
        <v>1.4501465028229771E-4</v>
      </c>
      <c r="G54" s="195">
        <v>0</v>
      </c>
      <c r="H54" s="195">
        <v>9.5000000000000005E-5</v>
      </c>
      <c r="I54" s="195">
        <v>0</v>
      </c>
      <c r="J54" s="195"/>
      <c r="K54" s="195">
        <v>1.5393650506969701E-5</v>
      </c>
      <c r="L54" s="195">
        <v>0</v>
      </c>
      <c r="M54" s="195">
        <v>0</v>
      </c>
      <c r="N54" s="195">
        <v>3.4620999775328E-5</v>
      </c>
      <c r="O54" s="195"/>
      <c r="P54" s="101"/>
      <c r="Q54" s="195"/>
      <c r="R54" s="198">
        <f>'Parameters, country spec'!F21</f>
        <v>8.7418005626499207E-2</v>
      </c>
    </row>
    <row r="55" spans="1:18" x14ac:dyDescent="0.2">
      <c r="A55" s="22" t="s">
        <v>301</v>
      </c>
      <c r="B55" s="17" t="s">
        <v>201</v>
      </c>
      <c r="C55" s="17" t="s">
        <v>300</v>
      </c>
      <c r="D55" s="23" t="s">
        <v>55</v>
      </c>
      <c r="E55" s="23" t="s">
        <v>56</v>
      </c>
      <c r="F55" s="211">
        <f t="shared" si="12"/>
        <v>1.4092693848870525E-4</v>
      </c>
      <c r="G55" s="101">
        <v>0</v>
      </c>
      <c r="H55" s="101">
        <v>9.5000000000000005E-5</v>
      </c>
      <c r="I55" s="101">
        <v>0</v>
      </c>
      <c r="J55" s="101"/>
      <c r="K55" s="101">
        <v>1.1061500749097499E-5</v>
      </c>
      <c r="L55" s="101">
        <v>0</v>
      </c>
      <c r="M55" s="101">
        <v>2.4443796427972899E-7</v>
      </c>
      <c r="N55" s="101">
        <v>3.4620999775328E-5</v>
      </c>
      <c r="O55" s="101"/>
      <c r="P55" s="101"/>
      <c r="Q55" s="101"/>
      <c r="R55" s="187">
        <f>'Parameters, country spec'!F22</f>
        <v>0.51851224834420662</v>
      </c>
    </row>
    <row r="56" spans="1:18" x14ac:dyDescent="0.2">
      <c r="A56" s="22" t="s">
        <v>302</v>
      </c>
      <c r="B56" s="17" t="s">
        <v>204</v>
      </c>
      <c r="C56" s="17" t="s">
        <v>300</v>
      </c>
      <c r="D56" s="23" t="s">
        <v>55</v>
      </c>
      <c r="E56" s="23" t="s">
        <v>56</v>
      </c>
      <c r="F56" s="211">
        <f t="shared" si="12"/>
        <v>1.5843171473005791E-4</v>
      </c>
      <c r="G56" s="101">
        <v>0</v>
      </c>
      <c r="H56" s="101">
        <v>9.5000000000000005E-5</v>
      </c>
      <c r="I56" s="101">
        <v>0</v>
      </c>
      <c r="J56" s="101"/>
      <c r="K56" s="101">
        <v>2.88107149547299E-5</v>
      </c>
      <c r="L56" s="101">
        <v>0</v>
      </c>
      <c r="M56" s="101">
        <v>0</v>
      </c>
      <c r="N56" s="101">
        <v>3.4620999775328E-5</v>
      </c>
      <c r="O56" s="101"/>
      <c r="P56" s="101"/>
      <c r="Q56" s="101"/>
      <c r="R56" s="187">
        <f>'Parameters, country spec'!F23</f>
        <v>4.6821690090770259E-2</v>
      </c>
    </row>
    <row r="57" spans="1:18" x14ac:dyDescent="0.2">
      <c r="A57" s="22" t="s">
        <v>303</v>
      </c>
      <c r="B57" s="17" t="s">
        <v>205</v>
      </c>
      <c r="C57" s="17" t="s">
        <v>300</v>
      </c>
      <c r="D57" s="23" t="s">
        <v>55</v>
      </c>
      <c r="E57" s="23" t="s">
        <v>56</v>
      </c>
      <c r="F57" s="211">
        <f t="shared" si="12"/>
        <v>1.5661395382845762E-4</v>
      </c>
      <c r="G57" s="101">
        <v>0</v>
      </c>
      <c r="H57" s="101">
        <v>9.5000000000000005E-5</v>
      </c>
      <c r="I57" s="101">
        <v>0</v>
      </c>
      <c r="J57" s="101"/>
      <c r="K57" s="101">
        <v>2.6992954053129601E-5</v>
      </c>
      <c r="L57" s="101">
        <v>0</v>
      </c>
      <c r="M57" s="101">
        <v>0</v>
      </c>
      <c r="N57" s="101">
        <v>3.4620999775328E-5</v>
      </c>
      <c r="O57" s="101"/>
      <c r="P57" s="101"/>
      <c r="Q57" s="101"/>
      <c r="R57" s="187">
        <f>'Parameters, country spec'!F24</f>
        <v>1.8197973513379369E-2</v>
      </c>
    </row>
    <row r="58" spans="1:18" x14ac:dyDescent="0.2">
      <c r="A58" s="22" t="s">
        <v>304</v>
      </c>
      <c r="B58" s="17" t="s">
        <v>206</v>
      </c>
      <c r="C58" s="17" t="s">
        <v>300</v>
      </c>
      <c r="D58" s="23" t="s">
        <v>55</v>
      </c>
      <c r="E58" s="23" t="s">
        <v>56</v>
      </c>
      <c r="F58" s="211">
        <f t="shared" si="12"/>
        <v>1.4529023631438349E-4</v>
      </c>
      <c r="G58" s="101">
        <v>0</v>
      </c>
      <c r="H58" s="101">
        <v>9.5000000000000005E-5</v>
      </c>
      <c r="I58" s="101">
        <v>0</v>
      </c>
      <c r="J58" s="101"/>
      <c r="K58" s="101">
        <v>1.5669236539055499E-5</v>
      </c>
      <c r="L58" s="101">
        <v>0</v>
      </c>
      <c r="M58" s="101">
        <v>0</v>
      </c>
      <c r="N58" s="101">
        <v>3.4620999775328E-5</v>
      </c>
      <c r="O58" s="101"/>
      <c r="P58" s="101"/>
      <c r="Q58" s="101"/>
      <c r="R58" s="187">
        <f>'Parameters, country spec'!F25</f>
        <v>8.1866500320142158E-2</v>
      </c>
    </row>
    <row r="59" spans="1:18" x14ac:dyDescent="0.2">
      <c r="A59" s="22" t="s">
        <v>305</v>
      </c>
      <c r="B59" s="17" t="s">
        <v>207</v>
      </c>
      <c r="C59" s="17" t="s">
        <v>306</v>
      </c>
      <c r="D59" s="23" t="s">
        <v>55</v>
      </c>
      <c r="E59" s="23" t="s">
        <v>56</v>
      </c>
      <c r="F59" s="211">
        <f t="shared" si="12"/>
        <v>2.3889913965334191E-4</v>
      </c>
      <c r="G59" s="101">
        <v>0</v>
      </c>
      <c r="H59" s="101">
        <v>9.5000000000000005E-5</v>
      </c>
      <c r="I59" s="101">
        <v>0</v>
      </c>
      <c r="J59" s="101"/>
      <c r="K59" s="101">
        <v>3.3607143901788602E-5</v>
      </c>
      <c r="L59" s="101">
        <v>0</v>
      </c>
      <c r="M59" s="101">
        <v>7.5670995976225307E-5</v>
      </c>
      <c r="N59" s="101">
        <v>3.4620999775328E-5</v>
      </c>
      <c r="O59" s="101"/>
      <c r="P59" s="101"/>
      <c r="Q59" s="101"/>
      <c r="R59" s="187">
        <f>'Parameters, country spec'!F26</f>
        <v>1.1994594385271529E-3</v>
      </c>
    </row>
    <row r="60" spans="1:18" x14ac:dyDescent="0.2">
      <c r="A60" s="22" t="s">
        <v>307</v>
      </c>
      <c r="B60" s="17" t="s">
        <v>208</v>
      </c>
      <c r="C60" s="17" t="s">
        <v>306</v>
      </c>
      <c r="D60" s="23" t="s">
        <v>55</v>
      </c>
      <c r="E60" s="23" t="s">
        <v>56</v>
      </c>
      <c r="F60" s="211">
        <f t="shared" si="12"/>
        <v>2.7852379088053969E-4</v>
      </c>
      <c r="G60" s="101">
        <v>0</v>
      </c>
      <c r="H60" s="101">
        <v>9.5000000000000005E-5</v>
      </c>
      <c r="I60" s="101">
        <v>0</v>
      </c>
      <c r="J60" s="101"/>
      <c r="K60" s="101">
        <v>5.3019283387622201E-5</v>
      </c>
      <c r="L60" s="101">
        <v>0</v>
      </c>
      <c r="M60" s="101">
        <v>9.5883507717589505E-5</v>
      </c>
      <c r="N60" s="101">
        <v>3.4620999775328E-5</v>
      </c>
      <c r="O60" s="101"/>
      <c r="P60" s="101"/>
      <c r="Q60" s="101"/>
      <c r="R60" s="187">
        <f>'Parameters, country spec'!F27</f>
        <v>1.1782644376318839E-3</v>
      </c>
    </row>
    <row r="61" spans="1:18" x14ac:dyDescent="0.2">
      <c r="B61" s="18" t="s">
        <v>209</v>
      </c>
      <c r="C61" s="17" t="s">
        <v>308</v>
      </c>
      <c r="D61" s="23" t="str">
        <f>'Off-farm feed'!$D$75</f>
        <v>France, Germany, Poland</v>
      </c>
      <c r="E61" s="23" t="s">
        <v>319</v>
      </c>
      <c r="F61" s="212">
        <f>'Off-farm feed'!$E$75</f>
        <v>3.8246443678729503E-4</v>
      </c>
      <c r="G61" s="212">
        <f>'Off-farm feed'!$F$75</f>
        <v>1.6847747663020733E-4</v>
      </c>
      <c r="H61" s="212">
        <f>'Off-farm feed'!$G$75</f>
        <v>4.5862068965517246E-5</v>
      </c>
      <c r="I61" s="212">
        <f>'Off-farm feed'!$H$75</f>
        <v>0</v>
      </c>
      <c r="J61" s="212">
        <f>'Off-farm feed'!$I$75</f>
        <v>0</v>
      </c>
      <c r="K61" s="212">
        <f>'Off-farm feed'!$J$75</f>
        <v>1.0936279334641699E-5</v>
      </c>
      <c r="L61" s="212">
        <f>'Off-farm feed'!$K$75</f>
        <v>0</v>
      </c>
      <c r="M61" s="212">
        <f>'Off-farm feed'!$L$75</f>
        <v>6.4606960551724142E-7</v>
      </c>
      <c r="N61" s="212">
        <f>'Off-farm feed'!$M$75</f>
        <v>2.1884761697575221E-5</v>
      </c>
      <c r="O61" s="212">
        <f>'Off-farm feed'!$N$75</f>
        <v>0</v>
      </c>
      <c r="P61" s="212">
        <f>'Off-farm feed'!$O$75</f>
        <v>4.5962128379923288E-5</v>
      </c>
      <c r="Q61" s="212">
        <f>'Off-farm feed'!$P$75</f>
        <v>8.8695652173913049E-5</v>
      </c>
      <c r="R61" s="187">
        <f>'Parameters, country spec'!F28</f>
        <v>5.1767642112223974E-4</v>
      </c>
    </row>
    <row r="62" spans="1:18" x14ac:dyDescent="0.2">
      <c r="B62" s="18" t="s">
        <v>309</v>
      </c>
      <c r="C62" s="17" t="s">
        <v>308</v>
      </c>
      <c r="D62" s="23" t="str">
        <f>'Off-farm feed'!$D$24</f>
        <v>Brazil, Argentina</v>
      </c>
      <c r="E62" s="23"/>
      <c r="F62" s="212">
        <f>'Off-farm feed'!$E$24</f>
        <v>4.7266553697523981E-4</v>
      </c>
      <c r="G62" s="212">
        <f>'Off-farm feed'!$F$24</f>
        <v>1.5603516238625262E-5</v>
      </c>
      <c r="H62" s="212">
        <f>'Off-farm feed'!$G$24</f>
        <v>7.5304878048780503E-5</v>
      </c>
      <c r="I62" s="212">
        <f>'Off-farm feed'!$H$24</f>
        <v>0</v>
      </c>
      <c r="J62" s="212">
        <f>'Off-farm feed'!$I$24</f>
        <v>0</v>
      </c>
      <c r="K62" s="212">
        <f>'Off-farm feed'!$J$24</f>
        <v>1.9084590744355864E-5</v>
      </c>
      <c r="L62" s="212">
        <f>'Off-farm feed'!$K$24</f>
        <v>0</v>
      </c>
      <c r="M62" s="212">
        <f>'Off-farm feed'!$L$24</f>
        <v>5.9672097439024396E-7</v>
      </c>
      <c r="N62" s="212">
        <f>'Off-farm feed'!$M$24</f>
        <v>2.3084271612619523E-5</v>
      </c>
      <c r="O62" s="212">
        <f>'Off-farm feed'!$N$24</f>
        <v>0</v>
      </c>
      <c r="P62" s="212">
        <f>'Off-farm feed'!$O$24</f>
        <v>1.2899155935646844E-4</v>
      </c>
      <c r="Q62" s="212">
        <f>'Off-farm feed'!$P$24</f>
        <v>2.1000000000000001E-4</v>
      </c>
      <c r="R62" s="187">
        <f>'Parameters, country spec'!F29</f>
        <v>9.8710786383614704E-2</v>
      </c>
    </row>
    <row r="63" spans="1:18" x14ac:dyDescent="0.2">
      <c r="B63" s="17" t="s">
        <v>213</v>
      </c>
      <c r="C63" s="17" t="s">
        <v>310</v>
      </c>
      <c r="D63" s="23" t="s">
        <v>55</v>
      </c>
      <c r="E63" s="23" t="s">
        <v>56</v>
      </c>
      <c r="F63" s="211">
        <f>SUM(G63:Q63)</f>
        <v>1.2583739615406747E-3</v>
      </c>
      <c r="G63" s="101">
        <v>0</v>
      </c>
      <c r="H63" s="101">
        <v>8.5499999999999995E-6</v>
      </c>
      <c r="I63" s="47">
        <v>0</v>
      </c>
      <c r="J63" s="47"/>
      <c r="K63" s="101">
        <v>1.41023128851499E-6</v>
      </c>
      <c r="L63" s="47">
        <v>0</v>
      </c>
      <c r="M63" s="47">
        <v>0</v>
      </c>
      <c r="N63" s="101">
        <v>3.11588997977952E-6</v>
      </c>
      <c r="O63" s="101"/>
      <c r="P63" s="101">
        <v>1.2421904527491999E-3</v>
      </c>
      <c r="Q63" s="101">
        <v>3.10738752318024E-6</v>
      </c>
      <c r="R63" s="187">
        <f>'Parameters, country spec'!F30</f>
        <v>7.7842176173985381E-2</v>
      </c>
    </row>
    <row r="64" spans="1:18" x14ac:dyDescent="0.2">
      <c r="A64" s="82"/>
      <c r="B64" s="17" t="s">
        <v>312</v>
      </c>
      <c r="C64" s="83" t="s">
        <v>313</v>
      </c>
      <c r="D64" s="23" t="s">
        <v>55</v>
      </c>
      <c r="E64" s="23" t="s">
        <v>56</v>
      </c>
      <c r="F64" s="212">
        <f>SUM(G64:Q64)</f>
        <v>1.827978953366682E-4</v>
      </c>
      <c r="G64" s="81">
        <f t="shared" ref="G64:N64" si="13">AVERAGE(G54:G62)</f>
        <v>2.045344365209251E-5</v>
      </c>
      <c r="H64" s="81">
        <f t="shared" si="13"/>
        <v>8.7351883001588647E-5</v>
      </c>
      <c r="I64" s="81">
        <f t="shared" si="13"/>
        <v>0</v>
      </c>
      <c r="J64" s="81">
        <f t="shared" si="13"/>
        <v>0</v>
      </c>
      <c r="K64" s="81">
        <f t="shared" si="13"/>
        <v>2.3841706019043393E-5</v>
      </c>
      <c r="L64" s="81">
        <f t="shared" si="13"/>
        <v>0</v>
      </c>
      <c r="M64" s="81">
        <f t="shared" si="13"/>
        <v>1.9226859137555781E-5</v>
      </c>
      <c r="N64" s="81">
        <f t="shared" si="13"/>
        <v>3.1924003526387862E-5</v>
      </c>
      <c r="O64" s="81"/>
      <c r="P64" s="81"/>
      <c r="Q64" s="81"/>
      <c r="R64" s="187">
        <f>'Parameters, country spec'!F31</f>
        <v>6.7735219250121048E-2</v>
      </c>
    </row>
    <row r="65" spans="1:18" x14ac:dyDescent="0.2">
      <c r="A65" s="185"/>
      <c r="B65" s="25" t="s">
        <v>314</v>
      </c>
      <c r="C65" s="26"/>
      <c r="D65" s="102"/>
      <c r="E65" s="102"/>
      <c r="F65" s="45">
        <f t="shared" ref="F65:O65" si="14">SUMPRODUCT(F54:F64,$R$54:$R$64)</f>
        <v>2.6571806295526721E-4</v>
      </c>
      <c r="G65" s="45">
        <f t="shared" si="14"/>
        <v>3.0128706656003153E-6</v>
      </c>
      <c r="H65" s="45">
        <f t="shared" si="14"/>
        <v>8.5782938464015632E-5</v>
      </c>
      <c r="I65" s="45">
        <f t="shared" si="14"/>
        <v>0</v>
      </c>
      <c r="J65" s="45">
        <f t="shared" si="14"/>
        <v>0</v>
      </c>
      <c r="K65" s="45">
        <f t="shared" si="14"/>
        <v>1.3921171051171843E-5</v>
      </c>
      <c r="L65" s="45">
        <f t="shared" si="14"/>
        <v>0</v>
      </c>
      <c r="M65" s="45">
        <f t="shared" si="14"/>
        <v>1.6920572668932069E-6</v>
      </c>
      <c r="N65" s="45">
        <f t="shared" si="14"/>
        <v>3.0840499076621849E-5</v>
      </c>
      <c r="O65" s="45">
        <f t="shared" si="14"/>
        <v>0</v>
      </c>
      <c r="P65" s="30">
        <f>SUMPRODUCT(P54:P64,R54:R64)</f>
        <v>1.0945145983559847E-4</v>
      </c>
      <c r="Q65" s="45">
        <f>SUMPRODUCT(Q54:Q64,$R$54:$R$64)</f>
        <v>2.1017066595365824E-5</v>
      </c>
      <c r="R65" s="188"/>
    </row>
    <row r="66" spans="1:18" x14ac:dyDescent="0.2">
      <c r="A66" s="22" t="s">
        <v>299</v>
      </c>
      <c r="B66" s="17" t="s">
        <v>198</v>
      </c>
      <c r="C66" s="17" t="s">
        <v>300</v>
      </c>
      <c r="D66" s="23" t="s">
        <v>91</v>
      </c>
      <c r="E66" s="23" t="s">
        <v>58</v>
      </c>
      <c r="F66" s="213">
        <f t="shared" ref="F66:F72" si="15">SUM(G66:Q66)</f>
        <v>1.2752637390551759E-4</v>
      </c>
      <c r="G66" s="195">
        <v>0</v>
      </c>
      <c r="H66" s="195">
        <v>9.5000000000000005E-5</v>
      </c>
      <c r="I66" s="195">
        <v>0</v>
      </c>
      <c r="J66" s="195"/>
      <c r="K66" s="195">
        <v>1.15340929635865E-5</v>
      </c>
      <c r="L66" s="195">
        <v>0</v>
      </c>
      <c r="M66" s="195">
        <v>0</v>
      </c>
      <c r="N66" s="195">
        <v>2.0992280941931101E-5</v>
      </c>
      <c r="O66" s="195"/>
      <c r="P66" s="101"/>
      <c r="Q66" s="195"/>
      <c r="R66" s="198">
        <f>'Parameters, country spec'!G21</f>
        <v>0</v>
      </c>
    </row>
    <row r="67" spans="1:18" x14ac:dyDescent="0.2">
      <c r="A67" s="22" t="s">
        <v>301</v>
      </c>
      <c r="B67" s="17" t="s">
        <v>201</v>
      </c>
      <c r="C67" s="17" t="s">
        <v>300</v>
      </c>
      <c r="D67" s="23" t="s">
        <v>91</v>
      </c>
      <c r="E67" s="23" t="s">
        <v>58</v>
      </c>
      <c r="F67" s="211">
        <f t="shared" si="15"/>
        <v>1.3043464412497476E-4</v>
      </c>
      <c r="G67" s="101">
        <v>0</v>
      </c>
      <c r="H67" s="101">
        <v>9.5000000000000005E-5</v>
      </c>
      <c r="I67" s="101">
        <v>0</v>
      </c>
      <c r="J67" s="101"/>
      <c r="K67" s="101">
        <v>8.0196373769558906E-6</v>
      </c>
      <c r="L67" s="101">
        <v>0</v>
      </c>
      <c r="M67" s="101">
        <v>9.4674824843908693E-6</v>
      </c>
      <c r="N67" s="101">
        <v>1.7947524263628E-5</v>
      </c>
      <c r="O67" s="101"/>
      <c r="P67" s="101"/>
      <c r="Q67" s="101"/>
      <c r="R67" s="187">
        <f>'Parameters, country spec'!G22</f>
        <v>0.16</v>
      </c>
    </row>
    <row r="68" spans="1:18" x14ac:dyDescent="0.2">
      <c r="A68" s="22" t="s">
        <v>302</v>
      </c>
      <c r="B68" s="17" t="s">
        <v>204</v>
      </c>
      <c r="C68" s="17" t="s">
        <v>300</v>
      </c>
      <c r="D68" s="23" t="s">
        <v>91</v>
      </c>
      <c r="E68" s="23" t="s">
        <v>58</v>
      </c>
      <c r="F68" s="211">
        <f t="shared" si="15"/>
        <v>1.266059423118113E-4</v>
      </c>
      <c r="G68" s="101">
        <v>0</v>
      </c>
      <c r="H68" s="101">
        <v>9.5000000000000005E-5</v>
      </c>
      <c r="I68" s="101">
        <v>0</v>
      </c>
      <c r="J68" s="101"/>
      <c r="K68" s="101">
        <v>1.0613661369880201E-5</v>
      </c>
      <c r="L68" s="101">
        <v>0</v>
      </c>
      <c r="M68" s="101">
        <v>0</v>
      </c>
      <c r="N68" s="101">
        <v>2.0992280941931101E-5</v>
      </c>
      <c r="O68" s="101"/>
      <c r="P68" s="101"/>
      <c r="Q68" s="101"/>
      <c r="R68" s="187">
        <f>'Parameters, country spec'!G23</f>
        <v>0.01</v>
      </c>
    </row>
    <row r="69" spans="1:18" x14ac:dyDescent="0.2">
      <c r="A69" s="22" t="s">
        <v>303</v>
      </c>
      <c r="B69" s="17" t="s">
        <v>205</v>
      </c>
      <c r="C69" s="17" t="s">
        <v>300</v>
      </c>
      <c r="D69" s="23" t="s">
        <v>91</v>
      </c>
      <c r="E69" s="23" t="s">
        <v>58</v>
      </c>
      <c r="F69" s="211">
        <f t="shared" si="15"/>
        <v>1.3385318160415261E-4</v>
      </c>
      <c r="G69" s="101">
        <v>0</v>
      </c>
      <c r="H69" s="101">
        <v>9.5000000000000005E-5</v>
      </c>
      <c r="I69" s="101">
        <v>0</v>
      </c>
      <c r="J69" s="101"/>
      <c r="K69" s="101">
        <v>2.0824119581523299E-5</v>
      </c>
      <c r="L69" s="101">
        <v>0</v>
      </c>
      <c r="M69" s="101">
        <v>8.15377590012958E-8</v>
      </c>
      <c r="N69" s="101">
        <v>1.7947524263628E-5</v>
      </c>
      <c r="O69" s="101"/>
      <c r="P69" s="101"/>
      <c r="Q69" s="101"/>
      <c r="R69" s="187">
        <f>'Parameters, country spec'!G24</f>
        <v>0</v>
      </c>
    </row>
    <row r="70" spans="1:18" x14ac:dyDescent="0.2">
      <c r="A70" s="22" t="s">
        <v>304</v>
      </c>
      <c r="B70" s="17" t="s">
        <v>206</v>
      </c>
      <c r="C70" s="17" t="s">
        <v>300</v>
      </c>
      <c r="D70" s="23" t="s">
        <v>91</v>
      </c>
      <c r="E70" s="23" t="s">
        <v>58</v>
      </c>
      <c r="F70" s="211">
        <f t="shared" si="15"/>
        <v>1.2544698323017838E-4</v>
      </c>
      <c r="G70" s="101">
        <v>0</v>
      </c>
      <c r="H70" s="101">
        <v>9.5000000000000005E-5</v>
      </c>
      <c r="I70" s="101">
        <v>0</v>
      </c>
      <c r="J70" s="101"/>
      <c r="K70" s="101">
        <v>9.4547022882472702E-6</v>
      </c>
      <c r="L70" s="101">
        <v>0</v>
      </c>
      <c r="M70" s="101">
        <v>0</v>
      </c>
      <c r="N70" s="101">
        <v>2.0992280941931101E-5</v>
      </c>
      <c r="O70" s="101"/>
      <c r="P70" s="101"/>
      <c r="Q70" s="101"/>
      <c r="R70" s="187">
        <f>'Parameters, country spec'!G25</f>
        <v>0.46</v>
      </c>
    </row>
    <row r="71" spans="1:18" x14ac:dyDescent="0.2">
      <c r="A71" s="22" t="s">
        <v>305</v>
      </c>
      <c r="B71" s="17" t="s">
        <v>207</v>
      </c>
      <c r="C71" s="17" t="s">
        <v>306</v>
      </c>
      <c r="D71" s="23" t="s">
        <v>91</v>
      </c>
      <c r="E71" s="23" t="s">
        <v>58</v>
      </c>
      <c r="F71" s="211">
        <f t="shared" si="15"/>
        <v>1.330387793164647E-4</v>
      </c>
      <c r="G71" s="101">
        <v>0</v>
      </c>
      <c r="H71" s="101">
        <v>9.5000000000000005E-5</v>
      </c>
      <c r="I71" s="101">
        <v>0</v>
      </c>
      <c r="J71" s="101"/>
      <c r="K71" s="101">
        <v>1.70464983745336E-5</v>
      </c>
      <c r="L71" s="101">
        <v>0</v>
      </c>
      <c r="M71" s="101">
        <v>0</v>
      </c>
      <c r="N71" s="101">
        <v>2.0992280941931101E-5</v>
      </c>
      <c r="O71" s="101"/>
      <c r="P71" s="101"/>
      <c r="Q71" s="101"/>
      <c r="R71" s="187">
        <f>'Parameters, country spec'!G26</f>
        <v>0</v>
      </c>
    </row>
    <row r="72" spans="1:18" x14ac:dyDescent="0.2">
      <c r="A72" s="22" t="s">
        <v>307</v>
      </c>
      <c r="B72" s="17" t="s">
        <v>208</v>
      </c>
      <c r="C72" s="17" t="s">
        <v>306</v>
      </c>
      <c r="D72" s="23" t="s">
        <v>91</v>
      </c>
      <c r="E72" s="23" t="s">
        <v>58</v>
      </c>
      <c r="F72" s="211">
        <f t="shared" si="15"/>
        <v>1.3185743411235379E-4</v>
      </c>
      <c r="G72" s="101">
        <v>0</v>
      </c>
      <c r="H72" s="101">
        <v>9.5000000000000005E-5</v>
      </c>
      <c r="I72" s="101">
        <v>0</v>
      </c>
      <c r="J72" s="101"/>
      <c r="K72" s="101">
        <v>1.58651531704227E-5</v>
      </c>
      <c r="L72" s="101">
        <v>0</v>
      </c>
      <c r="M72" s="101">
        <v>0</v>
      </c>
      <c r="N72" s="101">
        <v>2.0992280941931101E-5</v>
      </c>
      <c r="O72" s="101"/>
      <c r="P72" s="101"/>
      <c r="Q72" s="101"/>
      <c r="R72" s="187">
        <f>'Parameters, country spec'!G27</f>
        <v>0</v>
      </c>
    </row>
    <row r="73" spans="1:18" x14ac:dyDescent="0.2">
      <c r="B73" s="18" t="s">
        <v>209</v>
      </c>
      <c r="C73" s="17" t="s">
        <v>308</v>
      </c>
      <c r="D73" s="23" t="str">
        <f>'Off-farm feed'!$D$75</f>
        <v>France, Germany, Poland</v>
      </c>
      <c r="E73" s="23" t="s">
        <v>319</v>
      </c>
      <c r="F73" s="212">
        <f>'Off-farm feed'!$E$75</f>
        <v>3.8246443678729503E-4</v>
      </c>
      <c r="G73" s="212">
        <f>'Off-farm feed'!$F$75</f>
        <v>1.6847747663020733E-4</v>
      </c>
      <c r="H73" s="212">
        <f>'Off-farm feed'!$G$75</f>
        <v>4.5862068965517246E-5</v>
      </c>
      <c r="I73" s="212">
        <f>'Off-farm feed'!$H$75</f>
        <v>0</v>
      </c>
      <c r="J73" s="212">
        <f>'Off-farm feed'!$I$75</f>
        <v>0</v>
      </c>
      <c r="K73" s="212">
        <f>'Off-farm feed'!$J$75</f>
        <v>1.0936279334641699E-5</v>
      </c>
      <c r="L73" s="212">
        <f>'Off-farm feed'!$K$75</f>
        <v>0</v>
      </c>
      <c r="M73" s="212">
        <f>'Off-farm feed'!$L$75</f>
        <v>6.4606960551724142E-7</v>
      </c>
      <c r="N73" s="212">
        <f>'Off-farm feed'!$M$75</f>
        <v>2.1884761697575221E-5</v>
      </c>
      <c r="O73" s="212">
        <f>'Off-farm feed'!$N$75</f>
        <v>0</v>
      </c>
      <c r="P73" s="212">
        <f>'Off-farm feed'!$O$75</f>
        <v>4.5962128379923288E-5</v>
      </c>
      <c r="Q73" s="212">
        <f>'Off-farm feed'!$P$75</f>
        <v>8.8695652173913049E-5</v>
      </c>
      <c r="R73" s="187">
        <f>'Parameters, country spec'!G28</f>
        <v>0.03</v>
      </c>
    </row>
    <row r="74" spans="1:18" x14ac:dyDescent="0.2">
      <c r="B74" s="18" t="s">
        <v>309</v>
      </c>
      <c r="C74" s="17" t="s">
        <v>308</v>
      </c>
      <c r="D74" s="23" t="str">
        <f>'Off-farm feed'!$D$24</f>
        <v>Brazil, Argentina</v>
      </c>
      <c r="E74" s="23"/>
      <c r="F74" s="212">
        <f>'Off-farm feed'!$E$24</f>
        <v>4.7266553697523981E-4</v>
      </c>
      <c r="G74" s="212">
        <f>'Off-farm feed'!$F$24</f>
        <v>1.5603516238625262E-5</v>
      </c>
      <c r="H74" s="212">
        <f>'Off-farm feed'!$G$24</f>
        <v>7.5304878048780503E-5</v>
      </c>
      <c r="I74" s="212">
        <f>'Off-farm feed'!$H$24</f>
        <v>0</v>
      </c>
      <c r="J74" s="212">
        <f>'Off-farm feed'!$I$24</f>
        <v>0</v>
      </c>
      <c r="K74" s="212">
        <f>'Off-farm feed'!$J$24</f>
        <v>1.9084590744355864E-5</v>
      </c>
      <c r="L74" s="212">
        <f>'Off-farm feed'!$K$24</f>
        <v>0</v>
      </c>
      <c r="M74" s="212">
        <f>'Off-farm feed'!$L$24</f>
        <v>5.9672097439024396E-7</v>
      </c>
      <c r="N74" s="212">
        <f>'Off-farm feed'!$M$24</f>
        <v>2.3084271612619523E-5</v>
      </c>
      <c r="O74" s="212">
        <f>'Off-farm feed'!$N$24</f>
        <v>0</v>
      </c>
      <c r="P74" s="212">
        <f>'Off-farm feed'!$O$24</f>
        <v>1.2899155935646844E-4</v>
      </c>
      <c r="Q74" s="212">
        <f>'Off-farm feed'!$P$24</f>
        <v>2.1000000000000001E-4</v>
      </c>
      <c r="R74" s="187">
        <f>'Parameters, country spec'!G29</f>
        <v>0.28000000000000003</v>
      </c>
    </row>
    <row r="75" spans="1:18" x14ac:dyDescent="0.2">
      <c r="B75" s="17" t="s">
        <v>213</v>
      </c>
      <c r="C75" s="17" t="s">
        <v>310</v>
      </c>
      <c r="D75" s="23" t="s">
        <v>91</v>
      </c>
      <c r="E75" s="23" t="s">
        <v>58</v>
      </c>
      <c r="F75" s="211">
        <f>SUM(G75:Q75)</f>
        <v>5.1398626472793632E-4</v>
      </c>
      <c r="G75" s="101">
        <v>0</v>
      </c>
      <c r="H75" s="101">
        <v>8.5499999999999995E-6</v>
      </c>
      <c r="I75" s="47">
        <v>0</v>
      </c>
      <c r="J75" s="47"/>
      <c r="K75" s="101">
        <v>8.5092320594225499E-7</v>
      </c>
      <c r="L75" s="47">
        <v>0</v>
      </c>
      <c r="M75" s="47">
        <v>0</v>
      </c>
      <c r="N75" s="101">
        <v>1.8893052847737999E-6</v>
      </c>
      <c r="O75" s="101"/>
      <c r="P75" s="101">
        <v>4.7636352423280299E-4</v>
      </c>
      <c r="Q75" s="101">
        <v>2.6332512004417299E-5</v>
      </c>
      <c r="R75" s="187">
        <f>'Parameters, country spec'!G30</f>
        <v>0</v>
      </c>
    </row>
    <row r="76" spans="1:18" x14ac:dyDescent="0.2">
      <c r="A76" s="82"/>
      <c r="B76" s="17" t="s">
        <v>312</v>
      </c>
      <c r="C76" s="83" t="s">
        <v>313</v>
      </c>
      <c r="D76" s="23" t="s">
        <v>91</v>
      </c>
      <c r="E76" s="23" t="s">
        <v>58</v>
      </c>
      <c r="F76" s="212">
        <f>SUM(G76:Q76)</f>
        <v>1.4336044138418705E-4</v>
      </c>
      <c r="G76" s="81">
        <f t="shared" ref="G76:N76" si="16">AVERAGE(G66:G74)</f>
        <v>2.045344365209251E-5</v>
      </c>
      <c r="H76" s="81">
        <f t="shared" si="16"/>
        <v>8.7351883001588647E-5</v>
      </c>
      <c r="I76" s="81">
        <f t="shared" si="16"/>
        <v>0</v>
      </c>
      <c r="J76" s="81">
        <f t="shared" si="16"/>
        <v>0</v>
      </c>
      <c r="K76" s="81">
        <f t="shared" si="16"/>
        <v>1.3708748356016334E-5</v>
      </c>
      <c r="L76" s="81">
        <f t="shared" si="16"/>
        <v>0</v>
      </c>
      <c r="M76" s="81">
        <f t="shared" si="16"/>
        <v>1.1990900914777391E-6</v>
      </c>
      <c r="N76" s="81">
        <f t="shared" si="16"/>
        <v>2.0647276283011806E-5</v>
      </c>
      <c r="O76" s="81"/>
      <c r="P76" s="81"/>
      <c r="Q76" s="81"/>
      <c r="R76" s="187">
        <f>'Parameters, country spec'!G31</f>
        <v>0.06</v>
      </c>
    </row>
    <row r="77" spans="1:18" x14ac:dyDescent="0.2">
      <c r="A77" s="185"/>
      <c r="B77" s="25" t="s">
        <v>314</v>
      </c>
      <c r="C77" s="26"/>
      <c r="D77" s="102"/>
      <c r="E77" s="102"/>
      <c r="F77" s="45">
        <f t="shared" ref="F77:O77" si="17">SUMPRODUCT(F66:F76,$R$66:$R$76)</f>
        <v>2.3226312470873338E-4</v>
      </c>
      <c r="G77" s="45">
        <f t="shared" si="17"/>
        <v>1.0650515464846843E-5</v>
      </c>
      <c r="H77" s="45">
        <f t="shared" si="17"/>
        <v>8.7552340902719388E-5</v>
      </c>
      <c r="I77" s="45">
        <f t="shared" si="17"/>
        <v>0</v>
      </c>
      <c r="J77" s="45">
        <f t="shared" si="17"/>
        <v>0</v>
      </c>
      <c r="K77" s="45">
        <f t="shared" si="17"/>
        <v>1.2232740336425361E-5</v>
      </c>
      <c r="L77" s="45">
        <f t="shared" si="17"/>
        <v>0</v>
      </c>
      <c r="M77" s="45">
        <f t="shared" si="17"/>
        <v>1.7732065639859889E-6</v>
      </c>
      <c r="N77" s="45">
        <f t="shared" si="17"/>
        <v>2.1096951404329528E-5</v>
      </c>
      <c r="O77" s="45">
        <f t="shared" si="17"/>
        <v>0</v>
      </c>
      <c r="P77" s="30">
        <f>SUMPRODUCT(P66:P76,R66:R76)</f>
        <v>3.749650047120887E-5</v>
      </c>
      <c r="Q77" s="45">
        <f>SUMPRODUCT(Q66:Q76,$R$66:$R$76)</f>
        <v>6.1460869565217396E-5</v>
      </c>
      <c r="R77" s="188"/>
    </row>
    <row r="78" spans="1:18" x14ac:dyDescent="0.2">
      <c r="A78" s="22" t="s">
        <v>299</v>
      </c>
      <c r="B78" s="17" t="s">
        <v>198</v>
      </c>
      <c r="C78" s="17" t="s">
        <v>300</v>
      </c>
      <c r="D78" s="23" t="s">
        <v>59</v>
      </c>
      <c r="E78" s="23" t="s">
        <v>60</v>
      </c>
      <c r="F78" s="213">
        <f t="shared" ref="F78:F84" si="18">SUM(G78:Q78)</f>
        <v>1.6081792239633249E-4</v>
      </c>
      <c r="G78" s="195">
        <v>0</v>
      </c>
      <c r="H78" s="195">
        <v>9.5000000000000005E-5</v>
      </c>
      <c r="I78" s="195">
        <v>0</v>
      </c>
      <c r="J78" s="195"/>
      <c r="K78" s="195">
        <v>2.0408953594176501E-5</v>
      </c>
      <c r="L78" s="195">
        <v>0</v>
      </c>
      <c r="M78" s="195">
        <v>0</v>
      </c>
      <c r="N78" s="195">
        <v>4.5408968802156001E-5</v>
      </c>
      <c r="O78" s="195"/>
      <c r="P78" s="101"/>
      <c r="Q78" s="195"/>
      <c r="R78" s="198">
        <f>'Parameters, country spec'!H21</f>
        <v>6.9755357742184998E-2</v>
      </c>
    </row>
    <row r="79" spans="1:18" x14ac:dyDescent="0.2">
      <c r="A79" s="22" t="s">
        <v>301</v>
      </c>
      <c r="B79" s="17" t="s">
        <v>201</v>
      </c>
      <c r="C79" s="17" t="s">
        <v>300</v>
      </c>
      <c r="D79" s="23" t="s">
        <v>59</v>
      </c>
      <c r="E79" s="23" t="s">
        <v>60</v>
      </c>
      <c r="F79" s="211">
        <f t="shared" si="18"/>
        <v>1.5559892482314231E-4</v>
      </c>
      <c r="G79" s="101">
        <v>0</v>
      </c>
      <c r="H79" s="101">
        <v>9.5000000000000005E-5</v>
      </c>
      <c r="I79" s="101">
        <v>0</v>
      </c>
      <c r="J79" s="101"/>
      <c r="K79" s="101">
        <v>7.0135973409644302E-6</v>
      </c>
      <c r="L79" s="101">
        <v>0</v>
      </c>
      <c r="M79" s="101">
        <v>8.1763586800218706E-6</v>
      </c>
      <c r="N79" s="101">
        <v>4.5408968802156001E-5</v>
      </c>
      <c r="O79" s="101"/>
      <c r="P79" s="101"/>
      <c r="Q79" s="101"/>
      <c r="R79" s="187">
        <f>'Parameters, country spec'!H22</f>
        <v>0.45612129266564322</v>
      </c>
    </row>
    <row r="80" spans="1:18" x14ac:dyDescent="0.2">
      <c r="A80" s="22" t="s">
        <v>302</v>
      </c>
      <c r="B80" s="17" t="s">
        <v>204</v>
      </c>
      <c r="C80" s="17" t="s">
        <v>300</v>
      </c>
      <c r="D80" s="23" t="s">
        <v>59</v>
      </c>
      <c r="E80" s="23" t="s">
        <v>60</v>
      </c>
      <c r="F80" s="211">
        <f t="shared" si="18"/>
        <v>1.7509622686667211E-4</v>
      </c>
      <c r="G80" s="101">
        <v>0</v>
      </c>
      <c r="H80" s="101">
        <v>9.5000000000000005E-5</v>
      </c>
      <c r="I80" s="101">
        <v>0</v>
      </c>
      <c r="J80" s="101"/>
      <c r="K80" s="101">
        <v>3.4687258064516102E-5</v>
      </c>
      <c r="L80" s="101">
        <v>0</v>
      </c>
      <c r="M80" s="101">
        <v>0</v>
      </c>
      <c r="N80" s="101">
        <v>4.5408968802156001E-5</v>
      </c>
      <c r="O80" s="101"/>
      <c r="P80" s="101"/>
      <c r="Q80" s="101"/>
      <c r="R80" s="187">
        <f>'Parameters, country spec'!H23</f>
        <v>1.448634181078594E-2</v>
      </c>
    </row>
    <row r="81" spans="1:18" x14ac:dyDescent="0.2">
      <c r="A81" s="22" t="s">
        <v>303</v>
      </c>
      <c r="B81" s="17" t="s">
        <v>205</v>
      </c>
      <c r="C81" s="17" t="s">
        <v>300</v>
      </c>
      <c r="D81" s="23" t="s">
        <v>59</v>
      </c>
      <c r="E81" s="23" t="s">
        <v>60</v>
      </c>
      <c r="F81" s="211">
        <f t="shared" si="18"/>
        <v>1.6950607150978425E-4</v>
      </c>
      <c r="G81" s="101">
        <v>0</v>
      </c>
      <c r="H81" s="101">
        <v>9.5000000000000005E-5</v>
      </c>
      <c r="I81" s="101">
        <v>0</v>
      </c>
      <c r="J81" s="101"/>
      <c r="K81" s="101">
        <v>2.6577983447983399E-5</v>
      </c>
      <c r="L81" s="101">
        <v>0</v>
      </c>
      <c r="M81" s="101">
        <v>2.51911925964486E-6</v>
      </c>
      <c r="N81" s="101">
        <v>4.5408968802156001E-5</v>
      </c>
      <c r="O81" s="101"/>
      <c r="P81" s="101"/>
      <c r="Q81" s="101"/>
      <c r="R81" s="187">
        <f>'Parameters, country spec'!H24</f>
        <v>1.154218810875446E-3</v>
      </c>
    </row>
    <row r="82" spans="1:18" x14ac:dyDescent="0.2">
      <c r="A82" s="22" t="s">
        <v>304</v>
      </c>
      <c r="B82" s="17" t="s">
        <v>206</v>
      </c>
      <c r="C82" s="17" t="s">
        <v>300</v>
      </c>
      <c r="D82" s="23" t="s">
        <v>59</v>
      </c>
      <c r="E82" s="23" t="s">
        <v>60</v>
      </c>
      <c r="F82" s="211">
        <f t="shared" si="18"/>
        <v>1.6460418698841902E-4</v>
      </c>
      <c r="G82" s="101">
        <v>0</v>
      </c>
      <c r="H82" s="101">
        <v>9.5000000000000005E-5</v>
      </c>
      <c r="I82" s="101">
        <v>0</v>
      </c>
      <c r="J82" s="101"/>
      <c r="K82" s="101">
        <v>2.21715498673326E-5</v>
      </c>
      <c r="L82" s="101">
        <v>0</v>
      </c>
      <c r="M82" s="101">
        <v>2.0236683189304101E-6</v>
      </c>
      <c r="N82" s="101">
        <v>4.5408968802156001E-5</v>
      </c>
      <c r="O82" s="101"/>
      <c r="P82" s="101"/>
      <c r="Q82" s="101"/>
      <c r="R82" s="187">
        <f>'Parameters, country spec'!H25</f>
        <v>6.607302843520492E-2</v>
      </c>
    </row>
    <row r="83" spans="1:18" x14ac:dyDescent="0.2">
      <c r="A83" s="22" t="s">
        <v>305</v>
      </c>
      <c r="B83" s="17" t="s">
        <v>207</v>
      </c>
      <c r="C83" s="17" t="s">
        <v>306</v>
      </c>
      <c r="D83" s="23" t="s">
        <v>59</v>
      </c>
      <c r="E83" s="23" t="s">
        <v>60</v>
      </c>
      <c r="F83" s="211">
        <f t="shared" si="18"/>
        <v>1.6861046490614421E-4</v>
      </c>
      <c r="G83" s="101">
        <v>0</v>
      </c>
      <c r="H83" s="101">
        <v>9.5000000000000005E-5</v>
      </c>
      <c r="I83" s="101">
        <v>0</v>
      </c>
      <c r="J83" s="101"/>
      <c r="K83" s="101">
        <v>2.7899903583136301E-5</v>
      </c>
      <c r="L83" s="101">
        <v>0</v>
      </c>
      <c r="M83" s="101">
        <v>3.0159252085191802E-7</v>
      </c>
      <c r="N83" s="101">
        <v>4.5408968802156001E-5</v>
      </c>
      <c r="O83" s="101"/>
      <c r="P83" s="101"/>
      <c r="Q83" s="101"/>
      <c r="R83" s="187">
        <f>'Parameters, country spec'!H26</f>
        <v>2.8132125343424521E-3</v>
      </c>
    </row>
    <row r="84" spans="1:18" x14ac:dyDescent="0.2">
      <c r="A84" s="22" t="s">
        <v>307</v>
      </c>
      <c r="B84" s="17" t="s">
        <v>208</v>
      </c>
      <c r="C84" s="17" t="s">
        <v>306</v>
      </c>
      <c r="D84" s="23" t="s">
        <v>59</v>
      </c>
      <c r="E84" s="23" t="s">
        <v>60</v>
      </c>
      <c r="F84" s="211">
        <f t="shared" si="18"/>
        <v>1.8035826993186918E-4</v>
      </c>
      <c r="G84" s="101">
        <v>0</v>
      </c>
      <c r="H84" s="101">
        <v>9.5000000000000005E-5</v>
      </c>
      <c r="I84" s="101">
        <v>0</v>
      </c>
      <c r="J84" s="101"/>
      <c r="K84" s="101">
        <v>3.9529874624328298E-5</v>
      </c>
      <c r="L84" s="101">
        <v>0</v>
      </c>
      <c r="M84" s="101">
        <v>4.1942650538490402E-7</v>
      </c>
      <c r="N84" s="101">
        <v>4.5408968802156001E-5</v>
      </c>
      <c r="O84" s="101"/>
      <c r="P84" s="101"/>
      <c r="Q84" s="101"/>
      <c r="R84" s="187">
        <f>'Parameters, country spec'!H27</f>
        <v>2.763501773404974E-3</v>
      </c>
    </row>
    <row r="85" spans="1:18" x14ac:dyDescent="0.2">
      <c r="B85" s="18" t="s">
        <v>209</v>
      </c>
      <c r="C85" s="17" t="s">
        <v>308</v>
      </c>
      <c r="D85" s="23" t="str">
        <f>'Off-farm feed'!$D$75</f>
        <v>France, Germany, Poland</v>
      </c>
      <c r="E85" s="23" t="s">
        <v>319</v>
      </c>
      <c r="F85" s="212">
        <f>'Off-farm feed'!$E$75</f>
        <v>3.8246443678729503E-4</v>
      </c>
      <c r="G85" s="212">
        <f>'Off-farm feed'!$F$75</f>
        <v>1.6847747663020733E-4</v>
      </c>
      <c r="H85" s="212">
        <f>'Off-farm feed'!$G$75</f>
        <v>4.5862068965517246E-5</v>
      </c>
      <c r="I85" s="212">
        <f>'Off-farm feed'!$H$75</f>
        <v>0</v>
      </c>
      <c r="J85" s="212">
        <f>'Off-farm feed'!$I$75</f>
        <v>0</v>
      </c>
      <c r="K85" s="212">
        <f>'Off-farm feed'!$J$75</f>
        <v>1.0936279334641699E-5</v>
      </c>
      <c r="L85" s="212">
        <f>'Off-farm feed'!$K$75</f>
        <v>0</v>
      </c>
      <c r="M85" s="212">
        <f>'Off-farm feed'!$L$75</f>
        <v>6.4606960551724142E-7</v>
      </c>
      <c r="N85" s="212">
        <f>'Off-farm feed'!$M$75</f>
        <v>2.1884761697575221E-5</v>
      </c>
      <c r="O85" s="212">
        <f>'Off-farm feed'!$N$75</f>
        <v>0</v>
      </c>
      <c r="P85" s="212">
        <f>'Off-farm feed'!$O$75</f>
        <v>4.5962128379923288E-5</v>
      </c>
      <c r="Q85" s="212">
        <f>'Off-farm feed'!$P$75</f>
        <v>8.8695652173913049E-5</v>
      </c>
      <c r="R85" s="187">
        <f>'Parameters, country spec'!H28</f>
        <v>4.7386628229038642E-3</v>
      </c>
    </row>
    <row r="86" spans="1:18" x14ac:dyDescent="0.2">
      <c r="B86" s="18" t="s">
        <v>309</v>
      </c>
      <c r="C86" s="17" t="s">
        <v>308</v>
      </c>
      <c r="D86" s="23" t="str">
        <f>'Off-farm feed'!$D$24</f>
        <v>Brazil, Argentina</v>
      </c>
      <c r="E86" s="23"/>
      <c r="F86" s="212">
        <f>'Off-farm feed'!$E$24</f>
        <v>4.7266553697523981E-4</v>
      </c>
      <c r="G86" s="212">
        <f>'Off-farm feed'!$F$24</f>
        <v>1.5603516238625262E-5</v>
      </c>
      <c r="H86" s="212">
        <f>'Off-farm feed'!$G$24</f>
        <v>7.5304878048780503E-5</v>
      </c>
      <c r="I86" s="212">
        <f>'Off-farm feed'!$H$24</f>
        <v>0</v>
      </c>
      <c r="J86" s="212">
        <f>'Off-farm feed'!$I$24</f>
        <v>0</v>
      </c>
      <c r="K86" s="212">
        <f>'Off-farm feed'!$J$24</f>
        <v>1.9084590744355864E-5</v>
      </c>
      <c r="L86" s="212">
        <f>'Off-farm feed'!$K$24</f>
        <v>0</v>
      </c>
      <c r="M86" s="212">
        <f>'Off-farm feed'!$L$24</f>
        <v>5.9672097439024396E-7</v>
      </c>
      <c r="N86" s="212">
        <f>'Off-farm feed'!$M$24</f>
        <v>2.3084271612619523E-5</v>
      </c>
      <c r="O86" s="212">
        <f>'Off-farm feed'!$N$24</f>
        <v>0</v>
      </c>
      <c r="P86" s="212">
        <f>'Off-farm feed'!$O$24</f>
        <v>1.2899155935646844E-4</v>
      </c>
      <c r="Q86" s="212">
        <f>'Off-farm feed'!$P$24</f>
        <v>2.1000000000000001E-4</v>
      </c>
      <c r="R86" s="187">
        <f>'Parameters, country spec'!H29</f>
        <v>0.1169921159057515</v>
      </c>
    </row>
    <row r="87" spans="1:18" x14ac:dyDescent="0.2">
      <c r="B87" s="17" t="s">
        <v>213</v>
      </c>
      <c r="C87" s="17" t="s">
        <v>310</v>
      </c>
      <c r="D87" s="23" t="s">
        <v>59</v>
      </c>
      <c r="E87" s="23" t="s">
        <v>60</v>
      </c>
      <c r="F87" s="211">
        <f>SUM(G87:Q87)</f>
        <v>1.8942176456916856E-3</v>
      </c>
      <c r="G87" s="101">
        <v>0</v>
      </c>
      <c r="H87" s="101">
        <v>8.5499999999999995E-6</v>
      </c>
      <c r="I87">
        <v>0</v>
      </c>
      <c r="K87" s="101">
        <v>1.9954394880599302E-6</v>
      </c>
      <c r="L87">
        <v>0</v>
      </c>
      <c r="M87">
        <v>1.8213014870373701E-7</v>
      </c>
      <c r="N87" s="101">
        <v>4.0868071921940402E-6</v>
      </c>
      <c r="O87" s="101"/>
      <c r="P87" s="101">
        <v>1.84838955963081E-3</v>
      </c>
      <c r="Q87" s="101">
        <v>3.1013709231917901E-5</v>
      </c>
      <c r="R87" s="187">
        <f>'Parameters, country spec'!H30</f>
        <v>0.1235041146996869</v>
      </c>
    </row>
    <row r="88" spans="1:18" x14ac:dyDescent="0.2">
      <c r="A88" s="82"/>
      <c r="B88" s="17" t="s">
        <v>312</v>
      </c>
      <c r="C88" s="83" t="s">
        <v>313</v>
      </c>
      <c r="D88" s="23" t="s">
        <v>59</v>
      </c>
      <c r="E88" s="23" t="s">
        <v>60</v>
      </c>
      <c r="F88" s="212">
        <f>SUM(G88:Q88)</f>
        <v>3.222447928952447E-4</v>
      </c>
      <c r="G88" s="81">
        <f t="shared" ref="G88:O88" si="19">AVERAGE(G78:G86)</f>
        <v>2.045344365209251E-5</v>
      </c>
      <c r="H88" s="81">
        <f t="shared" si="19"/>
        <v>8.7351883001588647E-5</v>
      </c>
      <c r="I88" s="81">
        <f t="shared" si="19"/>
        <v>0</v>
      </c>
      <c r="J88" s="81">
        <f t="shared" si="19"/>
        <v>0</v>
      </c>
      <c r="K88" s="81">
        <f t="shared" si="19"/>
        <v>2.3145554511270573E-5</v>
      </c>
      <c r="L88" s="81">
        <f t="shared" si="19"/>
        <v>0</v>
      </c>
      <c r="M88" s="81">
        <f t="shared" si="19"/>
        <v>1.6314395405268274E-6</v>
      </c>
      <c r="N88" s="81">
        <f t="shared" si="19"/>
        <v>4.0314646102809641E-5</v>
      </c>
      <c r="O88" s="81">
        <f t="shared" si="19"/>
        <v>0</v>
      </c>
      <c r="P88" s="81"/>
      <c r="Q88" s="81">
        <f>AVERAGE(Q78:Q86)</f>
        <v>1.4934782608695652E-4</v>
      </c>
      <c r="R88" s="187">
        <f>'Parameters, country spec'!H31</f>
        <v>0.14159815279921581</v>
      </c>
    </row>
    <row r="89" spans="1:18" x14ac:dyDescent="0.2">
      <c r="A89" s="185"/>
      <c r="B89" s="25" t="s">
        <v>314</v>
      </c>
      <c r="C89" s="26"/>
      <c r="D89" s="102"/>
      <c r="E89" s="102"/>
      <c r="F89" s="45">
        <f t="shared" ref="F89:O89" si="20">SUMPRODUCT(F78:F88,$R$78:$R$88)</f>
        <v>4.3345415202078827E-4</v>
      </c>
      <c r="G89" s="45">
        <f t="shared" si="20"/>
        <v>5.5200161748498859E-6</v>
      </c>
      <c r="H89" s="45">
        <f t="shared" si="20"/>
        <v>8.0703087967762242E-5</v>
      </c>
      <c r="I89" s="45">
        <f t="shared" si="20"/>
        <v>0</v>
      </c>
      <c r="J89" s="45">
        <f t="shared" si="20"/>
        <v>0</v>
      </c>
      <c r="K89" s="45">
        <f t="shared" si="20"/>
        <v>1.2616906656086011E-5</v>
      </c>
      <c r="L89" s="45">
        <f t="shared" si="20"/>
        <v>0</v>
      </c>
      <c r="M89" s="45">
        <f t="shared" si="20"/>
        <v>4.1944121329352357E-6</v>
      </c>
      <c r="N89" s="45">
        <f t="shared" si="20"/>
        <v>3.6860878284245878E-5</v>
      </c>
      <c r="O89" s="45">
        <f t="shared" si="20"/>
        <v>0</v>
      </c>
      <c r="P89" s="30">
        <f>SUMPRODUCT(P78:P88,R78:R88)</f>
        <v>2.4359251067445836E-4</v>
      </c>
      <c r="Q89" s="45">
        <f>SUMPRODUCT(Q78:Q88,$R$78:$R$88)</f>
        <v>4.9966340130450656E-5</v>
      </c>
      <c r="R89" s="188"/>
    </row>
    <row r="90" spans="1:18" x14ac:dyDescent="0.2">
      <c r="A90" s="22" t="s">
        <v>299</v>
      </c>
      <c r="B90" s="17" t="s">
        <v>198</v>
      </c>
      <c r="C90" s="17" t="s">
        <v>300</v>
      </c>
      <c r="D90" s="23" t="s">
        <v>90</v>
      </c>
      <c r="E90" s="23" t="s">
        <v>62</v>
      </c>
      <c r="F90" s="213">
        <f t="shared" ref="F90:F96" si="21">SUM(G90:Q90)</f>
        <v>1.3995009006065534E-4</v>
      </c>
      <c r="G90" s="195">
        <v>0</v>
      </c>
      <c r="H90" s="195">
        <v>9.5000000000000005E-5</v>
      </c>
      <c r="I90" s="195">
        <v>0</v>
      </c>
      <c r="J90" s="195"/>
      <c r="K90" s="195">
        <v>1.27305993690852E-5</v>
      </c>
      <c r="L90" s="195">
        <v>0</v>
      </c>
      <c r="M90" s="195">
        <v>4.041629118133E-9</v>
      </c>
      <c r="N90" s="195">
        <v>3.2215449062452001E-5</v>
      </c>
      <c r="O90" s="195"/>
      <c r="P90" s="101"/>
      <c r="Q90" s="195"/>
      <c r="R90" s="198">
        <f>'Parameters, country spec'!I21</f>
        <v>6.5976692624369268E-2</v>
      </c>
    </row>
    <row r="91" spans="1:18" x14ac:dyDescent="0.2">
      <c r="A91" s="22" t="s">
        <v>301</v>
      </c>
      <c r="B91" s="17" t="s">
        <v>201</v>
      </c>
      <c r="C91" s="17" t="s">
        <v>300</v>
      </c>
      <c r="D91" s="23" t="s">
        <v>90</v>
      </c>
      <c r="E91" s="23" t="s">
        <v>62</v>
      </c>
      <c r="F91" s="211">
        <f t="shared" si="21"/>
        <v>1.3716169100603363E-4</v>
      </c>
      <c r="G91" s="101">
        <v>0</v>
      </c>
      <c r="H91" s="101">
        <v>9.5000000000000005E-5</v>
      </c>
      <c r="I91" s="101">
        <v>0</v>
      </c>
      <c r="J91" s="101"/>
      <c r="K91" s="101">
        <v>7.7167553942765293E-6</v>
      </c>
      <c r="L91" s="101">
        <v>0</v>
      </c>
      <c r="M91" s="101">
        <v>2.2294865493050998E-6</v>
      </c>
      <c r="N91" s="101">
        <v>3.2215449062452001E-5</v>
      </c>
      <c r="O91" s="101"/>
      <c r="P91" s="101"/>
      <c r="Q91" s="101"/>
      <c r="R91" s="187">
        <f>'Parameters, country spec'!I22</f>
        <v>0.1981410733338565</v>
      </c>
    </row>
    <row r="92" spans="1:18" x14ac:dyDescent="0.2">
      <c r="A92" s="22" t="s">
        <v>302</v>
      </c>
      <c r="B92" s="17" t="s">
        <v>204</v>
      </c>
      <c r="C92" s="17" t="s">
        <v>300</v>
      </c>
      <c r="D92" s="23" t="s">
        <v>90</v>
      </c>
      <c r="E92" s="23" t="s">
        <v>62</v>
      </c>
      <c r="F92" s="211">
        <f t="shared" si="21"/>
        <v>1.4583591964434446E-4</v>
      </c>
      <c r="G92" s="101">
        <v>0</v>
      </c>
      <c r="H92" s="101">
        <v>9.5000000000000005E-5</v>
      </c>
      <c r="I92" s="101">
        <v>0</v>
      </c>
      <c r="J92" s="101"/>
      <c r="K92" s="101">
        <v>1.6883661191733499E-5</v>
      </c>
      <c r="L92" s="101">
        <v>0</v>
      </c>
      <c r="M92" s="101">
        <v>1.73680939015895E-6</v>
      </c>
      <c r="N92" s="101">
        <v>3.2215449062452001E-5</v>
      </c>
      <c r="O92" s="101"/>
      <c r="P92" s="101"/>
      <c r="Q92" s="101"/>
      <c r="R92" s="187">
        <f>'Parameters, country spec'!I23</f>
        <v>2.1671841623166059E-3</v>
      </c>
    </row>
    <row r="93" spans="1:18" x14ac:dyDescent="0.2">
      <c r="A93" s="22" t="s">
        <v>303</v>
      </c>
      <c r="B93" s="17" t="s">
        <v>205</v>
      </c>
      <c r="C93" s="17" t="s">
        <v>300</v>
      </c>
      <c r="D93" s="23" t="s">
        <v>90</v>
      </c>
      <c r="E93" s="23" t="s">
        <v>62</v>
      </c>
      <c r="F93" s="211">
        <f t="shared" si="21"/>
        <v>1.51017250844127E-4</v>
      </c>
      <c r="G93" s="101">
        <v>0</v>
      </c>
      <c r="H93" s="101">
        <v>9.5000000000000005E-5</v>
      </c>
      <c r="I93" s="101">
        <v>0</v>
      </c>
      <c r="J93" s="101"/>
      <c r="K93" s="101">
        <v>2.3801801781675E-5</v>
      </c>
      <c r="L93" s="101">
        <v>0</v>
      </c>
      <c r="M93" s="101">
        <v>0</v>
      </c>
      <c r="N93" s="101">
        <v>3.2215449062452001E-5</v>
      </c>
      <c r="O93" s="101"/>
      <c r="P93" s="101"/>
      <c r="Q93" s="101"/>
      <c r="R93" s="187">
        <f>'Parameters, country spec'!I24</f>
        <v>8.1550834411767848E-3</v>
      </c>
    </row>
    <row r="94" spans="1:18" x14ac:dyDescent="0.2">
      <c r="A94" s="22" t="s">
        <v>304</v>
      </c>
      <c r="B94" s="17" t="s">
        <v>206</v>
      </c>
      <c r="C94" s="17" t="s">
        <v>300</v>
      </c>
      <c r="D94" s="23" t="s">
        <v>90</v>
      </c>
      <c r="E94" s="23" t="s">
        <v>62</v>
      </c>
      <c r="F94" s="211">
        <f t="shared" si="21"/>
        <v>1.3750788550144142E-4</v>
      </c>
      <c r="G94" s="101">
        <v>0</v>
      </c>
      <c r="H94" s="101">
        <v>9.5000000000000005E-5</v>
      </c>
      <c r="I94" s="101">
        <v>0</v>
      </c>
      <c r="J94" s="101"/>
      <c r="K94" s="101">
        <v>1.0292436438989401E-5</v>
      </c>
      <c r="L94" s="101">
        <v>0</v>
      </c>
      <c r="M94" s="101">
        <v>0</v>
      </c>
      <c r="N94" s="101">
        <v>3.2215449062452001E-5</v>
      </c>
      <c r="O94" s="101"/>
      <c r="P94" s="101"/>
      <c r="Q94" s="101"/>
      <c r="R94" s="187">
        <f>'Parameters, country spec'!I25</f>
        <v>0.22324493125110029</v>
      </c>
    </row>
    <row r="95" spans="1:18" x14ac:dyDescent="0.2">
      <c r="A95" s="22" t="s">
        <v>305</v>
      </c>
      <c r="B95" s="17" t="s">
        <v>207</v>
      </c>
      <c r="C95" s="17" t="s">
        <v>306</v>
      </c>
      <c r="D95" s="23" t="s">
        <v>90</v>
      </c>
      <c r="E95" s="23" t="s">
        <v>62</v>
      </c>
      <c r="F95" s="211">
        <f t="shared" si="21"/>
        <v>1.5323348809202599E-4</v>
      </c>
      <c r="G95" s="101">
        <v>0</v>
      </c>
      <c r="H95" s="101">
        <v>9.5000000000000005E-5</v>
      </c>
      <c r="I95" s="101">
        <v>0</v>
      </c>
      <c r="J95" s="101"/>
      <c r="K95" s="101">
        <v>2.6539357994497098E-5</v>
      </c>
      <c r="L95" s="101">
        <v>0</v>
      </c>
      <c r="M95" s="101">
        <v>1.3746605833900899E-5</v>
      </c>
      <c r="N95" s="101">
        <v>1.7947524263628E-5</v>
      </c>
      <c r="O95" s="101"/>
      <c r="P95" s="101"/>
      <c r="Q95" s="101"/>
      <c r="R95" s="187">
        <f>'Parameters, country spec'!I26</f>
        <v>0</v>
      </c>
    </row>
    <row r="96" spans="1:18" x14ac:dyDescent="0.2">
      <c r="A96" s="22" t="s">
        <v>307</v>
      </c>
      <c r="B96" s="17" t="s">
        <v>208</v>
      </c>
      <c r="C96" s="17" t="s">
        <v>306</v>
      </c>
      <c r="D96" s="23" t="s">
        <v>90</v>
      </c>
      <c r="E96" s="23" t="s">
        <v>62</v>
      </c>
      <c r="F96" s="211">
        <f t="shared" si="21"/>
        <v>1.4942367225038484E-4</v>
      </c>
      <c r="G96" s="101">
        <v>0</v>
      </c>
      <c r="H96" s="101">
        <v>9.5000000000000005E-5</v>
      </c>
      <c r="I96" s="101">
        <v>0</v>
      </c>
      <c r="J96" s="101"/>
      <c r="K96" s="101">
        <v>2.22082079949972E-5</v>
      </c>
      <c r="L96" s="101">
        <v>0</v>
      </c>
      <c r="M96" s="101">
        <v>1.5192935628999999E-11</v>
      </c>
      <c r="N96" s="101">
        <v>3.2215449062452001E-5</v>
      </c>
      <c r="O96" s="101"/>
      <c r="P96" s="101"/>
      <c r="Q96" s="101"/>
      <c r="R96" s="187">
        <f>'Parameters, country spec'!I27</f>
        <v>0</v>
      </c>
    </row>
    <row r="97" spans="1:19" x14ac:dyDescent="0.2">
      <c r="B97" s="18" t="s">
        <v>209</v>
      </c>
      <c r="C97" s="17" t="s">
        <v>308</v>
      </c>
      <c r="D97" s="23" t="s">
        <v>320</v>
      </c>
      <c r="E97" s="23" t="s">
        <v>319</v>
      </c>
      <c r="F97" s="212">
        <v>6.0478733190314773E-4</v>
      </c>
      <c r="G97" s="29">
        <v>2.320636514451769E-4</v>
      </c>
      <c r="H97" s="29">
        <v>2.181240865869439E-4</v>
      </c>
      <c r="I97" s="29">
        <v>4.5862068965517253E-5</v>
      </c>
      <c r="J97" s="29">
        <v>0</v>
      </c>
      <c r="K97" s="29">
        <v>1.023390065301628E-5</v>
      </c>
      <c r="L97" s="29">
        <v>1.128746867545441E-5</v>
      </c>
      <c r="M97" s="29">
        <v>2.4227610206896549E-7</v>
      </c>
      <c r="N97" s="29">
        <v>7.4566292815222108E-6</v>
      </c>
      <c r="O97" s="29">
        <v>2.2490164981320888E-5</v>
      </c>
      <c r="P97" s="29">
        <v>5.7027085212127042E-5</v>
      </c>
      <c r="Q97" s="29">
        <v>0</v>
      </c>
      <c r="R97" s="187">
        <f>'Parameters, country spec'!I28</f>
        <v>0.12320054874364431</v>
      </c>
    </row>
    <row r="98" spans="1:19" x14ac:dyDescent="0.2">
      <c r="B98" s="18" t="s">
        <v>309</v>
      </c>
      <c r="C98" s="17" t="s">
        <v>308</v>
      </c>
      <c r="D98" s="23" t="str">
        <f>'Off-farm feed'!$D$24</f>
        <v>Brazil, Argentina</v>
      </c>
      <c r="E98" s="23"/>
      <c r="F98" s="212">
        <f>'Off-farm feed'!$E$24</f>
        <v>4.7266553697523981E-4</v>
      </c>
      <c r="G98" s="212">
        <f>'Off-farm feed'!$F$24</f>
        <v>1.5603516238625262E-5</v>
      </c>
      <c r="H98" s="212">
        <f>'Off-farm feed'!$G$24</f>
        <v>7.5304878048780503E-5</v>
      </c>
      <c r="I98" s="212">
        <f>'Off-farm feed'!$H$24</f>
        <v>0</v>
      </c>
      <c r="J98" s="212">
        <f>'Off-farm feed'!$I$24</f>
        <v>0</v>
      </c>
      <c r="K98" s="212">
        <f>'Off-farm feed'!$J$24</f>
        <v>1.9084590744355864E-5</v>
      </c>
      <c r="L98" s="212">
        <f>'Off-farm feed'!$K$24</f>
        <v>0</v>
      </c>
      <c r="M98" s="212">
        <f>'Off-farm feed'!$L$24</f>
        <v>5.9672097439024396E-7</v>
      </c>
      <c r="N98" s="212">
        <f>'Off-farm feed'!$M$24</f>
        <v>2.3084271612619523E-5</v>
      </c>
      <c r="O98" s="212">
        <f>'Off-farm feed'!$N$24</f>
        <v>0</v>
      </c>
      <c r="P98" s="212">
        <f>'Off-farm feed'!$O$24</f>
        <v>1.2899155935646844E-4</v>
      </c>
      <c r="Q98" s="212">
        <f>'Off-farm feed'!$P$24</f>
        <v>2.1000000000000001E-4</v>
      </c>
      <c r="R98" s="187">
        <f>'Parameters, country spec'!I29</f>
        <v>0.15910748774892911</v>
      </c>
    </row>
    <row r="99" spans="1:19" x14ac:dyDescent="0.2">
      <c r="B99" s="17" t="s">
        <v>213</v>
      </c>
      <c r="C99" s="17" t="s">
        <v>310</v>
      </c>
      <c r="D99" s="23" t="s">
        <v>90</v>
      </c>
      <c r="E99" s="23" t="s">
        <v>62</v>
      </c>
      <c r="F99" s="211">
        <f>SUM(G99:Q99)</f>
        <v>1.0210671879533402E-3</v>
      </c>
      <c r="G99" s="101">
        <v>0</v>
      </c>
      <c r="H99" s="101">
        <v>8.5499999999999995E-6</v>
      </c>
      <c r="I99" s="47">
        <v>0</v>
      </c>
      <c r="J99" s="47"/>
      <c r="K99" s="101">
        <v>9.2631927950904603E-7</v>
      </c>
      <c r="L99" s="47">
        <v>0</v>
      </c>
      <c r="M99" s="47">
        <v>0</v>
      </c>
      <c r="N99" s="101">
        <v>2.8993904156206801E-6</v>
      </c>
      <c r="O99" s="101"/>
      <c r="P99" s="101">
        <v>9.9818289932063491E-4</v>
      </c>
      <c r="Q99" s="101">
        <v>1.05085789375756E-5</v>
      </c>
      <c r="R99" s="187">
        <f>'Parameters, country spec'!I30</f>
        <v>1.7335418632101661E-2</v>
      </c>
      <c r="S99" t="s">
        <v>315</v>
      </c>
    </row>
    <row r="100" spans="1:19" x14ac:dyDescent="0.2">
      <c r="A100" s="82"/>
      <c r="B100" s="17" t="s">
        <v>312</v>
      </c>
      <c r="C100" s="83" t="s">
        <v>313</v>
      </c>
      <c r="D100" s="23" t="s">
        <v>90</v>
      </c>
      <c r="E100" s="23" t="s">
        <v>62</v>
      </c>
      <c r="F100" s="212">
        <f>SUM(G100:Q100)</f>
        <v>1.858971174141649E-4</v>
      </c>
      <c r="G100" s="81">
        <f t="shared" ref="G100:N100" si="22">AVERAGE(G90:G98)</f>
        <v>2.7518574187089127E-5</v>
      </c>
      <c r="H100" s="81">
        <f t="shared" si="22"/>
        <v>1.0649210718174717E-4</v>
      </c>
      <c r="I100" s="81">
        <f t="shared" si="22"/>
        <v>5.0957854406130283E-6</v>
      </c>
      <c r="J100" s="81">
        <f t="shared" si="22"/>
        <v>0</v>
      </c>
      <c r="K100" s="81">
        <f t="shared" si="22"/>
        <v>1.6610145729180674E-5</v>
      </c>
      <c r="L100" s="81">
        <f t="shared" si="22"/>
        <v>1.254163186161601E-6</v>
      </c>
      <c r="M100" s="81">
        <f t="shared" si="22"/>
        <v>2.0617728524308802E-6</v>
      </c>
      <c r="N100" s="81">
        <f t="shared" si="22"/>
        <v>2.6864568836942416E-5</v>
      </c>
      <c r="O100" s="81"/>
      <c r="P100" s="81"/>
      <c r="Q100" s="81"/>
      <c r="R100" s="187">
        <f>'Parameters, country spec'!I31</f>
        <v>0.20267158006250541</v>
      </c>
    </row>
    <row r="101" spans="1:19" x14ac:dyDescent="0.2">
      <c r="A101" s="185"/>
      <c r="B101" s="25" t="s">
        <v>314</v>
      </c>
      <c r="C101" s="26"/>
      <c r="D101" s="102"/>
      <c r="E101" s="102"/>
      <c r="F101" s="45">
        <f t="shared" ref="F101:O101" si="23">SUMPRODUCT(F90:F100,$R$90:$R$100)</f>
        <v>2.7374780574057064E-4</v>
      </c>
      <c r="G101" s="45">
        <f t="shared" si="23"/>
        <v>3.6650238381841512E-5</v>
      </c>
      <c r="H101" s="45">
        <f t="shared" si="23"/>
        <v>1.0786579023653132E-4</v>
      </c>
      <c r="I101" s="45">
        <f t="shared" si="23"/>
        <v>6.6830029499791385E-6</v>
      </c>
      <c r="J101" s="45">
        <f t="shared" si="23"/>
        <v>0</v>
      </c>
      <c r="K101" s="45">
        <f t="shared" si="23"/>
        <v>1.2577145062709234E-5</v>
      </c>
      <c r="L101" s="45">
        <f t="shared" si="23"/>
        <v>1.6448055693382771E-6</v>
      </c>
      <c r="M101" s="45">
        <f t="shared" si="23"/>
        <v>9.8843758256489039E-7</v>
      </c>
      <c r="N101" s="45">
        <f t="shared" si="23"/>
        <v>2.6119632675648625E-5</v>
      </c>
      <c r="O101" s="45">
        <f t="shared" si="23"/>
        <v>2.7708006670338265E-6</v>
      </c>
      <c r="P101" s="30">
        <f>SUMPRODUCT(P90:P100,R90:R100)</f>
        <v>4.4853209572537369E-5</v>
      </c>
      <c r="Q101" s="45">
        <f>SUMPRODUCT(Q90:Q100,$R$90:$R$100)</f>
        <v>3.3594743042386474E-5</v>
      </c>
      <c r="R101" s="188"/>
    </row>
    <row r="102" spans="1:19" x14ac:dyDescent="0.2">
      <c r="A102" s="22" t="s">
        <v>299</v>
      </c>
      <c r="B102" s="17" t="s">
        <v>198</v>
      </c>
      <c r="C102" s="17" t="s">
        <v>300</v>
      </c>
      <c r="D102" s="23" t="s">
        <v>63</v>
      </c>
      <c r="E102" s="23" t="s">
        <v>64</v>
      </c>
      <c r="F102" s="213">
        <f t="shared" ref="F102:F108" si="24">SUM(G102:Q102)</f>
        <v>1.6497531832034709E-4</v>
      </c>
      <c r="G102" s="195">
        <v>0</v>
      </c>
      <c r="H102" s="195">
        <v>9.5000000000000005E-5</v>
      </c>
      <c r="I102" s="195">
        <v>0</v>
      </c>
      <c r="J102" s="195"/>
      <c r="K102" s="195">
        <v>1.98412991656734E-5</v>
      </c>
      <c r="L102" s="195">
        <v>0</v>
      </c>
      <c r="M102" s="195">
        <v>2.7814008800000002E-12</v>
      </c>
      <c r="N102" s="195">
        <v>5.0134016373272799E-5</v>
      </c>
      <c r="O102" s="195"/>
      <c r="P102" s="101"/>
      <c r="Q102" s="195"/>
      <c r="R102" s="198">
        <f>'Parameters, country spec'!J21</f>
        <v>0.1699689878759473</v>
      </c>
    </row>
    <row r="103" spans="1:19" x14ac:dyDescent="0.2">
      <c r="A103" s="22" t="s">
        <v>301</v>
      </c>
      <c r="B103" s="17" t="s">
        <v>201</v>
      </c>
      <c r="C103" s="17" t="s">
        <v>300</v>
      </c>
      <c r="D103" s="23" t="s">
        <v>63</v>
      </c>
      <c r="E103" s="23" t="s">
        <v>64</v>
      </c>
      <c r="F103" s="211">
        <f t="shared" si="24"/>
        <v>1.5529602694558698E-4</v>
      </c>
      <c r="G103" s="101">
        <v>0</v>
      </c>
      <c r="H103" s="101">
        <v>9.5000000000000005E-5</v>
      </c>
      <c r="I103" s="101">
        <v>0</v>
      </c>
      <c r="J103" s="101"/>
      <c r="K103" s="101">
        <v>9.9298959847891792E-6</v>
      </c>
      <c r="L103" s="101">
        <v>0</v>
      </c>
      <c r="M103" s="101">
        <v>2.3211458752499099E-7</v>
      </c>
      <c r="N103" s="101">
        <v>5.0134016373272799E-5</v>
      </c>
      <c r="O103" s="101"/>
      <c r="P103" s="101"/>
      <c r="Q103" s="101"/>
      <c r="R103" s="187">
        <f>'Parameters, country spec'!J22</f>
        <v>0.2328388503447609</v>
      </c>
    </row>
    <row r="104" spans="1:19" x14ac:dyDescent="0.2">
      <c r="A104" s="22" t="s">
        <v>302</v>
      </c>
      <c r="B104" s="17" t="s">
        <v>204</v>
      </c>
      <c r="C104" s="17" t="s">
        <v>300</v>
      </c>
      <c r="D104" s="23" t="s">
        <v>63</v>
      </c>
      <c r="E104" s="23" t="s">
        <v>64</v>
      </c>
      <c r="F104" s="211">
        <f t="shared" si="24"/>
        <v>1.7101460368304866E-4</v>
      </c>
      <c r="G104" s="101">
        <v>0</v>
      </c>
      <c r="H104" s="101">
        <v>9.5000000000000005E-5</v>
      </c>
      <c r="I104" s="101">
        <v>0</v>
      </c>
      <c r="J104" s="101"/>
      <c r="K104" s="101">
        <v>2.58805751873948E-5</v>
      </c>
      <c r="L104" s="101">
        <v>0</v>
      </c>
      <c r="M104" s="101">
        <v>1.21223810602E-11</v>
      </c>
      <c r="N104" s="101">
        <v>5.0134016373272799E-5</v>
      </c>
      <c r="O104" s="101"/>
      <c r="P104" s="101"/>
      <c r="Q104" s="101"/>
      <c r="R104" s="187">
        <f>'Parameters, country spec'!J23</f>
        <v>5.0904696791723991E-3</v>
      </c>
    </row>
    <row r="105" spans="1:19" x14ac:dyDescent="0.2">
      <c r="A105" s="22" t="s">
        <v>303</v>
      </c>
      <c r="B105" s="17" t="s">
        <v>205</v>
      </c>
      <c r="C105" s="17" t="s">
        <v>300</v>
      </c>
      <c r="D105" s="23" t="s">
        <v>63</v>
      </c>
      <c r="E105" s="23" t="s">
        <v>64</v>
      </c>
      <c r="F105" s="211">
        <f t="shared" si="24"/>
        <v>1.6990035694818603E-4</v>
      </c>
      <c r="G105" s="101">
        <v>0</v>
      </c>
      <c r="H105" s="101">
        <v>9.5000000000000005E-5</v>
      </c>
      <c r="I105" s="101">
        <v>0</v>
      </c>
      <c r="J105" s="101"/>
      <c r="K105" s="101">
        <v>2.47663396717653E-5</v>
      </c>
      <c r="L105" s="101">
        <v>0</v>
      </c>
      <c r="M105" s="101">
        <v>9.0314793305999998E-13</v>
      </c>
      <c r="N105" s="101">
        <v>5.0134016373272799E-5</v>
      </c>
      <c r="O105" s="101"/>
      <c r="P105" s="101"/>
      <c r="Q105" s="101"/>
      <c r="R105" s="187">
        <f>'Parameters, country spec'!J24</f>
        <v>6.6462863913214348E-2</v>
      </c>
    </row>
    <row r="106" spans="1:19" x14ac:dyDescent="0.2">
      <c r="A106" s="22" t="s">
        <v>304</v>
      </c>
      <c r="B106" s="17" t="s">
        <v>206</v>
      </c>
      <c r="C106" s="17" t="s">
        <v>300</v>
      </c>
      <c r="D106" s="23" t="s">
        <v>63</v>
      </c>
      <c r="E106" s="23" t="s">
        <v>64</v>
      </c>
      <c r="F106" s="211">
        <f t="shared" si="24"/>
        <v>1.6162886944057488E-4</v>
      </c>
      <c r="G106" s="101">
        <v>0</v>
      </c>
      <c r="H106" s="101">
        <v>9.5000000000000005E-5</v>
      </c>
      <c r="I106" s="101">
        <v>0</v>
      </c>
      <c r="J106" s="101"/>
      <c r="K106" s="101">
        <v>1.6494852511427901E-5</v>
      </c>
      <c r="L106" s="101">
        <v>0</v>
      </c>
      <c r="M106" s="101">
        <v>5.5587416614000002E-13</v>
      </c>
      <c r="N106" s="101">
        <v>5.0134016373272799E-5</v>
      </c>
      <c r="O106" s="101"/>
      <c r="P106" s="101"/>
      <c r="Q106" s="101"/>
      <c r="R106" s="187">
        <f>'Parameters, country spec'!J25</f>
        <v>0.26723420141656068</v>
      </c>
    </row>
    <row r="107" spans="1:19" x14ac:dyDescent="0.2">
      <c r="A107" s="22" t="s">
        <v>305</v>
      </c>
      <c r="B107" s="17" t="s">
        <v>207</v>
      </c>
      <c r="C107" s="17" t="s">
        <v>306</v>
      </c>
      <c r="D107" s="23" t="s">
        <v>63</v>
      </c>
      <c r="E107" s="23" t="s">
        <v>64</v>
      </c>
      <c r="F107" s="211">
        <f t="shared" si="24"/>
        <v>1.8222404873625303E-4</v>
      </c>
      <c r="G107" s="101">
        <v>0</v>
      </c>
      <c r="H107" s="101">
        <v>9.5000000000000005E-5</v>
      </c>
      <c r="I107" s="101">
        <v>0</v>
      </c>
      <c r="J107" s="101"/>
      <c r="K107" s="101">
        <v>3.70828979343864E-5</v>
      </c>
      <c r="L107" s="101">
        <v>0</v>
      </c>
      <c r="M107" s="101">
        <v>7.1344285938200002E-9</v>
      </c>
      <c r="N107" s="101">
        <v>5.0134016373272799E-5</v>
      </c>
      <c r="O107" s="101"/>
      <c r="P107" s="101"/>
      <c r="Q107" s="101"/>
      <c r="R107" s="187">
        <f>'Parameters, country spec'!J26</f>
        <v>4.1789296546899217E-3</v>
      </c>
    </row>
    <row r="108" spans="1:19" x14ac:dyDescent="0.2">
      <c r="A108" s="22" t="s">
        <v>307</v>
      </c>
      <c r="B108" s="17" t="s">
        <v>208</v>
      </c>
      <c r="C108" s="17" t="s">
        <v>306</v>
      </c>
      <c r="D108" s="23" t="s">
        <v>63</v>
      </c>
      <c r="E108" s="23" t="s">
        <v>64</v>
      </c>
      <c r="F108" s="211">
        <f t="shared" si="24"/>
        <v>1.7387541025101186E-4</v>
      </c>
      <c r="G108" s="101">
        <v>0</v>
      </c>
      <c r="H108" s="101">
        <v>9.5000000000000005E-5</v>
      </c>
      <c r="I108" s="101">
        <v>0</v>
      </c>
      <c r="J108" s="101"/>
      <c r="K108" s="101">
        <v>2.8736443015720101E-5</v>
      </c>
      <c r="L108" s="101">
        <v>0</v>
      </c>
      <c r="M108" s="101">
        <v>4.9508620189672E-9</v>
      </c>
      <c r="N108" s="101">
        <v>5.0134016373272799E-5</v>
      </c>
      <c r="O108" s="101"/>
      <c r="P108" s="101"/>
      <c r="Q108" s="101"/>
      <c r="R108" s="187">
        <f>'Parameters, country spec'!J27</f>
        <v>4.1050860427910684E-3</v>
      </c>
    </row>
    <row r="109" spans="1:19" x14ac:dyDescent="0.2">
      <c r="B109" s="18" t="s">
        <v>209</v>
      </c>
      <c r="C109" s="17" t="s">
        <v>308</v>
      </c>
      <c r="D109" s="23" t="s">
        <v>320</v>
      </c>
      <c r="E109" s="23" t="s">
        <v>319</v>
      </c>
      <c r="F109" s="212">
        <v>6.0478733190314773E-4</v>
      </c>
      <c r="G109" s="29">
        <v>2.320636514451769E-4</v>
      </c>
      <c r="H109" s="29">
        <v>2.181240865869439E-4</v>
      </c>
      <c r="I109" s="29">
        <v>4.5862068965517253E-5</v>
      </c>
      <c r="J109" s="29">
        <v>0</v>
      </c>
      <c r="K109" s="29">
        <v>1.023390065301628E-5</v>
      </c>
      <c r="L109" s="29">
        <v>1.128746867545441E-5</v>
      </c>
      <c r="M109" s="29">
        <v>2.4227610206896549E-7</v>
      </c>
      <c r="N109" s="29">
        <v>7.4566292815222108E-6</v>
      </c>
      <c r="O109" s="29">
        <v>2.2490164981320888E-5</v>
      </c>
      <c r="P109" s="29">
        <v>5.7027085212127042E-5</v>
      </c>
      <c r="Q109" s="29">
        <v>0</v>
      </c>
      <c r="R109" s="187">
        <f>'Parameters, country spec'!J28</f>
        <v>3.0119810543340508E-2</v>
      </c>
    </row>
    <row r="110" spans="1:19" x14ac:dyDescent="0.2">
      <c r="B110" s="18" t="s">
        <v>309</v>
      </c>
      <c r="C110" s="17" t="s">
        <v>308</v>
      </c>
      <c r="D110" s="23" t="str">
        <f>'Off-farm feed'!$D$24</f>
        <v>Brazil, Argentina</v>
      </c>
      <c r="E110" s="23"/>
      <c r="F110" s="212">
        <f>'Off-farm feed'!$E$24</f>
        <v>4.7266553697523981E-4</v>
      </c>
      <c r="G110" s="212">
        <f>'Off-farm feed'!$F$24</f>
        <v>1.5603516238625262E-5</v>
      </c>
      <c r="H110" s="212">
        <f>'Off-farm feed'!$G$24</f>
        <v>7.5304878048780503E-5</v>
      </c>
      <c r="I110" s="212">
        <f>'Off-farm feed'!$H$24</f>
        <v>0</v>
      </c>
      <c r="J110" s="212">
        <f>'Off-farm feed'!$I$24</f>
        <v>0</v>
      </c>
      <c r="K110" s="212">
        <f>'Off-farm feed'!$J$24</f>
        <v>1.9084590744355864E-5</v>
      </c>
      <c r="L110" s="212">
        <f>'Off-farm feed'!$K$24</f>
        <v>0</v>
      </c>
      <c r="M110" s="212">
        <f>'Off-farm feed'!$L$24</f>
        <v>5.9672097439024396E-7</v>
      </c>
      <c r="N110" s="212">
        <f>'Off-farm feed'!$M$24</f>
        <v>2.3084271612619523E-5</v>
      </c>
      <c r="O110" s="212">
        <f>'Off-farm feed'!$N$24</f>
        <v>0</v>
      </c>
      <c r="P110" s="212">
        <f>'Off-farm feed'!$O$24</f>
        <v>1.2899155935646844E-4</v>
      </c>
      <c r="Q110" s="212">
        <f>'Off-farm feed'!$P$24</f>
        <v>2.1000000000000001E-4</v>
      </c>
      <c r="R110" s="187">
        <f>'Parameters, country spec'!J29</f>
        <v>0.1050568603152183</v>
      </c>
    </row>
    <row r="111" spans="1:19" x14ac:dyDescent="0.2">
      <c r="B111" s="17" t="s">
        <v>213</v>
      </c>
      <c r="C111" s="17" t="s">
        <v>310</v>
      </c>
      <c r="D111" s="23" t="s">
        <v>63</v>
      </c>
      <c r="E111" s="23" t="s">
        <v>64</v>
      </c>
      <c r="F111" s="211">
        <f>SUM(G111:Q111)</f>
        <v>2.1321474079429004E-3</v>
      </c>
      <c r="G111" s="101">
        <v>0</v>
      </c>
      <c r="H111" s="101">
        <v>8.5499999999999995E-6</v>
      </c>
      <c r="I111">
        <v>0</v>
      </c>
      <c r="K111" s="101">
        <v>1.48453672602851E-6</v>
      </c>
      <c r="L111">
        <v>0</v>
      </c>
      <c r="M111">
        <v>5.00286749526E-14</v>
      </c>
      <c r="N111" s="14">
        <v>4.5120614735945501E-6</v>
      </c>
      <c r="O111" s="14"/>
      <c r="P111" s="101">
        <v>2.1139001122159199E-3</v>
      </c>
      <c r="Q111" s="101">
        <v>3.7006974773287098E-6</v>
      </c>
      <c r="R111" s="187">
        <f>'Parameters, country spec'!J30</f>
        <v>5.1412336687770267E-2</v>
      </c>
    </row>
    <row r="112" spans="1:19" x14ac:dyDescent="0.2">
      <c r="A112" s="82"/>
      <c r="B112" s="17" t="s">
        <v>312</v>
      </c>
      <c r="C112" s="83" t="s">
        <v>313</v>
      </c>
      <c r="D112" s="23" t="s">
        <v>63</v>
      </c>
      <c r="E112" s="23" t="s">
        <v>64</v>
      </c>
      <c r="F112" s="212">
        <f>SUM(G112:Q112)</f>
        <v>3.2045160400771377E-4</v>
      </c>
      <c r="G112" s="81">
        <f t="shared" ref="G112:O112" si="25">AVERAGE(G102:G110)</f>
        <v>2.7518574187089127E-5</v>
      </c>
      <c r="H112" s="81">
        <f t="shared" si="25"/>
        <v>1.0649210718174717E-4</v>
      </c>
      <c r="I112" s="81">
        <f t="shared" si="25"/>
        <v>5.0957854406130283E-6</v>
      </c>
      <c r="J112" s="81">
        <f t="shared" si="25"/>
        <v>0</v>
      </c>
      <c r="K112" s="81">
        <f t="shared" si="25"/>
        <v>2.1338977207614356E-5</v>
      </c>
      <c r="L112" s="81">
        <f t="shared" si="25"/>
        <v>1.254163186161601E-6</v>
      </c>
      <c r="M112" s="81">
        <f t="shared" si="25"/>
        <v>1.203570352667808E-7</v>
      </c>
      <c r="N112" s="81">
        <f t="shared" si="25"/>
        <v>4.2386557278561266E-5</v>
      </c>
      <c r="O112" s="81">
        <f t="shared" si="25"/>
        <v>1.1245082490660444E-5</v>
      </c>
      <c r="P112" s="80"/>
      <c r="Q112" s="81">
        <f>AVERAGE(Q102:Q110)</f>
        <v>1.05E-4</v>
      </c>
      <c r="R112" s="187">
        <f>'Parameters, country spec'!J31</f>
        <v>6.3531603526534211E-2</v>
      </c>
    </row>
    <row r="113" spans="1:18" x14ac:dyDescent="0.2">
      <c r="A113" s="185"/>
      <c r="B113" s="25" t="s">
        <v>314</v>
      </c>
      <c r="C113" s="26"/>
      <c r="D113" s="102"/>
      <c r="E113" s="102"/>
      <c r="F113" s="45">
        <f t="shared" ref="F113:O113" si="26">SUMPRODUCT(F102:F112,$R$102:$R$112)</f>
        <v>3.18880603875758E-4</v>
      </c>
      <c r="G113" s="45">
        <f t="shared" si="26"/>
        <v>1.0377268786301695E-5</v>
      </c>
      <c r="H113" s="45">
        <f t="shared" si="26"/>
        <v>9.2924881976097577E-5</v>
      </c>
      <c r="I113" s="45">
        <f t="shared" si="26"/>
        <v>1.7051002486363083E-6</v>
      </c>
      <c r="J113" s="45">
        <f t="shared" si="26"/>
        <v>0</v>
      </c>
      <c r="K113" s="45">
        <f t="shared" si="26"/>
        <v>1.58884116547482E-5</v>
      </c>
      <c r="L113" s="45">
        <f t="shared" si="26"/>
        <v>4.1965541631937121E-7</v>
      </c>
      <c r="M113" s="45">
        <f t="shared" si="26"/>
        <v>1.3172959509771622E-7</v>
      </c>
      <c r="N113" s="45">
        <f t="shared" si="26"/>
        <v>4.3169080497502415E-5</v>
      </c>
      <c r="O113" s="45">
        <f t="shared" si="26"/>
        <v>1.3918176307456676E-6</v>
      </c>
      <c r="P113" s="30">
        <f>SUMPRODUCT(P102:P112,R102:R112)</f>
        <v>1.2394963752914313E-4</v>
      </c>
      <c r="Q113" s="45">
        <f>SUMPRODUCT(Q102:Q112,$R$102:$R$112)</f>
        <v>2.8923020541165944E-5</v>
      </c>
      <c r="R113" s="188"/>
    </row>
    <row r="114" spans="1:18" x14ac:dyDescent="0.2">
      <c r="A114" s="22" t="s">
        <v>299</v>
      </c>
      <c r="B114" s="17" t="s">
        <v>198</v>
      </c>
      <c r="C114" s="17" t="s">
        <v>300</v>
      </c>
      <c r="D114" s="23" t="s">
        <v>65</v>
      </c>
      <c r="E114" s="23" t="s">
        <v>66</v>
      </c>
      <c r="F114" s="213">
        <f t="shared" ref="F114:F120" si="27">SUM(G114:Q114)</f>
        <v>1.5407833072948014E-4</v>
      </c>
      <c r="G114" s="191">
        <v>0</v>
      </c>
      <c r="H114" s="192">
        <v>9.5000000000000005E-5</v>
      </c>
      <c r="I114" s="193">
        <v>0</v>
      </c>
      <c r="J114" s="194"/>
      <c r="K114" s="195">
        <v>2.7175757575757599E-5</v>
      </c>
      <c r="L114" s="195">
        <v>0</v>
      </c>
      <c r="M114" s="195">
        <v>2.7808766578025301E-6</v>
      </c>
      <c r="N114" s="195">
        <v>2.9121696495920001E-5</v>
      </c>
      <c r="O114" s="195"/>
      <c r="P114" s="14"/>
      <c r="Q114" s="194"/>
      <c r="R114" s="198">
        <f>'Parameters, country spec'!K21</f>
        <v>0.21894700375858381</v>
      </c>
    </row>
    <row r="115" spans="1:18" x14ac:dyDescent="0.2">
      <c r="A115" s="22" t="s">
        <v>301</v>
      </c>
      <c r="B115" s="17" t="s">
        <v>201</v>
      </c>
      <c r="C115" s="17" t="s">
        <v>300</v>
      </c>
      <c r="D115" s="23" t="s">
        <v>65</v>
      </c>
      <c r="E115" s="23" t="s">
        <v>66</v>
      </c>
      <c r="F115" s="211">
        <f t="shared" si="27"/>
        <v>1.9823143758335458E-4</v>
      </c>
      <c r="G115" s="99">
        <v>0</v>
      </c>
      <c r="H115" s="100">
        <v>9.5000000000000005E-5</v>
      </c>
      <c r="I115" s="16">
        <v>0</v>
      </c>
      <c r="J115" s="14"/>
      <c r="K115" s="101">
        <v>5.8749743582956696E-6</v>
      </c>
      <c r="L115" s="101">
        <v>0</v>
      </c>
      <c r="M115" s="101">
        <v>6.8234766729138903E-5</v>
      </c>
      <c r="N115" s="101">
        <v>2.9121696495920001E-5</v>
      </c>
      <c r="O115" s="101"/>
      <c r="P115" s="14"/>
      <c r="Q115" s="14"/>
      <c r="R115" s="187">
        <f>'Parameters, country spec'!K22</f>
        <v>0.28877148486086363</v>
      </c>
    </row>
    <row r="116" spans="1:18" x14ac:dyDescent="0.2">
      <c r="A116" s="22" t="s">
        <v>302</v>
      </c>
      <c r="B116" s="17" t="s">
        <v>204</v>
      </c>
      <c r="C116" s="17" t="s">
        <v>300</v>
      </c>
      <c r="D116" s="23" t="s">
        <v>65</v>
      </c>
      <c r="E116" s="23" t="s">
        <v>66</v>
      </c>
      <c r="F116" s="211">
        <f t="shared" si="27"/>
        <v>1.6782537486788383E-4</v>
      </c>
      <c r="G116" s="99">
        <v>0</v>
      </c>
      <c r="H116" s="100">
        <v>9.5000000000000005E-5</v>
      </c>
      <c r="I116" s="16">
        <v>0</v>
      </c>
      <c r="J116" s="14"/>
      <c r="K116" s="101">
        <v>3.9660005274519201E-5</v>
      </c>
      <c r="L116" s="101">
        <v>0</v>
      </c>
      <c r="M116" s="101">
        <v>4.0436730974446204E-6</v>
      </c>
      <c r="N116" s="101">
        <v>2.9121696495920001E-5</v>
      </c>
      <c r="O116" s="101"/>
      <c r="P116" s="14"/>
      <c r="Q116" s="14"/>
      <c r="R116" s="187">
        <f>'Parameters, country spec'!K23</f>
        <v>3.4137674118133308E-2</v>
      </c>
    </row>
    <row r="117" spans="1:18" x14ac:dyDescent="0.2">
      <c r="A117" s="22" t="s">
        <v>303</v>
      </c>
      <c r="B117" s="17" t="s">
        <v>205</v>
      </c>
      <c r="C117" s="17" t="s">
        <v>300</v>
      </c>
      <c r="D117" s="23" t="s">
        <v>65</v>
      </c>
      <c r="E117" s="23" t="s">
        <v>66</v>
      </c>
      <c r="F117" s="211">
        <f t="shared" si="27"/>
        <v>1.6720727047256202E-4</v>
      </c>
      <c r="G117" s="99">
        <v>0</v>
      </c>
      <c r="H117" s="100">
        <v>9.5000000000000005E-5</v>
      </c>
      <c r="I117" s="14">
        <v>0</v>
      </c>
      <c r="J117" s="14"/>
      <c r="K117" s="101">
        <v>3.7780420039184798E-5</v>
      </c>
      <c r="L117" s="101">
        <v>0</v>
      </c>
      <c r="M117" s="101">
        <v>5.3051539374572196E-6</v>
      </c>
      <c r="N117" s="101">
        <v>2.9121696495920001E-5</v>
      </c>
      <c r="O117" s="101"/>
      <c r="P117" s="14"/>
      <c r="Q117" s="14"/>
      <c r="R117" s="187">
        <f>'Parameters, country spec'!K24</f>
        <v>9.0108782601985467E-3</v>
      </c>
    </row>
    <row r="118" spans="1:18" x14ac:dyDescent="0.2">
      <c r="A118" s="22" t="s">
        <v>304</v>
      </c>
      <c r="B118" s="17" t="s">
        <v>206</v>
      </c>
      <c r="C118" s="17" t="s">
        <v>300</v>
      </c>
      <c r="D118" s="23" t="s">
        <v>65</v>
      </c>
      <c r="E118" s="23" t="s">
        <v>66</v>
      </c>
      <c r="F118" s="211">
        <f t="shared" si="27"/>
        <v>1.5258287221384201E-4</v>
      </c>
      <c r="G118" s="99">
        <v>0</v>
      </c>
      <c r="H118" s="100">
        <v>9.5000000000000005E-5</v>
      </c>
      <c r="I118" s="14">
        <v>0</v>
      </c>
      <c r="J118" s="14"/>
      <c r="K118" s="101">
        <v>2.5075572815533999E-5</v>
      </c>
      <c r="L118" s="101">
        <v>0</v>
      </c>
      <c r="M118" s="101">
        <v>3.3856029023880101E-6</v>
      </c>
      <c r="N118" s="101">
        <v>2.9121696495920001E-5</v>
      </c>
      <c r="O118" s="101"/>
      <c r="P118" s="14"/>
      <c r="Q118" s="14"/>
      <c r="R118" s="187">
        <f>'Parameters, country spec'!K25</f>
        <v>0.18547053507474909</v>
      </c>
    </row>
    <row r="119" spans="1:18" x14ac:dyDescent="0.2">
      <c r="A119" s="22" t="s">
        <v>305</v>
      </c>
      <c r="B119" s="17" t="s">
        <v>207</v>
      </c>
      <c r="C119" s="17" t="s">
        <v>306</v>
      </c>
      <c r="D119" s="23" t="s">
        <v>65</v>
      </c>
      <c r="E119" s="23" t="s">
        <v>66</v>
      </c>
      <c r="F119" s="211">
        <f t="shared" si="27"/>
        <v>2.1563635104952661E-4</v>
      </c>
      <c r="G119" s="99">
        <v>0</v>
      </c>
      <c r="H119" s="100">
        <v>9.5000000000000005E-5</v>
      </c>
      <c r="I119" s="16">
        <v>0</v>
      </c>
      <c r="J119" s="14"/>
      <c r="K119" s="101">
        <v>5.8896104209383703E-5</v>
      </c>
      <c r="L119" s="101">
        <v>0</v>
      </c>
      <c r="M119" s="101">
        <v>3.2618550344222897E-5</v>
      </c>
      <c r="N119" s="101">
        <v>2.9121696495920001E-5</v>
      </c>
      <c r="O119" s="101"/>
      <c r="P119" s="14"/>
      <c r="Q119" s="14"/>
      <c r="R119" s="187">
        <f>'Parameters, country spec'!K26</f>
        <v>6.9661330661395359E-3</v>
      </c>
    </row>
    <row r="120" spans="1:18" x14ac:dyDescent="0.2">
      <c r="A120" s="22" t="s">
        <v>307</v>
      </c>
      <c r="B120" s="17" t="s">
        <v>208</v>
      </c>
      <c r="C120" s="17" t="s">
        <v>306</v>
      </c>
      <c r="D120" s="23" t="s">
        <v>65</v>
      </c>
      <c r="E120" s="23" t="s">
        <v>66</v>
      </c>
      <c r="F120" s="211">
        <f t="shared" si="27"/>
        <v>2.222075445689893E-4</v>
      </c>
      <c r="G120" s="99">
        <v>0</v>
      </c>
      <c r="H120" s="100">
        <v>9.5000000000000005E-5</v>
      </c>
      <c r="I120" s="16">
        <v>0</v>
      </c>
      <c r="J120" s="14"/>
      <c r="K120" s="101">
        <v>6.3001335354643105E-5</v>
      </c>
      <c r="L120" s="101">
        <v>0</v>
      </c>
      <c r="M120" s="101">
        <v>3.5084512718426199E-5</v>
      </c>
      <c r="N120" s="101">
        <v>2.9121696495920001E-5</v>
      </c>
      <c r="O120" s="101"/>
      <c r="P120" s="14"/>
      <c r="Q120" s="14"/>
      <c r="R120" s="187">
        <f>'Parameters, country spec'!K27</f>
        <v>6.843038286368717E-3</v>
      </c>
    </row>
    <row r="121" spans="1:18" x14ac:dyDescent="0.2">
      <c r="B121" s="18" t="s">
        <v>209</v>
      </c>
      <c r="C121" s="17" t="s">
        <v>308</v>
      </c>
      <c r="D121" s="23" t="s">
        <v>320</v>
      </c>
      <c r="E121" s="23" t="s">
        <v>319</v>
      </c>
      <c r="F121" s="212">
        <v>6.0478733190314773E-4</v>
      </c>
      <c r="G121" s="32">
        <v>2.320636514451769E-4</v>
      </c>
      <c r="H121" s="32">
        <v>2.181240865869439E-4</v>
      </c>
      <c r="I121" s="32">
        <v>4.5862068965517253E-5</v>
      </c>
      <c r="J121" s="32">
        <v>0</v>
      </c>
      <c r="K121" s="32">
        <v>1.023390065301628E-5</v>
      </c>
      <c r="L121" s="32">
        <v>1.128746867545441E-5</v>
      </c>
      <c r="M121" s="32">
        <v>2.4227610206896549E-7</v>
      </c>
      <c r="N121" s="32">
        <v>7.4566292815222108E-6</v>
      </c>
      <c r="O121" s="32">
        <v>2.2490164981320888E-5</v>
      </c>
      <c r="P121" s="20">
        <v>5.7027085212127042E-5</v>
      </c>
      <c r="Q121" s="32">
        <v>0</v>
      </c>
      <c r="R121" s="187">
        <f>'Parameters, country spec'!K28</f>
        <v>2.017458178365223E-2</v>
      </c>
    </row>
    <row r="122" spans="1:18" x14ac:dyDescent="0.2">
      <c r="B122" s="18" t="s">
        <v>309</v>
      </c>
      <c r="C122" s="17" t="s">
        <v>308</v>
      </c>
      <c r="D122" s="23" t="str">
        <f>'Off-farm feed'!$D$24</f>
        <v>Brazil, Argentina</v>
      </c>
      <c r="E122" s="23"/>
      <c r="F122" s="212">
        <f>'Off-farm feed'!$E$24</f>
        <v>4.7266553697523981E-4</v>
      </c>
      <c r="G122" s="212">
        <f>'Off-farm feed'!$F$24</f>
        <v>1.5603516238625262E-5</v>
      </c>
      <c r="H122" s="212">
        <f>'Off-farm feed'!$G$24</f>
        <v>7.5304878048780503E-5</v>
      </c>
      <c r="I122" s="212">
        <f>'Off-farm feed'!$H$24</f>
        <v>0</v>
      </c>
      <c r="J122" s="212">
        <f>'Off-farm feed'!$I$24</f>
        <v>0</v>
      </c>
      <c r="K122" s="212">
        <f>'Off-farm feed'!$J$24</f>
        <v>1.9084590744355864E-5</v>
      </c>
      <c r="L122" s="212">
        <f>'Off-farm feed'!$K$24</f>
        <v>0</v>
      </c>
      <c r="M122" s="212">
        <f>'Off-farm feed'!$L$24</f>
        <v>5.9672097439024396E-7</v>
      </c>
      <c r="N122" s="212">
        <f>'Off-farm feed'!$M$24</f>
        <v>2.3084271612619523E-5</v>
      </c>
      <c r="O122" s="212">
        <f>'Off-farm feed'!$N$24</f>
        <v>0</v>
      </c>
      <c r="P122" s="212">
        <f>'Off-farm feed'!$O$24</f>
        <v>1.2899155935646844E-4</v>
      </c>
      <c r="Q122" s="212">
        <f>'Off-farm feed'!$P$24</f>
        <v>2.1000000000000001E-4</v>
      </c>
      <c r="R122" s="187">
        <f>'Parameters, country spec'!K29</f>
        <v>0.1724593547162262</v>
      </c>
    </row>
    <row r="123" spans="1:18" x14ac:dyDescent="0.2">
      <c r="B123" s="17" t="s">
        <v>213</v>
      </c>
      <c r="C123" s="17" t="s">
        <v>310</v>
      </c>
      <c r="D123" s="23" t="s">
        <v>65</v>
      </c>
      <c r="E123" s="23" t="s">
        <v>66</v>
      </c>
      <c r="F123" s="211">
        <f>SUM(G123:Q123)</f>
        <v>1.0330425284900396E-3</v>
      </c>
      <c r="G123" s="101">
        <v>0</v>
      </c>
      <c r="H123" s="101">
        <v>8.5499999999999995E-6</v>
      </c>
      <c r="I123">
        <v>0</v>
      </c>
      <c r="K123" s="101">
        <v>2.2568015533980599E-6</v>
      </c>
      <c r="L123">
        <v>0</v>
      </c>
      <c r="M123">
        <v>3.0470426121492002E-7</v>
      </c>
      <c r="N123" s="14">
        <v>2.6209526846328E-6</v>
      </c>
      <c r="O123" s="14"/>
      <c r="P123" s="101">
        <v>9.3317281206467095E-4</v>
      </c>
      <c r="Q123" s="101">
        <v>8.6137257926122794E-5</v>
      </c>
      <c r="R123" s="187">
        <f>'Parameters, country spec'!K30</f>
        <v>2.6495909583274711E-2</v>
      </c>
    </row>
    <row r="124" spans="1:18" x14ac:dyDescent="0.2">
      <c r="A124" s="82"/>
      <c r="B124" s="17" t="s">
        <v>312</v>
      </c>
      <c r="C124" s="83" t="s">
        <v>313</v>
      </c>
      <c r="D124" s="23" t="s">
        <v>65</v>
      </c>
      <c r="E124" s="23" t="s">
        <v>66</v>
      </c>
      <c r="F124" s="212">
        <f>SUM(G124:Q124)</f>
        <v>2.1519036009045667E-4</v>
      </c>
      <c r="G124" s="81">
        <f t="shared" ref="G124:N124" si="28">AVERAGE(G114:G122)</f>
        <v>2.7518574187089127E-5</v>
      </c>
      <c r="H124" s="81">
        <f t="shared" si="28"/>
        <v>1.0649210718174717E-4</v>
      </c>
      <c r="I124" s="81">
        <f t="shared" si="28"/>
        <v>5.0957854406130283E-6</v>
      </c>
      <c r="J124" s="81">
        <f t="shared" si="28"/>
        <v>0</v>
      </c>
      <c r="K124" s="81">
        <f t="shared" si="28"/>
        <v>3.1864740113854465E-5</v>
      </c>
      <c r="L124" s="81">
        <f t="shared" si="28"/>
        <v>1.254163186161601E-6</v>
      </c>
      <c r="M124" s="81">
        <f t="shared" si="28"/>
        <v>1.6921348162593288E-5</v>
      </c>
      <c r="N124" s="81">
        <f t="shared" si="28"/>
        <v>2.6043641818397973E-5</v>
      </c>
      <c r="O124" s="81"/>
      <c r="P124" s="80"/>
      <c r="Q124" s="81"/>
      <c r="R124" s="187">
        <f>'Parameters, country spec'!K31</f>
        <v>3.0723406491810091E-2</v>
      </c>
    </row>
    <row r="125" spans="1:18" x14ac:dyDescent="0.2">
      <c r="A125" s="41"/>
      <c r="B125" s="42" t="s">
        <v>314</v>
      </c>
      <c r="C125" s="43"/>
      <c r="D125" s="44"/>
      <c r="E125" s="44"/>
      <c r="F125" s="45">
        <f t="shared" ref="F125:O125" si="29">SUMPRODUCT(F114:F124,$R$114:$R$124)</f>
        <v>2.5723648828116413E-4</v>
      </c>
      <c r="G125" s="45">
        <f t="shared" si="29"/>
        <v>8.2182237977361294E-6</v>
      </c>
      <c r="H125" s="45">
        <f t="shared" si="29"/>
        <v>9.2149874228539239E-5</v>
      </c>
      <c r="I125" s="45">
        <f t="shared" si="29"/>
        <v>1.0818079485993283E-6</v>
      </c>
      <c r="J125" s="45">
        <f t="shared" si="29"/>
        <v>0</v>
      </c>
      <c r="K125" s="45">
        <f t="shared" si="29"/>
        <v>1.9369659666215424E-5</v>
      </c>
      <c r="L125" s="45">
        <f t="shared" si="29"/>
        <v>2.6625212529887428E-7</v>
      </c>
      <c r="M125" s="45">
        <f t="shared" si="29"/>
        <v>2.2229957425816725E-5</v>
      </c>
      <c r="N125" s="45">
        <f t="shared" si="29"/>
        <v>2.6846672789058202E-5</v>
      </c>
      <c r="O125" s="45">
        <f t="shared" si="29"/>
        <v>4.5372967274348968E-7</v>
      </c>
      <c r="P125" s="30">
        <f>SUMPRODUCT(P114:P124,R114:R124)</f>
        <v>4.8121561138987431E-5</v>
      </c>
      <c r="Q125" s="45">
        <f>SUMPRODUCT(Q114:Q124,$R$114:$R$124)</f>
        <v>3.8498749488169264E-5</v>
      </c>
      <c r="R125" s="188"/>
    </row>
    <row r="126" spans="1:18" x14ac:dyDescent="0.2">
      <c r="A126" s="189" t="s">
        <v>299</v>
      </c>
      <c r="B126" s="171" t="s">
        <v>198</v>
      </c>
      <c r="C126" s="171" t="s">
        <v>300</v>
      </c>
      <c r="D126" s="190" t="s">
        <v>67</v>
      </c>
      <c r="E126" s="190" t="s">
        <v>68</v>
      </c>
      <c r="F126" s="213">
        <f t="shared" ref="F126:F132" si="30">SUM(G126:Q126)</f>
        <v>1.2860316999940553E-4</v>
      </c>
      <c r="G126" s="191">
        <v>0</v>
      </c>
      <c r="H126" s="192">
        <v>9.5000000000000005E-5</v>
      </c>
      <c r="I126" s="193">
        <v>0</v>
      </c>
      <c r="J126" s="194"/>
      <c r="K126" s="195">
        <v>1.90887140988659E-5</v>
      </c>
      <c r="L126" s="195">
        <v>0</v>
      </c>
      <c r="M126" s="195">
        <v>2.8849274208216E-9</v>
      </c>
      <c r="N126" s="195">
        <v>1.45115709731188E-5</v>
      </c>
      <c r="O126" s="195"/>
      <c r="P126" s="14"/>
      <c r="Q126" s="194"/>
      <c r="R126" s="198">
        <f>'Parameters, country spec'!L21</f>
        <v>0</v>
      </c>
    </row>
    <row r="127" spans="1:18" x14ac:dyDescent="0.2">
      <c r="A127" s="22" t="s">
        <v>301</v>
      </c>
      <c r="B127" s="17" t="s">
        <v>201</v>
      </c>
      <c r="C127" s="17" t="s">
        <v>300</v>
      </c>
      <c r="D127" s="23" t="s">
        <v>67</v>
      </c>
      <c r="E127" s="23" t="s">
        <v>68</v>
      </c>
      <c r="F127" s="211">
        <f t="shared" si="30"/>
        <v>1.1912253474115631E-4</v>
      </c>
      <c r="G127" s="99">
        <v>0</v>
      </c>
      <c r="H127" s="100">
        <v>9.5000000000000005E-5</v>
      </c>
      <c r="I127" s="16">
        <v>0</v>
      </c>
      <c r="J127" s="14"/>
      <c r="K127" s="101">
        <v>9.6109637680374997E-6</v>
      </c>
      <c r="L127" s="101">
        <v>0</v>
      </c>
      <c r="M127" s="101">
        <v>0</v>
      </c>
      <c r="N127" s="101">
        <v>1.45115709731188E-5</v>
      </c>
      <c r="O127" s="101"/>
      <c r="P127" s="14"/>
      <c r="Q127" s="14"/>
      <c r="R127" s="187">
        <f>'Parameters, country spec'!L22</f>
        <v>2.9000000000000001E-2</v>
      </c>
    </row>
    <row r="128" spans="1:18" x14ac:dyDescent="0.2">
      <c r="A128" s="22" t="s">
        <v>302</v>
      </c>
      <c r="B128" s="17" t="s">
        <v>204</v>
      </c>
      <c r="C128" s="17" t="s">
        <v>300</v>
      </c>
      <c r="D128" s="23" t="s">
        <v>67</v>
      </c>
      <c r="E128" s="23" t="s">
        <v>68</v>
      </c>
      <c r="F128" s="211">
        <f t="shared" si="30"/>
        <v>1.3031260527766205E-4</v>
      </c>
      <c r="G128" s="99">
        <v>0</v>
      </c>
      <c r="H128" s="100">
        <v>9.5000000000000005E-5</v>
      </c>
      <c r="I128" s="16">
        <v>0</v>
      </c>
      <c r="J128" s="14"/>
      <c r="K128" s="101">
        <v>2.07975725290936E-5</v>
      </c>
      <c r="L128" s="101">
        <v>0</v>
      </c>
      <c r="M128" s="101">
        <v>3.4617754496477999E-9</v>
      </c>
      <c r="N128" s="101">
        <v>1.45115709731188E-5</v>
      </c>
      <c r="O128" s="101"/>
      <c r="P128" s="14"/>
      <c r="Q128" s="14"/>
      <c r="R128" s="187">
        <f>'Parameters, country spec'!L23</f>
        <v>4.9000000000000002E-2</v>
      </c>
    </row>
    <row r="129" spans="1:19" x14ac:dyDescent="0.2">
      <c r="A129" s="22" t="s">
        <v>303</v>
      </c>
      <c r="B129" s="17" t="s">
        <v>205</v>
      </c>
      <c r="C129" s="17" t="s">
        <v>300</v>
      </c>
      <c r="D129" s="23" t="s">
        <v>67</v>
      </c>
      <c r="E129" s="23" t="s">
        <v>68</v>
      </c>
      <c r="F129" s="211">
        <f t="shared" si="30"/>
        <v>1.2420439073274311E-4</v>
      </c>
      <c r="G129" s="99">
        <v>0</v>
      </c>
      <c r="H129" s="100">
        <v>9.5000000000000005E-5</v>
      </c>
      <c r="I129" s="14">
        <v>0</v>
      </c>
      <c r="J129" s="14"/>
      <c r="K129" s="101">
        <v>1.46928197596243E-5</v>
      </c>
      <c r="L129" s="101">
        <v>0</v>
      </c>
      <c r="M129" s="101">
        <v>0</v>
      </c>
      <c r="N129" s="101">
        <v>1.45115709731188E-5</v>
      </c>
      <c r="O129" s="101"/>
      <c r="P129" s="14"/>
      <c r="Q129" s="14"/>
      <c r="R129" s="187">
        <f>'Parameters, country spec'!L24</f>
        <v>0</v>
      </c>
    </row>
    <row r="130" spans="1:19" x14ac:dyDescent="0.2">
      <c r="A130" s="22" t="s">
        <v>304</v>
      </c>
      <c r="B130" s="17" t="s">
        <v>206</v>
      </c>
      <c r="C130" s="17" t="s">
        <v>300</v>
      </c>
      <c r="D130" s="23" t="s">
        <v>67</v>
      </c>
      <c r="E130" s="23" t="s">
        <v>68</v>
      </c>
      <c r="F130" s="211">
        <f t="shared" si="30"/>
        <v>1.2278996270745091E-4</v>
      </c>
      <c r="G130" s="99">
        <v>0</v>
      </c>
      <c r="H130" s="100">
        <v>9.5000000000000005E-5</v>
      </c>
      <c r="I130" s="14">
        <v>0</v>
      </c>
      <c r="J130" s="14"/>
      <c r="K130" s="101">
        <v>1.32783917343321E-5</v>
      </c>
      <c r="L130" s="101">
        <v>0</v>
      </c>
      <c r="M130" s="101">
        <v>0</v>
      </c>
      <c r="N130" s="101">
        <v>1.45115709731188E-5</v>
      </c>
      <c r="O130" s="101"/>
      <c r="P130" s="14"/>
      <c r="Q130" s="14"/>
      <c r="R130" s="187">
        <f>'Parameters, country spec'!L25</f>
        <v>0.59099999999999997</v>
      </c>
    </row>
    <row r="131" spans="1:19" x14ac:dyDescent="0.2">
      <c r="A131" s="22" t="s">
        <v>305</v>
      </c>
      <c r="B131" s="17" t="s">
        <v>207</v>
      </c>
      <c r="C131" s="17" t="s">
        <v>306</v>
      </c>
      <c r="D131" s="23" t="s">
        <v>67</v>
      </c>
      <c r="E131" s="23" t="s">
        <v>68</v>
      </c>
      <c r="F131" s="211">
        <f t="shared" si="30"/>
        <v>1.471635353756079E-4</v>
      </c>
      <c r="G131" s="99">
        <v>0</v>
      </c>
      <c r="H131" s="100">
        <v>9.5000000000000005E-5</v>
      </c>
      <c r="I131" s="16">
        <v>0</v>
      </c>
      <c r="J131" s="14"/>
      <c r="K131" s="101">
        <v>2.7426462782762501E-5</v>
      </c>
      <c r="L131" s="101">
        <v>0</v>
      </c>
      <c r="M131" s="101">
        <v>1.0225501619726601E-5</v>
      </c>
      <c r="N131" s="101">
        <v>1.45115709731188E-5</v>
      </c>
      <c r="O131" s="101"/>
      <c r="P131" s="14"/>
      <c r="Q131" s="14"/>
      <c r="R131" s="187">
        <f>'Parameters, country spec'!L26</f>
        <v>0</v>
      </c>
    </row>
    <row r="132" spans="1:19" x14ac:dyDescent="0.2">
      <c r="A132" s="22" t="s">
        <v>307</v>
      </c>
      <c r="B132" s="17" t="s">
        <v>208</v>
      </c>
      <c r="C132" s="17" t="s">
        <v>306</v>
      </c>
      <c r="D132" s="23" t="s">
        <v>67</v>
      </c>
      <c r="E132" s="23" t="s">
        <v>68</v>
      </c>
      <c r="F132" s="211">
        <f t="shared" si="30"/>
        <v>1.4207083497941555E-4</v>
      </c>
      <c r="G132" s="99">
        <v>0</v>
      </c>
      <c r="H132" s="100">
        <v>9.5000000000000005E-5</v>
      </c>
      <c r="I132" s="16">
        <v>0</v>
      </c>
      <c r="J132" s="14"/>
      <c r="K132" s="101">
        <v>2.71812411720093E-5</v>
      </c>
      <c r="L132" s="101">
        <v>0</v>
      </c>
      <c r="M132" s="101">
        <v>5.3780228342874504E-6</v>
      </c>
      <c r="N132" s="101">
        <v>1.45115709731188E-5</v>
      </c>
      <c r="O132" s="101"/>
      <c r="P132" s="14"/>
      <c r="Q132" s="14"/>
      <c r="R132" s="187">
        <f>'Parameters, country spec'!L27</f>
        <v>0</v>
      </c>
    </row>
    <row r="133" spans="1:19" x14ac:dyDescent="0.2">
      <c r="B133" s="18" t="s">
        <v>209</v>
      </c>
      <c r="C133" s="17" t="s">
        <v>308</v>
      </c>
      <c r="D133" s="23" t="s">
        <v>320</v>
      </c>
      <c r="E133" s="23" t="s">
        <v>319</v>
      </c>
      <c r="F133" s="212">
        <v>6.0478733190314773E-4</v>
      </c>
      <c r="G133" s="32">
        <v>2.320636514451769E-4</v>
      </c>
      <c r="H133" s="32">
        <v>2.181240865869439E-4</v>
      </c>
      <c r="I133" s="32">
        <v>4.5862068965517253E-5</v>
      </c>
      <c r="J133" s="32">
        <v>0</v>
      </c>
      <c r="K133" s="32">
        <v>1.023390065301628E-5</v>
      </c>
      <c r="L133" s="32">
        <v>1.128746867545441E-5</v>
      </c>
      <c r="M133" s="32">
        <v>2.4227610206896549E-7</v>
      </c>
      <c r="N133" s="32">
        <v>7.4566292815222108E-6</v>
      </c>
      <c r="O133" s="32">
        <v>2.2490164981320888E-5</v>
      </c>
      <c r="P133" s="20">
        <v>5.7027085212127042E-5</v>
      </c>
      <c r="Q133" s="32">
        <v>0</v>
      </c>
      <c r="R133" s="187">
        <f>'Parameters, country spec'!L28</f>
        <v>6.8000000000000005E-2</v>
      </c>
    </row>
    <row r="134" spans="1:19" x14ac:dyDescent="0.2">
      <c r="B134" s="18" t="s">
        <v>309</v>
      </c>
      <c r="C134" s="17" t="s">
        <v>308</v>
      </c>
      <c r="D134" s="23" t="str">
        <f>'Off-farm feed'!$D$24</f>
        <v>Brazil, Argentina</v>
      </c>
      <c r="E134" s="23"/>
      <c r="F134" s="212">
        <f>'Off-farm feed'!$E$24</f>
        <v>4.7266553697523981E-4</v>
      </c>
      <c r="G134" s="212">
        <f>'Off-farm feed'!$F$24</f>
        <v>1.5603516238625262E-5</v>
      </c>
      <c r="H134" s="212">
        <f>'Off-farm feed'!$G$24</f>
        <v>7.5304878048780503E-5</v>
      </c>
      <c r="I134" s="212">
        <f>'Off-farm feed'!$H$24</f>
        <v>0</v>
      </c>
      <c r="J134" s="212">
        <f>'Off-farm feed'!$I$24</f>
        <v>0</v>
      </c>
      <c r="K134" s="212">
        <f>'Off-farm feed'!$J$24</f>
        <v>1.9084590744355864E-5</v>
      </c>
      <c r="L134" s="212">
        <f>'Off-farm feed'!$K$24</f>
        <v>0</v>
      </c>
      <c r="M134" s="212">
        <f>'Off-farm feed'!$L$24</f>
        <v>5.9672097439024396E-7</v>
      </c>
      <c r="N134" s="212">
        <f>'Off-farm feed'!$M$24</f>
        <v>2.3084271612619523E-5</v>
      </c>
      <c r="O134" s="212">
        <f>'Off-farm feed'!$N$24</f>
        <v>0</v>
      </c>
      <c r="P134" s="212">
        <f>'Off-farm feed'!$O$24</f>
        <v>1.2899155935646844E-4</v>
      </c>
      <c r="Q134" s="212">
        <f>'Off-farm feed'!$P$24</f>
        <v>2.1000000000000001E-4</v>
      </c>
      <c r="R134" s="187">
        <f>'Parameters, country spec'!L29</f>
        <v>0.186</v>
      </c>
    </row>
    <row r="135" spans="1:19" x14ac:dyDescent="0.2">
      <c r="B135" s="17" t="s">
        <v>213</v>
      </c>
      <c r="C135" s="17" t="s">
        <v>310</v>
      </c>
      <c r="D135" s="23" t="s">
        <v>67</v>
      </c>
      <c r="E135" s="23" t="s">
        <v>68</v>
      </c>
      <c r="F135" s="211">
        <f>SUM(G135:Q135)</f>
        <v>1.4000152771825397E-4</v>
      </c>
      <c r="G135" s="101">
        <v>0</v>
      </c>
      <c r="H135" s="101">
        <v>8.5499999999999995E-6</v>
      </c>
      <c r="I135">
        <v>0</v>
      </c>
      <c r="K135" s="101">
        <v>1.19505525608989E-6</v>
      </c>
      <c r="L135">
        <v>0</v>
      </c>
      <c r="M135">
        <v>0</v>
      </c>
      <c r="N135" s="14">
        <v>1.30604138758069E-6</v>
      </c>
      <c r="O135" s="14"/>
      <c r="P135" s="101">
        <v>1.12198537729509E-4</v>
      </c>
      <c r="Q135" s="101">
        <v>1.6751893345074401E-5</v>
      </c>
      <c r="R135" s="187">
        <f>'Parameters, country spec'!L30</f>
        <v>0</v>
      </c>
    </row>
    <row r="136" spans="1:19" x14ac:dyDescent="0.2">
      <c r="A136" s="82"/>
      <c r="B136" s="17" t="s">
        <v>312</v>
      </c>
      <c r="C136" s="83" t="s">
        <v>313</v>
      </c>
      <c r="D136" s="23" t="s">
        <v>67</v>
      </c>
      <c r="E136" s="23" t="s">
        <v>68</v>
      </c>
      <c r="F136" s="212">
        <f>SUM(G136:Q136)</f>
        <v>1.7480123257132365E-4</v>
      </c>
      <c r="G136" s="81">
        <f t="shared" ref="G136:N136" si="31">AVERAGE(G126:G134)</f>
        <v>2.7518574187089127E-5</v>
      </c>
      <c r="H136" s="81">
        <f t="shared" si="31"/>
        <v>1.0649210718174717E-4</v>
      </c>
      <c r="I136" s="81">
        <f t="shared" si="31"/>
        <v>5.0957854406130283E-6</v>
      </c>
      <c r="J136" s="81">
        <f t="shared" si="31"/>
        <v>0</v>
      </c>
      <c r="K136" s="81">
        <f t="shared" si="31"/>
        <v>1.7932739693566371E-5</v>
      </c>
      <c r="L136" s="81">
        <f t="shared" si="31"/>
        <v>1.254163186161601E-6</v>
      </c>
      <c r="M136" s="81">
        <f t="shared" si="31"/>
        <v>1.8276520259270812E-6</v>
      </c>
      <c r="N136" s="81">
        <f t="shared" si="31"/>
        <v>1.4680210856219261E-5</v>
      </c>
      <c r="O136" s="81"/>
      <c r="P136" s="80"/>
      <c r="Q136" s="81"/>
      <c r="R136" s="187">
        <f>'Parameters, country spec'!L31</f>
        <v>7.7000000000000179E-2</v>
      </c>
    </row>
    <row r="137" spans="1:19" x14ac:dyDescent="0.2">
      <c r="A137" s="185"/>
      <c r="B137" s="25" t="s">
        <v>314</v>
      </c>
      <c r="C137" s="26"/>
      <c r="D137" s="102"/>
      <c r="E137" s="102"/>
      <c r="F137" s="30">
        <f t="shared" ref="F137:O137" si="32">SUMPRODUCT(F126:F136,$R$126:$R$136)</f>
        <v>2.2490976248100306E-4</v>
      </c>
      <c r="G137" s="30">
        <f t="shared" si="32"/>
        <v>2.0801512531062197E-5</v>
      </c>
      <c r="H137" s="30">
        <f t="shared" si="32"/>
        <v>1.0059403745797991E-4</v>
      </c>
      <c r="I137" s="30">
        <f t="shared" si="32"/>
        <v>3.5109961685823775E-6</v>
      </c>
      <c r="J137" s="30">
        <f t="shared" si="32"/>
        <v>0</v>
      </c>
      <c r="K137" s="30">
        <f t="shared" si="32"/>
        <v>1.4771788597448855E-5</v>
      </c>
      <c r="L137" s="30">
        <f t="shared" si="32"/>
        <v>8.6411843526534342E-7</v>
      </c>
      <c r="M137" s="30">
        <f t="shared" si="32"/>
        <v>2.6836370917069335E-7</v>
      </c>
      <c r="N137" s="30">
        <f t="shared" si="32"/>
        <v>1.5639342528036107E-5</v>
      </c>
      <c r="O137" s="30">
        <f t="shared" si="32"/>
        <v>1.5293312187298206E-6</v>
      </c>
      <c r="P137" s="30">
        <f>SUMPRODUCT(P126:P136,R126:R136)</f>
        <v>2.7870271834727768E-5</v>
      </c>
      <c r="Q137" s="30">
        <f>SUMPRODUCT(Q126:Q136,$R$126:$R$136)</f>
        <v>3.9060000000000002E-5</v>
      </c>
      <c r="R137" s="188"/>
    </row>
    <row r="138" spans="1:19" x14ac:dyDescent="0.2">
      <c r="A138" s="22" t="s">
        <v>299</v>
      </c>
      <c r="B138" s="17" t="s">
        <v>198</v>
      </c>
      <c r="C138" s="17" t="s">
        <v>300</v>
      </c>
      <c r="D138" s="23" t="s">
        <v>69</v>
      </c>
      <c r="E138" s="23" t="s">
        <v>70</v>
      </c>
      <c r="F138" s="213">
        <f t="shared" ref="F138:F144" si="33">SUM(G138:Q138)</f>
        <v>1.3276435123088252E-4</v>
      </c>
      <c r="G138" s="191">
        <v>0</v>
      </c>
      <c r="H138" s="191">
        <v>9.5000000000000005E-5</v>
      </c>
      <c r="I138" s="193">
        <v>0</v>
      </c>
      <c r="J138" s="194"/>
      <c r="K138" s="195">
        <v>1.3902605926950501E-5</v>
      </c>
      <c r="L138" s="195">
        <v>0</v>
      </c>
      <c r="M138" s="195">
        <v>0</v>
      </c>
      <c r="N138" s="195">
        <v>2.3861745303932002E-5</v>
      </c>
      <c r="O138" s="195"/>
      <c r="P138" s="14"/>
      <c r="Q138" s="194"/>
      <c r="R138" s="198">
        <f>'Parameters, country spec'!M21</f>
        <v>0.24290688316534451</v>
      </c>
    </row>
    <row r="139" spans="1:19" x14ac:dyDescent="0.2">
      <c r="A139" s="22" t="s">
        <v>301</v>
      </c>
      <c r="B139" s="17" t="s">
        <v>201</v>
      </c>
      <c r="C139" s="17" t="s">
        <v>300</v>
      </c>
      <c r="D139" s="23" t="s">
        <v>69</v>
      </c>
      <c r="E139" s="23" t="s">
        <v>70</v>
      </c>
      <c r="F139" s="211">
        <f t="shared" si="33"/>
        <v>1.3043464412497476E-4</v>
      </c>
      <c r="G139" s="99">
        <v>0</v>
      </c>
      <c r="H139" s="99">
        <v>9.5000000000000005E-5</v>
      </c>
      <c r="I139" s="16">
        <v>0</v>
      </c>
      <c r="J139" s="14"/>
      <c r="K139" s="101">
        <v>8.0196373769558906E-6</v>
      </c>
      <c r="L139" s="101">
        <v>0</v>
      </c>
      <c r="M139" s="101">
        <v>9.4674824843908693E-6</v>
      </c>
      <c r="N139" s="101">
        <v>1.7947524263628E-5</v>
      </c>
      <c r="O139" s="101"/>
      <c r="P139" s="14"/>
      <c r="Q139" s="14"/>
      <c r="R139" s="187">
        <f>'Parameters, country spec'!M22</f>
        <v>1.1405036092928851E-2</v>
      </c>
      <c r="S139" t="s">
        <v>321</v>
      </c>
    </row>
    <row r="140" spans="1:19" x14ac:dyDescent="0.2">
      <c r="A140" s="22" t="s">
        <v>302</v>
      </c>
      <c r="B140" s="17" t="s">
        <v>204</v>
      </c>
      <c r="C140" s="17" t="s">
        <v>300</v>
      </c>
      <c r="D140" s="23" t="s">
        <v>69</v>
      </c>
      <c r="E140" s="23" t="s">
        <v>70</v>
      </c>
      <c r="F140" s="211">
        <f t="shared" si="33"/>
        <v>1.3374960717414021E-4</v>
      </c>
      <c r="G140" s="99">
        <v>0</v>
      </c>
      <c r="H140" s="99">
        <v>9.5000000000000005E-5</v>
      </c>
      <c r="I140" s="16">
        <v>0</v>
      </c>
      <c r="J140" s="14"/>
      <c r="K140" s="101">
        <v>1.4887861870208199E-5</v>
      </c>
      <c r="L140" s="101">
        <v>0</v>
      </c>
      <c r="M140" s="101">
        <v>0</v>
      </c>
      <c r="N140" s="101">
        <v>2.3861745303932002E-5</v>
      </c>
      <c r="O140" s="101"/>
      <c r="P140" s="14"/>
      <c r="Q140" s="14"/>
      <c r="R140" s="187">
        <f>'Parameters, country spec'!M23</f>
        <v>2.6784717007595299E-2</v>
      </c>
    </row>
    <row r="141" spans="1:19" x14ac:dyDescent="0.2">
      <c r="A141" s="22" t="s">
        <v>303</v>
      </c>
      <c r="B141" s="17" t="s">
        <v>205</v>
      </c>
      <c r="C141" s="17" t="s">
        <v>300</v>
      </c>
      <c r="D141" s="23" t="s">
        <v>69</v>
      </c>
      <c r="E141" s="23" t="s">
        <v>70</v>
      </c>
      <c r="F141" s="211">
        <f t="shared" si="33"/>
        <v>1.406486994917512E-4</v>
      </c>
      <c r="G141" s="99">
        <v>0</v>
      </c>
      <c r="H141" s="99">
        <v>9.5000000000000005E-5</v>
      </c>
      <c r="I141" s="14">
        <v>0</v>
      </c>
      <c r="J141" s="14"/>
      <c r="K141" s="101">
        <v>2.1786954187819199E-5</v>
      </c>
      <c r="L141" s="101">
        <v>0</v>
      </c>
      <c r="M141" s="101">
        <v>0</v>
      </c>
      <c r="N141" s="101">
        <v>2.3861745303932002E-5</v>
      </c>
      <c r="O141" s="101"/>
      <c r="P141" s="14"/>
      <c r="Q141" s="14"/>
      <c r="R141" s="187">
        <f>'Parameters, country spec'!M24</f>
        <v>1.270348359145042E-3</v>
      </c>
    </row>
    <row r="142" spans="1:19" x14ac:dyDescent="0.2">
      <c r="A142" s="22" t="s">
        <v>304</v>
      </c>
      <c r="B142" s="17" t="s">
        <v>206</v>
      </c>
      <c r="C142" s="17" t="s">
        <v>300</v>
      </c>
      <c r="D142" s="23" t="s">
        <v>69</v>
      </c>
      <c r="E142" s="23" t="s">
        <v>70</v>
      </c>
      <c r="F142" s="211">
        <f t="shared" si="33"/>
        <v>1.2985166363243861E-4</v>
      </c>
      <c r="G142" s="99">
        <v>0</v>
      </c>
      <c r="H142" s="99">
        <v>9.5000000000000005E-5</v>
      </c>
      <c r="I142" s="14">
        <v>0</v>
      </c>
      <c r="J142" s="14"/>
      <c r="K142" s="101">
        <v>1.0989918328506599E-5</v>
      </c>
      <c r="L142" s="101">
        <v>0</v>
      </c>
      <c r="M142" s="101">
        <v>0</v>
      </c>
      <c r="N142" s="101">
        <v>2.3861745303932002E-5</v>
      </c>
      <c r="O142" s="101"/>
      <c r="P142" s="14"/>
      <c r="Q142" s="14"/>
      <c r="R142" s="187">
        <f>'Parameters, country spec'!M25</f>
        <v>0.36306225085662319</v>
      </c>
    </row>
    <row r="143" spans="1:19" x14ac:dyDescent="0.2">
      <c r="A143" s="22" t="s">
        <v>305</v>
      </c>
      <c r="B143" s="17" t="s">
        <v>207</v>
      </c>
      <c r="C143" s="17" t="s">
        <v>306</v>
      </c>
      <c r="D143" s="23" t="s">
        <v>69</v>
      </c>
      <c r="E143" s="23" t="s">
        <v>70</v>
      </c>
      <c r="F143" s="211">
        <f t="shared" si="33"/>
        <v>1.4423348117284071E-4</v>
      </c>
      <c r="G143" s="99">
        <v>0</v>
      </c>
      <c r="H143" s="99">
        <v>9.5000000000000005E-5</v>
      </c>
      <c r="I143" s="16">
        <v>0</v>
      </c>
      <c r="J143" s="14"/>
      <c r="K143" s="101">
        <v>2.53717358689087E-5</v>
      </c>
      <c r="L143" s="101">
        <v>0</v>
      </c>
      <c r="M143" s="101">
        <v>0</v>
      </c>
      <c r="N143" s="101">
        <v>2.3861745303932002E-5</v>
      </c>
      <c r="O143" s="101"/>
      <c r="P143" s="14"/>
      <c r="Q143" s="14"/>
      <c r="R143" s="187">
        <f>'Parameters, country spec'!M26</f>
        <v>6.0909129056991628E-3</v>
      </c>
    </row>
    <row r="144" spans="1:19" x14ac:dyDescent="0.2">
      <c r="A144" s="22" t="s">
        <v>307</v>
      </c>
      <c r="B144" s="17" t="s">
        <v>208</v>
      </c>
      <c r="C144" s="17" t="s">
        <v>306</v>
      </c>
      <c r="D144" s="23" t="s">
        <v>69</v>
      </c>
      <c r="E144" s="23" t="s">
        <v>70</v>
      </c>
      <c r="F144" s="211">
        <f t="shared" si="33"/>
        <v>1.4274702145632482E-4</v>
      </c>
      <c r="G144" s="99">
        <v>0</v>
      </c>
      <c r="H144" s="99">
        <v>9.5000000000000005E-5</v>
      </c>
      <c r="I144" s="16">
        <v>0</v>
      </c>
      <c r="J144" s="14"/>
      <c r="K144" s="101">
        <v>2.3885276152392799E-5</v>
      </c>
      <c r="L144" s="101">
        <v>0</v>
      </c>
      <c r="M144" s="101">
        <v>0</v>
      </c>
      <c r="N144" s="101">
        <v>2.3861745303932002E-5</v>
      </c>
      <c r="O144" s="101"/>
      <c r="P144" s="14"/>
      <c r="Q144" s="14"/>
      <c r="R144" s="187">
        <f>'Parameters, country spec'!M27</f>
        <v>5.9832836689627722E-3</v>
      </c>
    </row>
    <row r="145" spans="1:19" x14ac:dyDescent="0.2">
      <c r="B145" s="18" t="s">
        <v>209</v>
      </c>
      <c r="C145" s="17" t="s">
        <v>308</v>
      </c>
      <c r="D145" s="23" t="s">
        <v>320</v>
      </c>
      <c r="E145" s="23" t="s">
        <v>319</v>
      </c>
      <c r="F145" s="212">
        <v>6.0478733190314773E-4</v>
      </c>
      <c r="G145" s="32">
        <v>2.320636514451769E-4</v>
      </c>
      <c r="H145" s="32">
        <v>2.181240865869439E-4</v>
      </c>
      <c r="I145" s="32">
        <v>4.5862068965517253E-5</v>
      </c>
      <c r="J145" s="32">
        <v>0</v>
      </c>
      <c r="K145" s="32">
        <v>1.023390065301628E-5</v>
      </c>
      <c r="L145" s="32">
        <v>1.128746867545441E-5</v>
      </c>
      <c r="M145" s="32">
        <v>2.4227610206896549E-7</v>
      </c>
      <c r="N145" s="32">
        <v>7.4566292815222108E-6</v>
      </c>
      <c r="O145" s="32">
        <v>2.2490164981320888E-5</v>
      </c>
      <c r="P145" s="20">
        <v>5.7027085212127042E-5</v>
      </c>
      <c r="Q145" s="32">
        <v>0</v>
      </c>
      <c r="R145" s="187">
        <f>'Parameters, country spec'!M28</f>
        <v>9.4633897453147445E-2</v>
      </c>
    </row>
    <row r="146" spans="1:19" x14ac:dyDescent="0.2">
      <c r="B146" s="18" t="s">
        <v>309</v>
      </c>
      <c r="C146" s="17" t="s">
        <v>308</v>
      </c>
      <c r="D146" s="23" t="str">
        <f>'Off-farm feed'!$D$24</f>
        <v>Brazil, Argentina</v>
      </c>
      <c r="E146" s="23"/>
      <c r="F146" s="212">
        <f>'Off-farm feed'!$E$24</f>
        <v>4.7266553697523981E-4</v>
      </c>
      <c r="G146" s="212">
        <f>'Off-farm feed'!$F$24</f>
        <v>1.5603516238625262E-5</v>
      </c>
      <c r="H146" s="212">
        <f>'Off-farm feed'!$G$24</f>
        <v>7.5304878048780503E-5</v>
      </c>
      <c r="I146" s="212">
        <f>'Off-farm feed'!$H$24</f>
        <v>0</v>
      </c>
      <c r="J146" s="212">
        <f>'Off-farm feed'!$I$24</f>
        <v>0</v>
      </c>
      <c r="K146" s="212">
        <f>'Off-farm feed'!$J$24</f>
        <v>1.9084590744355864E-5</v>
      </c>
      <c r="L146" s="212">
        <f>'Off-farm feed'!$K$24</f>
        <v>0</v>
      </c>
      <c r="M146" s="212">
        <f>'Off-farm feed'!$L$24</f>
        <v>5.9672097439024396E-7</v>
      </c>
      <c r="N146" s="212">
        <f>'Off-farm feed'!$M$24</f>
        <v>2.3084271612619523E-5</v>
      </c>
      <c r="O146" s="212">
        <f>'Off-farm feed'!$N$24</f>
        <v>0</v>
      </c>
      <c r="P146" s="212">
        <f>'Off-farm feed'!$O$24</f>
        <v>1.2899155935646844E-4</v>
      </c>
      <c r="Q146" s="212">
        <f>'Off-farm feed'!$P$24</f>
        <v>2.1000000000000001E-4</v>
      </c>
      <c r="R146" s="187">
        <f>'Parameters, country spec'!M29</f>
        <v>0.1863493678947572</v>
      </c>
    </row>
    <row r="147" spans="1:19" x14ac:dyDescent="0.2">
      <c r="B147" s="17" t="s">
        <v>213</v>
      </c>
      <c r="C147" s="17" t="s">
        <v>310</v>
      </c>
      <c r="D147" s="23" t="s">
        <v>69</v>
      </c>
      <c r="E147" s="23" t="s">
        <v>70</v>
      </c>
      <c r="F147" s="211">
        <f>SUM(G147:Q147)</f>
        <v>5.1438268596413973E-4</v>
      </c>
      <c r="G147" s="101">
        <v>0</v>
      </c>
      <c r="H147" s="101">
        <v>8.5499999999999995E-6</v>
      </c>
      <c r="I147" s="47">
        <v>0</v>
      </c>
      <c r="J147" s="47"/>
      <c r="K147" s="101">
        <v>9.8909264956559598E-7</v>
      </c>
      <c r="L147" s="47">
        <v>0</v>
      </c>
      <c r="M147" s="47">
        <v>0</v>
      </c>
      <c r="N147" s="101">
        <v>2.1475570773538798E-6</v>
      </c>
      <c r="O147" s="101"/>
      <c r="P147" s="101">
        <v>4.7636352423280299E-4</v>
      </c>
      <c r="Q147" s="101">
        <v>2.6332512004417299E-5</v>
      </c>
      <c r="R147" s="187">
        <f>'Parameters, country spec'!M30</f>
        <v>1.2143080899157419E-2</v>
      </c>
      <c r="S147" t="s">
        <v>322</v>
      </c>
    </row>
    <row r="148" spans="1:19" x14ac:dyDescent="0.2">
      <c r="A148" s="82"/>
      <c r="B148" s="17" t="s">
        <v>312</v>
      </c>
      <c r="C148" s="83" t="s">
        <v>313</v>
      </c>
      <c r="D148" s="23" t="s">
        <v>69</v>
      </c>
      <c r="E148" s="23" t="s">
        <v>70</v>
      </c>
      <c r="F148" s="212">
        <f>SUM(G148:Q148)</f>
        <v>1.7926372529020271E-4</v>
      </c>
      <c r="G148" s="81">
        <f t="shared" ref="G148:N148" si="34">AVERAGE(G138:G146)</f>
        <v>2.7518574187089127E-5</v>
      </c>
      <c r="H148" s="81">
        <f t="shared" si="34"/>
        <v>1.0649210718174717E-4</v>
      </c>
      <c r="I148" s="81">
        <f t="shared" si="34"/>
        <v>5.0957854406130283E-6</v>
      </c>
      <c r="J148" s="81">
        <f t="shared" si="34"/>
        <v>0</v>
      </c>
      <c r="K148" s="81">
        <f t="shared" si="34"/>
        <v>1.6462497901012668E-5</v>
      </c>
      <c r="L148" s="81">
        <f t="shared" si="34"/>
        <v>1.254163186161601E-6</v>
      </c>
      <c r="M148" s="81">
        <f t="shared" si="34"/>
        <v>1.1451643956500088E-6</v>
      </c>
      <c r="N148" s="81">
        <f t="shared" si="34"/>
        <v>2.1295432997929089E-5</v>
      </c>
      <c r="O148" s="81"/>
      <c r="P148" s="80"/>
      <c r="Q148" s="81"/>
      <c r="R148" s="187">
        <f>'Parameters, country spec'!M31</f>
        <v>4.9370221696639308E-2</v>
      </c>
    </row>
    <row r="149" spans="1:19" x14ac:dyDescent="0.2">
      <c r="A149" s="185"/>
      <c r="B149" s="25" t="s">
        <v>314</v>
      </c>
      <c r="C149" s="26"/>
      <c r="D149" s="102"/>
      <c r="E149" s="102"/>
      <c r="F149" s="30">
        <f t="shared" ref="F149:O149" si="35">SUMPRODUCT(F138:F148,$R$138:$R$148)</f>
        <v>2.4678573838746881E-4</v>
      </c>
      <c r="G149" s="30">
        <f t="shared" si="35"/>
        <v>2.6227391289861225E-5</v>
      </c>
      <c r="H149" s="30">
        <f t="shared" si="35"/>
        <v>1.0249913719345366E-4</v>
      </c>
      <c r="I149" s="30">
        <f t="shared" si="35"/>
        <v>4.5916863883935076E-6</v>
      </c>
      <c r="J149" s="30">
        <f t="shared" si="35"/>
        <v>0</v>
      </c>
      <c r="K149" s="30">
        <f t="shared" si="35"/>
        <v>1.3532064146924184E-5</v>
      </c>
      <c r="L149" s="30">
        <f t="shared" si="35"/>
        <v>1.1300954676831284E-6</v>
      </c>
      <c r="M149" s="30">
        <f t="shared" si="35"/>
        <v>2.9864010772169684E-7</v>
      </c>
      <c r="N149" s="30">
        <f t="shared" si="35"/>
        <v>2.1706555049418132E-5</v>
      </c>
      <c r="O149" s="30">
        <f t="shared" si="35"/>
        <v>2.1283319665466888E-6</v>
      </c>
      <c r="P149" s="30">
        <f>SUMPRODUCT(P138:P148,R138:R148)</f>
        <v>3.5218711696019941E-5</v>
      </c>
      <c r="Q149" s="30">
        <f>SUMPRODUCT(Q138:Q148,$R$138:$R$148)</f>
        <v>3.9453125081446682E-5</v>
      </c>
      <c r="R149" s="186"/>
    </row>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tabColor theme="4" tint="0.79998168889431442"/>
  </sheetPr>
  <dimension ref="A2:T149"/>
  <sheetViews>
    <sheetView topLeftCell="B2" zoomScale="80" zoomScaleNormal="80" workbookViewId="0">
      <selection activeCell="I6" sqref="I6"/>
    </sheetView>
  </sheetViews>
  <sheetFormatPr baseColWidth="10" defaultColWidth="8.83203125" defaultRowHeight="15" x14ac:dyDescent="0.2"/>
  <cols>
    <col min="1" max="1" width="8.6640625" customWidth="1"/>
    <col min="2" max="2" width="30.5" customWidth="1"/>
    <col min="3" max="3" width="19" customWidth="1"/>
    <col min="4" max="4" width="12.83203125" customWidth="1"/>
    <col min="5" max="10" width="12.6640625" customWidth="1"/>
    <col min="11" max="11" width="14.5" customWidth="1"/>
    <col min="12" max="12" width="15" customWidth="1"/>
    <col min="13" max="17" width="12.6640625" customWidth="1"/>
  </cols>
  <sheetData>
    <row r="2" spans="1:19" ht="21" customHeight="1" x14ac:dyDescent="0.25">
      <c r="A2" s="2" t="s">
        <v>323</v>
      </c>
      <c r="F2" t="s">
        <v>290</v>
      </c>
      <c r="O2" t="s">
        <v>291</v>
      </c>
    </row>
    <row r="3" spans="1:19" x14ac:dyDescent="0.2">
      <c r="H3" s="9"/>
      <c r="I3" s="9"/>
      <c r="J3" s="9"/>
      <c r="K3" s="9"/>
      <c r="L3" s="9"/>
      <c r="M3" s="9"/>
      <c r="N3" s="9"/>
      <c r="P3" s="9"/>
    </row>
    <row r="4" spans="1:19" ht="29" customHeight="1" x14ac:dyDescent="0.2">
      <c r="A4" s="196" t="s">
        <v>292</v>
      </c>
      <c r="B4" s="179"/>
      <c r="C4" s="179"/>
      <c r="D4" s="179"/>
      <c r="E4" s="179"/>
      <c r="F4" s="180" t="s">
        <v>9</v>
      </c>
      <c r="G4" s="180" t="s">
        <v>10</v>
      </c>
      <c r="H4" s="181"/>
      <c r="I4" s="180" t="s">
        <v>11</v>
      </c>
      <c r="J4" s="103"/>
      <c r="K4" s="180" t="s">
        <v>12</v>
      </c>
      <c r="L4" s="103"/>
      <c r="M4" s="103"/>
      <c r="N4" s="103"/>
      <c r="O4" s="104" t="s">
        <v>13</v>
      </c>
      <c r="P4" s="104" t="s">
        <v>14</v>
      </c>
      <c r="Q4" s="182" t="s">
        <v>15</v>
      </c>
      <c r="R4" s="180" t="s">
        <v>293</v>
      </c>
    </row>
    <row r="5" spans="1:19" ht="55.5" customHeight="1" x14ac:dyDescent="0.2">
      <c r="A5" s="97" t="s">
        <v>114</v>
      </c>
      <c r="B5" s="97" t="s">
        <v>292</v>
      </c>
      <c r="C5" s="97" t="s">
        <v>294</v>
      </c>
      <c r="D5" s="97" t="s">
        <v>19</v>
      </c>
      <c r="E5" s="184" t="s">
        <v>20</v>
      </c>
      <c r="F5" s="183"/>
      <c r="G5" s="98" t="s">
        <v>92</v>
      </c>
      <c r="H5" s="98" t="s">
        <v>24</v>
      </c>
      <c r="I5" s="98" t="s">
        <v>295</v>
      </c>
      <c r="J5" s="98" t="s">
        <v>296</v>
      </c>
      <c r="K5" s="98" t="s">
        <v>27</v>
      </c>
      <c r="L5" s="98" t="s">
        <v>28</v>
      </c>
      <c r="M5" s="98" t="s">
        <v>29</v>
      </c>
      <c r="N5" s="98" t="s">
        <v>30</v>
      </c>
      <c r="O5" s="98" t="s">
        <v>31</v>
      </c>
      <c r="P5" s="98" t="s">
        <v>297</v>
      </c>
      <c r="Q5" s="184" t="s">
        <v>298</v>
      </c>
      <c r="R5" s="98"/>
    </row>
    <row r="6" spans="1:19" x14ac:dyDescent="0.2">
      <c r="A6" s="22" t="s">
        <v>299</v>
      </c>
      <c r="B6" s="17" t="s">
        <v>198</v>
      </c>
      <c r="C6" s="17" t="s">
        <v>300</v>
      </c>
      <c r="D6" s="23" t="s">
        <v>42</v>
      </c>
      <c r="E6" s="23" t="s">
        <v>43</v>
      </c>
      <c r="F6" s="213">
        <f t="shared" ref="F6:F12" si="0">SUM(G6:Q6)</f>
        <v>1.0296151144552602E-3</v>
      </c>
      <c r="G6" s="191">
        <v>4.33346937593971E-5</v>
      </c>
      <c r="H6" s="192">
        <v>1.1000000000000001E-6</v>
      </c>
      <c r="I6" s="195">
        <v>8.93389004622238E-4</v>
      </c>
      <c r="J6" s="195">
        <v>8.9338900462223805E-5</v>
      </c>
      <c r="K6" s="195">
        <v>9.0167632840131403E-7</v>
      </c>
      <c r="L6" s="195">
        <v>0</v>
      </c>
      <c r="M6" s="195">
        <v>0</v>
      </c>
      <c r="N6" s="195">
        <v>1.5508392829999999E-6</v>
      </c>
      <c r="O6" s="195"/>
      <c r="P6" s="14"/>
      <c r="Q6" s="194"/>
      <c r="R6" s="198">
        <f>'Parameters, country spec'!B21</f>
        <v>0</v>
      </c>
    </row>
    <row r="7" spans="1:19" x14ac:dyDescent="0.2">
      <c r="A7" s="22" t="s">
        <v>301</v>
      </c>
      <c r="B7" s="17" t="s">
        <v>201</v>
      </c>
      <c r="C7" s="17" t="s">
        <v>300</v>
      </c>
      <c r="D7" s="23" t="s">
        <v>42</v>
      </c>
      <c r="E7" s="23" t="s">
        <v>43</v>
      </c>
      <c r="F7" s="211">
        <f t="shared" si="0"/>
        <v>2.5431436051094136E-4</v>
      </c>
      <c r="G7" s="99">
        <v>8.5646037195945999E-6</v>
      </c>
      <c r="H7" s="100">
        <v>1.1000000000000001E-6</v>
      </c>
      <c r="I7" s="101">
        <v>2.204033085141384E-4</v>
      </c>
      <c r="J7" s="101">
        <v>2.20403308514138E-5</v>
      </c>
      <c r="K7" s="101">
        <v>6.5527814279456901E-7</v>
      </c>
      <c r="L7" s="101">
        <v>0</v>
      </c>
      <c r="M7" s="101">
        <v>0</v>
      </c>
      <c r="N7" s="101">
        <v>1.5508392829999999E-6</v>
      </c>
      <c r="O7" s="101"/>
      <c r="P7" s="14"/>
      <c r="Q7" s="14"/>
      <c r="R7" s="187">
        <f>'Parameters, country spec'!B22</f>
        <v>0.15</v>
      </c>
    </row>
    <row r="8" spans="1:19" x14ac:dyDescent="0.2">
      <c r="A8" s="22" t="s">
        <v>302</v>
      </c>
      <c r="B8" s="17" t="s">
        <v>204</v>
      </c>
      <c r="C8" s="17" t="s">
        <v>300</v>
      </c>
      <c r="D8" s="23" t="s">
        <v>42</v>
      </c>
      <c r="E8" s="23" t="s">
        <v>43</v>
      </c>
      <c r="F8" s="211">
        <f t="shared" si="0"/>
        <v>9.9111399236328991E-4</v>
      </c>
      <c r="G8" s="99">
        <v>4.2111741458943197E-5</v>
      </c>
      <c r="H8" s="100">
        <v>1.1000000000000001E-6</v>
      </c>
      <c r="I8" s="101">
        <v>8.5942041301056103E-4</v>
      </c>
      <c r="J8" s="101">
        <v>8.5942041301056201E-5</v>
      </c>
      <c r="K8" s="101">
        <v>9.8893602669268491E-7</v>
      </c>
      <c r="L8" s="101">
        <v>0</v>
      </c>
      <c r="M8" s="101">
        <v>2.1283036803976E-11</v>
      </c>
      <c r="N8" s="101">
        <v>1.5508392829999999E-6</v>
      </c>
      <c r="O8" s="101"/>
      <c r="P8" s="14"/>
      <c r="Q8" s="14"/>
      <c r="R8" s="187">
        <f>'Parameters, country spec'!B23</f>
        <v>0</v>
      </c>
    </row>
    <row r="9" spans="1:19" x14ac:dyDescent="0.2">
      <c r="A9" s="22" t="s">
        <v>303</v>
      </c>
      <c r="B9" s="17" t="s">
        <v>205</v>
      </c>
      <c r="C9" s="17" t="s">
        <v>300</v>
      </c>
      <c r="D9" s="23" t="s">
        <v>42</v>
      </c>
      <c r="E9" s="23" t="s">
        <v>43</v>
      </c>
      <c r="F9" s="211">
        <f t="shared" si="0"/>
        <v>8.5530074525416461E-4</v>
      </c>
      <c r="G9" s="99">
        <v>3.57173969818493E-5</v>
      </c>
      <c r="H9" s="100">
        <v>1.1000000000000001E-6</v>
      </c>
      <c r="I9" s="101">
        <v>7.4187413254425704E-4</v>
      </c>
      <c r="J9" s="101">
        <v>7.4187413254425702E-5</v>
      </c>
      <c r="K9" s="101">
        <v>8.6297031950513598E-7</v>
      </c>
      <c r="L9" s="101">
        <v>0</v>
      </c>
      <c r="M9" s="101">
        <v>7.9928711275969202E-9</v>
      </c>
      <c r="N9" s="101">
        <v>1.5508392829999999E-6</v>
      </c>
      <c r="O9" s="101"/>
      <c r="P9" s="14"/>
      <c r="Q9" s="14"/>
      <c r="R9" s="187">
        <f>'Parameters, country spec'!B24</f>
        <v>0</v>
      </c>
    </row>
    <row r="10" spans="1:19" x14ac:dyDescent="0.2">
      <c r="A10" s="22" t="s">
        <v>304</v>
      </c>
      <c r="B10" s="17" t="s">
        <v>206</v>
      </c>
      <c r="C10" s="17" t="s">
        <v>300</v>
      </c>
      <c r="D10" s="23" t="s">
        <v>42</v>
      </c>
      <c r="E10" s="23" t="s">
        <v>43</v>
      </c>
      <c r="F10" s="211">
        <f t="shared" si="0"/>
        <v>8.4382253304000313E-4</v>
      </c>
      <c r="G10" s="99">
        <v>3.5274842783133898E-5</v>
      </c>
      <c r="H10" s="100">
        <v>1.1000000000000001E-6</v>
      </c>
      <c r="I10" s="101">
        <v>7.3201437561888497E-4</v>
      </c>
      <c r="J10" s="101">
        <v>7.3201437561888502E-5</v>
      </c>
      <c r="K10" s="101">
        <v>6.7471987680582603E-7</v>
      </c>
      <c r="L10" s="101">
        <v>0</v>
      </c>
      <c r="M10" s="101">
        <v>6.3179162899379596E-9</v>
      </c>
      <c r="N10" s="101">
        <v>1.5508392829999999E-6</v>
      </c>
      <c r="O10" s="101"/>
      <c r="P10" s="14"/>
      <c r="Q10" s="14"/>
      <c r="R10" s="187">
        <f>'Parameters, country spec'!B25</f>
        <v>0.5</v>
      </c>
    </row>
    <row r="11" spans="1:19" x14ac:dyDescent="0.2">
      <c r="A11" s="22" t="s">
        <v>305</v>
      </c>
      <c r="B11" s="17" t="s">
        <v>207</v>
      </c>
      <c r="C11" s="17" t="s">
        <v>306</v>
      </c>
      <c r="D11" s="23" t="s">
        <v>42</v>
      </c>
      <c r="E11" s="23" t="s">
        <v>43</v>
      </c>
      <c r="F11" s="211">
        <f t="shared" si="0"/>
        <v>2.076250829896906E-4</v>
      </c>
      <c r="G11" s="99">
        <v>0</v>
      </c>
      <c r="H11" s="100">
        <v>1.1000000000000001E-6</v>
      </c>
      <c r="I11" s="101">
        <v>1.8457295999999999E-4</v>
      </c>
      <c r="J11" s="101">
        <v>1.8457295999999999E-5</v>
      </c>
      <c r="K11" s="101">
        <v>1.3311447783076901E-6</v>
      </c>
      <c r="L11" s="101">
        <v>0</v>
      </c>
      <c r="M11" s="101">
        <v>6.12842928382921E-7</v>
      </c>
      <c r="N11" s="101">
        <v>1.5508392829999999E-6</v>
      </c>
      <c r="O11" s="101"/>
      <c r="P11" s="14"/>
      <c r="Q11" s="14"/>
      <c r="R11" s="187">
        <f>'Parameters, country spec'!B26</f>
        <v>0</v>
      </c>
    </row>
    <row r="12" spans="1:19" x14ac:dyDescent="0.2">
      <c r="A12" s="22" t="s">
        <v>307</v>
      </c>
      <c r="B12" s="17" t="s">
        <v>208</v>
      </c>
      <c r="C12" s="17" t="s">
        <v>306</v>
      </c>
      <c r="D12" s="23" t="s">
        <v>42</v>
      </c>
      <c r="E12" s="23" t="s">
        <v>43</v>
      </c>
      <c r="F12" s="211">
        <f t="shared" si="0"/>
        <v>2.0426427793620482E-4</v>
      </c>
      <c r="G12" s="99">
        <v>0</v>
      </c>
      <c r="H12" s="100">
        <v>1.1000000000000001E-6</v>
      </c>
      <c r="I12" s="101">
        <v>1.8140179200000001E-4</v>
      </c>
      <c r="J12" s="101">
        <v>1.8140179199999999E-5</v>
      </c>
      <c r="K12" s="101">
        <v>1.23663462441682E-6</v>
      </c>
      <c r="L12" s="101">
        <v>0</v>
      </c>
      <c r="M12" s="101">
        <v>8.3483282878799698E-7</v>
      </c>
      <c r="N12" s="101">
        <v>1.5508392829999999E-6</v>
      </c>
      <c r="O12" s="101"/>
      <c r="P12" s="14"/>
      <c r="Q12" s="14"/>
      <c r="R12" s="187">
        <f>'Parameters, country spec'!B27</f>
        <v>0</v>
      </c>
    </row>
    <row r="13" spans="1:19" x14ac:dyDescent="0.2">
      <c r="B13" s="18" t="s">
        <v>209</v>
      </c>
      <c r="C13" s="17" t="s">
        <v>308</v>
      </c>
      <c r="D13" s="23" t="str">
        <f>'Off-farm feed'!$D$77</f>
        <v>France, Germany, Poland</v>
      </c>
      <c r="E13" s="23" t="s">
        <v>319</v>
      </c>
      <c r="F13" s="212">
        <f>'Off-farm feed'!$E$77</f>
        <v>6.732045566157569E-4</v>
      </c>
      <c r="G13" s="212">
        <f>'Off-farm feed'!$F$77</f>
        <v>1.946970439026595E-4</v>
      </c>
      <c r="H13" s="212">
        <f>'Off-farm feed'!$G$77</f>
        <v>5.3103448275862083E-7</v>
      </c>
      <c r="I13" s="212">
        <f>'Off-farm feed'!$H$77</f>
        <v>4.2751561806777074E-4</v>
      </c>
      <c r="J13" s="212">
        <f>'Off-farm feed'!$I$77</f>
        <v>4.2751561806777089E-5</v>
      </c>
      <c r="K13" s="212">
        <f>'Off-farm feed'!$J$77</f>
        <v>6.6339607025480414E-7</v>
      </c>
      <c r="L13" s="212">
        <f>'Off-farm feed'!$K$77</f>
        <v>0</v>
      </c>
      <c r="M13" s="212">
        <f>'Off-farm feed'!$L$77</f>
        <v>7.9511067188965511E-9</v>
      </c>
      <c r="N13" s="212">
        <f>'Off-farm feed'!$M$77</f>
        <v>1.2789681892721842E-6</v>
      </c>
      <c r="O13" s="212">
        <f>'Off-farm feed'!$N$77</f>
        <v>0</v>
      </c>
      <c r="P13" s="212">
        <f>'Off-farm feed'!$O$77</f>
        <v>3.9312802868423834E-6</v>
      </c>
      <c r="Q13" s="212">
        <f>'Off-farm feed'!$P$77</f>
        <v>1.8277027027027027E-6</v>
      </c>
      <c r="R13" s="187">
        <f>'Parameters, country spec'!B28</f>
        <v>0.03</v>
      </c>
    </row>
    <row r="14" spans="1:19" x14ac:dyDescent="0.2">
      <c r="B14" s="18" t="s">
        <v>309</v>
      </c>
      <c r="C14" s="17" t="s">
        <v>308</v>
      </c>
      <c r="D14" s="23" t="str">
        <f>'Off-farm feed'!$D$26</f>
        <v>Brazil, Argentina</v>
      </c>
      <c r="E14" s="23" t="s">
        <v>319</v>
      </c>
      <c r="F14" s="212">
        <f>'Off-farm feed'!$E$26</f>
        <v>1.8866346644602503E-4</v>
      </c>
      <c r="G14" s="212">
        <f>'Off-farm feed'!$F$26</f>
        <v>1.6332109719061435E-5</v>
      </c>
      <c r="H14" s="212">
        <f>'Off-farm feed'!$G$26</f>
        <v>8.7195121951219526E-7</v>
      </c>
      <c r="I14" s="212">
        <f>'Off-farm feed'!$H$26</f>
        <v>1.3333449845358199E-4</v>
      </c>
      <c r="J14" s="212">
        <f>'Off-farm feed'!$I$26</f>
        <v>1.3333449845358203E-5</v>
      </c>
      <c r="K14" s="212">
        <f>'Off-farm feed'!$J$26</f>
        <v>1.1576736579983929E-6</v>
      </c>
      <c r="L14" s="212">
        <f>'Off-farm feed'!$K$26</f>
        <v>0</v>
      </c>
      <c r="M14" s="212">
        <f>'Off-farm feed'!$L$26</f>
        <v>7.3437786087804875E-9</v>
      </c>
      <c r="N14" s="212">
        <f>'Off-farm feed'!$M$26</f>
        <v>1.1195281639512195E-6</v>
      </c>
      <c r="O14" s="212">
        <f>'Off-farm feed'!$N$26</f>
        <v>0</v>
      </c>
      <c r="P14" s="212">
        <f>'Off-farm feed'!$O$26</f>
        <v>1.3419073770114994E-5</v>
      </c>
      <c r="Q14" s="212">
        <f>'Off-farm feed'!$P$26</f>
        <v>9.087837837837838E-6</v>
      </c>
      <c r="R14" s="187">
        <f>'Parameters, country spec'!B29</f>
        <v>0.28999999999999998</v>
      </c>
    </row>
    <row r="15" spans="1:19" x14ac:dyDescent="0.2">
      <c r="B15" s="17" t="s">
        <v>213</v>
      </c>
      <c r="C15" s="17" t="s">
        <v>310</v>
      </c>
      <c r="D15" s="23" t="s">
        <v>42</v>
      </c>
      <c r="E15" s="23" t="s">
        <v>43</v>
      </c>
      <c r="F15" s="211">
        <f>SUM(G15:Q15)</f>
        <v>1.0014261967494022E-4</v>
      </c>
      <c r="G15" s="101">
        <v>3.1747358504820499E-6</v>
      </c>
      <c r="H15" s="101">
        <v>9.9E-8</v>
      </c>
      <c r="I15" s="101">
        <v>6.5881293805699606E-5</v>
      </c>
      <c r="J15">
        <v>6.5881293805699599E-6</v>
      </c>
      <c r="K15" s="101">
        <v>6.0724788912524299E-8</v>
      </c>
      <c r="L15">
        <v>0</v>
      </c>
      <c r="M15">
        <v>5.6861246609441598E-10</v>
      </c>
      <c r="N15" s="14">
        <v>1.3957553547000001E-7</v>
      </c>
      <c r="O15" s="14"/>
      <c r="P15" s="101">
        <v>2.3492890101997999E-5</v>
      </c>
      <c r="Q15" s="101">
        <v>7.0570159934197997E-7</v>
      </c>
      <c r="R15" s="187">
        <f>'Parameters, country spec'!B30</f>
        <v>0</v>
      </c>
      <c r="S15" t="s">
        <v>324</v>
      </c>
    </row>
    <row r="16" spans="1:19" x14ac:dyDescent="0.2">
      <c r="A16" s="82"/>
      <c r="B16" s="17" t="s">
        <v>312</v>
      </c>
      <c r="C16" s="83" t="s">
        <v>313</v>
      </c>
      <c r="D16" s="23" t="s">
        <v>42</v>
      </c>
      <c r="E16" s="23" t="s">
        <v>43</v>
      </c>
      <c r="F16" s="212">
        <f>SUM(G16:Q16)</f>
        <v>5.7996202611264888E-4</v>
      </c>
      <c r="G16" s="81">
        <f t="shared" ref="G16:N16" si="1">AVERAGE(G6:G14)</f>
        <v>4.1781381369404337E-5</v>
      </c>
      <c r="H16" s="81">
        <f t="shared" si="1"/>
        <v>1.0114428558078684E-6</v>
      </c>
      <c r="I16" s="81">
        <f t="shared" si="1"/>
        <v>4.8599178920349256E-4</v>
      </c>
      <c r="J16" s="81">
        <f t="shared" si="1"/>
        <v>4.859917892034926E-5</v>
      </c>
      <c r="K16" s="81">
        <f t="shared" si="1"/>
        <v>9.4138109168635971E-7</v>
      </c>
      <c r="L16" s="81">
        <f t="shared" si="1"/>
        <v>0</v>
      </c>
      <c r="M16" s="81">
        <f t="shared" si="1"/>
        <v>1.6414474588365931E-7</v>
      </c>
      <c r="N16" s="81">
        <f t="shared" si="1"/>
        <v>1.4727079260248226E-6</v>
      </c>
      <c r="O16" s="81"/>
      <c r="P16" s="80"/>
      <c r="Q16" s="81"/>
      <c r="R16" s="187">
        <f>'Parameters, country spec'!B31</f>
        <v>0.03</v>
      </c>
    </row>
    <row r="17" spans="1:18" x14ac:dyDescent="0.2">
      <c r="A17" s="185"/>
      <c r="B17" s="25" t="s">
        <v>314</v>
      </c>
      <c r="C17" s="26"/>
      <c r="D17" s="102"/>
      <c r="E17" s="102"/>
      <c r="F17" s="45">
        <f t="shared" ref="F17:O17" si="2">SUMPRODUCT(F6:F16,$R$6:$R$16)</f>
        <v>5.5236582334784214E-4</v>
      </c>
      <c r="G17" s="45">
        <f t="shared" si="2"/>
        <v>3.075277652619587E-5</v>
      </c>
      <c r="H17" s="45">
        <f t="shared" si="2"/>
        <v>1.0141401738155313E-6</v>
      </c>
      <c r="I17" s="45">
        <f t="shared" si="2"/>
        <v>4.6513991085623993E-4</v>
      </c>
      <c r="J17" s="45">
        <f t="shared" si="2"/>
        <v>4.651399108562399E-5</v>
      </c>
      <c r="K17" s="45">
        <f t="shared" si="2"/>
        <v>8.195203354998672E-7</v>
      </c>
      <c r="L17" s="45">
        <f t="shared" si="2"/>
        <v>0</v>
      </c>
      <c r="M17" s="45">
        <f t="shared" si="2"/>
        <v>1.0451529519591995E-8</v>
      </c>
      <c r="N17" s="45">
        <f t="shared" si="2"/>
        <v>1.4152589849547638E-6</v>
      </c>
      <c r="O17" s="45">
        <f t="shared" si="2"/>
        <v>0</v>
      </c>
      <c r="P17" s="30">
        <f>SUMPRODUCT(P6:P16,R6:R16)</f>
        <v>4.0094698019386196E-6</v>
      </c>
      <c r="Q17" s="45">
        <f>SUMPRODUCT(Q6:Q16,$R$6:$R$16)</f>
        <v>2.6903040540540542E-6</v>
      </c>
      <c r="R17" s="197"/>
    </row>
    <row r="18" spans="1:18" x14ac:dyDescent="0.2">
      <c r="A18" s="22" t="s">
        <v>299</v>
      </c>
      <c r="B18" s="17" t="s">
        <v>198</v>
      </c>
      <c r="C18" s="17" t="s">
        <v>300</v>
      </c>
      <c r="D18" s="23" t="s">
        <v>49</v>
      </c>
      <c r="E18" s="23" t="s">
        <v>50</v>
      </c>
      <c r="F18" s="213">
        <f t="shared" ref="F18:F24" si="3">SUM(G18:Q18)</f>
        <v>5.8530781673607967E-4</v>
      </c>
      <c r="G18" s="191">
        <v>1.48476732581079E-5</v>
      </c>
      <c r="H18" s="192">
        <v>1.1000000000000001E-6</v>
      </c>
      <c r="I18" s="195">
        <v>5.1560061766249207E-4</v>
      </c>
      <c r="J18" s="195">
        <v>5.15600617662492E-5</v>
      </c>
      <c r="K18" s="195">
        <v>8.6660096144175996E-7</v>
      </c>
      <c r="L18" s="195">
        <v>0</v>
      </c>
      <c r="M18" s="195">
        <v>9.2063687575479994E-12</v>
      </c>
      <c r="N18" s="195">
        <v>1.3328538814200001E-6</v>
      </c>
      <c r="O18" s="195"/>
      <c r="P18" s="14"/>
      <c r="Q18" s="194"/>
      <c r="R18" s="198">
        <f>'Parameters, country spec'!C21</f>
        <v>0.1293861840707447</v>
      </c>
    </row>
    <row r="19" spans="1:18" x14ac:dyDescent="0.2">
      <c r="A19" s="22" t="s">
        <v>301</v>
      </c>
      <c r="B19" s="17" t="s">
        <v>201</v>
      </c>
      <c r="C19" s="17" t="s">
        <v>300</v>
      </c>
      <c r="D19" s="23" t="s">
        <v>49</v>
      </c>
      <c r="E19" s="23" t="s">
        <v>50</v>
      </c>
      <c r="F19" s="211">
        <f t="shared" si="3"/>
        <v>5.0348761541131604E-4</v>
      </c>
      <c r="G19" s="99">
        <v>1.40447733404797E-5</v>
      </c>
      <c r="H19" s="100">
        <v>1.1000000000000001E-6</v>
      </c>
      <c r="I19" s="101">
        <v>4.4216887877114938E-4</v>
      </c>
      <c r="J19" s="101">
        <v>4.4216887877115002E-5</v>
      </c>
      <c r="K19" s="101">
        <v>4.8647220484656601E-7</v>
      </c>
      <c r="L19" s="101">
        <v>0</v>
      </c>
      <c r="M19" s="101">
        <v>1.3774933630536099E-7</v>
      </c>
      <c r="N19" s="101">
        <v>1.3328538814200001E-6</v>
      </c>
      <c r="O19" s="101"/>
      <c r="P19" s="14"/>
      <c r="Q19" s="14"/>
      <c r="R19" s="187">
        <f>'Parameters, country spec'!C22</f>
        <v>0.21280975376032871</v>
      </c>
    </row>
    <row r="20" spans="1:18" x14ac:dyDescent="0.2">
      <c r="A20" s="22" t="s">
        <v>302</v>
      </c>
      <c r="B20" s="17" t="s">
        <v>204</v>
      </c>
      <c r="C20" s="17" t="s">
        <v>300</v>
      </c>
      <c r="D20" s="23" t="s">
        <v>49</v>
      </c>
      <c r="E20" s="23" t="s">
        <v>50</v>
      </c>
      <c r="F20" s="211">
        <f t="shared" si="3"/>
        <v>6.1761163745160182E-4</v>
      </c>
      <c r="G20" s="99">
        <v>1.6338842591140199E-5</v>
      </c>
      <c r="H20" s="100">
        <v>1.1000000000000001E-6</v>
      </c>
      <c r="I20" s="101">
        <v>5.43258830766379E-4</v>
      </c>
      <c r="J20" s="101">
        <v>5.4325883076637902E-5</v>
      </c>
      <c r="K20" s="101">
        <v>1.2030725795815901E-6</v>
      </c>
      <c r="L20" s="101">
        <v>0</v>
      </c>
      <c r="M20" s="101">
        <v>5.2154556442986999E-8</v>
      </c>
      <c r="N20" s="101">
        <v>1.3328538814200001E-6</v>
      </c>
      <c r="O20" s="101"/>
      <c r="P20" s="14"/>
      <c r="Q20" s="14"/>
      <c r="R20" s="187">
        <f>'Parameters, country spec'!C23</f>
        <v>1.4661663802605951E-2</v>
      </c>
    </row>
    <row r="21" spans="1:18" x14ac:dyDescent="0.2">
      <c r="A21" s="22" t="s">
        <v>303</v>
      </c>
      <c r="B21" s="17" t="s">
        <v>205</v>
      </c>
      <c r="C21" s="17" t="s">
        <v>300</v>
      </c>
      <c r="D21" s="23" t="s">
        <v>49</v>
      </c>
      <c r="E21" s="23" t="s">
        <v>50</v>
      </c>
      <c r="F21" s="211">
        <f t="shared" si="3"/>
        <v>7.8191616855976414E-4</v>
      </c>
      <c r="G21" s="99">
        <v>2.1873707810918101E-5</v>
      </c>
      <c r="H21" s="100">
        <v>1.1000000000000001E-6</v>
      </c>
      <c r="I21" s="101">
        <v>6.8758656983667894E-4</v>
      </c>
      <c r="J21" s="101">
        <v>6.8758656983667997E-5</v>
      </c>
      <c r="K21" s="101">
        <v>1.2631936945080999E-6</v>
      </c>
      <c r="L21" s="101">
        <v>0</v>
      </c>
      <c r="M21" s="101">
        <v>1.1863525710000401E-9</v>
      </c>
      <c r="N21" s="101">
        <v>1.3328538814200001E-6</v>
      </c>
      <c r="O21" s="101"/>
      <c r="P21" s="14"/>
      <c r="Q21" s="14"/>
      <c r="R21" s="187">
        <f>'Parameters, country spec'!C24</f>
        <v>2.2515954502451301E-3</v>
      </c>
    </row>
    <row r="22" spans="1:18" x14ac:dyDescent="0.2">
      <c r="A22" s="22" t="s">
        <v>304</v>
      </c>
      <c r="B22" s="17" t="s">
        <v>206</v>
      </c>
      <c r="C22" s="17" t="s">
        <v>300</v>
      </c>
      <c r="D22" s="23" t="s">
        <v>49</v>
      </c>
      <c r="E22" s="23" t="s">
        <v>50</v>
      </c>
      <c r="F22" s="211">
        <f t="shared" si="3"/>
        <v>7.6314701218592603E-4</v>
      </c>
      <c r="G22" s="99">
        <v>2.1342573427641399E-5</v>
      </c>
      <c r="H22" s="100">
        <v>1.1000000000000001E-6</v>
      </c>
      <c r="I22" s="101">
        <v>6.7145954331109003E-4</v>
      </c>
      <c r="J22" s="101">
        <v>6.7145954331108897E-5</v>
      </c>
      <c r="K22" s="101">
        <v>7.6532160176210403E-7</v>
      </c>
      <c r="L22" s="101">
        <v>0</v>
      </c>
      <c r="M22" s="101">
        <v>7.6563290357226795E-10</v>
      </c>
      <c r="N22" s="101">
        <v>1.3328538814200001E-6</v>
      </c>
      <c r="O22" s="101"/>
      <c r="P22" s="14"/>
      <c r="Q22" s="14"/>
      <c r="R22" s="187">
        <f>'Parameters, country spec'!C25</f>
        <v>0.31521053769451612</v>
      </c>
    </row>
    <row r="23" spans="1:18" x14ac:dyDescent="0.2">
      <c r="A23" s="22" t="s">
        <v>305</v>
      </c>
      <c r="B23" s="17" t="s">
        <v>207</v>
      </c>
      <c r="C23" s="17" t="s">
        <v>306</v>
      </c>
      <c r="D23" s="23" t="s">
        <v>49</v>
      </c>
      <c r="E23" s="23" t="s">
        <v>50</v>
      </c>
      <c r="F23" s="211">
        <f t="shared" si="3"/>
        <v>2.0727300008761834E-4</v>
      </c>
      <c r="G23" s="99">
        <v>0</v>
      </c>
      <c r="H23" s="100">
        <v>1.1000000000000001E-6</v>
      </c>
      <c r="I23" s="101">
        <v>1.8457295999999999E-4</v>
      </c>
      <c r="J23" s="101">
        <v>1.8457295999999999E-5</v>
      </c>
      <c r="K23" s="101">
        <v>1.6098807704065999E-6</v>
      </c>
      <c r="L23" s="101">
        <v>0</v>
      </c>
      <c r="M23" s="101">
        <v>2.0000943579174501E-7</v>
      </c>
      <c r="N23" s="101">
        <v>1.3328538814200001E-6</v>
      </c>
      <c r="O23" s="101"/>
      <c r="P23" s="14"/>
      <c r="Q23" s="14"/>
      <c r="R23" s="187">
        <f>'Parameters, country spec'!C26</f>
        <v>0</v>
      </c>
    </row>
    <row r="24" spans="1:18" x14ac:dyDescent="0.2">
      <c r="A24" s="22" t="s">
        <v>307</v>
      </c>
      <c r="B24" s="17" t="s">
        <v>208</v>
      </c>
      <c r="C24" s="17" t="s">
        <v>306</v>
      </c>
      <c r="D24" s="23" t="s">
        <v>49</v>
      </c>
      <c r="E24" s="23" t="s">
        <v>50</v>
      </c>
      <c r="F24" s="211">
        <f t="shared" si="3"/>
        <v>2.2801308417325327E-4</v>
      </c>
      <c r="G24" s="99">
        <v>7.8537174919050199E-7</v>
      </c>
      <c r="H24" s="100">
        <v>1.1000000000000001E-6</v>
      </c>
      <c r="I24" s="101">
        <v>2.0235609376337589E-4</v>
      </c>
      <c r="J24" s="101">
        <v>2.02356093763376E-5</v>
      </c>
      <c r="K24" s="101">
        <v>1.97490103259465E-6</v>
      </c>
      <c r="L24" s="101">
        <v>0</v>
      </c>
      <c r="M24" s="101">
        <v>2.2825437033464201E-7</v>
      </c>
      <c r="N24" s="101">
        <v>1.3328538814200001E-6</v>
      </c>
      <c r="O24" s="101"/>
      <c r="P24" s="14"/>
      <c r="Q24" s="14"/>
      <c r="R24" s="187">
        <f>'Parameters, country spec'!C27</f>
        <v>0</v>
      </c>
    </row>
    <row r="25" spans="1:18" x14ac:dyDescent="0.2">
      <c r="B25" s="18" t="s">
        <v>209</v>
      </c>
      <c r="C25" s="17" t="s">
        <v>308</v>
      </c>
      <c r="D25" s="23" t="str">
        <f>'Off-farm feed'!$D$77</f>
        <v>France, Germany, Poland</v>
      </c>
      <c r="E25" s="23" t="s">
        <v>319</v>
      </c>
      <c r="F25" s="212">
        <f>'Off-farm feed'!$E$77</f>
        <v>6.732045566157569E-4</v>
      </c>
      <c r="G25" s="212">
        <f>'Off-farm feed'!$F$77</f>
        <v>1.946970439026595E-4</v>
      </c>
      <c r="H25" s="212">
        <f>'Off-farm feed'!$G$77</f>
        <v>5.3103448275862083E-7</v>
      </c>
      <c r="I25" s="212">
        <f>'Off-farm feed'!$H$77</f>
        <v>4.2751561806777074E-4</v>
      </c>
      <c r="J25" s="212">
        <f>'Off-farm feed'!$I$77</f>
        <v>4.2751561806777089E-5</v>
      </c>
      <c r="K25" s="212">
        <f>'Off-farm feed'!$J$77</f>
        <v>6.6339607025480414E-7</v>
      </c>
      <c r="L25" s="212">
        <f>'Off-farm feed'!$K$77</f>
        <v>0</v>
      </c>
      <c r="M25" s="212">
        <f>'Off-farm feed'!$L$77</f>
        <v>7.9511067188965511E-9</v>
      </c>
      <c r="N25" s="212">
        <f>'Off-farm feed'!$M$77</f>
        <v>1.2789681892721842E-6</v>
      </c>
      <c r="O25" s="212">
        <f>'Off-farm feed'!$N$77</f>
        <v>0</v>
      </c>
      <c r="P25" s="212">
        <f>'Off-farm feed'!$O$77</f>
        <v>3.9312802868423834E-6</v>
      </c>
      <c r="Q25" s="212">
        <f>'Off-farm feed'!$P$77</f>
        <v>1.8277027027027027E-6</v>
      </c>
      <c r="R25" s="187">
        <f>'Parameters, country spec'!C28</f>
        <v>9.7073458625180783E-2</v>
      </c>
    </row>
    <row r="26" spans="1:18" x14ac:dyDescent="0.2">
      <c r="B26" s="18" t="s">
        <v>309</v>
      </c>
      <c r="C26" s="17" t="s">
        <v>308</v>
      </c>
      <c r="D26" s="23" t="str">
        <f>'Off-farm feed'!$D$26</f>
        <v>Brazil, Argentina</v>
      </c>
      <c r="E26" s="23" t="s">
        <v>319</v>
      </c>
      <c r="F26" s="212">
        <f>'Off-farm feed'!$E$26</f>
        <v>1.8866346644602503E-4</v>
      </c>
      <c r="G26" s="212">
        <f>'Off-farm feed'!$F$26</f>
        <v>1.6332109719061435E-5</v>
      </c>
      <c r="H26" s="212">
        <f>'Off-farm feed'!$G$26</f>
        <v>8.7195121951219526E-7</v>
      </c>
      <c r="I26" s="212">
        <f>'Off-farm feed'!$H$26</f>
        <v>1.3333449845358199E-4</v>
      </c>
      <c r="J26" s="212">
        <f>'Off-farm feed'!$I$26</f>
        <v>1.3333449845358203E-5</v>
      </c>
      <c r="K26" s="212">
        <f>'Off-farm feed'!$J$26</f>
        <v>1.1576736579983929E-6</v>
      </c>
      <c r="L26" s="212">
        <f>'Off-farm feed'!$K$26</f>
        <v>0</v>
      </c>
      <c r="M26" s="212">
        <f>'Off-farm feed'!$L$26</f>
        <v>7.3437786087804875E-9</v>
      </c>
      <c r="N26" s="212">
        <f>'Off-farm feed'!$M$26</f>
        <v>1.1195281639512195E-6</v>
      </c>
      <c r="O26" s="212">
        <f>'Off-farm feed'!$N$26</f>
        <v>0</v>
      </c>
      <c r="P26" s="212">
        <f>'Off-farm feed'!$O$26</f>
        <v>1.3419073770114994E-5</v>
      </c>
      <c r="Q26" s="212">
        <f>'Off-farm feed'!$P$26</f>
        <v>9.087837837837838E-6</v>
      </c>
      <c r="R26" s="187">
        <f>'Parameters, country spec'!C29</f>
        <v>8.7459166665531385E-2</v>
      </c>
    </row>
    <row r="27" spans="1:18" x14ac:dyDescent="0.2">
      <c r="B27" s="17" t="s">
        <v>213</v>
      </c>
      <c r="C27" s="17" t="s">
        <v>310</v>
      </c>
      <c r="D27" s="23" t="s">
        <v>49</v>
      </c>
      <c r="E27" s="23" t="s">
        <v>50</v>
      </c>
      <c r="F27" s="211">
        <f>SUM(G27:Q27)</f>
        <v>7.8334807450651994E-5</v>
      </c>
      <c r="G27" s="101">
        <v>1.9208316084877298E-6</v>
      </c>
      <c r="H27" s="101">
        <v>9.9E-8</v>
      </c>
      <c r="I27" s="101">
        <v>6.0431358897998009E-5</v>
      </c>
      <c r="J27">
        <v>6.0431358897997997E-6</v>
      </c>
      <c r="K27" s="101">
        <v>6.8878944158589396E-8</v>
      </c>
      <c r="L27">
        <v>0</v>
      </c>
      <c r="M27">
        <v>6.8906961321504096E-11</v>
      </c>
      <c r="N27" s="14">
        <v>1.1995684932780001E-7</v>
      </c>
      <c r="O27" s="14"/>
      <c r="P27" s="101">
        <v>9.3385316151342001E-6</v>
      </c>
      <c r="Q27" s="101">
        <v>3.1304473878454498E-7</v>
      </c>
      <c r="R27" s="187">
        <f>'Parameters, country spec'!C30</f>
        <v>8.0151207366747315E-2</v>
      </c>
    </row>
    <row r="28" spans="1:18" x14ac:dyDescent="0.2">
      <c r="A28" s="82"/>
      <c r="B28" s="17" t="s">
        <v>312</v>
      </c>
      <c r="C28" s="83" t="s">
        <v>313</v>
      </c>
      <c r="D28" s="23" t="s">
        <v>49</v>
      </c>
      <c r="E28" s="23" t="s">
        <v>50</v>
      </c>
      <c r="F28" s="212">
        <f>SUM(G28:Q28)</f>
        <v>5.0226205145220476E-4</v>
      </c>
      <c r="G28" s="81">
        <f t="shared" ref="G28:N28" si="4">AVERAGE(G18:G26)</f>
        <v>3.3362455088799859E-5</v>
      </c>
      <c r="H28" s="81">
        <f t="shared" si="4"/>
        <v>1.0114428558078684E-6</v>
      </c>
      <c r="I28" s="81">
        <f t="shared" si="4"/>
        <v>4.2309484562583536E-4</v>
      </c>
      <c r="J28" s="81">
        <f t="shared" si="4"/>
        <v>4.2309484562583544E-5</v>
      </c>
      <c r="K28" s="81">
        <f t="shared" si="4"/>
        <v>1.110056952599396E-6</v>
      </c>
      <c r="L28" s="81">
        <f t="shared" si="4"/>
        <v>0</v>
      </c>
      <c r="M28" s="81">
        <f t="shared" si="4"/>
        <v>7.0602641782860204E-8</v>
      </c>
      <c r="N28" s="81">
        <f t="shared" si="4"/>
        <v>1.3031637247959338E-6</v>
      </c>
      <c r="O28" s="81"/>
      <c r="P28" s="80"/>
      <c r="Q28" s="81"/>
      <c r="R28" s="187">
        <f>'Parameters, country spec'!C31</f>
        <v>6.0996432564100048E-2</v>
      </c>
    </row>
    <row r="29" spans="1:18" x14ac:dyDescent="0.2">
      <c r="A29" s="185"/>
      <c r="B29" s="25" t="s">
        <v>314</v>
      </c>
      <c r="C29" s="26"/>
      <c r="D29" s="102"/>
      <c r="E29" s="102"/>
      <c r="F29" s="45">
        <f t="shared" ref="F29:O29" si="5">SUMPRODUCT(F18:F28,$R$18:$R$28)</f>
        <v>5.5301104047434616E-4</v>
      </c>
      <c r="G29" s="45">
        <f t="shared" si="5"/>
        <v>3.4443413801510786E-5</v>
      </c>
      <c r="H29" s="45">
        <f t="shared" si="5"/>
        <v>9.3919056465446172E-7</v>
      </c>
      <c r="I29" s="45">
        <f t="shared" si="5"/>
        <v>4.6578648183218769E-4</v>
      </c>
      <c r="J29" s="45">
        <f t="shared" si="5"/>
        <v>4.6578648183218742E-5</v>
      </c>
      <c r="K29" s="45">
        <f t="shared" si="5"/>
        <v>7.1625047107074412E-7</v>
      </c>
      <c r="L29" s="45">
        <f t="shared" si="5"/>
        <v>0</v>
      </c>
      <c r="M29" s="45">
        <f t="shared" si="5"/>
        <v>3.6050427275221997E-8</v>
      </c>
      <c r="N29" s="45">
        <f t="shared" si="5"/>
        <v>1.2099395662645822E-6</v>
      </c>
      <c r="O29" s="45">
        <f t="shared" si="5"/>
        <v>0</v>
      </c>
      <c r="P29" s="30">
        <f>SUMPRODUCT(P18:P28,R18:R28)</f>
        <v>2.3037385676118779E-6</v>
      </c>
      <c r="Q29" s="45">
        <f>SUMPRODUCT(Q18:Q28,$R$18:$R$28)</f>
        <v>9.973270605521131E-7</v>
      </c>
      <c r="R29" s="188"/>
    </row>
    <row r="30" spans="1:18" x14ac:dyDescent="0.2">
      <c r="A30" s="22" t="s">
        <v>299</v>
      </c>
      <c r="B30" s="17" t="s">
        <v>198</v>
      </c>
      <c r="C30" s="17" t="s">
        <v>300</v>
      </c>
      <c r="D30" s="23" t="s">
        <v>51</v>
      </c>
      <c r="E30" s="23" t="s">
        <v>52</v>
      </c>
      <c r="F30" s="213">
        <f t="shared" ref="F30:F36" si="6">SUM(G30:Q30)</f>
        <v>5.376323338933249E-4</v>
      </c>
      <c r="G30" s="191">
        <v>1.49552156590464E-5</v>
      </c>
      <c r="H30" s="192">
        <v>1.1000000000000001E-6</v>
      </c>
      <c r="I30" s="195">
        <v>4.7201791683187299E-4</v>
      </c>
      <c r="J30" s="195">
        <v>4.72017916831873E-5</v>
      </c>
      <c r="K30" s="195">
        <v>7.7126055785450695E-7</v>
      </c>
      <c r="L30" s="195">
        <v>0</v>
      </c>
      <c r="M30" s="195">
        <v>1.40315536367128E-9</v>
      </c>
      <c r="N30" s="195">
        <v>1.5847460060000001E-6</v>
      </c>
      <c r="O30" s="195"/>
      <c r="P30" s="14"/>
      <c r="Q30" s="194"/>
      <c r="R30" s="198">
        <f>'Parameters, country spec'!D21</f>
        <v>0.1284012676024372</v>
      </c>
    </row>
    <row r="31" spans="1:18" x14ac:dyDescent="0.2">
      <c r="A31" s="22" t="s">
        <v>301</v>
      </c>
      <c r="B31" s="17" t="s">
        <v>201</v>
      </c>
      <c r="C31" s="17" t="s">
        <v>300</v>
      </c>
      <c r="D31" s="23" t="s">
        <v>51</v>
      </c>
      <c r="E31" s="23" t="s">
        <v>52</v>
      </c>
      <c r="F31" s="211">
        <f t="shared" si="6"/>
        <v>4.7187582415281903E-4</v>
      </c>
      <c r="G31" s="99">
        <v>1.4649089200819099E-5</v>
      </c>
      <c r="H31" s="100">
        <v>1.1000000000000001E-6</v>
      </c>
      <c r="I31" s="101">
        <v>4.1279131446155741E-4</v>
      </c>
      <c r="J31" s="101">
        <v>4.12791314461557E-5</v>
      </c>
      <c r="K31" s="101">
        <v>4.48333919529489E-7</v>
      </c>
      <c r="L31" s="101">
        <v>0</v>
      </c>
      <c r="M31" s="101">
        <v>2.32091187573621E-8</v>
      </c>
      <c r="N31" s="101">
        <v>1.5847460060000001E-6</v>
      </c>
      <c r="O31" s="101"/>
      <c r="P31" s="14"/>
      <c r="Q31" s="14"/>
      <c r="R31" s="187">
        <f>'Parameters, country spec'!D22</f>
        <v>0.19116633717197409</v>
      </c>
    </row>
    <row r="32" spans="1:18" x14ac:dyDescent="0.2">
      <c r="A32" s="22" t="s">
        <v>302</v>
      </c>
      <c r="B32" s="17" t="s">
        <v>204</v>
      </c>
      <c r="C32" s="17" t="s">
        <v>300</v>
      </c>
      <c r="D32" s="23" t="s">
        <v>51</v>
      </c>
      <c r="E32" s="23" t="s">
        <v>52</v>
      </c>
      <c r="F32" s="211">
        <f t="shared" si="6"/>
        <v>5.9982619502924647E-4</v>
      </c>
      <c r="G32" s="99">
        <v>1.7745600215826799E-5</v>
      </c>
      <c r="H32" s="100">
        <v>1.1000000000000001E-6</v>
      </c>
      <c r="I32" s="101">
        <v>5.2567301542106801E-4</v>
      </c>
      <c r="J32" s="101">
        <v>5.2567301542106802E-5</v>
      </c>
      <c r="K32" s="101">
        <v>1.1545398039684401E-6</v>
      </c>
      <c r="L32" s="101">
        <v>0</v>
      </c>
      <c r="M32" s="101">
        <v>9.9204027640291207E-10</v>
      </c>
      <c r="N32" s="101">
        <v>1.5847460060000001E-6</v>
      </c>
      <c r="O32" s="101"/>
      <c r="P32" s="14"/>
      <c r="Q32" s="14"/>
      <c r="R32" s="187">
        <f>'Parameters, country spec'!D23</f>
        <v>2.55587587755639E-5</v>
      </c>
    </row>
    <row r="33" spans="1:18" x14ac:dyDescent="0.2">
      <c r="A33" s="22" t="s">
        <v>303</v>
      </c>
      <c r="B33" s="17" t="s">
        <v>205</v>
      </c>
      <c r="C33" s="17" t="s">
        <v>300</v>
      </c>
      <c r="D33" s="23" t="s">
        <v>51</v>
      </c>
      <c r="E33" s="23" t="s">
        <v>52</v>
      </c>
      <c r="F33" s="211">
        <f t="shared" si="6"/>
        <v>6.4409795180664082E-4</v>
      </c>
      <c r="G33" s="99">
        <v>1.9532011643195799E-5</v>
      </c>
      <c r="H33" s="100">
        <v>1.1000000000000001E-6</v>
      </c>
      <c r="I33" s="101">
        <v>5.6444049564118102E-4</v>
      </c>
      <c r="J33" s="101">
        <v>5.6444049564118201E-5</v>
      </c>
      <c r="K33" s="101">
        <v>9.9664890622951805E-7</v>
      </c>
      <c r="L33" s="101">
        <v>0</v>
      </c>
      <c r="M33" s="101">
        <v>4.5916287492000002E-14</v>
      </c>
      <c r="N33" s="101">
        <v>1.5847460060000001E-6</v>
      </c>
      <c r="O33" s="101"/>
      <c r="P33" s="14"/>
      <c r="Q33" s="14"/>
      <c r="R33" s="187">
        <f>'Parameters, country spec'!D24</f>
        <v>2.0974185801992559E-2</v>
      </c>
    </row>
    <row r="34" spans="1:18" x14ac:dyDescent="0.2">
      <c r="A34" s="22" t="s">
        <v>304</v>
      </c>
      <c r="B34" s="17" t="s">
        <v>206</v>
      </c>
      <c r="C34" s="17" t="s">
        <v>300</v>
      </c>
      <c r="D34" s="23" t="s">
        <v>51</v>
      </c>
      <c r="E34" s="23" t="s">
        <v>52</v>
      </c>
      <c r="F34" s="211">
        <f t="shared" si="6"/>
        <v>7.060668567445685E-4</v>
      </c>
      <c r="G34" s="99">
        <v>2.1924041347400302E-5</v>
      </c>
      <c r="H34" s="100">
        <v>1.1000000000000001E-6</v>
      </c>
      <c r="I34" s="101">
        <v>6.1887583660027101E-4</v>
      </c>
      <c r="J34" s="101">
        <v>6.1887583660027101E-5</v>
      </c>
      <c r="K34" s="101">
        <v>6.9464909994276398E-7</v>
      </c>
      <c r="L34" s="101">
        <v>0</v>
      </c>
      <c r="M34" s="101">
        <v>3.0927274192000003E-14</v>
      </c>
      <c r="N34" s="101">
        <v>1.5847460060000001E-6</v>
      </c>
      <c r="O34" s="101"/>
      <c r="P34" s="14"/>
      <c r="Q34" s="14"/>
      <c r="R34" s="187">
        <f>'Parameters, country spec'!D25</f>
        <v>0.42888207443270587</v>
      </c>
    </row>
    <row r="35" spans="1:18" x14ac:dyDescent="0.2">
      <c r="A35" s="22" t="s">
        <v>305</v>
      </c>
      <c r="B35" s="17" t="s">
        <v>207</v>
      </c>
      <c r="C35" s="17" t="s">
        <v>306</v>
      </c>
      <c r="D35" s="23" t="s">
        <v>51</v>
      </c>
      <c r="E35" s="23" t="s">
        <v>52</v>
      </c>
      <c r="F35" s="211">
        <f t="shared" si="6"/>
        <v>2.0746968068777562E-4</v>
      </c>
      <c r="G35" s="99">
        <v>0</v>
      </c>
      <c r="H35" s="100">
        <v>1.1000000000000001E-6</v>
      </c>
      <c r="I35" s="101">
        <v>1.8457295999999999E-4</v>
      </c>
      <c r="J35" s="101">
        <v>1.8457295999999999E-5</v>
      </c>
      <c r="K35" s="101">
        <v>1.59676558583327E-6</v>
      </c>
      <c r="L35" s="101">
        <v>0</v>
      </c>
      <c r="M35" s="101">
        <v>1.57913095942366E-7</v>
      </c>
      <c r="N35" s="101">
        <v>1.5847460060000001E-6</v>
      </c>
      <c r="O35" s="101"/>
      <c r="P35" s="14"/>
      <c r="Q35" s="14"/>
      <c r="R35" s="187">
        <f>'Parameters, country spec'!D26</f>
        <v>9.3450155108809542E-4</v>
      </c>
    </row>
    <row r="36" spans="1:18" x14ac:dyDescent="0.2">
      <c r="A36" s="22" t="s">
        <v>307</v>
      </c>
      <c r="B36" s="17" t="s">
        <v>208</v>
      </c>
      <c r="C36" s="17" t="s">
        <v>306</v>
      </c>
      <c r="D36" s="23" t="s">
        <v>51</v>
      </c>
      <c r="E36" s="23" t="s">
        <v>52</v>
      </c>
      <c r="F36" s="211">
        <f t="shared" si="6"/>
        <v>2.1917152433611231E-4</v>
      </c>
      <c r="G36" s="99">
        <v>5.7786233853056701E-7</v>
      </c>
      <c r="H36" s="100">
        <v>1.1000000000000001E-6</v>
      </c>
      <c r="I36" s="101">
        <v>1.950247051206456E-4</v>
      </c>
      <c r="J36" s="101">
        <v>1.95024705120646E-5</v>
      </c>
      <c r="K36" s="101">
        <v>1.28393231579461E-6</v>
      </c>
      <c r="L36" s="101">
        <v>0</v>
      </c>
      <c r="M36" s="101">
        <v>9.7808043076939995E-8</v>
      </c>
      <c r="N36" s="101">
        <v>1.5847460060000001E-6</v>
      </c>
      <c r="O36" s="101"/>
      <c r="P36" s="14"/>
      <c r="Q36" s="14"/>
      <c r="R36" s="187">
        <f>'Parameters, country spec'!D27</f>
        <v>9.1798847805104754E-4</v>
      </c>
    </row>
    <row r="37" spans="1:18" x14ac:dyDescent="0.2">
      <c r="B37" s="18" t="s">
        <v>209</v>
      </c>
      <c r="C37" s="17" t="s">
        <v>308</v>
      </c>
      <c r="D37" s="23" t="str">
        <f>'Off-farm feed'!$D$77</f>
        <v>France, Germany, Poland</v>
      </c>
      <c r="E37" s="23" t="s">
        <v>319</v>
      </c>
      <c r="F37" s="212">
        <f>'Off-farm feed'!$E$77</f>
        <v>6.732045566157569E-4</v>
      </c>
      <c r="G37" s="212">
        <f>'Off-farm feed'!$F$77</f>
        <v>1.946970439026595E-4</v>
      </c>
      <c r="H37" s="212">
        <f>'Off-farm feed'!$G$77</f>
        <v>5.3103448275862083E-7</v>
      </c>
      <c r="I37" s="212">
        <f>'Off-farm feed'!$H$77</f>
        <v>4.2751561806777074E-4</v>
      </c>
      <c r="J37" s="212">
        <f>'Off-farm feed'!$I$77</f>
        <v>4.2751561806777089E-5</v>
      </c>
      <c r="K37" s="212">
        <f>'Off-farm feed'!$J$77</f>
        <v>6.6339607025480414E-7</v>
      </c>
      <c r="L37" s="212">
        <f>'Off-farm feed'!$K$77</f>
        <v>0</v>
      </c>
      <c r="M37" s="212">
        <f>'Off-farm feed'!$L$77</f>
        <v>7.9511067188965511E-9</v>
      </c>
      <c r="N37" s="212">
        <f>'Off-farm feed'!$M$77</f>
        <v>1.2789681892721842E-6</v>
      </c>
      <c r="O37" s="212">
        <f>'Off-farm feed'!$N$77</f>
        <v>0</v>
      </c>
      <c r="P37" s="212">
        <f>'Off-farm feed'!$O$77</f>
        <v>3.9312802868423834E-6</v>
      </c>
      <c r="Q37" s="212">
        <f>'Off-farm feed'!$P$77</f>
        <v>1.8277027027027027E-6</v>
      </c>
      <c r="R37" s="187">
        <f>'Parameters, country spec'!D28</f>
        <v>9.4499576799197224E-2</v>
      </c>
    </row>
    <row r="38" spans="1:18" x14ac:dyDescent="0.2">
      <c r="B38" s="18" t="s">
        <v>309</v>
      </c>
      <c r="C38" s="17" t="s">
        <v>308</v>
      </c>
      <c r="D38" s="23" t="str">
        <f>'Off-farm feed'!$D$26</f>
        <v>Brazil, Argentina</v>
      </c>
      <c r="E38" s="23" t="s">
        <v>319</v>
      </c>
      <c r="F38" s="212">
        <f>'Off-farm feed'!$E$26</f>
        <v>1.8866346644602503E-4</v>
      </c>
      <c r="G38" s="212">
        <f>'Off-farm feed'!$F$26</f>
        <v>1.6332109719061435E-5</v>
      </c>
      <c r="H38" s="212">
        <f>'Off-farm feed'!$G$26</f>
        <v>8.7195121951219526E-7</v>
      </c>
      <c r="I38" s="212">
        <f>'Off-farm feed'!$H$26</f>
        <v>1.3333449845358199E-4</v>
      </c>
      <c r="J38" s="212">
        <f>'Off-farm feed'!$I$26</f>
        <v>1.3333449845358203E-5</v>
      </c>
      <c r="K38" s="212">
        <f>'Off-farm feed'!$J$26</f>
        <v>1.1576736579983929E-6</v>
      </c>
      <c r="L38" s="212">
        <f>'Off-farm feed'!$K$26</f>
        <v>0</v>
      </c>
      <c r="M38" s="212">
        <f>'Off-farm feed'!$L$26</f>
        <v>7.3437786087804875E-9</v>
      </c>
      <c r="N38" s="212">
        <f>'Off-farm feed'!$M$26</f>
        <v>1.1195281639512195E-6</v>
      </c>
      <c r="O38" s="212">
        <f>'Off-farm feed'!$N$26</f>
        <v>0</v>
      </c>
      <c r="P38" s="212">
        <f>'Off-farm feed'!$O$26</f>
        <v>1.3419073770114994E-5</v>
      </c>
      <c r="Q38" s="212">
        <f>'Off-farm feed'!$P$26</f>
        <v>9.087837837837838E-6</v>
      </c>
      <c r="R38" s="187">
        <f>'Parameters, country spec'!D29</f>
        <v>9.0801007307611245E-2</v>
      </c>
    </row>
    <row r="39" spans="1:18" x14ac:dyDescent="0.2">
      <c r="B39" s="17" t="s">
        <v>213</v>
      </c>
      <c r="C39" s="17" t="s">
        <v>310</v>
      </c>
      <c r="D39" s="23" t="s">
        <v>51</v>
      </c>
      <c r="E39" s="23" t="s">
        <v>52</v>
      </c>
      <c r="F39" s="211">
        <f>SUM(G39:Q39)</f>
        <v>8.7744608808351177E-5</v>
      </c>
      <c r="G39" s="101">
        <v>1.9731637212660302E-6</v>
      </c>
      <c r="H39" s="101">
        <v>9.9E-8</v>
      </c>
      <c r="I39" s="101">
        <v>5.5698825294024412E-5</v>
      </c>
      <c r="J39">
        <v>5.56988252940244E-6</v>
      </c>
      <c r="K39" s="101">
        <v>6.2518418994848798E-8</v>
      </c>
      <c r="L39">
        <v>0</v>
      </c>
      <c r="M39">
        <v>2.78345467728E-15</v>
      </c>
      <c r="N39" s="14">
        <v>1.4262714054E-7</v>
      </c>
      <c r="O39" s="14"/>
      <c r="P39" s="101">
        <v>2.3492890101997999E-5</v>
      </c>
      <c r="Q39" s="101">
        <v>7.0570159934197997E-7</v>
      </c>
      <c r="R39" s="187">
        <f>'Parameters, country spec'!D30</f>
        <v>1.8113105318221089E-2</v>
      </c>
    </row>
    <row r="40" spans="1:18" x14ac:dyDescent="0.2">
      <c r="A40" s="82"/>
      <c r="B40" s="17" t="s">
        <v>312</v>
      </c>
      <c r="C40" s="83" t="s">
        <v>313</v>
      </c>
      <c r="D40" s="23" t="s">
        <v>51</v>
      </c>
      <c r="E40" s="23" t="s">
        <v>52</v>
      </c>
      <c r="F40" s="212">
        <f>SUM(G40:Q40)</f>
        <v>4.6886027723497465E-4</v>
      </c>
      <c r="G40" s="81">
        <f t="shared" ref="G40:N40" si="7">AVERAGE(G30:G38)</f>
        <v>3.3379219336282216E-5</v>
      </c>
      <c r="H40" s="81">
        <f t="shared" si="7"/>
        <v>1.0114428558078684E-6</v>
      </c>
      <c r="I40" s="81">
        <f t="shared" si="7"/>
        <v>3.9269404006643879E-4</v>
      </c>
      <c r="J40" s="81">
        <f t="shared" si="7"/>
        <v>3.9269404006643887E-5</v>
      </c>
      <c r="K40" s="81">
        <f t="shared" si="7"/>
        <v>9.7413332415619954E-7</v>
      </c>
      <c r="L40" s="81">
        <f t="shared" si="7"/>
        <v>0</v>
      </c>
      <c r="M40" s="81">
        <f t="shared" si="7"/>
        <v>3.2957823954220112E-8</v>
      </c>
      <c r="N40" s="81">
        <f t="shared" si="7"/>
        <v>1.499079821691489E-6</v>
      </c>
      <c r="O40" s="81"/>
      <c r="P40" s="80"/>
      <c r="Q40" s="81"/>
      <c r="R40" s="187">
        <f>'Parameters, country spec'!D31</f>
        <v>2.528439677794618E-2</v>
      </c>
    </row>
    <row r="41" spans="1:18" x14ac:dyDescent="0.2">
      <c r="A41" s="185"/>
      <c r="B41" s="25" t="s">
        <v>314</v>
      </c>
      <c r="C41" s="26"/>
      <c r="D41" s="102"/>
      <c r="E41" s="102"/>
      <c r="F41" s="45">
        <f t="shared" ref="F41:O41" si="8">SUMPRODUCT(F30:F40,$R$30:$R$40)</f>
        <v>5.7017125800782036E-4</v>
      </c>
      <c r="G41" s="45">
        <f t="shared" si="8"/>
        <v>3.5295635589047214E-5</v>
      </c>
      <c r="H41" s="45">
        <f t="shared" si="8"/>
        <v>1.0051556080289736E-6</v>
      </c>
      <c r="I41" s="45">
        <f t="shared" si="8"/>
        <v>4.805927469618015E-4</v>
      </c>
      <c r="J41" s="45">
        <f t="shared" si="8"/>
        <v>4.8059274696180145E-5</v>
      </c>
      <c r="K41" s="45">
        <f t="shared" si="8"/>
        <v>6.9983531478433053E-7</v>
      </c>
      <c r="L41" s="45">
        <f t="shared" si="8"/>
        <v>0</v>
      </c>
      <c r="M41" s="45">
        <f t="shared" si="8"/>
        <v>7.1058828847573567E-9</v>
      </c>
      <c r="N41" s="45">
        <f t="shared" si="8"/>
        <v>1.4853206143631571E-6</v>
      </c>
      <c r="O41" s="45">
        <f t="shared" si="8"/>
        <v>0</v>
      </c>
      <c r="P41" s="30">
        <f>SUMPRODUCT(P30:P40,R30:R40)</f>
        <v>2.0154989314941015E-6</v>
      </c>
      <c r="Q41" s="45">
        <f>SUMPRODUCT(Q30:Q40,$R$30:$R$40)</f>
        <v>1.0106844092361723E-6</v>
      </c>
      <c r="R41" s="188"/>
    </row>
    <row r="42" spans="1:18" x14ac:dyDescent="0.2">
      <c r="A42" s="22" t="s">
        <v>299</v>
      </c>
      <c r="B42" s="17" t="s">
        <v>198</v>
      </c>
      <c r="C42" s="17" t="s">
        <v>300</v>
      </c>
      <c r="D42" s="23" t="s">
        <v>53</v>
      </c>
      <c r="E42" s="23" t="s">
        <v>54</v>
      </c>
      <c r="F42" s="213">
        <f t="shared" ref="F42:F48" si="9">SUM(G42:Q42)</f>
        <v>8.0424114716977791E-4</v>
      </c>
      <c r="G42" s="191">
        <v>1.05371357003096E-5</v>
      </c>
      <c r="H42" s="192">
        <v>1.1000000000000001E-6</v>
      </c>
      <c r="I42" s="195">
        <v>7.1743610463472103E-4</v>
      </c>
      <c r="J42" s="195">
        <v>7.1743610463472098E-5</v>
      </c>
      <c r="K42" s="195">
        <v>1.8142750866751799E-6</v>
      </c>
      <c r="L42" s="195">
        <v>0</v>
      </c>
      <c r="M42" s="195">
        <v>0</v>
      </c>
      <c r="N42" s="195">
        <v>1.6100212846E-6</v>
      </c>
      <c r="O42" s="195"/>
      <c r="P42" s="14"/>
      <c r="Q42" s="194"/>
      <c r="R42" s="198">
        <f>'Parameters, country spec'!E21</f>
        <v>0.1222750503811094</v>
      </c>
    </row>
    <row r="43" spans="1:18" x14ac:dyDescent="0.2">
      <c r="A43" s="22" t="s">
        <v>301</v>
      </c>
      <c r="B43" s="17" t="s">
        <v>201</v>
      </c>
      <c r="C43" s="17" t="s">
        <v>300</v>
      </c>
      <c r="D43" s="23" t="s">
        <v>53</v>
      </c>
      <c r="E43" s="23" t="s">
        <v>54</v>
      </c>
      <c r="F43" s="211">
        <f t="shared" si="9"/>
        <v>3.4886143898670517E-4</v>
      </c>
      <c r="G43" s="99">
        <v>4.0207208294968496E-6</v>
      </c>
      <c r="H43" s="100">
        <v>1.1000000000000001E-6</v>
      </c>
      <c r="I43" s="101">
        <v>3.1019526728381599E-4</v>
      </c>
      <c r="J43" s="101">
        <v>3.1019526728381603E-5</v>
      </c>
      <c r="K43" s="101">
        <v>4.1083460314251599E-7</v>
      </c>
      <c r="L43" s="101">
        <v>0</v>
      </c>
      <c r="M43" s="101">
        <v>5.0506825726825797E-7</v>
      </c>
      <c r="N43" s="101">
        <v>1.6100212846E-6</v>
      </c>
      <c r="O43" s="101"/>
      <c r="P43" s="14"/>
      <c r="Q43" s="14"/>
      <c r="R43" s="187">
        <f>'Parameters, country spec'!E22</f>
        <v>0.36571383818682729</v>
      </c>
    </row>
    <row r="44" spans="1:18" x14ac:dyDescent="0.2">
      <c r="A44" s="22" t="s">
        <v>302</v>
      </c>
      <c r="B44" s="17" t="s">
        <v>204</v>
      </c>
      <c r="C44" s="17" t="s">
        <v>300</v>
      </c>
      <c r="D44" s="23" t="s">
        <v>53</v>
      </c>
      <c r="E44" s="23" t="s">
        <v>54</v>
      </c>
      <c r="F44" s="211">
        <f t="shared" si="9"/>
        <v>1.2830889552105768E-3</v>
      </c>
      <c r="G44" s="99">
        <v>1.9584863602335901E-5</v>
      </c>
      <c r="H44" s="100">
        <v>1.1000000000000001E-6</v>
      </c>
      <c r="I44" s="101">
        <v>1.1423031173943749E-3</v>
      </c>
      <c r="J44" s="101">
        <v>1.1423031173943699E-4</v>
      </c>
      <c r="K44" s="101">
        <v>4.2541313021400102E-6</v>
      </c>
      <c r="L44" s="101">
        <v>0</v>
      </c>
      <c r="M44" s="101">
        <v>6.5098876890479201E-9</v>
      </c>
      <c r="N44" s="101">
        <v>1.6100212846E-6</v>
      </c>
      <c r="O44" s="101"/>
      <c r="P44" s="14"/>
      <c r="Q44" s="14"/>
      <c r="R44" s="187">
        <f>'Parameters, country spec'!E23</f>
        <v>3.3230481611398861E-2</v>
      </c>
    </row>
    <row r="45" spans="1:18" x14ac:dyDescent="0.2">
      <c r="A45" s="22" t="s">
        <v>303</v>
      </c>
      <c r="B45" s="17" t="s">
        <v>205</v>
      </c>
      <c r="C45" s="17" t="s">
        <v>300</v>
      </c>
      <c r="D45" s="23" t="s">
        <v>53</v>
      </c>
      <c r="E45" s="23" t="s">
        <v>54</v>
      </c>
      <c r="F45" s="211">
        <f t="shared" si="9"/>
        <v>1.0682165552884225E-3</v>
      </c>
      <c r="G45" s="99">
        <v>1.58250003955344E-5</v>
      </c>
      <c r="H45" s="100">
        <v>1.1000000000000001E-6</v>
      </c>
      <c r="I45" s="101">
        <v>9.5176891161277493E-4</v>
      </c>
      <c r="J45" s="101">
        <v>9.5176891161277501E-5</v>
      </c>
      <c r="K45" s="101">
        <v>2.6959452694810602E-6</v>
      </c>
      <c r="L45" s="101">
        <v>0</v>
      </c>
      <c r="M45" s="101">
        <v>3.9785564754896802E-8</v>
      </c>
      <c r="N45" s="101">
        <v>1.6100212846E-6</v>
      </c>
      <c r="O45" s="101"/>
      <c r="P45" s="14"/>
      <c r="Q45" s="14"/>
      <c r="R45" s="187">
        <f>'Parameters, country spec'!E24</f>
        <v>7.3294724625475594E-3</v>
      </c>
    </row>
    <row r="46" spans="1:18" x14ac:dyDescent="0.2">
      <c r="A46" s="22" t="s">
        <v>304</v>
      </c>
      <c r="B46" s="17" t="s">
        <v>206</v>
      </c>
      <c r="C46" s="17" t="s">
        <v>300</v>
      </c>
      <c r="D46" s="23" t="s">
        <v>53</v>
      </c>
      <c r="E46" s="23" t="s">
        <v>54</v>
      </c>
      <c r="F46" s="211">
        <f t="shared" si="9"/>
        <v>1.0928562458315128E-3</v>
      </c>
      <c r="G46" s="99">
        <v>1.63548553132347E-5</v>
      </c>
      <c r="H46" s="100">
        <v>1.1000000000000001E-6</v>
      </c>
      <c r="I46" s="101">
        <v>9.7457378580730199E-4</v>
      </c>
      <c r="J46" s="101">
        <v>9.7457378580730199E-5</v>
      </c>
      <c r="K46" s="101">
        <v>1.7300700704720199E-6</v>
      </c>
      <c r="L46" s="101">
        <v>0</v>
      </c>
      <c r="M46" s="101">
        <v>3.01347751738259E-8</v>
      </c>
      <c r="N46" s="101">
        <v>1.6100212846E-6</v>
      </c>
      <c r="O46" s="101"/>
      <c r="P46" s="14"/>
      <c r="Q46" s="14"/>
      <c r="R46" s="187">
        <f>'Parameters, country spec'!E25</f>
        <v>5.256160625309033E-3</v>
      </c>
    </row>
    <row r="47" spans="1:18" x14ac:dyDescent="0.2">
      <c r="A47" s="22" t="s">
        <v>305</v>
      </c>
      <c r="B47" s="17" t="s">
        <v>207</v>
      </c>
      <c r="C47" s="17" t="s">
        <v>306</v>
      </c>
      <c r="D47" s="23" t="s">
        <v>53</v>
      </c>
      <c r="E47" s="23" t="s">
        <v>54</v>
      </c>
      <c r="F47" s="211">
        <f t="shared" si="9"/>
        <v>3.4617528017266859E-4</v>
      </c>
      <c r="G47" s="99">
        <v>0</v>
      </c>
      <c r="H47" s="100">
        <v>1.1000000000000001E-6</v>
      </c>
      <c r="I47" s="101">
        <v>3.0762159999999999E-4</v>
      </c>
      <c r="J47" s="101">
        <v>3.0762159999999999E-5</v>
      </c>
      <c r="K47" s="101">
        <v>2.9629318429048401E-6</v>
      </c>
      <c r="L47" s="101">
        <v>0</v>
      </c>
      <c r="M47" s="101">
        <v>2.11856704516376E-6</v>
      </c>
      <c r="N47" s="101">
        <v>1.6100212846E-6</v>
      </c>
      <c r="O47" s="101"/>
      <c r="P47" s="14"/>
      <c r="Q47" s="14"/>
      <c r="R47" s="187">
        <f>'Parameters, country spec'!E26</f>
        <v>1.0533673599513421E-3</v>
      </c>
    </row>
    <row r="48" spans="1:18" x14ac:dyDescent="0.2">
      <c r="A48" s="22" t="s">
        <v>307</v>
      </c>
      <c r="B48" s="17" t="s">
        <v>208</v>
      </c>
      <c r="C48" s="17" t="s">
        <v>306</v>
      </c>
      <c r="D48" s="23" t="s">
        <v>53</v>
      </c>
      <c r="E48" s="23" t="s">
        <v>54</v>
      </c>
      <c r="F48" s="211">
        <f t="shared" si="9"/>
        <v>3.5115298621492871E-4</v>
      </c>
      <c r="G48" s="99">
        <v>2.26624667947615E-7</v>
      </c>
      <c r="H48" s="100">
        <v>1.1000000000000001E-6</v>
      </c>
      <c r="I48" s="101">
        <v>3.1348452422699368E-4</v>
      </c>
      <c r="J48" s="101">
        <v>3.13484524226994E-5</v>
      </c>
      <c r="K48" s="101">
        <v>1.68111352317712E-6</v>
      </c>
      <c r="L48" s="101">
        <v>0</v>
      </c>
      <c r="M48" s="101">
        <v>1.70225008951088E-6</v>
      </c>
      <c r="N48" s="101">
        <v>1.6100212846E-6</v>
      </c>
      <c r="O48" s="101"/>
      <c r="P48" s="14"/>
      <c r="Q48" s="14"/>
      <c r="R48" s="187">
        <f>'Parameters, country spec'!E27</f>
        <v>1.034753873470441E-3</v>
      </c>
    </row>
    <row r="49" spans="1:18" x14ac:dyDescent="0.2">
      <c r="B49" s="18" t="s">
        <v>209</v>
      </c>
      <c r="C49" s="17" t="s">
        <v>308</v>
      </c>
      <c r="D49" s="23" t="str">
        <f>'Off-farm feed'!$D$77</f>
        <v>France, Germany, Poland</v>
      </c>
      <c r="E49" s="23" t="s">
        <v>319</v>
      </c>
      <c r="F49" s="212">
        <f>'Off-farm feed'!$E$77</f>
        <v>6.732045566157569E-4</v>
      </c>
      <c r="G49" s="212">
        <f>'Off-farm feed'!$F$77</f>
        <v>1.946970439026595E-4</v>
      </c>
      <c r="H49" s="212">
        <f>'Off-farm feed'!$G$77</f>
        <v>5.3103448275862083E-7</v>
      </c>
      <c r="I49" s="212">
        <f>'Off-farm feed'!$H$77</f>
        <v>4.2751561806777074E-4</v>
      </c>
      <c r="J49" s="212">
        <f>'Off-farm feed'!$I$77</f>
        <v>4.2751561806777089E-5</v>
      </c>
      <c r="K49" s="212">
        <f>'Off-farm feed'!$J$77</f>
        <v>6.6339607025480414E-7</v>
      </c>
      <c r="L49" s="212">
        <f>'Off-farm feed'!$K$77</f>
        <v>0</v>
      </c>
      <c r="M49" s="212">
        <f>'Off-farm feed'!$L$77</f>
        <v>7.9511067188965511E-9</v>
      </c>
      <c r="N49" s="212">
        <f>'Off-farm feed'!$M$77</f>
        <v>1.2789681892721842E-6</v>
      </c>
      <c r="O49" s="212">
        <f>'Off-farm feed'!$N$77</f>
        <v>0</v>
      </c>
      <c r="P49" s="212">
        <f>'Off-farm feed'!$O$77</f>
        <v>3.9312802868423834E-6</v>
      </c>
      <c r="Q49" s="212">
        <f>'Off-farm feed'!$P$77</f>
        <v>1.8277027027027027E-6</v>
      </c>
      <c r="R49" s="187">
        <f>'Parameters, country spec'!E28</f>
        <v>1.1495502598072799E-3</v>
      </c>
    </row>
    <row r="50" spans="1:18" x14ac:dyDescent="0.2">
      <c r="B50" s="18" t="s">
        <v>309</v>
      </c>
      <c r="C50" s="17" t="s">
        <v>308</v>
      </c>
      <c r="D50" s="23" t="str">
        <f>'Off-farm feed'!$D$26</f>
        <v>Brazil, Argentina</v>
      </c>
      <c r="E50" s="23" t="s">
        <v>319</v>
      </c>
      <c r="F50" s="212">
        <f>'Off-farm feed'!$E$26</f>
        <v>1.8866346644602503E-4</v>
      </c>
      <c r="G50" s="212">
        <f>'Off-farm feed'!$F$26</f>
        <v>1.6332109719061435E-5</v>
      </c>
      <c r="H50" s="212">
        <f>'Off-farm feed'!$G$26</f>
        <v>8.7195121951219526E-7</v>
      </c>
      <c r="I50" s="212">
        <f>'Off-farm feed'!$H$26</f>
        <v>1.3333449845358199E-4</v>
      </c>
      <c r="J50" s="212">
        <f>'Off-farm feed'!$I$26</f>
        <v>1.3333449845358203E-5</v>
      </c>
      <c r="K50" s="212">
        <f>'Off-farm feed'!$J$26</f>
        <v>1.1576736579983929E-6</v>
      </c>
      <c r="L50" s="212">
        <f>'Off-farm feed'!$K$26</f>
        <v>0</v>
      </c>
      <c r="M50" s="212">
        <f>'Off-farm feed'!$L$26</f>
        <v>7.3437786087804875E-9</v>
      </c>
      <c r="N50" s="212">
        <f>'Off-farm feed'!$M$26</f>
        <v>1.1195281639512195E-6</v>
      </c>
      <c r="O50" s="212">
        <f>'Off-farm feed'!$N$26</f>
        <v>0</v>
      </c>
      <c r="P50" s="212">
        <f>'Off-farm feed'!$O$26</f>
        <v>1.3419073770114994E-5</v>
      </c>
      <c r="Q50" s="212">
        <f>'Off-farm feed'!$P$26</f>
        <v>9.087837837837838E-6</v>
      </c>
      <c r="R50" s="187">
        <f>'Parameters, country spec'!E29</f>
        <v>0.2025581580279131</v>
      </c>
    </row>
    <row r="51" spans="1:18" x14ac:dyDescent="0.2">
      <c r="B51" s="17" t="s">
        <v>213</v>
      </c>
      <c r="C51" s="17" t="s">
        <v>310</v>
      </c>
      <c r="D51" s="23" t="s">
        <v>53</v>
      </c>
      <c r="E51" s="23" t="s">
        <v>54</v>
      </c>
      <c r="F51" s="211">
        <f>SUM(G51:Q51)</f>
        <v>1.2541804183091736E-4</v>
      </c>
      <c r="G51" s="101">
        <v>1.47193697819112E-6</v>
      </c>
      <c r="H51" s="101">
        <v>9.9E-8</v>
      </c>
      <c r="I51" s="101">
        <v>8.7711640722657209E-5</v>
      </c>
      <c r="J51">
        <v>8.7711640722657203E-6</v>
      </c>
      <c r="K51" s="101">
        <v>1.55706306342482E-7</v>
      </c>
      <c r="L51">
        <v>0</v>
      </c>
      <c r="M51">
        <v>2.7121297656443401E-9</v>
      </c>
      <c r="N51" s="14">
        <v>1.4490191561399999E-7</v>
      </c>
      <c r="O51" s="14"/>
      <c r="P51" s="101">
        <v>2.4913162191712101E-5</v>
      </c>
      <c r="Q51" s="101">
        <v>2.14781751436908E-6</v>
      </c>
      <c r="R51" s="187">
        <f>'Parameters, country spec'!E30</f>
        <v>0.1276820518863053</v>
      </c>
    </row>
    <row r="52" spans="1:18" x14ac:dyDescent="0.2">
      <c r="A52" s="82"/>
      <c r="B52" s="17" t="s">
        <v>312</v>
      </c>
      <c r="C52" s="83" t="s">
        <v>313</v>
      </c>
      <c r="D52" s="23" t="s">
        <v>53</v>
      </c>
      <c r="E52" s="23" t="s">
        <v>54</v>
      </c>
      <c r="F52" s="212">
        <f>SUM(G52:Q52)</f>
        <v>6.8091052637098636E-4</v>
      </c>
      <c r="G52" s="81">
        <f t="shared" ref="G52:N52" si="10">AVERAGE(G42:G50)</f>
        <v>3.0842039347842225E-5</v>
      </c>
      <c r="H52" s="81">
        <f t="shared" si="10"/>
        <v>1.0114428558078684E-6</v>
      </c>
      <c r="I52" s="81">
        <f t="shared" si="10"/>
        <v>5.864703808312595E-4</v>
      </c>
      <c r="J52" s="81">
        <f t="shared" si="10"/>
        <v>5.8647038083125889E-5</v>
      </c>
      <c r="K52" s="81">
        <f t="shared" si="10"/>
        <v>1.9300412695828826E-6</v>
      </c>
      <c r="L52" s="81">
        <f t="shared" si="10"/>
        <v>0</v>
      </c>
      <c r="M52" s="81">
        <f t="shared" si="10"/>
        <v>4.9084561165426052E-7</v>
      </c>
      <c r="N52" s="81">
        <f t="shared" si="10"/>
        <v>1.5187383717137114E-6</v>
      </c>
      <c r="O52" s="81"/>
      <c r="P52" s="80"/>
      <c r="Q52" s="81"/>
      <c r="R52" s="187">
        <f>'Parameters, country spec'!E31</f>
        <v>0.1327171153253604</v>
      </c>
    </row>
    <row r="53" spans="1:18" x14ac:dyDescent="0.2">
      <c r="A53" s="185"/>
      <c r="B53" s="25" t="s">
        <v>314</v>
      </c>
      <c r="C53" s="26"/>
      <c r="D53" s="102"/>
      <c r="E53" s="102"/>
      <c r="F53" s="45">
        <f t="shared" ref="F53:O53" si="11">SUMPRODUCT(F42:F52,$R$42:$R$52)</f>
        <v>4.2823276551856956E-4</v>
      </c>
      <c r="G53" s="45">
        <f t="shared" si="11"/>
        <v>1.1425086172586568E-5</v>
      </c>
      <c r="H53" s="45">
        <f t="shared" si="11"/>
        <v>9.1359002196888874E-7</v>
      </c>
      <c r="I53" s="45">
        <f t="shared" si="11"/>
        <v>3.6840671915620247E-4</v>
      </c>
      <c r="J53" s="45">
        <f t="shared" si="11"/>
        <v>3.6840671915620222E-5</v>
      </c>
      <c r="K53" s="45">
        <f t="shared" si="11"/>
        <v>1.0584585477613049E-6</v>
      </c>
      <c r="L53" s="45">
        <f t="shared" si="11"/>
        <v>0</v>
      </c>
      <c r="M53" s="45">
        <f t="shared" si="11"/>
        <v>2.563564036911085E-7</v>
      </c>
      <c r="N53" s="45">
        <f t="shared" si="11"/>
        <v>1.3111030872170102E-6</v>
      </c>
      <c r="O53" s="45">
        <f t="shared" si="11"/>
        <v>0</v>
      </c>
      <c r="P53" s="30">
        <f>SUMPRODUCT(P42:P52,R42:R52)</f>
        <v>5.9036257372044155E-6</v>
      </c>
      <c r="Q53" s="45">
        <f>SUMPRODUCT(Q42:Q52,$R$42:$R$52)</f>
        <v>2.1171544763175356E-6</v>
      </c>
      <c r="R53" s="188"/>
    </row>
    <row r="54" spans="1:18" x14ac:dyDescent="0.2">
      <c r="A54" s="22" t="s">
        <v>299</v>
      </c>
      <c r="B54" s="17" t="s">
        <v>198</v>
      </c>
      <c r="C54" s="17" t="s">
        <v>300</v>
      </c>
      <c r="D54" s="23" t="s">
        <v>55</v>
      </c>
      <c r="E54" s="23" t="s">
        <v>56</v>
      </c>
      <c r="F54" s="213">
        <f t="shared" ref="F54:F60" si="12">SUM(G54:Q54)</f>
        <v>6.2529149780172143E-4</v>
      </c>
      <c r="G54" s="191">
        <v>2.0840455424550699E-5</v>
      </c>
      <c r="H54" s="192">
        <v>1.1000000000000001E-6</v>
      </c>
      <c r="I54" s="195">
        <v>5.46310338305571E-4</v>
      </c>
      <c r="J54" s="195">
        <v>5.4631033830557102E-5</v>
      </c>
      <c r="K54" s="195">
        <v>9.3378076224258701E-7</v>
      </c>
      <c r="L54" s="195">
        <v>0</v>
      </c>
      <c r="M54" s="195">
        <v>0</v>
      </c>
      <c r="N54" s="195">
        <v>1.4758894788E-6</v>
      </c>
      <c r="O54" s="195"/>
      <c r="P54" s="14"/>
      <c r="Q54" s="194"/>
      <c r="R54" s="198">
        <f>'Parameters, country spec'!F21</f>
        <v>8.7418005626499207E-2</v>
      </c>
    </row>
    <row r="55" spans="1:18" x14ac:dyDescent="0.2">
      <c r="A55" s="22" t="s">
        <v>301</v>
      </c>
      <c r="B55" s="17" t="s">
        <v>201</v>
      </c>
      <c r="C55" s="17" t="s">
        <v>300</v>
      </c>
      <c r="D55" s="23" t="s">
        <v>55</v>
      </c>
      <c r="E55" s="23" t="s">
        <v>56</v>
      </c>
      <c r="F55" s="211">
        <f t="shared" si="12"/>
        <v>6.7121811720300198E-4</v>
      </c>
      <c r="G55" s="99">
        <v>2.5234639471025001E-5</v>
      </c>
      <c r="H55" s="100">
        <v>1.1000000000000001E-6</v>
      </c>
      <c r="I55" s="101">
        <v>5.8430276339029345E-4</v>
      </c>
      <c r="J55" s="101">
        <v>5.8430276339029297E-5</v>
      </c>
      <c r="K55" s="101">
        <v>6.7099201689440703E-7</v>
      </c>
      <c r="L55" s="101">
        <v>0</v>
      </c>
      <c r="M55" s="101">
        <v>3.5565069597836901E-9</v>
      </c>
      <c r="N55" s="101">
        <v>1.4758894788E-6</v>
      </c>
      <c r="O55" s="101"/>
      <c r="P55" s="14"/>
      <c r="Q55" s="14"/>
      <c r="R55" s="187">
        <f>'Parameters, country spec'!F22</f>
        <v>0.51851224834420662</v>
      </c>
    </row>
    <row r="56" spans="1:18" x14ac:dyDescent="0.2">
      <c r="A56" s="22" t="s">
        <v>302</v>
      </c>
      <c r="B56" s="17" t="s">
        <v>204</v>
      </c>
      <c r="C56" s="17" t="s">
        <v>300</v>
      </c>
      <c r="D56" s="23" t="s">
        <v>55</v>
      </c>
      <c r="E56" s="23" t="s">
        <v>56</v>
      </c>
      <c r="F56" s="211">
        <f t="shared" si="12"/>
        <v>8.4989071317922169E-4</v>
      </c>
      <c r="G56" s="99">
        <v>3.0917889724284498E-5</v>
      </c>
      <c r="H56" s="100">
        <v>1.1000000000000001E-6</v>
      </c>
      <c r="I56" s="101">
        <v>7.4059024764441502E-4</v>
      </c>
      <c r="J56" s="101">
        <v>7.40590247644416E-5</v>
      </c>
      <c r="K56" s="101">
        <v>1.7476615672806699E-6</v>
      </c>
      <c r="L56" s="101">
        <v>0</v>
      </c>
      <c r="M56" s="101">
        <v>0</v>
      </c>
      <c r="N56" s="101">
        <v>1.4758894788E-6</v>
      </c>
      <c r="O56" s="101"/>
      <c r="P56" s="14"/>
      <c r="Q56" s="14"/>
      <c r="R56" s="187">
        <f>'Parameters, country spec'!F23</f>
        <v>4.6821690090770259E-2</v>
      </c>
    </row>
    <row r="57" spans="1:18" x14ac:dyDescent="0.2">
      <c r="A57" s="22" t="s">
        <v>303</v>
      </c>
      <c r="B57" s="17" t="s">
        <v>205</v>
      </c>
      <c r="C57" s="17" t="s">
        <v>300</v>
      </c>
      <c r="D57" s="23" t="s">
        <v>55</v>
      </c>
      <c r="E57" s="23" t="s">
        <v>56</v>
      </c>
      <c r="F57" s="211">
        <f t="shared" si="12"/>
        <v>9.8766602869040801E-4</v>
      </c>
      <c r="G57" s="99">
        <v>3.6934244569794703E-5</v>
      </c>
      <c r="H57" s="100">
        <v>1.1000000000000001E-6</v>
      </c>
      <c r="I57" s="101">
        <v>8.6047136243440109E-4</v>
      </c>
      <c r="J57" s="101">
        <v>8.6047136243440098E-5</v>
      </c>
      <c r="K57" s="101">
        <v>1.63739596397218E-6</v>
      </c>
      <c r="L57" s="101">
        <v>0</v>
      </c>
      <c r="M57" s="101">
        <v>0</v>
      </c>
      <c r="N57" s="101">
        <v>1.4758894788E-6</v>
      </c>
      <c r="O57" s="101"/>
      <c r="P57" s="14"/>
      <c r="Q57" s="14"/>
      <c r="R57" s="187">
        <f>'Parameters, country spec'!F24</f>
        <v>1.8197973513379369E-2</v>
      </c>
    </row>
    <row r="58" spans="1:18" x14ac:dyDescent="0.2">
      <c r="A58" s="22" t="s">
        <v>304</v>
      </c>
      <c r="B58" s="17" t="s">
        <v>206</v>
      </c>
      <c r="C58" s="17" t="s">
        <v>300</v>
      </c>
      <c r="D58" s="23" t="s">
        <v>55</v>
      </c>
      <c r="E58" s="23" t="s">
        <v>56</v>
      </c>
      <c r="F58" s="211">
        <f t="shared" si="12"/>
        <v>9.2821826558983265E-4</v>
      </c>
      <c r="G58" s="99">
        <v>3.45284431496848E-5</v>
      </c>
      <c r="H58" s="100">
        <v>1.1000000000000001E-6</v>
      </c>
      <c r="I58" s="101">
        <v>8.0923948646907402E-4</v>
      </c>
      <c r="J58" s="101">
        <v>8.0923948646907404E-5</v>
      </c>
      <c r="K58" s="101">
        <v>9.5049784536643499E-7</v>
      </c>
      <c r="L58" s="101">
        <v>0</v>
      </c>
      <c r="M58" s="101">
        <v>0</v>
      </c>
      <c r="N58" s="101">
        <v>1.4758894788E-6</v>
      </c>
      <c r="O58" s="101"/>
      <c r="P58" s="14"/>
      <c r="Q58" s="14"/>
      <c r="R58" s="187">
        <f>'Parameters, country spec'!F25</f>
        <v>8.1866500320142158E-2</v>
      </c>
    </row>
    <row r="59" spans="1:18" x14ac:dyDescent="0.2">
      <c r="A59" s="22" t="s">
        <v>305</v>
      </c>
      <c r="B59" s="17" t="s">
        <v>207</v>
      </c>
      <c r="C59" s="17" t="s">
        <v>306</v>
      </c>
      <c r="D59" s="23" t="s">
        <v>55</v>
      </c>
      <c r="E59" s="23" t="s">
        <v>56</v>
      </c>
      <c r="F59" s="211">
        <f t="shared" si="12"/>
        <v>2.0874575176417238E-4</v>
      </c>
      <c r="G59" s="99">
        <v>0</v>
      </c>
      <c r="H59" s="100">
        <v>1.1000000000000001E-6</v>
      </c>
      <c r="I59" s="101">
        <v>1.8457295999999999E-4</v>
      </c>
      <c r="J59" s="101">
        <v>1.8457295999999999E-5</v>
      </c>
      <c r="K59" s="101">
        <v>2.0386135462280298E-6</v>
      </c>
      <c r="L59" s="101">
        <v>0</v>
      </c>
      <c r="M59" s="101">
        <v>1.10099273914435E-6</v>
      </c>
      <c r="N59" s="101">
        <v>1.4758894788E-6</v>
      </c>
      <c r="O59" s="101"/>
      <c r="P59" s="14"/>
      <c r="Q59" s="14"/>
      <c r="R59" s="187">
        <f>'Parameters, country spec'!F26</f>
        <v>1.1994594385271529E-3</v>
      </c>
    </row>
    <row r="60" spans="1:18" x14ac:dyDescent="0.2">
      <c r="A60" s="22" t="s">
        <v>307</v>
      </c>
      <c r="B60" s="17" t="s">
        <v>208</v>
      </c>
      <c r="C60" s="17" t="s">
        <v>306</v>
      </c>
      <c r="D60" s="23" t="s">
        <v>55</v>
      </c>
      <c r="E60" s="23" t="s">
        <v>56</v>
      </c>
      <c r="F60" s="211">
        <f t="shared" si="12"/>
        <v>2.4593199333482814E-4</v>
      </c>
      <c r="G60" s="99">
        <v>1.6660580890879601E-6</v>
      </c>
      <c r="H60" s="100">
        <v>1.1000000000000001E-6</v>
      </c>
      <c r="I60" s="101">
        <v>2.155261909452459E-4</v>
      </c>
      <c r="J60" s="101">
        <v>2.1552619094524601E-5</v>
      </c>
      <c r="K60" s="101">
        <v>3.2161563517915298E-6</v>
      </c>
      <c r="L60" s="101">
        <v>0</v>
      </c>
      <c r="M60" s="101">
        <v>1.3950793753781901E-6</v>
      </c>
      <c r="N60" s="101">
        <v>1.4758894788E-6</v>
      </c>
      <c r="O60" s="101"/>
      <c r="P60" s="14"/>
      <c r="Q60" s="14"/>
      <c r="R60" s="187">
        <f>'Parameters, country spec'!F27</f>
        <v>1.1782644376318839E-3</v>
      </c>
    </row>
    <row r="61" spans="1:18" x14ac:dyDescent="0.2">
      <c r="B61" s="18" t="s">
        <v>209</v>
      </c>
      <c r="C61" s="17" t="s">
        <v>308</v>
      </c>
      <c r="D61" s="23" t="str">
        <f>'Off-farm feed'!$D$77</f>
        <v>France, Germany, Poland</v>
      </c>
      <c r="E61" s="23" t="s">
        <v>319</v>
      </c>
      <c r="F61" s="212">
        <f>'Off-farm feed'!$E$77</f>
        <v>6.732045566157569E-4</v>
      </c>
      <c r="G61" s="212">
        <f>'Off-farm feed'!$F$77</f>
        <v>1.946970439026595E-4</v>
      </c>
      <c r="H61" s="212">
        <f>'Off-farm feed'!$G$77</f>
        <v>5.3103448275862083E-7</v>
      </c>
      <c r="I61" s="212">
        <f>'Off-farm feed'!$H$77</f>
        <v>4.2751561806777074E-4</v>
      </c>
      <c r="J61" s="212">
        <f>'Off-farm feed'!$I$77</f>
        <v>4.2751561806777089E-5</v>
      </c>
      <c r="K61" s="212">
        <f>'Off-farm feed'!$J$77</f>
        <v>6.6339607025480414E-7</v>
      </c>
      <c r="L61" s="212">
        <f>'Off-farm feed'!$K$77</f>
        <v>0</v>
      </c>
      <c r="M61" s="212">
        <f>'Off-farm feed'!$L$77</f>
        <v>7.9511067188965511E-9</v>
      </c>
      <c r="N61" s="212">
        <f>'Off-farm feed'!$M$77</f>
        <v>1.2789681892721842E-6</v>
      </c>
      <c r="O61" s="212">
        <f>'Off-farm feed'!$N$77</f>
        <v>0</v>
      </c>
      <c r="P61" s="212">
        <f>'Off-farm feed'!$O$77</f>
        <v>3.9312802868423834E-6</v>
      </c>
      <c r="Q61" s="212">
        <f>'Off-farm feed'!$P$77</f>
        <v>1.8277027027027027E-6</v>
      </c>
      <c r="R61" s="187">
        <f>'Parameters, country spec'!F28</f>
        <v>5.1767642112223974E-4</v>
      </c>
    </row>
    <row r="62" spans="1:18" x14ac:dyDescent="0.2">
      <c r="B62" s="18" t="s">
        <v>309</v>
      </c>
      <c r="C62" s="17" t="s">
        <v>308</v>
      </c>
      <c r="D62" s="23" t="str">
        <f>'Off-farm feed'!$D$26</f>
        <v>Brazil, Argentina</v>
      </c>
      <c r="E62" s="23" t="s">
        <v>319</v>
      </c>
      <c r="F62" s="212">
        <f>'Off-farm feed'!$E$26</f>
        <v>1.8866346644602503E-4</v>
      </c>
      <c r="G62" s="212">
        <f>'Off-farm feed'!$F$26</f>
        <v>1.6332109719061435E-5</v>
      </c>
      <c r="H62" s="212">
        <f>'Off-farm feed'!$G$26</f>
        <v>8.7195121951219526E-7</v>
      </c>
      <c r="I62" s="212">
        <f>'Off-farm feed'!$H$26</f>
        <v>1.3333449845358199E-4</v>
      </c>
      <c r="J62" s="212">
        <f>'Off-farm feed'!$I$26</f>
        <v>1.3333449845358203E-5</v>
      </c>
      <c r="K62" s="212">
        <f>'Off-farm feed'!$J$26</f>
        <v>1.1576736579983929E-6</v>
      </c>
      <c r="L62" s="212">
        <f>'Off-farm feed'!$K$26</f>
        <v>0</v>
      </c>
      <c r="M62" s="212">
        <f>'Off-farm feed'!$L$26</f>
        <v>7.3437786087804875E-9</v>
      </c>
      <c r="N62" s="212">
        <f>'Off-farm feed'!$M$26</f>
        <v>1.1195281639512195E-6</v>
      </c>
      <c r="O62" s="212">
        <f>'Off-farm feed'!$N$26</f>
        <v>0</v>
      </c>
      <c r="P62" s="212">
        <f>'Off-farm feed'!$O$26</f>
        <v>1.3419073770114994E-5</v>
      </c>
      <c r="Q62" s="212">
        <f>'Off-farm feed'!$P$26</f>
        <v>9.087837837837838E-6</v>
      </c>
      <c r="R62" s="187">
        <f>'Parameters, country spec'!F29</f>
        <v>9.8710786383614704E-2</v>
      </c>
    </row>
    <row r="63" spans="1:18" x14ac:dyDescent="0.2">
      <c r="B63" s="17" t="s">
        <v>213</v>
      </c>
      <c r="C63" s="17" t="s">
        <v>310</v>
      </c>
      <c r="D63" s="23" t="s">
        <v>55</v>
      </c>
      <c r="E63" s="23" t="s">
        <v>56</v>
      </c>
      <c r="F63" s="211">
        <f>SUM(G63:Q63)</f>
        <v>1.0112842036935186E-4</v>
      </c>
      <c r="G63" s="101">
        <v>3.10755988347163E-6</v>
      </c>
      <c r="H63" s="101">
        <v>9.9E-8</v>
      </c>
      <c r="I63" s="101">
        <v>7.2831553782216611E-5</v>
      </c>
      <c r="J63">
        <v>7.2831553782216598E-6</v>
      </c>
      <c r="K63" s="101">
        <v>8.5544806082979093E-8</v>
      </c>
      <c r="L63">
        <v>0</v>
      </c>
      <c r="M63">
        <v>0</v>
      </c>
      <c r="N63" s="14">
        <v>1.3283005309199999E-7</v>
      </c>
      <c r="O63" s="14"/>
      <c r="P63" s="101">
        <v>1.7376008471844101E-5</v>
      </c>
      <c r="Q63" s="101">
        <v>2.1276799442287201E-7</v>
      </c>
      <c r="R63" s="187">
        <f>'Parameters, country spec'!F30</f>
        <v>7.7842176173985381E-2</v>
      </c>
    </row>
    <row r="64" spans="1:18" x14ac:dyDescent="0.2">
      <c r="A64" s="82"/>
      <c r="B64" s="17" t="s">
        <v>312</v>
      </c>
      <c r="C64" s="83" t="s">
        <v>313</v>
      </c>
      <c r="D64" s="23" t="s">
        <v>55</v>
      </c>
      <c r="E64" s="23" t="s">
        <v>56</v>
      </c>
      <c r="F64" s="212">
        <f>SUM(G64:Q64)</f>
        <v>5.9450716622527452E-4</v>
      </c>
      <c r="G64" s="81">
        <f t="shared" ref="G64:N64" si="13">AVERAGE(G54:G62)</f>
        <v>4.0127876005572074E-5</v>
      </c>
      <c r="H64" s="81">
        <f t="shared" si="13"/>
        <v>1.0114428558078684E-6</v>
      </c>
      <c r="I64" s="81">
        <f t="shared" si="13"/>
        <v>5.0020705174559481E-4</v>
      </c>
      <c r="J64" s="81">
        <f t="shared" si="13"/>
        <v>5.0020705174559485E-5</v>
      </c>
      <c r="K64" s="81">
        <f t="shared" si="13"/>
        <v>1.4462408646698928E-6</v>
      </c>
      <c r="L64" s="81">
        <f t="shared" si="13"/>
        <v>0</v>
      </c>
      <c r="M64" s="81">
        <f t="shared" si="13"/>
        <v>2.7943594520111117E-7</v>
      </c>
      <c r="N64" s="81">
        <f t="shared" si="13"/>
        <v>1.4144136338692671E-6</v>
      </c>
      <c r="O64" s="81"/>
      <c r="P64" s="80"/>
      <c r="Q64" s="81"/>
      <c r="R64" s="187">
        <f>'Parameters, country spec'!F31</f>
        <v>6.7735219250121048E-2</v>
      </c>
    </row>
    <row r="65" spans="1:18" x14ac:dyDescent="0.2">
      <c r="A65" s="185"/>
      <c r="B65" s="25" t="s">
        <v>314</v>
      </c>
      <c r="C65" s="26"/>
      <c r="D65" s="102"/>
      <c r="E65" s="102"/>
      <c r="F65" s="45">
        <f t="shared" ref="F65:O65" si="14">SUMPRODUCT(F54:F64,$R$54:$R$64)</f>
        <v>6.0410627731302376E-4</v>
      </c>
      <c r="G65" s="45">
        <f t="shared" si="14"/>
        <v>2.4527657978114902E-5</v>
      </c>
      <c r="H65" s="45">
        <f t="shared" si="14"/>
        <v>9.932761295833391E-7</v>
      </c>
      <c r="I65" s="45">
        <f t="shared" si="14"/>
        <v>5.2071883012286941E-4</v>
      </c>
      <c r="J65" s="45">
        <f t="shared" si="14"/>
        <v>5.2071883012286937E-5</v>
      </c>
      <c r="K65" s="45">
        <f t="shared" si="14"/>
        <v>8.4445997455814918E-7</v>
      </c>
      <c r="L65" s="45">
        <f t="shared" si="14"/>
        <v>0</v>
      </c>
      <c r="M65" s="45">
        <f t="shared" si="14"/>
        <v>2.4465142244899804E-8</v>
      </c>
      <c r="N65" s="45">
        <f t="shared" si="14"/>
        <v>1.3319000834031092E-6</v>
      </c>
      <c r="O65" s="45">
        <f t="shared" si="14"/>
        <v>0</v>
      </c>
      <c r="P65" s="30">
        <f>SUMPRODUCT(P54:P64,R54:R64)</f>
        <v>2.6792287681630605E-6</v>
      </c>
      <c r="Q65" s="45">
        <f>SUMPRODUCT(Q54:Q64,$R$54:$R$64)</f>
        <v>9.1457610179980304E-7</v>
      </c>
      <c r="R65" s="188"/>
    </row>
    <row r="66" spans="1:18" x14ac:dyDescent="0.2">
      <c r="A66" s="22" t="s">
        <v>299</v>
      </c>
      <c r="B66" s="17" t="s">
        <v>198</v>
      </c>
      <c r="C66" s="17" t="s">
        <v>300</v>
      </c>
      <c r="D66" s="23" t="s">
        <v>91</v>
      </c>
      <c r="E66" s="23" t="s">
        <v>58</v>
      </c>
      <c r="F66" s="213">
        <f t="shared" ref="F66:F72" si="15">SUM(G66:Q66)</f>
        <v>5.0076308556644162E-4</v>
      </c>
      <c r="G66" s="191">
        <v>1.42900987499634E-5</v>
      </c>
      <c r="H66" s="192">
        <v>1.1000000000000001E-6</v>
      </c>
      <c r="I66" s="195">
        <v>4.3928712789075599E-4</v>
      </c>
      <c r="J66" s="195">
        <v>4.3928712789075603E-5</v>
      </c>
      <c r="K66" s="195">
        <v>6.9965951964663698E-7</v>
      </c>
      <c r="L66" s="195">
        <v>0</v>
      </c>
      <c r="M66" s="195">
        <v>0</v>
      </c>
      <c r="N66" s="195">
        <v>1.4574866170000001E-6</v>
      </c>
      <c r="O66" s="195"/>
      <c r="P66" s="14"/>
      <c r="Q66" s="194"/>
      <c r="R66" s="198">
        <f>'Parameters, country spec'!G21</f>
        <v>0</v>
      </c>
    </row>
    <row r="67" spans="1:18" x14ac:dyDescent="0.2">
      <c r="A67" s="22" t="s">
        <v>301</v>
      </c>
      <c r="B67" s="17" t="s">
        <v>201</v>
      </c>
      <c r="C67" s="17" t="s">
        <v>300</v>
      </c>
      <c r="D67" s="23" t="s">
        <v>91</v>
      </c>
      <c r="E67" s="23" t="s">
        <v>58</v>
      </c>
      <c r="F67" s="211">
        <f t="shared" si="15"/>
        <v>5.0348761541131604E-4</v>
      </c>
      <c r="G67" s="99">
        <v>1.40447733404797E-5</v>
      </c>
      <c r="H67" s="100">
        <v>1.1000000000000001E-6</v>
      </c>
      <c r="I67" s="101">
        <v>4.4216887877114938E-4</v>
      </c>
      <c r="J67" s="101">
        <v>4.4216887877115002E-5</v>
      </c>
      <c r="K67" s="101">
        <v>4.8647220484656601E-7</v>
      </c>
      <c r="L67" s="101">
        <v>0</v>
      </c>
      <c r="M67" s="101">
        <v>1.3774933630536099E-7</v>
      </c>
      <c r="N67" s="101">
        <v>1.3328538814200001E-6</v>
      </c>
      <c r="O67" s="101"/>
      <c r="P67" s="14"/>
      <c r="Q67" s="14"/>
      <c r="R67" s="187">
        <f>'Parameters, country spec'!G22</f>
        <v>0.16</v>
      </c>
    </row>
    <row r="68" spans="1:18" x14ac:dyDescent="0.2">
      <c r="A68" s="22" t="s">
        <v>302</v>
      </c>
      <c r="B68" s="17" t="s">
        <v>204</v>
      </c>
      <c r="C68" s="17" t="s">
        <v>300</v>
      </c>
      <c r="D68" s="23" t="s">
        <v>91</v>
      </c>
      <c r="E68" s="23" t="s">
        <v>58</v>
      </c>
      <c r="F68" s="211">
        <f t="shared" si="15"/>
        <v>3.8830254117131944E-4</v>
      </c>
      <c r="G68" s="99">
        <v>1.0423347933344499E-5</v>
      </c>
      <c r="H68" s="100">
        <v>1.1000000000000001E-6</v>
      </c>
      <c r="I68" s="101">
        <v>3.4061625508795799E-4</v>
      </c>
      <c r="J68" s="101">
        <v>3.4061625508795799E-5</v>
      </c>
      <c r="K68" s="101">
        <v>6.438260242211E-7</v>
      </c>
      <c r="L68" s="101">
        <v>0</v>
      </c>
      <c r="M68" s="101">
        <v>0</v>
      </c>
      <c r="N68" s="101">
        <v>1.4574866170000001E-6</v>
      </c>
      <c r="O68" s="101"/>
      <c r="P68" s="14"/>
      <c r="Q68" s="14"/>
      <c r="R68" s="187">
        <f>'Parameters, country spec'!G23</f>
        <v>0.01</v>
      </c>
    </row>
    <row r="69" spans="1:18" x14ac:dyDescent="0.2">
      <c r="A69" s="22" t="s">
        <v>303</v>
      </c>
      <c r="B69" s="17" t="s">
        <v>205</v>
      </c>
      <c r="C69" s="17" t="s">
        <v>300</v>
      </c>
      <c r="D69" s="23" t="s">
        <v>91</v>
      </c>
      <c r="E69" s="23" t="s">
        <v>58</v>
      </c>
      <c r="F69" s="211">
        <f t="shared" si="15"/>
        <v>7.8191616855976414E-4</v>
      </c>
      <c r="G69" s="99">
        <v>2.1873707810918101E-5</v>
      </c>
      <c r="H69" s="100">
        <v>1.1000000000000001E-6</v>
      </c>
      <c r="I69" s="101">
        <v>6.8758656983667894E-4</v>
      </c>
      <c r="J69" s="101">
        <v>6.8758656983667997E-5</v>
      </c>
      <c r="K69" s="101">
        <v>1.2631936945080999E-6</v>
      </c>
      <c r="L69" s="101">
        <v>0</v>
      </c>
      <c r="M69" s="101">
        <v>1.1863525710000401E-9</v>
      </c>
      <c r="N69" s="101">
        <v>1.3328538814200001E-6</v>
      </c>
      <c r="O69" s="101"/>
      <c r="P69" s="14"/>
      <c r="Q69" s="14"/>
      <c r="R69" s="187">
        <f>'Parameters, country spec'!G24</f>
        <v>0</v>
      </c>
    </row>
    <row r="70" spans="1:18" x14ac:dyDescent="0.2">
      <c r="A70" s="22" t="s">
        <v>304</v>
      </c>
      <c r="B70" s="17" t="s">
        <v>206</v>
      </c>
      <c r="C70" s="17" t="s">
        <v>300</v>
      </c>
      <c r="D70" s="23" t="s">
        <v>91</v>
      </c>
      <c r="E70" s="23" t="s">
        <v>58</v>
      </c>
      <c r="F70" s="211">
        <f t="shared" si="15"/>
        <v>6.0382498978413788E-4</v>
      </c>
      <c r="G70" s="99">
        <v>1.9066159328693E-5</v>
      </c>
      <c r="H70" s="100">
        <v>1.1000000000000001E-6</v>
      </c>
      <c r="I70" s="101">
        <v>5.2875256401532398E-4</v>
      </c>
      <c r="J70" s="101">
        <v>5.2875256401532301E-5</v>
      </c>
      <c r="K70" s="101">
        <v>5.7352342158859497E-7</v>
      </c>
      <c r="L70" s="101">
        <v>0</v>
      </c>
      <c r="M70" s="101">
        <v>0</v>
      </c>
      <c r="N70" s="101">
        <v>1.4574866170000001E-6</v>
      </c>
      <c r="O70" s="101"/>
      <c r="P70" s="14"/>
      <c r="Q70" s="14"/>
      <c r="R70" s="187">
        <f>'Parameters, country spec'!G25</f>
        <v>0.46</v>
      </c>
    </row>
    <row r="71" spans="1:18" x14ac:dyDescent="0.2">
      <c r="A71" s="22" t="s">
        <v>305</v>
      </c>
      <c r="B71" s="17" t="s">
        <v>207</v>
      </c>
      <c r="C71" s="17" t="s">
        <v>306</v>
      </c>
      <c r="D71" s="23" t="s">
        <v>91</v>
      </c>
      <c r="E71" s="23" t="s">
        <v>58</v>
      </c>
      <c r="F71" s="211">
        <f t="shared" si="15"/>
        <v>2.0662178533731066E-4</v>
      </c>
      <c r="G71" s="99">
        <v>0</v>
      </c>
      <c r="H71" s="100">
        <v>1.1000000000000001E-6</v>
      </c>
      <c r="I71" s="101">
        <v>1.8457295999999999E-4</v>
      </c>
      <c r="J71" s="101">
        <v>1.8457295999999999E-5</v>
      </c>
      <c r="K71" s="101">
        <v>1.0340427203106899E-6</v>
      </c>
      <c r="L71" s="101">
        <v>0</v>
      </c>
      <c r="M71" s="101">
        <v>0</v>
      </c>
      <c r="N71" s="101">
        <v>1.4574866170000001E-6</v>
      </c>
      <c r="O71" s="101"/>
      <c r="P71" s="14"/>
      <c r="Q71" s="14"/>
      <c r="R71" s="187">
        <f>'Parameters, country spec'!G26</f>
        <v>0</v>
      </c>
    </row>
    <row r="72" spans="1:18" x14ac:dyDescent="0.2">
      <c r="A72" s="22" t="s">
        <v>307</v>
      </c>
      <c r="B72" s="17" t="s">
        <v>208</v>
      </c>
      <c r="C72" s="17" t="s">
        <v>306</v>
      </c>
      <c r="D72" s="23" t="s">
        <v>91</v>
      </c>
      <c r="E72" s="23" t="s">
        <v>58</v>
      </c>
      <c r="F72" s="211">
        <f t="shared" si="15"/>
        <v>2.147503579809894E-4</v>
      </c>
      <c r="G72" s="99">
        <v>4.56233062574511E-7</v>
      </c>
      <c r="H72" s="100">
        <v>1.1000000000000001E-6</v>
      </c>
      <c r="I72" s="101">
        <v>1.9161296011702001E-4</v>
      </c>
      <c r="J72" s="101">
        <v>1.9161296011701999E-5</v>
      </c>
      <c r="K72" s="101">
        <v>9.6238217269290007E-7</v>
      </c>
      <c r="L72" s="101">
        <v>0</v>
      </c>
      <c r="M72" s="101">
        <v>0</v>
      </c>
      <c r="N72" s="101">
        <v>1.4574866170000001E-6</v>
      </c>
      <c r="O72" s="101"/>
      <c r="P72" s="14"/>
      <c r="Q72" s="14"/>
      <c r="R72" s="187">
        <f>'Parameters, country spec'!G27</f>
        <v>0</v>
      </c>
    </row>
    <row r="73" spans="1:18" x14ac:dyDescent="0.2">
      <c r="B73" s="18" t="s">
        <v>209</v>
      </c>
      <c r="C73" s="17" t="s">
        <v>308</v>
      </c>
      <c r="D73" s="23" t="str">
        <f>'Off-farm feed'!$D$77</f>
        <v>France, Germany, Poland</v>
      </c>
      <c r="E73" s="23" t="s">
        <v>319</v>
      </c>
      <c r="F73" s="212">
        <f>'Off-farm feed'!$E$77</f>
        <v>6.732045566157569E-4</v>
      </c>
      <c r="G73" s="212">
        <f>'Off-farm feed'!$F$77</f>
        <v>1.946970439026595E-4</v>
      </c>
      <c r="H73" s="212">
        <f>'Off-farm feed'!$G$77</f>
        <v>5.3103448275862083E-7</v>
      </c>
      <c r="I73" s="212">
        <f>'Off-farm feed'!$H$77</f>
        <v>4.2751561806777074E-4</v>
      </c>
      <c r="J73" s="212">
        <f>'Off-farm feed'!$I$77</f>
        <v>4.2751561806777089E-5</v>
      </c>
      <c r="K73" s="212">
        <f>'Off-farm feed'!$J$77</f>
        <v>6.6339607025480414E-7</v>
      </c>
      <c r="L73" s="212">
        <f>'Off-farm feed'!$K$77</f>
        <v>0</v>
      </c>
      <c r="M73" s="212">
        <f>'Off-farm feed'!$L$77</f>
        <v>7.9511067188965511E-9</v>
      </c>
      <c r="N73" s="212">
        <f>'Off-farm feed'!$M$77</f>
        <v>1.2789681892721842E-6</v>
      </c>
      <c r="O73" s="212">
        <f>'Off-farm feed'!$N$77</f>
        <v>0</v>
      </c>
      <c r="P73" s="212">
        <f>'Off-farm feed'!$O$77</f>
        <v>3.9312802868423834E-6</v>
      </c>
      <c r="Q73" s="212">
        <f>'Off-farm feed'!$P$77</f>
        <v>1.8277027027027027E-6</v>
      </c>
      <c r="R73" s="187">
        <f>'Parameters, country spec'!G28</f>
        <v>0.03</v>
      </c>
    </row>
    <row r="74" spans="1:18" x14ac:dyDescent="0.2">
      <c r="B74" s="18" t="s">
        <v>309</v>
      </c>
      <c r="C74" s="17" t="s">
        <v>308</v>
      </c>
      <c r="D74" s="23" t="str">
        <f>'Off-farm feed'!$D$26</f>
        <v>Brazil, Argentina</v>
      </c>
      <c r="E74" s="23" t="s">
        <v>319</v>
      </c>
      <c r="F74" s="212">
        <f>'Off-farm feed'!$E$26</f>
        <v>1.8866346644602503E-4</v>
      </c>
      <c r="G74" s="212">
        <f>'Off-farm feed'!$F$26</f>
        <v>1.6332109719061435E-5</v>
      </c>
      <c r="H74" s="212">
        <f>'Off-farm feed'!$G$26</f>
        <v>8.7195121951219526E-7</v>
      </c>
      <c r="I74" s="212">
        <f>'Off-farm feed'!$H$26</f>
        <v>1.3333449845358199E-4</v>
      </c>
      <c r="J74" s="212">
        <f>'Off-farm feed'!$I$26</f>
        <v>1.3333449845358203E-5</v>
      </c>
      <c r="K74" s="212">
        <f>'Off-farm feed'!$J$26</f>
        <v>1.1576736579983929E-6</v>
      </c>
      <c r="L74" s="212">
        <f>'Off-farm feed'!$K$26</f>
        <v>0</v>
      </c>
      <c r="M74" s="212">
        <f>'Off-farm feed'!$L$26</f>
        <v>7.3437786087804875E-9</v>
      </c>
      <c r="N74" s="212">
        <f>'Off-farm feed'!$M$26</f>
        <v>1.1195281639512195E-6</v>
      </c>
      <c r="O74" s="212">
        <f>'Off-farm feed'!$N$26</f>
        <v>0</v>
      </c>
      <c r="P74" s="212">
        <f>'Off-farm feed'!$O$26</f>
        <v>1.3419073770114994E-5</v>
      </c>
      <c r="Q74" s="212">
        <f>'Off-farm feed'!$P$26</f>
        <v>9.087837837837838E-6</v>
      </c>
      <c r="R74" s="187">
        <f>'Parameters, country spec'!G29</f>
        <v>0.28000000000000003</v>
      </c>
    </row>
    <row r="75" spans="1:18" x14ac:dyDescent="0.2">
      <c r="B75" s="17" t="s">
        <v>213</v>
      </c>
      <c r="C75" s="17" t="s">
        <v>310</v>
      </c>
      <c r="D75" s="23" t="s">
        <v>91</v>
      </c>
      <c r="E75" s="23" t="s">
        <v>58</v>
      </c>
      <c r="F75" s="211">
        <f>SUM(G75:Q75)</f>
        <v>7.2397887078904451E-5</v>
      </c>
      <c r="G75" s="101">
        <v>1.7159543395823699E-6</v>
      </c>
      <c r="H75" s="101">
        <v>9.9E-8</v>
      </c>
      <c r="I75" s="101">
        <v>4.7587730761379113E-5</v>
      </c>
      <c r="J75">
        <v>4.7587730761379099E-6</v>
      </c>
      <c r="K75" s="101">
        <v>5.16171079429735E-8</v>
      </c>
      <c r="L75">
        <v>0</v>
      </c>
      <c r="M75">
        <v>0</v>
      </c>
      <c r="N75" s="14">
        <v>1.3117379553000001E-7</v>
      </c>
      <c r="O75" s="14"/>
      <c r="P75" s="101">
        <v>1.6341912215219399E-5</v>
      </c>
      <c r="Q75" s="101">
        <v>1.71172578311269E-6</v>
      </c>
      <c r="R75" s="187">
        <f>'Parameters, country spec'!G30</f>
        <v>0</v>
      </c>
    </row>
    <row r="76" spans="1:18" x14ac:dyDescent="0.2">
      <c r="A76" s="82"/>
      <c r="B76" s="17" t="s">
        <v>312</v>
      </c>
      <c r="C76" s="83" t="s">
        <v>313</v>
      </c>
      <c r="D76" s="23" t="s">
        <v>91</v>
      </c>
      <c r="E76" s="23" t="s">
        <v>58</v>
      </c>
      <c r="F76" s="212">
        <f>SUM(G76:Q76)</f>
        <v>4.4814096358617377E-4</v>
      </c>
      <c r="G76" s="81">
        <f t="shared" ref="G76:N76" si="16">AVERAGE(G66:G74)</f>
        <v>3.2353719316410466E-5</v>
      </c>
      <c r="H76" s="81">
        <f t="shared" si="16"/>
        <v>1.0114428558078684E-6</v>
      </c>
      <c r="I76" s="81">
        <f t="shared" si="16"/>
        <v>3.7504971469335991E-4</v>
      </c>
      <c r="J76" s="81">
        <f t="shared" si="16"/>
        <v>3.7504971469335991E-5</v>
      </c>
      <c r="K76" s="81">
        <f t="shared" si="16"/>
        <v>8.3157438734086507E-7</v>
      </c>
      <c r="L76" s="81">
        <f t="shared" si="16"/>
        <v>0</v>
      </c>
      <c r="M76" s="81">
        <f t="shared" si="16"/>
        <v>1.713673046711534E-8</v>
      </c>
      <c r="N76" s="81">
        <f t="shared" si="16"/>
        <v>1.3724041334514894E-6</v>
      </c>
      <c r="O76" s="81"/>
      <c r="P76" s="80"/>
      <c r="Q76" s="81"/>
      <c r="R76" s="187">
        <f>'Parameters, country spec'!G31</f>
        <v>0.06</v>
      </c>
    </row>
    <row r="77" spans="1:18" x14ac:dyDescent="0.2">
      <c r="A77" s="185"/>
      <c r="B77" s="25" t="s">
        <v>314</v>
      </c>
      <c r="C77" s="26"/>
      <c r="D77" s="102"/>
      <c r="E77" s="102"/>
      <c r="F77" s="45">
        <f t="shared" ref="F77:O77" si="17">SUMPRODUCT(F66:F76,$R$66:$R$76)</f>
        <v>4.6211090429675733E-4</v>
      </c>
      <c r="G77" s="45">
        <f t="shared" si="17"/>
        <v>2.3476955702410595E-5</v>
      </c>
      <c r="H77" s="45">
        <f t="shared" si="17"/>
        <v>1.0137639472946454E-6</v>
      </c>
      <c r="I77" s="45">
        <f t="shared" si="17"/>
        <v>3.9004147359195026E-4</v>
      </c>
      <c r="J77" s="45">
        <f t="shared" si="17"/>
        <v>3.9004147359194984E-5</v>
      </c>
      <c r="K77" s="45">
        <f t="shared" si="17"/>
        <v>7.4203955653606129E-7</v>
      </c>
      <c r="L77" s="45">
        <f t="shared" si="17"/>
        <v>0</v>
      </c>
      <c r="M77" s="45">
        <f t="shared" si="17"/>
        <v>2.5362888848910109E-8</v>
      </c>
      <c r="N77" s="45">
        <f t="shared" si="17"/>
        <v>1.3324565106087964E-6</v>
      </c>
      <c r="O77" s="45">
        <f t="shared" si="17"/>
        <v>0</v>
      </c>
      <c r="P77" s="30">
        <f>SUMPRODUCT(P66:P76,R66:R76)</f>
        <v>3.8752790642374702E-6</v>
      </c>
      <c r="Q77" s="45">
        <f>SUMPRODUCT(Q66:Q76,$R$66:$R$76)</f>
        <v>2.5994256756756762E-6</v>
      </c>
      <c r="R77" s="188"/>
    </row>
    <row r="78" spans="1:18" x14ac:dyDescent="0.2">
      <c r="A78" s="22" t="s">
        <v>299</v>
      </c>
      <c r="B78" s="17" t="s">
        <v>198</v>
      </c>
      <c r="C78" s="17" t="s">
        <v>300</v>
      </c>
      <c r="D78" s="23" t="s">
        <v>59</v>
      </c>
      <c r="E78" s="23" t="s">
        <v>60</v>
      </c>
      <c r="F78" s="213">
        <f t="shared" ref="F78:F84" si="18">SUM(G78:Q78)</f>
        <v>7.6121683150041691E-4</v>
      </c>
      <c r="G78" s="191">
        <v>3.4604422826583401E-6</v>
      </c>
      <c r="H78" s="192">
        <v>1.1000000000000001E-6</v>
      </c>
      <c r="I78" s="195">
        <v>6.8538167784717497E-4</v>
      </c>
      <c r="J78" s="195">
        <v>6.8538167784717503E-5</v>
      </c>
      <c r="K78" s="195">
        <v>1.23800967386619E-6</v>
      </c>
      <c r="L78" s="195">
        <v>0</v>
      </c>
      <c r="M78" s="195">
        <v>0</v>
      </c>
      <c r="N78" s="195">
        <v>1.4985339119999999E-6</v>
      </c>
      <c r="O78" s="195"/>
      <c r="P78" s="14"/>
      <c r="Q78" s="194"/>
      <c r="R78" s="198">
        <f>'Parameters, country spec'!H21</f>
        <v>6.9755357742184998E-2</v>
      </c>
    </row>
    <row r="79" spans="1:18" x14ac:dyDescent="0.2">
      <c r="A79" s="22" t="s">
        <v>301</v>
      </c>
      <c r="B79" s="17" t="s">
        <v>201</v>
      </c>
      <c r="C79" s="17" t="s">
        <v>300</v>
      </c>
      <c r="D79" s="23" t="s">
        <v>59</v>
      </c>
      <c r="E79" s="23" t="s">
        <v>60</v>
      </c>
      <c r="F79" s="211">
        <f t="shared" si="18"/>
        <v>4.3982361019904938E-4</v>
      </c>
      <c r="G79" s="99">
        <v>2.0038682712477099E-6</v>
      </c>
      <c r="H79" s="100">
        <v>1.1000000000000001E-6</v>
      </c>
      <c r="I79" s="101">
        <v>3.9516072590425238E-4</v>
      </c>
      <c r="J79" s="101">
        <v>3.9516072590425301E-5</v>
      </c>
      <c r="K79" s="101">
        <v>4.25445690620501E-7</v>
      </c>
      <c r="L79" s="101">
        <v>0</v>
      </c>
      <c r="M79" s="101">
        <v>1.1896383050346399E-7</v>
      </c>
      <c r="N79" s="101">
        <v>1.4985339119999999E-6</v>
      </c>
      <c r="O79" s="101"/>
      <c r="P79" s="14"/>
      <c r="Q79" s="14"/>
      <c r="R79" s="187">
        <f>'Parameters, country spec'!H22</f>
        <v>0.45612129266564322</v>
      </c>
    </row>
    <row r="80" spans="1:18" x14ac:dyDescent="0.2">
      <c r="A80" s="22" t="s">
        <v>302</v>
      </c>
      <c r="B80" s="17" t="s">
        <v>204</v>
      </c>
      <c r="C80" s="17" t="s">
        <v>300</v>
      </c>
      <c r="D80" s="23" t="s">
        <v>59</v>
      </c>
      <c r="E80" s="23" t="s">
        <v>60</v>
      </c>
      <c r="F80" s="211">
        <f t="shared" si="18"/>
        <v>9.6609796472621793E-4</v>
      </c>
      <c r="G80" s="99">
        <v>4.6619871080123402E-6</v>
      </c>
      <c r="H80" s="100">
        <v>1.1000000000000001E-6</v>
      </c>
      <c r="I80" s="101">
        <v>8.6975755481815699E-4</v>
      </c>
      <c r="J80" s="101">
        <v>8.6975755481815697E-5</v>
      </c>
      <c r="K80" s="101">
        <v>2.1041334062329101E-6</v>
      </c>
      <c r="L80" s="101">
        <v>0</v>
      </c>
      <c r="M80" s="101">
        <v>0</v>
      </c>
      <c r="N80" s="101">
        <v>1.4985339119999999E-6</v>
      </c>
      <c r="O80" s="101"/>
      <c r="P80" s="14"/>
      <c r="Q80" s="14"/>
      <c r="R80" s="187">
        <f>'Parameters, country spec'!H23</f>
        <v>1.448634181078594E-2</v>
      </c>
    </row>
    <row r="81" spans="1:18" x14ac:dyDescent="0.2">
      <c r="A81" s="22" t="s">
        <v>303</v>
      </c>
      <c r="B81" s="17" t="s">
        <v>205</v>
      </c>
      <c r="C81" s="17" t="s">
        <v>300</v>
      </c>
      <c r="D81" s="23" t="s">
        <v>59</v>
      </c>
      <c r="E81" s="23" t="s">
        <v>60</v>
      </c>
      <c r="F81" s="211">
        <f t="shared" si="18"/>
        <v>9.4252772207496283E-4</v>
      </c>
      <c r="G81" s="99">
        <v>4.5545567787407397E-6</v>
      </c>
      <c r="H81" s="100">
        <v>1.1000000000000001E-6</v>
      </c>
      <c r="I81" s="101">
        <v>8.48841595525421E-4</v>
      </c>
      <c r="J81" s="101">
        <v>8.4884159552542194E-5</v>
      </c>
      <c r="K81" s="101">
        <v>1.6122237952389601E-6</v>
      </c>
      <c r="L81" s="101">
        <v>0</v>
      </c>
      <c r="M81" s="101">
        <v>3.6652511019930199E-8</v>
      </c>
      <c r="N81" s="101">
        <v>1.4985339119999999E-6</v>
      </c>
      <c r="O81" s="101"/>
      <c r="P81" s="14"/>
      <c r="Q81" s="14"/>
      <c r="R81" s="187">
        <f>'Parameters, country spec'!H24</f>
        <v>1.154218810875446E-3</v>
      </c>
    </row>
    <row r="82" spans="1:18" x14ac:dyDescent="0.2">
      <c r="A82" s="22" t="s">
        <v>304</v>
      </c>
      <c r="B82" s="17" t="s">
        <v>206</v>
      </c>
      <c r="C82" s="17" t="s">
        <v>300</v>
      </c>
      <c r="D82" s="23" t="s">
        <v>59</v>
      </c>
      <c r="E82" s="23" t="s">
        <v>60</v>
      </c>
      <c r="F82" s="211">
        <f t="shared" si="18"/>
        <v>1.2230783061102377E-3</v>
      </c>
      <c r="G82" s="99">
        <v>6.1188597918394202E-6</v>
      </c>
      <c r="H82" s="100">
        <v>1.1000000000000001E-6</v>
      </c>
      <c r="I82" s="101">
        <v>1.1027150359909461E-3</v>
      </c>
      <c r="J82" s="101">
        <v>1.10271503599095E-4</v>
      </c>
      <c r="K82" s="101">
        <v>1.3449289839238301E-6</v>
      </c>
      <c r="L82" s="101">
        <v>0</v>
      </c>
      <c r="M82" s="101">
        <v>2.9443832433219999E-8</v>
      </c>
      <c r="N82" s="101">
        <v>1.4985339119999999E-6</v>
      </c>
      <c r="O82" s="101"/>
      <c r="P82" s="14"/>
      <c r="Q82" s="14"/>
      <c r="R82" s="187">
        <f>'Parameters, country spec'!H25</f>
        <v>6.607302843520492E-2</v>
      </c>
    </row>
    <row r="83" spans="1:18" x14ac:dyDescent="0.2">
      <c r="A83" s="22" t="s">
        <v>305</v>
      </c>
      <c r="B83" s="17" t="s">
        <v>207</v>
      </c>
      <c r="C83" s="17" t="s">
        <v>306</v>
      </c>
      <c r="D83" s="23" t="s">
        <v>59</v>
      </c>
      <c r="E83" s="23" t="s">
        <v>60</v>
      </c>
      <c r="F83" s="211">
        <f t="shared" si="18"/>
        <v>2.0732558963819123E-4</v>
      </c>
      <c r="G83" s="99">
        <v>0</v>
      </c>
      <c r="H83" s="100">
        <v>1.1000000000000001E-6</v>
      </c>
      <c r="I83" s="101">
        <v>1.8457295999999999E-4</v>
      </c>
      <c r="J83" s="101">
        <v>1.8457295999999999E-5</v>
      </c>
      <c r="K83" s="101">
        <v>1.69241163572995E-6</v>
      </c>
      <c r="L83" s="101">
        <v>0</v>
      </c>
      <c r="M83" s="101">
        <v>4.3880904612717098E-9</v>
      </c>
      <c r="N83" s="101">
        <v>1.4985339119999999E-6</v>
      </c>
      <c r="O83" s="101"/>
      <c r="P83" s="14"/>
      <c r="Q83" s="14"/>
      <c r="R83" s="187">
        <f>'Parameters, country spec'!H26</f>
        <v>2.8132125343424521E-3</v>
      </c>
    </row>
    <row r="84" spans="1:18" x14ac:dyDescent="0.2">
      <c r="A84" s="22" t="s">
        <v>307</v>
      </c>
      <c r="B84" s="17" t="s">
        <v>208</v>
      </c>
      <c r="C84" s="17" t="s">
        <v>306</v>
      </c>
      <c r="D84" s="23" t="s">
        <v>59</v>
      </c>
      <c r="E84" s="23" t="s">
        <v>60</v>
      </c>
      <c r="F84" s="211">
        <f t="shared" si="18"/>
        <v>2.3268660968817935E-4</v>
      </c>
      <c r="G84" s="99">
        <v>1.55570415501492E-7</v>
      </c>
      <c r="H84" s="100">
        <v>1.1000000000000001E-6</v>
      </c>
      <c r="I84" s="101">
        <v>2.0684410516885461E-4</v>
      </c>
      <c r="J84" s="101">
        <v>2.06844105168855E-5</v>
      </c>
      <c r="K84" s="101">
        <v>2.3978871315382E-6</v>
      </c>
      <c r="L84" s="101">
        <v>0</v>
      </c>
      <c r="M84" s="101">
        <v>6.1025433995682499E-9</v>
      </c>
      <c r="N84" s="101">
        <v>1.4985339119999999E-6</v>
      </c>
      <c r="O84" s="101"/>
      <c r="P84" s="14"/>
      <c r="Q84" s="14"/>
      <c r="R84" s="187">
        <f>'Parameters, country spec'!H27</f>
        <v>2.763501773404974E-3</v>
      </c>
    </row>
    <row r="85" spans="1:18" x14ac:dyDescent="0.2">
      <c r="B85" s="18" t="s">
        <v>209</v>
      </c>
      <c r="C85" s="17" t="s">
        <v>308</v>
      </c>
      <c r="D85" s="23" t="str">
        <f>'Off-farm feed'!$D$77</f>
        <v>France, Germany, Poland</v>
      </c>
      <c r="E85" s="23" t="s">
        <v>319</v>
      </c>
      <c r="F85" s="212">
        <f>'Off-farm feed'!$E$77</f>
        <v>6.732045566157569E-4</v>
      </c>
      <c r="G85" s="212">
        <f>'Off-farm feed'!$F$77</f>
        <v>1.946970439026595E-4</v>
      </c>
      <c r="H85" s="212">
        <f>'Off-farm feed'!$G$77</f>
        <v>5.3103448275862083E-7</v>
      </c>
      <c r="I85" s="212">
        <f>'Off-farm feed'!$H$77</f>
        <v>4.2751561806777074E-4</v>
      </c>
      <c r="J85" s="212">
        <f>'Off-farm feed'!$I$77</f>
        <v>4.2751561806777089E-5</v>
      </c>
      <c r="K85" s="212">
        <f>'Off-farm feed'!$J$77</f>
        <v>6.6339607025480414E-7</v>
      </c>
      <c r="L85" s="212">
        <f>'Off-farm feed'!$K$77</f>
        <v>0</v>
      </c>
      <c r="M85" s="212">
        <f>'Off-farm feed'!$L$77</f>
        <v>7.9511067188965511E-9</v>
      </c>
      <c r="N85" s="212">
        <f>'Off-farm feed'!$M$77</f>
        <v>1.2789681892721842E-6</v>
      </c>
      <c r="O85" s="212">
        <f>'Off-farm feed'!$N$77</f>
        <v>0</v>
      </c>
      <c r="P85" s="212">
        <f>'Off-farm feed'!$O$77</f>
        <v>3.9312802868423834E-6</v>
      </c>
      <c r="Q85" s="212">
        <f>'Off-farm feed'!$P$77</f>
        <v>1.8277027027027027E-6</v>
      </c>
      <c r="R85" s="187">
        <f>'Parameters, country spec'!H28</f>
        <v>4.7386628229038642E-3</v>
      </c>
    </row>
    <row r="86" spans="1:18" x14ac:dyDescent="0.2">
      <c r="B86" s="18" t="s">
        <v>309</v>
      </c>
      <c r="C86" s="17" t="s">
        <v>308</v>
      </c>
      <c r="D86" s="23" t="str">
        <f>'Off-farm feed'!$D$26</f>
        <v>Brazil, Argentina</v>
      </c>
      <c r="E86" s="23" t="s">
        <v>319</v>
      </c>
      <c r="F86" s="212">
        <f>'Off-farm feed'!$E$26</f>
        <v>1.8866346644602503E-4</v>
      </c>
      <c r="G86" s="212">
        <f>'Off-farm feed'!$F$26</f>
        <v>1.6332109719061435E-5</v>
      </c>
      <c r="H86" s="212">
        <f>'Off-farm feed'!$G$26</f>
        <v>8.7195121951219526E-7</v>
      </c>
      <c r="I86" s="212">
        <f>'Off-farm feed'!$H$26</f>
        <v>1.3333449845358199E-4</v>
      </c>
      <c r="J86" s="212">
        <f>'Off-farm feed'!$I$26</f>
        <v>1.3333449845358203E-5</v>
      </c>
      <c r="K86" s="212">
        <f>'Off-farm feed'!$J$26</f>
        <v>1.1576736579983929E-6</v>
      </c>
      <c r="L86" s="212">
        <f>'Off-farm feed'!$K$26</f>
        <v>0</v>
      </c>
      <c r="M86" s="212">
        <f>'Off-farm feed'!$L$26</f>
        <v>7.3437786087804875E-9</v>
      </c>
      <c r="N86" s="212">
        <f>'Off-farm feed'!$M$26</f>
        <v>1.1195281639512195E-6</v>
      </c>
      <c r="O86" s="212">
        <f>'Off-farm feed'!$N$26</f>
        <v>0</v>
      </c>
      <c r="P86" s="212">
        <f>'Off-farm feed'!$O$26</f>
        <v>1.3419073770114994E-5</v>
      </c>
      <c r="Q86" s="212">
        <f>'Off-farm feed'!$P$26</f>
        <v>9.087837837837838E-6</v>
      </c>
      <c r="R86" s="187">
        <f>'Parameters, country spec'!H29</f>
        <v>0.1169921159057515</v>
      </c>
    </row>
    <row r="87" spans="1:18" x14ac:dyDescent="0.2">
      <c r="B87" s="17" t="s">
        <v>213</v>
      </c>
      <c r="C87" s="17" t="s">
        <v>310</v>
      </c>
      <c r="D87" s="23" t="s">
        <v>59</v>
      </c>
      <c r="E87" s="23" t="s">
        <v>60</v>
      </c>
      <c r="F87" s="211">
        <f>SUM(G87:Q87)</f>
        <v>1.3082524378321331E-4</v>
      </c>
      <c r="G87" s="101">
        <v>5.5069738126554801E-7</v>
      </c>
      <c r="H87" s="101">
        <v>9.9E-8</v>
      </c>
      <c r="I87" s="101">
        <v>9.9244353239185217E-5</v>
      </c>
      <c r="J87">
        <v>9.9244353239185299E-6</v>
      </c>
      <c r="K87" s="101">
        <v>1.2104360855314501E-7</v>
      </c>
      <c r="L87">
        <v>0</v>
      </c>
      <c r="M87">
        <v>2.6499449189897999E-9</v>
      </c>
      <c r="N87" s="14">
        <v>1.3486805208E-7</v>
      </c>
      <c r="O87" s="14"/>
      <c r="P87" s="101">
        <v>1.8648447718521899E-5</v>
      </c>
      <c r="Q87" s="101">
        <v>2.0997485147699699E-6</v>
      </c>
      <c r="R87" s="187">
        <f>'Parameters, country spec'!H30</f>
        <v>0.1235041146996869</v>
      </c>
    </row>
    <row r="88" spans="1:18" x14ac:dyDescent="0.2">
      <c r="A88" s="82"/>
      <c r="B88" s="17" t="s">
        <v>312</v>
      </c>
      <c r="C88" s="83" t="s">
        <v>313</v>
      </c>
      <c r="D88" s="23" t="s">
        <v>59</v>
      </c>
      <c r="E88" s="23" t="s">
        <v>60</v>
      </c>
      <c r="F88" s="212">
        <f>SUM(G88:Q88)</f>
        <v>6.2292875137794882E-4</v>
      </c>
      <c r="G88" s="81">
        <f t="shared" ref="G88:N88" si="19">AVERAGE(G78:G86)</f>
        <v>2.5776048696635664E-5</v>
      </c>
      <c r="H88" s="81">
        <f t="shared" si="19"/>
        <v>1.0114428558078684E-6</v>
      </c>
      <c r="I88" s="81">
        <f t="shared" si="19"/>
        <v>5.3934708575290654E-4</v>
      </c>
      <c r="J88" s="81">
        <f t="shared" si="19"/>
        <v>5.3934708575290723E-5</v>
      </c>
      <c r="K88" s="81">
        <f t="shared" si="19"/>
        <v>1.404012227267082E-6</v>
      </c>
      <c r="L88" s="81">
        <f t="shared" si="19"/>
        <v>0</v>
      </c>
      <c r="M88" s="81">
        <f t="shared" si="19"/>
        <v>2.3427299238347906E-8</v>
      </c>
      <c r="N88" s="81">
        <f t="shared" si="19"/>
        <v>1.4320259708026001E-6</v>
      </c>
      <c r="O88" s="81"/>
      <c r="P88" s="80"/>
      <c r="Q88" s="81"/>
      <c r="R88" s="187">
        <f>'Parameters, country spec'!H31</f>
        <v>0.14159815279921581</v>
      </c>
    </row>
    <row r="89" spans="1:18" x14ac:dyDescent="0.2">
      <c r="A89" s="185"/>
      <c r="B89" s="25" t="s">
        <v>314</v>
      </c>
      <c r="C89" s="26"/>
      <c r="D89" s="102"/>
      <c r="E89" s="102"/>
      <c r="F89" s="45">
        <f t="shared" ref="F89:O89" si="20">SUMPRODUCT(F78:F88,$R$78:$R$88)</f>
        <v>4.8045898707268331E-4</v>
      </c>
      <c r="G89" s="45">
        <f t="shared" si="20"/>
        <v>8.1840909769515039E-6</v>
      </c>
      <c r="H89" s="45">
        <f t="shared" si="20"/>
        <v>9.3445680804777343E-7</v>
      </c>
      <c r="I89" s="45">
        <f t="shared" si="20"/>
        <v>4.2183277286077697E-4</v>
      </c>
      <c r="J89" s="45">
        <f t="shared" si="20"/>
        <v>4.2183277286077751E-5</v>
      </c>
      <c r="K89" s="45">
        <f t="shared" si="20"/>
        <v>7.6534313346462836E-7</v>
      </c>
      <c r="L89" s="45">
        <f t="shared" si="20"/>
        <v>0</v>
      </c>
      <c r="M89" s="45">
        <f t="shared" si="20"/>
        <v>6.082027657601923E-8</v>
      </c>
      <c r="N89" s="45">
        <f t="shared" si="20"/>
        <v>1.275317033272219E-6</v>
      </c>
      <c r="O89" s="45">
        <f t="shared" si="20"/>
        <v>0</v>
      </c>
      <c r="P89" s="30">
        <f>SUMPRODUCT(P78:P88,R78:R88)</f>
        <v>3.8917148716022411E-6</v>
      </c>
      <c r="Q89" s="45">
        <f>SUMPRODUCT(Q78:Q88,$R$78:$R$88)</f>
        <v>1.3311938259142641E-6</v>
      </c>
      <c r="R89" s="188"/>
    </row>
    <row r="90" spans="1:18" x14ac:dyDescent="0.2">
      <c r="A90" s="22" t="s">
        <v>299</v>
      </c>
      <c r="B90" s="17" t="s">
        <v>198</v>
      </c>
      <c r="C90" s="17" t="s">
        <v>300</v>
      </c>
      <c r="D90" s="23" t="s">
        <v>90</v>
      </c>
      <c r="E90" s="23" t="s">
        <v>62</v>
      </c>
      <c r="F90" s="213">
        <f t="shared" ref="F90:F96" si="21">SUM(G90:Q90)</f>
        <v>5.4050107801737271E-4</v>
      </c>
      <c r="G90" s="191">
        <v>1.7348280495920599E-5</v>
      </c>
      <c r="H90" s="192">
        <v>1.1000000000000001E-6</v>
      </c>
      <c r="I90" s="195">
        <v>4.72465531207451E-4</v>
      </c>
      <c r="J90" s="195">
        <v>4.7246553120745103E-5</v>
      </c>
      <c r="K90" s="195">
        <v>7.7223974763406999E-7</v>
      </c>
      <c r="L90" s="195">
        <v>0</v>
      </c>
      <c r="M90" s="195">
        <v>5.8804621981939997E-11</v>
      </c>
      <c r="N90" s="195">
        <v>1.5684146409999999E-6</v>
      </c>
      <c r="O90" s="195"/>
      <c r="P90" s="14"/>
      <c r="Q90" s="194"/>
      <c r="R90" s="198">
        <f>'Parameters, country spec'!I21</f>
        <v>6.5976692624369268E-2</v>
      </c>
    </row>
    <row r="91" spans="1:18" x14ac:dyDescent="0.2">
      <c r="A91" s="22" t="s">
        <v>301</v>
      </c>
      <c r="B91" s="17" t="s">
        <v>201</v>
      </c>
      <c r="C91" s="17" t="s">
        <v>300</v>
      </c>
      <c r="D91" s="23" t="s">
        <v>90</v>
      </c>
      <c r="E91" s="23" t="s">
        <v>62</v>
      </c>
      <c r="F91" s="211">
        <f t="shared" si="21"/>
        <v>4.9170687326348568E-4</v>
      </c>
      <c r="G91" s="99">
        <v>1.77198396121134E-5</v>
      </c>
      <c r="H91" s="100">
        <v>1.1000000000000001E-6</v>
      </c>
      <c r="I91" s="101">
        <v>4.2801643748347341E-4</v>
      </c>
      <c r="J91" s="101">
        <v>4.28016437483474E-5</v>
      </c>
      <c r="K91" s="101">
        <v>4.68099345950762E-7</v>
      </c>
      <c r="L91" s="101">
        <v>0</v>
      </c>
      <c r="M91" s="101">
        <v>3.24384326007302E-8</v>
      </c>
      <c r="N91" s="101">
        <v>1.5684146409999999E-6</v>
      </c>
      <c r="O91" s="101"/>
      <c r="P91" s="14"/>
      <c r="Q91" s="14"/>
      <c r="R91" s="187">
        <f>'Parameters, country spec'!I22</f>
        <v>0.1981410733338565</v>
      </c>
    </row>
    <row r="92" spans="1:18" x14ac:dyDescent="0.2">
      <c r="A92" s="22" t="s">
        <v>302</v>
      </c>
      <c r="B92" s="17" t="s">
        <v>204</v>
      </c>
      <c r="C92" s="17" t="s">
        <v>300</v>
      </c>
      <c r="D92" s="23" t="s">
        <v>90</v>
      </c>
      <c r="E92" s="23" t="s">
        <v>62</v>
      </c>
      <c r="F92" s="211">
        <f t="shared" si="21"/>
        <v>5.4823029373005669E-4</v>
      </c>
      <c r="G92" s="99">
        <v>1.8237463588767599E-5</v>
      </c>
      <c r="H92" s="100">
        <v>1.1000000000000001E-6</v>
      </c>
      <c r="I92" s="101">
        <v>4.78431800356391E-4</v>
      </c>
      <c r="J92" s="101">
        <v>4.7843180035639103E-5</v>
      </c>
      <c r="K92" s="101">
        <v>1.02416499646555E-6</v>
      </c>
      <c r="L92" s="101">
        <v>0</v>
      </c>
      <c r="M92" s="101">
        <v>2.5270111793474001E-8</v>
      </c>
      <c r="N92" s="101">
        <v>1.5684146409999999E-6</v>
      </c>
      <c r="O92" s="101"/>
      <c r="P92" s="14"/>
      <c r="Q92" s="14"/>
      <c r="R92" s="187">
        <f>'Parameters, country spec'!I23</f>
        <v>2.1671841623166059E-3</v>
      </c>
    </row>
    <row r="93" spans="1:18" x14ac:dyDescent="0.2">
      <c r="A93" s="22" t="s">
        <v>303</v>
      </c>
      <c r="B93" s="17" t="s">
        <v>205</v>
      </c>
      <c r="C93" s="17" t="s">
        <v>300</v>
      </c>
      <c r="D93" s="23" t="s">
        <v>90</v>
      </c>
      <c r="E93" s="23" t="s">
        <v>62</v>
      </c>
      <c r="F93" s="211">
        <f t="shared" si="21"/>
        <v>8.8503529959118872E-4</v>
      </c>
      <c r="G93" s="99">
        <v>3.2781637272394797E-5</v>
      </c>
      <c r="H93" s="100">
        <v>1.1000000000000001E-6</v>
      </c>
      <c r="I93" s="101">
        <v>7.710376612810421E-4</v>
      </c>
      <c r="J93" s="101">
        <v>7.7103766128104205E-5</v>
      </c>
      <c r="K93" s="101">
        <v>1.44382026864755E-6</v>
      </c>
      <c r="L93" s="101">
        <v>0</v>
      </c>
      <c r="M93" s="101">
        <v>0</v>
      </c>
      <c r="N93" s="101">
        <v>1.5684146409999999E-6</v>
      </c>
      <c r="O93" s="101"/>
      <c r="P93" s="14"/>
      <c r="Q93" s="14"/>
      <c r="R93" s="187">
        <f>'Parameters, country spec'!I24</f>
        <v>8.1550834411767848E-3</v>
      </c>
    </row>
    <row r="94" spans="1:18" x14ac:dyDescent="0.2">
      <c r="A94" s="22" t="s">
        <v>304</v>
      </c>
      <c r="B94" s="17" t="s">
        <v>206</v>
      </c>
      <c r="C94" s="17" t="s">
        <v>300</v>
      </c>
      <c r="D94" s="23" t="s">
        <v>90</v>
      </c>
      <c r="E94" s="23" t="s">
        <v>62</v>
      </c>
      <c r="F94" s="211">
        <f t="shared" si="21"/>
        <v>6.4934104750531978E-4</v>
      </c>
      <c r="G94" s="99">
        <v>2.28291296848485E-5</v>
      </c>
      <c r="H94" s="100">
        <v>1.1000000000000001E-6</v>
      </c>
      <c r="I94" s="101">
        <v>5.6656287518152301E-4</v>
      </c>
      <c r="J94" s="101">
        <v>5.66562875181523E-5</v>
      </c>
      <c r="K94" s="101">
        <v>6.2434047979596701E-7</v>
      </c>
      <c r="L94" s="101">
        <v>0</v>
      </c>
      <c r="M94" s="101">
        <v>0</v>
      </c>
      <c r="N94" s="101">
        <v>1.5684146409999999E-6</v>
      </c>
      <c r="O94" s="101"/>
      <c r="P94" s="14"/>
      <c r="Q94" s="14"/>
      <c r="R94" s="187">
        <f>'Parameters, country spec'!I25</f>
        <v>0.22324493125110029</v>
      </c>
    </row>
    <row r="95" spans="1:18" x14ac:dyDescent="0.2">
      <c r="A95" s="22" t="s">
        <v>305</v>
      </c>
      <c r="B95" s="17" t="s">
        <v>207</v>
      </c>
      <c r="C95" s="17" t="s">
        <v>306</v>
      </c>
      <c r="D95" s="23" t="s">
        <v>90</v>
      </c>
      <c r="E95" s="23" t="s">
        <v>62</v>
      </c>
      <c r="F95" s="211">
        <f t="shared" si="21"/>
        <v>2.0727300008761834E-4</v>
      </c>
      <c r="G95" s="99">
        <v>0</v>
      </c>
      <c r="H95" s="100">
        <v>1.1000000000000001E-6</v>
      </c>
      <c r="I95" s="101">
        <v>1.8457295999999999E-4</v>
      </c>
      <c r="J95" s="101">
        <v>1.8457295999999999E-5</v>
      </c>
      <c r="K95" s="101">
        <v>1.6098807704065999E-6</v>
      </c>
      <c r="L95" s="101">
        <v>0</v>
      </c>
      <c r="M95" s="101">
        <v>2.0000943579174501E-7</v>
      </c>
      <c r="N95" s="101">
        <v>1.3328538814200001E-6</v>
      </c>
      <c r="O95" s="101"/>
      <c r="P95" s="14"/>
      <c r="Q95" s="14"/>
      <c r="R95" s="187">
        <f>'Parameters, country spec'!I26</f>
        <v>0</v>
      </c>
    </row>
    <row r="96" spans="1:18" x14ac:dyDescent="0.2">
      <c r="A96" s="22" t="s">
        <v>307</v>
      </c>
      <c r="B96" s="17" t="s">
        <v>208</v>
      </c>
      <c r="C96" s="17" t="s">
        <v>306</v>
      </c>
      <c r="D96" s="23" t="s">
        <v>90</v>
      </c>
      <c r="E96" s="23" t="s">
        <v>62</v>
      </c>
      <c r="F96" s="211">
        <f t="shared" si="21"/>
        <v>2.1998305327249396E-4</v>
      </c>
      <c r="G96" s="99">
        <v>7.0244415562254001E-7</v>
      </c>
      <c r="H96" s="100">
        <v>1.1000000000000001E-6</v>
      </c>
      <c r="I96" s="101">
        <v>1.956954923493564E-4</v>
      </c>
      <c r="J96" s="101">
        <v>1.9569549234935701E-5</v>
      </c>
      <c r="K96" s="101">
        <v>1.34715267052615E-6</v>
      </c>
      <c r="L96" s="101">
        <v>0</v>
      </c>
      <c r="M96" s="101">
        <v>2.2105314722E-13</v>
      </c>
      <c r="N96" s="101">
        <v>1.5684146409999999E-6</v>
      </c>
      <c r="O96" s="101"/>
      <c r="P96" s="14"/>
      <c r="Q96" s="14"/>
      <c r="R96" s="187">
        <f>'Parameters, country spec'!I27</f>
        <v>0</v>
      </c>
    </row>
    <row r="97" spans="1:19" x14ac:dyDescent="0.2">
      <c r="B97" s="18" t="s">
        <v>209</v>
      </c>
      <c r="C97" s="17" t="s">
        <v>308</v>
      </c>
      <c r="D97" s="23" t="str">
        <f>'Off-farm feed'!$D$77</f>
        <v>France, Germany, Poland</v>
      </c>
      <c r="E97" s="23" t="s">
        <v>319</v>
      </c>
      <c r="F97" s="212">
        <f>'Off-farm feed'!$E$77</f>
        <v>6.732045566157569E-4</v>
      </c>
      <c r="G97" s="212">
        <f>'Off-farm feed'!$F$77</f>
        <v>1.946970439026595E-4</v>
      </c>
      <c r="H97" s="212">
        <f>'Off-farm feed'!$G$77</f>
        <v>5.3103448275862083E-7</v>
      </c>
      <c r="I97" s="212">
        <f>'Off-farm feed'!$H$77</f>
        <v>4.2751561806777074E-4</v>
      </c>
      <c r="J97" s="212">
        <f>'Off-farm feed'!$I$77</f>
        <v>4.2751561806777089E-5</v>
      </c>
      <c r="K97" s="212">
        <f>'Off-farm feed'!$J$77</f>
        <v>6.6339607025480414E-7</v>
      </c>
      <c r="L97" s="212">
        <f>'Off-farm feed'!$K$77</f>
        <v>0</v>
      </c>
      <c r="M97" s="212">
        <f>'Off-farm feed'!$L$77</f>
        <v>7.9511067188965511E-9</v>
      </c>
      <c r="N97" s="212">
        <f>'Off-farm feed'!$M$77</f>
        <v>1.2789681892721842E-6</v>
      </c>
      <c r="O97" s="212">
        <f>'Off-farm feed'!$N$77</f>
        <v>0</v>
      </c>
      <c r="P97" s="212">
        <f>'Off-farm feed'!$O$77</f>
        <v>3.9312802868423834E-6</v>
      </c>
      <c r="Q97" s="212">
        <f>'Off-farm feed'!$P$77</f>
        <v>1.8277027027027027E-6</v>
      </c>
      <c r="R97" s="187">
        <f>'Parameters, country spec'!I28</f>
        <v>0.12320054874364431</v>
      </c>
    </row>
    <row r="98" spans="1:19" x14ac:dyDescent="0.2">
      <c r="B98" s="18" t="s">
        <v>309</v>
      </c>
      <c r="C98" s="17" t="s">
        <v>308</v>
      </c>
      <c r="D98" s="23" t="str">
        <f>'Off-farm feed'!$D$26</f>
        <v>Brazil, Argentina</v>
      </c>
      <c r="E98" s="23" t="s">
        <v>319</v>
      </c>
      <c r="F98" s="212">
        <f>'Off-farm feed'!$E$26</f>
        <v>1.8866346644602503E-4</v>
      </c>
      <c r="G98" s="212">
        <f>'Off-farm feed'!$F$26</f>
        <v>1.6332109719061435E-5</v>
      </c>
      <c r="H98" s="212">
        <f>'Off-farm feed'!$G$26</f>
        <v>8.7195121951219526E-7</v>
      </c>
      <c r="I98" s="212">
        <f>'Off-farm feed'!$H$26</f>
        <v>1.3333449845358199E-4</v>
      </c>
      <c r="J98" s="212">
        <f>'Off-farm feed'!$I$26</f>
        <v>1.3333449845358203E-5</v>
      </c>
      <c r="K98" s="212">
        <f>'Off-farm feed'!$J$26</f>
        <v>1.1576736579983929E-6</v>
      </c>
      <c r="L98" s="212">
        <f>'Off-farm feed'!$K$26</f>
        <v>0</v>
      </c>
      <c r="M98" s="212">
        <f>'Off-farm feed'!$L$26</f>
        <v>7.3437786087804875E-9</v>
      </c>
      <c r="N98" s="212">
        <f>'Off-farm feed'!$M$26</f>
        <v>1.1195281639512195E-6</v>
      </c>
      <c r="O98" s="212">
        <f>'Off-farm feed'!$N$26</f>
        <v>0</v>
      </c>
      <c r="P98" s="212">
        <f>'Off-farm feed'!$O$26</f>
        <v>1.3419073770114994E-5</v>
      </c>
      <c r="Q98" s="212">
        <f>'Off-farm feed'!$P$26</f>
        <v>9.087837837837838E-6</v>
      </c>
      <c r="R98" s="187">
        <f>'Parameters, country spec'!I29</f>
        <v>0.15910748774892911</v>
      </c>
    </row>
    <row r="99" spans="1:19" x14ac:dyDescent="0.2">
      <c r="B99" s="17" t="s">
        <v>213</v>
      </c>
      <c r="C99" s="17" t="s">
        <v>310</v>
      </c>
      <c r="D99" s="23" t="s">
        <v>90</v>
      </c>
      <c r="E99" s="23" t="s">
        <v>62</v>
      </c>
      <c r="F99" s="211">
        <f>SUM(G99:Q99)</f>
        <v>8.2639285976818797E-5</v>
      </c>
      <c r="G99" s="101">
        <v>2.0546216716363599E-6</v>
      </c>
      <c r="H99" s="101">
        <v>9.9E-8</v>
      </c>
      <c r="I99" s="101">
        <v>5.0990658766337112E-5</v>
      </c>
      <c r="J99">
        <v>5.0990658766337097E-6</v>
      </c>
      <c r="K99" s="101">
        <v>5.6190643181637003E-8</v>
      </c>
      <c r="L99">
        <v>0</v>
      </c>
      <c r="M99">
        <v>0</v>
      </c>
      <c r="N99" s="14">
        <v>1.4115731769000001E-7</v>
      </c>
      <c r="O99" s="14"/>
      <c r="P99" s="101">
        <v>2.3492890101997999E-5</v>
      </c>
      <c r="Q99" s="101">
        <v>7.0570159934197997E-7</v>
      </c>
      <c r="R99" s="187">
        <f>'Parameters, country spec'!I30</f>
        <v>1.7335418632101661E-2</v>
      </c>
      <c r="S99" t="s">
        <v>324</v>
      </c>
    </row>
    <row r="100" spans="1:19" x14ac:dyDescent="0.2">
      <c r="A100" s="82"/>
      <c r="B100" s="17" t="s">
        <v>312</v>
      </c>
      <c r="C100" s="83" t="s">
        <v>313</v>
      </c>
      <c r="D100" s="23" t="s">
        <v>90</v>
      </c>
      <c r="E100" s="23" t="s">
        <v>62</v>
      </c>
      <c r="F100" s="212">
        <f>SUM(G100:Q100)</f>
        <v>4.8618586377020221E-4</v>
      </c>
      <c r="G100" s="81">
        <f t="shared" ref="G100:N100" si="22">AVERAGE(G90:G98)</f>
        <v>3.5627549825709826E-5</v>
      </c>
      <c r="H100" s="81">
        <f t="shared" si="22"/>
        <v>1.0114428558078684E-6</v>
      </c>
      <c r="I100" s="81">
        <f t="shared" si="22"/>
        <v>4.0640365270895444E-4</v>
      </c>
      <c r="J100" s="81">
        <f t="shared" si="22"/>
        <v>4.0640365270895457E-5</v>
      </c>
      <c r="K100" s="81">
        <f t="shared" si="22"/>
        <v>1.0123075564088716E-6</v>
      </c>
      <c r="L100" s="81">
        <f t="shared" si="22"/>
        <v>0</v>
      </c>
      <c r="M100" s="81">
        <f t="shared" si="22"/>
        <v>3.0341321243195044E-8</v>
      </c>
      <c r="N100" s="81">
        <f t="shared" si="22"/>
        <v>1.4602042311826002E-6</v>
      </c>
      <c r="O100" s="81"/>
      <c r="P100" s="80"/>
      <c r="Q100" s="81"/>
      <c r="R100" s="187">
        <f>'Parameters, country spec'!I31</f>
        <v>0.20267158006250541</v>
      </c>
    </row>
    <row r="101" spans="1:19" x14ac:dyDescent="0.2">
      <c r="A101" s="185"/>
      <c r="B101" s="25" t="s">
        <v>314</v>
      </c>
      <c r="C101" s="26"/>
      <c r="D101" s="102"/>
      <c r="E101" s="102"/>
      <c r="F101" s="45">
        <f t="shared" ref="F101:O101" si="23">SUMPRODUCT(F90:F100,$R$90:$R$100)</f>
        <v>4.9938113615706503E-4</v>
      </c>
      <c r="G101" s="45">
        <f t="shared" si="23"/>
        <v>4.3900611764803701E-5</v>
      </c>
      <c r="H101" s="45">
        <f t="shared" si="23"/>
        <v>9.5831809712205268E-7</v>
      </c>
      <c r="I101" s="45">
        <f t="shared" si="23"/>
        <v>4.0692145653481389E-4</v>
      </c>
      <c r="J101" s="45">
        <f t="shared" si="23"/>
        <v>4.0692145653481405E-5</v>
      </c>
      <c r="K101" s="45">
        <f t="shared" si="23"/>
        <v>7.6913977524605243E-7</v>
      </c>
      <c r="L101" s="45">
        <f t="shared" si="23"/>
        <v>0</v>
      </c>
      <c r="M101" s="45">
        <f t="shared" si="23"/>
        <v>1.4783384966761948E-8</v>
      </c>
      <c r="N101" s="45">
        <f t="shared" si="23"/>
        <v>1.4146602017353181E-6</v>
      </c>
      <c r="O101" s="45">
        <f t="shared" si="23"/>
        <v>0</v>
      </c>
      <c r="P101" s="30">
        <f>SUMPRODUCT(P90:P100,R90:R100)</f>
        <v>3.0266700888806933E-6</v>
      </c>
      <c r="Q101" s="45">
        <f>SUMPRODUCT(Q90:Q100,$R$90:$R$100)</f>
        <v>1.6833506560151898E-6</v>
      </c>
      <c r="R101" s="188"/>
    </row>
    <row r="102" spans="1:19" x14ac:dyDescent="0.2">
      <c r="A102" s="22" t="s">
        <v>299</v>
      </c>
      <c r="B102" s="17" t="s">
        <v>198</v>
      </c>
      <c r="C102" s="17" t="s">
        <v>300</v>
      </c>
      <c r="D102" s="23" t="s">
        <v>63</v>
      </c>
      <c r="E102" s="23" t="s">
        <v>64</v>
      </c>
      <c r="F102" s="213">
        <f t="shared" ref="F102:F108" si="24">SUM(G102:Q102)</f>
        <v>7.6696358474400187E-4</v>
      </c>
      <c r="G102" s="191">
        <v>2.6533375174134799E-5</v>
      </c>
      <c r="H102" s="192">
        <v>1.1000000000000001E-6</v>
      </c>
      <c r="I102" s="195">
        <v>6.6964096180350803E-4</v>
      </c>
      <c r="J102" s="195">
        <v>6.6964096180350798E-5</v>
      </c>
      <c r="K102" s="195">
        <v>1.2035756853396901E-6</v>
      </c>
      <c r="L102" s="195">
        <v>0</v>
      </c>
      <c r="M102" s="195">
        <v>4.0468638400000002E-14</v>
      </c>
      <c r="N102" s="195">
        <v>1.5215758602E-6</v>
      </c>
      <c r="O102" s="195"/>
      <c r="P102" s="14"/>
      <c r="Q102" s="194"/>
      <c r="R102" s="198">
        <f>'Parameters, country spec'!J21</f>
        <v>0.1699689878759473</v>
      </c>
    </row>
    <row r="103" spans="1:19" x14ac:dyDescent="0.2">
      <c r="A103" s="22" t="s">
        <v>301</v>
      </c>
      <c r="B103" s="17" t="s">
        <v>201</v>
      </c>
      <c r="C103" s="17" t="s">
        <v>300</v>
      </c>
      <c r="D103" s="23" t="s">
        <v>63</v>
      </c>
      <c r="E103" s="23" t="s">
        <v>64</v>
      </c>
      <c r="F103" s="211">
        <f t="shared" si="24"/>
        <v>6.1017364080065493E-4</v>
      </c>
      <c r="G103" s="99">
        <v>2.2376108534218499E-5</v>
      </c>
      <c r="H103" s="100">
        <v>1.1000000000000001E-6</v>
      </c>
      <c r="I103" s="101">
        <v>5.3142748224594837E-4</v>
      </c>
      <c r="J103" s="101">
        <v>5.3142748224594797E-5</v>
      </c>
      <c r="K103" s="101">
        <v>6.0234873056705096E-7</v>
      </c>
      <c r="L103" s="101">
        <v>0</v>
      </c>
      <c r="M103" s="101">
        <v>3.3772051261859101E-9</v>
      </c>
      <c r="N103" s="101">
        <v>1.5215758602E-6</v>
      </c>
      <c r="O103" s="101"/>
      <c r="P103" s="14"/>
      <c r="Q103" s="14"/>
      <c r="R103" s="187">
        <f>'Parameters, country spec'!J22</f>
        <v>0.2328388503447609</v>
      </c>
    </row>
    <row r="104" spans="1:19" x14ac:dyDescent="0.2">
      <c r="A104" s="22" t="s">
        <v>302</v>
      </c>
      <c r="B104" s="17" t="s">
        <v>204</v>
      </c>
      <c r="C104" s="17" t="s">
        <v>300</v>
      </c>
      <c r="D104" s="23" t="s">
        <v>63</v>
      </c>
      <c r="E104" s="23" t="s">
        <v>64</v>
      </c>
      <c r="F104" s="211">
        <f t="shared" si="24"/>
        <v>7.7542919636243814E-4</v>
      </c>
      <c r="G104" s="99">
        <v>2.74338362257975E-5</v>
      </c>
      <c r="H104" s="100">
        <v>1.1000000000000001E-6</v>
      </c>
      <c r="I104" s="101">
        <v>6.7618533197909996E-4</v>
      </c>
      <c r="J104" s="101">
        <v>6.7618533197909994E-5</v>
      </c>
      <c r="K104" s="101">
        <v>1.5699189230533901E-6</v>
      </c>
      <c r="L104" s="101">
        <v>0</v>
      </c>
      <c r="M104" s="101">
        <v>1.7637740003599999E-13</v>
      </c>
      <c r="N104" s="101">
        <v>1.5215758602E-6</v>
      </c>
      <c r="O104" s="101"/>
      <c r="P104" s="14"/>
      <c r="Q104" s="14"/>
      <c r="R104" s="187">
        <f>'Parameters, country spec'!J23</f>
        <v>5.0904696791723991E-3</v>
      </c>
    </row>
    <row r="105" spans="1:19" x14ac:dyDescent="0.2">
      <c r="A105" s="22" t="s">
        <v>303</v>
      </c>
      <c r="B105" s="17" t="s">
        <v>205</v>
      </c>
      <c r="C105" s="17" t="s">
        <v>300</v>
      </c>
      <c r="D105" s="23" t="s">
        <v>63</v>
      </c>
      <c r="E105" s="23" t="s">
        <v>64</v>
      </c>
      <c r="F105" s="211">
        <f t="shared" si="24"/>
        <v>9.1547339181212797E-4</v>
      </c>
      <c r="G105" s="99">
        <v>3.34732159669112E-5</v>
      </c>
      <c r="H105" s="100">
        <v>1.1000000000000001E-6</v>
      </c>
      <c r="I105" s="101">
        <v>7.9806933701305092E-4</v>
      </c>
      <c r="J105" s="101">
        <v>7.9806933701305198E-5</v>
      </c>
      <c r="K105" s="101">
        <v>1.5023292575201099E-6</v>
      </c>
      <c r="L105" s="101">
        <v>0</v>
      </c>
      <c r="M105" s="101">
        <v>1.3140560710799999E-14</v>
      </c>
      <c r="N105" s="101">
        <v>1.5215758602E-6</v>
      </c>
      <c r="O105" s="101"/>
      <c r="P105" s="14"/>
      <c r="Q105" s="14"/>
      <c r="R105" s="187">
        <f>'Parameters, country spec'!J24</f>
        <v>6.6462863913214348E-2</v>
      </c>
    </row>
    <row r="106" spans="1:19" x14ac:dyDescent="0.2">
      <c r="A106" s="22" t="s">
        <v>304</v>
      </c>
      <c r="B106" s="17" t="s">
        <v>206</v>
      </c>
      <c r="C106" s="17" t="s">
        <v>300</v>
      </c>
      <c r="D106" s="23" t="s">
        <v>63</v>
      </c>
      <c r="E106" s="23" t="s">
        <v>64</v>
      </c>
      <c r="F106" s="211">
        <f t="shared" si="24"/>
        <v>9.7067859991607406E-4</v>
      </c>
      <c r="G106" s="99">
        <v>3.5903303170938602E-5</v>
      </c>
      <c r="H106" s="100">
        <v>1.1000000000000001E-6</v>
      </c>
      <c r="I106" s="101">
        <v>8.4650285551226103E-4</v>
      </c>
      <c r="J106" s="101">
        <v>8.4650285551226095E-5</v>
      </c>
      <c r="K106" s="101">
        <v>1.00057981336048E-6</v>
      </c>
      <c r="L106" s="101">
        <v>0</v>
      </c>
      <c r="M106" s="101">
        <v>8.0878203452000004E-15</v>
      </c>
      <c r="N106" s="101">
        <v>1.5215758602E-6</v>
      </c>
      <c r="O106" s="101"/>
      <c r="P106" s="14"/>
      <c r="Q106" s="14"/>
      <c r="R106" s="187">
        <f>'Parameters, country spec'!J25</f>
        <v>0.26723420141656068</v>
      </c>
    </row>
    <row r="107" spans="1:19" x14ac:dyDescent="0.2">
      <c r="A107" s="22" t="s">
        <v>305</v>
      </c>
      <c r="B107" s="17" t="s">
        <v>207</v>
      </c>
      <c r="C107" s="17" t="s">
        <v>306</v>
      </c>
      <c r="D107" s="23" t="s">
        <v>63</v>
      </c>
      <c r="E107" s="23" t="s">
        <v>64</v>
      </c>
      <c r="F107" s="211">
        <f t="shared" si="24"/>
        <v>2.0790138888415369E-4</v>
      </c>
      <c r="G107" s="99">
        <v>0</v>
      </c>
      <c r="H107" s="100">
        <v>1.1000000000000001E-6</v>
      </c>
      <c r="I107" s="101">
        <v>1.8457295999999999E-4</v>
      </c>
      <c r="J107" s="101">
        <v>1.8457295999999999E-5</v>
      </c>
      <c r="K107" s="101">
        <v>2.2494532199271001E-6</v>
      </c>
      <c r="L107" s="101">
        <v>0</v>
      </c>
      <c r="M107" s="101">
        <v>1.038040266076E-10</v>
      </c>
      <c r="N107" s="101">
        <v>1.5215758602E-6</v>
      </c>
      <c r="O107" s="101"/>
      <c r="P107" s="14"/>
      <c r="Q107" s="14"/>
      <c r="R107" s="187">
        <f>'Parameters, country spec'!J26</f>
        <v>4.1789296546899217E-3</v>
      </c>
    </row>
    <row r="108" spans="1:19" x14ac:dyDescent="0.2">
      <c r="A108" s="22" t="s">
        <v>307</v>
      </c>
      <c r="B108" s="17" t="s">
        <v>208</v>
      </c>
      <c r="C108" s="17" t="s">
        <v>306</v>
      </c>
      <c r="D108" s="23" t="s">
        <v>63</v>
      </c>
      <c r="E108" s="23" t="s">
        <v>64</v>
      </c>
      <c r="F108" s="211">
        <f t="shared" si="24"/>
        <v>2.2514369738538717E-4</v>
      </c>
      <c r="G108" s="99">
        <v>8.9196149290068503E-7</v>
      </c>
      <c r="H108" s="100">
        <v>1.1000000000000001E-6</v>
      </c>
      <c r="I108" s="101">
        <v>1.9989721070580411E-4</v>
      </c>
      <c r="J108" s="101">
        <v>1.9989721070580399E-5</v>
      </c>
      <c r="K108" s="101">
        <v>1.74315622218462E-6</v>
      </c>
      <c r="L108" s="101">
        <v>0</v>
      </c>
      <c r="M108" s="101">
        <v>7.2033717345296003E-11</v>
      </c>
      <c r="N108" s="101">
        <v>1.5215758602E-6</v>
      </c>
      <c r="O108" s="101"/>
      <c r="P108" s="14"/>
      <c r="Q108" s="14"/>
      <c r="R108" s="187">
        <f>'Parameters, country spec'!J27</f>
        <v>4.1050860427910684E-3</v>
      </c>
    </row>
    <row r="109" spans="1:19" x14ac:dyDescent="0.2">
      <c r="B109" s="18" t="s">
        <v>209</v>
      </c>
      <c r="C109" s="17" t="s">
        <v>308</v>
      </c>
      <c r="D109" s="23" t="str">
        <f>'Off-farm feed'!$D$77</f>
        <v>France, Germany, Poland</v>
      </c>
      <c r="E109" s="23" t="s">
        <v>319</v>
      </c>
      <c r="F109" s="212">
        <f>'Off-farm feed'!$E$77</f>
        <v>6.732045566157569E-4</v>
      </c>
      <c r="G109" s="212">
        <f>'Off-farm feed'!$F$77</f>
        <v>1.946970439026595E-4</v>
      </c>
      <c r="H109" s="212">
        <f>'Off-farm feed'!$G$77</f>
        <v>5.3103448275862083E-7</v>
      </c>
      <c r="I109" s="212">
        <f>'Off-farm feed'!$H$77</f>
        <v>4.2751561806777074E-4</v>
      </c>
      <c r="J109" s="212">
        <f>'Off-farm feed'!$I$77</f>
        <v>4.2751561806777089E-5</v>
      </c>
      <c r="K109" s="212">
        <f>'Off-farm feed'!$J$77</f>
        <v>6.6339607025480414E-7</v>
      </c>
      <c r="L109" s="212">
        <f>'Off-farm feed'!$K$77</f>
        <v>0</v>
      </c>
      <c r="M109" s="212">
        <f>'Off-farm feed'!$L$77</f>
        <v>7.9511067188965511E-9</v>
      </c>
      <c r="N109" s="212">
        <f>'Off-farm feed'!$M$77</f>
        <v>1.2789681892721842E-6</v>
      </c>
      <c r="O109" s="212">
        <f>'Off-farm feed'!$N$77</f>
        <v>0</v>
      </c>
      <c r="P109" s="212">
        <f>'Off-farm feed'!$O$77</f>
        <v>3.9312802868423834E-6</v>
      </c>
      <c r="Q109" s="212">
        <f>'Off-farm feed'!$P$77</f>
        <v>1.8277027027027027E-6</v>
      </c>
      <c r="R109" s="187">
        <f>'Parameters, country spec'!J28</f>
        <v>3.0119810543340508E-2</v>
      </c>
    </row>
    <row r="110" spans="1:19" x14ac:dyDescent="0.2">
      <c r="B110" s="18" t="s">
        <v>309</v>
      </c>
      <c r="C110" s="17" t="s">
        <v>308</v>
      </c>
      <c r="D110" s="23" t="str">
        <f>'Off-farm feed'!$D$26</f>
        <v>Brazil, Argentina</v>
      </c>
      <c r="E110" s="23" t="s">
        <v>319</v>
      </c>
      <c r="F110" s="212">
        <f>'Off-farm feed'!$E$26</f>
        <v>1.8866346644602503E-4</v>
      </c>
      <c r="G110" s="212">
        <f>'Off-farm feed'!$F$26</f>
        <v>1.6332109719061435E-5</v>
      </c>
      <c r="H110" s="212">
        <f>'Off-farm feed'!$G$26</f>
        <v>8.7195121951219526E-7</v>
      </c>
      <c r="I110" s="212">
        <f>'Off-farm feed'!$H$26</f>
        <v>1.3333449845358199E-4</v>
      </c>
      <c r="J110" s="212">
        <f>'Off-farm feed'!$I$26</f>
        <v>1.3333449845358203E-5</v>
      </c>
      <c r="K110" s="212">
        <f>'Off-farm feed'!$J$26</f>
        <v>1.1576736579983929E-6</v>
      </c>
      <c r="L110" s="212">
        <f>'Off-farm feed'!$K$26</f>
        <v>0</v>
      </c>
      <c r="M110" s="212">
        <f>'Off-farm feed'!$L$26</f>
        <v>7.3437786087804875E-9</v>
      </c>
      <c r="N110" s="212">
        <f>'Off-farm feed'!$M$26</f>
        <v>1.1195281639512195E-6</v>
      </c>
      <c r="O110" s="212">
        <f>'Off-farm feed'!$N$26</f>
        <v>0</v>
      </c>
      <c r="P110" s="212">
        <f>'Off-farm feed'!$O$26</f>
        <v>1.3419073770114994E-5</v>
      </c>
      <c r="Q110" s="212">
        <f>'Off-farm feed'!$P$26</f>
        <v>9.087837837837838E-6</v>
      </c>
      <c r="R110" s="187">
        <f>'Parameters, country spec'!J29</f>
        <v>0.1050568603152183</v>
      </c>
    </row>
    <row r="111" spans="1:19" x14ac:dyDescent="0.2">
      <c r="B111" s="17" t="s">
        <v>213</v>
      </c>
      <c r="C111" s="17" t="s">
        <v>310</v>
      </c>
      <c r="D111" s="23" t="s">
        <v>63</v>
      </c>
      <c r="E111" s="23" t="s">
        <v>64</v>
      </c>
      <c r="F111" s="211">
        <f>SUM(G111:Q111)</f>
        <v>1.0756621758759058E-4</v>
      </c>
      <c r="G111" s="101">
        <v>3.23129728538447E-6</v>
      </c>
      <c r="H111" s="101">
        <v>9.9E-8</v>
      </c>
      <c r="I111" s="101">
        <v>7.6185256996103506E-5</v>
      </c>
      <c r="J111">
        <v>7.6185256996103501E-6</v>
      </c>
      <c r="K111" s="101">
        <v>9.0052183202443105E-8</v>
      </c>
      <c r="L111">
        <v>0</v>
      </c>
      <c r="M111">
        <v>7.2790383106799998E-16</v>
      </c>
      <c r="N111" s="14">
        <v>1.36941827418E-7</v>
      </c>
      <c r="O111" s="14"/>
      <c r="P111" s="101">
        <v>1.9943224185242898E-5</v>
      </c>
      <c r="Q111" s="101">
        <v>2.6191940990099401E-7</v>
      </c>
      <c r="R111" s="187">
        <f>'Parameters, country spec'!J30</f>
        <v>5.1412336687770267E-2</v>
      </c>
    </row>
    <row r="112" spans="1:19" x14ac:dyDescent="0.2">
      <c r="A112" s="82"/>
      <c r="B112" s="17" t="s">
        <v>312</v>
      </c>
      <c r="C112" s="83" t="s">
        <v>313</v>
      </c>
      <c r="D112" s="23" t="s">
        <v>63</v>
      </c>
      <c r="E112" s="23" t="s">
        <v>64</v>
      </c>
      <c r="F112" s="212">
        <f>SUM(G112:Q112)</f>
        <v>5.8948506981879132E-4</v>
      </c>
      <c r="G112" s="81">
        <f t="shared" ref="G112:N112" si="25">AVERAGE(G102:G110)</f>
        <v>3.9737883798513583E-5</v>
      </c>
      <c r="H112" s="81">
        <f t="shared" si="25"/>
        <v>1.0114428558078684E-6</v>
      </c>
      <c r="I112" s="81">
        <f t="shared" si="25"/>
        <v>4.9634958397566957E-4</v>
      </c>
      <c r="J112" s="81">
        <f t="shared" si="25"/>
        <v>4.9634958397566955E-5</v>
      </c>
      <c r="K112" s="81">
        <f t="shared" si="25"/>
        <v>1.2991590644672928E-6</v>
      </c>
      <c r="L112" s="81">
        <f t="shared" si="25"/>
        <v>0</v>
      </c>
      <c r="M112" s="81">
        <f t="shared" si="25"/>
        <v>2.0942406969150372E-9</v>
      </c>
      <c r="N112" s="81">
        <f t="shared" si="25"/>
        <v>1.4499474860692671E-6</v>
      </c>
      <c r="O112" s="81"/>
      <c r="P112" s="80"/>
      <c r="Q112" s="81"/>
      <c r="R112" s="187">
        <f>'Parameters, country spec'!J31</f>
        <v>6.3531603526534211E-2</v>
      </c>
    </row>
    <row r="113" spans="1:20" x14ac:dyDescent="0.2">
      <c r="A113" s="185"/>
      <c r="B113" s="25" t="s">
        <v>314</v>
      </c>
      <c r="C113" s="26"/>
      <c r="D113" s="102"/>
      <c r="E113" s="102"/>
      <c r="F113" s="45">
        <f t="shared" ref="F113:O113" si="26">SUMPRODUCT(F102:F112,$R$102:$R$112)</f>
        <v>6.8149434302825678E-4</v>
      </c>
      <c r="G113" s="45">
        <f t="shared" si="26"/>
        <v>3.1953285615942352E-5</v>
      </c>
      <c r="H113" s="45">
        <f t="shared" si="26"/>
        <v>1.001814851139518E-6</v>
      </c>
      <c r="I113" s="45">
        <f t="shared" si="26"/>
        <v>5.8418080271302887E-4</v>
      </c>
      <c r="J113" s="45">
        <f t="shared" si="26"/>
        <v>5.8418080271302879E-5</v>
      </c>
      <c r="K113" s="45">
        <f t="shared" si="26"/>
        <v>9.6537709258983967E-7</v>
      </c>
      <c r="L113" s="45">
        <f t="shared" si="26"/>
        <v>0</v>
      </c>
      <c r="M113" s="45">
        <f t="shared" si="26"/>
        <v>1.9311355227914991E-9</v>
      </c>
      <c r="N113" s="45">
        <f t="shared" si="26"/>
        <v>1.3962927579011723E-6</v>
      </c>
      <c r="O113" s="45">
        <f t="shared" si="26"/>
        <v>0</v>
      </c>
      <c r="P113" s="30">
        <f>SUMPRODUCT(P102:P112,R102:R112)</f>
        <v>2.5535029325104333E-6</v>
      </c>
      <c r="Q113" s="45">
        <f>SUMPRODUCT(Q102:Q112,$R$102:$R$112)</f>
        <v>1.023255658318934E-6</v>
      </c>
      <c r="R113" s="188"/>
    </row>
    <row r="114" spans="1:20" x14ac:dyDescent="0.2">
      <c r="A114" s="22" t="s">
        <v>299</v>
      </c>
      <c r="B114" s="17" t="s">
        <v>198</v>
      </c>
      <c r="C114" s="17" t="s">
        <v>300</v>
      </c>
      <c r="D114" s="23" t="s">
        <v>65</v>
      </c>
      <c r="E114" s="23" t="s">
        <v>66</v>
      </c>
      <c r="F114" s="213">
        <f t="shared" ref="F114:F120" si="27">SUM(G114:Q114)</f>
        <v>7.5793369764586287E-4</v>
      </c>
      <c r="G114" s="191">
        <v>1.6656438537736301E-5</v>
      </c>
      <c r="H114" s="192">
        <v>1.1000000000000001E-6</v>
      </c>
      <c r="I114" s="195">
        <v>6.7006907764630402E-4</v>
      </c>
      <c r="J114" s="195">
        <v>6.7006907764630393E-5</v>
      </c>
      <c r="K114" s="195">
        <v>1.64848484848485E-6</v>
      </c>
      <c r="L114" s="195">
        <v>0</v>
      </c>
      <c r="M114" s="195">
        <v>4.0461011107327797E-8</v>
      </c>
      <c r="N114" s="195">
        <v>1.4123278375999999E-6</v>
      </c>
      <c r="O114" s="195"/>
      <c r="P114" s="14"/>
      <c r="Q114" s="194"/>
      <c r="R114" s="198">
        <f>'Parameters, country spec'!K21</f>
        <v>0.21894700375858381</v>
      </c>
    </row>
    <row r="115" spans="1:20" x14ac:dyDescent="0.2">
      <c r="A115" s="22" t="s">
        <v>301</v>
      </c>
      <c r="B115" s="17" t="s">
        <v>201</v>
      </c>
      <c r="C115" s="17" t="s">
        <v>300</v>
      </c>
      <c r="D115" s="23" t="s">
        <v>65</v>
      </c>
      <c r="E115" s="23" t="s">
        <v>66</v>
      </c>
      <c r="F115" s="211">
        <f t="shared" si="27"/>
        <v>3.2230444816981531E-4</v>
      </c>
      <c r="G115" s="99">
        <v>6.0676976287880996E-6</v>
      </c>
      <c r="H115" s="100">
        <v>1.1000000000000001E-6</v>
      </c>
      <c r="I115" s="101">
        <v>2.8397749857393798E-4</v>
      </c>
      <c r="J115" s="101">
        <v>2.8397749857393802E-5</v>
      </c>
      <c r="K115" s="101">
        <v>3.5637667829090599E-7</v>
      </c>
      <c r="L115" s="101">
        <v>0</v>
      </c>
      <c r="M115" s="101">
        <v>9.9279759380455499E-7</v>
      </c>
      <c r="N115" s="101">
        <v>1.4123278375999999E-6</v>
      </c>
      <c r="O115" s="101"/>
      <c r="P115" s="14"/>
      <c r="Q115" s="14"/>
      <c r="R115" s="187">
        <f>'Parameters, country spec'!K22</f>
        <v>0.28877148486086363</v>
      </c>
    </row>
    <row r="116" spans="1:20" x14ac:dyDescent="0.2">
      <c r="A116" s="22" t="s">
        <v>302</v>
      </c>
      <c r="B116" s="17" t="s">
        <v>204</v>
      </c>
      <c r="C116" s="17" t="s">
        <v>300</v>
      </c>
      <c r="D116" s="23" t="s">
        <v>65</v>
      </c>
      <c r="E116" s="23" t="s">
        <v>66</v>
      </c>
      <c r="F116" s="211">
        <f t="shared" si="27"/>
        <v>8.2032664331825405E-4</v>
      </c>
      <c r="G116" s="99">
        <v>1.9268303553438E-5</v>
      </c>
      <c r="H116" s="100">
        <v>1.1000000000000001E-6</v>
      </c>
      <c r="I116" s="101">
        <v>7.2371036062986508E-4</v>
      </c>
      <c r="J116" s="101">
        <v>7.2371036062986502E-5</v>
      </c>
      <c r="K116" s="101">
        <v>2.4057808730306002E-6</v>
      </c>
      <c r="L116" s="101">
        <v>0</v>
      </c>
      <c r="M116" s="101">
        <v>5.8834361333881001E-8</v>
      </c>
      <c r="N116" s="101">
        <v>1.4123278375999999E-6</v>
      </c>
      <c r="O116" s="101"/>
      <c r="P116" s="14"/>
      <c r="Q116" s="14"/>
      <c r="R116" s="187">
        <f>'Parameters, country spec'!K23</f>
        <v>3.4137674118133308E-2</v>
      </c>
    </row>
    <row r="117" spans="1:20" x14ac:dyDescent="0.2">
      <c r="A117" s="22" t="s">
        <v>303</v>
      </c>
      <c r="B117" s="17" t="s">
        <v>205</v>
      </c>
      <c r="C117" s="17" t="s">
        <v>300</v>
      </c>
      <c r="D117" s="23" t="s">
        <v>65</v>
      </c>
      <c r="E117" s="23" t="s">
        <v>66</v>
      </c>
      <c r="F117" s="211">
        <f t="shared" si="27"/>
        <v>9.4685032492134531E-4</v>
      </c>
      <c r="G117" s="99">
        <v>2.3403482752626099E-5</v>
      </c>
      <c r="H117" s="100">
        <v>1.1000000000000001E-6</v>
      </c>
      <c r="I117" s="101">
        <v>8.3505960069387699E-4</v>
      </c>
      <c r="J117" s="101">
        <v>8.3505960069387699E-5</v>
      </c>
      <c r="K117" s="101">
        <v>2.2917649979166499E-6</v>
      </c>
      <c r="L117" s="101">
        <v>0</v>
      </c>
      <c r="M117" s="101">
        <v>7.7188569937927195E-8</v>
      </c>
      <c r="N117" s="101">
        <v>1.4123278375999999E-6</v>
      </c>
      <c r="O117" s="101"/>
      <c r="P117" s="14"/>
      <c r="Q117" s="14"/>
      <c r="R117" s="187">
        <f>'Parameters, country spec'!K24</f>
        <v>9.0108782601985467E-3</v>
      </c>
    </row>
    <row r="118" spans="1:20" x14ac:dyDescent="0.2">
      <c r="A118" s="22" t="s">
        <v>304</v>
      </c>
      <c r="B118" s="17" t="s">
        <v>206</v>
      </c>
      <c r="C118" s="17" t="s">
        <v>300</v>
      </c>
      <c r="D118" s="23" t="s">
        <v>65</v>
      </c>
      <c r="E118" s="23" t="s">
        <v>66</v>
      </c>
      <c r="F118" s="211">
        <f t="shared" si="27"/>
        <v>9.9422818122045834E-4</v>
      </c>
      <c r="G118" s="99">
        <v>2.50158305670159E-5</v>
      </c>
      <c r="H118" s="100">
        <v>1.1000000000000001E-6</v>
      </c>
      <c r="I118" s="101">
        <v>8.7739061438280193E-4</v>
      </c>
      <c r="J118" s="101">
        <v>8.7739061438280199E-5</v>
      </c>
      <c r="K118" s="101">
        <v>1.5210873786407801E-6</v>
      </c>
      <c r="L118" s="101">
        <v>0</v>
      </c>
      <c r="M118" s="101">
        <v>4.92596161193171E-8</v>
      </c>
      <c r="N118" s="101">
        <v>1.4123278375999999E-6</v>
      </c>
      <c r="O118" s="101"/>
      <c r="P118" s="14"/>
      <c r="Q118" s="14"/>
      <c r="R118" s="187">
        <f>'Parameters, country spec'!K25</f>
        <v>0.18547053507474909</v>
      </c>
    </row>
    <row r="119" spans="1:20" x14ac:dyDescent="0.2">
      <c r="A119" s="22" t="s">
        <v>305</v>
      </c>
      <c r="B119" s="17" t="s">
        <v>207</v>
      </c>
      <c r="C119" s="17" t="s">
        <v>306</v>
      </c>
      <c r="D119" s="23" t="s">
        <v>65</v>
      </c>
      <c r="E119" s="23" t="s">
        <v>66</v>
      </c>
      <c r="F119" s="211">
        <f t="shared" si="27"/>
        <v>3.4494332405198534E-4</v>
      </c>
      <c r="G119" s="99">
        <v>0</v>
      </c>
      <c r="H119" s="100">
        <v>1.1000000000000001E-6</v>
      </c>
      <c r="I119" s="101">
        <v>3.0762159999999999E-4</v>
      </c>
      <c r="J119" s="101">
        <v>3.0762159999999999E-5</v>
      </c>
      <c r="K119" s="101">
        <v>3.5726450367868798E-6</v>
      </c>
      <c r="L119" s="101">
        <v>0</v>
      </c>
      <c r="M119" s="101">
        <v>4.7459117759844598E-7</v>
      </c>
      <c r="N119" s="101">
        <v>1.4123278375999999E-6</v>
      </c>
      <c r="O119" s="101"/>
      <c r="P119" s="14"/>
      <c r="Q119" s="14"/>
      <c r="R119" s="187">
        <f>'Parameters, country spec'!K26</f>
        <v>6.9661330661395359E-3</v>
      </c>
    </row>
    <row r="120" spans="1:20" x14ac:dyDescent="0.2">
      <c r="A120" s="22" t="s">
        <v>307</v>
      </c>
      <c r="B120" s="17" t="s">
        <v>208</v>
      </c>
      <c r="C120" s="17" t="s">
        <v>306</v>
      </c>
      <c r="D120" s="23" t="s">
        <v>65</v>
      </c>
      <c r="E120" s="23" t="s">
        <v>66</v>
      </c>
      <c r="F120" s="211">
        <f t="shared" si="27"/>
        <v>3.6818817979115932E-4</v>
      </c>
      <c r="G120" s="99">
        <v>8.9627430212095202E-7</v>
      </c>
      <c r="H120" s="100">
        <v>1.1000000000000001E-6</v>
      </c>
      <c r="I120" s="101">
        <v>3.2767948955501999E-4</v>
      </c>
      <c r="J120" s="101">
        <v>3.2767948955502001E-5</v>
      </c>
      <c r="K120" s="101">
        <v>3.8216688707544397E-6</v>
      </c>
      <c r="L120" s="101">
        <v>0</v>
      </c>
      <c r="M120" s="101">
        <v>5.1047027016191603E-7</v>
      </c>
      <c r="N120" s="101">
        <v>1.4123278375999999E-6</v>
      </c>
      <c r="O120" s="101"/>
      <c r="P120" s="14"/>
      <c r="Q120" s="14"/>
      <c r="R120" s="187">
        <f>'Parameters, country spec'!K27</f>
        <v>6.843038286368717E-3</v>
      </c>
    </row>
    <row r="121" spans="1:20" x14ac:dyDescent="0.2">
      <c r="B121" s="18" t="s">
        <v>209</v>
      </c>
      <c r="C121" s="17" t="s">
        <v>308</v>
      </c>
      <c r="D121" s="23" t="str">
        <f>'Off-farm feed'!$D$77</f>
        <v>France, Germany, Poland</v>
      </c>
      <c r="E121" s="23" t="s">
        <v>319</v>
      </c>
      <c r="F121" s="212">
        <f>'Off-farm feed'!$E$77</f>
        <v>6.732045566157569E-4</v>
      </c>
      <c r="G121" s="212">
        <f>'Off-farm feed'!$F$77</f>
        <v>1.946970439026595E-4</v>
      </c>
      <c r="H121" s="212">
        <f>'Off-farm feed'!$G$77</f>
        <v>5.3103448275862083E-7</v>
      </c>
      <c r="I121" s="212">
        <f>'Off-farm feed'!$H$77</f>
        <v>4.2751561806777074E-4</v>
      </c>
      <c r="J121" s="212">
        <f>'Off-farm feed'!$I$77</f>
        <v>4.2751561806777089E-5</v>
      </c>
      <c r="K121" s="212">
        <f>'Off-farm feed'!$J$77</f>
        <v>6.6339607025480414E-7</v>
      </c>
      <c r="L121" s="212">
        <f>'Off-farm feed'!$K$77</f>
        <v>0</v>
      </c>
      <c r="M121" s="212">
        <f>'Off-farm feed'!$L$77</f>
        <v>7.9511067188965511E-9</v>
      </c>
      <c r="N121" s="212">
        <f>'Off-farm feed'!$M$77</f>
        <v>1.2789681892721842E-6</v>
      </c>
      <c r="O121" s="212">
        <f>'Off-farm feed'!$N$77</f>
        <v>0</v>
      </c>
      <c r="P121" s="212">
        <f>'Off-farm feed'!$O$77</f>
        <v>3.9312802868423834E-6</v>
      </c>
      <c r="Q121" s="212">
        <f>'Off-farm feed'!$P$77</f>
        <v>1.8277027027027027E-6</v>
      </c>
      <c r="R121" s="187">
        <f>'Parameters, country spec'!K28</f>
        <v>2.017458178365223E-2</v>
      </c>
    </row>
    <row r="122" spans="1:20" x14ac:dyDescent="0.2">
      <c r="B122" s="18" t="s">
        <v>309</v>
      </c>
      <c r="C122" s="17" t="s">
        <v>308</v>
      </c>
      <c r="D122" s="23" t="str">
        <f>'Off-farm feed'!$D$26</f>
        <v>Brazil, Argentina</v>
      </c>
      <c r="E122" s="23" t="s">
        <v>319</v>
      </c>
      <c r="F122" s="212">
        <f>'Off-farm feed'!$E$26</f>
        <v>1.8866346644602503E-4</v>
      </c>
      <c r="G122" s="212">
        <f>'Off-farm feed'!$F$26</f>
        <v>1.6332109719061435E-5</v>
      </c>
      <c r="H122" s="212">
        <f>'Off-farm feed'!$G$26</f>
        <v>8.7195121951219526E-7</v>
      </c>
      <c r="I122" s="212">
        <f>'Off-farm feed'!$H$26</f>
        <v>1.3333449845358199E-4</v>
      </c>
      <c r="J122" s="212">
        <f>'Off-farm feed'!$I$26</f>
        <v>1.3333449845358203E-5</v>
      </c>
      <c r="K122" s="212">
        <f>'Off-farm feed'!$J$26</f>
        <v>1.1576736579983929E-6</v>
      </c>
      <c r="L122" s="212">
        <f>'Off-farm feed'!$K$26</f>
        <v>0</v>
      </c>
      <c r="M122" s="212">
        <f>'Off-farm feed'!$L$26</f>
        <v>7.3437786087804875E-9</v>
      </c>
      <c r="N122" s="212">
        <f>'Off-farm feed'!$M$26</f>
        <v>1.1195281639512195E-6</v>
      </c>
      <c r="O122" s="212">
        <f>'Off-farm feed'!$N$26</f>
        <v>0</v>
      </c>
      <c r="P122" s="212">
        <f>'Off-farm feed'!$O$26</f>
        <v>1.3419073770114994E-5</v>
      </c>
      <c r="Q122" s="212">
        <f>'Off-farm feed'!$P$26</f>
        <v>9.087837837837838E-6</v>
      </c>
      <c r="R122" s="187">
        <f>'Parameters, country spec'!K29</f>
        <v>0.1724593547162262</v>
      </c>
    </row>
    <row r="123" spans="1:20" x14ac:dyDescent="0.2">
      <c r="B123" s="17" t="s">
        <v>213</v>
      </c>
      <c r="C123" s="17" t="s">
        <v>310</v>
      </c>
      <c r="D123" s="23" t="s">
        <v>65</v>
      </c>
      <c r="E123" s="23" t="s">
        <v>66</v>
      </c>
      <c r="F123" s="211">
        <f>SUM(G123:Q123)</f>
        <v>1.0933806362560572E-4</v>
      </c>
      <c r="G123" s="101">
        <v>2.2514247510314298E-6</v>
      </c>
      <c r="H123" s="101">
        <v>9.9E-8</v>
      </c>
      <c r="I123" s="101">
        <v>7.8965155294452198E-5</v>
      </c>
      <c r="J123">
        <v>7.8965155294452204E-6</v>
      </c>
      <c r="K123" s="101">
        <v>1.3689786407767001E-7</v>
      </c>
      <c r="L123">
        <v>0</v>
      </c>
      <c r="M123">
        <v>4.4333654507385397E-9</v>
      </c>
      <c r="N123" s="14">
        <v>1.2710950538399999E-7</v>
      </c>
      <c r="O123" s="14"/>
      <c r="P123" s="101">
        <v>1.3804343589274599E-5</v>
      </c>
      <c r="Q123" s="101">
        <v>6.0531837264898599E-6</v>
      </c>
      <c r="R123" s="187">
        <f>'Parameters, country spec'!K30</f>
        <v>2.6495909583274711E-2</v>
      </c>
    </row>
    <row r="124" spans="1:20" x14ac:dyDescent="0.2">
      <c r="A124" s="82"/>
      <c r="B124" s="17" t="s">
        <v>312</v>
      </c>
      <c r="C124" s="83" t="s">
        <v>313</v>
      </c>
      <c r="D124" s="23" t="s">
        <v>65</v>
      </c>
      <c r="E124" s="23" t="s">
        <v>66</v>
      </c>
      <c r="F124" s="212">
        <f>SUM(G124:Q124)</f>
        <v>5.9870854750924051E-4</v>
      </c>
      <c r="G124" s="81">
        <f t="shared" ref="G124:N124" si="28">AVERAGE(G114:G122)</f>
        <v>3.3593020107049586E-5</v>
      </c>
      <c r="H124" s="81">
        <f t="shared" si="28"/>
        <v>1.0114428558078684E-6</v>
      </c>
      <c r="I124" s="81">
        <f t="shared" si="28"/>
        <v>5.0959537311146203E-4</v>
      </c>
      <c r="J124" s="81">
        <f t="shared" si="28"/>
        <v>5.0959537311146217E-5</v>
      </c>
      <c r="K124" s="81">
        <f t="shared" si="28"/>
        <v>1.9376531569064777E-6</v>
      </c>
      <c r="L124" s="81">
        <f t="shared" si="28"/>
        <v>0</v>
      </c>
      <c r="M124" s="81">
        <f t="shared" si="28"/>
        <v>2.4654416504344962E-7</v>
      </c>
      <c r="N124" s="81">
        <f t="shared" si="28"/>
        <v>1.3649768018248223E-6</v>
      </c>
      <c r="O124" s="81"/>
      <c r="P124" s="80"/>
      <c r="Q124" s="81"/>
      <c r="R124" s="187">
        <f>'Parameters, country spec'!K31</f>
        <v>3.0723406491810091E-2</v>
      </c>
    </row>
    <row r="125" spans="1:20" x14ac:dyDescent="0.2">
      <c r="A125" s="41"/>
      <c r="B125" s="42" t="s">
        <v>314</v>
      </c>
      <c r="C125" s="43"/>
      <c r="D125" s="44"/>
      <c r="E125" s="44"/>
      <c r="F125" s="45">
        <f t="shared" ref="F125:O125" si="29">SUMPRODUCT(F114:F124,$R$114:$R$124)</f>
        <v>5.5228790010433801E-4</v>
      </c>
      <c r="G125" s="45">
        <f t="shared" si="29"/>
        <v>1.8749851183738347E-5</v>
      </c>
      <c r="H125" s="45">
        <f t="shared" si="29"/>
        <v>1.0199490304819598E-6</v>
      </c>
      <c r="I125" s="45">
        <f t="shared" si="29"/>
        <v>4.7742848242718372E-4</v>
      </c>
      <c r="J125" s="45">
        <f t="shared" si="29"/>
        <v>4.7742848242718359E-5</v>
      </c>
      <c r="K125" s="45">
        <f t="shared" si="29"/>
        <v>1.1759709861672929E-6</v>
      </c>
      <c r="L125" s="45">
        <f t="shared" si="29"/>
        <v>0</v>
      </c>
      <c r="M125" s="45">
        <f t="shared" si="29"/>
        <v>3.2330895402211038E-7</v>
      </c>
      <c r="N125" s="45">
        <f t="shared" si="29"/>
        <v>1.3236335058444895E-6</v>
      </c>
      <c r="O125" s="45">
        <f t="shared" si="29"/>
        <v>0</v>
      </c>
      <c r="P125" s="30">
        <f>SUMPRODUCT(P114:P124,R114:R124)</f>
        <v>2.7593153785427081E-6</v>
      </c>
      <c r="Q125" s="45">
        <f>SUMPRODUCT(Q114:Q124,$R$114:$R$124)</f>
        <v>1.764540395639121E-6</v>
      </c>
      <c r="R125" s="188"/>
    </row>
    <row r="126" spans="1:20" x14ac:dyDescent="0.2">
      <c r="A126" s="189" t="s">
        <v>299</v>
      </c>
      <c r="B126" s="171" t="s">
        <v>198</v>
      </c>
      <c r="C126" s="171" t="s">
        <v>300</v>
      </c>
      <c r="D126" s="190" t="s">
        <v>67</v>
      </c>
      <c r="E126" s="190" t="s">
        <v>68</v>
      </c>
      <c r="F126" s="213">
        <f t="shared" ref="F126:F132" si="30">SUM(G126:Q126)</f>
        <v>7.5143494997671485E-4</v>
      </c>
      <c r="G126" s="191">
        <v>3.4194516835659798E-5</v>
      </c>
      <c r="H126" s="192">
        <v>1.1000000000000001E-6</v>
      </c>
      <c r="I126" s="195">
        <v>6.4877223033503201E-4</v>
      </c>
      <c r="J126" s="195">
        <v>6.4877223033503201E-5</v>
      </c>
      <c r="K126" s="195">
        <v>1.1579237811979299E-6</v>
      </c>
      <c r="L126" s="195">
        <v>0</v>
      </c>
      <c r="M126" s="195">
        <v>4.1974921861488002E-11</v>
      </c>
      <c r="N126" s="195">
        <v>1.3330140164000001E-6</v>
      </c>
      <c r="O126" s="195"/>
      <c r="P126" s="14"/>
      <c r="Q126" s="194"/>
      <c r="R126" s="198">
        <f>'Parameters, country spec'!L21</f>
        <v>0</v>
      </c>
      <c r="T126" s="12">
        <v>6.9755357742184998E-2</v>
      </c>
    </row>
    <row r="127" spans="1:20" x14ac:dyDescent="0.2">
      <c r="A127" s="22" t="s">
        <v>301</v>
      </c>
      <c r="B127" s="17" t="s">
        <v>201</v>
      </c>
      <c r="C127" s="17" t="s">
        <v>300</v>
      </c>
      <c r="D127" s="23" t="s">
        <v>67</v>
      </c>
      <c r="E127" s="23" t="s">
        <v>68</v>
      </c>
      <c r="F127" s="211">
        <f t="shared" si="30"/>
        <v>6.0020470375904595E-4</v>
      </c>
      <c r="G127" s="99">
        <v>2.9011100690969499E-5</v>
      </c>
      <c r="H127" s="100">
        <v>1.1000000000000001E-6</v>
      </c>
      <c r="I127" s="101">
        <v>5.1652507889928044E-4</v>
      </c>
      <c r="J127" s="101">
        <v>5.1652507889928003E-5</v>
      </c>
      <c r="K127" s="101">
        <v>5.8300226246793003E-7</v>
      </c>
      <c r="L127" s="101">
        <v>0</v>
      </c>
      <c r="M127" s="101">
        <v>0</v>
      </c>
      <c r="N127" s="101">
        <v>1.3330140164000001E-6</v>
      </c>
      <c r="O127" s="101"/>
      <c r="P127" s="14"/>
      <c r="Q127" s="14"/>
      <c r="R127" s="187">
        <f>'Parameters, country spec'!L22</f>
        <v>2.9000000000000001E-2</v>
      </c>
      <c r="T127" s="12">
        <v>0.45612129266564322</v>
      </c>
    </row>
    <row r="128" spans="1:20" x14ac:dyDescent="0.2">
      <c r="A128" s="22" t="s">
        <v>302</v>
      </c>
      <c r="B128" s="17" t="s">
        <v>204</v>
      </c>
      <c r="C128" s="17" t="s">
        <v>300</v>
      </c>
      <c r="D128" s="23" t="s">
        <v>67</v>
      </c>
      <c r="E128" s="23" t="s">
        <v>68</v>
      </c>
      <c r="F128" s="211">
        <f t="shared" si="30"/>
        <v>6.5413213535696639E-4</v>
      </c>
      <c r="G128" s="99">
        <v>2.9531307160612801E-5</v>
      </c>
      <c r="H128" s="100">
        <v>1.1000000000000001E-6</v>
      </c>
      <c r="I128" s="101">
        <v>5.6446016405914097E-4</v>
      </c>
      <c r="J128" s="101">
        <v>5.6446016405914097E-5</v>
      </c>
      <c r="K128" s="101">
        <v>1.2615833469923E-6</v>
      </c>
      <c r="L128" s="101">
        <v>0</v>
      </c>
      <c r="M128" s="101">
        <v>5.0367906295404003E-11</v>
      </c>
      <c r="N128" s="101">
        <v>1.3330140164000001E-6</v>
      </c>
      <c r="O128" s="101"/>
      <c r="P128" s="14"/>
      <c r="Q128" s="14"/>
      <c r="R128" s="187">
        <f>'Parameters, country spec'!L23</f>
        <v>4.9000000000000002E-2</v>
      </c>
      <c r="T128" s="12">
        <v>1.448634181078594E-2</v>
      </c>
    </row>
    <row r="129" spans="1:20" x14ac:dyDescent="0.2">
      <c r="A129" s="22" t="s">
        <v>303</v>
      </c>
      <c r="B129" s="17" t="s">
        <v>205</v>
      </c>
      <c r="C129" s="17" t="s">
        <v>300</v>
      </c>
      <c r="D129" s="23" t="s">
        <v>67</v>
      </c>
      <c r="E129" s="23" t="s">
        <v>68</v>
      </c>
      <c r="F129" s="211">
        <f t="shared" si="30"/>
        <v>5.9725437088799249E-4</v>
      </c>
      <c r="G129" s="99">
        <v>2.6601012751935601E-5</v>
      </c>
      <c r="H129" s="100">
        <v>1.1000000000000001E-6</v>
      </c>
      <c r="I129" s="101">
        <v>5.1575370530733996E-4</v>
      </c>
      <c r="J129" s="101">
        <v>5.1575370530733998E-5</v>
      </c>
      <c r="K129" s="101">
        <v>8.9126828158292095E-7</v>
      </c>
      <c r="L129" s="101">
        <v>0</v>
      </c>
      <c r="M129" s="101">
        <v>0</v>
      </c>
      <c r="N129" s="101">
        <v>1.3330140164000001E-6</v>
      </c>
      <c r="O129" s="101"/>
      <c r="P129" s="14"/>
      <c r="Q129" s="14"/>
      <c r="R129" s="187">
        <f>'Parameters, country spec'!L24</f>
        <v>0</v>
      </c>
      <c r="T129" s="12">
        <v>1.154218810875446E-3</v>
      </c>
    </row>
    <row r="130" spans="1:20" x14ac:dyDescent="0.2">
      <c r="A130" s="22" t="s">
        <v>304</v>
      </c>
      <c r="B130" s="17" t="s">
        <v>206</v>
      </c>
      <c r="C130" s="17" t="s">
        <v>300</v>
      </c>
      <c r="D130" s="23" t="s">
        <v>67</v>
      </c>
      <c r="E130" s="23" t="s">
        <v>68</v>
      </c>
      <c r="F130" s="211">
        <f t="shared" si="30"/>
        <v>8.1341848794026252E-4</v>
      </c>
      <c r="G130" s="99">
        <v>3.8715854793773698E-5</v>
      </c>
      <c r="H130" s="100">
        <v>1.1000000000000001E-6</v>
      </c>
      <c r="I130" s="101">
        <v>7.0133104566287802E-4</v>
      </c>
      <c r="J130" s="101">
        <v>7.0133104566287799E-5</v>
      </c>
      <c r="K130" s="101">
        <v>8.0546890092290805E-7</v>
      </c>
      <c r="L130" s="101">
        <v>0</v>
      </c>
      <c r="M130" s="101">
        <v>0</v>
      </c>
      <c r="N130" s="101">
        <v>1.3330140164000001E-6</v>
      </c>
      <c r="O130" s="101"/>
      <c r="P130" s="14"/>
      <c r="Q130" s="14"/>
      <c r="R130" s="187">
        <f>'Parameters, country spec'!L25</f>
        <v>0.59099999999999997</v>
      </c>
      <c r="T130" s="12">
        <v>6.607302843520492E-2</v>
      </c>
    </row>
    <row r="131" spans="1:20" x14ac:dyDescent="0.2">
      <c r="A131" s="22" t="s">
        <v>305</v>
      </c>
      <c r="B131" s="17" t="s">
        <v>207</v>
      </c>
      <c r="C131" s="17" t="s">
        <v>306</v>
      </c>
      <c r="D131" s="23" t="s">
        <v>67</v>
      </c>
      <c r="E131" s="23" t="s">
        <v>68</v>
      </c>
      <c r="F131" s="211">
        <f t="shared" si="30"/>
        <v>2.0727574098590296E-4</v>
      </c>
      <c r="G131" s="99">
        <v>0</v>
      </c>
      <c r="H131" s="100">
        <v>1.1000000000000001E-6</v>
      </c>
      <c r="I131" s="101">
        <v>1.8457295999999999E-4</v>
      </c>
      <c r="J131" s="101">
        <v>1.8457295999999999E-5</v>
      </c>
      <c r="K131" s="101">
        <v>1.6636926576519699E-6</v>
      </c>
      <c r="L131" s="101">
        <v>0</v>
      </c>
      <c r="M131" s="101">
        <v>1.4877831185101599E-7</v>
      </c>
      <c r="N131" s="101">
        <v>1.3330140164000001E-6</v>
      </c>
      <c r="O131" s="101"/>
      <c r="P131" s="14"/>
      <c r="Q131" s="14"/>
      <c r="R131" s="187">
        <f>'Parameters, country spec'!L26</f>
        <v>0</v>
      </c>
      <c r="T131" s="12">
        <v>2.8132125343424521E-3</v>
      </c>
    </row>
    <row r="132" spans="1:20" x14ac:dyDescent="0.2">
      <c r="A132" s="22" t="s">
        <v>307</v>
      </c>
      <c r="B132" s="17" t="s">
        <v>208</v>
      </c>
      <c r="C132" s="17" t="s">
        <v>306</v>
      </c>
      <c r="D132" s="23" t="s">
        <v>67</v>
      </c>
      <c r="E132" s="23" t="s">
        <v>68</v>
      </c>
      <c r="F132" s="211">
        <f t="shared" si="30"/>
        <v>2.2407611265281446E-4</v>
      </c>
      <c r="G132" s="99">
        <v>1.13015961741459E-6</v>
      </c>
      <c r="H132" s="100">
        <v>1.1000000000000001E-6</v>
      </c>
      <c r="I132" s="101">
        <v>1.9889624794727011E-4</v>
      </c>
      <c r="J132" s="101">
        <v>1.9889624794727002E-5</v>
      </c>
      <c r="K132" s="101">
        <v>1.6488174841183101E-6</v>
      </c>
      <c r="L132" s="101">
        <v>0</v>
      </c>
      <c r="M132" s="101">
        <v>7.8248792884440994E-8</v>
      </c>
      <c r="N132" s="101">
        <v>1.3330140164000001E-6</v>
      </c>
      <c r="O132" s="101"/>
      <c r="P132" s="14"/>
      <c r="Q132" s="14"/>
      <c r="R132" s="187">
        <f>'Parameters, country spec'!L27</f>
        <v>0</v>
      </c>
      <c r="T132" s="12">
        <v>2.763501773404974E-3</v>
      </c>
    </row>
    <row r="133" spans="1:20" x14ac:dyDescent="0.2">
      <c r="B133" s="18" t="s">
        <v>209</v>
      </c>
      <c r="C133" s="17" t="s">
        <v>308</v>
      </c>
      <c r="D133" s="23" t="str">
        <f>'Off-farm feed'!$D$77</f>
        <v>France, Germany, Poland</v>
      </c>
      <c r="E133" s="23" t="s">
        <v>319</v>
      </c>
      <c r="F133" s="212">
        <f>'Off-farm feed'!$E$77</f>
        <v>6.732045566157569E-4</v>
      </c>
      <c r="G133" s="212">
        <f>'Off-farm feed'!$F$77</f>
        <v>1.946970439026595E-4</v>
      </c>
      <c r="H133" s="212">
        <f>'Off-farm feed'!$G$77</f>
        <v>5.3103448275862083E-7</v>
      </c>
      <c r="I133" s="212">
        <f>'Off-farm feed'!$H$77</f>
        <v>4.2751561806777074E-4</v>
      </c>
      <c r="J133" s="212">
        <f>'Off-farm feed'!$I$77</f>
        <v>4.2751561806777089E-5</v>
      </c>
      <c r="K133" s="212">
        <f>'Off-farm feed'!$J$77</f>
        <v>6.6339607025480414E-7</v>
      </c>
      <c r="L133" s="212">
        <f>'Off-farm feed'!$K$77</f>
        <v>0</v>
      </c>
      <c r="M133" s="212">
        <f>'Off-farm feed'!$L$77</f>
        <v>7.9511067188965511E-9</v>
      </c>
      <c r="N133" s="212">
        <f>'Off-farm feed'!$M$77</f>
        <v>1.2789681892721842E-6</v>
      </c>
      <c r="O133" s="212">
        <f>'Off-farm feed'!$N$77</f>
        <v>0</v>
      </c>
      <c r="P133" s="212">
        <f>'Off-farm feed'!$O$77</f>
        <v>3.9312802868423834E-6</v>
      </c>
      <c r="Q133" s="212">
        <f>'Off-farm feed'!$P$77</f>
        <v>1.8277027027027027E-6</v>
      </c>
      <c r="R133" s="187">
        <f>'Parameters, country spec'!L28</f>
        <v>6.8000000000000005E-2</v>
      </c>
      <c r="T133" s="12">
        <v>4.7386628229038642E-3</v>
      </c>
    </row>
    <row r="134" spans="1:20" x14ac:dyDescent="0.2">
      <c r="B134" s="18" t="s">
        <v>309</v>
      </c>
      <c r="C134" s="17" t="s">
        <v>308</v>
      </c>
      <c r="D134" s="23" t="str">
        <f>'Off-farm feed'!$D$26</f>
        <v>Brazil, Argentina</v>
      </c>
      <c r="E134" s="23" t="s">
        <v>319</v>
      </c>
      <c r="F134" s="212">
        <f>'Off-farm feed'!$E$26</f>
        <v>1.8866346644602503E-4</v>
      </c>
      <c r="G134" s="212">
        <f>'Off-farm feed'!$F$26</f>
        <v>1.6332109719061435E-5</v>
      </c>
      <c r="H134" s="212">
        <f>'Off-farm feed'!$G$26</f>
        <v>8.7195121951219526E-7</v>
      </c>
      <c r="I134" s="212">
        <f>'Off-farm feed'!$H$26</f>
        <v>1.3333449845358199E-4</v>
      </c>
      <c r="J134" s="212">
        <f>'Off-farm feed'!$I$26</f>
        <v>1.3333449845358203E-5</v>
      </c>
      <c r="K134" s="212">
        <f>'Off-farm feed'!$J$26</f>
        <v>1.1576736579983929E-6</v>
      </c>
      <c r="L134" s="212">
        <f>'Off-farm feed'!$K$26</f>
        <v>0</v>
      </c>
      <c r="M134" s="212">
        <f>'Off-farm feed'!$L$26</f>
        <v>7.3437786087804875E-9</v>
      </c>
      <c r="N134" s="212">
        <f>'Off-farm feed'!$M$26</f>
        <v>1.1195281639512195E-6</v>
      </c>
      <c r="O134" s="212">
        <f>'Off-farm feed'!$N$26</f>
        <v>0</v>
      </c>
      <c r="P134" s="212">
        <f>'Off-farm feed'!$O$26</f>
        <v>1.3419073770114994E-5</v>
      </c>
      <c r="Q134" s="212">
        <f>'Off-farm feed'!$P$26</f>
        <v>9.087837837837838E-6</v>
      </c>
      <c r="R134" s="187">
        <f>'Parameters, country spec'!L29</f>
        <v>0.186</v>
      </c>
      <c r="T134" s="12">
        <v>0.1169921159057515</v>
      </c>
    </row>
    <row r="135" spans="1:20" x14ac:dyDescent="0.2">
      <c r="B135" s="17" t="s">
        <v>213</v>
      </c>
      <c r="C135" s="17" t="s">
        <v>310</v>
      </c>
      <c r="D135" s="23" t="s">
        <v>67</v>
      </c>
      <c r="E135" s="23" t="s">
        <v>68</v>
      </c>
      <c r="F135" s="211">
        <f>SUM(G135:Q135)</f>
        <v>8.3728956204249578E-5</v>
      </c>
      <c r="G135" s="101">
        <v>3.4844269314396402E-6</v>
      </c>
      <c r="H135" s="101">
        <v>9.9E-8</v>
      </c>
      <c r="I135" s="101">
        <v>6.3119794109659015E-5</v>
      </c>
      <c r="J135">
        <v>6.3119794109659E-6</v>
      </c>
      <c r="K135" s="101">
        <v>7.2492201083061705E-8</v>
      </c>
      <c r="L135">
        <v>0</v>
      </c>
      <c r="M135">
        <v>0</v>
      </c>
      <c r="N135" s="14">
        <v>1.1997126147599999E-7</v>
      </c>
      <c r="O135" s="14"/>
      <c r="P135" s="101">
        <v>9.3475299429580403E-6</v>
      </c>
      <c r="Q135" s="101">
        <v>1.1737623466679099E-6</v>
      </c>
      <c r="R135" s="187">
        <f>'Parameters, country spec'!L30</f>
        <v>0</v>
      </c>
      <c r="T135" s="12">
        <v>0.1235041146996869</v>
      </c>
    </row>
    <row r="136" spans="1:20" x14ac:dyDescent="0.2">
      <c r="A136" s="82"/>
      <c r="B136" s="17" t="s">
        <v>312</v>
      </c>
      <c r="C136" s="83" t="s">
        <v>313</v>
      </c>
      <c r="D136" s="23" t="s">
        <v>67</v>
      </c>
      <c r="E136" s="23" t="s">
        <v>68</v>
      </c>
      <c r="F136" s="212">
        <f>SUM(G136:Q136)</f>
        <v>5.2015540333599818E-4</v>
      </c>
      <c r="G136" s="81">
        <f t="shared" ref="G136:N136" si="31">AVERAGE(G126:G134)</f>
        <v>4.1134789496898551E-5</v>
      </c>
      <c r="H136" s="81">
        <f t="shared" si="31"/>
        <v>1.0114428558078684E-6</v>
      </c>
      <c r="I136" s="81">
        <f t="shared" si="31"/>
        <v>4.3235128319247715E-4</v>
      </c>
      <c r="J136" s="81">
        <f t="shared" si="31"/>
        <v>4.3235128319247706E-5</v>
      </c>
      <c r="K136" s="81">
        <f t="shared" si="31"/>
        <v>1.0925362714652738E-6</v>
      </c>
      <c r="L136" s="81">
        <f t="shared" si="31"/>
        <v>0</v>
      </c>
      <c r="M136" s="81">
        <f t="shared" si="31"/>
        <v>2.6934925876810101E-8</v>
      </c>
      <c r="N136" s="81">
        <f t="shared" si="31"/>
        <v>1.3032882742248226E-6</v>
      </c>
      <c r="O136" s="81"/>
      <c r="P136" s="80"/>
      <c r="Q136" s="81"/>
      <c r="R136" s="187">
        <f>'Parameters, country spec'!L31</f>
        <v>7.7000000000000179E-2</v>
      </c>
      <c r="T136" s="12">
        <v>0.14159815279921581</v>
      </c>
    </row>
    <row r="137" spans="1:20" x14ac:dyDescent="0.2">
      <c r="A137" s="185"/>
      <c r="B137" s="25" t="s">
        <v>314</v>
      </c>
      <c r="C137" s="26"/>
      <c r="D137" s="102"/>
      <c r="E137" s="102"/>
      <c r="F137" s="30">
        <f t="shared" ref="F137:O137" si="32">SUMPRODUCT(F126:F136,$R$126:$R$136)</f>
        <v>6.511100180799028E-4</v>
      </c>
      <c r="G137" s="30">
        <f t="shared" si="32"/>
        <v>4.4613976338415864E-5</v>
      </c>
      <c r="H137" s="30">
        <f t="shared" si="32"/>
        <v>1.0120743715540607E-6</v>
      </c>
      <c r="I137" s="30">
        <f t="shared" si="32"/>
        <v>5.4428675086053331E-4</v>
      </c>
      <c r="J137" s="30">
        <f t="shared" si="32"/>
        <v>5.4428675086053338E-5</v>
      </c>
      <c r="K137" s="30">
        <f t="shared" si="32"/>
        <v>8.9932029612748529E-7</v>
      </c>
      <c r="L137" s="30">
        <f t="shared" si="32"/>
        <v>0</v>
      </c>
      <c r="M137" s="30">
        <f t="shared" si="32"/>
        <v>3.983075398040994E-9</v>
      </c>
      <c r="N137" s="30">
        <f t="shared" si="32"/>
        <v>1.2873416494523471E-6</v>
      </c>
      <c r="O137" s="30">
        <f t="shared" si="32"/>
        <v>0</v>
      </c>
      <c r="P137" s="30">
        <f>SUMPRODUCT(P126:P136,R126:R136)</f>
        <v>2.7632747807466713E-6</v>
      </c>
      <c r="Q137" s="30">
        <f>SUMPRODUCT(Q126:Q136,$R$126:$R$136)</f>
        <v>1.8146216216216217E-6</v>
      </c>
      <c r="R137" s="188"/>
    </row>
    <row r="138" spans="1:20" x14ac:dyDescent="0.2">
      <c r="A138" s="22" t="s">
        <v>299</v>
      </c>
      <c r="B138" s="17" t="s">
        <v>198</v>
      </c>
      <c r="C138" s="17" t="s">
        <v>300</v>
      </c>
      <c r="D138" s="23" t="s">
        <v>69</v>
      </c>
      <c r="E138" s="23" t="s">
        <v>70</v>
      </c>
      <c r="F138" s="213">
        <f t="shared" ref="F138:F144" si="33">SUM(G138:Q138)</f>
        <v>5.7469342808097804E-4</v>
      </c>
      <c r="G138" s="99">
        <v>1.5839544202851801E-5</v>
      </c>
      <c r="H138" s="100">
        <v>1.1000000000000001E-6</v>
      </c>
      <c r="I138" s="101">
        <v>5.0496456847792901E-4</v>
      </c>
      <c r="J138" s="101">
        <v>5.0496456847792898E-5</v>
      </c>
      <c r="K138" s="101">
        <v>8.4333381180431398E-7</v>
      </c>
      <c r="L138" s="101">
        <v>0</v>
      </c>
      <c r="M138" s="101">
        <v>0</v>
      </c>
      <c r="N138" s="101">
        <v>1.4495247406E-6</v>
      </c>
      <c r="O138" s="101"/>
      <c r="P138" s="14"/>
      <c r="Q138" s="14"/>
      <c r="R138" s="187">
        <f>'Parameters, country spec'!M21</f>
        <v>0.24290688316534451</v>
      </c>
    </row>
    <row r="139" spans="1:20" x14ac:dyDescent="0.2">
      <c r="A139" s="22" t="s">
        <v>301</v>
      </c>
      <c r="B139" s="17" t="s">
        <v>201</v>
      </c>
      <c r="C139" s="17" t="s">
        <v>300</v>
      </c>
      <c r="D139" s="23" t="s">
        <v>69</v>
      </c>
      <c r="E139" s="23" t="s">
        <v>70</v>
      </c>
      <c r="F139" s="211">
        <f t="shared" si="33"/>
        <v>5.0348761541131604E-4</v>
      </c>
      <c r="G139" s="99">
        <v>1.40447733404797E-5</v>
      </c>
      <c r="H139" s="100">
        <v>1.1000000000000001E-6</v>
      </c>
      <c r="I139" s="101">
        <v>4.4216887877114938E-4</v>
      </c>
      <c r="J139" s="101">
        <v>4.4216887877115002E-5</v>
      </c>
      <c r="K139" s="101">
        <v>4.8647220484656601E-7</v>
      </c>
      <c r="L139" s="101">
        <v>0</v>
      </c>
      <c r="M139" s="101">
        <v>1.3774933630536099E-7</v>
      </c>
      <c r="N139" s="101">
        <v>1.3328538814200001E-6</v>
      </c>
      <c r="O139" s="101"/>
      <c r="P139" s="14"/>
      <c r="Q139" s="14"/>
      <c r="R139" s="187">
        <f>'Parameters, country spec'!M22</f>
        <v>1.1405036092928851E-2</v>
      </c>
      <c r="S139" t="s">
        <v>325</v>
      </c>
    </row>
    <row r="140" spans="1:20" x14ac:dyDescent="0.2">
      <c r="A140" s="22" t="s">
        <v>302</v>
      </c>
      <c r="B140" s="17" t="s">
        <v>204</v>
      </c>
      <c r="C140" s="17" t="s">
        <v>300</v>
      </c>
      <c r="D140" s="23" t="s">
        <v>69</v>
      </c>
      <c r="E140" s="23" t="s">
        <v>70</v>
      </c>
      <c r="F140" s="211">
        <f t="shared" si="33"/>
        <v>4.9491809072753975E-4</v>
      </c>
      <c r="G140" s="99">
        <v>1.3445254377930599E-5</v>
      </c>
      <c r="H140" s="100">
        <v>1.1000000000000001E-6</v>
      </c>
      <c r="I140" s="101">
        <v>4.3456382913512699E-4</v>
      </c>
      <c r="J140" s="101">
        <v>4.3456382913512799E-5</v>
      </c>
      <c r="K140" s="101">
        <v>9.0309956036945097E-7</v>
      </c>
      <c r="L140" s="101">
        <v>0</v>
      </c>
      <c r="M140" s="101">
        <v>0</v>
      </c>
      <c r="N140" s="101">
        <v>1.4495247406E-6</v>
      </c>
      <c r="O140" s="101"/>
      <c r="P140" s="14"/>
      <c r="Q140" s="14"/>
      <c r="R140" s="187">
        <f>'Parameters, country spec'!M23</f>
        <v>2.6784717007595299E-2</v>
      </c>
    </row>
    <row r="141" spans="1:20" x14ac:dyDescent="0.2">
      <c r="A141" s="22" t="s">
        <v>303</v>
      </c>
      <c r="B141" s="17" t="s">
        <v>205</v>
      </c>
      <c r="C141" s="17" t="s">
        <v>300</v>
      </c>
      <c r="D141" s="23" t="s">
        <v>69</v>
      </c>
      <c r="E141" s="23" t="s">
        <v>70</v>
      </c>
      <c r="F141" s="211">
        <f t="shared" si="33"/>
        <v>8.1498611735740371E-4</v>
      </c>
      <c r="G141" s="99">
        <v>2.5087432084339501E-5</v>
      </c>
      <c r="H141" s="100">
        <v>1.1000000000000001E-6</v>
      </c>
      <c r="I141" s="101">
        <v>7.1457051015499191E-4</v>
      </c>
      <c r="J141" s="101">
        <v>7.1457051015499202E-5</v>
      </c>
      <c r="K141" s="101">
        <v>1.3215993619729801E-6</v>
      </c>
      <c r="L141" s="101">
        <v>0</v>
      </c>
      <c r="M141" s="101">
        <v>0</v>
      </c>
      <c r="N141" s="101">
        <v>1.4495247406E-6</v>
      </c>
      <c r="O141" s="101"/>
      <c r="P141" s="14"/>
      <c r="Q141" s="14"/>
      <c r="R141" s="187">
        <f>'Parameters, country spec'!M24</f>
        <v>1.270348359145042E-3</v>
      </c>
    </row>
    <row r="142" spans="1:20" x14ac:dyDescent="0.2">
      <c r="A142" s="22" t="s">
        <v>304</v>
      </c>
      <c r="B142" s="17" t="s">
        <v>206</v>
      </c>
      <c r="C142" s="17" t="s">
        <v>300</v>
      </c>
      <c r="D142" s="23" t="s">
        <v>69</v>
      </c>
      <c r="E142" s="23" t="s">
        <v>70</v>
      </c>
      <c r="F142" s="211">
        <f t="shared" si="33"/>
        <v>6.8144353159721341E-4</v>
      </c>
      <c r="G142" s="99">
        <v>2.0380015485838101E-5</v>
      </c>
      <c r="H142" s="100">
        <v>1.1000000000000001E-6</v>
      </c>
      <c r="I142" s="101">
        <v>5.98043037774958E-4</v>
      </c>
      <c r="J142" s="101">
        <v>5.9804303777495799E-5</v>
      </c>
      <c r="K142" s="101">
        <v>6.6664981832154396E-7</v>
      </c>
      <c r="L142" s="101">
        <v>0</v>
      </c>
      <c r="M142" s="101">
        <v>0</v>
      </c>
      <c r="N142" s="101">
        <v>1.4495247406E-6</v>
      </c>
      <c r="O142" s="101"/>
      <c r="P142" s="14"/>
      <c r="Q142" s="14"/>
      <c r="R142" s="187">
        <f>'Parameters, country spec'!M25</f>
        <v>0.36306225085662319</v>
      </c>
    </row>
    <row r="143" spans="1:20" x14ac:dyDescent="0.2">
      <c r="A143" s="22" t="s">
        <v>305</v>
      </c>
      <c r="B143" s="17" t="s">
        <v>207</v>
      </c>
      <c r="C143" s="17" t="s">
        <v>306</v>
      </c>
      <c r="D143" s="23" t="s">
        <v>69</v>
      </c>
      <c r="E143" s="23" t="s">
        <v>70</v>
      </c>
      <c r="F143" s="211">
        <f t="shared" si="33"/>
        <v>2.0711883340704583E-4</v>
      </c>
      <c r="G143" s="99">
        <v>0</v>
      </c>
      <c r="H143" s="100">
        <v>1.1000000000000001E-6</v>
      </c>
      <c r="I143" s="101">
        <v>1.8457295999999999E-4</v>
      </c>
      <c r="J143" s="101">
        <v>1.8457295999999999E-5</v>
      </c>
      <c r="K143" s="101">
        <v>1.5390526664458401E-6</v>
      </c>
      <c r="L143" s="101">
        <v>0</v>
      </c>
      <c r="M143" s="101">
        <v>0</v>
      </c>
      <c r="N143" s="101">
        <v>1.4495247406E-6</v>
      </c>
      <c r="O143" s="101"/>
      <c r="P143" s="14"/>
      <c r="Q143" s="14"/>
      <c r="R143" s="187">
        <f>'Parameters, country spec'!M26</f>
        <v>6.0909129056991628E-3</v>
      </c>
    </row>
    <row r="144" spans="1:20" x14ac:dyDescent="0.2">
      <c r="A144" s="22" t="s">
        <v>307</v>
      </c>
      <c r="B144" s="17" t="s">
        <v>208</v>
      </c>
      <c r="C144" s="17" t="s">
        <v>306</v>
      </c>
      <c r="D144" s="23" t="s">
        <v>69</v>
      </c>
      <c r="E144" s="23" t="s">
        <v>70</v>
      </c>
      <c r="F144" s="211">
        <f t="shared" si="33"/>
        <v>2.2108242549151764E-4</v>
      </c>
      <c r="G144" s="99">
        <v>6.3163681828812996E-7</v>
      </c>
      <c r="H144" s="100">
        <v>1.1000000000000001E-6</v>
      </c>
      <c r="I144" s="101">
        <v>1.967748909983902E-4</v>
      </c>
      <c r="J144" s="101">
        <v>1.9677489099839E-5</v>
      </c>
      <c r="K144" s="101">
        <v>1.4488838344002801E-6</v>
      </c>
      <c r="L144" s="101">
        <v>0</v>
      </c>
      <c r="M144" s="101">
        <v>0</v>
      </c>
      <c r="N144" s="101">
        <v>1.4495247406E-6</v>
      </c>
      <c r="O144" s="101"/>
      <c r="P144" s="14"/>
      <c r="Q144" s="14"/>
      <c r="R144" s="187">
        <f>'Parameters, country spec'!M27</f>
        <v>5.9832836689627722E-3</v>
      </c>
    </row>
    <row r="145" spans="1:19" x14ac:dyDescent="0.2">
      <c r="B145" s="18" t="s">
        <v>209</v>
      </c>
      <c r="C145" s="17" t="s">
        <v>308</v>
      </c>
      <c r="D145" s="23" t="str">
        <f>'Off-farm feed'!$D$77</f>
        <v>France, Germany, Poland</v>
      </c>
      <c r="E145" s="23" t="s">
        <v>319</v>
      </c>
      <c r="F145" s="212">
        <f>'Off-farm feed'!$E$77</f>
        <v>6.732045566157569E-4</v>
      </c>
      <c r="G145" s="212">
        <f>'Off-farm feed'!$F$77</f>
        <v>1.946970439026595E-4</v>
      </c>
      <c r="H145" s="212">
        <f>'Off-farm feed'!$G$77</f>
        <v>5.3103448275862083E-7</v>
      </c>
      <c r="I145" s="212">
        <f>'Off-farm feed'!$H$77</f>
        <v>4.2751561806777074E-4</v>
      </c>
      <c r="J145" s="212">
        <f>'Off-farm feed'!$I$77</f>
        <v>4.2751561806777089E-5</v>
      </c>
      <c r="K145" s="212">
        <f>'Off-farm feed'!$J$77</f>
        <v>6.6339607025480414E-7</v>
      </c>
      <c r="L145" s="212">
        <f>'Off-farm feed'!$K$77</f>
        <v>0</v>
      </c>
      <c r="M145" s="212">
        <f>'Off-farm feed'!$L$77</f>
        <v>7.9511067188965511E-9</v>
      </c>
      <c r="N145" s="212">
        <f>'Off-farm feed'!$M$77</f>
        <v>1.2789681892721842E-6</v>
      </c>
      <c r="O145" s="212">
        <f>'Off-farm feed'!$N$77</f>
        <v>0</v>
      </c>
      <c r="P145" s="212">
        <f>'Off-farm feed'!$O$77</f>
        <v>3.9312802868423834E-6</v>
      </c>
      <c r="Q145" s="212">
        <f>'Off-farm feed'!$P$77</f>
        <v>1.8277027027027027E-6</v>
      </c>
      <c r="R145" s="187">
        <f>'Parameters, country spec'!M28</f>
        <v>9.4633897453147445E-2</v>
      </c>
    </row>
    <row r="146" spans="1:19" x14ac:dyDescent="0.2">
      <c r="B146" s="18" t="s">
        <v>309</v>
      </c>
      <c r="C146" s="17" t="s">
        <v>308</v>
      </c>
      <c r="D146" s="23" t="str">
        <f>'Off-farm feed'!$D$26</f>
        <v>Brazil, Argentina</v>
      </c>
      <c r="E146" s="23" t="s">
        <v>319</v>
      </c>
      <c r="F146" s="212">
        <f>'Off-farm feed'!$E$26</f>
        <v>1.8866346644602503E-4</v>
      </c>
      <c r="G146" s="212">
        <f>'Off-farm feed'!$F$26</f>
        <v>1.6332109719061435E-5</v>
      </c>
      <c r="H146" s="212">
        <f>'Off-farm feed'!$G$26</f>
        <v>8.7195121951219526E-7</v>
      </c>
      <c r="I146" s="212">
        <f>'Off-farm feed'!$H$26</f>
        <v>1.3333449845358199E-4</v>
      </c>
      <c r="J146" s="212">
        <f>'Off-farm feed'!$I$26</f>
        <v>1.3333449845358203E-5</v>
      </c>
      <c r="K146" s="212">
        <f>'Off-farm feed'!$J$26</f>
        <v>1.1576736579983929E-6</v>
      </c>
      <c r="L146" s="212">
        <f>'Off-farm feed'!$K$26</f>
        <v>0</v>
      </c>
      <c r="M146" s="212">
        <f>'Off-farm feed'!$L$26</f>
        <v>7.3437786087804875E-9</v>
      </c>
      <c r="N146" s="212">
        <f>'Off-farm feed'!$M$26</f>
        <v>1.1195281639512195E-6</v>
      </c>
      <c r="O146" s="212">
        <f>'Off-farm feed'!$N$26</f>
        <v>0</v>
      </c>
      <c r="P146" s="212">
        <f>'Off-farm feed'!$O$26</f>
        <v>1.3419073770114994E-5</v>
      </c>
      <c r="Q146" s="212">
        <f>'Off-farm feed'!$P$26</f>
        <v>9.087837837837838E-6</v>
      </c>
      <c r="R146" s="187">
        <f>'Parameters, country spec'!M29</f>
        <v>0.1863493678947572</v>
      </c>
    </row>
    <row r="147" spans="1:19" x14ac:dyDescent="0.2">
      <c r="B147" s="17" t="s">
        <v>213</v>
      </c>
      <c r="C147" s="17" t="s">
        <v>310</v>
      </c>
      <c r="D147" s="23" t="s">
        <v>69</v>
      </c>
      <c r="E147" s="23" t="s">
        <v>70</v>
      </c>
      <c r="F147" s="211">
        <f>SUM(G147:Q147)</f>
        <v>7.9383555842081288E-5</v>
      </c>
      <c r="G147" s="101">
        <v>1.83420139372543E-6</v>
      </c>
      <c r="H147" s="101">
        <v>9.9E-8</v>
      </c>
      <c r="I147" s="101">
        <v>5.3823873399746213E-5</v>
      </c>
      <c r="J147">
        <v>5.3823873399746201E-6</v>
      </c>
      <c r="K147" s="101">
        <v>5.9998483648938898E-8</v>
      </c>
      <c r="L147">
        <v>0</v>
      </c>
      <c r="M147">
        <v>0</v>
      </c>
      <c r="N147" s="14">
        <v>1.30457226654E-7</v>
      </c>
      <c r="O147" s="14"/>
      <c r="P147" s="101">
        <v>1.6341912215219399E-5</v>
      </c>
      <c r="Q147" s="101">
        <v>1.71172578311269E-6</v>
      </c>
      <c r="R147" s="187">
        <f>'Parameters, country spec'!M30</f>
        <v>1.2143080899157419E-2</v>
      </c>
      <c r="S147" t="s">
        <v>326</v>
      </c>
    </row>
    <row r="148" spans="1:19" x14ac:dyDescent="0.2">
      <c r="A148" s="82"/>
      <c r="B148" s="17" t="s">
        <v>312</v>
      </c>
      <c r="C148" s="83" t="s">
        <v>313</v>
      </c>
      <c r="D148" s="23" t="s">
        <v>69</v>
      </c>
      <c r="E148" s="23" t="s">
        <v>70</v>
      </c>
      <c r="F148" s="212">
        <f>SUM(G148:Q148)</f>
        <v>4.8125913005969988E-4</v>
      </c>
      <c r="G148" s="81">
        <f t="shared" ref="G148:N148" si="34">AVERAGE(G138:G146)</f>
        <v>3.3384201103494308E-5</v>
      </c>
      <c r="H148" s="81">
        <f t="shared" si="34"/>
        <v>1.0114428558078684E-6</v>
      </c>
      <c r="I148" s="81">
        <f t="shared" si="34"/>
        <v>4.0405653242598874E-4</v>
      </c>
      <c r="J148" s="81">
        <f t="shared" si="34"/>
        <v>4.0405653242598886E-5</v>
      </c>
      <c r="K148" s="81">
        <f t="shared" si="34"/>
        <v>1.0033512207126858E-6</v>
      </c>
      <c r="L148" s="81">
        <f t="shared" si="34"/>
        <v>0</v>
      </c>
      <c r="M148" s="81">
        <f t="shared" si="34"/>
        <v>1.7004913514782002E-8</v>
      </c>
      <c r="N148" s="81">
        <f t="shared" si="34"/>
        <v>1.3809442975826003E-6</v>
      </c>
      <c r="O148" s="81"/>
      <c r="P148" s="80"/>
      <c r="Q148" s="81"/>
      <c r="R148" s="187">
        <f>'Parameters, country spec'!M31</f>
        <v>4.9370221696639308E-2</v>
      </c>
    </row>
    <row r="149" spans="1:19" x14ac:dyDescent="0.2">
      <c r="A149" s="185"/>
      <c r="B149" s="25" t="s">
        <v>314</v>
      </c>
      <c r="C149" s="26"/>
      <c r="D149" s="102"/>
      <c r="E149" s="102"/>
      <c r="F149" s="30">
        <f t="shared" ref="F149:O149" si="35">SUMPRODUCT(F138:F148,$R$138:$R$148)</f>
        <v>5.3321072472862488E-4</v>
      </c>
      <c r="G149" s="30">
        <f t="shared" si="35"/>
        <v>3.4941582803976116E-5</v>
      </c>
      <c r="H149" s="30">
        <f t="shared" si="35"/>
        <v>9.8713251967228661E-7</v>
      </c>
      <c r="I149" s="30">
        <f t="shared" si="35"/>
        <v>4.4558439023731979E-4</v>
      </c>
      <c r="J149" s="30">
        <f t="shared" si="35"/>
        <v>4.4558439023731976E-5</v>
      </c>
      <c r="K149" s="30">
        <f t="shared" si="35"/>
        <v>8.2512242951578249E-7</v>
      </c>
      <c r="L149" s="30">
        <f t="shared" si="35"/>
        <v>0</v>
      </c>
      <c r="M149" s="30">
        <f t="shared" si="35"/>
        <v>4.5315252220769738E-9</v>
      </c>
      <c r="N149" s="30">
        <f t="shared" si="35"/>
        <v>1.3511556453766868E-6</v>
      </c>
      <c r="O149" s="30">
        <f t="shared" si="35"/>
        <v>0</v>
      </c>
      <c r="P149" s="30">
        <f>SUMPRODUCT(P138:P148,R138:R148)</f>
        <v>3.0711094523950059E-6</v>
      </c>
      <c r="Q149" s="30">
        <f>SUMPRODUCT(Q138:Q148,$R$138:$R$148)</f>
        <v>1.8872610914150569E-6</v>
      </c>
      <c r="R149" s="18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9">
    <tabColor theme="4" tint="0.39997558519241921"/>
  </sheetPr>
  <dimension ref="A2:O149"/>
  <sheetViews>
    <sheetView topLeftCell="A37" zoomScale="80" zoomScaleNormal="80" workbookViewId="0">
      <selection activeCell="J6" sqref="J6"/>
    </sheetView>
  </sheetViews>
  <sheetFormatPr baseColWidth="10" defaultColWidth="8.83203125" defaultRowHeight="15" x14ac:dyDescent="0.2"/>
  <cols>
    <col min="1" max="1" width="8.6640625" customWidth="1"/>
    <col min="2" max="2" width="30.5" customWidth="1"/>
    <col min="3" max="3" width="19" customWidth="1"/>
    <col min="4" max="4" width="12.83203125" customWidth="1"/>
    <col min="5" max="5" width="8.83203125" customWidth="1"/>
    <col min="6" max="12" width="15.6640625" customWidth="1"/>
    <col min="14" max="14" width="16.33203125" customWidth="1"/>
    <col min="15" max="15" width="15.33203125" customWidth="1"/>
  </cols>
  <sheetData>
    <row r="2" spans="1:15" ht="21" customHeight="1" x14ac:dyDescent="0.25">
      <c r="A2" s="2" t="s">
        <v>327</v>
      </c>
      <c r="F2" t="s">
        <v>328</v>
      </c>
      <c r="L2" t="s">
        <v>291</v>
      </c>
    </row>
    <row r="3" spans="1:15" x14ac:dyDescent="0.2">
      <c r="H3" s="9"/>
      <c r="I3" s="9"/>
      <c r="J3" s="9"/>
      <c r="K3" s="9"/>
    </row>
    <row r="4" spans="1:15" x14ac:dyDescent="0.2">
      <c r="A4" s="202" t="s">
        <v>292</v>
      </c>
      <c r="B4" s="203"/>
      <c r="C4" s="203"/>
      <c r="D4" s="203"/>
      <c r="E4" s="203"/>
      <c r="F4" s="204" t="s">
        <v>104</v>
      </c>
      <c r="G4" s="204" t="s">
        <v>329</v>
      </c>
      <c r="H4" s="204" t="s">
        <v>106</v>
      </c>
      <c r="I4" s="205" t="s">
        <v>107</v>
      </c>
      <c r="J4" s="205" t="s">
        <v>108</v>
      </c>
      <c r="K4" s="205" t="s">
        <v>109</v>
      </c>
      <c r="L4" s="205" t="s">
        <v>110</v>
      </c>
      <c r="M4" s="206" t="s">
        <v>293</v>
      </c>
    </row>
    <row r="5" spans="1:15" ht="43.5" customHeight="1" x14ac:dyDescent="0.2">
      <c r="A5" s="207" t="s">
        <v>114</v>
      </c>
      <c r="B5" s="207" t="s">
        <v>292</v>
      </c>
      <c r="C5" s="207" t="s">
        <v>294</v>
      </c>
      <c r="D5" s="207" t="s">
        <v>19</v>
      </c>
      <c r="E5" s="184" t="s">
        <v>20</v>
      </c>
      <c r="F5" s="217" t="s">
        <v>123</v>
      </c>
      <c r="G5" s="217" t="s">
        <v>330</v>
      </c>
      <c r="H5" s="217" t="s">
        <v>331</v>
      </c>
      <c r="I5" s="219" t="s">
        <v>126</v>
      </c>
      <c r="J5" s="219" t="s">
        <v>127</v>
      </c>
      <c r="K5" s="220" t="s">
        <v>128</v>
      </c>
      <c r="L5" s="220" t="s">
        <v>129</v>
      </c>
      <c r="M5" s="98"/>
      <c r="O5" s="98" t="s">
        <v>332</v>
      </c>
    </row>
    <row r="6" spans="1:15" x14ac:dyDescent="0.2">
      <c r="A6" s="22" t="s">
        <v>299</v>
      </c>
      <c r="B6" s="17" t="s">
        <v>198</v>
      </c>
      <c r="C6" s="17" t="s">
        <v>300</v>
      </c>
      <c r="D6" s="23" t="s">
        <v>42</v>
      </c>
      <c r="E6" s="23" t="s">
        <v>43</v>
      </c>
      <c r="F6" s="24">
        <v>1.74399542375601</v>
      </c>
      <c r="G6" s="38">
        <v>3.0781519229293501E-2</v>
      </c>
      <c r="H6" s="38">
        <v>3.4007910763242202E-3</v>
      </c>
      <c r="I6" s="28">
        <v>0</v>
      </c>
      <c r="J6" s="28">
        <v>0.13515964534109101</v>
      </c>
      <c r="K6" s="28">
        <v>6.2182124337334297E-12</v>
      </c>
      <c r="L6" s="28">
        <v>1.81838347417504E-3</v>
      </c>
      <c r="M6" s="187">
        <f>'Parameters, country spec'!B21</f>
        <v>0</v>
      </c>
      <c r="O6" s="120">
        <f>K6*M6/K17*100</f>
        <v>0</v>
      </c>
    </row>
    <row r="7" spans="1:15" x14ac:dyDescent="0.2">
      <c r="A7" s="22" t="s">
        <v>301</v>
      </c>
      <c r="B7" s="17" t="s">
        <v>201</v>
      </c>
      <c r="C7" s="17" t="s">
        <v>300</v>
      </c>
      <c r="D7" s="23" t="s">
        <v>42</v>
      </c>
      <c r="E7" s="23" t="s">
        <v>43</v>
      </c>
      <c r="F7" s="21">
        <v>1.5209032948848999</v>
      </c>
      <c r="G7" s="38">
        <v>6.0836131795395897E-3</v>
      </c>
      <c r="H7" s="38">
        <v>1.36881296539641E-3</v>
      </c>
      <c r="I7" s="28">
        <v>0</v>
      </c>
      <c r="J7" s="28">
        <v>3.1938969192582899E-2</v>
      </c>
      <c r="K7" s="28">
        <v>5.4227778639415299E-12</v>
      </c>
      <c r="L7" s="28">
        <v>3.5938257584182702E-4</v>
      </c>
      <c r="M7" s="187">
        <f>'Parameters, country spec'!B22</f>
        <v>0.15</v>
      </c>
      <c r="O7" s="120">
        <f>K7*M7/K17*100</f>
        <v>1.7525759252432094</v>
      </c>
    </row>
    <row r="8" spans="1:15" x14ac:dyDescent="0.2">
      <c r="A8" s="22" t="s">
        <v>302</v>
      </c>
      <c r="B8" s="17" t="s">
        <v>204</v>
      </c>
      <c r="C8" s="17" t="s">
        <v>300</v>
      </c>
      <c r="D8" s="23" t="s">
        <v>42</v>
      </c>
      <c r="E8" s="23" t="s">
        <v>43</v>
      </c>
      <c r="F8" s="21">
        <v>2.0075725637103199</v>
      </c>
      <c r="G8" s="38">
        <v>2.9912831199283701E-2</v>
      </c>
      <c r="H8" s="38">
        <v>4.4166596401626901E-3</v>
      </c>
      <c r="I8" s="28">
        <v>6.2688988000000001E-6</v>
      </c>
      <c r="J8" s="28">
        <v>6.6249894602440407E-2</v>
      </c>
      <c r="K8" s="28">
        <v>7.1579962351048499E-12</v>
      </c>
      <c r="L8" s="28">
        <v>1.76706671017073E-3</v>
      </c>
      <c r="M8" s="187">
        <f>'Parameters, country spec'!B23</f>
        <v>0</v>
      </c>
      <c r="O8" s="120">
        <f>K8*M8/K17*100</f>
        <v>0</v>
      </c>
    </row>
    <row r="9" spans="1:15" x14ac:dyDescent="0.2">
      <c r="A9" s="22" t="s">
        <v>303</v>
      </c>
      <c r="B9" s="17" t="s">
        <v>205</v>
      </c>
      <c r="C9" s="17" t="s">
        <v>300</v>
      </c>
      <c r="D9" s="23" t="s">
        <v>42</v>
      </c>
      <c r="E9" s="23" t="s">
        <v>43</v>
      </c>
      <c r="F9" s="21">
        <v>1.6691314173930201</v>
      </c>
      <c r="G9" s="38">
        <v>2.5370797544373901E-2</v>
      </c>
      <c r="H9" s="38">
        <v>3.3382628347860301E-3</v>
      </c>
      <c r="I9" s="28">
        <v>2.3542927958000001E-3</v>
      </c>
      <c r="J9" s="28">
        <v>0.20363403292194801</v>
      </c>
      <c r="K9" s="28">
        <v>5.9512849585438101E-12</v>
      </c>
      <c r="L9" s="28">
        <v>1.49875120320333E-3</v>
      </c>
      <c r="M9" s="187">
        <f>'Parameters, country spec'!B24</f>
        <v>0</v>
      </c>
      <c r="O9" s="120">
        <f>K9*M9/K17*100</f>
        <v>0</v>
      </c>
    </row>
    <row r="10" spans="1:15" x14ac:dyDescent="0.2">
      <c r="A10" s="22" t="s">
        <v>304</v>
      </c>
      <c r="B10" s="17" t="s">
        <v>206</v>
      </c>
      <c r="C10" s="17" t="s">
        <v>300</v>
      </c>
      <c r="D10" s="23" t="s">
        <v>42</v>
      </c>
      <c r="E10" s="23" t="s">
        <v>43</v>
      </c>
      <c r="F10" s="21">
        <v>1.30502303365654</v>
      </c>
      <c r="G10" s="38">
        <v>2.5056442246205599E-2</v>
      </c>
      <c r="H10" s="38">
        <v>2.4142926122646098E-3</v>
      </c>
      <c r="I10" s="28">
        <v>1.860936398E-3</v>
      </c>
      <c r="J10" s="28">
        <v>0.10113928510838199</v>
      </c>
      <c r="K10" s="28">
        <v>4.6530571947916698E-12</v>
      </c>
      <c r="L10" s="28">
        <v>1.48018101909544E-3</v>
      </c>
      <c r="M10" s="187">
        <f>'Parameters, country spec'!B25</f>
        <v>0.5</v>
      </c>
      <c r="O10" s="120">
        <f>K10*M10/K17*100</f>
        <v>5.012705187253891</v>
      </c>
    </row>
    <row r="11" spans="1:15" x14ac:dyDescent="0.2">
      <c r="A11" s="22" t="s">
        <v>305</v>
      </c>
      <c r="B11" s="17" t="s">
        <v>207</v>
      </c>
      <c r="C11" s="17" t="s">
        <v>306</v>
      </c>
      <c r="D11" s="23" t="s">
        <v>42</v>
      </c>
      <c r="E11" s="23" t="s">
        <v>43</v>
      </c>
      <c r="F11" s="21">
        <v>2.8087205154563901</v>
      </c>
      <c r="G11" s="38">
        <v>3.44E-2</v>
      </c>
      <c r="H11" s="38">
        <v>3.93220872163894E-3</v>
      </c>
      <c r="I11" s="28">
        <v>0.180512317566</v>
      </c>
      <c r="J11" s="28">
        <v>0.21627147969014199</v>
      </c>
      <c r="K11" s="28">
        <v>1.00144877642388E-11</v>
      </c>
      <c r="L11" s="28">
        <v>0</v>
      </c>
      <c r="M11" s="187">
        <f>'Parameters, country spec'!B26</f>
        <v>0</v>
      </c>
      <c r="O11" s="120">
        <f>K11*M11/K17*100</f>
        <v>0</v>
      </c>
    </row>
    <row r="12" spans="1:15" x14ac:dyDescent="0.2">
      <c r="A12" s="22" t="s">
        <v>307</v>
      </c>
      <c r="B12" s="17" t="s">
        <v>208</v>
      </c>
      <c r="C12" s="17" t="s">
        <v>306</v>
      </c>
      <c r="D12" s="23" t="s">
        <v>42</v>
      </c>
      <c r="E12" s="23" t="s">
        <v>43</v>
      </c>
      <c r="F12" s="281">
        <v>2.6093037333917799</v>
      </c>
      <c r="G12" s="281">
        <v>0.04</v>
      </c>
      <c r="H12" s="281">
        <v>3.6530252267484901E-3</v>
      </c>
      <c r="I12" s="282">
        <v>0.24589923734999999</v>
      </c>
      <c r="J12" s="282">
        <v>0.200916387471167</v>
      </c>
      <c r="K12" s="297">
        <v>9.30346759937015E-12</v>
      </c>
      <c r="L12" s="299">
        <v>0</v>
      </c>
      <c r="M12" s="187">
        <f>'Parameters, country spec'!B27</f>
        <v>0</v>
      </c>
      <c r="O12" s="120">
        <f>K12*M12/K17*100</f>
        <v>0</v>
      </c>
    </row>
    <row r="13" spans="1:15" x14ac:dyDescent="0.2">
      <c r="B13" s="18" t="s">
        <v>209</v>
      </c>
      <c r="C13" s="17" t="s">
        <v>308</v>
      </c>
      <c r="D13" s="23" t="str">
        <f>'Off-farm feed'!$D$88</f>
        <v>France, Germany, Poland</v>
      </c>
      <c r="E13" s="23" t="s">
        <v>319</v>
      </c>
      <c r="F13" s="19">
        <f>'Off-farm feed'!$F$88</f>
        <v>1.5397450382845068</v>
      </c>
      <c r="G13" s="20">
        <f>'Off-farm feed'!$G$88</f>
        <v>2.276724967641296E-2</v>
      </c>
      <c r="H13" s="20">
        <f>'Off-farm feed'!$H$88</f>
        <v>2.4780679919905292E-3</v>
      </c>
      <c r="I13" s="19">
        <f>'Off-farm feed'!$I$88</f>
        <v>8.1100925319702543E-4</v>
      </c>
      <c r="J13" s="19">
        <f>'Off-farm feed'!$J$88</f>
        <v>0.29368572248181479</v>
      </c>
      <c r="K13" s="29">
        <f>'Off-farm feed'!$K$88</f>
        <v>1.2571008272056975E-11</v>
      </c>
      <c r="L13" s="29">
        <f>'Off-farm feed'!$L$88</f>
        <v>1.3841258986185109E-3</v>
      </c>
      <c r="M13" s="187">
        <f>'Parameters, country spec'!B28</f>
        <v>0.03</v>
      </c>
      <c r="O13" s="120">
        <f>K13*M13/K17*100</f>
        <v>0.81255943010826781</v>
      </c>
    </row>
    <row r="14" spans="1:15" x14ac:dyDescent="0.2">
      <c r="B14" s="18" t="s">
        <v>309</v>
      </c>
      <c r="C14" s="17" t="s">
        <v>308</v>
      </c>
      <c r="D14" s="23" t="str">
        <f>'Off-farm feed'!$D$36</f>
        <v>Brazil, Argentina</v>
      </c>
      <c r="E14" s="23" t="s">
        <v>319</v>
      </c>
      <c r="F14" s="19">
        <f>'Off-farm feed'!$F$36</f>
        <v>2.5509164954964105</v>
      </c>
      <c r="G14" s="20">
        <f>'Off-farm feed'!$G$36</f>
        <v>4.2620923125915401E-2</v>
      </c>
      <c r="H14" s="20">
        <f>'Off-farm feed'!$H$36</f>
        <v>3.2959349471355006E-3</v>
      </c>
      <c r="I14" s="19">
        <f>'Off-farm feed'!$I$36</f>
        <v>2.435286335413451E-3</v>
      </c>
      <c r="J14" s="19">
        <f>'Off-farm feed'!$J$36</f>
        <v>0.25920846302270906</v>
      </c>
      <c r="K14" s="29">
        <f>'Off-farm feed'!$K$36</f>
        <v>1.4553836091881654E-10</v>
      </c>
      <c r="L14" s="29">
        <f>'Off-farm feed'!$L$36</f>
        <v>1.0450321677831977E-4</v>
      </c>
      <c r="M14" s="187">
        <f>'Parameters, country spec'!B29</f>
        <v>0.28999999999999998</v>
      </c>
      <c r="O14" s="120">
        <f>K14*M14/K17*100</f>
        <v>90.936711582331966</v>
      </c>
    </row>
    <row r="15" spans="1:15" x14ac:dyDescent="0.2">
      <c r="B15" s="17" t="s">
        <v>213</v>
      </c>
      <c r="C15" s="17" t="s">
        <v>310</v>
      </c>
      <c r="D15" s="23" t="s">
        <v>42</v>
      </c>
      <c r="E15" s="23" t="s">
        <v>43</v>
      </c>
      <c r="F15" s="21">
        <v>0.117452073029089</v>
      </c>
      <c r="G15" s="21">
        <v>2.2550798021585099E-3</v>
      </c>
      <c r="H15" s="21">
        <v>2.17286335103815E-4</v>
      </c>
      <c r="I15" s="28">
        <v>1.6748427582E-4</v>
      </c>
      <c r="J15" s="28">
        <v>9.1025356597544006E-3</v>
      </c>
      <c r="K15" s="28">
        <v>4.1877514753125102E-13</v>
      </c>
      <c r="L15" s="28">
        <v>1.3321629171859001E-4</v>
      </c>
      <c r="M15" s="187">
        <f>'Parameters, country spec'!B30</f>
        <v>0</v>
      </c>
      <c r="N15" t="s">
        <v>315</v>
      </c>
      <c r="O15" s="120">
        <f>K15*M15/K17*100</f>
        <v>0</v>
      </c>
    </row>
    <row r="16" spans="1:15" x14ac:dyDescent="0.2">
      <c r="A16" s="82"/>
      <c r="B16" s="17" t="s">
        <v>312</v>
      </c>
      <c r="C16" s="83" t="s">
        <v>313</v>
      </c>
      <c r="D16" s="23" t="s">
        <v>42</v>
      </c>
      <c r="E16" s="23" t="s">
        <v>43</v>
      </c>
      <c r="F16" s="107">
        <f t="shared" ref="F16:L16" si="0">AVERAGE(F6:F14)</f>
        <v>1.9728123906699864</v>
      </c>
      <c r="G16" s="107">
        <f t="shared" si="0"/>
        <v>2.8554819577891626E-2</v>
      </c>
      <c r="H16" s="107">
        <f t="shared" si="0"/>
        <v>3.144228446271935E-3</v>
      </c>
      <c r="I16" s="216">
        <f t="shared" si="0"/>
        <v>4.8208816510801167E-2</v>
      </c>
      <c r="J16" s="216">
        <f t="shared" si="0"/>
        <v>0.16757820887025301</v>
      </c>
      <c r="K16" s="216">
        <f t="shared" si="0"/>
        <v>2.2981183693399751E-11</v>
      </c>
      <c r="L16" s="216">
        <f t="shared" si="0"/>
        <v>9.3471045532035515E-4</v>
      </c>
      <c r="M16" s="187">
        <f>'Parameters, country spec'!B31</f>
        <v>0.03</v>
      </c>
      <c r="O16" s="120">
        <f>K16*M16/K17*100</f>
        <v>1.4854478750626727</v>
      </c>
    </row>
    <row r="17" spans="1:15" x14ac:dyDescent="0.2">
      <c r="A17" s="185"/>
      <c r="B17" s="25" t="s">
        <v>314</v>
      </c>
      <c r="C17" s="26"/>
      <c r="D17" s="102"/>
      <c r="E17" s="102"/>
      <c r="F17" s="45">
        <f>SUMPRODUCT(F6:F16,M6:M16)</f>
        <v>1.7257895176235987</v>
      </c>
      <c r="G17" s="30">
        <f>SUMPRODUCT(G6:G16,M6:M16)</f>
        <v>2.7340492884178339E-2</v>
      </c>
      <c r="H17" s="30">
        <f>SUMPRODUCT(H6:H16,M6:M16)</f>
        <v>2.5369582787589354E-3</v>
      </c>
      <c r="I17" s="30">
        <f>SUMPRODUCT(I6:I16,M6:M16)</f>
        <v>3.1072960091898466E-3</v>
      </c>
      <c r="J17" s="30">
        <f>SUMPRODUCT(J6:J16,M6:M16)</f>
        <v>0.1443688601502261</v>
      </c>
      <c r="K17" s="30">
        <f>SUMPRODUCT(K6:K16,M6:M16)</f>
        <v>4.6412635702407558E-11</v>
      </c>
      <c r="L17" s="45">
        <f>SUMPRODUCT(L6:L16,M6:M16)</f>
        <v>8.9386891940787278E-4</v>
      </c>
      <c r="M17" s="188"/>
    </row>
    <row r="18" spans="1:15" x14ac:dyDescent="0.2">
      <c r="A18" s="22" t="s">
        <v>299</v>
      </c>
      <c r="B18" s="17" t="s">
        <v>198</v>
      </c>
      <c r="C18" s="17" t="s">
        <v>300</v>
      </c>
      <c r="D18" s="23" t="s">
        <v>49</v>
      </c>
      <c r="E18" s="23" t="s">
        <v>50</v>
      </c>
      <c r="F18" s="298">
        <v>1.67615369658936</v>
      </c>
      <c r="G18" s="281">
        <v>1.575584474794E-2</v>
      </c>
      <c r="H18" s="281">
        <v>1.1733075876125499E-3</v>
      </c>
      <c r="I18" s="282">
        <v>2.7117274000000001E-6</v>
      </c>
      <c r="J18" s="282">
        <v>0.37818016640853902</v>
      </c>
      <c r="K18" s="297">
        <v>2.0149782021456099E-11</v>
      </c>
      <c r="L18" s="300">
        <v>1.5160827948018901E-3</v>
      </c>
      <c r="M18" s="187">
        <f>'Parameters, country spec'!C21</f>
        <v>0.1293861840707447</v>
      </c>
      <c r="O18" s="120">
        <f>K18*M18/K29*100</f>
        <v>9.2734057884425791</v>
      </c>
    </row>
    <row r="19" spans="1:15" x14ac:dyDescent="0.2">
      <c r="A19" s="22" t="s">
        <v>301</v>
      </c>
      <c r="B19" s="17" t="s">
        <v>201</v>
      </c>
      <c r="C19" s="17" t="s">
        <v>300</v>
      </c>
      <c r="D19" s="23" t="s">
        <v>49</v>
      </c>
      <c r="E19" s="23" t="s">
        <v>50</v>
      </c>
      <c r="F19" s="21">
        <v>1.1291040108032699</v>
      </c>
      <c r="G19" s="38">
        <v>1.49038347238525E-2</v>
      </c>
      <c r="H19" s="38">
        <v>4.1775900362313904E-3</v>
      </c>
      <c r="I19" s="28">
        <v>4.0573939566E-2</v>
      </c>
      <c r="J19" s="28">
        <v>0.119829776279331</v>
      </c>
      <c r="K19" s="28">
        <v>1.35734567441708E-11</v>
      </c>
      <c r="L19" s="28">
        <v>1.4340993937730999E-3</v>
      </c>
      <c r="M19" s="187">
        <f>'Parameters, country spec'!C22</f>
        <v>0.21280975376032871</v>
      </c>
      <c r="O19" s="120">
        <f>K19*M19/K29*100</f>
        <v>10.274554489629299</v>
      </c>
    </row>
    <row r="20" spans="1:15" x14ac:dyDescent="0.2">
      <c r="A20" s="22" t="s">
        <v>302</v>
      </c>
      <c r="B20" s="17" t="s">
        <v>204</v>
      </c>
      <c r="C20" s="17" t="s">
        <v>300</v>
      </c>
      <c r="D20" s="23" t="s">
        <v>49</v>
      </c>
      <c r="E20" s="23" t="s">
        <v>50</v>
      </c>
      <c r="F20" s="21">
        <v>2.4422767881129501</v>
      </c>
      <c r="G20" s="38">
        <v>1.73382228145719E-2</v>
      </c>
      <c r="H20" s="38">
        <v>3.6630048199799699E-3</v>
      </c>
      <c r="I20" s="28">
        <v>1.5362076347999999E-2</v>
      </c>
      <c r="J20" s="28">
        <v>0.12972202005597699</v>
      </c>
      <c r="K20" s="28">
        <v>2.9359685222586201E-11</v>
      </c>
      <c r="L20" s="28">
        <v>1.6683447775817199E-3</v>
      </c>
      <c r="M20" s="187">
        <f>'Parameters, country spec'!C23</f>
        <v>1.4661663802605951E-2</v>
      </c>
      <c r="O20" s="120">
        <f>K20*M20/K29*100</f>
        <v>1.5311426678750633</v>
      </c>
    </row>
    <row r="21" spans="1:15" x14ac:dyDescent="0.2">
      <c r="A21" s="22" t="s">
        <v>303</v>
      </c>
      <c r="B21" s="17" t="s">
        <v>205</v>
      </c>
      <c r="C21" s="17" t="s">
        <v>300</v>
      </c>
      <c r="D21" s="23" t="s">
        <v>49</v>
      </c>
      <c r="E21" s="23" t="s">
        <v>50</v>
      </c>
      <c r="F21" s="21">
        <v>2.4432315157319699</v>
      </c>
      <c r="G21" s="38">
        <v>2.3211633118504299E-2</v>
      </c>
      <c r="H21" s="38">
        <v>1.7103308613634701E-3</v>
      </c>
      <c r="I21" s="28">
        <v>3.4943905220000002E-4</v>
      </c>
      <c r="J21" s="28">
        <v>0.21293031415070801</v>
      </c>
      <c r="K21" s="28">
        <v>2.9371162423902602E-11</v>
      </c>
      <c r="L21" s="28">
        <v>2.2335049737538899E-3</v>
      </c>
      <c r="M21" s="187">
        <f>'Parameters, country spec'!C24</f>
        <v>2.2515954502451301E-3</v>
      </c>
      <c r="O21" s="120">
        <f>K21*M21/K29*100</f>
        <v>0.23522988952827381</v>
      </c>
    </row>
    <row r="22" spans="1:15" x14ac:dyDescent="0.2">
      <c r="A22" s="22" t="s">
        <v>304</v>
      </c>
      <c r="B22" s="17" t="s">
        <v>206</v>
      </c>
      <c r="C22" s="17" t="s">
        <v>300</v>
      </c>
      <c r="D22" s="23" t="s">
        <v>49</v>
      </c>
      <c r="E22" s="23" t="s">
        <v>50</v>
      </c>
      <c r="F22" s="21">
        <v>1.4802621840380401</v>
      </c>
      <c r="G22" s="38">
        <v>2.2648011415782002E-2</v>
      </c>
      <c r="H22" s="38">
        <v>2.0723670576532501E-3</v>
      </c>
      <c r="I22" s="28">
        <v>2.255164634E-4</v>
      </c>
      <c r="J22" s="28">
        <v>0.44839391553031899</v>
      </c>
      <c r="K22" s="28">
        <v>1.77948838484579E-11</v>
      </c>
      <c r="L22" s="28">
        <v>2.17927131126581E-3</v>
      </c>
      <c r="M22" s="187">
        <f>'Parameters, country spec'!C25</f>
        <v>0.31521053769451612</v>
      </c>
      <c r="O22" s="120">
        <f>K22*M22/K29*100</f>
        <v>19.95156156607959</v>
      </c>
    </row>
    <row r="23" spans="1:15" x14ac:dyDescent="0.2">
      <c r="A23" s="22" t="s">
        <v>305</v>
      </c>
      <c r="B23" s="17" t="s">
        <v>207</v>
      </c>
      <c r="C23" s="17" t="s">
        <v>306</v>
      </c>
      <c r="D23" s="23" t="s">
        <v>49</v>
      </c>
      <c r="E23" s="23" t="s">
        <v>50</v>
      </c>
      <c r="F23" s="21">
        <v>3.39685451272122</v>
      </c>
      <c r="G23" s="38">
        <v>3.44E-2</v>
      </c>
      <c r="H23" s="38">
        <v>1.69862221424959E-3</v>
      </c>
      <c r="I23" s="28">
        <v>5.8912594268000003E-2</v>
      </c>
      <c r="J23" s="28">
        <v>1.1407877305615</v>
      </c>
      <c r="K23" s="28">
        <v>4.0835084592305499E-11</v>
      </c>
      <c r="L23" s="28">
        <v>0</v>
      </c>
      <c r="M23" s="187">
        <f>'Parameters, country spec'!C26</f>
        <v>0</v>
      </c>
      <c r="O23" s="120">
        <f>K23*M23/K29*100</f>
        <v>0</v>
      </c>
    </row>
    <row r="24" spans="1:15" x14ac:dyDescent="0.2">
      <c r="A24" s="22" t="s">
        <v>307</v>
      </c>
      <c r="B24" s="17" t="s">
        <v>208</v>
      </c>
      <c r="C24" s="17" t="s">
        <v>306</v>
      </c>
      <c r="D24" s="23" t="s">
        <v>49</v>
      </c>
      <c r="E24" s="23" t="s">
        <v>50</v>
      </c>
      <c r="F24" s="21">
        <v>4.1670486461258998</v>
      </c>
      <c r="G24" s="38">
        <v>4.0833409729225202E-2</v>
      </c>
      <c r="H24" s="38">
        <v>1.6668194584503601E-3</v>
      </c>
      <c r="I24" s="28">
        <v>6.7232113605999996E-2</v>
      </c>
      <c r="J24" s="28">
        <v>0.53657001891840095</v>
      </c>
      <c r="K24" s="28">
        <v>5.0093927581398302E-11</v>
      </c>
      <c r="L24" s="28">
        <v>8.0193615240083796E-5</v>
      </c>
      <c r="M24" s="187">
        <f>'Parameters, country spec'!C27</f>
        <v>0</v>
      </c>
      <c r="O24" s="120">
        <f>K24*M24/K29*100</f>
        <v>0</v>
      </c>
    </row>
    <row r="25" spans="1:15" x14ac:dyDescent="0.2">
      <c r="B25" s="18" t="s">
        <v>209</v>
      </c>
      <c r="C25" s="17" t="s">
        <v>308</v>
      </c>
      <c r="D25" s="23" t="str">
        <f>'Off-farm feed'!$D$88</f>
        <v>France, Germany, Poland</v>
      </c>
      <c r="E25" s="23" t="s">
        <v>319</v>
      </c>
      <c r="F25" s="19">
        <f>'Off-farm feed'!$F$88</f>
        <v>1.5397450382845068</v>
      </c>
      <c r="G25" s="20">
        <f>'Off-farm feed'!$G$88</f>
        <v>2.276724967641296E-2</v>
      </c>
      <c r="H25" s="20">
        <f>'Off-farm feed'!$H$88</f>
        <v>2.4780679919905292E-3</v>
      </c>
      <c r="I25" s="19">
        <f>'Off-farm feed'!$I$88</f>
        <v>8.1100925319702543E-4</v>
      </c>
      <c r="J25" s="19">
        <f>'Off-farm feed'!$J$88</f>
        <v>0.29368572248181479</v>
      </c>
      <c r="K25" s="29">
        <f>'Off-farm feed'!$K$88</f>
        <v>1.2571008272056975E-11</v>
      </c>
      <c r="L25" s="29">
        <f>'Off-farm feed'!$L$88</f>
        <v>1.3841258986185109E-3</v>
      </c>
      <c r="M25" s="187">
        <f>'Parameters, country spec'!C28</f>
        <v>9.7073458625180783E-2</v>
      </c>
      <c r="O25" s="120">
        <f>K25*M25/K29*100</f>
        <v>4.340618556912716</v>
      </c>
    </row>
    <row r="26" spans="1:15" x14ac:dyDescent="0.2">
      <c r="B26" s="18" t="s">
        <v>309</v>
      </c>
      <c r="C26" s="17" t="s">
        <v>308</v>
      </c>
      <c r="D26" s="23" t="str">
        <f>'Off-farm feed'!$D$36</f>
        <v>Brazil, Argentina</v>
      </c>
      <c r="E26" s="23" t="s">
        <v>319</v>
      </c>
      <c r="F26" s="19">
        <f>'Off-farm feed'!$F$36</f>
        <v>2.5509164954964105</v>
      </c>
      <c r="G26" s="20">
        <f>'Off-farm feed'!$G$36</f>
        <v>4.2620923125915401E-2</v>
      </c>
      <c r="H26" s="20">
        <f>'Off-farm feed'!$H$36</f>
        <v>3.2959349471355006E-3</v>
      </c>
      <c r="I26" s="19">
        <f>'Off-farm feed'!$I$36</f>
        <v>2.435286335413451E-3</v>
      </c>
      <c r="J26" s="19">
        <f>'Off-farm feed'!$J$36</f>
        <v>0.25920846302270906</v>
      </c>
      <c r="K26" s="29">
        <f>'Off-farm feed'!$K$36</f>
        <v>1.4553836091881654E-10</v>
      </c>
      <c r="L26" s="29">
        <f>'Off-farm feed'!$L$36</f>
        <v>1.0450321677831977E-4</v>
      </c>
      <c r="M26" s="187">
        <f>'Parameters, country spec'!C29</f>
        <v>8.7459166665531385E-2</v>
      </c>
      <c r="O26" s="120">
        <f>K26*M26/K29*100</f>
        <v>45.275559063924561</v>
      </c>
    </row>
    <row r="27" spans="1:15" x14ac:dyDescent="0.2">
      <c r="B27" s="17" t="s">
        <v>213</v>
      </c>
      <c r="C27" s="17" t="s">
        <v>310</v>
      </c>
      <c r="D27" s="23" t="s">
        <v>49</v>
      </c>
      <c r="E27" s="23" t="s">
        <v>50</v>
      </c>
      <c r="F27" s="21">
        <v>0.133223596563423</v>
      </c>
      <c r="G27" s="21">
        <v>2.0383210274203798E-3</v>
      </c>
      <c r="H27" s="21">
        <v>1.8651303518879301E-4</v>
      </c>
      <c r="I27" s="28">
        <v>2.0296481705999999E-5</v>
      </c>
      <c r="J27" s="28">
        <v>4.0355452397728697E-2</v>
      </c>
      <c r="K27" s="28">
        <v>1.6015395463612101E-12</v>
      </c>
      <c r="L27" s="28">
        <v>1.96134418013923E-4</v>
      </c>
      <c r="M27" s="187">
        <f>'Parameters, country spec'!C30</f>
        <v>8.0151207366747315E-2</v>
      </c>
      <c r="O27" s="120">
        <f>K27*M27/K29*100</f>
        <v>0.45659246802553266</v>
      </c>
    </row>
    <row r="28" spans="1:15" x14ac:dyDescent="0.2">
      <c r="A28" s="82"/>
      <c r="B28" s="17" t="s">
        <v>312</v>
      </c>
      <c r="C28" s="83" t="s">
        <v>313</v>
      </c>
      <c r="D28" s="23" t="s">
        <v>49</v>
      </c>
      <c r="E28" s="23" t="s">
        <v>50</v>
      </c>
      <c r="F28" s="107">
        <f t="shared" ref="F28:L28" si="1">AVERAGE(F18:F26)</f>
        <v>2.3139547653226251</v>
      </c>
      <c r="G28" s="107">
        <f t="shared" si="1"/>
        <v>2.6053236594689364E-2</v>
      </c>
      <c r="H28" s="107">
        <f t="shared" si="1"/>
        <v>2.4373383305185126E-3</v>
      </c>
      <c r="I28" s="216">
        <f t="shared" si="1"/>
        <v>2.0656076291067832E-2</v>
      </c>
      <c r="J28" s="216">
        <f t="shared" si="1"/>
        <v>0.39103423637881096</v>
      </c>
      <c r="K28" s="216">
        <f t="shared" si="1"/>
        <v>3.9920816847238988E-11</v>
      </c>
      <c r="L28" s="216">
        <f t="shared" si="1"/>
        <v>1.1777917757570362E-3</v>
      </c>
      <c r="M28" s="187">
        <f>'Parameters, country spec'!C31</f>
        <v>6.0996432564100048E-2</v>
      </c>
      <c r="O28" s="120">
        <f>K28*M28/K29*100</f>
        <v>8.6613355095823827</v>
      </c>
    </row>
    <row r="29" spans="1:15" x14ac:dyDescent="0.2">
      <c r="A29" s="185"/>
      <c r="B29" s="25" t="s">
        <v>314</v>
      </c>
      <c r="C29" s="26"/>
      <c r="D29" s="102"/>
      <c r="E29" s="102"/>
      <c r="F29" s="30">
        <f>SUMPRODUCT(F18:F28,M18:M28)</f>
        <v>1.4894491514414314</v>
      </c>
      <c r="G29" s="30">
        <f>SUMPRODUCT(G18:G28,M18:M28)</f>
        <v>2.0345846752813181E-2</v>
      </c>
      <c r="H29" s="30">
        <f>SUMPRODUCT(H18:H28,M18:M28)</f>
        <v>2.4440628939559959E-3</v>
      </c>
      <c r="I29" s="30">
        <f>SUMPRODUCT(I18:I28,M18:M28)</f>
        <v>1.0485275846692272E-2</v>
      </c>
      <c r="J29" s="30">
        <f>SUMPRODUCT(J18:J28,M18:M28)</f>
        <v>0.29641757125348567</v>
      </c>
      <c r="K29" s="30">
        <f>SUMPRODUCT(K18:K28,M18:M28)</f>
        <v>2.8113763865081012E-11</v>
      </c>
      <c r="L29" s="30">
        <f>SUMPRODUCT(L18:L28,M18:M28)</f>
        <v>1.4488326075298766E-3</v>
      </c>
      <c r="M29" s="188"/>
    </row>
    <row r="30" spans="1:15" x14ac:dyDescent="0.2">
      <c r="A30" s="22" t="s">
        <v>299</v>
      </c>
      <c r="B30" s="17" t="s">
        <v>198</v>
      </c>
      <c r="C30" s="17" t="s">
        <v>300</v>
      </c>
      <c r="D30" s="23" t="s">
        <v>51</v>
      </c>
      <c r="E30" s="23" t="s">
        <v>52</v>
      </c>
      <c r="F30" s="24">
        <v>1.4917491355313801</v>
      </c>
      <c r="G30" s="38">
        <v>1.4022441873994901E-2</v>
      </c>
      <c r="H30" s="38">
        <v>1.0442243948719601E-3</v>
      </c>
      <c r="I30" s="28">
        <v>4.1329811419999997E-4</v>
      </c>
      <c r="J30" s="28">
        <v>0.341339501218759</v>
      </c>
      <c r="K30" s="28">
        <v>1.36821682915835E-11</v>
      </c>
      <c r="L30" s="28">
        <v>1.1576521359024301E-3</v>
      </c>
      <c r="M30" s="187">
        <f>'Parameters, country spec'!D21</f>
        <v>0.1284012676024372</v>
      </c>
      <c r="O30" s="120">
        <f>K30*M30/K41*100</f>
        <v>7.1638120031650185</v>
      </c>
    </row>
    <row r="31" spans="1:15" x14ac:dyDescent="0.2">
      <c r="A31" s="22" t="s">
        <v>301</v>
      </c>
      <c r="B31" s="17" t="s">
        <v>201</v>
      </c>
      <c r="C31" s="17" t="s">
        <v>300</v>
      </c>
      <c r="D31" s="23" t="s">
        <v>51</v>
      </c>
      <c r="E31" s="23" t="s">
        <v>52</v>
      </c>
      <c r="F31" s="21">
        <v>1.0405848919560701</v>
      </c>
      <c r="G31" s="38">
        <v>1.37354088706301E-2</v>
      </c>
      <c r="H31" s="38">
        <v>3.8500767288887402E-3</v>
      </c>
      <c r="I31" s="28">
        <v>6.8362244573999999E-3</v>
      </c>
      <c r="J31" s="28">
        <v>8.7208089923184004E-2</v>
      </c>
      <c r="K31" s="28">
        <v>9.5441366609880203E-12</v>
      </c>
      <c r="L31" s="28">
        <v>1.1339555235430701E-3</v>
      </c>
      <c r="M31" s="187">
        <f>'Parameters, country spec'!D22</f>
        <v>0.19116633717197409</v>
      </c>
      <c r="O31" s="120">
        <f>K31*M31/K41*100</f>
        <v>7.4399156099568682</v>
      </c>
    </row>
    <row r="32" spans="1:15" x14ac:dyDescent="0.2">
      <c r="A32" s="22" t="s">
        <v>302</v>
      </c>
      <c r="B32" s="17" t="s">
        <v>204</v>
      </c>
      <c r="C32" s="17" t="s">
        <v>300</v>
      </c>
      <c r="D32" s="23" t="s">
        <v>51</v>
      </c>
      <c r="E32" s="23" t="s">
        <v>52</v>
      </c>
      <c r="F32" s="21">
        <v>2.3437536621151001</v>
      </c>
      <c r="G32" s="38">
        <v>1.6638786976974299E-2</v>
      </c>
      <c r="H32" s="38">
        <v>3.5152366852762599E-3</v>
      </c>
      <c r="I32" s="28">
        <v>2.9220454559999998E-4</v>
      </c>
      <c r="J32" s="28">
        <v>0.124488944513976</v>
      </c>
      <c r="K32" s="28">
        <v>2.1496665407921299E-11</v>
      </c>
      <c r="L32" s="28">
        <v>1.3736500001787701E-3</v>
      </c>
      <c r="M32" s="187">
        <f>'Parameters, country spec'!D23</f>
        <v>2.55587587755639E-5</v>
      </c>
      <c r="O32" s="120">
        <f>K32*M32/K41*100</f>
        <v>2.2404269959986106E-3</v>
      </c>
    </row>
    <row r="33" spans="1:15" x14ac:dyDescent="0.2">
      <c r="A33" s="22" t="s">
        <v>303</v>
      </c>
      <c r="B33" s="17" t="s">
        <v>205</v>
      </c>
      <c r="C33" s="17" t="s">
        <v>300</v>
      </c>
      <c r="D33" s="23" t="s">
        <v>51</v>
      </c>
      <c r="E33" s="23" t="s">
        <v>52</v>
      </c>
      <c r="F33" s="21">
        <v>1.9276885472167999</v>
      </c>
      <c r="G33" s="38">
        <v>1.8313777894819701E-2</v>
      </c>
      <c r="H33" s="38">
        <v>1.34943626593408E-3</v>
      </c>
      <c r="I33" s="28">
        <v>1.35246E-8</v>
      </c>
      <c r="J33" s="28">
        <v>0.16800017734734601</v>
      </c>
      <c r="K33" s="28">
        <v>1.7680559343768899E-11</v>
      </c>
      <c r="L33" s="28">
        <v>1.51193239286652E-3</v>
      </c>
      <c r="M33" s="187">
        <f>'Parameters, country spec'!D24</f>
        <v>2.0974185801992559E-2</v>
      </c>
      <c r="O33" s="120">
        <f>K33*M33/K41*100</f>
        <v>1.5121715129979594</v>
      </c>
    </row>
    <row r="34" spans="1:15" x14ac:dyDescent="0.2">
      <c r="A34" s="22" t="s">
        <v>304</v>
      </c>
      <c r="B34" s="17" t="s">
        <v>206</v>
      </c>
      <c r="C34" s="17" t="s">
        <v>300</v>
      </c>
      <c r="D34" s="23" t="s">
        <v>51</v>
      </c>
      <c r="E34" s="23" t="s">
        <v>52</v>
      </c>
      <c r="F34" s="21">
        <v>1.3435695418159099</v>
      </c>
      <c r="G34" s="38">
        <v>2.05566139897835E-2</v>
      </c>
      <c r="H34" s="38">
        <v>1.88099735854228E-3</v>
      </c>
      <c r="I34" s="28">
        <v>9.1096000000000001E-9</v>
      </c>
      <c r="J34" s="28">
        <v>0.299611305331553</v>
      </c>
      <c r="K34" s="28">
        <v>1.2323080432704899E-11</v>
      </c>
      <c r="L34" s="28">
        <v>1.6970944366207501E-3</v>
      </c>
      <c r="M34" s="187">
        <f>'Parameters, country spec'!D25</f>
        <v>0.42888207443270587</v>
      </c>
      <c r="O34" s="120">
        <f>K34*M34/K41*100</f>
        <v>21.551480962229437</v>
      </c>
    </row>
    <row r="35" spans="1:15" x14ac:dyDescent="0.2">
      <c r="A35" s="22" t="s">
        <v>305</v>
      </c>
      <c r="B35" s="17" t="s">
        <v>207</v>
      </c>
      <c r="C35" s="17" t="s">
        <v>306</v>
      </c>
      <c r="D35" s="23" t="s">
        <v>51</v>
      </c>
      <c r="E35" s="23" t="s">
        <v>52</v>
      </c>
      <c r="F35" s="21">
        <v>3.3691814236813</v>
      </c>
      <c r="G35" s="38">
        <v>3.44E-2</v>
      </c>
      <c r="H35" s="38">
        <v>1.6847840814699601E-3</v>
      </c>
      <c r="I35" s="28">
        <v>4.6513156312000002E-2</v>
      </c>
      <c r="J35" s="28">
        <v>0.36443155171019598</v>
      </c>
      <c r="K35" s="28">
        <v>3.0901782441632898E-11</v>
      </c>
      <c r="L35" s="28">
        <v>0</v>
      </c>
      <c r="M35" s="187">
        <f>'Parameters, country spec'!D26</f>
        <v>9.3450155108809542E-4</v>
      </c>
      <c r="O35" s="120">
        <f>K35*M35/K41*100</f>
        <v>0.11775612295078015</v>
      </c>
    </row>
    <row r="36" spans="1:15" x14ac:dyDescent="0.2">
      <c r="A36" s="22" t="s">
        <v>307</v>
      </c>
      <c r="B36" s="17" t="s">
        <v>208</v>
      </c>
      <c r="C36" s="17" t="s">
        <v>306</v>
      </c>
      <c r="D36" s="23" t="s">
        <v>51</v>
      </c>
      <c r="E36" s="23" t="s">
        <v>52</v>
      </c>
      <c r="F36" s="21">
        <v>2.7091020410374802</v>
      </c>
      <c r="G36" s="38">
        <v>4.0541820408207502E-2</v>
      </c>
      <c r="H36" s="38">
        <v>1.0836408164149899E-3</v>
      </c>
      <c r="I36" s="28">
        <v>2.8809268598399999E-2</v>
      </c>
      <c r="J36" s="28">
        <v>0.32345594729171101</v>
      </c>
      <c r="K36" s="28">
        <v>2.4847602831922301E-11</v>
      </c>
      <c r="L36" s="28">
        <v>4.4731121617282003E-5</v>
      </c>
      <c r="M36" s="187">
        <f>'Parameters, country spec'!D27</f>
        <v>9.1798847805104754E-4</v>
      </c>
      <c r="O36" s="120">
        <f>K36*M36/K41*100</f>
        <v>9.3012575064909675E-2</v>
      </c>
    </row>
    <row r="37" spans="1:15" x14ac:dyDescent="0.2">
      <c r="B37" s="18" t="s">
        <v>209</v>
      </c>
      <c r="C37" s="17" t="s">
        <v>308</v>
      </c>
      <c r="D37" s="23" t="str">
        <f>'Off-farm feed'!$D$88</f>
        <v>France, Germany, Poland</v>
      </c>
      <c r="E37" s="23" t="s">
        <v>319</v>
      </c>
      <c r="F37" s="19">
        <f>'Off-farm feed'!$F$88</f>
        <v>1.5397450382845068</v>
      </c>
      <c r="G37" s="20">
        <f>'Off-farm feed'!$G$88</f>
        <v>2.276724967641296E-2</v>
      </c>
      <c r="H37" s="20">
        <f>'Off-farm feed'!$H$88</f>
        <v>2.4780679919905292E-3</v>
      </c>
      <c r="I37" s="19">
        <f>'Off-farm feed'!$I$88</f>
        <v>8.1100925319702543E-4</v>
      </c>
      <c r="J37" s="19">
        <f>'Off-farm feed'!$J$88</f>
        <v>0.29368572248181479</v>
      </c>
      <c r="K37" s="29">
        <f>'Off-farm feed'!$K$88</f>
        <v>1.2571008272056975E-11</v>
      </c>
      <c r="L37" s="29">
        <f>'Off-farm feed'!$L$88</f>
        <v>1.3841258986185109E-3</v>
      </c>
      <c r="M37" s="187">
        <f>'Parameters, country spec'!D28</f>
        <v>9.4499576799197224E-2</v>
      </c>
      <c r="O37" s="120">
        <f>K37*M37/K41*100</f>
        <v>4.8441760362639457</v>
      </c>
    </row>
    <row r="38" spans="1:15" x14ac:dyDescent="0.2">
      <c r="B38" s="18" t="s">
        <v>309</v>
      </c>
      <c r="C38" s="17" t="s">
        <v>308</v>
      </c>
      <c r="D38" s="23" t="str">
        <f>'Off-farm feed'!$D$36</f>
        <v>Brazil, Argentina</v>
      </c>
      <c r="E38" s="23" t="s">
        <v>319</v>
      </c>
      <c r="F38" s="19">
        <f>'Off-farm feed'!$F$36</f>
        <v>2.5509164954964105</v>
      </c>
      <c r="G38" s="20">
        <f>'Off-farm feed'!$G$36</f>
        <v>4.2620923125915401E-2</v>
      </c>
      <c r="H38" s="20">
        <f>'Off-farm feed'!$H$36</f>
        <v>3.2959349471355006E-3</v>
      </c>
      <c r="I38" s="19">
        <f>'Off-farm feed'!$I$36</f>
        <v>2.435286335413451E-3</v>
      </c>
      <c r="J38" s="19">
        <f>'Off-farm feed'!$J$36</f>
        <v>0.25920846302270906</v>
      </c>
      <c r="K38" s="29">
        <f>'Off-farm feed'!$K$36</f>
        <v>1.4553836091881654E-10</v>
      </c>
      <c r="L38" s="29">
        <f>'Off-farm feed'!$L$36</f>
        <v>1.0450321677831977E-4</v>
      </c>
      <c r="M38" s="187">
        <f>'Parameters, country spec'!D29</f>
        <v>9.0801007307611245E-2</v>
      </c>
      <c r="O38" s="120">
        <f>K38*M38/K41*100</f>
        <v>53.887506355988265</v>
      </c>
    </row>
    <row r="39" spans="1:15" x14ac:dyDescent="0.2">
      <c r="B39" s="17" t="s">
        <v>213</v>
      </c>
      <c r="C39" s="17" t="s">
        <v>310</v>
      </c>
      <c r="D39" s="23" t="s">
        <v>51</v>
      </c>
      <c r="E39" s="23" t="s">
        <v>52</v>
      </c>
      <c r="F39" s="21">
        <v>0.120921258763432</v>
      </c>
      <c r="G39" s="21">
        <v>1.85009525908051E-3</v>
      </c>
      <c r="H39" s="21">
        <v>1.69289762268805E-4</v>
      </c>
      <c r="I39" s="28">
        <v>8.1986400000000003E-10</v>
      </c>
      <c r="J39" s="28">
        <v>2.69650174798397E-2</v>
      </c>
      <c r="K39" s="28">
        <v>1.10907723894344E-12</v>
      </c>
      <c r="L39" s="28">
        <v>1.52738499295868E-4</v>
      </c>
      <c r="M39" s="187">
        <f>'Parameters, country spec'!D30</f>
        <v>1.8113105318221089E-2</v>
      </c>
      <c r="O39" s="120">
        <f>K39*M39/K41*100</f>
        <v>8.1917114501453434E-2</v>
      </c>
    </row>
    <row r="40" spans="1:15" x14ac:dyDescent="0.2">
      <c r="A40" s="82"/>
      <c r="B40" s="17" t="s">
        <v>312</v>
      </c>
      <c r="C40" s="83" t="s">
        <v>313</v>
      </c>
      <c r="D40" s="23" t="s">
        <v>51</v>
      </c>
      <c r="E40" s="23" t="s">
        <v>52</v>
      </c>
      <c r="F40" s="107">
        <f t="shared" ref="F40:L40" si="2">AVERAGE(F30:F38)</f>
        <v>2.0351434196816616</v>
      </c>
      <c r="G40" s="107">
        <f t="shared" si="2"/>
        <v>2.4844113646304261E-2</v>
      </c>
      <c r="H40" s="107">
        <f t="shared" si="2"/>
        <v>2.2424888078360333E-3</v>
      </c>
      <c r="I40" s="216">
        <f t="shared" si="2"/>
        <v>9.5678300278233871E-3</v>
      </c>
      <c r="J40" s="216">
        <f t="shared" si="2"/>
        <v>0.25126996698236098</v>
      </c>
      <c r="K40" s="216">
        <f t="shared" si="2"/>
        <v>3.2065040511266144E-11</v>
      </c>
      <c r="L40" s="216">
        <f t="shared" si="2"/>
        <v>9.3418274734729482E-4</v>
      </c>
      <c r="M40" s="187">
        <f>'Parameters, country spec'!D31</f>
        <v>2.528439677794618E-2</v>
      </c>
      <c r="O40" s="120">
        <f>K40*M40/K41*100</f>
        <v>3.3060112798853512</v>
      </c>
    </row>
    <row r="41" spans="1:15" x14ac:dyDescent="0.2">
      <c r="A41" s="185"/>
      <c r="B41" s="25" t="s">
        <v>314</v>
      </c>
      <c r="C41" s="26"/>
      <c r="D41" s="102"/>
      <c r="E41" s="102"/>
      <c r="F41" s="30">
        <f>SUMPRODUCT(F30:F40,M30:M40)</f>
        <v>1.4436058804791314</v>
      </c>
      <c r="G41" s="30">
        <f>SUMPRODUCT(G30:G40,M30:M40)</f>
        <v>2.0379713599349463E-2</v>
      </c>
      <c r="H41" s="30">
        <f>SUMPRODUCT(H30:H40,M30:M40)</f>
        <v>2.3009901561907454E-3</v>
      </c>
      <c r="I41" s="30">
        <f>SUMPRODUCT(I30:I40,M30:M40)</f>
        <v>1.9695321528417609E-3</v>
      </c>
      <c r="J41" s="30">
        <f>SUMPRODUCT(J30:J40,M30:M40)</f>
        <v>0.25129312909290347</v>
      </c>
      <c r="K41" s="30">
        <f>SUMPRODUCT(K30:K40,M30:M40)</f>
        <v>2.4523364814892195E-11</v>
      </c>
      <c r="L41" s="30">
        <f>SUMPRODUCT(L30:L40,M30:M40)</f>
        <v>1.2917343552791432E-3</v>
      </c>
      <c r="M41" s="188"/>
    </row>
    <row r="42" spans="1:15" x14ac:dyDescent="0.2">
      <c r="A42" s="22" t="s">
        <v>299</v>
      </c>
      <c r="B42" s="17" t="s">
        <v>198</v>
      </c>
      <c r="C42" s="17" t="s">
        <v>300</v>
      </c>
      <c r="D42" s="23" t="s">
        <v>53</v>
      </c>
      <c r="E42" s="23" t="s">
        <v>54</v>
      </c>
      <c r="F42" s="24">
        <v>3.50911668514801</v>
      </c>
      <c r="G42" s="38">
        <v>3.29856968403913E-2</v>
      </c>
      <c r="H42" s="38">
        <v>2.45638167960361E-3</v>
      </c>
      <c r="I42" s="28">
        <v>0</v>
      </c>
      <c r="J42" s="28">
        <v>0.37077186530606498</v>
      </c>
      <c r="K42" s="28">
        <v>1.6521352778529399E-10</v>
      </c>
      <c r="L42" s="28">
        <v>4.3171634906833496E-3</v>
      </c>
      <c r="M42" s="187">
        <f>'Parameters, country spec'!E21</f>
        <v>0.1222750503811094</v>
      </c>
      <c r="O42" s="120">
        <f>K42*M42/K53*100</f>
        <v>18.581423295160988</v>
      </c>
    </row>
    <row r="43" spans="1:15" x14ac:dyDescent="0.2">
      <c r="A43" s="22" t="s">
        <v>301</v>
      </c>
      <c r="B43" s="17" t="s">
        <v>201</v>
      </c>
      <c r="C43" s="17" t="s">
        <v>300</v>
      </c>
      <c r="D43" s="23" t="s">
        <v>53</v>
      </c>
      <c r="E43" s="23" t="s">
        <v>54</v>
      </c>
      <c r="F43" s="21">
        <v>0.95354882265326901</v>
      </c>
      <c r="G43" s="38">
        <v>1.25865588271519E-2</v>
      </c>
      <c r="H43" s="38">
        <v>3.5280505803380298E-3</v>
      </c>
      <c r="I43" s="28">
        <v>0.14876738789999999</v>
      </c>
      <c r="J43" s="28">
        <v>5.3593544093051101E-2</v>
      </c>
      <c r="K43" s="28">
        <v>4.4894250901609901E-11</v>
      </c>
      <c r="L43" s="28">
        <v>1.64732709770681E-3</v>
      </c>
      <c r="M43" s="187">
        <f>'Parameters, country spec'!E22</f>
        <v>0.36571383818682729</v>
      </c>
      <c r="O43" s="120">
        <f>K43*M43/K53*100</f>
        <v>15.101762812170637</v>
      </c>
    </row>
    <row r="44" spans="1:15" x14ac:dyDescent="0.2">
      <c r="A44" s="22" t="s">
        <v>302</v>
      </c>
      <c r="B44" s="17" t="s">
        <v>204</v>
      </c>
      <c r="C44" s="17" t="s">
        <v>300</v>
      </c>
      <c r="D44" s="23" t="s">
        <v>53</v>
      </c>
      <c r="E44" s="23" t="s">
        <v>54</v>
      </c>
      <c r="F44" s="21">
        <v>8.6360260462545604</v>
      </c>
      <c r="G44" s="38">
        <v>6.1308916561460203E-2</v>
      </c>
      <c r="H44" s="38">
        <v>1.29525880059423E-2</v>
      </c>
      <c r="I44" s="28">
        <v>1.9174813959999999E-3</v>
      </c>
      <c r="J44" s="28">
        <v>0.390875174879527</v>
      </c>
      <c r="K44" s="28">
        <v>4.0659472373379301E-10</v>
      </c>
      <c r="L44" s="28">
        <v>8.0241026137238807E-3</v>
      </c>
      <c r="M44" s="187">
        <f>'Parameters, country spec'!E23</f>
        <v>3.3230481611398861E-2</v>
      </c>
      <c r="O44" s="120">
        <f>K44*M44/K53*100</f>
        <v>12.427789709019647</v>
      </c>
    </row>
    <row r="45" spans="1:15" x14ac:dyDescent="0.2">
      <c r="A45" s="22" t="s">
        <v>303</v>
      </c>
      <c r="B45" s="17" t="s">
        <v>205</v>
      </c>
      <c r="C45" s="17" t="s">
        <v>300</v>
      </c>
      <c r="D45" s="23" t="s">
        <v>53</v>
      </c>
      <c r="E45" s="23" t="s">
        <v>54</v>
      </c>
      <c r="F45" s="21">
        <v>5.2144168196228904</v>
      </c>
      <c r="G45" s="38">
        <v>4.9538952557176601E-2</v>
      </c>
      <c r="H45" s="38">
        <v>3.6502386094761701E-3</v>
      </c>
      <c r="I45" s="28">
        <v>1.1718801289799999E-2</v>
      </c>
      <c r="J45" s="28">
        <v>8.4176330719172403E-3</v>
      </c>
      <c r="K45" s="28">
        <v>2.45501154680622E-10</v>
      </c>
      <c r="L45" s="28">
        <v>6.4836513347401497E-3</v>
      </c>
      <c r="M45" s="187">
        <f>'Parameters, country spec'!E24</f>
        <v>7.3294724625475594E-3</v>
      </c>
      <c r="O45" s="120">
        <f>K45*M45/K53*100</f>
        <v>1.6550906236663776</v>
      </c>
    </row>
    <row r="46" spans="1:15" x14ac:dyDescent="0.2">
      <c r="A46" s="22" t="s">
        <v>304</v>
      </c>
      <c r="B46" s="17" t="s">
        <v>206</v>
      </c>
      <c r="C46" s="17" t="s">
        <v>300</v>
      </c>
      <c r="D46" s="23" t="s">
        <v>53</v>
      </c>
      <c r="E46" s="23" t="s">
        <v>54</v>
      </c>
      <c r="F46" s="21">
        <v>3.3462498577843802</v>
      </c>
      <c r="G46" s="38">
        <v>5.1197622824101001E-2</v>
      </c>
      <c r="H46" s="38">
        <v>4.6847498008981301E-3</v>
      </c>
      <c r="I46" s="28">
        <v>8.8761701473999994E-3</v>
      </c>
      <c r="J46" s="28">
        <v>8.3195467839192599E-2</v>
      </c>
      <c r="K46" s="28">
        <v>1.5754555731801701E-10</v>
      </c>
      <c r="L46" s="28">
        <v>6.7007378724021297E-3</v>
      </c>
      <c r="M46" s="187">
        <f>'Parameters, country spec'!E25</f>
        <v>5.256160625309033E-3</v>
      </c>
      <c r="O46" s="120">
        <f>K46*M46/K53*100</f>
        <v>0.76167606966467671</v>
      </c>
    </row>
    <row r="47" spans="1:15" x14ac:dyDescent="0.2">
      <c r="A47" s="22" t="s">
        <v>305</v>
      </c>
      <c r="B47" s="17" t="s">
        <v>207</v>
      </c>
      <c r="C47" s="17" t="s">
        <v>306</v>
      </c>
      <c r="D47" s="23" t="s">
        <v>53</v>
      </c>
      <c r="E47" s="23" t="s">
        <v>54</v>
      </c>
      <c r="F47" s="21">
        <v>6.2517973917501299</v>
      </c>
      <c r="G47" s="38">
        <v>3.44E-2</v>
      </c>
      <c r="H47" s="38">
        <v>3.1262575093647998E-3</v>
      </c>
      <c r="I47" s="28">
        <v>0.62402196310000002</v>
      </c>
      <c r="J47" s="28">
        <v>0.105818547832502</v>
      </c>
      <c r="K47" s="28">
        <v>2.9434230741357398E-10</v>
      </c>
      <c r="L47" s="28">
        <v>0</v>
      </c>
      <c r="M47" s="187">
        <f>'Parameters, country spec'!E26</f>
        <v>1.0533673599513421E-3</v>
      </c>
      <c r="O47" s="120">
        <f>K47*M47/K53*100</f>
        <v>0.28518591264941062</v>
      </c>
    </row>
    <row r="48" spans="1:15" x14ac:dyDescent="0.2">
      <c r="A48" s="22" t="s">
        <v>307</v>
      </c>
      <c r="B48" s="17" t="s">
        <v>208</v>
      </c>
      <c r="C48" s="17" t="s">
        <v>306</v>
      </c>
      <c r="D48" s="23" t="s">
        <v>53</v>
      </c>
      <c r="E48" s="23" t="s">
        <v>54</v>
      </c>
      <c r="F48" s="21">
        <v>3.5471558904070699</v>
      </c>
      <c r="G48" s="38">
        <v>4.0709431178081401E-2</v>
      </c>
      <c r="H48" s="38">
        <v>1.41886235616283E-3</v>
      </c>
      <c r="I48" s="28">
        <v>0.50139618898000005</v>
      </c>
      <c r="J48" s="28">
        <v>6.0039515316619101E-2</v>
      </c>
      <c r="K48" s="28">
        <v>1.6700446033581199E-10</v>
      </c>
      <c r="L48" s="28">
        <v>9.2850255551224706E-5</v>
      </c>
      <c r="M48" s="187">
        <f>'Parameters, country spec'!E27</f>
        <v>1.034753873470441E-3</v>
      </c>
      <c r="O48" s="120">
        <f>K48*M48/K53*100</f>
        <v>0.15895004416680952</v>
      </c>
    </row>
    <row r="49" spans="1:15" x14ac:dyDescent="0.2">
      <c r="B49" s="18" t="s">
        <v>209</v>
      </c>
      <c r="C49" s="17" t="s">
        <v>308</v>
      </c>
      <c r="D49" s="23" t="str">
        <f>'Off-farm feed'!$D$88</f>
        <v>France, Germany, Poland</v>
      </c>
      <c r="E49" s="23" t="s">
        <v>319</v>
      </c>
      <c r="F49" s="19">
        <f>'Off-farm feed'!$F$88</f>
        <v>1.5397450382845068</v>
      </c>
      <c r="G49" s="20">
        <f>'Off-farm feed'!$G$88</f>
        <v>2.276724967641296E-2</v>
      </c>
      <c r="H49" s="20">
        <f>'Off-farm feed'!$H$88</f>
        <v>2.4780679919905292E-3</v>
      </c>
      <c r="I49" s="19">
        <f>'Off-farm feed'!$I$88</f>
        <v>8.1100925319702543E-4</v>
      </c>
      <c r="J49" s="19">
        <f>'Off-farm feed'!$J$88</f>
        <v>0.29368572248181479</v>
      </c>
      <c r="K49" s="29">
        <f>'Off-farm feed'!$K$88</f>
        <v>1.2571008272056975E-11</v>
      </c>
      <c r="L49" s="29">
        <f>'Off-farm feed'!$L$88</f>
        <v>1.3841258986185109E-3</v>
      </c>
      <c r="M49" s="187">
        <f>'Parameters, country spec'!E28</f>
        <v>1.1495502598072799E-3</v>
      </c>
      <c r="O49" s="120">
        <f>K49*M49/K53*100</f>
        <v>1.3292099935750494E-2</v>
      </c>
    </row>
    <row r="50" spans="1:15" x14ac:dyDescent="0.2">
      <c r="B50" s="18" t="s">
        <v>309</v>
      </c>
      <c r="C50" s="17" t="s">
        <v>308</v>
      </c>
      <c r="D50" s="23" t="str">
        <f>'Off-farm feed'!$D$36</f>
        <v>Brazil, Argentina</v>
      </c>
      <c r="E50" s="23" t="s">
        <v>319</v>
      </c>
      <c r="F50" s="19">
        <f>'Off-farm feed'!$F$36</f>
        <v>2.5509164954964105</v>
      </c>
      <c r="G50" s="20">
        <f>'Off-farm feed'!$G$36</f>
        <v>4.2620923125915401E-2</v>
      </c>
      <c r="H50" s="20">
        <f>'Off-farm feed'!$H$36</f>
        <v>3.2959349471355006E-3</v>
      </c>
      <c r="I50" s="19">
        <f>'Off-farm feed'!$I$36</f>
        <v>2.435286335413451E-3</v>
      </c>
      <c r="J50" s="19">
        <f>'Off-farm feed'!$J$36</f>
        <v>0.25920846302270906</v>
      </c>
      <c r="K50" s="29">
        <f>'Off-farm feed'!$K$36</f>
        <v>1.4553836091881654E-10</v>
      </c>
      <c r="L50" s="29">
        <f>'Off-farm feed'!$L$36</f>
        <v>1.0450321677831977E-4</v>
      </c>
      <c r="M50" s="187">
        <f>'Parameters, country spec'!E29</f>
        <v>0.2025581580279131</v>
      </c>
      <c r="O50" s="120">
        <f>K50*M50/K53*100</f>
        <v>27.115819875138889</v>
      </c>
    </row>
    <row r="51" spans="1:15" x14ac:dyDescent="0.2">
      <c r="B51" s="17" t="s">
        <v>213</v>
      </c>
      <c r="C51" s="17" t="s">
        <v>310</v>
      </c>
      <c r="D51" s="23" t="s">
        <v>53</v>
      </c>
      <c r="E51" s="23" t="s">
        <v>54</v>
      </c>
      <c r="F51" s="21">
        <v>0.30116248720059402</v>
      </c>
      <c r="G51" s="21">
        <v>4.6077860541690902E-3</v>
      </c>
      <c r="H51" s="21">
        <v>4.2162748208083201E-4</v>
      </c>
      <c r="I51" s="28">
        <v>7.9885531326599995E-4</v>
      </c>
      <c r="J51" s="28">
        <v>7.4875921055273303E-3</v>
      </c>
      <c r="K51" s="28">
        <v>1.41791001586215E-11</v>
      </c>
      <c r="L51" s="28">
        <v>6.0306640851619199E-4</v>
      </c>
      <c r="M51" s="187">
        <f>'Parameters, country spec'!E30</f>
        <v>0.1276820518863053</v>
      </c>
      <c r="O51" s="120">
        <f>K51*M51/K53*100</f>
        <v>1.6652293059934371</v>
      </c>
    </row>
    <row r="52" spans="1:15" x14ac:dyDescent="0.2">
      <c r="A52" s="82"/>
      <c r="B52" s="17" t="s">
        <v>312</v>
      </c>
      <c r="C52" s="83" t="s">
        <v>313</v>
      </c>
      <c r="D52" s="23" t="s">
        <v>53</v>
      </c>
      <c r="E52" s="23" t="s">
        <v>54</v>
      </c>
      <c r="F52" s="107">
        <f t="shared" ref="F52:L52" si="3">AVERAGE(F42:F50)</f>
        <v>3.9498858941556918</v>
      </c>
      <c r="G52" s="107">
        <f t="shared" si="3"/>
        <v>3.8679483510076752E-2</v>
      </c>
      <c r="H52" s="107">
        <f t="shared" si="3"/>
        <v>4.1767923867679895E-3</v>
      </c>
      <c r="I52" s="216">
        <f t="shared" si="3"/>
        <v>0.14443825426686782</v>
      </c>
      <c r="J52" s="216">
        <f t="shared" si="3"/>
        <v>0.18062288153815531</v>
      </c>
      <c r="K52" s="216">
        <f t="shared" si="3"/>
        <v>1.8213392792884392E-10</v>
      </c>
      <c r="L52" s="216">
        <f t="shared" si="3"/>
        <v>3.1949401978004863E-3</v>
      </c>
      <c r="M52" s="187">
        <f>'Parameters, country spec'!E31</f>
        <v>0.1327171153253604</v>
      </c>
      <c r="O52" s="120">
        <f>K52*M52/K53*100</f>
        <v>22.23378025243338</v>
      </c>
    </row>
    <row r="53" spans="1:15" x14ac:dyDescent="0.2">
      <c r="A53" s="185"/>
      <c r="B53" s="25" t="s">
        <v>314</v>
      </c>
      <c r="C53" s="26"/>
      <c r="D53" s="102"/>
      <c r="E53" s="102"/>
      <c r="F53" s="30">
        <f>SUMPRODUCT(F42:F52,M42:M52)</f>
        <v>2.2119954148430487</v>
      </c>
      <c r="G53" s="30">
        <f>SUMPRODUCT(G42:G52,M42:M52)</f>
        <v>2.576543753363358E-2</v>
      </c>
      <c r="H53" s="30">
        <f>SUMPRODUCT(H42:H52,M42:M52)</f>
        <v>3.3558045164879765E-3</v>
      </c>
      <c r="I53" s="30">
        <f>SUMPRODUCT(I42:I52,M42:M52)</f>
        <v>7.5544351824857497E-2</v>
      </c>
      <c r="J53" s="30">
        <f>SUMPRODUCT(J42:J52,M42:M52)</f>
        <v>0.15636777124807519</v>
      </c>
      <c r="K53" s="30">
        <f>SUMPRODUCT(K42:K52,M42:M52)</f>
        <v>1.0871875696867931E-10</v>
      </c>
      <c r="L53" s="30">
        <f>SUMPRODUCT(L42:L52,M42:M52)</f>
        <v>2.0035975735105448E-3</v>
      </c>
      <c r="M53" s="188"/>
    </row>
    <row r="54" spans="1:15" x14ac:dyDescent="0.2">
      <c r="A54" s="22" t="s">
        <v>299</v>
      </c>
      <c r="B54" s="17" t="s">
        <v>198</v>
      </c>
      <c r="C54" s="17" t="s">
        <v>300</v>
      </c>
      <c r="D54" s="23" t="s">
        <v>55</v>
      </c>
      <c r="E54" s="23" t="s">
        <v>56</v>
      </c>
      <c r="F54" s="24">
        <v>1.80609086081903</v>
      </c>
      <c r="G54" s="38">
        <v>1.6977254091698799E-2</v>
      </c>
      <c r="H54" s="38">
        <v>1.2642636025733201E-3</v>
      </c>
      <c r="I54" s="28">
        <v>0</v>
      </c>
      <c r="J54" s="28">
        <v>0.23878435636340001</v>
      </c>
      <c r="K54" s="28">
        <v>2.26804674792707E-11</v>
      </c>
      <c r="L54" s="28">
        <v>1.2237100149001499E-3</v>
      </c>
      <c r="M54" s="187">
        <f>'Parameters, country spec'!F21</f>
        <v>8.7418005626499207E-2</v>
      </c>
      <c r="O54" s="120">
        <f>K54*M54/K65*100</f>
        <v>5.68317459791154</v>
      </c>
    </row>
    <row r="55" spans="1:15" x14ac:dyDescent="0.2">
      <c r="A55" s="22" t="s">
        <v>301</v>
      </c>
      <c r="B55" s="17" t="s">
        <v>201</v>
      </c>
      <c r="C55" s="17" t="s">
        <v>300</v>
      </c>
      <c r="D55" s="23" t="s">
        <v>55</v>
      </c>
      <c r="E55" s="23" t="s">
        <v>56</v>
      </c>
      <c r="F55" s="21">
        <v>1.5573752620283901</v>
      </c>
      <c r="G55" s="38">
        <v>2.0556886953023001E-2</v>
      </c>
      <c r="H55" s="38">
        <v>5.7621577065291698E-3</v>
      </c>
      <c r="I55" s="28">
        <v>1.0475658346000001E-3</v>
      </c>
      <c r="J55" s="28">
        <v>0.21701136572466201</v>
      </c>
      <c r="K55" s="28">
        <v>1.95571550411576E-11</v>
      </c>
      <c r="L55" s="28">
        <v>1.4817277460602201E-3</v>
      </c>
      <c r="M55" s="187">
        <f>'Parameters, country spec'!F22</f>
        <v>0.51851224834420662</v>
      </c>
      <c r="O55" s="120">
        <f>K55*M55/K65*100</f>
        <v>29.06717337950424</v>
      </c>
    </row>
    <row r="56" spans="1:15" x14ac:dyDescent="0.2">
      <c r="A56" s="22" t="s">
        <v>302</v>
      </c>
      <c r="B56" s="17" t="s">
        <v>204</v>
      </c>
      <c r="C56" s="17" t="s">
        <v>300</v>
      </c>
      <c r="D56" s="23" t="s">
        <v>55</v>
      </c>
      <c r="E56" s="23" t="s">
        <v>56</v>
      </c>
      <c r="F56" s="21">
        <v>3.5478102914880898</v>
      </c>
      <c r="G56" s="38">
        <v>2.5186631440402899E-2</v>
      </c>
      <c r="H56" s="38">
        <v>5.3211193183949701E-3</v>
      </c>
      <c r="I56" s="28">
        <v>0</v>
      </c>
      <c r="J56" s="28">
        <v>0.188442653194448</v>
      </c>
      <c r="K56" s="28">
        <v>4.4552573563341E-11</v>
      </c>
      <c r="L56" s="28">
        <v>1.8154368762313699E-3</v>
      </c>
      <c r="M56" s="187">
        <f>'Parameters, country spec'!F23</f>
        <v>4.6821690090770259E-2</v>
      </c>
      <c r="O56" s="120">
        <f>K56*M56/K65*100</f>
        <v>5.9794051983736187</v>
      </c>
    </row>
    <row r="57" spans="1:15" x14ac:dyDescent="0.2">
      <c r="A57" s="22" t="s">
        <v>303</v>
      </c>
      <c r="B57" s="17" t="s">
        <v>205</v>
      </c>
      <c r="C57" s="17" t="s">
        <v>300</v>
      </c>
      <c r="D57" s="23" t="s">
        <v>55</v>
      </c>
      <c r="E57" s="23" t="s">
        <v>56</v>
      </c>
      <c r="F57" s="21">
        <v>3.1670023689177702</v>
      </c>
      <c r="G57" s="38">
        <v>3.0087732824095499E-2</v>
      </c>
      <c r="H57" s="38">
        <v>2.21699083967019E-3</v>
      </c>
      <c r="I57" s="28">
        <v>0</v>
      </c>
      <c r="J57" s="28">
        <v>0.27600774015378998</v>
      </c>
      <c r="K57" s="28">
        <v>3.9770476554230403E-11</v>
      </c>
      <c r="L57" s="28">
        <v>2.16870524430028E-3</v>
      </c>
      <c r="M57" s="187">
        <f>'Parameters, country spec'!F24</f>
        <v>1.8197973513379369E-2</v>
      </c>
      <c r="O57" s="120">
        <f>K57*M57/K65*100</f>
        <v>2.0745405406461073</v>
      </c>
    </row>
    <row r="58" spans="1:15" x14ac:dyDescent="0.2">
      <c r="A58" s="22" t="s">
        <v>304</v>
      </c>
      <c r="B58" s="17" t="s">
        <v>206</v>
      </c>
      <c r="C58" s="17" t="s">
        <v>300</v>
      </c>
      <c r="D58" s="23" t="s">
        <v>55</v>
      </c>
      <c r="E58" s="23" t="s">
        <v>56</v>
      </c>
      <c r="F58" s="21">
        <v>1.83842454370303</v>
      </c>
      <c r="G58" s="38">
        <v>2.8127895518656298E-2</v>
      </c>
      <c r="H58" s="38">
        <v>2.57379436118424E-3</v>
      </c>
      <c r="I58" s="28">
        <v>0</v>
      </c>
      <c r="J58" s="28">
        <v>0.17433246804818101</v>
      </c>
      <c r="K58" s="28">
        <v>2.3086506322080101E-11</v>
      </c>
      <c r="L58" s="28">
        <v>2.0274413788196098E-3</v>
      </c>
      <c r="M58" s="187">
        <f>'Parameters, country spec'!F25</f>
        <v>8.1866500320142158E-2</v>
      </c>
      <c r="O58" s="120">
        <f>K58*M58/K65*100</f>
        <v>5.4175452081641771</v>
      </c>
    </row>
    <row r="59" spans="1:15" x14ac:dyDescent="0.2">
      <c r="A59" s="22" t="s">
        <v>305</v>
      </c>
      <c r="B59" s="17" t="s">
        <v>207</v>
      </c>
      <c r="C59" s="17" t="s">
        <v>306</v>
      </c>
      <c r="D59" s="23" t="s">
        <v>55</v>
      </c>
      <c r="E59" s="23" t="s">
        <v>56</v>
      </c>
      <c r="F59" s="21">
        <v>4.3014822907974102</v>
      </c>
      <c r="G59" s="38">
        <v>3.44E-2</v>
      </c>
      <c r="H59" s="38">
        <v>2.1509880231804202E-3</v>
      </c>
      <c r="I59" s="28">
        <v>0.32429639269999999</v>
      </c>
      <c r="J59" s="28">
        <v>0.46527499376285097</v>
      </c>
      <c r="K59" s="28">
        <v>5.40170106197471E-11</v>
      </c>
      <c r="L59" s="28">
        <v>0</v>
      </c>
      <c r="M59" s="187">
        <f>'Parameters, country spec'!F26</f>
        <v>1.1994594385271529E-3</v>
      </c>
      <c r="O59" s="120">
        <f>K59*M59/K65*100</f>
        <v>0.18571809271648335</v>
      </c>
    </row>
    <row r="60" spans="1:15" x14ac:dyDescent="0.2">
      <c r="A60" s="22" t="s">
        <v>307</v>
      </c>
      <c r="B60" s="17" t="s">
        <v>208</v>
      </c>
      <c r="C60" s="17" t="s">
        <v>306</v>
      </c>
      <c r="D60" s="23" t="s">
        <v>55</v>
      </c>
      <c r="E60" s="23" t="s">
        <v>56</v>
      </c>
      <c r="F60" s="21">
        <v>6.7861020629750302</v>
      </c>
      <c r="G60" s="38">
        <v>4.1357220412595E-2</v>
      </c>
      <c r="H60" s="38">
        <v>2.7144408251900099E-3</v>
      </c>
      <c r="I60" s="28">
        <v>0.41091933932000002</v>
      </c>
      <c r="J60" s="28">
        <v>0.81023344191096602</v>
      </c>
      <c r="K60" s="28">
        <v>8.5218285795721799E-11</v>
      </c>
      <c r="L60" s="28">
        <v>9.7827611128910807E-5</v>
      </c>
      <c r="M60" s="187">
        <f>'Parameters, country spec'!F27</f>
        <v>1.1782644376318839E-3</v>
      </c>
      <c r="O60" s="120">
        <f>K60*M60/K65*100</f>
        <v>0.28781516059600204</v>
      </c>
    </row>
    <row r="61" spans="1:15" x14ac:dyDescent="0.2">
      <c r="B61" s="18" t="s">
        <v>209</v>
      </c>
      <c r="C61" s="17" t="s">
        <v>308</v>
      </c>
      <c r="D61" s="23" t="str">
        <f>'Off-farm feed'!$D$88</f>
        <v>France, Germany, Poland</v>
      </c>
      <c r="E61" s="23" t="s">
        <v>319</v>
      </c>
      <c r="F61" s="19">
        <f>'Off-farm feed'!$F$88</f>
        <v>1.5397450382845068</v>
      </c>
      <c r="G61" s="20">
        <f>'Off-farm feed'!$G$88</f>
        <v>2.276724967641296E-2</v>
      </c>
      <c r="H61" s="20">
        <f>'Off-farm feed'!$H$88</f>
        <v>2.4780679919905292E-3</v>
      </c>
      <c r="I61" s="19">
        <f>'Off-farm feed'!$I$88</f>
        <v>8.1100925319702543E-4</v>
      </c>
      <c r="J61" s="19">
        <f>'Off-farm feed'!$J$88</f>
        <v>0.29368572248181479</v>
      </c>
      <c r="K61" s="29">
        <f>'Off-farm feed'!$K$88</f>
        <v>1.2571008272056975E-11</v>
      </c>
      <c r="L61" s="29">
        <f>'Off-farm feed'!$L$88</f>
        <v>1.3841258986185109E-3</v>
      </c>
      <c r="M61" s="187">
        <f>'Parameters, country spec'!F28</f>
        <v>5.1767642112223974E-4</v>
      </c>
      <c r="O61" s="120">
        <f>K61*M61/K65*100</f>
        <v>1.8653769208155882E-2</v>
      </c>
    </row>
    <row r="62" spans="1:15" x14ac:dyDescent="0.2">
      <c r="B62" s="18" t="s">
        <v>309</v>
      </c>
      <c r="C62" s="17" t="s">
        <v>308</v>
      </c>
      <c r="D62" s="23" t="str">
        <f>'Off-farm feed'!$D$36</f>
        <v>Brazil, Argentina</v>
      </c>
      <c r="E62" s="23" t="s">
        <v>319</v>
      </c>
      <c r="F62" s="19">
        <f>'Off-farm feed'!$F$36</f>
        <v>2.5509164954964105</v>
      </c>
      <c r="G62" s="20">
        <f>'Off-farm feed'!$G$36</f>
        <v>4.2620923125915401E-2</v>
      </c>
      <c r="H62" s="20">
        <f>'Off-farm feed'!$H$36</f>
        <v>3.2959349471355006E-3</v>
      </c>
      <c r="I62" s="19">
        <f>'Off-farm feed'!$I$36</f>
        <v>2.435286335413451E-3</v>
      </c>
      <c r="J62" s="19">
        <f>'Off-farm feed'!$J$36</f>
        <v>0.25920846302270906</v>
      </c>
      <c r="K62" s="29">
        <f>'Off-farm feed'!$K$36</f>
        <v>1.4553836091881654E-10</v>
      </c>
      <c r="L62" s="29">
        <f>'Off-farm feed'!$L$36</f>
        <v>1.0450321677831977E-4</v>
      </c>
      <c r="M62" s="187">
        <f>'Parameters, country spec'!F29</f>
        <v>9.8710786383614704E-2</v>
      </c>
      <c r="O62" s="120">
        <f>K62*M62/K65*100</f>
        <v>41.179417010348793</v>
      </c>
    </row>
    <row r="63" spans="1:15" x14ac:dyDescent="0.2">
      <c r="B63" s="17" t="s">
        <v>213</v>
      </c>
      <c r="C63" s="17" t="s">
        <v>310</v>
      </c>
      <c r="D63" s="23" t="s">
        <v>55</v>
      </c>
      <c r="E63" s="23" t="s">
        <v>56</v>
      </c>
      <c r="F63" s="21">
        <v>0.16545820893327301</v>
      </c>
      <c r="G63" s="21">
        <v>2.5315105966790701E-3</v>
      </c>
      <c r="H63" s="21">
        <v>2.31641492506582E-4</v>
      </c>
      <c r="I63" s="28">
        <v>0</v>
      </c>
      <c r="J63" s="28">
        <v>1.56899221243363E-2</v>
      </c>
      <c r="K63" s="28">
        <v>2.07778556898721E-12</v>
      </c>
      <c r="L63" s="28">
        <v>1.82469724093765E-4</v>
      </c>
      <c r="M63" s="187">
        <f>'Parameters, country spec'!F30</f>
        <v>7.7842176173985381E-2</v>
      </c>
      <c r="O63" s="120">
        <f>K63*M63/K65*100</f>
        <v>0.4636110694701584</v>
      </c>
    </row>
    <row r="64" spans="1:15" x14ac:dyDescent="0.2">
      <c r="A64" s="82"/>
      <c r="B64" s="17" t="s">
        <v>312</v>
      </c>
      <c r="C64" s="83" t="s">
        <v>313</v>
      </c>
      <c r="D64" s="23" t="s">
        <v>55</v>
      </c>
      <c r="E64" s="23" t="s">
        <v>56</v>
      </c>
      <c r="F64" s="107">
        <f t="shared" ref="F64:L64" si="4">AVERAGE(F54:F62)</f>
        <v>3.0105499127232962</v>
      </c>
      <c r="G64" s="107">
        <f t="shared" si="4"/>
        <v>2.9120199338088872E-2</v>
      </c>
      <c r="H64" s="107">
        <f t="shared" si="4"/>
        <v>3.0864175128720384E-3</v>
      </c>
      <c r="I64" s="216">
        <f t="shared" si="4"/>
        <v>8.2167732604801161E-2</v>
      </c>
      <c r="J64" s="216">
        <f t="shared" si="4"/>
        <v>0.32477568940698021</v>
      </c>
      <c r="K64" s="216">
        <f t="shared" si="4"/>
        <v>4.9665760507380241E-11</v>
      </c>
      <c r="L64" s="216">
        <f t="shared" si="4"/>
        <v>1.1448308874263745E-3</v>
      </c>
      <c r="M64" s="187">
        <f>'Parameters, country spec'!F31</f>
        <v>6.7735219250121048E-2</v>
      </c>
      <c r="O64" s="120">
        <f>K64*M64/K65*100</f>
        <v>9.6429459730607103</v>
      </c>
    </row>
    <row r="65" spans="1:15" x14ac:dyDescent="0.2">
      <c r="A65" s="185"/>
      <c r="B65" s="25" t="s">
        <v>314</v>
      </c>
      <c r="C65" s="26"/>
      <c r="D65" s="102"/>
      <c r="E65" s="102"/>
      <c r="F65" s="30">
        <f>SUMPRODUCT(F54:F64,M54:M64)</f>
        <v>1.8222111170394366</v>
      </c>
      <c r="G65" s="30">
        <f>SUMPRODUCT(G54:G64,M54:M64)</f>
        <v>2.2651107584755258E-2</v>
      </c>
      <c r="H65" s="30">
        <f>SUMPRODUCT(H54:H64,M54:M64)</f>
        <v>4.1579609922349796E-3</v>
      </c>
      <c r="I65" s="30">
        <f>SUMPRODUCT(I54:I64,M54:M64)</f>
        <v>7.2227859824244411E-3</v>
      </c>
      <c r="J65" s="30">
        <f>SUMPRODUCT(J54:J64,M54:M64)</f>
        <v>0.21198662081089581</v>
      </c>
      <c r="K65" s="30">
        <f>SUMPRODUCT(K54:K64,M54:M64)</f>
        <v>3.4886861199779368E-11</v>
      </c>
      <c r="L65" s="30">
        <f>SUMPRODUCT(L54:L64,M54:M64)</f>
        <v>1.2686122701100508E-3</v>
      </c>
      <c r="M65" s="188"/>
    </row>
    <row r="66" spans="1:15" x14ac:dyDescent="0.2">
      <c r="A66" s="22" t="s">
        <v>299</v>
      </c>
      <c r="B66" s="17" t="s">
        <v>198</v>
      </c>
      <c r="C66" s="17" t="s">
        <v>300</v>
      </c>
      <c r="D66" s="23" t="s">
        <v>91</v>
      </c>
      <c r="E66" s="23" t="s">
        <v>58</v>
      </c>
      <c r="F66" s="24">
        <v>1.35326054595943</v>
      </c>
      <c r="G66" s="38">
        <v>1.27206491320187E-2</v>
      </c>
      <c r="H66" s="38">
        <v>9.4728238217160396E-4</v>
      </c>
      <c r="I66" s="28">
        <v>0</v>
      </c>
      <c r="J66" s="28">
        <v>0.49429911929803699</v>
      </c>
      <c r="K66" s="28">
        <v>5.9489298724408499E-12</v>
      </c>
      <c r="L66" s="28">
        <v>1.0205419070028799E-3</v>
      </c>
      <c r="M66" s="187">
        <f>'Parameters, country spec'!G21</f>
        <v>0</v>
      </c>
      <c r="O66" s="120">
        <f>K66*M66/K77*100</f>
        <v>0</v>
      </c>
    </row>
    <row r="67" spans="1:15" x14ac:dyDescent="0.2">
      <c r="A67" s="22" t="s">
        <v>301</v>
      </c>
      <c r="B67" s="17" t="s">
        <v>201</v>
      </c>
      <c r="C67" s="17" t="s">
        <v>300</v>
      </c>
      <c r="D67" s="23" t="s">
        <v>91</v>
      </c>
      <c r="E67" s="23" t="s">
        <v>58</v>
      </c>
      <c r="F67" s="21">
        <v>1.1291040108032699</v>
      </c>
      <c r="G67" s="38">
        <v>1.49038347238525E-2</v>
      </c>
      <c r="H67" s="38">
        <v>4.1775900362313904E-3</v>
      </c>
      <c r="I67" s="28">
        <v>4.0573939566E-2</v>
      </c>
      <c r="J67" s="28">
        <v>0.119829776279331</v>
      </c>
      <c r="K67" s="28">
        <v>1.35734567441708E-11</v>
      </c>
      <c r="L67" s="28">
        <v>1.4340993937730999E-3</v>
      </c>
      <c r="M67" s="187">
        <f>'Parameters, country spec'!G22</f>
        <v>0.16</v>
      </c>
      <c r="N67" s="8" t="s">
        <v>333</v>
      </c>
      <c r="O67" s="120">
        <f>K67*M67/K77*100</f>
        <v>4.6036560346490427</v>
      </c>
    </row>
    <row r="68" spans="1:15" x14ac:dyDescent="0.2">
      <c r="A68" s="22" t="s">
        <v>302</v>
      </c>
      <c r="B68" s="17" t="s">
        <v>204</v>
      </c>
      <c r="C68" s="17" t="s">
        <v>300</v>
      </c>
      <c r="D68" s="23" t="s">
        <v>91</v>
      </c>
      <c r="E68" s="23" t="s">
        <v>58</v>
      </c>
      <c r="F68" s="21">
        <v>1.30698794172925</v>
      </c>
      <c r="G68" s="38">
        <v>9.2785749182710594E-3</v>
      </c>
      <c r="H68" s="38">
        <v>1.9602623066769802E-3</v>
      </c>
      <c r="I68" s="28">
        <v>0</v>
      </c>
      <c r="J68" s="28">
        <v>0.27901604719794898</v>
      </c>
      <c r="K68" s="28">
        <v>5.7455156234978196E-12</v>
      </c>
      <c r="L68" s="28">
        <v>7.4439397259428504E-4</v>
      </c>
      <c r="M68" s="187">
        <f>'Parameters, country spec'!G23</f>
        <v>0.01</v>
      </c>
      <c r="O68" s="120">
        <f>K68*M68/K77*100</f>
        <v>0.12179274857363329</v>
      </c>
    </row>
    <row r="69" spans="1:15" x14ac:dyDescent="0.2">
      <c r="A69" s="22" t="s">
        <v>303</v>
      </c>
      <c r="B69" s="17" t="s">
        <v>205</v>
      </c>
      <c r="C69" s="17" t="s">
        <v>300</v>
      </c>
      <c r="D69" s="23" t="s">
        <v>91</v>
      </c>
      <c r="E69" s="23" t="s">
        <v>58</v>
      </c>
      <c r="F69" s="21">
        <v>2.4432315157319699</v>
      </c>
      <c r="G69" s="38">
        <v>2.3211633118504299E-2</v>
      </c>
      <c r="H69" s="38">
        <v>1.7103308613634701E-3</v>
      </c>
      <c r="I69" s="28">
        <v>3.4943905220000002E-4</v>
      </c>
      <c r="J69" s="28">
        <v>0.21293031415070801</v>
      </c>
      <c r="K69" s="28">
        <v>2.9371162423902602E-11</v>
      </c>
      <c r="L69" s="28">
        <v>2.2335049737538899E-3</v>
      </c>
      <c r="M69" s="187">
        <f>'Parameters, country spec'!G24</f>
        <v>0</v>
      </c>
      <c r="O69" s="120">
        <f>K69*M69/K77*100</f>
        <v>0</v>
      </c>
    </row>
    <row r="70" spans="1:15" x14ac:dyDescent="0.2">
      <c r="A70" s="22" t="s">
        <v>304</v>
      </c>
      <c r="B70" s="17" t="s">
        <v>206</v>
      </c>
      <c r="C70" s="17" t="s">
        <v>300</v>
      </c>
      <c r="D70" s="23" t="s">
        <v>91</v>
      </c>
      <c r="E70" s="23" t="s">
        <v>58</v>
      </c>
      <c r="F70" s="21">
        <v>1.10929187244031</v>
      </c>
      <c r="G70" s="38">
        <v>1.6972165648336701E-2</v>
      </c>
      <c r="H70" s="38">
        <v>1.5530086214164301E-3</v>
      </c>
      <c r="I70" s="28">
        <v>0</v>
      </c>
      <c r="J70" s="28">
        <v>0.75710778767266096</v>
      </c>
      <c r="K70" s="28">
        <v>4.8764442124021097E-12</v>
      </c>
      <c r="L70" s="28">
        <v>1.36162912104263E-3</v>
      </c>
      <c r="M70" s="187">
        <f>'Parameters, country spec'!G25</f>
        <v>0.46</v>
      </c>
      <c r="O70" s="120">
        <f>K70*M70/K77*100</f>
        <v>4.7550327611000327</v>
      </c>
    </row>
    <row r="71" spans="1:15" x14ac:dyDescent="0.2">
      <c r="A71" s="22" t="s">
        <v>305</v>
      </c>
      <c r="B71" s="17" t="s">
        <v>207</v>
      </c>
      <c r="C71" s="17" t="s">
        <v>306</v>
      </c>
      <c r="D71" s="23" t="s">
        <v>91</v>
      </c>
      <c r="E71" s="23" t="s">
        <v>58</v>
      </c>
      <c r="F71" s="21">
        <v>2.18183404970218</v>
      </c>
      <c r="G71" s="38">
        <v>3.44E-2</v>
      </c>
      <c r="H71" s="38">
        <v>1.0910422482772999E-3</v>
      </c>
      <c r="I71" s="28">
        <v>0</v>
      </c>
      <c r="J71" s="28">
        <v>0.38005192765038298</v>
      </c>
      <c r="K71" s="28">
        <v>9.5913368595103996E-12</v>
      </c>
      <c r="L71" s="28">
        <v>0</v>
      </c>
      <c r="M71" s="187">
        <f>'Parameters, country spec'!G26</f>
        <v>0</v>
      </c>
      <c r="O71" s="120">
        <f>K71*M71/K77*100</f>
        <v>0</v>
      </c>
    </row>
    <row r="72" spans="1:15" x14ac:dyDescent="0.2">
      <c r="A72" s="22" t="s">
        <v>307</v>
      </c>
      <c r="B72" s="17" t="s">
        <v>208</v>
      </c>
      <c r="C72" s="17" t="s">
        <v>306</v>
      </c>
      <c r="D72" s="23" t="s">
        <v>91</v>
      </c>
      <c r="E72" s="23" t="s">
        <v>58</v>
      </c>
      <c r="F72" s="281">
        <v>2.0306300232710202</v>
      </c>
      <c r="G72" s="281">
        <v>4.0406126004654201E-2</v>
      </c>
      <c r="H72" s="281">
        <v>8.1225200930840796E-4</v>
      </c>
      <c r="I72" s="282">
        <v>0</v>
      </c>
      <c r="J72" s="282">
        <v>0.37422237023258798</v>
      </c>
      <c r="K72" s="297">
        <v>8.9266443489991099E-12</v>
      </c>
      <c r="L72" s="283">
        <v>3.2582347250661698E-5</v>
      </c>
      <c r="M72" s="187">
        <f>'Parameters, country spec'!G27</f>
        <v>0</v>
      </c>
      <c r="O72" s="120">
        <f>K72*M72/K77*100</f>
        <v>0</v>
      </c>
    </row>
    <row r="73" spans="1:15" x14ac:dyDescent="0.2">
      <c r="B73" s="18" t="s">
        <v>209</v>
      </c>
      <c r="C73" s="17" t="s">
        <v>308</v>
      </c>
      <c r="D73" s="23" t="str">
        <f>'Off-farm feed'!$D$88</f>
        <v>France, Germany, Poland</v>
      </c>
      <c r="E73" s="23" t="s">
        <v>319</v>
      </c>
      <c r="F73" s="19">
        <f>'Off-farm feed'!$F$88</f>
        <v>1.5397450382845068</v>
      </c>
      <c r="G73" s="20">
        <f>'Off-farm feed'!$G$88</f>
        <v>2.276724967641296E-2</v>
      </c>
      <c r="H73" s="20">
        <f>'Off-farm feed'!$H$88</f>
        <v>2.4780679919905292E-3</v>
      </c>
      <c r="I73" s="19">
        <f>'Off-farm feed'!$I$88</f>
        <v>8.1100925319702543E-4</v>
      </c>
      <c r="J73" s="19">
        <f>'Off-farm feed'!$J$88</f>
        <v>0.29368572248181479</v>
      </c>
      <c r="K73" s="29">
        <f>'Off-farm feed'!$K$88</f>
        <v>1.2571008272056975E-11</v>
      </c>
      <c r="L73" s="29">
        <f>'Off-farm feed'!$L$88</f>
        <v>1.3841258986185109E-3</v>
      </c>
      <c r="M73" s="187">
        <f>'Parameters, country spec'!G28</f>
        <v>0.03</v>
      </c>
      <c r="O73" s="120">
        <f>K73*M73/K77*100</f>
        <v>0.79943616036863441</v>
      </c>
    </row>
    <row r="74" spans="1:15" x14ac:dyDescent="0.2">
      <c r="B74" s="18" t="s">
        <v>309</v>
      </c>
      <c r="C74" s="17" t="s">
        <v>308</v>
      </c>
      <c r="D74" s="23" t="str">
        <f>'Off-farm feed'!$D$36</f>
        <v>Brazil, Argentina</v>
      </c>
      <c r="E74" s="23" t="s">
        <v>319</v>
      </c>
      <c r="F74" s="19">
        <f>'Off-farm feed'!$F$36</f>
        <v>2.5509164954964105</v>
      </c>
      <c r="G74" s="20">
        <f>'Off-farm feed'!$G$36</f>
        <v>4.2620923125915401E-2</v>
      </c>
      <c r="H74" s="20">
        <f>'Off-farm feed'!$H$36</f>
        <v>3.2959349471355006E-3</v>
      </c>
      <c r="I74" s="19">
        <f>'Off-farm feed'!$I$36</f>
        <v>2.435286335413451E-3</v>
      </c>
      <c r="J74" s="19">
        <f>'Off-farm feed'!$J$36</f>
        <v>0.25920846302270906</v>
      </c>
      <c r="K74" s="29">
        <f>'Off-farm feed'!$K$36</f>
        <v>1.4553836091881654E-10</v>
      </c>
      <c r="L74" s="29">
        <f>'Off-farm feed'!$L$36</f>
        <v>1.0450321677831977E-4</v>
      </c>
      <c r="M74" s="187">
        <f>'Parameters, country spec'!G29</f>
        <v>0.28000000000000003</v>
      </c>
      <c r="O74" s="120">
        <f>K74*M74/K77*100</f>
        <v>86.382930358400699</v>
      </c>
    </row>
    <row r="75" spans="1:15" x14ac:dyDescent="0.2">
      <c r="B75" s="17" t="s">
        <v>213</v>
      </c>
      <c r="C75" s="17" t="s">
        <v>310</v>
      </c>
      <c r="D75" s="23" t="s">
        <v>91</v>
      </c>
      <c r="E75" s="23" t="s">
        <v>58</v>
      </c>
      <c r="F75" s="21">
        <v>9.9836268519627805E-2</v>
      </c>
      <c r="G75" s="21">
        <v>1.52749490835031E-3</v>
      </c>
      <c r="H75" s="21">
        <v>1.3977077592747901E-4</v>
      </c>
      <c r="I75" s="28">
        <v>0</v>
      </c>
      <c r="J75" s="28">
        <v>6.8139700890539501E-2</v>
      </c>
      <c r="K75" s="28">
        <v>4.3887997911619E-13</v>
      </c>
      <c r="L75" s="28">
        <v>1.2254662089383701E-4</v>
      </c>
      <c r="M75" s="187">
        <f>'Parameters, country spec'!G30</f>
        <v>0</v>
      </c>
      <c r="O75" s="120">
        <f>K75*M75/K77*100</f>
        <v>0</v>
      </c>
    </row>
    <row r="76" spans="1:15" x14ac:dyDescent="0.2">
      <c r="A76" s="82"/>
      <c r="B76" s="17" t="s">
        <v>312</v>
      </c>
      <c r="C76" s="83" t="s">
        <v>313</v>
      </c>
      <c r="D76" s="23" t="s">
        <v>91</v>
      </c>
      <c r="E76" s="23" t="s">
        <v>58</v>
      </c>
      <c r="F76" s="107">
        <f t="shared" ref="F76:L76" si="5">AVERAGE(F66:F74)</f>
        <v>1.7383334992687054</v>
      </c>
      <c r="G76" s="107">
        <f t="shared" si="5"/>
        <v>2.4142350705329538E-2</v>
      </c>
      <c r="H76" s="107">
        <f t="shared" si="5"/>
        <v>2.0028634893968461E-3</v>
      </c>
      <c r="I76" s="216">
        <f t="shared" si="5"/>
        <v>4.9077415785344974E-3</v>
      </c>
      <c r="J76" s="216">
        <f t="shared" si="5"/>
        <v>0.35226128088735348</v>
      </c>
      <c r="K76" s="216">
        <f t="shared" si="5"/>
        <v>2.6238095475088581E-11</v>
      </c>
      <c r="L76" s="216">
        <f t="shared" si="5"/>
        <v>9.2393120342380863E-4</v>
      </c>
      <c r="M76" s="187">
        <f>'Parameters, country spec'!G31</f>
        <v>0.06</v>
      </c>
      <c r="O76" s="120">
        <f>K76*M76/K77*100</f>
        <v>3.3371519369079596</v>
      </c>
    </row>
    <row r="77" spans="1:15" x14ac:dyDescent="0.2">
      <c r="A77" s="185"/>
      <c r="B77" s="25" t="s">
        <v>314</v>
      </c>
      <c r="C77" s="26"/>
      <c r="D77" s="102"/>
      <c r="E77" s="102"/>
      <c r="F77" s="30">
        <f>SUMPRODUCT(F66:F76,M66:M76)</f>
        <v>1.5687497623120108</v>
      </c>
      <c r="G77" s="30">
        <f>SUMPRODUCT(G66:G76,M66:M76)</f>
        <v>2.435001251110247E-2</v>
      </c>
      <c r="H77" s="30">
        <f>SUMPRODUCT(H66:H76,M66:M76)</f>
        <v>2.5197766290368175E-3</v>
      </c>
      <c r="I77" s="30">
        <f>SUMPRODUCT(I66:I76,M66:M76)</f>
        <v>7.492505276783747E-3</v>
      </c>
      <c r="J77" s="30">
        <f>SUMPRODUCT(J66:J76,M66:M76)</f>
        <v>0.47275712518015067</v>
      </c>
      <c r="K77" s="30">
        <f>SUMPRODUCT(K66:K76,M66:M76)</f>
        <v>4.7174529606942935E-11</v>
      </c>
      <c r="L77" s="30">
        <f>SUMPRODUCT(L66:L76,M66:M76)</f>
        <v>9.8946978827116209E-4</v>
      </c>
      <c r="M77" s="188"/>
    </row>
    <row r="78" spans="1:15" x14ac:dyDescent="0.2">
      <c r="A78" s="22" t="s">
        <v>299</v>
      </c>
      <c r="B78" s="17" t="s">
        <v>198</v>
      </c>
      <c r="C78" s="17" t="s">
        <v>300</v>
      </c>
      <c r="D78" s="23" t="s">
        <v>59</v>
      </c>
      <c r="E78" s="23" t="s">
        <v>60</v>
      </c>
      <c r="F78" s="24">
        <v>2.3945213351850998</v>
      </c>
      <c r="G78" s="38">
        <v>2.2508500550739899E-2</v>
      </c>
      <c r="H78" s="38">
        <v>1.6761649346295701E-3</v>
      </c>
      <c r="I78" s="28">
        <v>0</v>
      </c>
      <c r="J78" s="28">
        <v>0.25300416646712298</v>
      </c>
      <c r="K78" s="28">
        <v>1.2885666478366499E-10</v>
      </c>
      <c r="L78" s="28">
        <v>3.4813267475086698E-3</v>
      </c>
      <c r="M78" s="187">
        <f>'Parameters, country spec'!H21</f>
        <v>6.9755357742184998E-2</v>
      </c>
      <c r="O78" s="120">
        <f>K78*M78/K89*100</f>
        <v>10.325481707637559</v>
      </c>
    </row>
    <row r="79" spans="1:15" x14ac:dyDescent="0.2">
      <c r="A79" s="22" t="s">
        <v>301</v>
      </c>
      <c r="B79" s="17" t="s">
        <v>201</v>
      </c>
      <c r="C79" s="17" t="s">
        <v>300</v>
      </c>
      <c r="D79" s="23" t="s">
        <v>59</v>
      </c>
      <c r="E79" s="23" t="s">
        <v>60</v>
      </c>
      <c r="F79" s="21">
        <v>0.98746121746068405</v>
      </c>
      <c r="G79" s="38">
        <v>1.30341922802828E-2</v>
      </c>
      <c r="H79" s="38">
        <v>3.6535235937156202E-3</v>
      </c>
      <c r="I79" s="28">
        <v>3.5040686212000002E-2</v>
      </c>
      <c r="J79" s="28">
        <v>0.206655389859563</v>
      </c>
      <c r="K79" s="28">
        <v>5.3138369333161899E-11</v>
      </c>
      <c r="L79" s="28">
        <v>2.0159620191149401E-3</v>
      </c>
      <c r="M79" s="187">
        <f>'Parameters, country spec'!H22</f>
        <v>0.45612129266564322</v>
      </c>
      <c r="O79" s="120">
        <f>K79*M79/K89*100</f>
        <v>27.842897879504903</v>
      </c>
    </row>
    <row r="80" spans="1:15" x14ac:dyDescent="0.2">
      <c r="A80" s="22" t="s">
        <v>302</v>
      </c>
      <c r="B80" s="17" t="s">
        <v>204</v>
      </c>
      <c r="C80" s="17" t="s">
        <v>300</v>
      </c>
      <c r="D80" s="23" t="s">
        <v>59</v>
      </c>
      <c r="E80" s="23" t="s">
        <v>60</v>
      </c>
      <c r="F80" s="21">
        <v>4.2714598141060698</v>
      </c>
      <c r="G80" s="38">
        <v>3.0323967521176699E-2</v>
      </c>
      <c r="H80" s="38">
        <v>6.4064720115162002E-3</v>
      </c>
      <c r="I80" s="28">
        <v>0</v>
      </c>
      <c r="J80" s="28">
        <v>0.19333054264625499</v>
      </c>
      <c r="K80" s="28">
        <v>2.29860581033669E-10</v>
      </c>
      <c r="L80" s="28">
        <v>4.6901231374377999E-3</v>
      </c>
      <c r="M80" s="187">
        <f>'Parameters, country spec'!H23</f>
        <v>1.448634181078594E-2</v>
      </c>
      <c r="O80" s="120">
        <f>K80*M80/K89*100</f>
        <v>3.8251554892642563</v>
      </c>
    </row>
    <row r="81" spans="1:15" x14ac:dyDescent="0.2">
      <c r="A81" s="22" t="s">
        <v>303</v>
      </c>
      <c r="B81" s="17" t="s">
        <v>205</v>
      </c>
      <c r="C81" s="17" t="s">
        <v>300</v>
      </c>
      <c r="D81" s="23" t="s">
        <v>59</v>
      </c>
      <c r="E81" s="23" t="s">
        <v>60</v>
      </c>
      <c r="F81" s="21">
        <v>3.1183151119787</v>
      </c>
      <c r="G81" s="38">
        <v>2.9625185276579299E-2</v>
      </c>
      <c r="H81" s="38">
        <v>2.1829083888005802E-3</v>
      </c>
      <c r="I81" s="28">
        <v>1.0795963210799999E-2</v>
      </c>
      <c r="J81" s="28">
        <v>5.0338960852672103E-3</v>
      </c>
      <c r="K81" s="28">
        <v>1.67806266400636E-10</v>
      </c>
      <c r="L81" s="28">
        <v>4.5820444445316601E-3</v>
      </c>
      <c r="M81" s="187">
        <f>'Parameters, country spec'!H24</f>
        <v>1.154218810875446E-3</v>
      </c>
      <c r="O81" s="120">
        <f>K81*M81/K89*100</f>
        <v>0.22249598973886514</v>
      </c>
    </row>
    <row r="82" spans="1:15" x14ac:dyDescent="0.2">
      <c r="A82" s="22" t="s">
        <v>304</v>
      </c>
      <c r="B82" s="17" t="s">
        <v>206</v>
      </c>
      <c r="C82" s="17" t="s">
        <v>300</v>
      </c>
      <c r="D82" s="23" t="s">
        <v>59</v>
      </c>
      <c r="E82" s="23" t="s">
        <v>60</v>
      </c>
      <c r="F82" s="21">
        <v>2.6013214713074202</v>
      </c>
      <c r="G82" s="38">
        <v>3.9800218511003599E-2</v>
      </c>
      <c r="H82" s="38">
        <v>3.6418500598303901E-3</v>
      </c>
      <c r="I82" s="28">
        <v>8.6726536024000003E-3</v>
      </c>
      <c r="J82" s="28">
        <v>0.16899432911919299</v>
      </c>
      <c r="K82" s="28">
        <v>1.3998522539658301E-10</v>
      </c>
      <c r="L82" s="28">
        <v>6.1557883407960699E-3</v>
      </c>
      <c r="M82" s="187">
        <f>'Parameters, country spec'!H25</f>
        <v>6.607302843520492E-2</v>
      </c>
      <c r="O82" s="120">
        <f>K82*M82/K89*100</f>
        <v>10.625081719345822</v>
      </c>
    </row>
    <row r="83" spans="1:15" x14ac:dyDescent="0.2">
      <c r="A83" s="22" t="s">
        <v>305</v>
      </c>
      <c r="B83" s="17" t="s">
        <v>207</v>
      </c>
      <c r="C83" s="17" t="s">
        <v>306</v>
      </c>
      <c r="D83" s="23" t="s">
        <v>59</v>
      </c>
      <c r="E83" s="23" t="s">
        <v>60</v>
      </c>
      <c r="F83" s="21">
        <v>3.57099495061314</v>
      </c>
      <c r="G83" s="38">
        <v>3.44E-2</v>
      </c>
      <c r="H83" s="38">
        <v>1.7857024277514E-3</v>
      </c>
      <c r="I83" s="28">
        <v>1.2925079856000001E-3</v>
      </c>
      <c r="J83" s="28">
        <v>6.0443017633573098E-2</v>
      </c>
      <c r="K83" s="28">
        <v>1.9216638103571101E-10</v>
      </c>
      <c r="L83" s="28">
        <v>0</v>
      </c>
      <c r="M83" s="187">
        <f>'Parameters, country spec'!H26</f>
        <v>2.8132125343424521E-3</v>
      </c>
      <c r="O83" s="120">
        <f>K83*M83/K89*100</f>
        <v>0.62102033361278264</v>
      </c>
    </row>
    <row r="84" spans="1:15" x14ac:dyDescent="0.2">
      <c r="A84" s="22" t="s">
        <v>307</v>
      </c>
      <c r="B84" s="17" t="s">
        <v>208</v>
      </c>
      <c r="C84" s="17" t="s">
        <v>306</v>
      </c>
      <c r="D84" s="23" t="s">
        <v>59</v>
      </c>
      <c r="E84" s="23" t="s">
        <v>60</v>
      </c>
      <c r="F84" s="21">
        <v>5.0595509142608499</v>
      </c>
      <c r="G84" s="38">
        <v>4.1011910182852197E-2</v>
      </c>
      <c r="H84" s="38">
        <v>2.02382036570434E-3</v>
      </c>
      <c r="I84" s="28">
        <v>1.7974985124000001E-3</v>
      </c>
      <c r="J84" s="28">
        <v>8.5638464729870606E-2</v>
      </c>
      <c r="K84" s="28">
        <v>2.7227022225066201E-10</v>
      </c>
      <c r="L84" s="28">
        <v>1.5650931423434399E-4</v>
      </c>
      <c r="M84" s="187">
        <f>'Parameters, country spec'!H27</f>
        <v>2.763501773404974E-3</v>
      </c>
      <c r="O84" s="120">
        <f>K84*M84/K89*100</f>
        <v>0.86434228226948218</v>
      </c>
    </row>
    <row r="85" spans="1:15" x14ac:dyDescent="0.2">
      <c r="B85" s="18" t="s">
        <v>209</v>
      </c>
      <c r="C85" s="17" t="s">
        <v>308</v>
      </c>
      <c r="D85" s="23" t="str">
        <f>'Off-farm feed'!$D$88</f>
        <v>France, Germany, Poland</v>
      </c>
      <c r="E85" s="23" t="s">
        <v>319</v>
      </c>
      <c r="F85" s="19">
        <f>'Off-farm feed'!$F$88</f>
        <v>1.5397450382845068</v>
      </c>
      <c r="G85" s="20">
        <f>'Off-farm feed'!$G$88</f>
        <v>2.276724967641296E-2</v>
      </c>
      <c r="H85" s="20">
        <f>'Off-farm feed'!$H$88</f>
        <v>2.4780679919905292E-3</v>
      </c>
      <c r="I85" s="19">
        <f>'Off-farm feed'!$I$88</f>
        <v>8.1100925319702543E-4</v>
      </c>
      <c r="J85" s="19">
        <f>'Off-farm feed'!$J$88</f>
        <v>0.29368572248181479</v>
      </c>
      <c r="K85" s="29">
        <f>'Off-farm feed'!$K$88</f>
        <v>1.2571008272056975E-11</v>
      </c>
      <c r="L85" s="29">
        <f>'Off-farm feed'!$L$88</f>
        <v>1.3841258986185109E-3</v>
      </c>
      <c r="M85" s="187">
        <f>'Parameters, country spec'!H28</f>
        <v>4.7386628229038642E-3</v>
      </c>
      <c r="O85" s="120">
        <f>K85*M85/K89*100</f>
        <v>6.8430826441539694E-2</v>
      </c>
    </row>
    <row r="86" spans="1:15" x14ac:dyDescent="0.2">
      <c r="B86" s="18" t="s">
        <v>309</v>
      </c>
      <c r="C86" s="17" t="s">
        <v>308</v>
      </c>
      <c r="D86" s="23" t="str">
        <f>'Off-farm feed'!$D$36</f>
        <v>Brazil, Argentina</v>
      </c>
      <c r="E86" s="23" t="s">
        <v>319</v>
      </c>
      <c r="F86" s="19">
        <f>'Off-farm feed'!$F$36</f>
        <v>2.5509164954964105</v>
      </c>
      <c r="G86" s="20">
        <f>'Off-farm feed'!$G$36</f>
        <v>4.2620923125915401E-2</v>
      </c>
      <c r="H86" s="20">
        <f>'Off-farm feed'!$H$36</f>
        <v>3.2959349471355006E-3</v>
      </c>
      <c r="I86" s="19">
        <f>'Off-farm feed'!$I$36</f>
        <v>2.435286335413451E-3</v>
      </c>
      <c r="J86" s="19">
        <f>'Off-farm feed'!$J$36</f>
        <v>0.25920846302270906</v>
      </c>
      <c r="K86" s="29">
        <f>'Off-farm feed'!$K$36</f>
        <v>1.4553836091881654E-10</v>
      </c>
      <c r="L86" s="29">
        <f>'Off-farm feed'!$L$36</f>
        <v>1.0450321677831977E-4</v>
      </c>
      <c r="M86" s="187">
        <f>'Parameters, country spec'!H29</f>
        <v>0.1169921159057515</v>
      </c>
      <c r="O86" s="120">
        <f>K86*M86/K89*100</f>
        <v>19.559598699122006</v>
      </c>
    </row>
    <row r="87" spans="1:15" x14ac:dyDescent="0.2">
      <c r="B87" s="17" t="s">
        <v>213</v>
      </c>
      <c r="C87" s="17" t="s">
        <v>310</v>
      </c>
      <c r="D87" s="23" t="s">
        <v>59</v>
      </c>
      <c r="E87" s="23" t="s">
        <v>60</v>
      </c>
      <c r="F87" s="21">
        <v>0.23411893241766801</v>
      </c>
      <c r="G87" s="21">
        <v>3.5820196659903198E-3</v>
      </c>
      <c r="H87" s="21">
        <v>3.2776650538473499E-4</v>
      </c>
      <c r="I87" s="28">
        <v>7.8053882421600003E-4</v>
      </c>
      <c r="J87" s="28">
        <v>1.5209489620727301E-2</v>
      </c>
      <c r="K87" s="28">
        <v>1.25986702856925E-11</v>
      </c>
      <c r="L87" s="28">
        <v>5.5402095067164602E-4</v>
      </c>
      <c r="M87" s="187">
        <f>'Parameters, country spec'!H30</f>
        <v>0.1235041146996869</v>
      </c>
      <c r="O87" s="120">
        <f>K87*M87/K89*100</f>
        <v>1.7874421805591172</v>
      </c>
    </row>
    <row r="88" spans="1:15" x14ac:dyDescent="0.2">
      <c r="A88" s="82"/>
      <c r="B88" s="17" t="s">
        <v>312</v>
      </c>
      <c r="C88" s="83" t="s">
        <v>313</v>
      </c>
      <c r="D88" s="23" t="s">
        <v>59</v>
      </c>
      <c r="E88" s="23" t="s">
        <v>60</v>
      </c>
      <c r="F88" s="107">
        <f t="shared" ref="F88:L88" si="6">AVERAGE(F78:F86)</f>
        <v>2.8993651498547646</v>
      </c>
      <c r="G88" s="107">
        <f t="shared" si="6"/>
        <v>3.0676905236106982E-2</v>
      </c>
      <c r="H88" s="107">
        <f t="shared" si="6"/>
        <v>3.0160494134526808E-3</v>
      </c>
      <c r="I88" s="216">
        <f t="shared" si="6"/>
        <v>6.7606227902011649E-3</v>
      </c>
      <c r="J88" s="216">
        <f t="shared" si="6"/>
        <v>0.16955488800504095</v>
      </c>
      <c r="K88" s="216">
        <f t="shared" si="6"/>
        <v>1.4913256438055125E-10</v>
      </c>
      <c r="L88" s="216">
        <f t="shared" si="6"/>
        <v>2.5078203465578124E-3</v>
      </c>
      <c r="M88" s="187">
        <f>'Parameters, country spec'!H31</f>
        <v>0.14159815279921581</v>
      </c>
      <c r="O88" s="120">
        <f>K88*M88/K89*100</f>
        <v>24.258052892503667</v>
      </c>
    </row>
    <row r="89" spans="1:15" x14ac:dyDescent="0.2">
      <c r="A89" s="185"/>
      <c r="B89" s="25" t="s">
        <v>314</v>
      </c>
      <c r="C89" s="26"/>
      <c r="D89" s="102"/>
      <c r="E89" s="102"/>
      <c r="F89" s="30">
        <f>SUMPRODUCT(F78:F88,M78:M88)</f>
        <v>1.6240079092724982</v>
      </c>
      <c r="G89" s="30">
        <f>SUMPRODUCT(G78:G88,M78:M88)</f>
        <v>2.0708955992385279E-2</v>
      </c>
      <c r="H89" s="30">
        <f>SUMPRODUCT(H78:H88,M78:M88)</f>
        <v>2.9948304102579508E-3</v>
      </c>
      <c r="I89" s="30">
        <f>SUMPRODUCT(I78:I88,M78:M88)</f>
        <v>1.7919339828752479E-2</v>
      </c>
      <c r="J89" s="30">
        <f>SUMPRODUCT(J78:J88,M78:M88)</f>
        <v>0.18389156811396995</v>
      </c>
      <c r="K89" s="30">
        <f>SUMPRODUCT(K78:K88,M78:M88)</f>
        <v>8.7051074264174862E-11</v>
      </c>
      <c r="L89" s="30">
        <f>SUMPRODUCT(L78:L88,M78:M88)</f>
        <v>2.0850714495076702E-3</v>
      </c>
      <c r="M89" s="188"/>
    </row>
    <row r="90" spans="1:15" x14ac:dyDescent="0.2">
      <c r="A90" s="22" t="s">
        <v>299</v>
      </c>
      <c r="B90" s="17" t="s">
        <v>198</v>
      </c>
      <c r="C90" s="17" t="s">
        <v>300</v>
      </c>
      <c r="D90" s="23" t="s">
        <v>90</v>
      </c>
      <c r="E90" s="23" t="s">
        <v>62</v>
      </c>
      <c r="F90" s="24">
        <v>1.4936430551572499</v>
      </c>
      <c r="G90" s="38">
        <v>1.4040244718478199E-2</v>
      </c>
      <c r="H90" s="38">
        <v>1.0455501386100799E-3</v>
      </c>
      <c r="I90" s="28">
        <v>1.7320847E-5</v>
      </c>
      <c r="J90" s="28">
        <v>0.25055205047318602</v>
      </c>
      <c r="K90" s="28">
        <v>1.2094539383455E-11</v>
      </c>
      <c r="L90" s="28">
        <v>8.6012034003245198E-4</v>
      </c>
      <c r="M90" s="187">
        <f>'Parameters, country spec'!I21</f>
        <v>6.5976692624369268E-2</v>
      </c>
      <c r="O90" s="120">
        <f>K90*M90/K101*100</f>
        <v>2.2017171584981252</v>
      </c>
    </row>
    <row r="91" spans="1:15" x14ac:dyDescent="0.2">
      <c r="A91" s="22" t="s">
        <v>301</v>
      </c>
      <c r="B91" s="17" t="s">
        <v>201</v>
      </c>
      <c r="C91" s="17" t="s">
        <v>300</v>
      </c>
      <c r="D91" s="23" t="s">
        <v>90</v>
      </c>
      <c r="E91" s="23" t="s">
        <v>62</v>
      </c>
      <c r="F91" s="21">
        <v>1.0864605288889899</v>
      </c>
      <c r="G91" s="38">
        <v>1.4340953536274501E-2</v>
      </c>
      <c r="H91" s="38">
        <v>4.0198127336526996E-3</v>
      </c>
      <c r="I91" s="28">
        <v>9.5547103112000008E-3</v>
      </c>
      <c r="J91" s="28">
        <v>9.1052780252493401E-2</v>
      </c>
      <c r="K91" s="28">
        <v>8.7974430101265295E-12</v>
      </c>
      <c r="L91" s="28">
        <v>8.7854208237383503E-4</v>
      </c>
      <c r="M91" s="187">
        <f>'Parameters, country spec'!I22</f>
        <v>0.1981410733338565</v>
      </c>
      <c r="O91" s="120">
        <f>K91*M91/K101*100</f>
        <v>4.809640617314356</v>
      </c>
    </row>
    <row r="92" spans="1:15" x14ac:dyDescent="0.2">
      <c r="A92" s="22" t="s">
        <v>302</v>
      </c>
      <c r="B92" s="17" t="s">
        <v>204</v>
      </c>
      <c r="C92" s="17" t="s">
        <v>300</v>
      </c>
      <c r="D92" s="23" t="s">
        <v>90</v>
      </c>
      <c r="E92" s="23" t="s">
        <v>62</v>
      </c>
      <c r="F92" s="21">
        <v>2.0790885275895001</v>
      </c>
      <c r="G92" s="38">
        <v>1.4759875014174599E-2</v>
      </c>
      <c r="H92" s="38">
        <v>3.1182834536988601E-3</v>
      </c>
      <c r="I92" s="28">
        <v>7.4432880493999999E-3</v>
      </c>
      <c r="J92" s="28">
        <v>0.110431202960622</v>
      </c>
      <c r="K92" s="28">
        <v>1.6835091886108901E-11</v>
      </c>
      <c r="L92" s="28">
        <v>9.04205658133603E-4</v>
      </c>
      <c r="M92" s="187">
        <f>'Parameters, country spec'!I23</f>
        <v>2.1671841623166059E-3</v>
      </c>
      <c r="O92" s="120">
        <f>K92*M92/K101*100</f>
        <v>0.10066835280292304</v>
      </c>
    </row>
    <row r="93" spans="1:15" x14ac:dyDescent="0.2">
      <c r="A93" s="22" t="s">
        <v>303</v>
      </c>
      <c r="B93" s="17" t="s">
        <v>205</v>
      </c>
      <c r="C93" s="17" t="s">
        <v>300</v>
      </c>
      <c r="D93" s="23" t="s">
        <v>90</v>
      </c>
      <c r="E93" s="23" t="s">
        <v>62</v>
      </c>
      <c r="F93" s="21">
        <v>2.7925940406043201</v>
      </c>
      <c r="G93" s="38">
        <v>2.65307106191323E-2</v>
      </c>
      <c r="H93" s="38">
        <v>1.9548944666729099E-3</v>
      </c>
      <c r="I93" s="28">
        <v>0</v>
      </c>
      <c r="J93" s="28">
        <v>0.243377642492111</v>
      </c>
      <c r="K93" s="28">
        <v>2.2612590397332099E-11</v>
      </c>
      <c r="L93" s="28">
        <v>1.6252995796432401E-3</v>
      </c>
      <c r="M93" s="187">
        <f>'Parameters, country spec'!I24</f>
        <v>8.1550834411767848E-3</v>
      </c>
      <c r="O93" s="120">
        <f>K93*M93/K101*100</f>
        <v>0.50881555326053374</v>
      </c>
    </row>
    <row r="94" spans="1:15" x14ac:dyDescent="0.2">
      <c r="A94" s="22" t="s">
        <v>304</v>
      </c>
      <c r="B94" s="17" t="s">
        <v>206</v>
      </c>
      <c r="C94" s="17" t="s">
        <v>300</v>
      </c>
      <c r="D94" s="23" t="s">
        <v>90</v>
      </c>
      <c r="E94" s="23" t="s">
        <v>62</v>
      </c>
      <c r="F94" s="21">
        <v>1.2075807086566599</v>
      </c>
      <c r="G94" s="38">
        <v>1.8475984842446901E-2</v>
      </c>
      <c r="H94" s="38">
        <v>1.69061299211933E-3</v>
      </c>
      <c r="I94" s="28">
        <v>0</v>
      </c>
      <c r="J94" s="28">
        <v>0.195361440981908</v>
      </c>
      <c r="K94" s="28">
        <v>9.7781945888074892E-12</v>
      </c>
      <c r="L94" s="28">
        <v>1.13185850273715E-3</v>
      </c>
      <c r="M94" s="187">
        <f>'Parameters, country spec'!I25</f>
        <v>0.22324493125110029</v>
      </c>
      <c r="O94" s="120">
        <f>K94*M94/K101*100</f>
        <v>6.0231258247475612</v>
      </c>
    </row>
    <row r="95" spans="1:15" x14ac:dyDescent="0.2">
      <c r="A95" s="22" t="s">
        <v>305</v>
      </c>
      <c r="B95" s="17" t="s">
        <v>207</v>
      </c>
      <c r="C95" s="17" t="s">
        <v>306</v>
      </c>
      <c r="D95" s="23" t="s">
        <v>90</v>
      </c>
      <c r="E95" s="23" t="s">
        <v>62</v>
      </c>
      <c r="F95" s="21">
        <v>3.39685451272122</v>
      </c>
      <c r="G95" s="38">
        <v>3.44E-2</v>
      </c>
      <c r="H95" s="38">
        <v>1.69862221424959E-3</v>
      </c>
      <c r="I95" s="28">
        <v>5.8912594268000003E-2</v>
      </c>
      <c r="J95" s="28">
        <v>1.1407877305615</v>
      </c>
      <c r="K95" s="28">
        <v>4.0835084592305499E-11</v>
      </c>
      <c r="L95" s="28">
        <v>0</v>
      </c>
      <c r="M95" s="187">
        <f>'Parameters, country spec'!I26</f>
        <v>0</v>
      </c>
      <c r="O95" s="120">
        <f>K95*M95/K101*100</f>
        <v>0</v>
      </c>
    </row>
    <row r="96" spans="1:15" x14ac:dyDescent="0.2">
      <c r="A96" s="22" t="s">
        <v>307</v>
      </c>
      <c r="B96" s="17" t="s">
        <v>208</v>
      </c>
      <c r="C96" s="17" t="s">
        <v>306</v>
      </c>
      <c r="D96" s="23" t="s">
        <v>90</v>
      </c>
      <c r="E96" s="23" t="s">
        <v>62</v>
      </c>
      <c r="F96" s="21">
        <v>2.8424972285651999</v>
      </c>
      <c r="G96" s="38">
        <v>4.0568499445713002E-2</v>
      </c>
      <c r="H96" s="38">
        <v>1.13699889142608E-3</v>
      </c>
      <c r="I96" s="28">
        <v>6.5111000000000006E-8</v>
      </c>
      <c r="J96" s="28">
        <v>0.33938279910177099</v>
      </c>
      <c r="K96" s="28">
        <v>2.3016673601862799E-11</v>
      </c>
      <c r="L96" s="28">
        <v>3.48268813229035E-5</v>
      </c>
      <c r="M96" s="187">
        <f>'Parameters, country spec'!I27</f>
        <v>0</v>
      </c>
      <c r="O96" s="120">
        <f>K96*M96/K101*100</f>
        <v>0</v>
      </c>
    </row>
    <row r="97" spans="1:15" x14ac:dyDescent="0.2">
      <c r="B97" s="18" t="s">
        <v>209</v>
      </c>
      <c r="C97" s="17" t="s">
        <v>308</v>
      </c>
      <c r="D97" s="23" t="str">
        <f>'Off-farm feed'!$D$88</f>
        <v>France, Germany, Poland</v>
      </c>
      <c r="E97" s="23" t="s">
        <v>319</v>
      </c>
      <c r="F97" s="19">
        <f>'Off-farm feed'!$F$88</f>
        <v>1.5397450382845068</v>
      </c>
      <c r="G97" s="20">
        <f>'Off-farm feed'!$G$88</f>
        <v>2.276724967641296E-2</v>
      </c>
      <c r="H97" s="20">
        <f>'Off-farm feed'!$H$88</f>
        <v>2.4780679919905292E-3</v>
      </c>
      <c r="I97" s="19">
        <f>'Off-farm feed'!$I$88</f>
        <v>8.1100925319702543E-4</v>
      </c>
      <c r="J97" s="19">
        <f>'Off-farm feed'!$J$88</f>
        <v>0.29368572248181479</v>
      </c>
      <c r="K97" s="29">
        <f>'Off-farm feed'!$K$88</f>
        <v>1.2571008272056975E-11</v>
      </c>
      <c r="L97" s="29">
        <f>'Off-farm feed'!$L$88</f>
        <v>1.3841258986185109E-3</v>
      </c>
      <c r="M97" s="187">
        <f>'Parameters, country spec'!I28</f>
        <v>0.12320054874364431</v>
      </c>
      <c r="O97" s="120">
        <f>K97*M97/K101*100</f>
        <v>4.2733100825978267</v>
      </c>
    </row>
    <row r="98" spans="1:15" x14ac:dyDescent="0.2">
      <c r="B98" s="18" t="s">
        <v>309</v>
      </c>
      <c r="C98" s="17" t="s">
        <v>308</v>
      </c>
      <c r="D98" s="23" t="str">
        <f>'Off-farm feed'!$D$36</f>
        <v>Brazil, Argentina</v>
      </c>
      <c r="E98" s="23" t="s">
        <v>319</v>
      </c>
      <c r="F98" s="19">
        <f>'Off-farm feed'!$F$36</f>
        <v>2.5509164954964105</v>
      </c>
      <c r="G98" s="20">
        <f>'Off-farm feed'!$G$36</f>
        <v>4.2620923125915401E-2</v>
      </c>
      <c r="H98" s="20">
        <f>'Off-farm feed'!$H$36</f>
        <v>3.2959349471355006E-3</v>
      </c>
      <c r="I98" s="19">
        <f>'Off-farm feed'!$I$36</f>
        <v>2.435286335413451E-3</v>
      </c>
      <c r="J98" s="19">
        <f>'Off-farm feed'!$J$36</f>
        <v>0.25920846302270906</v>
      </c>
      <c r="K98" s="29">
        <f>'Off-farm feed'!$K$36</f>
        <v>1.4553836091881654E-10</v>
      </c>
      <c r="L98" s="29">
        <f>'Off-farm feed'!$L$36</f>
        <v>1.0450321677831977E-4</v>
      </c>
      <c r="M98" s="187">
        <f>'Parameters, country spec'!I29</f>
        <v>0.15910748774892911</v>
      </c>
      <c r="O98" s="120">
        <f>K98*M98/K101*100</f>
        <v>63.892480791756547</v>
      </c>
    </row>
    <row r="99" spans="1:15" x14ac:dyDescent="0.2">
      <c r="B99" s="17" t="s">
        <v>213</v>
      </c>
      <c r="C99" s="17" t="s">
        <v>310</v>
      </c>
      <c r="D99" s="23" t="s">
        <v>90</v>
      </c>
      <c r="E99" s="23" t="s">
        <v>62</v>
      </c>
      <c r="F99" s="21">
        <v>0.10868226377909999</v>
      </c>
      <c r="G99" s="21">
        <v>1.6628386358202201E-3</v>
      </c>
      <c r="H99" s="21">
        <v>1.5215516929073999E-4</v>
      </c>
      <c r="I99" s="28">
        <v>0</v>
      </c>
      <c r="J99" s="28">
        <v>1.7582529688371699E-2</v>
      </c>
      <c r="K99" s="28">
        <v>8.8003751299267404E-13</v>
      </c>
      <c r="L99" s="28">
        <v>1.0186726524634401E-4</v>
      </c>
      <c r="M99" s="187">
        <f>'Parameters, country spec'!I30</f>
        <v>1.7335418632101661E-2</v>
      </c>
      <c r="N99" t="s">
        <v>315</v>
      </c>
      <c r="O99" s="120">
        <f>K99*M99/K101*100</f>
        <v>4.2093706833389179E-2</v>
      </c>
    </row>
    <row r="100" spans="1:15" x14ac:dyDescent="0.2">
      <c r="A100" s="82"/>
      <c r="B100" s="17" t="s">
        <v>312</v>
      </c>
      <c r="C100" s="83" t="s">
        <v>313</v>
      </c>
      <c r="D100" s="23" t="s">
        <v>90</v>
      </c>
      <c r="E100" s="23" t="s">
        <v>62</v>
      </c>
      <c r="F100" s="107">
        <f t="shared" ref="F100:L100" si="7">AVERAGE(F90:F98)</f>
        <v>2.1099311262182283</v>
      </c>
      <c r="G100" s="107">
        <f t="shared" si="7"/>
        <v>2.5389382330949763E-2</v>
      </c>
      <c r="H100" s="107">
        <f t="shared" si="7"/>
        <v>2.2709753143950648E-3</v>
      </c>
      <c r="I100" s="216">
        <f t="shared" si="7"/>
        <v>8.7971415750233862E-3</v>
      </c>
      <c r="J100" s="216">
        <f t="shared" si="7"/>
        <v>0.32487109248090174</v>
      </c>
      <c r="K100" s="216">
        <f t="shared" si="7"/>
        <v>3.2453220738985755E-11</v>
      </c>
      <c r="L100" s="216">
        <f t="shared" si="7"/>
        <v>7.6927579551555722E-4</v>
      </c>
      <c r="M100" s="187">
        <f>'Parameters, country spec'!I31</f>
        <v>0.20267158006250541</v>
      </c>
      <c r="O100" s="120">
        <f>K100*M100/K101*100</f>
        <v>18.14814791218874</v>
      </c>
    </row>
    <row r="101" spans="1:15" x14ac:dyDescent="0.2">
      <c r="A101" s="185"/>
      <c r="B101" s="25" t="s">
        <v>314</v>
      </c>
      <c r="C101" s="26"/>
      <c r="D101" s="102"/>
      <c r="E101" s="102"/>
      <c r="F101" s="30">
        <f>SUMPRODUCT(F90:F100,M90:M100)</f>
        <v>1.6357584379131822</v>
      </c>
      <c r="G101" s="30">
        <f>SUMPRODUCT(G90:G100,M90:M100)</f>
        <v>2.2901656223956506E-2</v>
      </c>
      <c r="H101" s="30">
        <f>SUMPRODUCT(H90:H100,M90:M100)</f>
        <v>2.5582000474402822E-3</v>
      </c>
      <c r="I101" s="30">
        <f>SUMPRODUCT(I90:I100,M90:M100)</f>
        <v>4.1807739634804912E-3</v>
      </c>
      <c r="J101" s="30">
        <f>SUMPRODUCT(J90:J100,M90:M100)</f>
        <v>0.2239806200924131</v>
      </c>
      <c r="K101" s="30">
        <f>SUMPRODUCT(K90:K100,M90:M100)</f>
        <v>3.6242516630967097E-11</v>
      </c>
      <c r="L101" s="30">
        <f>SUMPRODUCT(L90:L100,M90:M100)</f>
        <v>8.4354744115731689E-4</v>
      </c>
      <c r="M101" s="188"/>
    </row>
    <row r="102" spans="1:15" x14ac:dyDescent="0.2">
      <c r="A102" s="22" t="s">
        <v>299</v>
      </c>
      <c r="B102" s="17" t="s">
        <v>198</v>
      </c>
      <c r="C102" s="17" t="s">
        <v>300</v>
      </c>
      <c r="D102" s="23" t="s">
        <v>63</v>
      </c>
      <c r="E102" s="23" t="s">
        <v>64</v>
      </c>
      <c r="F102" s="24">
        <v>2.3279201430274101</v>
      </c>
      <c r="G102" s="38">
        <v>2.18824493444577E-2</v>
      </c>
      <c r="H102" s="38">
        <v>1.62954410011919E-3</v>
      </c>
      <c r="I102" s="28">
        <v>1.192E-8</v>
      </c>
      <c r="J102" s="28">
        <v>0.258116293578665</v>
      </c>
      <c r="K102" s="28">
        <v>9.2729681289311007E-12</v>
      </c>
      <c r="L102" s="28">
        <v>1.5890878647883001E-3</v>
      </c>
      <c r="M102" s="187">
        <f>'Parameters, country spec'!J21</f>
        <v>0.1699689878759473</v>
      </c>
      <c r="O102" s="120">
        <f>K102*M102/K113*100</f>
        <v>6.7663186850274979</v>
      </c>
    </row>
    <row r="103" spans="1:15" x14ac:dyDescent="0.2">
      <c r="A103" s="22" t="s">
        <v>301</v>
      </c>
      <c r="B103" s="17" t="s">
        <v>201</v>
      </c>
      <c r="C103" s="17" t="s">
        <v>300</v>
      </c>
      <c r="D103" s="23" t="s">
        <v>63</v>
      </c>
      <c r="E103" s="23" t="s">
        <v>64</v>
      </c>
      <c r="F103" s="21">
        <v>1.3980539089587301</v>
      </c>
      <c r="G103" s="38">
        <v>1.84538928166002E-2</v>
      </c>
      <c r="H103" s="38">
        <v>5.17268207738035E-3</v>
      </c>
      <c r="I103" s="28">
        <v>9.9475264539999994E-4</v>
      </c>
      <c r="J103" s="28">
        <v>5.35872665249972E-2</v>
      </c>
      <c r="K103" s="28">
        <v>5.5689665210947796E-12</v>
      </c>
      <c r="L103" s="28">
        <v>1.3401085349886001E-3</v>
      </c>
      <c r="M103" s="187">
        <f>'Parameters, country spec'!J22</f>
        <v>0.2328388503447609</v>
      </c>
      <c r="O103" s="120">
        <f>K103*M103/K113*100</f>
        <v>5.5666516714812815</v>
      </c>
    </row>
    <row r="104" spans="1:15" x14ac:dyDescent="0.2">
      <c r="A104" s="22" t="s">
        <v>302</v>
      </c>
      <c r="B104" s="17" t="s">
        <v>204</v>
      </c>
      <c r="C104" s="17" t="s">
        <v>300</v>
      </c>
      <c r="D104" s="23" t="s">
        <v>63</v>
      </c>
      <c r="E104" s="23" t="s">
        <v>64</v>
      </c>
      <c r="F104" s="21">
        <v>3.1869868951098899</v>
      </c>
      <c r="G104" s="38">
        <v>2.2625072294623301E-2</v>
      </c>
      <c r="H104" s="38">
        <v>4.7799448509767504E-3</v>
      </c>
      <c r="I104" s="28">
        <v>5.1951799999999997E-8</v>
      </c>
      <c r="J104" s="28">
        <v>0.110703176788537</v>
      </c>
      <c r="K104" s="28">
        <v>1.2694949177784999E-11</v>
      </c>
      <c r="L104" s="28">
        <v>1.6430166137891701E-3</v>
      </c>
      <c r="M104" s="187">
        <f>'Parameters, country spec'!J23</f>
        <v>5.0904696791723991E-3</v>
      </c>
      <c r="O104" s="120">
        <f>K104*M104/K113*100</f>
        <v>0.27742961217984846</v>
      </c>
    </row>
    <row r="105" spans="1:15" x14ac:dyDescent="0.2">
      <c r="A105" s="22" t="s">
        <v>303</v>
      </c>
      <c r="B105" s="17" t="s">
        <v>205</v>
      </c>
      <c r="C105" s="17" t="s">
        <v>300</v>
      </c>
      <c r="D105" s="23" t="s">
        <v>63</v>
      </c>
      <c r="E105" s="23" t="s">
        <v>64</v>
      </c>
      <c r="F105" s="21">
        <v>2.90576037937607</v>
      </c>
      <c r="G105" s="38">
        <v>2.7605834085746399E-2</v>
      </c>
      <c r="H105" s="38">
        <v>2.0341140905286801E-3</v>
      </c>
      <c r="I105" s="28">
        <v>3.8705400000000002E-9</v>
      </c>
      <c r="J105" s="28">
        <v>8.1354607373657503E-2</v>
      </c>
      <c r="K105" s="28">
        <v>1.15747198068503E-11</v>
      </c>
      <c r="L105" s="28">
        <v>2.0047159827713502E-3</v>
      </c>
      <c r="M105" s="187">
        <f>'Parameters, country spec'!J24</f>
        <v>6.6462863913214348E-2</v>
      </c>
      <c r="O105" s="120">
        <f>K105*M105/K113*100</f>
        <v>3.302581404351959</v>
      </c>
    </row>
    <row r="106" spans="1:15" x14ac:dyDescent="0.2">
      <c r="A106" s="22" t="s">
        <v>304</v>
      </c>
      <c r="B106" s="17" t="s">
        <v>206</v>
      </c>
      <c r="C106" s="17" t="s">
        <v>300</v>
      </c>
      <c r="D106" s="23" t="s">
        <v>63</v>
      </c>
      <c r="E106" s="23" t="s">
        <v>64</v>
      </c>
      <c r="F106" s="21">
        <v>1.9352915903839201</v>
      </c>
      <c r="G106" s="38">
        <v>2.9609961332874E-2</v>
      </c>
      <c r="H106" s="38">
        <v>2.7094082265374901E-3</v>
      </c>
      <c r="I106" s="28">
        <v>2.38226E-9</v>
      </c>
      <c r="J106" s="28">
        <v>0.28518824581299701</v>
      </c>
      <c r="K106" s="28">
        <v>7.7089831846552192E-12</v>
      </c>
      <c r="L106" s="28">
        <v>2.15025427411024E-3</v>
      </c>
      <c r="M106" s="187">
        <f>'Parameters, country spec'!J25</f>
        <v>0.26723420141656068</v>
      </c>
      <c r="O106" s="120">
        <f>K106*M106/K113*100</f>
        <v>8.8440895478554751</v>
      </c>
    </row>
    <row r="107" spans="1:15" x14ac:dyDescent="0.2">
      <c r="A107" s="22" t="s">
        <v>305</v>
      </c>
      <c r="B107" s="17" t="s">
        <v>207</v>
      </c>
      <c r="C107" s="17" t="s">
        <v>306</v>
      </c>
      <c r="D107" s="23" t="s">
        <v>63</v>
      </c>
      <c r="E107" s="23" t="s">
        <v>64</v>
      </c>
      <c r="F107" s="21">
        <v>4.7463547995139699</v>
      </c>
      <c r="G107" s="38">
        <v>3.44E-2</v>
      </c>
      <c r="H107" s="38">
        <v>2.3734498103970699E-3</v>
      </c>
      <c r="I107" s="28">
        <v>3.0575379999999997E-5</v>
      </c>
      <c r="J107" s="28">
        <v>0.51339516251518802</v>
      </c>
      <c r="K107" s="28">
        <v>1.8906489089120799E-11</v>
      </c>
      <c r="L107" s="28">
        <v>0</v>
      </c>
      <c r="M107" s="187">
        <f>'Parameters, country spec'!J26</f>
        <v>4.1789296546899217E-3</v>
      </c>
      <c r="O107" s="120">
        <f>K107*M107/K113*100</f>
        <v>0.33918758067018562</v>
      </c>
    </row>
    <row r="108" spans="1:15" x14ac:dyDescent="0.2">
      <c r="A108" s="22" t="s">
        <v>307</v>
      </c>
      <c r="B108" s="17" t="s">
        <v>208</v>
      </c>
      <c r="C108" s="17" t="s">
        <v>306</v>
      </c>
      <c r="D108" s="23" t="s">
        <v>63</v>
      </c>
      <c r="E108" s="23" t="s">
        <v>64</v>
      </c>
      <c r="F108" s="21">
        <v>3.67806621990422</v>
      </c>
      <c r="G108" s="38">
        <v>4.0735613243980798E-2</v>
      </c>
      <c r="H108" s="38">
        <v>1.4712264879616899E-3</v>
      </c>
      <c r="I108" s="28">
        <v>2.1217464799999999E-5</v>
      </c>
      <c r="J108" s="28">
        <v>0.43914639439168501</v>
      </c>
      <c r="K108" s="28">
        <v>1.4651100011066101E-11</v>
      </c>
      <c r="L108" s="28">
        <v>5.3419709137066198E-5</v>
      </c>
      <c r="M108" s="187">
        <f>'Parameters, country spec'!J27</f>
        <v>4.1050860427910684E-3</v>
      </c>
      <c r="O108" s="120">
        <f>K108*M108/K113*100</f>
        <v>0.25820015018864978</v>
      </c>
    </row>
    <row r="109" spans="1:15" x14ac:dyDescent="0.2">
      <c r="B109" s="18" t="s">
        <v>209</v>
      </c>
      <c r="C109" s="17" t="s">
        <v>308</v>
      </c>
      <c r="D109" s="23" t="str">
        <f>'Off-farm feed'!$D$88</f>
        <v>France, Germany, Poland</v>
      </c>
      <c r="E109" s="23" t="s">
        <v>319</v>
      </c>
      <c r="F109" s="19">
        <f>'Off-farm feed'!$F$88</f>
        <v>1.5397450382845068</v>
      </c>
      <c r="G109" s="20">
        <f>'Off-farm feed'!$G$88</f>
        <v>2.276724967641296E-2</v>
      </c>
      <c r="H109" s="20">
        <f>'Off-farm feed'!$H$88</f>
        <v>2.4780679919905292E-3</v>
      </c>
      <c r="I109" s="19">
        <f>'Off-farm feed'!$I$88</f>
        <v>8.1100925319702543E-4</v>
      </c>
      <c r="J109" s="19">
        <f>'Off-farm feed'!$J$88</f>
        <v>0.29368572248181479</v>
      </c>
      <c r="K109" s="29">
        <f>'Off-farm feed'!$K$88</f>
        <v>1.2571008272056975E-11</v>
      </c>
      <c r="L109" s="29">
        <f>'Off-farm feed'!$L$88</f>
        <v>1.3841258986185109E-3</v>
      </c>
      <c r="M109" s="187">
        <f>'Parameters, country spec'!J28</f>
        <v>3.0119810543340508E-2</v>
      </c>
      <c r="O109" s="120">
        <f>K109*M109/K113*100</f>
        <v>1.6254976320709424</v>
      </c>
    </row>
    <row r="110" spans="1:15" x14ac:dyDescent="0.2">
      <c r="B110" s="18" t="s">
        <v>309</v>
      </c>
      <c r="C110" s="17" t="s">
        <v>308</v>
      </c>
      <c r="D110" s="23" t="str">
        <f>'Off-farm feed'!$D$36</f>
        <v>Brazil, Argentina</v>
      </c>
      <c r="E110" s="23" t="s">
        <v>319</v>
      </c>
      <c r="F110" s="19">
        <f>'Off-farm feed'!$F$36</f>
        <v>2.5509164954964105</v>
      </c>
      <c r="G110" s="20">
        <f>'Off-farm feed'!$G$36</f>
        <v>4.2620923125915401E-2</v>
      </c>
      <c r="H110" s="20">
        <f>'Off-farm feed'!$H$36</f>
        <v>3.2959349471355006E-3</v>
      </c>
      <c r="I110" s="19">
        <f>'Off-farm feed'!$I$36</f>
        <v>2.435286335413451E-3</v>
      </c>
      <c r="J110" s="19">
        <f>'Off-farm feed'!$J$36</f>
        <v>0.25920846302270906</v>
      </c>
      <c r="K110" s="29">
        <f>'Off-farm feed'!$K$36</f>
        <v>1.4553836091881654E-10</v>
      </c>
      <c r="L110" s="29">
        <f>'Off-farm feed'!$L$36</f>
        <v>1.0450321677831977E-4</v>
      </c>
      <c r="M110" s="187">
        <f>'Parameters, country spec'!J29</f>
        <v>0.1050568603152183</v>
      </c>
      <c r="O110" s="120">
        <f>K110*M110/K113*100</f>
        <v>65.639594620139235</v>
      </c>
    </row>
    <row r="111" spans="1:15" x14ac:dyDescent="0.2">
      <c r="B111" s="17" t="s">
        <v>213</v>
      </c>
      <c r="C111" s="17" t="s">
        <v>310</v>
      </c>
      <c r="D111" s="23" t="s">
        <v>63</v>
      </c>
      <c r="E111" s="23" t="s">
        <v>64</v>
      </c>
      <c r="F111" s="21">
        <v>0.17417624313455299</v>
      </c>
      <c r="G111" s="21">
        <v>2.6648965199586598E-3</v>
      </c>
      <c r="H111" s="21">
        <v>2.4384674038837399E-4</v>
      </c>
      <c r="I111" s="28">
        <v>2.144034E-10</v>
      </c>
      <c r="J111" s="28">
        <v>2.5666942123169698E-2</v>
      </c>
      <c r="K111" s="28">
        <v>6.9380848661897004E-13</v>
      </c>
      <c r="L111" s="28">
        <v>1.9352288466992099E-4</v>
      </c>
      <c r="M111" s="187">
        <f>'Parameters, country spec'!J30</f>
        <v>5.1412336687770267E-2</v>
      </c>
      <c r="O111" s="120">
        <f>K111*M111/K113*100</f>
        <v>0.15313375923021441</v>
      </c>
    </row>
    <row r="112" spans="1:15" x14ac:dyDescent="0.2">
      <c r="A112" s="82"/>
      <c r="B112" s="17" t="s">
        <v>312</v>
      </c>
      <c r="C112" s="83" t="s">
        <v>313</v>
      </c>
      <c r="D112" s="23" t="s">
        <v>63</v>
      </c>
      <c r="E112" s="23" t="s">
        <v>64</v>
      </c>
      <c r="F112" s="107">
        <f t="shared" ref="F112:L112" si="8">AVERAGE(F102:F110)</f>
        <v>2.6965661633394591</v>
      </c>
      <c r="G112" s="107">
        <f t="shared" si="8"/>
        <v>2.8966777324512312E-2</v>
      </c>
      <c r="H112" s="107">
        <f t="shared" si="8"/>
        <v>2.8827080647808052E-3</v>
      </c>
      <c r="I112" s="216">
        <f t="shared" si="8"/>
        <v>4.7699013371227508E-4</v>
      </c>
      <c r="J112" s="216">
        <f t="shared" si="8"/>
        <v>0.25493170361002782</v>
      </c>
      <c r="K112" s="216">
        <f t="shared" si="8"/>
        <v>2.6498616123375201E-11</v>
      </c>
      <c r="L112" s="216">
        <f t="shared" si="8"/>
        <v>1.1410257883312841E-3</v>
      </c>
      <c r="M112" s="187">
        <f>'Parameters, country spec'!J31</f>
        <v>6.3531603526534211E-2</v>
      </c>
      <c r="O112" s="120">
        <f>K112*M112/K113*100</f>
        <v>7.2273153368047254</v>
      </c>
    </row>
    <row r="113" spans="1:15" x14ac:dyDescent="0.2">
      <c r="A113" s="185"/>
      <c r="B113" s="25" t="s">
        <v>314</v>
      </c>
      <c r="C113" s="26"/>
      <c r="D113" s="102"/>
      <c r="E113" s="102"/>
      <c r="F113" s="30">
        <f>SUMPRODUCT(F102:F112,M102:M112)</f>
        <v>1.9772935628650239</v>
      </c>
      <c r="G113" s="30">
        <f>SUMPRODUCT(G102:G112,M102:M112)</f>
        <v>2.533050872567889E-2</v>
      </c>
      <c r="H113" s="30">
        <f>SUMPRODUCT(H102:H112,M102:M112)</f>
        <v>2.9974823690087425E-3</v>
      </c>
      <c r="I113" s="30">
        <f>SUMPRODUCT(I102:I112,M102:M112)</f>
        <v>5.4241005907740291E-4</v>
      </c>
      <c r="J113" s="30">
        <f>SUMPRODUCT(J102:J112,M102:M112)</f>
        <v>0.19607298619788177</v>
      </c>
      <c r="K113" s="30">
        <f>SUMPRODUCT(K102:K112,M102:M112)</f>
        <v>2.3293567460367569E-11</v>
      </c>
      <c r="L113" s="30">
        <f>SUMPRODUCT(L102:L112,M102:M112)</f>
        <v>1.4336777061205424E-3</v>
      </c>
      <c r="M113" s="188"/>
    </row>
    <row r="114" spans="1:15" x14ac:dyDescent="0.2">
      <c r="A114" s="22" t="s">
        <v>299</v>
      </c>
      <c r="B114" s="17" t="s">
        <v>198</v>
      </c>
      <c r="C114" s="17" t="s">
        <v>300</v>
      </c>
      <c r="D114" s="23" t="s">
        <v>65</v>
      </c>
      <c r="E114" s="23" t="s">
        <v>66</v>
      </c>
      <c r="F114" s="24">
        <v>3.1884501581471301</v>
      </c>
      <c r="G114" s="38">
        <v>2.9971431486582999E-2</v>
      </c>
      <c r="H114" s="38">
        <v>2.2319151107029899E-3</v>
      </c>
      <c r="I114" s="28">
        <v>1.1917753388E-2</v>
      </c>
      <c r="J114" s="28">
        <v>0.20501989592898701</v>
      </c>
      <c r="K114" s="28">
        <v>2.17858377659486E-10</v>
      </c>
      <c r="L114" s="28">
        <v>3.36256317678949E-3</v>
      </c>
      <c r="M114" s="187">
        <f>'Parameters, country spec'!K21</f>
        <v>0.21894700375858381</v>
      </c>
      <c r="O114" s="120">
        <f>K114*M114/K125*100</f>
        <v>30.461336445901427</v>
      </c>
    </row>
    <row r="115" spans="1:15" x14ac:dyDescent="0.2">
      <c r="A115" s="22" t="s">
        <v>301</v>
      </c>
      <c r="B115" s="17" t="s">
        <v>201</v>
      </c>
      <c r="C115" s="17" t="s">
        <v>300</v>
      </c>
      <c r="D115" s="23" t="s">
        <v>65</v>
      </c>
      <c r="E115" s="23" t="s">
        <v>66</v>
      </c>
      <c r="F115" s="21">
        <v>0.82715175256913298</v>
      </c>
      <c r="G115" s="38">
        <v>1.09181553637961E-2</v>
      </c>
      <c r="H115" s="38">
        <v>3.0603920337913199E-3</v>
      </c>
      <c r="I115" s="28">
        <v>0.29242761274000001</v>
      </c>
      <c r="J115" s="28">
        <v>9.7673304835198302E-2</v>
      </c>
      <c r="K115" s="28">
        <v>5.6517094498861898E-11</v>
      </c>
      <c r="L115" s="28">
        <v>1.22493272305669E-3</v>
      </c>
      <c r="M115" s="187">
        <f>'Parameters, country spec'!K22</f>
        <v>0.28877148486086363</v>
      </c>
      <c r="O115" s="120">
        <f>K115*M115/K125*100</f>
        <v>10.42244986893974</v>
      </c>
    </row>
    <row r="116" spans="1:15" x14ac:dyDescent="0.2">
      <c r="A116" s="22" t="s">
        <v>302</v>
      </c>
      <c r="B116" s="17" t="s">
        <v>204</v>
      </c>
      <c r="C116" s="17" t="s">
        <v>300</v>
      </c>
      <c r="D116" s="23" t="s">
        <v>65</v>
      </c>
      <c r="E116" s="23" t="s">
        <v>66</v>
      </c>
      <c r="F116" s="21">
        <v>4.8838140634309797</v>
      </c>
      <c r="G116" s="38">
        <v>3.4671195676445998E-2</v>
      </c>
      <c r="H116" s="38">
        <v>7.3249004950237803E-3</v>
      </c>
      <c r="I116" s="28">
        <v>1.7329606698600002E-2</v>
      </c>
      <c r="J116" s="28">
        <v>0.22104630832494901</v>
      </c>
      <c r="K116" s="28">
        <v>3.33698115346409E-10</v>
      </c>
      <c r="L116" s="28">
        <v>3.8898404278444299E-3</v>
      </c>
      <c r="M116" s="187">
        <f>'Parameters, country spec'!K23</f>
        <v>3.4137674118133308E-2</v>
      </c>
      <c r="O116" s="120">
        <f>K116*M116/K125*100</f>
        <v>7.274838625443425</v>
      </c>
    </row>
    <row r="117" spans="1:15" x14ac:dyDescent="0.2">
      <c r="A117" s="22" t="s">
        <v>303</v>
      </c>
      <c r="B117" s="17" t="s">
        <v>205</v>
      </c>
      <c r="C117" s="17" t="s">
        <v>300</v>
      </c>
      <c r="D117" s="23" t="s">
        <v>65</v>
      </c>
      <c r="E117" s="23" t="s">
        <v>66</v>
      </c>
      <c r="F117" s="21">
        <v>4.4326634101366098</v>
      </c>
      <c r="G117" s="38">
        <v>4.2111996407792202E-2</v>
      </c>
      <c r="H117" s="38">
        <v>3.10298920899521E-3</v>
      </c>
      <c r="I117" s="28">
        <v>2.2735821861999999E-2</v>
      </c>
      <c r="J117" s="28">
        <v>7.1556485429835398E-3</v>
      </c>
      <c r="K117" s="28">
        <v>3.0287218283007899E-10</v>
      </c>
      <c r="L117" s="28">
        <v>4.7246408128795497E-3</v>
      </c>
      <c r="M117" s="187">
        <f>'Parameters, country spec'!K24</f>
        <v>9.0108782601985467E-3</v>
      </c>
      <c r="O117" s="120">
        <f>K117*M117/K125*100</f>
        <v>1.7428587523491825</v>
      </c>
    </row>
    <row r="118" spans="1:15" x14ac:dyDescent="0.2">
      <c r="A118" s="22" t="s">
        <v>304</v>
      </c>
      <c r="B118" s="17" t="s">
        <v>206</v>
      </c>
      <c r="C118" s="17" t="s">
        <v>300</v>
      </c>
      <c r="D118" s="23" t="s">
        <v>65</v>
      </c>
      <c r="E118" s="23" t="s">
        <v>66</v>
      </c>
      <c r="F118" s="21">
        <v>2.9420417769932299</v>
      </c>
      <c r="G118" s="38">
        <v>4.5013239187996497E-2</v>
      </c>
      <c r="H118" s="38">
        <v>4.1188584877905297E-3</v>
      </c>
      <c r="I118" s="28">
        <v>1.4509374354E-2</v>
      </c>
      <c r="J118" s="28">
        <v>0.210731979994116</v>
      </c>
      <c r="K118" s="28">
        <v>2.0102194381318101E-10</v>
      </c>
      <c r="L118" s="28">
        <v>5.0501378497497598E-3</v>
      </c>
      <c r="M118" s="187">
        <f>'Parameters, country spec'!K25</f>
        <v>0.18547053507474909</v>
      </c>
      <c r="O118" s="120">
        <f>K118*M118/K125*100</f>
        <v>23.80970830862525</v>
      </c>
    </row>
    <row r="119" spans="1:15" x14ac:dyDescent="0.2">
      <c r="A119" s="22" t="s">
        <v>305</v>
      </c>
      <c r="B119" s="17" t="s">
        <v>207</v>
      </c>
      <c r="C119" s="17" t="s">
        <v>306</v>
      </c>
      <c r="D119" s="23" t="s">
        <v>65</v>
      </c>
      <c r="E119" s="23" t="s">
        <v>66</v>
      </c>
      <c r="F119" s="21">
        <v>7.5382945362441198</v>
      </c>
      <c r="G119" s="38">
        <v>3.44E-2</v>
      </c>
      <c r="H119" s="38">
        <v>3.7695799183824099E-3</v>
      </c>
      <c r="I119" s="28">
        <v>0.13979039228000001</v>
      </c>
      <c r="J119" s="28">
        <v>0.12759392714992199</v>
      </c>
      <c r="K119" s="28">
        <v>5.1507175478003295E-10</v>
      </c>
      <c r="L119" s="28">
        <v>0</v>
      </c>
      <c r="M119" s="187">
        <f>'Parameters, country spec'!K26</f>
        <v>6.9661330661395359E-3</v>
      </c>
      <c r="O119" s="120">
        <f>K119*M119/K125*100</f>
        <v>2.2913697894887215</v>
      </c>
    </row>
    <row r="120" spans="1:15" x14ac:dyDescent="0.2">
      <c r="A120" s="22" t="s">
        <v>307</v>
      </c>
      <c r="B120" s="17" t="s">
        <v>208</v>
      </c>
      <c r="C120" s="17" t="s">
        <v>306</v>
      </c>
      <c r="D120" s="23" t="s">
        <v>65</v>
      </c>
      <c r="E120" s="23" t="s">
        <v>66</v>
      </c>
      <c r="F120" s="21">
        <v>8.0637357675063708</v>
      </c>
      <c r="G120" s="38">
        <v>4.16127471535013E-2</v>
      </c>
      <c r="H120" s="38">
        <v>3.2254943070025499E-3</v>
      </c>
      <c r="I120" s="28">
        <v>0.15035854579999999</v>
      </c>
      <c r="J120" s="28">
        <v>0.13648759797439</v>
      </c>
      <c r="K120" s="28">
        <v>5.50973766265362E-10</v>
      </c>
      <c r="L120" s="28">
        <v>1.8093777717167401E-4</v>
      </c>
      <c r="M120" s="187">
        <f>'Parameters, country spec'!K27</f>
        <v>6.843038286368717E-3</v>
      </c>
      <c r="O120" s="120">
        <f>K120*M120/K125*100</f>
        <v>2.4077731814891181</v>
      </c>
    </row>
    <row r="121" spans="1:15" x14ac:dyDescent="0.2">
      <c r="B121" s="18" t="s">
        <v>209</v>
      </c>
      <c r="C121" s="17" t="s">
        <v>308</v>
      </c>
      <c r="D121" s="23" t="str">
        <f>'Off-farm feed'!$D$88</f>
        <v>France, Germany, Poland</v>
      </c>
      <c r="E121" s="23" t="s">
        <v>319</v>
      </c>
      <c r="F121" s="19">
        <f>'Off-farm feed'!$F$88</f>
        <v>1.5397450382845068</v>
      </c>
      <c r="G121" s="20">
        <f>'Off-farm feed'!$G$88</f>
        <v>2.276724967641296E-2</v>
      </c>
      <c r="H121" s="20">
        <f>'Off-farm feed'!$H$88</f>
        <v>2.4780679919905292E-3</v>
      </c>
      <c r="I121" s="19">
        <f>'Off-farm feed'!$I$88</f>
        <v>8.1100925319702543E-4</v>
      </c>
      <c r="J121" s="19">
        <f>'Off-farm feed'!$J$88</f>
        <v>0.29368572248181479</v>
      </c>
      <c r="K121" s="29">
        <f>'Off-farm feed'!$K$88</f>
        <v>1.2571008272056975E-11</v>
      </c>
      <c r="L121" s="29">
        <f>'Off-farm feed'!$L$88</f>
        <v>1.3841258986185109E-3</v>
      </c>
      <c r="M121" s="187">
        <f>'Parameters, country spec'!K28</f>
        <v>2.017458178365223E-2</v>
      </c>
      <c r="O121" s="120">
        <f>K121*M121/K125*100</f>
        <v>0.1619609571461528</v>
      </c>
    </row>
    <row r="122" spans="1:15" x14ac:dyDescent="0.2">
      <c r="B122" s="18" t="s">
        <v>309</v>
      </c>
      <c r="C122" s="17" t="s">
        <v>308</v>
      </c>
      <c r="D122" s="23" t="str">
        <f>'Off-farm feed'!$D$36</f>
        <v>Brazil, Argentina</v>
      </c>
      <c r="E122" s="23" t="s">
        <v>319</v>
      </c>
      <c r="F122" s="19">
        <f>'Off-farm feed'!$F$36</f>
        <v>2.5509164954964105</v>
      </c>
      <c r="G122" s="20">
        <f>'Off-farm feed'!$G$36</f>
        <v>4.2620923125915401E-2</v>
      </c>
      <c r="H122" s="20">
        <f>'Off-farm feed'!$H$36</f>
        <v>3.2959349471355006E-3</v>
      </c>
      <c r="I122" s="19">
        <f>'Off-farm feed'!$I$36</f>
        <v>2.435286335413451E-3</v>
      </c>
      <c r="J122" s="19">
        <f>'Off-farm feed'!$J$36</f>
        <v>0.25920846302270906</v>
      </c>
      <c r="K122" s="29">
        <f>'Off-farm feed'!$K$36</f>
        <v>1.4553836091881654E-10</v>
      </c>
      <c r="L122" s="29">
        <f>'Off-farm feed'!$L$36</f>
        <v>1.0450321677831977E-4</v>
      </c>
      <c r="M122" s="187">
        <f>'Parameters, country spec'!K29</f>
        <v>0.1724593547162262</v>
      </c>
      <c r="O122" s="120">
        <f>K122*M122/K125*100</f>
        <v>16.028759702831998</v>
      </c>
    </row>
    <row r="123" spans="1:15" x14ac:dyDescent="0.2">
      <c r="B123" s="17" t="s">
        <v>213</v>
      </c>
      <c r="C123" s="17" t="s">
        <v>310</v>
      </c>
      <c r="D123" s="23" t="s">
        <v>65</v>
      </c>
      <c r="E123" s="23" t="s">
        <v>66</v>
      </c>
      <c r="F123" s="21">
        <v>0.26478375992939102</v>
      </c>
      <c r="G123" s="21">
        <v>4.0511915269196798E-3</v>
      </c>
      <c r="H123" s="21">
        <v>3.7069726390114699E-4</v>
      </c>
      <c r="I123" s="28">
        <v>1.30584369186E-3</v>
      </c>
      <c r="J123" s="28">
        <v>1.8965878199470401E-2</v>
      </c>
      <c r="K123" s="28">
        <v>1.80919749431862E-11</v>
      </c>
      <c r="L123" s="28">
        <v>4.5451240647747799E-4</v>
      </c>
      <c r="M123" s="187">
        <f>'Parameters, country spec'!K30</f>
        <v>2.6495909583274711E-2</v>
      </c>
      <c r="O123" s="120">
        <f>K123*M123/K125*100</f>
        <v>0.30612619436596872</v>
      </c>
    </row>
    <row r="124" spans="1:15" x14ac:dyDescent="0.2">
      <c r="A124" s="82"/>
      <c r="B124" s="17" t="s">
        <v>312</v>
      </c>
      <c r="C124" s="83" t="s">
        <v>313</v>
      </c>
      <c r="D124" s="23" t="s">
        <v>65</v>
      </c>
      <c r="E124" s="23" t="s">
        <v>66</v>
      </c>
      <c r="F124" s="107">
        <f t="shared" ref="F124:L124" si="9">AVERAGE(F114:F122)</f>
        <v>3.9963125554231649</v>
      </c>
      <c r="G124" s="107">
        <f t="shared" si="9"/>
        <v>3.3787437564271494E-2</v>
      </c>
      <c r="H124" s="107">
        <f t="shared" si="9"/>
        <v>3.6231258334238686E-3</v>
      </c>
      <c r="I124" s="216">
        <f t="shared" si="9"/>
        <v>7.24794891901345E-2</v>
      </c>
      <c r="J124" s="216">
        <f t="shared" si="9"/>
        <v>0.1731780942505633</v>
      </c>
      <c r="K124" s="216">
        <f t="shared" si="9"/>
        <v>2.5956917826492061E-10</v>
      </c>
      <c r="L124" s="216">
        <f t="shared" si="9"/>
        <v>2.2135202092098249E-3</v>
      </c>
      <c r="M124" s="187">
        <f>'Parameters, country spec'!K31</f>
        <v>3.0723406491810091E-2</v>
      </c>
      <c r="O124" s="120">
        <f>K124*M124/K125*100</f>
        <v>5.092818173419027</v>
      </c>
    </row>
    <row r="125" spans="1:15" x14ac:dyDescent="0.2">
      <c r="A125" s="185"/>
      <c r="B125" s="25" t="s">
        <v>314</v>
      </c>
      <c r="C125" s="26"/>
      <c r="D125" s="102"/>
      <c r="E125" s="102"/>
      <c r="F125" s="30">
        <f>SUMPRODUCT(F114:F124,M114:M124)</f>
        <v>2.3977681164932587</v>
      </c>
      <c r="G125" s="30">
        <f>SUMPRODUCT(G114:G124,M114:M124)</f>
        <v>2.910619109129051E-2</v>
      </c>
      <c r="H125" s="30">
        <f>SUMPRODUCT(H114:H124,M114:M124)</f>
        <v>3.2022447944937728E-3</v>
      </c>
      <c r="I125" s="30">
        <f>SUMPRODUCT(I114:I124,M114:M124)</f>
        <v>9.5242109722275925E-2</v>
      </c>
      <c r="J125" s="30">
        <f>SUMPRODUCT(J114:J124,M114:M124)</f>
        <v>0.17806269200582359</v>
      </c>
      <c r="K125" s="30">
        <f>SUMPRODUCT(K114:K124,M114:M124)</f>
        <v>1.5659010600852484E-10</v>
      </c>
      <c r="L125" s="30">
        <f>SUMPRODUCT(L114:L124,M114:M124)</f>
        <v>2.3291982944788321E-3</v>
      </c>
      <c r="M125" s="188"/>
    </row>
    <row r="126" spans="1:15" x14ac:dyDescent="0.2">
      <c r="A126" s="22" t="s">
        <v>299</v>
      </c>
      <c r="B126" s="17" t="s">
        <v>198</v>
      </c>
      <c r="C126" s="17" t="s">
        <v>300</v>
      </c>
      <c r="D126" s="23" t="s">
        <v>67</v>
      </c>
      <c r="E126" s="23" t="s">
        <v>68</v>
      </c>
      <c r="F126" s="24">
        <v>2.2396215935355599</v>
      </c>
      <c r="G126" s="38">
        <v>2.1052442979234198E-2</v>
      </c>
      <c r="H126" s="38">
        <v>1.5677351154748901E-3</v>
      </c>
      <c r="I126" s="28">
        <v>1.23636744E-5</v>
      </c>
      <c r="J126" s="28">
        <v>0.139657427481053</v>
      </c>
      <c r="K126" s="28">
        <v>4.5825527358037798E-12</v>
      </c>
      <c r="L126" s="28">
        <v>1.0871349935439401E-3</v>
      </c>
      <c r="M126" s="187">
        <f>'Parameters, country spec'!L21</f>
        <v>0</v>
      </c>
      <c r="O126" s="120">
        <f>K126*M126/K137*100</f>
        <v>0</v>
      </c>
    </row>
    <row r="127" spans="1:15" x14ac:dyDescent="0.2">
      <c r="A127" s="22" t="s">
        <v>301</v>
      </c>
      <c r="B127" s="17" t="s">
        <v>201</v>
      </c>
      <c r="C127" s="17" t="s">
        <v>300</v>
      </c>
      <c r="D127" s="23" t="s">
        <v>67</v>
      </c>
      <c r="E127" s="23" t="s">
        <v>68</v>
      </c>
      <c r="F127" s="21">
        <v>1.3531506760340799</v>
      </c>
      <c r="G127" s="38">
        <v>1.7861183592585001E-2</v>
      </c>
      <c r="H127" s="38">
        <v>5.0065438858003302E-3</v>
      </c>
      <c r="I127" s="28">
        <v>0</v>
      </c>
      <c r="J127" s="28">
        <v>1.4884657436374901E-2</v>
      </c>
      <c r="K127" s="28">
        <v>2.7687196579604899E-12</v>
      </c>
      <c r="L127" s="28">
        <v>9.2234035398006695E-4</v>
      </c>
      <c r="M127" s="187">
        <f>'Parameters, country spec'!L22</f>
        <v>2.9000000000000001E-2</v>
      </c>
      <c r="O127" s="120">
        <f>K127*M127/K137*100</f>
        <v>0.25260292025169262</v>
      </c>
    </row>
    <row r="128" spans="1:15" x14ac:dyDescent="0.2">
      <c r="A128" s="22" t="s">
        <v>302</v>
      </c>
      <c r="B128" s="17" t="s">
        <v>204</v>
      </c>
      <c r="C128" s="17" t="s">
        <v>300</v>
      </c>
      <c r="D128" s="23" t="s">
        <v>67</v>
      </c>
      <c r="E128" s="23" t="s">
        <v>68</v>
      </c>
      <c r="F128" s="21">
        <v>2.5610555646615301</v>
      </c>
      <c r="G128" s="38">
        <v>1.81814576614431E-2</v>
      </c>
      <c r="H128" s="38">
        <v>3.8411530270654401E-3</v>
      </c>
      <c r="I128" s="28">
        <v>1.4835820200000001E-5</v>
      </c>
      <c r="J128" s="28">
        <v>0.115247500409769</v>
      </c>
      <c r="K128" s="28">
        <v>5.2402478250167298E-12</v>
      </c>
      <c r="L128" s="28">
        <v>9.3887910666182401E-4</v>
      </c>
      <c r="M128" s="187">
        <f>'Parameters, country spec'!L23</f>
        <v>4.9000000000000002E-2</v>
      </c>
      <c r="O128" s="120">
        <f>K128*M128/K137*100</f>
        <v>0.80781012315705825</v>
      </c>
    </row>
    <row r="129" spans="1:15" x14ac:dyDescent="0.2">
      <c r="A129" s="22" t="s">
        <v>303</v>
      </c>
      <c r="B129" s="17" t="s">
        <v>205</v>
      </c>
      <c r="C129" s="17" t="s">
        <v>300</v>
      </c>
      <c r="D129" s="23" t="s">
        <v>67</v>
      </c>
      <c r="E129" s="23" t="s">
        <v>68</v>
      </c>
      <c r="F129" s="21">
        <v>1.7238644904601299</v>
      </c>
      <c r="G129" s="38">
        <v>1.6377371461087399E-2</v>
      </c>
      <c r="H129" s="38">
        <v>1.20675368660644E-3</v>
      </c>
      <c r="I129" s="28">
        <v>0</v>
      </c>
      <c r="J129" s="28">
        <v>0.11937313391668899</v>
      </c>
      <c r="K129" s="28">
        <v>3.5272476206314401E-12</v>
      </c>
      <c r="L129" s="28">
        <v>8.45717223182979E-4</v>
      </c>
      <c r="M129" s="187">
        <f>'Parameters, country spec'!L24</f>
        <v>0</v>
      </c>
      <c r="O129" s="120">
        <f>K129*M129/K137*100</f>
        <v>0</v>
      </c>
    </row>
    <row r="130" spans="1:15" x14ac:dyDescent="0.2">
      <c r="A130" s="22" t="s">
        <v>304</v>
      </c>
      <c r="B130" s="17" t="s">
        <v>206</v>
      </c>
      <c r="C130" s="17" t="s">
        <v>300</v>
      </c>
      <c r="D130" s="23" t="s">
        <v>67</v>
      </c>
      <c r="E130" s="23" t="s">
        <v>68</v>
      </c>
      <c r="F130" s="21">
        <v>1.55791389098342</v>
      </c>
      <c r="G130" s="38">
        <v>2.3836082532046301E-2</v>
      </c>
      <c r="H130" s="38">
        <v>2.18107944737678E-3</v>
      </c>
      <c r="I130" s="28">
        <v>0</v>
      </c>
      <c r="J130" s="28">
        <v>6.6227542671261505E-2</v>
      </c>
      <c r="K130" s="28">
        <v>3.18769143139155E-12</v>
      </c>
      <c r="L130" s="28">
        <v>1.2308803997307699E-3</v>
      </c>
      <c r="M130" s="187">
        <f>'Parameters, country spec'!L25</f>
        <v>0.59099999999999997</v>
      </c>
      <c r="O130" s="120">
        <f>K130*M130/K137*100</f>
        <v>5.92686644155817</v>
      </c>
    </row>
    <row r="131" spans="1:15" x14ac:dyDescent="0.2">
      <c r="A131" s="22" t="s">
        <v>305</v>
      </c>
      <c r="B131" s="17" t="s">
        <v>207</v>
      </c>
      <c r="C131" s="17" t="s">
        <v>306</v>
      </c>
      <c r="D131" s="23" t="s">
        <v>67</v>
      </c>
      <c r="E131" s="23" t="s">
        <v>68</v>
      </c>
      <c r="F131" s="21">
        <v>3.5103977982785</v>
      </c>
      <c r="G131" s="38">
        <v>3.44E-2</v>
      </c>
      <c r="H131" s="38">
        <v>1.75540037369216E-3</v>
      </c>
      <c r="I131" s="28">
        <v>4.3822514109200003E-2</v>
      </c>
      <c r="J131" s="28">
        <v>0.20360307230015301</v>
      </c>
      <c r="K131" s="28">
        <v>7.18272367112955E-12</v>
      </c>
      <c r="L131" s="28">
        <v>0</v>
      </c>
      <c r="M131" s="187">
        <f>'Parameters, country spec'!L26</f>
        <v>0</v>
      </c>
      <c r="O131" s="120">
        <f>K131*M131/K137*100</f>
        <v>0</v>
      </c>
    </row>
    <row r="132" spans="1:15" x14ac:dyDescent="0.2">
      <c r="A132" s="22" t="s">
        <v>307</v>
      </c>
      <c r="B132" s="17" t="s">
        <v>208</v>
      </c>
      <c r="C132" s="17" t="s">
        <v>306</v>
      </c>
      <c r="D132" s="23" t="s">
        <v>67</v>
      </c>
      <c r="E132" s="23" t="s">
        <v>68</v>
      </c>
      <c r="F132" s="21">
        <v>3.4790111258775802</v>
      </c>
      <c r="G132" s="38">
        <v>4.0695802225175499E-2</v>
      </c>
      <c r="H132" s="38">
        <v>1.39160445035103E-3</v>
      </c>
      <c r="I132" s="28">
        <v>2.3048109550000001E-2</v>
      </c>
      <c r="J132" s="28">
        <v>0.212219678678532</v>
      </c>
      <c r="K132" s="28">
        <v>7.1185025179250203E-12</v>
      </c>
      <c r="L132" s="28">
        <v>3.59307918952768E-5</v>
      </c>
      <c r="M132" s="187">
        <f>'Parameters, country spec'!L27</f>
        <v>0</v>
      </c>
      <c r="O132" s="120">
        <f>K132*M132/K137*100</f>
        <v>0</v>
      </c>
    </row>
    <row r="133" spans="1:15" x14ac:dyDescent="0.2">
      <c r="B133" s="18" t="s">
        <v>209</v>
      </c>
      <c r="C133" s="17" t="s">
        <v>308</v>
      </c>
      <c r="D133" s="23" t="str">
        <f>'Off-farm feed'!$D$88</f>
        <v>France, Germany, Poland</v>
      </c>
      <c r="E133" s="23" t="s">
        <v>319</v>
      </c>
      <c r="F133" s="19">
        <f>'Off-farm feed'!$F$88</f>
        <v>1.5397450382845068</v>
      </c>
      <c r="G133" s="20">
        <f>'Off-farm feed'!$G$88</f>
        <v>2.276724967641296E-2</v>
      </c>
      <c r="H133" s="20">
        <f>'Off-farm feed'!$H$88</f>
        <v>2.4780679919905292E-3</v>
      </c>
      <c r="I133" s="19">
        <f>'Off-farm feed'!$I$88</f>
        <v>8.1100925319702543E-4</v>
      </c>
      <c r="J133" s="19">
        <f>'Off-farm feed'!$J$88</f>
        <v>0.29368572248181479</v>
      </c>
      <c r="K133" s="29">
        <f>'Off-farm feed'!$K$88</f>
        <v>1.2571008272056975E-11</v>
      </c>
      <c r="L133" s="29">
        <f>'Off-farm feed'!$L$88</f>
        <v>1.3841258986185109E-3</v>
      </c>
      <c r="M133" s="187">
        <f>'Parameters, country spec'!L28</f>
        <v>6.8000000000000005E-2</v>
      </c>
      <c r="O133" s="120">
        <f>K133*M133/K137*100</f>
        <v>2.6893071699216002</v>
      </c>
    </row>
    <row r="134" spans="1:15" x14ac:dyDescent="0.2">
      <c r="B134" s="18" t="s">
        <v>309</v>
      </c>
      <c r="C134" s="17" t="s">
        <v>308</v>
      </c>
      <c r="D134" s="23" t="str">
        <f>'Off-farm feed'!$D$36</f>
        <v>Brazil, Argentina</v>
      </c>
      <c r="E134" s="23" t="s">
        <v>319</v>
      </c>
      <c r="F134" s="19">
        <f>'Off-farm feed'!$F$36</f>
        <v>2.5509164954964105</v>
      </c>
      <c r="G134" s="20">
        <f>'Off-farm feed'!$G$36</f>
        <v>4.2620923125915401E-2</v>
      </c>
      <c r="H134" s="20">
        <f>'Off-farm feed'!$H$36</f>
        <v>3.2959349471355006E-3</v>
      </c>
      <c r="I134" s="19">
        <f>'Off-farm feed'!$I$36</f>
        <v>2.435286335413451E-3</v>
      </c>
      <c r="J134" s="19">
        <f>'Off-farm feed'!$J$36</f>
        <v>0.25920846302270906</v>
      </c>
      <c r="K134" s="29">
        <f>'Off-farm feed'!$K$36</f>
        <v>1.4553836091881654E-10</v>
      </c>
      <c r="L134" s="29">
        <f>'Off-farm feed'!$L$36</f>
        <v>1.0450321677831977E-4</v>
      </c>
      <c r="M134" s="187">
        <f>'Parameters, country spec'!L29</f>
        <v>0.186</v>
      </c>
      <c r="O134" s="120">
        <f>K134*M134/K137*100</f>
        <v>85.163168022110085</v>
      </c>
    </row>
    <row r="135" spans="1:15" x14ac:dyDescent="0.2">
      <c r="B135" s="17" t="s">
        <v>213</v>
      </c>
      <c r="C135" s="17" t="s">
        <v>310</v>
      </c>
      <c r="D135" s="23" t="s">
        <v>67</v>
      </c>
      <c r="E135" s="23" t="s">
        <v>68</v>
      </c>
      <c r="F135" s="21">
        <v>0.140212250188508</v>
      </c>
      <c r="G135" s="21">
        <v>2.1452474278841698E-3</v>
      </c>
      <c r="H135" s="21">
        <v>1.96297150263911E-4</v>
      </c>
      <c r="I135" s="28">
        <v>0</v>
      </c>
      <c r="J135" s="28">
        <v>5.9604788404135304E-3</v>
      </c>
      <c r="K135" s="28">
        <v>2.8689222882523901E-13</v>
      </c>
      <c r="L135" s="28">
        <v>1.10779235975769E-4</v>
      </c>
      <c r="M135" s="187">
        <f>'Parameters, country spec'!L30</f>
        <v>0</v>
      </c>
      <c r="O135" s="120">
        <f>K135*M135/K137*100</f>
        <v>0</v>
      </c>
    </row>
    <row r="136" spans="1:15" x14ac:dyDescent="0.2">
      <c r="A136" s="82"/>
      <c r="B136" s="17" t="s">
        <v>312</v>
      </c>
      <c r="C136" s="83" t="s">
        <v>313</v>
      </c>
      <c r="D136" s="23" t="s">
        <v>67</v>
      </c>
      <c r="E136" s="23" t="s">
        <v>68</v>
      </c>
      <c r="F136" s="107">
        <f t="shared" ref="F136:L136" si="10">AVERAGE(F126:F134)</f>
        <v>2.2795196304013015</v>
      </c>
      <c r="G136" s="107">
        <f t="shared" si="10"/>
        <v>2.6421390361544429E-2</v>
      </c>
      <c r="H136" s="107">
        <f t="shared" si="10"/>
        <v>2.5249192139436775E-3</v>
      </c>
      <c r="I136" s="216">
        <f t="shared" si="10"/>
        <v>7.7937909713789409E-3</v>
      </c>
      <c r="J136" s="216">
        <f t="shared" si="10"/>
        <v>0.15823413315537291</v>
      </c>
      <c r="K136" s="216">
        <f t="shared" si="10"/>
        <v>2.1301894961192455E-11</v>
      </c>
      <c r="L136" s="216">
        <f t="shared" si="10"/>
        <v>7.2772355382129861E-4</v>
      </c>
      <c r="M136" s="187">
        <f>'Parameters, country spec'!L31</f>
        <v>7.7000000000000179E-2</v>
      </c>
      <c r="O136" s="120">
        <f>K136*M136/K137*100</f>
        <v>5.1602453230014032</v>
      </c>
    </row>
    <row r="137" spans="1:15" x14ac:dyDescent="0.2">
      <c r="A137" s="185"/>
      <c r="B137" s="25" t="s">
        <v>314</v>
      </c>
      <c r="C137" s="26"/>
      <c r="D137" s="102"/>
      <c r="E137" s="102"/>
      <c r="F137" s="30">
        <f>SUMPRODUCT(F126:F136,M126:M136)</f>
        <v>1.8401563441511839</v>
      </c>
      <c r="G137" s="30">
        <f>SUMPRODUCT(G126:G136,M126:M136)</f>
        <v>2.7006102263290314E-2</v>
      </c>
      <c r="H137" s="30">
        <f>SUMPRODUCT(H126:H136,M126:M136)</f>
        <v>2.5983955275103157E-3</v>
      </c>
      <c r="I137" s="30">
        <f>SUMPRODUCT(I126:I136,M126:M136)</f>
        <v>1.1089607475902796E-3</v>
      </c>
      <c r="J137" s="30">
        <f>SUMPRODUCT(J126:J136,M126:M136)</f>
        <v>0.12558669180840012</v>
      </c>
      <c r="K137" s="30">
        <f>SUMPRODUCT(K126:K136,M126:M136)</f>
        <v>3.1786200254870649E-11</v>
      </c>
      <c r="L137" s="30">
        <f>SUMPRODUCT(L126:L136,M126:M136)</f>
        <v>9.6979613580380254E-4</v>
      </c>
      <c r="M137" s="188"/>
    </row>
    <row r="138" spans="1:15" x14ac:dyDescent="0.2">
      <c r="A138" s="22" t="s">
        <v>299</v>
      </c>
      <c r="B138" s="17" t="s">
        <v>198</v>
      </c>
      <c r="C138" s="17" t="s">
        <v>300</v>
      </c>
      <c r="D138" s="23" t="s">
        <v>69</v>
      </c>
      <c r="E138" s="23" t="s">
        <v>70</v>
      </c>
      <c r="F138" s="24">
        <v>1.63115107068756</v>
      </c>
      <c r="G138" s="38">
        <v>1.53328200644631E-2</v>
      </c>
      <c r="H138" s="38">
        <v>1.14180574948129E-3</v>
      </c>
      <c r="I138" s="28">
        <v>0</v>
      </c>
      <c r="J138" s="28">
        <v>0.215655461746245</v>
      </c>
      <c r="K138" s="28">
        <v>6.9261014406200697E-12</v>
      </c>
      <c r="L138" s="28">
        <v>1.28493776170996E-3</v>
      </c>
      <c r="M138" s="187">
        <f>'Parameters, country spec'!M21</f>
        <v>0.24290688316534451</v>
      </c>
      <c r="O138" s="120">
        <f>K138*M138/K149*100</f>
        <v>4.9797999909931399</v>
      </c>
    </row>
    <row r="139" spans="1:15" x14ac:dyDescent="0.2">
      <c r="A139" s="22" t="s">
        <v>301</v>
      </c>
      <c r="B139" s="17" t="s">
        <v>201</v>
      </c>
      <c r="C139" s="17" t="s">
        <v>300</v>
      </c>
      <c r="D139" s="23" t="s">
        <v>69</v>
      </c>
      <c r="E139" s="23" t="s">
        <v>70</v>
      </c>
      <c r="F139" s="21">
        <v>1.1291040108032699</v>
      </c>
      <c r="G139" s="38">
        <v>1.49038347238525E-2</v>
      </c>
      <c r="H139" s="38">
        <v>4.1775900362313904E-3</v>
      </c>
      <c r="I139" s="28">
        <v>4.0573939566E-2</v>
      </c>
      <c r="J139" s="28">
        <v>0.119829776279331</v>
      </c>
      <c r="K139" s="28">
        <v>1.35734567441708E-11</v>
      </c>
      <c r="L139" s="28">
        <v>1.4340993937730999E-3</v>
      </c>
      <c r="M139" s="187">
        <f>'Parameters, country spec'!M22</f>
        <v>1.1405036092928851E-2</v>
      </c>
      <c r="N139" s="8" t="s">
        <v>333</v>
      </c>
      <c r="O139" s="120">
        <f>K139*M139/K149*100</f>
        <v>0.45821611405190082</v>
      </c>
    </row>
    <row r="140" spans="1:15" x14ac:dyDescent="0.2">
      <c r="A140" s="22" t="s">
        <v>302</v>
      </c>
      <c r="B140" s="17" t="s">
        <v>204</v>
      </c>
      <c r="C140" s="17" t="s">
        <v>300</v>
      </c>
      <c r="D140" s="23" t="s">
        <v>69</v>
      </c>
      <c r="E140" s="23" t="s">
        <v>70</v>
      </c>
      <c r="F140" s="21">
        <v>1.8333217222957601</v>
      </c>
      <c r="G140" s="38">
        <v>1.30151261587835E-2</v>
      </c>
      <c r="H140" s="38">
        <v>2.7496745405880601E-3</v>
      </c>
      <c r="I140" s="28">
        <v>0</v>
      </c>
      <c r="J140" s="28">
        <v>9.7377249944083699E-2</v>
      </c>
      <c r="K140" s="28">
        <v>7.7845470294547003E-12</v>
      </c>
      <c r="L140" s="28">
        <v>1.09070784138401E-3</v>
      </c>
      <c r="M140" s="187">
        <f>'Parameters, country spec'!M23</f>
        <v>2.6784717007595299E-2</v>
      </c>
      <c r="O140" s="120">
        <f>K140*M140/K149*100</f>
        <v>0.61716834060923398</v>
      </c>
    </row>
    <row r="141" spans="1:15" x14ac:dyDescent="0.2">
      <c r="A141" s="22" t="s">
        <v>303</v>
      </c>
      <c r="B141" s="17" t="s">
        <v>205</v>
      </c>
      <c r="C141" s="17" t="s">
        <v>300</v>
      </c>
      <c r="D141" s="23" t="s">
        <v>69</v>
      </c>
      <c r="E141" s="23" t="s">
        <v>70</v>
      </c>
      <c r="F141" s="21">
        <v>2.5561980133228999</v>
      </c>
      <c r="G141" s="38">
        <v>2.42848580175281E-2</v>
      </c>
      <c r="H141" s="38">
        <v>1.7894105907652301E-3</v>
      </c>
      <c r="I141" s="28">
        <v>0</v>
      </c>
      <c r="J141" s="28">
        <v>0.22277546867890599</v>
      </c>
      <c r="K141" s="28">
        <v>1.0853983460356699E-11</v>
      </c>
      <c r="L141" s="28">
        <v>2.0351462401107501E-3</v>
      </c>
      <c r="M141" s="187">
        <f>'Parameters, country spec'!M24</f>
        <v>1.270348359145042E-3</v>
      </c>
      <c r="O141" s="120">
        <f>K141*M141/K149*100</f>
        <v>4.0812689682967064E-2</v>
      </c>
    </row>
    <row r="142" spans="1:15" x14ac:dyDescent="0.2">
      <c r="A142" s="22" t="s">
        <v>304</v>
      </c>
      <c r="B142" s="17" t="s">
        <v>206</v>
      </c>
      <c r="C142" s="17" t="s">
        <v>300</v>
      </c>
      <c r="D142" s="23" t="s">
        <v>69</v>
      </c>
      <c r="E142" s="23" t="s">
        <v>70</v>
      </c>
      <c r="F142" s="21">
        <v>1.28941416756711</v>
      </c>
      <c r="G142" s="38">
        <v>1.9728036763776699E-2</v>
      </c>
      <c r="H142" s="38">
        <v>1.80517983459395E-3</v>
      </c>
      <c r="I142" s="28">
        <v>0</v>
      </c>
      <c r="J142" s="28">
        <v>0.21158164699450499</v>
      </c>
      <c r="K142" s="28">
        <v>5.4750375265842397E-12</v>
      </c>
      <c r="L142" s="28">
        <v>1.6532705200741999E-3</v>
      </c>
      <c r="M142" s="187">
        <f>'Parameters, country spec'!M25</f>
        <v>0.36306225085662319</v>
      </c>
      <c r="O142" s="120">
        <f>K142*M142/K149*100</f>
        <v>5.8837122743762533</v>
      </c>
    </row>
    <row r="143" spans="1:15" x14ac:dyDescent="0.2">
      <c r="A143" s="22" t="s">
        <v>305</v>
      </c>
      <c r="B143" s="17" t="s">
        <v>207</v>
      </c>
      <c r="C143" s="17" t="s">
        <v>306</v>
      </c>
      <c r="D143" s="23" t="s">
        <v>69</v>
      </c>
      <c r="E143" s="23" t="s">
        <v>70</v>
      </c>
      <c r="F143" s="21">
        <v>3.24740694555397</v>
      </c>
      <c r="G143" s="38">
        <v>3.44E-2</v>
      </c>
      <c r="H143" s="38">
        <v>1.6238898533241699E-3</v>
      </c>
      <c r="I143" s="28">
        <v>0</v>
      </c>
      <c r="J143" s="28">
        <v>0.35125966915418</v>
      </c>
      <c r="K143" s="28">
        <v>1.3788955743014199E-11</v>
      </c>
      <c r="L143" s="28">
        <v>0</v>
      </c>
      <c r="M143" s="187">
        <f>'Parameters, country spec'!M26</f>
        <v>6.0909129056991628E-3</v>
      </c>
      <c r="O143" s="120">
        <f>K143*M143/K149*100</f>
        <v>0.24859763795803971</v>
      </c>
    </row>
    <row r="144" spans="1:15" x14ac:dyDescent="0.2">
      <c r="A144" s="22" t="s">
        <v>307</v>
      </c>
      <c r="B144" s="17" t="s">
        <v>208</v>
      </c>
      <c r="C144" s="17" t="s">
        <v>306</v>
      </c>
      <c r="D144" s="23" t="s">
        <v>69</v>
      </c>
      <c r="E144" s="23" t="s">
        <v>70</v>
      </c>
      <c r="F144" s="21">
        <v>3.0571503689980499</v>
      </c>
      <c r="G144" s="38">
        <v>4.0611430073799602E-2</v>
      </c>
      <c r="H144" s="38">
        <v>1.22286014759922E-3</v>
      </c>
      <c r="I144" s="28">
        <v>0</v>
      </c>
      <c r="J144" s="28">
        <v>0.36501152545689097</v>
      </c>
      <c r="K144" s="28">
        <v>1.2981099025968399E-11</v>
      </c>
      <c r="L144" s="28">
        <v>5.1239731971493402E-5</v>
      </c>
      <c r="M144" s="187">
        <f>'Parameters, country spec'!M27</f>
        <v>5.9832836689627722E-3</v>
      </c>
      <c r="O144" s="120">
        <f>K144*M144/K149*100</f>
        <v>0.22989752029142158</v>
      </c>
    </row>
    <row r="145" spans="1:15" x14ac:dyDescent="0.2">
      <c r="B145" s="18" t="s">
        <v>209</v>
      </c>
      <c r="C145" s="17" t="s">
        <v>308</v>
      </c>
      <c r="D145" s="23" t="str">
        <f>'Off-farm feed'!$D$88</f>
        <v>France, Germany, Poland</v>
      </c>
      <c r="E145" s="23" t="s">
        <v>319</v>
      </c>
      <c r="F145" s="19">
        <f>'Off-farm feed'!$F$88</f>
        <v>1.5397450382845068</v>
      </c>
      <c r="G145" s="20">
        <f>'Off-farm feed'!$G$88</f>
        <v>2.276724967641296E-2</v>
      </c>
      <c r="H145" s="20">
        <f>'Off-farm feed'!$H$88</f>
        <v>2.4780679919905292E-3</v>
      </c>
      <c r="I145" s="19">
        <f>'Off-farm feed'!$I$88</f>
        <v>8.1100925319702543E-4</v>
      </c>
      <c r="J145" s="19">
        <f>'Off-farm feed'!$J$88</f>
        <v>0.29368572248181479</v>
      </c>
      <c r="K145" s="29">
        <f>'Off-farm feed'!$K$88</f>
        <v>1.2571008272056975E-11</v>
      </c>
      <c r="L145" s="29">
        <f>'Off-farm feed'!$L$88</f>
        <v>1.3841258986185109E-3</v>
      </c>
      <c r="M145" s="187">
        <f>'Parameters, country spec'!M28</f>
        <v>9.4633897453147445E-2</v>
      </c>
      <c r="O145" s="120">
        <f>K145*M145/K149*100</f>
        <v>3.5212760226956199</v>
      </c>
    </row>
    <row r="146" spans="1:15" x14ac:dyDescent="0.2">
      <c r="B146" s="18" t="s">
        <v>309</v>
      </c>
      <c r="C146" s="17" t="s">
        <v>308</v>
      </c>
      <c r="D146" s="23" t="str">
        <f>'Off-farm feed'!$D$36</f>
        <v>Brazil, Argentina</v>
      </c>
      <c r="E146" s="23" t="s">
        <v>319</v>
      </c>
      <c r="F146" s="19">
        <f>'Off-farm feed'!$F$36</f>
        <v>2.5509164954964105</v>
      </c>
      <c r="G146" s="20">
        <f>'Off-farm feed'!$G$36</f>
        <v>4.2620923125915401E-2</v>
      </c>
      <c r="H146" s="20">
        <f>'Off-farm feed'!$H$36</f>
        <v>3.2959349471355006E-3</v>
      </c>
      <c r="I146" s="19">
        <f>'Off-farm feed'!$I$36</f>
        <v>2.435286335413451E-3</v>
      </c>
      <c r="J146" s="19">
        <f>'Off-farm feed'!$J$36</f>
        <v>0.25920846302270906</v>
      </c>
      <c r="K146" s="29">
        <f>'Off-farm feed'!$K$36</f>
        <v>1.4553836091881654E-10</v>
      </c>
      <c r="L146" s="29">
        <f>'Off-farm feed'!$L$36</f>
        <v>1.0450321677831977E-4</v>
      </c>
      <c r="M146" s="187">
        <f>'Parameters, country spec'!M29</f>
        <v>0.1863493678947572</v>
      </c>
      <c r="O146" s="120">
        <f>K146*M146/K149*100</f>
        <v>80.276537859346092</v>
      </c>
    </row>
    <row r="147" spans="1:15" x14ac:dyDescent="0.2">
      <c r="B147" s="17" t="s">
        <v>213</v>
      </c>
      <c r="C147" s="17" t="s">
        <v>310</v>
      </c>
      <c r="D147" s="23" t="s">
        <v>69</v>
      </c>
      <c r="E147" s="23" t="s">
        <v>70</v>
      </c>
      <c r="F147" s="21">
        <v>0.11604727508104</v>
      </c>
      <c r="G147" s="21">
        <v>1.7755233087399099E-3</v>
      </c>
      <c r="H147" s="21">
        <v>1.62466185113456E-4</v>
      </c>
      <c r="I147" s="28">
        <v>0</v>
      </c>
      <c r="J147" s="28">
        <v>1.9042348229505401E-2</v>
      </c>
      <c r="K147" s="28">
        <v>4.9275337739258097E-13</v>
      </c>
      <c r="L147" s="28">
        <v>1.4879434680667799E-4</v>
      </c>
      <c r="M147" s="187">
        <f>'Parameters, country spec'!M30</f>
        <v>1.2143080899157419E-2</v>
      </c>
      <c r="N147" t="s">
        <v>334</v>
      </c>
      <c r="O147" s="120">
        <f>K147*M147/K149*100</f>
        <v>1.7710944767705416E-2</v>
      </c>
    </row>
    <row r="148" spans="1:15" x14ac:dyDescent="0.2">
      <c r="A148" s="82"/>
      <c r="B148" s="17" t="s">
        <v>312</v>
      </c>
      <c r="C148" s="83" t="s">
        <v>313</v>
      </c>
      <c r="D148" s="23" t="s">
        <v>69</v>
      </c>
      <c r="E148" s="23" t="s">
        <v>70</v>
      </c>
      <c r="F148" s="107">
        <f t="shared" ref="F148:L148" si="11">AVERAGE(F138:F146)</f>
        <v>2.092711981445504</v>
      </c>
      <c r="G148" s="107">
        <f t="shared" si="11"/>
        <v>2.5296030956059097E-2</v>
      </c>
      <c r="H148" s="107">
        <f t="shared" si="11"/>
        <v>2.2538237435232606E-3</v>
      </c>
      <c r="I148" s="216">
        <f t="shared" si="11"/>
        <v>4.868915017178942E-3</v>
      </c>
      <c r="J148" s="216">
        <f t="shared" si="11"/>
        <v>0.23737610930651842</v>
      </c>
      <c r="K148" s="216">
        <f t="shared" si="11"/>
        <v>2.5499172240115849E-11</v>
      </c>
      <c r="L148" s="216">
        <f t="shared" si="11"/>
        <v>1.0042256227133716E-3</v>
      </c>
      <c r="M148" s="187">
        <f>'Parameters, country spec'!M31</f>
        <v>4.9370221696639308E-2</v>
      </c>
      <c r="O148" s="120">
        <f>K148*M148/K149*100</f>
        <v>3.7262706052276133</v>
      </c>
    </row>
    <row r="149" spans="1:15" x14ac:dyDescent="0.2">
      <c r="A149" s="185"/>
      <c r="B149" s="25" t="s">
        <v>314</v>
      </c>
      <c r="C149" s="26"/>
      <c r="D149" s="102"/>
      <c r="E149" s="102"/>
      <c r="F149" s="30">
        <f>SUMPRODUCT(F138:F148,M138:M148)</f>
        <v>1.6934572171959985</v>
      </c>
      <c r="G149" s="30">
        <f>SUMPRODUCT(G138:G148,M138:M148)</f>
        <v>2.3256272182482298E-2</v>
      </c>
      <c r="H149" s="30">
        <f>SUMPRODUCT(H138:H148,M138:M148)</f>
        <v>2.0354700591051762E-3</v>
      </c>
      <c r="I149" s="30">
        <f>SUMPRODUCT(I138:I148,M138:M148)</f>
        <v>1.233689694750402E-3</v>
      </c>
      <c r="J149" s="30">
        <f>SUMPRODUCT(J138:J148,M138:M148)</f>
        <v>0.22582935375585003</v>
      </c>
      <c r="K149" s="30">
        <f>SUMPRODUCT(K138:K148,M138:M148)</f>
        <v>3.37844434810824E-11</v>
      </c>
      <c r="L149" s="30">
        <f>SUMPRODUCT(L138:L148,M138:M148)</f>
        <v>1.1626675259651111E-3</v>
      </c>
      <c r="M149" s="188"/>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2:F33"/>
  <sheetViews>
    <sheetView topLeftCell="A17" zoomScale="80" zoomScaleNormal="80" workbookViewId="0">
      <selection activeCell="B35" sqref="B35"/>
    </sheetView>
  </sheetViews>
  <sheetFormatPr baseColWidth="10" defaultColWidth="8.83203125" defaultRowHeight="15" x14ac:dyDescent="0.2"/>
  <cols>
    <col min="1" max="1" width="34.5" customWidth="1"/>
    <col min="2" max="2" width="14.6640625" customWidth="1"/>
    <col min="3" max="3" width="14.33203125" customWidth="1"/>
    <col min="4" max="4" width="14.6640625" customWidth="1"/>
    <col min="5" max="5" width="14.33203125" customWidth="1"/>
  </cols>
  <sheetData>
    <row r="2" spans="1:6" ht="21" customHeight="1" x14ac:dyDescent="0.25">
      <c r="A2" s="2" t="s">
        <v>335</v>
      </c>
    </row>
    <row r="4" spans="1:6" x14ac:dyDescent="0.2">
      <c r="A4" s="115" t="s">
        <v>336</v>
      </c>
      <c r="B4" s="208" t="s">
        <v>337</v>
      </c>
      <c r="C4" s="208" t="s">
        <v>338</v>
      </c>
      <c r="D4" s="208" t="s">
        <v>339</v>
      </c>
      <c r="E4" s="115"/>
      <c r="F4" s="115" t="s">
        <v>217</v>
      </c>
    </row>
    <row r="5" spans="1:6" x14ac:dyDescent="0.2">
      <c r="A5" s="3" t="s">
        <v>340</v>
      </c>
      <c r="B5" s="4">
        <v>0.29001600000000011</v>
      </c>
      <c r="C5" s="33">
        <v>1.1016E-4</v>
      </c>
      <c r="D5" s="33">
        <v>1.0269359999999999E-5</v>
      </c>
      <c r="E5" s="96"/>
      <c r="F5" s="96" t="s">
        <v>341</v>
      </c>
    </row>
    <row r="6" spans="1:6" x14ac:dyDescent="0.2">
      <c r="A6" s="3" t="s">
        <v>342</v>
      </c>
      <c r="B6" s="108">
        <f>0.062*3.6</f>
        <v>0.22320000000000001</v>
      </c>
      <c r="C6" s="47">
        <f>0.00028*3.6</f>
        <v>1.008E-3</v>
      </c>
      <c r="D6" s="47">
        <f>0.000002*3.6</f>
        <v>7.1999999999999997E-6</v>
      </c>
      <c r="F6" s="96" t="s">
        <v>341</v>
      </c>
    </row>
    <row r="7" spans="1:6" x14ac:dyDescent="0.2">
      <c r="A7" s="3" t="s">
        <v>343</v>
      </c>
      <c r="B7" s="4">
        <v>9.6299999999999997E-3</v>
      </c>
      <c r="C7" s="33">
        <v>3.6659999999999883E-5</v>
      </c>
      <c r="D7" s="33">
        <v>1.525799999999999E-5</v>
      </c>
      <c r="E7" s="96"/>
      <c r="F7" s="96" t="s">
        <v>344</v>
      </c>
    </row>
    <row r="8" spans="1:6" x14ac:dyDescent="0.2">
      <c r="A8" s="3" t="s">
        <v>345</v>
      </c>
      <c r="B8" s="20">
        <v>0.2692782509153</v>
      </c>
      <c r="C8" s="32">
        <v>9.8059260756689997E-4</v>
      </c>
      <c r="D8" s="32">
        <v>3.4931896850000001E-5</v>
      </c>
      <c r="F8" s="96" t="s">
        <v>267</v>
      </c>
    </row>
    <row r="9" spans="1:6" x14ac:dyDescent="0.2">
      <c r="A9" s="3"/>
      <c r="B9" s="20"/>
      <c r="C9" s="32"/>
      <c r="D9" s="32"/>
      <c r="F9" s="96"/>
    </row>
    <row r="10" spans="1:6" x14ac:dyDescent="0.2">
      <c r="A10" s="115" t="s">
        <v>346</v>
      </c>
      <c r="B10" s="115"/>
    </row>
    <row r="11" spans="1:6" x14ac:dyDescent="0.2">
      <c r="A11" s="90" t="s">
        <v>44</v>
      </c>
      <c r="B11" s="117">
        <v>1</v>
      </c>
      <c r="C11" s="117"/>
    </row>
    <row r="12" spans="1:6" x14ac:dyDescent="0.2">
      <c r="A12" s="3" t="s">
        <v>45</v>
      </c>
      <c r="B12" s="118">
        <v>29.8</v>
      </c>
      <c r="C12" s="118"/>
      <c r="E12" s="108"/>
    </row>
    <row r="13" spans="1:6" x14ac:dyDescent="0.2">
      <c r="A13" s="3" t="s">
        <v>46</v>
      </c>
      <c r="B13" s="5">
        <v>27</v>
      </c>
      <c r="C13" s="117"/>
      <c r="E13" s="47"/>
    </row>
    <row r="14" spans="1:6" x14ac:dyDescent="0.2">
      <c r="A14" s="3" t="s">
        <v>47</v>
      </c>
      <c r="B14" s="117">
        <v>273</v>
      </c>
      <c r="C14" s="119"/>
      <c r="E14" s="47"/>
    </row>
    <row r="16" spans="1:6" x14ac:dyDescent="0.2">
      <c r="A16" s="115" t="s">
        <v>112</v>
      </c>
      <c r="B16" s="115"/>
      <c r="D16" s="238"/>
    </row>
    <row r="17" spans="1:4" x14ac:dyDescent="0.2">
      <c r="A17" s="3" t="s">
        <v>347</v>
      </c>
      <c r="B17" s="108">
        <v>0.12197</v>
      </c>
      <c r="D17" s="238"/>
    </row>
    <row r="18" spans="1:4" x14ac:dyDescent="0.2">
      <c r="A18" s="3" t="s">
        <v>348</v>
      </c>
      <c r="B18">
        <v>1</v>
      </c>
      <c r="D18" s="238"/>
    </row>
    <row r="20" spans="1:4" x14ac:dyDescent="0.2">
      <c r="A20" s="3" t="s">
        <v>349</v>
      </c>
      <c r="B20">
        <v>0.25</v>
      </c>
    </row>
    <row r="21" spans="1:4" x14ac:dyDescent="0.2">
      <c r="A21" s="3" t="s">
        <v>350</v>
      </c>
      <c r="B21">
        <v>1</v>
      </c>
    </row>
    <row r="22" spans="1:4" x14ac:dyDescent="0.2">
      <c r="A22" s="3" t="s">
        <v>351</v>
      </c>
      <c r="B22">
        <v>2</v>
      </c>
    </row>
    <row r="23" spans="1:4" x14ac:dyDescent="0.2">
      <c r="A23" s="3" t="s">
        <v>352</v>
      </c>
      <c r="B23">
        <v>2</v>
      </c>
    </row>
    <row r="24" spans="1:4" x14ac:dyDescent="0.2">
      <c r="A24" s="3" t="s">
        <v>353</v>
      </c>
      <c r="B24">
        <v>2</v>
      </c>
    </row>
    <row r="25" spans="1:4" x14ac:dyDescent="0.2">
      <c r="A25" s="3" t="s">
        <v>354</v>
      </c>
      <c r="B25">
        <v>1</v>
      </c>
    </row>
    <row r="28" spans="1:4" x14ac:dyDescent="0.2">
      <c r="A28" s="330" t="s">
        <v>355</v>
      </c>
      <c r="B28" s="330"/>
      <c r="C28" t="s">
        <v>356</v>
      </c>
    </row>
    <row r="29" spans="1:4" x14ac:dyDescent="0.2">
      <c r="A29" s="331" t="s">
        <v>357</v>
      </c>
      <c r="B29" s="331">
        <v>0.94978877831646402</v>
      </c>
    </row>
    <row r="30" spans="1:4" x14ac:dyDescent="0.2">
      <c r="A30" s="331" t="s">
        <v>358</v>
      </c>
      <c r="B30" s="331">
        <v>2.2142836891497299E-2</v>
      </c>
    </row>
    <row r="31" spans="1:4" x14ac:dyDescent="0.2">
      <c r="A31" s="331" t="s">
        <v>359</v>
      </c>
      <c r="B31" s="331">
        <v>2.8068384792038801E-2</v>
      </c>
    </row>
    <row r="33" spans="1:2" x14ac:dyDescent="0.2">
      <c r="A33" s="331" t="s">
        <v>360</v>
      </c>
      <c r="B33">
        <f>SUM(B29:B31)</f>
        <v>1.0000000000000002</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2:S106"/>
  <sheetViews>
    <sheetView topLeftCell="A79" zoomScale="68" zoomScaleNormal="90" workbookViewId="0">
      <selection activeCell="N84" sqref="N84:N85"/>
    </sheetView>
  </sheetViews>
  <sheetFormatPr baseColWidth="10" defaultColWidth="8.83203125" defaultRowHeight="15" x14ac:dyDescent="0.2"/>
  <cols>
    <col min="1" max="1" width="10.83203125" customWidth="1"/>
    <col min="2" max="2" width="18.33203125" customWidth="1"/>
    <col min="3" max="3" width="11.6640625" customWidth="1"/>
    <col min="4" max="4" width="16.6640625" customWidth="1"/>
    <col min="6" max="6" width="14.6640625" customWidth="1"/>
    <col min="7" max="7" width="14.83203125" customWidth="1"/>
    <col min="8" max="8" width="11.1640625" customWidth="1"/>
    <col min="9" max="9" width="12.1640625" customWidth="1"/>
    <col min="10" max="10" width="14.33203125" customWidth="1"/>
    <col min="11" max="11" width="12" customWidth="1"/>
    <col min="12" max="12" width="14.6640625" customWidth="1"/>
    <col min="13" max="13" width="14.33203125" customWidth="1"/>
    <col min="14" max="14" width="15" customWidth="1"/>
    <col min="15" max="15" width="15.5" customWidth="1"/>
    <col min="16" max="16" width="15" customWidth="1"/>
    <col min="17" max="17" width="17.6640625" customWidth="1"/>
    <col min="18" max="18" width="24.83203125" customWidth="1"/>
  </cols>
  <sheetData>
    <row r="2" spans="1:19" ht="21" customHeight="1" x14ac:dyDescent="0.25">
      <c r="A2" s="2" t="s">
        <v>361</v>
      </c>
    </row>
    <row r="4" spans="1:19" ht="18.5" customHeight="1" x14ac:dyDescent="0.25">
      <c r="A4" s="264" t="s">
        <v>309</v>
      </c>
      <c r="B4" s="115"/>
      <c r="C4" s="115"/>
      <c r="D4" s="115"/>
      <c r="E4" s="115"/>
      <c r="F4" s="115"/>
      <c r="G4" s="115"/>
      <c r="H4" s="115"/>
      <c r="I4" s="115"/>
      <c r="J4" s="115"/>
      <c r="K4" s="115"/>
      <c r="L4" s="115"/>
      <c r="M4" s="115"/>
      <c r="N4" s="115"/>
      <c r="O4" s="115"/>
      <c r="P4" s="115"/>
    </row>
    <row r="6" spans="1:19" ht="18.5" customHeight="1" x14ac:dyDescent="0.25">
      <c r="A6" s="1" t="s">
        <v>362</v>
      </c>
    </row>
    <row r="8" spans="1:19" x14ac:dyDescent="0.2">
      <c r="A8" s="256" t="s">
        <v>292</v>
      </c>
      <c r="B8" s="257"/>
      <c r="C8" s="257"/>
      <c r="D8" s="257"/>
      <c r="E8" s="258" t="s">
        <v>9</v>
      </c>
      <c r="F8" s="258" t="s">
        <v>10</v>
      </c>
      <c r="G8" s="259"/>
      <c r="H8" s="258" t="s">
        <v>11</v>
      </c>
      <c r="I8" s="260"/>
      <c r="J8" s="253" t="s">
        <v>12</v>
      </c>
      <c r="K8" s="260"/>
      <c r="L8" s="260"/>
      <c r="M8" s="260"/>
      <c r="N8" s="253" t="s">
        <v>13</v>
      </c>
      <c r="O8" s="253" t="s">
        <v>14</v>
      </c>
      <c r="P8" s="253" t="s">
        <v>15</v>
      </c>
    </row>
    <row r="9" spans="1:19" ht="43.5" customHeight="1" x14ac:dyDescent="0.2">
      <c r="A9" s="250" t="s">
        <v>114</v>
      </c>
      <c r="B9" s="250" t="s">
        <v>292</v>
      </c>
      <c r="C9" s="250" t="s">
        <v>21</v>
      </c>
      <c r="D9" s="251" t="s">
        <v>363</v>
      </c>
      <c r="E9" s="261"/>
      <c r="F9" s="52" t="s">
        <v>92</v>
      </c>
      <c r="G9" s="52" t="s">
        <v>24</v>
      </c>
      <c r="H9" s="52" t="s">
        <v>295</v>
      </c>
      <c r="I9" s="52" t="s">
        <v>296</v>
      </c>
      <c r="J9" s="52" t="s">
        <v>27</v>
      </c>
      <c r="K9" s="52" t="s">
        <v>28</v>
      </c>
      <c r="L9" s="52" t="s">
        <v>29</v>
      </c>
      <c r="M9" s="52" t="s">
        <v>30</v>
      </c>
      <c r="N9" s="52" t="s">
        <v>31</v>
      </c>
      <c r="O9" s="52"/>
      <c r="P9" s="52"/>
      <c r="R9" s="254" t="s">
        <v>364</v>
      </c>
    </row>
    <row r="10" spans="1:19" ht="18" customHeight="1" x14ac:dyDescent="0.2">
      <c r="A10" t="s">
        <v>365</v>
      </c>
      <c r="B10" t="s">
        <v>366</v>
      </c>
      <c r="C10" t="s">
        <v>48</v>
      </c>
      <c r="D10" t="s">
        <v>367</v>
      </c>
      <c r="E10" s="4">
        <f>SUMPRODUCT(E11:E14,'Parameters, general'!$B$11:$B$14)</f>
        <v>0.97626250422206118</v>
      </c>
      <c r="F10" s="4">
        <f>SUMPRODUCT(F11:F14,'Parameters, general'!$B$11:$B$14)</f>
        <v>6.3780206352419501E-3</v>
      </c>
      <c r="G10" s="4">
        <f>SUMPRODUCT(G11:G14,'Parameters, general'!$B$11:$B$14)</f>
        <v>3.01313E-2</v>
      </c>
      <c r="H10" s="4">
        <f>SUMPRODUCT(H11:H14,'Parameters, general'!$B$11:$B$14)</f>
        <v>4.319858177948542E-2</v>
      </c>
      <c r="I10" s="4">
        <f>SUMPRODUCT(I11:I14,'Parameters, general'!$B$11:$B$14)</f>
        <v>4.3198581779485424E-3</v>
      </c>
      <c r="J10" s="4">
        <f>SUMPRODUCT(J11:J14,'Parameters, general'!$B$11:$B$14)</f>
        <v>5.1686805550072573E-2</v>
      </c>
      <c r="K10" s="4">
        <f>SUMPRODUCT(K11:K14,'Parameters, general'!$B$11:$B$14)</f>
        <v>0</v>
      </c>
      <c r="L10" s="4">
        <f>SUMPRODUCT(L11:L14,'Parameters, general'!$B$11:$B$14)</f>
        <v>8.3348896151578009E-5</v>
      </c>
      <c r="M10" s="4">
        <f>SUMPRODUCT(M11:M14,'Parameters, general'!$B$11:$B$14)</f>
        <v>3.9645293683161227E-2</v>
      </c>
      <c r="N10" s="4">
        <f>SUMPRODUCT(N11:N14,'Parameters, general'!$B$11:$B$14)</f>
        <v>0.80081929549999997</v>
      </c>
      <c r="O10" s="4">
        <f>SUMPRODUCT(O11:O14,'Parameters, general'!$B$11:$B$14)</f>
        <v>0</v>
      </c>
      <c r="P10" s="4">
        <f>SUMPRODUCT(P11:P14,'Parameters, general'!$B$11:$B$14)</f>
        <v>0</v>
      </c>
      <c r="R10" s="161" t="s">
        <v>368</v>
      </c>
      <c r="S10" s="8"/>
    </row>
    <row r="11" spans="1:19" x14ac:dyDescent="0.2">
      <c r="A11" t="s">
        <v>365</v>
      </c>
      <c r="B11" t="s">
        <v>366</v>
      </c>
      <c r="C11" t="s">
        <v>44</v>
      </c>
      <c r="D11" t="s">
        <v>367</v>
      </c>
      <c r="E11" s="4">
        <f>SUM(F11:P11)</f>
        <v>0.92073417828065607</v>
      </c>
      <c r="F11" s="4">
        <v>3.8012291590112869E-3</v>
      </c>
      <c r="G11" s="4">
        <v>2.7E-2</v>
      </c>
      <c r="H11" s="4">
        <v>0</v>
      </c>
      <c r="I11" s="4"/>
      <c r="J11" s="4">
        <v>5.0646723842195547E-2</v>
      </c>
      <c r="K11" s="4"/>
      <c r="L11" s="4">
        <v>7.5028151531290012E-5</v>
      </c>
      <c r="M11" s="4">
        <v>3.8391901627918008E-2</v>
      </c>
      <c r="N11" s="12">
        <v>0.80081929549999997</v>
      </c>
      <c r="O11" s="4"/>
      <c r="P11" s="4"/>
    </row>
    <row r="12" spans="1:19" x14ac:dyDescent="0.2">
      <c r="A12" t="s">
        <v>365</v>
      </c>
      <c r="B12" t="s">
        <v>366</v>
      </c>
      <c r="C12" t="s">
        <v>45</v>
      </c>
      <c r="D12" t="s">
        <v>367</v>
      </c>
      <c r="E12" s="4">
        <f>SUM(F12:P12)</f>
        <v>1.549735128053641E-4</v>
      </c>
      <c r="F12" s="4">
        <v>8.1660966199362198E-6</v>
      </c>
      <c r="G12" s="4">
        <v>9.5000000000000005E-5</v>
      </c>
      <c r="H12" s="4"/>
      <c r="I12" s="4"/>
      <c r="J12" s="4">
        <v>2.2434790869507859E-5</v>
      </c>
      <c r="K12" s="4"/>
      <c r="L12" s="4">
        <v>2.5092881999999999E-7</v>
      </c>
      <c r="M12" s="4">
        <v>2.9121696495920011E-5</v>
      </c>
      <c r="N12" s="4"/>
      <c r="O12" s="4"/>
      <c r="P12" s="4"/>
    </row>
    <row r="13" spans="1:19" x14ac:dyDescent="0.2">
      <c r="A13" t="s">
        <v>365</v>
      </c>
      <c r="B13" t="s">
        <v>366</v>
      </c>
      <c r="C13" t="s">
        <v>369</v>
      </c>
      <c r="D13" t="s">
        <v>367</v>
      </c>
      <c r="E13" s="4">
        <f>SUM(F13:P13)</f>
        <v>0</v>
      </c>
      <c r="F13" s="4"/>
      <c r="G13" s="4"/>
      <c r="H13" s="4"/>
      <c r="I13" s="4"/>
      <c r="J13" s="4"/>
      <c r="K13" s="4"/>
      <c r="L13" s="4"/>
      <c r="M13" s="4"/>
      <c r="N13" s="4"/>
      <c r="O13" s="4"/>
      <c r="P13" s="4"/>
    </row>
    <row r="14" spans="1:19" x14ac:dyDescent="0.2">
      <c r="A14" t="s">
        <v>365</v>
      </c>
      <c r="B14" t="s">
        <v>366</v>
      </c>
      <c r="C14" t="s">
        <v>47</v>
      </c>
      <c r="D14" t="s">
        <v>367</v>
      </c>
      <c r="E14" s="4">
        <f>SUM(F14:P14)</f>
        <v>1.8648393868060553E-4</v>
      </c>
      <c r="F14" s="4">
        <v>8.5474058496577423E-6</v>
      </c>
      <c r="G14" s="4">
        <v>1.1000000000000001E-6</v>
      </c>
      <c r="H14" s="4">
        <v>1.5823656329481839E-4</v>
      </c>
      <c r="I14" s="4">
        <v>1.5823656329481839E-5</v>
      </c>
      <c r="J14" s="4">
        <v>1.360897215991556E-6</v>
      </c>
      <c r="K14" s="4"/>
      <c r="L14" s="4">
        <v>3.0881530560000001E-9</v>
      </c>
      <c r="M14" s="4">
        <v>1.4123278375999999E-6</v>
      </c>
      <c r="N14" s="4"/>
      <c r="O14" s="4"/>
      <c r="P14" s="4"/>
    </row>
    <row r="15" spans="1:19" x14ac:dyDescent="0.2">
      <c r="E15" s="4"/>
      <c r="F15" s="4"/>
      <c r="G15" s="4"/>
      <c r="H15" s="4"/>
      <c r="I15" s="4"/>
      <c r="J15" s="4"/>
      <c r="K15" s="4"/>
      <c r="L15" s="4"/>
      <c r="M15" s="4"/>
      <c r="N15" s="4"/>
      <c r="O15" s="4"/>
      <c r="P15" s="4"/>
    </row>
    <row r="16" spans="1:19" x14ac:dyDescent="0.2">
      <c r="A16" t="s">
        <v>365</v>
      </c>
      <c r="B16" t="s">
        <v>366</v>
      </c>
      <c r="C16" t="s">
        <v>48</v>
      </c>
      <c r="D16" t="s">
        <v>370</v>
      </c>
      <c r="E16" s="4">
        <f>SUMPRODUCT(E17:E20,'Parameters, general'!$B$11:$B$14)</f>
        <v>0.20785730445628481</v>
      </c>
      <c r="F16" s="4">
        <f>SUMPRODUCT(F17:F20,'Parameters, general'!$B$11:$B$14)</f>
        <v>2.4370510521528048E-2</v>
      </c>
      <c r="G16" s="4">
        <f>SUMPRODUCT(G17:G20,'Parameters, general'!$B$11:$B$14)</f>
        <v>3.01313E-2</v>
      </c>
      <c r="H16" s="4">
        <f>SUMPRODUCT(H17:H20,'Parameters, general'!$B$11:$B$14)</f>
        <v>4.8642220755341845E-2</v>
      </c>
      <c r="I16" s="4">
        <f>SUMPRODUCT(I17:I20,'Parameters, general'!$B$11:$B$14)</f>
        <v>4.8642220755341853E-3</v>
      </c>
      <c r="J16" s="4">
        <f>SUMPRODUCT(J17:J20,'Parameters, general'!$B$11:$B$14)</f>
        <v>5.9248812939961648E-2</v>
      </c>
      <c r="K16" s="4">
        <f>SUMPRODUCT(K17:K20,'Parameters, general'!$B$11:$B$14)</f>
        <v>0</v>
      </c>
      <c r="L16" s="4">
        <f>SUMPRODUCT(L17:L20,'Parameters, general'!$B$11:$B$14)</f>
        <v>4.1674448075789002E-4</v>
      </c>
      <c r="M16" s="4">
        <f>SUMPRODUCT(M17:M20,'Parameters, general'!$B$11:$B$14)</f>
        <v>3.9645293683161227E-2</v>
      </c>
      <c r="N16" s="4">
        <f>SUMPRODUCT(N17:N20,'Parameters, general'!$B$11:$B$14)</f>
        <v>5.3819999999999996E-4</v>
      </c>
      <c r="O16" s="4">
        <f>SUMPRODUCT(O17:O20,'Parameters, general'!$B$11:$B$14)</f>
        <v>0</v>
      </c>
      <c r="P16" s="4">
        <f>SUMPRODUCT(P17:P20,'Parameters, general'!$B$11:$B$14)</f>
        <v>0</v>
      </c>
      <c r="R16" s="161" t="s">
        <v>368</v>
      </c>
      <c r="S16" s="8"/>
    </row>
    <row r="17" spans="1:18" x14ac:dyDescent="0.2">
      <c r="A17" t="s">
        <v>365</v>
      </c>
      <c r="B17" t="s">
        <v>366</v>
      </c>
      <c r="C17" t="s">
        <v>44</v>
      </c>
      <c r="D17" t="s">
        <v>370</v>
      </c>
      <c r="E17" s="4">
        <f>SUM(F17:P17)</f>
        <v>0.13888635752648032</v>
      </c>
      <c r="F17" s="4">
        <v>1.4524552445401359E-2</v>
      </c>
      <c r="G17" s="4">
        <v>2.7E-2</v>
      </c>
      <c r="H17" s="4">
        <v>0</v>
      </c>
      <c r="I17" s="4"/>
      <c r="J17" s="4">
        <v>5.8056562695504521E-2</v>
      </c>
      <c r="K17" s="4"/>
      <c r="L17" s="4">
        <v>3.7514075765644999E-4</v>
      </c>
      <c r="M17" s="4">
        <v>3.8391901627918008E-2</v>
      </c>
      <c r="N17" s="289">
        <v>5.3819999999999996E-4</v>
      </c>
      <c r="O17" s="4"/>
      <c r="P17" s="4"/>
    </row>
    <row r="18" spans="1:18" x14ac:dyDescent="0.2">
      <c r="A18" t="s">
        <v>365</v>
      </c>
      <c r="B18" t="s">
        <v>366</v>
      </c>
      <c r="C18" t="s">
        <v>45</v>
      </c>
      <c r="D18" t="s">
        <v>370</v>
      </c>
      <c r="E18" s="4">
        <f>SUM(F18:P18)</f>
        <v>1.8229621534045906E-4</v>
      </c>
      <c r="F18" s="4">
        <v>3.1202775120595208E-5</v>
      </c>
      <c r="G18" s="4">
        <v>9.5000000000000005E-5</v>
      </c>
      <c r="H18" s="4"/>
      <c r="I18" s="4"/>
      <c r="J18" s="4">
        <v>2.5717099623943851E-5</v>
      </c>
      <c r="K18" s="4"/>
      <c r="L18" s="4">
        <v>1.2546440999999999E-6</v>
      </c>
      <c r="M18" s="4">
        <v>2.9121696495920011E-5</v>
      </c>
      <c r="N18" s="4"/>
      <c r="O18" s="4"/>
      <c r="P18" s="4"/>
    </row>
    <row r="19" spans="1:18" x14ac:dyDescent="0.2">
      <c r="A19" t="s">
        <v>365</v>
      </c>
      <c r="B19" t="s">
        <v>366</v>
      </c>
      <c r="C19" t="s">
        <v>369</v>
      </c>
      <c r="D19" t="s">
        <v>370</v>
      </c>
      <c r="E19" s="4">
        <f>SUM(F19:P19)</f>
        <v>0</v>
      </c>
      <c r="F19" s="4"/>
      <c r="G19" s="4"/>
      <c r="H19" s="4"/>
      <c r="I19" s="4"/>
      <c r="J19" s="4"/>
      <c r="K19" s="4"/>
      <c r="L19" s="4"/>
      <c r="M19" s="4"/>
      <c r="N19" s="4"/>
      <c r="O19" s="4"/>
      <c r="P19" s="4"/>
    </row>
    <row r="20" spans="1:18" x14ac:dyDescent="0.2">
      <c r="A20" t="s">
        <v>365</v>
      </c>
      <c r="B20" t="s">
        <v>366</v>
      </c>
      <c r="C20" t="s">
        <v>47</v>
      </c>
      <c r="D20" t="s">
        <v>370</v>
      </c>
      <c r="E20" s="4">
        <f>SUM(F20:P20)</f>
        <v>2.3274183044929973E-4</v>
      </c>
      <c r="F20" s="4">
        <v>3.2659763287666498E-5</v>
      </c>
      <c r="G20" s="4">
        <v>1.1000000000000001E-6</v>
      </c>
      <c r="H20" s="4">
        <v>1.7817663280344999E-4</v>
      </c>
      <c r="I20" s="4">
        <v>1.7817663280345001E-5</v>
      </c>
      <c r="J20" s="4">
        <v>1.560002474958235E-6</v>
      </c>
      <c r="K20" s="4"/>
      <c r="L20" s="4">
        <v>1.5440765279999999E-8</v>
      </c>
      <c r="M20" s="4">
        <v>1.4123278375999999E-6</v>
      </c>
      <c r="N20" s="4"/>
      <c r="O20" s="4"/>
      <c r="P20" s="4"/>
    </row>
    <row r="21" spans="1:18" x14ac:dyDescent="0.2">
      <c r="E21" s="4"/>
      <c r="F21" s="4"/>
      <c r="G21" s="4"/>
      <c r="H21" s="4"/>
      <c r="I21" s="4"/>
      <c r="J21" s="4"/>
      <c r="K21" s="4"/>
      <c r="L21" s="4"/>
      <c r="M21" s="4"/>
      <c r="N21" s="4"/>
      <c r="O21" s="4"/>
      <c r="P21" s="4"/>
    </row>
    <row r="22" spans="1:18" x14ac:dyDescent="0.2">
      <c r="A22" t="s">
        <v>371</v>
      </c>
      <c r="B22" t="s">
        <v>309</v>
      </c>
      <c r="C22" t="s">
        <v>48</v>
      </c>
      <c r="D22" t="s">
        <v>372</v>
      </c>
      <c r="E22" s="4">
        <f>SUMPRODUCT(E23:E26,'Parameters, general'!$B$11:$B$14)</f>
        <v>0.77170772994138703</v>
      </c>
      <c r="F22" s="4">
        <f>SUMPRODUCT(F23:F26,'Parameters, general'!$B$11:$B$14)</f>
        <v>1.2186917836524695E-2</v>
      </c>
      <c r="G22" s="4">
        <f>SUMPRODUCT(G23:G26,'Parameters, general'!$B$11:$B$14)</f>
        <v>2.3884567073170736E-2</v>
      </c>
      <c r="H22" s="4">
        <f>SUMPRODUCT(H23:H26,'Parameters, general'!$B$11:$B$14)</f>
        <v>3.6400318077827884E-2</v>
      </c>
      <c r="I22" s="4">
        <f>SUMPRODUCT(I23:I26,'Parameters, general'!$B$11:$B$14)</f>
        <v>3.6400318077827896E-3</v>
      </c>
      <c r="J22" s="4">
        <f>SUMPRODUCT(J23:J26,'Parameters, general'!$B$11:$B$14)</f>
        <v>4.3968385377147708E-2</v>
      </c>
      <c r="K22" s="4">
        <f>SUMPRODUCT(K23:K26,'Parameters, general'!$B$11:$B$14)</f>
        <v>0</v>
      </c>
      <c r="L22" s="4">
        <f>SUMPRODUCT(L23:L26,'Parameters, general'!$B$11:$B$14)</f>
        <v>1.9820774084826478E-4</v>
      </c>
      <c r="M22" s="4">
        <f>SUMPRODUCT(M23:M26,'Parameters, general'!$B$11:$B$14)</f>
        <v>3.1426147431774146E-2</v>
      </c>
      <c r="N22" s="4">
        <f>SUMPRODUCT(N23:N26,'Parameters, general'!$B$11:$B$14)</f>
        <v>0.31761120248475611</v>
      </c>
      <c r="O22" s="4">
        <f>SUMPRODUCT(O23:O26,'Parameters, general'!$B$11:$B$14)</f>
        <v>4.2652972381825027E-2</v>
      </c>
      <c r="P22" s="4">
        <f>SUMPRODUCT(P23:P26,'Parameters, general'!$B$11:$B$14)</f>
        <v>0.2597389797297297</v>
      </c>
    </row>
    <row r="23" spans="1:18" x14ac:dyDescent="0.2">
      <c r="A23" s="265" t="s">
        <v>371</v>
      </c>
      <c r="B23" s="154" t="s">
        <v>309</v>
      </c>
      <c r="C23" s="154" t="s">
        <v>44</v>
      </c>
      <c r="D23" s="154" t="s">
        <v>372</v>
      </c>
      <c r="E23" s="175">
        <f>SUM(F23:P23)</f>
        <v>0.70611717059976009</v>
      </c>
      <c r="F23" s="175">
        <f>$C$40*(AVERAGE(F11,F17))/$C$39</f>
        <v>7.2632670993098914E-3</v>
      </c>
      <c r="G23" s="175">
        <f>$C$40*(AVERAGE(G11,G17))/$C$39</f>
        <v>2.1402439024390246E-2</v>
      </c>
      <c r="H23" s="175">
        <f>$C$40*(AVERAGE(H11,H17))/$C$39</f>
        <v>0</v>
      </c>
      <c r="I23" s="175"/>
      <c r="J23" s="175">
        <f>$C$40*(AVERAGE(J11,J17))/$C$39</f>
        <v>4.3083619664332343E-2</v>
      </c>
      <c r="K23" s="175"/>
      <c r="L23" s="175">
        <f>$C$40*(AVERAGE(L11,L17))/$C$39</f>
        <v>1.7842060425123844E-4</v>
      </c>
      <c r="M23" s="175">
        <f>$C$40*(AVERAGE(M11,M17))/$C$39</f>
        <v>3.0432604948959403E-2</v>
      </c>
      <c r="N23" s="175">
        <f>$C$40*(AVERAGE(N11,N17))/$C$39</f>
        <v>0.31761120248475611</v>
      </c>
      <c r="O23" s="175">
        <f t="array" ref="O23">C40*(C43*EF_el_CO2_BR+C44*EF_biofuels_CO2)</f>
        <v>3.5145616773760872E-2</v>
      </c>
      <c r="P23" s="266">
        <v>0.251</v>
      </c>
      <c r="R23" t="s">
        <v>373</v>
      </c>
    </row>
    <row r="24" spans="1:18" x14ac:dyDescent="0.2">
      <c r="A24" s="267" t="s">
        <v>371</v>
      </c>
      <c r="B24" t="s">
        <v>309</v>
      </c>
      <c r="C24" t="s">
        <v>45</v>
      </c>
      <c r="D24" t="s">
        <v>372</v>
      </c>
      <c r="E24" s="4">
        <f>SUM(F24:P24)</f>
        <v>4.7266553697523981E-4</v>
      </c>
      <c r="F24" s="4">
        <f>$C$40*(AVERAGE(F12,F18))/$C$39</f>
        <v>1.5603516238625262E-5</v>
      </c>
      <c r="G24" s="4">
        <f>$C$40*(AVERAGE(G12,G18))/$C$39</f>
        <v>7.5304878048780503E-5</v>
      </c>
      <c r="H24" s="4"/>
      <c r="I24" s="4"/>
      <c r="J24" s="4">
        <f>$C$40*(AVERAGE(J12,J18))/$C$39</f>
        <v>1.9084590744355864E-5</v>
      </c>
      <c r="K24" s="4"/>
      <c r="L24" s="4">
        <f>$C$40*(AVERAGE(L12,L18))/$C$39</f>
        <v>5.9672097439024396E-7</v>
      </c>
      <c r="M24" s="4">
        <f>$C$40*(AVERAGE(M12,M18))/$C$39</f>
        <v>2.3084271612619523E-5</v>
      </c>
      <c r="N24" s="4"/>
      <c r="O24" s="4">
        <f>C40*(C43*EF_el_CH4_BR+C44*EF_biofuel_CH4)</f>
        <v>1.2899155935646844E-4</v>
      </c>
      <c r="P24" s="227">
        <f>4.83/1000/23</f>
        <v>2.1000000000000001E-4</v>
      </c>
      <c r="R24" t="s">
        <v>374</v>
      </c>
    </row>
    <row r="25" spans="1:18" x14ac:dyDescent="0.2">
      <c r="A25" s="267" t="s">
        <v>371</v>
      </c>
      <c r="B25" t="s">
        <v>309</v>
      </c>
      <c r="C25" t="s">
        <v>369</v>
      </c>
      <c r="D25" t="s">
        <v>372</v>
      </c>
      <c r="E25" s="4">
        <f>SUM(F25:P25)</f>
        <v>0</v>
      </c>
      <c r="F25" s="4"/>
      <c r="G25" s="4"/>
      <c r="H25" s="4"/>
      <c r="I25" s="4"/>
      <c r="J25" s="4"/>
      <c r="K25" s="4"/>
      <c r="L25" s="4"/>
      <c r="M25" s="4"/>
      <c r="N25" s="4"/>
      <c r="O25" s="4"/>
      <c r="P25" s="227"/>
    </row>
    <row r="26" spans="1:18" x14ac:dyDescent="0.2">
      <c r="A26" s="268" t="s">
        <v>371</v>
      </c>
      <c r="B26" s="255" t="s">
        <v>309</v>
      </c>
      <c r="C26" s="255" t="s">
        <v>47</v>
      </c>
      <c r="D26" s="255" t="s">
        <v>372</v>
      </c>
      <c r="E26" s="269">
        <f>SUM(F26:P26)</f>
        <v>1.8866346644602503E-4</v>
      </c>
      <c r="F26" s="269">
        <f>$C$40*(AVERAGE(F14,F20))/$C$39</f>
        <v>1.6332109719061435E-5</v>
      </c>
      <c r="G26" s="269">
        <f>$C$40*(AVERAGE(G14,G20))/$C$39</f>
        <v>8.7195121951219526E-7</v>
      </c>
      <c r="H26" s="291">
        <f>$C$40*(AVERAGE(H14,H20))/$C$39</f>
        <v>1.3333449845358199E-4</v>
      </c>
      <c r="I26" s="269">
        <f>$C$40*(AVERAGE(I14,I20))/$C$39</f>
        <v>1.3333449845358203E-5</v>
      </c>
      <c r="J26" s="269">
        <f>$C$40*(AVERAGE(J14,J20))/$C$39</f>
        <v>1.1576736579983929E-6</v>
      </c>
      <c r="K26" s="269"/>
      <c r="L26" s="269">
        <f>$C$40*(AVERAGE(L14,L20))/$C$39</f>
        <v>7.3437786087804875E-9</v>
      </c>
      <c r="M26" s="269">
        <f>$C$40*(AVERAGE(M14,M20))/$C$39</f>
        <v>1.1195281639512195E-6</v>
      </c>
      <c r="N26" s="269"/>
      <c r="O26" s="269">
        <f t="array" ref="O26">C40*(C43*EF_el_N2O_BR+C44*EF_biofuel_N2O)</f>
        <v>1.3419073770114994E-5</v>
      </c>
      <c r="P26" s="270">
        <f>2.69/1000/296</f>
        <v>9.087837837837838E-6</v>
      </c>
      <c r="R26" t="s">
        <v>374</v>
      </c>
    </row>
    <row r="29" spans="1:18" ht="18.5" customHeight="1" x14ac:dyDescent="0.25">
      <c r="A29" s="1" t="s">
        <v>375</v>
      </c>
    </row>
    <row r="31" spans="1:18" x14ac:dyDescent="0.2">
      <c r="A31" s="202" t="s">
        <v>292</v>
      </c>
      <c r="B31" s="203"/>
      <c r="C31" s="203"/>
      <c r="D31" s="203"/>
      <c r="E31" s="203"/>
      <c r="F31" s="204" t="s">
        <v>104</v>
      </c>
      <c r="G31" s="204" t="s">
        <v>329</v>
      </c>
      <c r="H31" s="204" t="s">
        <v>106</v>
      </c>
      <c r="I31" s="204" t="s">
        <v>107</v>
      </c>
      <c r="J31" s="205" t="s">
        <v>108</v>
      </c>
      <c r="K31" s="205" t="s">
        <v>109</v>
      </c>
      <c r="L31" s="205" t="s">
        <v>110</v>
      </c>
      <c r="M31" s="262"/>
      <c r="N31" s="252"/>
      <c r="O31" s="252"/>
      <c r="P31" s="263"/>
    </row>
    <row r="32" spans="1:18" ht="43.5" customHeight="1" x14ac:dyDescent="0.2">
      <c r="A32" s="207" t="s">
        <v>114</v>
      </c>
      <c r="B32" s="207" t="s">
        <v>292</v>
      </c>
      <c r="C32" s="207" t="s">
        <v>294</v>
      </c>
      <c r="D32" s="207" t="s">
        <v>19</v>
      </c>
      <c r="E32" s="184" t="s">
        <v>20</v>
      </c>
      <c r="F32" s="217" t="s">
        <v>123</v>
      </c>
      <c r="G32" s="217" t="s">
        <v>330</v>
      </c>
      <c r="H32" s="217" t="s">
        <v>331</v>
      </c>
      <c r="I32" s="218" t="s">
        <v>126</v>
      </c>
      <c r="J32" s="219" t="s">
        <v>127</v>
      </c>
      <c r="K32" s="220" t="s">
        <v>128</v>
      </c>
      <c r="L32" s="220" t="s">
        <v>129</v>
      </c>
      <c r="M32" s="252"/>
    </row>
    <row r="33" spans="1:18" x14ac:dyDescent="0.2">
      <c r="A33" s="78" t="s">
        <v>365</v>
      </c>
      <c r="B33" s="17" t="s">
        <v>366</v>
      </c>
      <c r="C33" s="17" t="s">
        <v>376</v>
      </c>
      <c r="D33" t="s">
        <v>367</v>
      </c>
      <c r="E33" t="s">
        <v>377</v>
      </c>
      <c r="F33">
        <v>2.9987165493168901</v>
      </c>
      <c r="G33">
        <v>7.5567657042785605E-2</v>
      </c>
      <c r="H33">
        <v>6.5971764084971603E-3</v>
      </c>
      <c r="I33">
        <v>8.3191495512068404E-4</v>
      </c>
      <c r="J33">
        <v>0.33775822794753002</v>
      </c>
      <c r="K33" s="47">
        <v>3.3104588739787198E-10</v>
      </c>
      <c r="L33" s="47">
        <v>5.4691734366476702E-5</v>
      </c>
      <c r="N33" t="s">
        <v>378</v>
      </c>
    </row>
    <row r="34" spans="1:18" x14ac:dyDescent="0.2">
      <c r="A34" s="78" t="s">
        <v>365</v>
      </c>
      <c r="B34" s="17" t="s">
        <v>366</v>
      </c>
      <c r="C34" s="17" t="s">
        <v>376</v>
      </c>
      <c r="D34" t="s">
        <v>370</v>
      </c>
      <c r="E34" t="s">
        <v>379</v>
      </c>
      <c r="F34">
        <v>3.43744199316636</v>
      </c>
      <c r="G34">
        <v>3.1968210536447099E-2</v>
      </c>
      <c r="H34">
        <v>1.7187209965831801E-3</v>
      </c>
      <c r="I34">
        <v>5.3124997988455601E-3</v>
      </c>
      <c r="J34">
        <v>0.31624466337130502</v>
      </c>
      <c r="K34" s="47">
        <v>3.6158592458834303E-11</v>
      </c>
      <c r="L34" s="47">
        <v>2.0897792027420699E-4</v>
      </c>
      <c r="N34" t="s">
        <v>380</v>
      </c>
    </row>
    <row r="36" spans="1:18" x14ac:dyDescent="0.2">
      <c r="A36" s="271" t="s">
        <v>371</v>
      </c>
      <c r="B36" s="272" t="s">
        <v>309</v>
      </c>
      <c r="C36" s="272" t="s">
        <v>381</v>
      </c>
      <c r="D36" s="272" t="s">
        <v>372</v>
      </c>
      <c r="E36" s="272"/>
      <c r="F36" s="274">
        <f t="shared" ref="F36:L36" si="0">$C$40*AVERAGE(F33:F34)/$C$39</f>
        <v>2.5509164954964105</v>
      </c>
      <c r="G36" s="274">
        <f t="shared" si="0"/>
        <v>4.2620923125915401E-2</v>
      </c>
      <c r="H36" s="273">
        <f t="shared" si="0"/>
        <v>3.2959349471355006E-3</v>
      </c>
      <c r="I36" s="273">
        <f t="shared" si="0"/>
        <v>2.435286335413451E-3</v>
      </c>
      <c r="J36" s="274">
        <f t="shared" si="0"/>
        <v>0.25920846302270906</v>
      </c>
      <c r="K36" s="275">
        <f t="shared" si="0"/>
        <v>1.4553836091881654E-10</v>
      </c>
      <c r="L36" s="275">
        <f t="shared" si="0"/>
        <v>1.0450321677831977E-4</v>
      </c>
    </row>
    <row r="38" spans="1:18" x14ac:dyDescent="0.2">
      <c r="A38" s="115" t="s">
        <v>382</v>
      </c>
      <c r="B38" s="115"/>
      <c r="C38" s="115"/>
      <c r="D38" s="115"/>
      <c r="E38" s="115"/>
      <c r="F38" s="115"/>
      <c r="G38" s="115"/>
      <c r="H38" s="115"/>
      <c r="I38" s="115"/>
      <c r="J38" s="115"/>
      <c r="K38" s="115"/>
      <c r="L38" s="115"/>
      <c r="M38" s="115"/>
      <c r="N38" s="115"/>
      <c r="O38" s="115"/>
      <c r="P38" s="115"/>
    </row>
    <row r="39" spans="1:18" x14ac:dyDescent="0.2">
      <c r="A39" t="s">
        <v>383</v>
      </c>
      <c r="C39">
        <v>0.82</v>
      </c>
      <c r="R39" t="s">
        <v>384</v>
      </c>
    </row>
    <row r="40" spans="1:18" x14ac:dyDescent="0.2">
      <c r="A40" t="s">
        <v>385</v>
      </c>
      <c r="C40">
        <v>0.65</v>
      </c>
      <c r="R40" t="s">
        <v>384</v>
      </c>
    </row>
    <row r="42" spans="1:18" x14ac:dyDescent="0.2">
      <c r="A42" t="s">
        <v>386</v>
      </c>
    </row>
    <row r="43" spans="1:18" x14ac:dyDescent="0.2">
      <c r="A43" t="s">
        <v>387</v>
      </c>
      <c r="C43">
        <v>0.16600000000000001</v>
      </c>
      <c r="D43" t="s">
        <v>388</v>
      </c>
      <c r="G43" t="s">
        <v>389</v>
      </c>
      <c r="I43" s="12">
        <f>C43/(C43+C44)</f>
        <v>0.14574187884108869</v>
      </c>
      <c r="R43" t="s">
        <v>390</v>
      </c>
    </row>
    <row r="44" spans="1:18" x14ac:dyDescent="0.2">
      <c r="A44" t="s">
        <v>391</v>
      </c>
      <c r="C44">
        <v>0.97299999999999998</v>
      </c>
      <c r="D44" t="s">
        <v>388</v>
      </c>
      <c r="R44" t="s">
        <v>390</v>
      </c>
    </row>
    <row r="46" spans="1:18" x14ac:dyDescent="0.2">
      <c r="A46" t="s">
        <v>392</v>
      </c>
      <c r="R46" t="s">
        <v>393</v>
      </c>
    </row>
    <row r="49" spans="1:18" ht="18.5" customHeight="1" x14ac:dyDescent="0.25">
      <c r="A49" s="264" t="s">
        <v>394</v>
      </c>
      <c r="B49" s="115"/>
      <c r="C49" s="115"/>
      <c r="D49" s="115"/>
      <c r="E49" s="115"/>
      <c r="F49" s="115"/>
      <c r="G49" s="115"/>
      <c r="H49" s="115"/>
      <c r="I49" s="115"/>
      <c r="J49" s="115"/>
      <c r="K49" s="115"/>
      <c r="L49" s="115"/>
      <c r="M49" s="115"/>
      <c r="N49" s="115"/>
      <c r="O49" s="115"/>
      <c r="P49" s="115"/>
    </row>
    <row r="51" spans="1:18" ht="18.5" customHeight="1" x14ac:dyDescent="0.25">
      <c r="A51" s="1" t="s">
        <v>362</v>
      </c>
    </row>
    <row r="53" spans="1:18" x14ac:dyDescent="0.2">
      <c r="A53" s="256" t="s">
        <v>292</v>
      </c>
      <c r="B53" s="257"/>
      <c r="C53" s="257"/>
      <c r="D53" s="257"/>
      <c r="E53" s="258" t="s">
        <v>9</v>
      </c>
      <c r="F53" s="258" t="s">
        <v>10</v>
      </c>
      <c r="G53" s="259"/>
      <c r="H53" s="258" t="s">
        <v>11</v>
      </c>
      <c r="I53" s="260"/>
      <c r="J53" s="253" t="s">
        <v>12</v>
      </c>
      <c r="K53" s="260"/>
      <c r="L53" s="260"/>
      <c r="M53" s="260"/>
      <c r="N53" s="253" t="s">
        <v>13</v>
      </c>
      <c r="O53" s="253" t="s">
        <v>14</v>
      </c>
      <c r="P53" s="253" t="s">
        <v>15</v>
      </c>
    </row>
    <row r="54" spans="1:18" ht="43.5" customHeight="1" x14ac:dyDescent="0.2">
      <c r="A54" s="250" t="s">
        <v>114</v>
      </c>
      <c r="B54" s="250" t="s">
        <v>292</v>
      </c>
      <c r="C54" s="250" t="s">
        <v>21</v>
      </c>
      <c r="D54" s="251" t="s">
        <v>363</v>
      </c>
      <c r="E54" s="261"/>
      <c r="F54" s="52" t="s">
        <v>92</v>
      </c>
      <c r="G54" s="52" t="s">
        <v>24</v>
      </c>
      <c r="H54" s="52" t="s">
        <v>295</v>
      </c>
      <c r="I54" s="52" t="s">
        <v>296</v>
      </c>
      <c r="J54" s="52" t="s">
        <v>27</v>
      </c>
      <c r="K54" s="52" t="s">
        <v>28</v>
      </c>
      <c r="L54" s="52" t="s">
        <v>29</v>
      </c>
      <c r="M54" s="52" t="s">
        <v>30</v>
      </c>
      <c r="N54" s="52" t="s">
        <v>31</v>
      </c>
      <c r="O54" s="52"/>
      <c r="P54" s="52"/>
      <c r="R54" s="254"/>
    </row>
    <row r="55" spans="1:18" x14ac:dyDescent="0.2">
      <c r="A55" t="s">
        <v>395</v>
      </c>
      <c r="B55" t="s">
        <v>396</v>
      </c>
      <c r="C55" t="s">
        <v>48</v>
      </c>
      <c r="D55" t="s">
        <v>49</v>
      </c>
      <c r="E55" s="4">
        <f>SUMPRODUCT(E56:E59,'Parameters, general'!$B$11:$B$14)</f>
        <v>0.86652859022920592</v>
      </c>
      <c r="F55" s="4">
        <f>SUMPRODUCT(F56:F59,'Parameters, general'!$B$11:$B$14)</f>
        <v>0.45006858113490866</v>
      </c>
      <c r="G55" s="4">
        <f>SUMPRODUCT(G56:G59,'Parameters, general'!$B$11:$B$14)</f>
        <v>3.01313E-2</v>
      </c>
      <c r="H55" s="4">
        <f>SUMPRODUCT(H56:H59,'Parameters, general'!$B$11:$B$14)</f>
        <v>0.24176008201732435</v>
      </c>
      <c r="I55" s="4">
        <f>SUMPRODUCT(I56:I59,'Parameters, general'!$B$11:$B$14)</f>
        <v>2.4176008201732439E-2</v>
      </c>
      <c r="J55" s="4">
        <f>SUMPRODUCT(J56:J59,'Parameters, general'!$B$11:$B$14)</f>
        <v>4.9915761667236082E-2</v>
      </c>
      <c r="K55" s="4">
        <f>SUMPRODUCT(K56:K59,'Parameters, general'!$B$11:$B$14)</f>
        <v>0</v>
      </c>
      <c r="L55" s="4">
        <f>SUMPRODUCT(L56:L59,'Parameters, general'!$B$11:$B$14)</f>
        <v>1.0835356499705141E-3</v>
      </c>
      <c r="M55" s="4">
        <f>SUMPRODUCT(M56:M59,'Parameters, general'!$B$11:$B$14)</f>
        <v>6.9393321558033794E-2</v>
      </c>
      <c r="N55" s="4">
        <f>SUMPRODUCT(N56:N59,'Parameters, general'!$B$11:$B$14)</f>
        <v>0</v>
      </c>
      <c r="O55" s="4">
        <f>SUMPRODUCT(O56:O59,'Parameters, general'!$B$11:$B$14)</f>
        <v>0</v>
      </c>
      <c r="P55" s="4">
        <f>SUMPRODUCT(P56:P59,'Parameters, general'!$B$11:$B$14)</f>
        <v>0</v>
      </c>
      <c r="R55" s="161"/>
    </row>
    <row r="56" spans="1:18" x14ac:dyDescent="0.2">
      <c r="A56" t="s">
        <v>395</v>
      </c>
      <c r="B56" t="s">
        <v>396</v>
      </c>
      <c r="C56" t="s">
        <v>44</v>
      </c>
      <c r="D56" t="s">
        <v>49</v>
      </c>
      <c r="E56" s="4">
        <f>SUM(F56:P56)</f>
        <v>0.47425566700327737</v>
      </c>
      <c r="F56" s="4">
        <v>0.32956752885768148</v>
      </c>
      <c r="G56" s="4">
        <v>2.7E-2</v>
      </c>
      <c r="H56" s="4">
        <v>0</v>
      </c>
      <c r="I56" s="4"/>
      <c r="J56" s="4">
        <v>4.891131826833911E-2</v>
      </c>
      <c r="K56" s="4"/>
      <c r="L56" s="4">
        <v>9.7536596990677009E-4</v>
      </c>
      <c r="M56" s="4">
        <v>6.7801453907350012E-2</v>
      </c>
      <c r="N56" s="5"/>
      <c r="O56" s="4"/>
      <c r="P56" s="4"/>
    </row>
    <row r="57" spans="1:18" x14ac:dyDescent="0.2">
      <c r="A57" t="s">
        <v>395</v>
      </c>
      <c r="B57" t="s">
        <v>396</v>
      </c>
      <c r="C57" t="s">
        <v>45</v>
      </c>
      <c r="D57" t="s">
        <v>49</v>
      </c>
      <c r="E57" s="4">
        <f>SUM(F57:P57)</f>
        <v>4.9941072237528236E-4</v>
      </c>
      <c r="F57" s="33">
        <v>3.4898905873400091E-4</v>
      </c>
      <c r="G57" s="33">
        <v>9.5000000000000005E-5</v>
      </c>
      <c r="H57" s="33"/>
      <c r="I57" s="33"/>
      <c r="J57" s="33">
        <v>2.1666064717653382E-5</v>
      </c>
      <c r="K57" s="33"/>
      <c r="L57" s="33">
        <v>3.2620746600000001E-6</v>
      </c>
      <c r="M57" s="33">
        <v>3.0493524263628011E-5</v>
      </c>
      <c r="N57" s="33"/>
      <c r="O57" s="33"/>
      <c r="P57" s="33"/>
    </row>
    <row r="58" spans="1:18" x14ac:dyDescent="0.2">
      <c r="A58" t="s">
        <v>395</v>
      </c>
      <c r="B58" t="s">
        <v>396</v>
      </c>
      <c r="C58" t="s">
        <v>369</v>
      </c>
      <c r="D58" t="s">
        <v>49</v>
      </c>
      <c r="E58" s="4">
        <f>SUM(F58:P58)</f>
        <v>0</v>
      </c>
      <c r="F58" s="33"/>
      <c r="G58" s="33"/>
      <c r="H58" s="33"/>
      <c r="I58" s="33"/>
      <c r="J58" s="33"/>
      <c r="K58" s="33"/>
      <c r="L58" s="33"/>
      <c r="M58" s="33"/>
      <c r="N58" s="33"/>
      <c r="O58" s="33"/>
      <c r="P58" s="33"/>
    </row>
    <row r="59" spans="1:18" x14ac:dyDescent="0.2">
      <c r="A59" t="s">
        <v>395</v>
      </c>
      <c r="B59" t="s">
        <v>396</v>
      </c>
      <c r="C59" t="s">
        <v>47</v>
      </c>
      <c r="D59" t="s">
        <v>49</v>
      </c>
      <c r="E59" s="4">
        <f>SUM(F59:P59)</f>
        <v>1.3823827241726927E-3</v>
      </c>
      <c r="F59" s="33">
        <v>4.0330101951265181E-4</v>
      </c>
      <c r="G59" s="33">
        <v>1.1000000000000001E-6</v>
      </c>
      <c r="H59" s="33">
        <v>8.8556806599752514E-4</v>
      </c>
      <c r="I59" s="33">
        <v>8.8556806599752522E-5</v>
      </c>
      <c r="J59" s="33">
        <v>1.314266191615013E-6</v>
      </c>
      <c r="K59" s="33"/>
      <c r="L59" s="33">
        <v>4.014598972799999E-8</v>
      </c>
      <c r="M59" s="33">
        <v>2.50241988142E-6</v>
      </c>
      <c r="N59" s="33"/>
      <c r="O59" s="33"/>
      <c r="P59" s="33"/>
    </row>
    <row r="60" spans="1:18" x14ac:dyDescent="0.2">
      <c r="E60" s="4"/>
      <c r="F60" s="4"/>
      <c r="G60" s="4"/>
      <c r="H60" s="4"/>
      <c r="I60" s="4"/>
      <c r="J60" s="4"/>
      <c r="K60" s="4"/>
      <c r="L60" s="4"/>
      <c r="M60" s="4"/>
      <c r="N60" s="4"/>
      <c r="O60" s="4"/>
      <c r="P60" s="4"/>
    </row>
    <row r="61" spans="1:18" x14ac:dyDescent="0.2">
      <c r="A61" t="s">
        <v>395</v>
      </c>
      <c r="B61" t="s">
        <v>396</v>
      </c>
      <c r="C61" t="s">
        <v>48</v>
      </c>
      <c r="D61" t="s">
        <v>51</v>
      </c>
      <c r="E61" s="4">
        <f>SUMPRODUCT(E62:E65,'Parameters, general'!$B$11:$B$14)</f>
        <v>0.72542566300783906</v>
      </c>
      <c r="F61" s="4">
        <f>SUMPRODUCT(F62:F65,'Parameters, general'!$B$11:$B$14)</f>
        <v>0.30299497425616789</v>
      </c>
      <c r="G61" s="4">
        <f>SUMPRODUCT(G62:G65,'Parameters, general'!$B$11:$B$14)</f>
        <v>3.01313E-2</v>
      </c>
      <c r="H61" s="4">
        <f>SUMPRODUCT(H62:H65,'Parameters, general'!$B$11:$B$14)</f>
        <v>0.24176008201732435</v>
      </c>
      <c r="I61" s="4">
        <f>SUMPRODUCT(I62:I65,'Parameters, general'!$B$11:$B$14)</f>
        <v>2.4176008201732439E-2</v>
      </c>
      <c r="J61" s="4">
        <f>SUMPRODUCT(J62:J65,'Parameters, general'!$B$11:$B$14)</f>
        <v>4.8839231914042686E-2</v>
      </c>
      <c r="K61" s="4">
        <f>SUMPRODUCT(K62:K65,'Parameters, general'!$B$11:$B$14)</f>
        <v>0</v>
      </c>
      <c r="L61" s="4">
        <f>SUMPRODUCT(L62:L65,'Parameters, general'!$B$11:$B$14)</f>
        <v>1.6669779230315599E-4</v>
      </c>
      <c r="M61" s="4">
        <f>SUMPRODUCT(M62:M65,'Parameters, general'!$B$11:$B$14)</f>
        <v>7.735736882626848E-2</v>
      </c>
      <c r="N61" s="4">
        <f>SUMPRODUCT(N62:N65,'Parameters, general'!$B$11:$B$14)</f>
        <v>0</v>
      </c>
      <c r="O61" s="4">
        <f>SUMPRODUCT(O62:O65,'Parameters, general'!$B$11:$B$14)</f>
        <v>0</v>
      </c>
      <c r="P61" s="4">
        <f>SUMPRODUCT(P62:P65,'Parameters, general'!$B$11:$B$14)</f>
        <v>0</v>
      </c>
      <c r="R61" s="161"/>
    </row>
    <row r="62" spans="1:18" x14ac:dyDescent="0.2">
      <c r="A62" t="s">
        <v>395</v>
      </c>
      <c r="B62" t="s">
        <v>396</v>
      </c>
      <c r="C62" t="s">
        <v>44</v>
      </c>
      <c r="D62" t="s">
        <v>51</v>
      </c>
      <c r="E62" s="4">
        <f>SUM(F62:P62)</f>
        <v>0.33282969749060426</v>
      </c>
      <c r="F62" s="4">
        <v>0.18249392197894071</v>
      </c>
      <c r="G62" s="4">
        <v>2.7E-2</v>
      </c>
      <c r="H62" s="4">
        <v>0</v>
      </c>
      <c r="I62" s="4"/>
      <c r="J62" s="4">
        <v>4.7856451275928968E-2</v>
      </c>
      <c r="K62" s="4"/>
      <c r="L62" s="4">
        <v>1.5005630306258E-4</v>
      </c>
      <c r="M62" s="4">
        <v>7.5329267932672014E-2</v>
      </c>
      <c r="N62" s="5"/>
      <c r="O62" s="4"/>
      <c r="P62" s="4"/>
    </row>
    <row r="63" spans="1:18" x14ac:dyDescent="0.2">
      <c r="A63" t="s">
        <v>395</v>
      </c>
      <c r="B63" t="s">
        <v>396</v>
      </c>
      <c r="C63" t="s">
        <v>45</v>
      </c>
      <c r="D63" t="s">
        <v>51</v>
      </c>
      <c r="E63" s="4">
        <f>SUM(F63:P63)</f>
        <v>5.0851433192470837E-4</v>
      </c>
      <c r="F63" s="33">
        <v>3.4898905873400091E-4</v>
      </c>
      <c r="G63" s="33">
        <v>9.5000000000000005E-5</v>
      </c>
      <c r="H63" s="33"/>
      <c r="I63" s="33"/>
      <c r="J63" s="33">
        <v>2.1198794209819431E-5</v>
      </c>
      <c r="K63" s="33"/>
      <c r="L63" s="33">
        <v>5.0185763999999998E-7</v>
      </c>
      <c r="M63" s="33">
        <v>4.2824621340888011E-5</v>
      </c>
      <c r="N63" s="278"/>
      <c r="O63" s="278"/>
      <c r="P63" s="278"/>
    </row>
    <row r="64" spans="1:18" x14ac:dyDescent="0.2">
      <c r="A64" t="s">
        <v>395</v>
      </c>
      <c r="B64" t="s">
        <v>396</v>
      </c>
      <c r="C64" t="s">
        <v>369</v>
      </c>
      <c r="D64" t="s">
        <v>51</v>
      </c>
      <c r="E64" s="4">
        <f>SUM(F64:P64)</f>
        <v>0</v>
      </c>
      <c r="F64" s="278"/>
      <c r="G64" s="278"/>
      <c r="H64" s="278"/>
      <c r="I64" s="278"/>
      <c r="J64" s="278"/>
      <c r="K64" s="278"/>
      <c r="L64" s="278"/>
      <c r="M64" s="278"/>
      <c r="N64" s="278"/>
      <c r="O64" s="278"/>
      <c r="P64" s="278"/>
    </row>
    <row r="65" spans="1:18" x14ac:dyDescent="0.2">
      <c r="A65" t="s">
        <v>395</v>
      </c>
      <c r="B65" t="s">
        <v>396</v>
      </c>
      <c r="C65" t="s">
        <v>47</v>
      </c>
      <c r="D65" t="s">
        <v>51</v>
      </c>
      <c r="E65" s="4">
        <f>SUM(F65:P65)</f>
        <v>1.3825723019262946E-3</v>
      </c>
      <c r="F65" s="33">
        <v>4.0330101951265181E-4</v>
      </c>
      <c r="G65" s="33">
        <v>1.1000000000000001E-6</v>
      </c>
      <c r="H65" s="33">
        <v>8.8556806599752514E-4</v>
      </c>
      <c r="I65" s="33">
        <v>8.8556806599752522E-5</v>
      </c>
      <c r="J65" s="33">
        <v>1.285921504253097E-6</v>
      </c>
      <c r="K65" s="33"/>
      <c r="L65" s="33">
        <v>6.1763061119999986E-9</v>
      </c>
      <c r="M65" s="33">
        <v>2.7543120060000002E-6</v>
      </c>
      <c r="N65" s="278"/>
      <c r="O65" s="278"/>
      <c r="P65" s="278"/>
    </row>
    <row r="66" spans="1:18" x14ac:dyDescent="0.2">
      <c r="E66" s="4"/>
      <c r="F66" s="4"/>
      <c r="G66" s="4"/>
      <c r="H66" s="4"/>
      <c r="I66" s="4"/>
      <c r="J66" s="4"/>
      <c r="K66" s="4"/>
      <c r="L66" s="4"/>
      <c r="M66" s="4"/>
      <c r="N66" s="4"/>
      <c r="O66" s="4"/>
      <c r="P66" s="4"/>
    </row>
    <row r="67" spans="1:18" x14ac:dyDescent="0.2">
      <c r="A67" t="s">
        <v>395</v>
      </c>
      <c r="B67" t="s">
        <v>396</v>
      </c>
      <c r="C67" t="s">
        <v>48</v>
      </c>
      <c r="D67" t="s">
        <v>63</v>
      </c>
      <c r="E67" s="4">
        <f>SUMPRODUCT(E68:E71,'Parameters, general'!$B$11:$B$14)</f>
        <v>0.74513506580091904</v>
      </c>
      <c r="F67" s="4">
        <f>SUMPRODUCT(F68:F71,'Parameters, general'!$B$11:$B$14)</f>
        <v>0.30299497425616784</v>
      </c>
      <c r="G67" s="4">
        <f>SUMPRODUCT(G68:G71,'Parameters, general'!$B$11:$B$14)</f>
        <v>3.01313E-2</v>
      </c>
      <c r="H67" s="4">
        <f>SUMPRODUCT(H68:H71,'Parameters, general'!$B$11:$B$14)</f>
        <v>0.24176008201732432</v>
      </c>
      <c r="I67" s="4">
        <f>SUMPRODUCT(I68:I71,'Parameters, general'!$B$11:$B$14)</f>
        <v>2.4176008201732435E-2</v>
      </c>
      <c r="J67" s="4">
        <f>SUMPRODUCT(J68:J71,'Parameters, general'!$B$11:$B$14)</f>
        <v>5.7818585001554679E-2</v>
      </c>
      <c r="K67" s="4">
        <f>SUMPRODUCT(K68:K71,'Parameters, general'!$B$11:$B$14)</f>
        <v>0</v>
      </c>
      <c r="L67" s="4">
        <f>SUMPRODUCT(L68:L71,'Parameters, general'!$B$11:$B$14)</f>
        <v>8.3348896151578009E-5</v>
      </c>
      <c r="M67" s="4">
        <f>SUMPRODUCT(M68:M71,'Parameters, general'!$B$11:$B$14)</f>
        <v>8.8170767427988142E-2</v>
      </c>
      <c r="N67" s="4"/>
      <c r="O67" s="4">
        <f>SUMPRODUCT(O68:O71,'Parameters, general'!$B$11:$B$14)</f>
        <v>0</v>
      </c>
      <c r="P67" s="4">
        <f>SUMPRODUCT(P68:P71,'Parameters, general'!$B$11:$B$14)</f>
        <v>0</v>
      </c>
      <c r="R67" s="161"/>
    </row>
    <row r="68" spans="1:18" x14ac:dyDescent="0.2">
      <c r="A68" t="s">
        <v>395</v>
      </c>
      <c r="B68" t="s">
        <v>396</v>
      </c>
      <c r="C68" t="s">
        <v>44</v>
      </c>
      <c r="D68" t="s">
        <v>63</v>
      </c>
      <c r="E68" s="4">
        <f>SUM(F68:P68)</f>
        <v>0.35179228624786635</v>
      </c>
      <c r="F68" s="4">
        <v>0.18249392197894071</v>
      </c>
      <c r="G68" s="4">
        <v>2.7E-2</v>
      </c>
      <c r="H68" s="4">
        <v>0</v>
      </c>
      <c r="I68" s="4"/>
      <c r="J68" s="4">
        <v>5.6655114905164367E-2</v>
      </c>
      <c r="K68" s="4"/>
      <c r="L68" s="4">
        <v>7.5028151531290012E-5</v>
      </c>
      <c r="M68" s="4">
        <v>8.5568221212230011E-2</v>
      </c>
      <c r="N68" s="5"/>
      <c r="O68" s="4"/>
      <c r="P68" s="4"/>
    </row>
    <row r="69" spans="1:18" x14ac:dyDescent="0.2">
      <c r="A69" t="s">
        <v>395</v>
      </c>
      <c r="B69" t="s">
        <v>396</v>
      </c>
      <c r="C69" t="s">
        <v>45</v>
      </c>
      <c r="D69" t="s">
        <v>63</v>
      </c>
      <c r="E69" s="4">
        <f>SUM(F69:P69)</f>
        <v>5.3201630943650285E-4</v>
      </c>
      <c r="F69" s="4">
        <v>3.4898905873400081E-4</v>
      </c>
      <c r="G69" s="4">
        <v>9.5000000000000005E-5</v>
      </c>
      <c r="H69" s="4"/>
      <c r="I69" s="4"/>
      <c r="J69" s="4">
        <v>2.509630550922916E-5</v>
      </c>
      <c r="K69" s="4"/>
      <c r="L69" s="4">
        <v>2.5092881999999999E-7</v>
      </c>
      <c r="M69" s="4">
        <v>6.2680016373272817E-5</v>
      </c>
      <c r="N69" s="4"/>
      <c r="O69" s="4"/>
      <c r="P69" s="4"/>
    </row>
    <row r="70" spans="1:18" x14ac:dyDescent="0.2">
      <c r="A70" t="s">
        <v>395</v>
      </c>
      <c r="B70" t="s">
        <v>396</v>
      </c>
      <c r="C70" t="s">
        <v>369</v>
      </c>
      <c r="D70" t="s">
        <v>63</v>
      </c>
      <c r="E70" s="4">
        <f>SUM(F70:P70)</f>
        <v>0</v>
      </c>
      <c r="F70" s="4"/>
      <c r="G70" s="4"/>
      <c r="H70" s="4"/>
      <c r="I70" s="4"/>
      <c r="J70" s="4"/>
      <c r="K70" s="4"/>
      <c r="L70" s="4"/>
      <c r="M70" s="4"/>
      <c r="N70" s="4"/>
      <c r="O70" s="4"/>
      <c r="P70" s="4"/>
    </row>
    <row r="71" spans="1:18" x14ac:dyDescent="0.2">
      <c r="A71" t="s">
        <v>395</v>
      </c>
      <c r="B71" t="s">
        <v>396</v>
      </c>
      <c r="C71" t="s">
        <v>47</v>
      </c>
      <c r="D71" t="s">
        <v>63</v>
      </c>
      <c r="E71" s="4">
        <f>SUM(F71:P71)</f>
        <v>1.382742467149615E-3</v>
      </c>
      <c r="F71" s="4">
        <v>4.033010195126517E-4</v>
      </c>
      <c r="G71" s="4">
        <v>1.1000000000000001E-6</v>
      </c>
      <c r="H71" s="278">
        <v>8.8556806599752503E-4</v>
      </c>
      <c r="I71" s="4">
        <v>8.8556806599752509E-5</v>
      </c>
      <c r="J71" s="4">
        <v>1.522345026429601E-6</v>
      </c>
      <c r="K71" s="4"/>
      <c r="L71" s="4">
        <v>3.0881530560000001E-9</v>
      </c>
      <c r="M71" s="4">
        <v>2.6911418601999999E-6</v>
      </c>
      <c r="N71" s="4"/>
      <c r="O71" s="4"/>
      <c r="P71" s="4"/>
    </row>
    <row r="72" spans="1:18" x14ac:dyDescent="0.2">
      <c r="E72" s="4"/>
      <c r="F72" s="4"/>
      <c r="G72" s="4"/>
      <c r="H72" s="4"/>
      <c r="I72" s="4"/>
      <c r="J72" s="4"/>
      <c r="K72" s="4"/>
      <c r="L72" s="4"/>
      <c r="M72" s="4"/>
      <c r="N72" s="4"/>
      <c r="O72" s="4"/>
      <c r="P72" s="4"/>
    </row>
    <row r="73" spans="1:18" x14ac:dyDescent="0.2">
      <c r="A73" t="s">
        <v>397</v>
      </c>
      <c r="B73" t="s">
        <v>394</v>
      </c>
      <c r="C73" t="s">
        <v>48</v>
      </c>
      <c r="D73" t="s">
        <v>320</v>
      </c>
      <c r="E73" s="4">
        <f>SUMPRODUCT(E74:E77,'Parameters, general'!$B$11:$B$14)</f>
        <v>0.46603913502229222</v>
      </c>
      <c r="F73" s="4">
        <f>SUMPRODUCT(F74:F77,'Parameters, general'!$B$11:$B$14)</f>
        <v>0.16994045304668304</v>
      </c>
      <c r="G73" s="4">
        <f>SUMPRODUCT(G74:G77,'Parameters, general'!$B$11:$B$14)</f>
        <v>1.454614482758621E-2</v>
      </c>
      <c r="H73" s="4">
        <f>SUMPRODUCT(H74:H77,'Parameters, general'!$B$11:$B$14)</f>
        <v>0.11671176373250142</v>
      </c>
      <c r="I73" s="4">
        <f>SUMPRODUCT(I74:I77,'Parameters, general'!$B$11:$B$14)</f>
        <v>1.1671176373250144E-2</v>
      </c>
      <c r="J73" s="4">
        <f>SUMPRODUCT(J74:J77,'Parameters, general'!$B$11:$B$14)</f>
        <v>2.5195748277697338E-2</v>
      </c>
      <c r="K73" s="4"/>
      <c r="L73" s="4">
        <f>SUMPRODUCT(L74:L77,'Parameters, general'!$B$11:$B$14)</f>
        <v>2.1459945675808594E-4</v>
      </c>
      <c r="M73" s="4">
        <f>SUMPRODUCT(M74:M77,'Parameters, general'!$B$11:$B$14)</f>
        <v>3.7803452981288115E-2</v>
      </c>
      <c r="N73" s="4"/>
      <c r="O73" s="4">
        <f>SUMPRODUCT(O74:O77,'Parameters, general'!$B$11:$B$14)</f>
        <v>2.3613703053907385E-2</v>
      </c>
      <c r="P73" s="4">
        <f>SUMPRODUCT(P74:P77,'Parameters, general'!$B$11:$B$14)</f>
        <v>6.6342093272620445E-2</v>
      </c>
      <c r="R73" s="232" t="s">
        <v>398</v>
      </c>
    </row>
    <row r="74" spans="1:18" x14ac:dyDescent="0.2">
      <c r="A74" s="265" t="s">
        <v>397</v>
      </c>
      <c r="B74" s="154" t="s">
        <v>394</v>
      </c>
      <c r="C74" s="154" t="s">
        <v>44</v>
      </c>
      <c r="D74" s="154" t="s">
        <v>320</v>
      </c>
      <c r="E74" s="175">
        <f>SUM(F74:P74)</f>
        <v>0.27085685084992916</v>
      </c>
      <c r="F74" s="175">
        <f>$C$92*(AVERAGE(F56,F62,F68))/$C$91</f>
        <v>0.11176753125767681</v>
      </c>
      <c r="G74" s="175">
        <f>$C$92*(AVERAGE(G56,G62,G68))/$C$91</f>
        <v>1.3034482758620692E-2</v>
      </c>
      <c r="H74" s="175">
        <f>$C$92*(AVERAGE(H56,H62,H68))/$C$91</f>
        <v>0</v>
      </c>
      <c r="I74" s="175"/>
      <c r="J74" s="175">
        <f>$C$92*(AVERAGE(J56,J62,J68))/$C$91</f>
        <v>2.4688740026345454E-2</v>
      </c>
      <c r="K74" s="175"/>
      <c r="L74" s="175">
        <f>$C$92*(AVERAGE(L56,L62,L68))/$C$91</f>
        <v>1.931759303794134E-4</v>
      </c>
      <c r="M74" s="175">
        <f>$C$92*(AVERAGE(M56,M62,M68))/$C$91</f>
        <v>3.6802128767029069E-2</v>
      </c>
      <c r="N74" s="175"/>
      <c r="O74" s="175">
        <f>C92*(C95*AVERAGE(EF_el_CO2_FR,EF_el_CO2_DE,EF_el_CO2_PL)+C96*EF_biofuels_CO2)</f>
        <v>2.1170792109877701E-2</v>
      </c>
      <c r="P74" s="266">
        <f>63.2/1000</f>
        <v>6.3200000000000006E-2</v>
      </c>
      <c r="R74" t="s">
        <v>399</v>
      </c>
    </row>
    <row r="75" spans="1:18" x14ac:dyDescent="0.2">
      <c r="A75" s="267" t="s">
        <v>397</v>
      </c>
      <c r="B75" t="s">
        <v>394</v>
      </c>
      <c r="C75" t="s">
        <v>45</v>
      </c>
      <c r="D75" t="s">
        <v>320</v>
      </c>
      <c r="E75" s="4">
        <f>SUM(F75:P75)</f>
        <v>3.8246443678729503E-4</v>
      </c>
      <c r="F75" s="4">
        <f>$C$92*(AVERAGE(F57,F63,F69))/$C$91</f>
        <v>1.6847747663020733E-4</v>
      </c>
      <c r="G75" s="4">
        <f>$C$92*(AVERAGE(G57,G63,G69))/$C$91</f>
        <v>4.5862068965517246E-5</v>
      </c>
      <c r="H75" s="4"/>
      <c r="I75" s="4"/>
      <c r="J75" s="4">
        <f>$C$92*(AVERAGE(J57,J63,J69))/$C$91</f>
        <v>1.0936279334641699E-5</v>
      </c>
      <c r="K75" s="4"/>
      <c r="L75" s="4">
        <f>$C$92*(AVERAGE(L57,L63,L69))/$C$91</f>
        <v>6.4606960551724142E-7</v>
      </c>
      <c r="M75" s="4">
        <f>$C$92*(AVERAGE(M57,M63,M69))/$C$91</f>
        <v>2.1884761697575221E-5</v>
      </c>
      <c r="N75" s="4"/>
      <c r="O75" s="4">
        <f>C92*(C95*AVERAGE(EF_el_CH4_FR,EF_el_CH4_DE,EF_el_CH4_PL)+C96*EF_biofuel_CH4)</f>
        <v>4.5962128379923288E-5</v>
      </c>
      <c r="P75" s="227">
        <f>2.04/1000/23</f>
        <v>8.8695652173913049E-5</v>
      </c>
      <c r="R75" t="s">
        <v>400</v>
      </c>
    </row>
    <row r="76" spans="1:18" x14ac:dyDescent="0.2">
      <c r="A76" s="267" t="s">
        <v>397</v>
      </c>
      <c r="B76" t="s">
        <v>394</v>
      </c>
      <c r="C76" t="s">
        <v>369</v>
      </c>
      <c r="D76" t="s">
        <v>320</v>
      </c>
      <c r="E76" s="4">
        <f>SUM(F76:P76)</f>
        <v>0</v>
      </c>
      <c r="F76" s="4"/>
      <c r="G76" s="4"/>
      <c r="H76" s="4"/>
      <c r="I76" s="4"/>
      <c r="J76" s="4"/>
      <c r="K76" s="4"/>
      <c r="L76" s="4"/>
      <c r="M76" s="4"/>
      <c r="N76" s="4"/>
      <c r="O76" s="4"/>
      <c r="P76" s="227"/>
    </row>
    <row r="77" spans="1:18" x14ac:dyDescent="0.2">
      <c r="A77" s="268" t="s">
        <v>397</v>
      </c>
      <c r="B77" s="255" t="s">
        <v>394</v>
      </c>
      <c r="C77" s="255" t="s">
        <v>47</v>
      </c>
      <c r="D77" s="255" t="s">
        <v>320</v>
      </c>
      <c r="E77" s="269">
        <f>SUM(F77:P77)</f>
        <v>6.732045566157569E-4</v>
      </c>
      <c r="F77" s="269">
        <f>$C$92*(AVERAGE(F59,F65,F71))/$C$91</f>
        <v>1.946970439026595E-4</v>
      </c>
      <c r="G77" s="269">
        <f>$C$92*(AVERAGE(G59,G65,G71))/$C$91</f>
        <v>5.3103448275862083E-7</v>
      </c>
      <c r="H77" s="290">
        <f>$C$92*(AVERAGE(H59,H65,H71))/$C$91</f>
        <v>4.2751561806777074E-4</v>
      </c>
      <c r="I77" s="291">
        <f>$C$92*(AVERAGE(I59,I65,I71))/$C$91</f>
        <v>4.2751561806777089E-5</v>
      </c>
      <c r="J77" s="269">
        <f>$C$92*(AVERAGE(J59,J65,J71))/$C$91</f>
        <v>6.6339607025480414E-7</v>
      </c>
      <c r="K77" s="269"/>
      <c r="L77" s="269">
        <f>$C$92*(AVERAGE(L59,L65,L71))/$C$91</f>
        <v>7.9511067188965511E-9</v>
      </c>
      <c r="M77" s="269">
        <f>$C$92*(AVERAGE(M59,M65,M71))/$C$91</f>
        <v>1.2789681892721842E-6</v>
      </c>
      <c r="N77" s="269"/>
      <c r="O77" s="269">
        <f>C92*(C95*AVERAGE(EF_el_N2O_FR,EF_el_N2O_DE,EF_el_N2O_PL)+C96*EF_biofuel_N2O)</f>
        <v>3.9312802868423834E-6</v>
      </c>
      <c r="P77" s="270">
        <f>0.541/1000/296</f>
        <v>1.8277027027027027E-6</v>
      </c>
      <c r="R77" t="s">
        <v>400</v>
      </c>
    </row>
    <row r="80" spans="1:18" ht="18.5" customHeight="1" x14ac:dyDescent="0.25">
      <c r="A80" s="1" t="s">
        <v>375</v>
      </c>
    </row>
    <row r="82" spans="1:18" x14ac:dyDescent="0.2">
      <c r="A82" s="202" t="s">
        <v>292</v>
      </c>
      <c r="B82" s="203"/>
      <c r="C82" s="203"/>
      <c r="D82" s="203"/>
      <c r="E82" s="203"/>
      <c r="F82" s="204" t="s">
        <v>104</v>
      </c>
      <c r="G82" s="204" t="s">
        <v>329</v>
      </c>
      <c r="H82" s="204" t="s">
        <v>106</v>
      </c>
      <c r="I82" s="204" t="s">
        <v>107</v>
      </c>
      <c r="J82" s="205" t="s">
        <v>108</v>
      </c>
      <c r="K82" s="205" t="s">
        <v>109</v>
      </c>
      <c r="L82" s="205" t="s">
        <v>110</v>
      </c>
      <c r="M82" s="262"/>
      <c r="N82" s="252"/>
      <c r="O82" s="252"/>
      <c r="P82" s="263"/>
    </row>
    <row r="83" spans="1:18" ht="43.5" customHeight="1" x14ac:dyDescent="0.2">
      <c r="A83" s="207" t="s">
        <v>114</v>
      </c>
      <c r="B83" s="207" t="s">
        <v>292</v>
      </c>
      <c r="C83" s="207" t="s">
        <v>294</v>
      </c>
      <c r="D83" s="207" t="s">
        <v>19</v>
      </c>
      <c r="E83" s="184" t="s">
        <v>20</v>
      </c>
      <c r="F83" s="217" t="s">
        <v>123</v>
      </c>
      <c r="G83" s="217" t="s">
        <v>330</v>
      </c>
      <c r="H83" s="217" t="s">
        <v>331</v>
      </c>
      <c r="I83" s="218" t="s">
        <v>126</v>
      </c>
      <c r="J83" s="219" t="s">
        <v>127</v>
      </c>
      <c r="K83" s="220" t="s">
        <v>128</v>
      </c>
      <c r="L83" s="220" t="s">
        <v>129</v>
      </c>
      <c r="M83" s="252"/>
    </row>
    <row r="84" spans="1:18" x14ac:dyDescent="0.2">
      <c r="A84" s="267" t="s">
        <v>397</v>
      </c>
      <c r="B84" t="s">
        <v>396</v>
      </c>
      <c r="C84" s="17" t="s">
        <v>381</v>
      </c>
      <c r="D84" t="s">
        <v>49</v>
      </c>
      <c r="E84" t="s">
        <v>50</v>
      </c>
      <c r="F84">
        <v>3.05041729708624</v>
      </c>
      <c r="G84">
        <v>4.7160731472569703E-2</v>
      </c>
      <c r="H84">
        <v>5.13314084055181E-3</v>
      </c>
      <c r="I84">
        <v>5.0398432162958003E-3</v>
      </c>
      <c r="J84">
        <v>0.66988842289432105</v>
      </c>
      <c r="K84" s="47">
        <v>3.6670410199158097E-11</v>
      </c>
      <c r="L84">
        <v>2.86711793285263E-3</v>
      </c>
      <c r="N84" t="s">
        <v>378</v>
      </c>
    </row>
    <row r="85" spans="1:18" x14ac:dyDescent="0.2">
      <c r="A85" s="267" t="s">
        <v>397</v>
      </c>
      <c r="B85" t="s">
        <v>396</v>
      </c>
      <c r="C85" s="17" t="s">
        <v>381</v>
      </c>
      <c r="D85" t="s">
        <v>51</v>
      </c>
      <c r="E85" t="s">
        <v>52</v>
      </c>
      <c r="F85">
        <v>2.9846291598268899</v>
      </c>
      <c r="G85">
        <v>4.7160731472569703E-2</v>
      </c>
      <c r="H85">
        <v>5.13314084055181E-3</v>
      </c>
      <c r="I85">
        <v>0</v>
      </c>
      <c r="J85">
        <v>0.49457909998667898</v>
      </c>
      <c r="K85" s="47">
        <v>2.7374708977573999E-11</v>
      </c>
      <c r="L85">
        <v>2.86711793285263E-3</v>
      </c>
      <c r="N85" t="s">
        <v>380</v>
      </c>
    </row>
    <row r="86" spans="1:18" x14ac:dyDescent="0.2">
      <c r="A86" s="267" t="s">
        <v>397</v>
      </c>
      <c r="B86" t="s">
        <v>396</v>
      </c>
      <c r="C86" s="17" t="s">
        <v>381</v>
      </c>
      <c r="D86" t="s">
        <v>63</v>
      </c>
      <c r="E86" t="s">
        <v>64</v>
      </c>
      <c r="F86">
        <v>3.5333691381405901</v>
      </c>
      <c r="G86">
        <v>4.7160731472569703E-2</v>
      </c>
      <c r="H86">
        <v>5.13314084055181E-3</v>
      </c>
      <c r="I86">
        <v>0</v>
      </c>
      <c r="J86">
        <v>0.66057946682741997</v>
      </c>
      <c r="K86" s="47">
        <v>1.40747179424791E-11</v>
      </c>
      <c r="L86">
        <v>2.86711793285263E-3</v>
      </c>
    </row>
    <row r="88" spans="1:18" x14ac:dyDescent="0.2">
      <c r="A88" s="277" t="s">
        <v>397</v>
      </c>
      <c r="B88" s="272" t="s">
        <v>394</v>
      </c>
      <c r="C88" s="272" t="s">
        <v>381</v>
      </c>
      <c r="D88" s="272" t="s">
        <v>320</v>
      </c>
      <c r="E88" s="272"/>
      <c r="F88" s="274">
        <f t="shared" ref="F88:L88" si="1">$C$92*AVERAGE(F84:F86)/$C$91</f>
        <v>1.5397450382845068</v>
      </c>
      <c r="G88" s="274">
        <f t="shared" si="1"/>
        <v>2.276724967641296E-2</v>
      </c>
      <c r="H88" s="273">
        <f t="shared" si="1"/>
        <v>2.4780679919905292E-3</v>
      </c>
      <c r="I88" s="273">
        <f t="shared" si="1"/>
        <v>8.1100925319702543E-4</v>
      </c>
      <c r="J88" s="274">
        <f t="shared" si="1"/>
        <v>0.29368572248181479</v>
      </c>
      <c r="K88" s="275">
        <f t="shared" si="1"/>
        <v>1.2571008272056975E-11</v>
      </c>
      <c r="L88" s="275">
        <f t="shared" si="1"/>
        <v>1.3841258986185109E-3</v>
      </c>
    </row>
    <row r="90" spans="1:18" x14ac:dyDescent="0.2">
      <c r="A90" s="115" t="s">
        <v>401</v>
      </c>
      <c r="B90" s="115"/>
      <c r="C90" s="115"/>
      <c r="D90" s="115"/>
      <c r="E90" s="115"/>
      <c r="F90" s="115"/>
      <c r="G90" s="115"/>
      <c r="H90" s="115"/>
      <c r="I90" s="115"/>
      <c r="J90" s="115"/>
      <c r="K90" s="115"/>
      <c r="L90" s="115"/>
      <c r="M90" s="115"/>
      <c r="N90" s="115"/>
      <c r="O90" s="115"/>
      <c r="P90" s="115"/>
    </row>
    <row r="91" spans="1:18" x14ac:dyDescent="0.2">
      <c r="A91" t="s">
        <v>402</v>
      </c>
      <c r="C91">
        <v>0.57999999999999996</v>
      </c>
      <c r="R91" t="s">
        <v>390</v>
      </c>
    </row>
    <row r="92" spans="1:18" x14ac:dyDescent="0.2">
      <c r="A92" t="s">
        <v>385</v>
      </c>
      <c r="C92">
        <v>0.28000000000000003</v>
      </c>
      <c r="R92" t="s">
        <v>390</v>
      </c>
    </row>
    <row r="94" spans="1:18" x14ac:dyDescent="0.2">
      <c r="A94" t="s">
        <v>386</v>
      </c>
    </row>
    <row r="95" spans="1:18" x14ac:dyDescent="0.2">
      <c r="A95" t="s">
        <v>387</v>
      </c>
      <c r="C95" s="12">
        <f>0.918*I43</f>
        <v>0.13379104477611942</v>
      </c>
      <c r="D95" t="s">
        <v>403</v>
      </c>
      <c r="R95" t="s">
        <v>404</v>
      </c>
    </row>
    <row r="96" spans="1:18" x14ac:dyDescent="0.2">
      <c r="A96" t="s">
        <v>391</v>
      </c>
      <c r="C96" s="12">
        <f>0.918*(1-I43)</f>
        <v>0.78420895522388057</v>
      </c>
      <c r="D96" t="s">
        <v>403</v>
      </c>
    </row>
    <row r="98" spans="1:18" x14ac:dyDescent="0.2">
      <c r="A98" t="s">
        <v>405</v>
      </c>
      <c r="R98" t="s">
        <v>406</v>
      </c>
    </row>
    <row r="100" spans="1:18" x14ac:dyDescent="0.2">
      <c r="A100" s="115" t="s">
        <v>407</v>
      </c>
      <c r="B100" s="115"/>
      <c r="C100" s="115"/>
      <c r="D100" s="115"/>
      <c r="E100" s="115"/>
      <c r="F100" s="115"/>
      <c r="G100" s="115"/>
      <c r="H100" s="115"/>
      <c r="I100" s="115"/>
      <c r="J100" s="115"/>
      <c r="K100" s="115"/>
      <c r="L100" s="115"/>
      <c r="M100" s="115"/>
      <c r="N100" s="115"/>
      <c r="O100" s="115"/>
      <c r="P100" s="115"/>
    </row>
    <row r="102" spans="1:18" x14ac:dyDescent="0.2">
      <c r="B102" t="s">
        <v>408</v>
      </c>
      <c r="C102" t="s">
        <v>390</v>
      </c>
    </row>
    <row r="103" spans="1:18" x14ac:dyDescent="0.2">
      <c r="A103" t="s">
        <v>409</v>
      </c>
      <c r="B103" s="4">
        <f>SUM(F73:M73)</f>
        <v>0.37608333869576438</v>
      </c>
      <c r="C103" s="4">
        <f>(0.511+2.7+265+117)/1000</f>
        <v>0.38521100000000003</v>
      </c>
      <c r="D103" t="s">
        <v>410</v>
      </c>
    </row>
    <row r="104" spans="1:18" x14ac:dyDescent="0.2">
      <c r="A104" t="s">
        <v>411</v>
      </c>
      <c r="B104" s="4">
        <f>O73</f>
        <v>2.3613703053907385E-2</v>
      </c>
      <c r="C104" s="4">
        <f>(0.401+0.181+0.289+8)/1000</f>
        <v>8.8710000000000004E-3</v>
      </c>
      <c r="D104" t="s">
        <v>412</v>
      </c>
    </row>
    <row r="105" spans="1:18" x14ac:dyDescent="0.2">
      <c r="A105" t="s">
        <v>413</v>
      </c>
      <c r="B105" s="4">
        <f>P73</f>
        <v>6.6342093272620445E-2</v>
      </c>
      <c r="C105" s="4">
        <f>(1.15+2.04+0.541+63.2)/1000</f>
        <v>6.6930999999999991E-2</v>
      </c>
      <c r="D105" t="s">
        <v>414</v>
      </c>
    </row>
    <row r="106" spans="1:18" x14ac:dyDescent="0.2">
      <c r="A106" s="232" t="s">
        <v>415</v>
      </c>
      <c r="B106" s="292">
        <f>SUM(B103:B105)</f>
        <v>0.46603913502229222</v>
      </c>
      <c r="C106" s="292">
        <f>SUM(C103:C105)</f>
        <v>0.46101300000000001</v>
      </c>
    </row>
  </sheetData>
  <pageMargins left="0.7" right="0.7" top="0.75" bottom="0.75" header="0.3" footer="0.3"/>
  <pageSetup paperSize="9"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sheetPr>
  <dimension ref="A2:A6"/>
  <sheetViews>
    <sheetView workbookViewId="0">
      <selection activeCell="C13" sqref="C13"/>
    </sheetView>
  </sheetViews>
  <sheetFormatPr baseColWidth="10" defaultColWidth="8.83203125" defaultRowHeight="15" x14ac:dyDescent="0.2"/>
  <sheetData>
    <row r="2" spans="1:1" ht="21" customHeight="1" x14ac:dyDescent="0.25">
      <c r="A2" s="2" t="s">
        <v>416</v>
      </c>
    </row>
    <row r="4" spans="1:1" x14ac:dyDescent="0.2">
      <c r="A4" t="s">
        <v>417</v>
      </c>
    </row>
    <row r="5" spans="1:1" x14ac:dyDescent="0.2">
      <c r="A5" t="s">
        <v>418</v>
      </c>
    </row>
    <row r="6" spans="1:1" x14ac:dyDescent="0.2">
      <c r="A6" t="s">
        <v>419</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tint="0.59999389629810485"/>
  </sheetPr>
  <dimension ref="A4:AD66"/>
  <sheetViews>
    <sheetView topLeftCell="A11" workbookViewId="0">
      <selection activeCell="C13" sqref="C13"/>
    </sheetView>
  </sheetViews>
  <sheetFormatPr baseColWidth="10" defaultColWidth="8.83203125" defaultRowHeight="15" x14ac:dyDescent="0.2"/>
  <cols>
    <col min="1" max="1" width="31.5" customWidth="1"/>
    <col min="2" max="2" width="10.5" customWidth="1"/>
    <col min="3" max="3" width="14.6640625" customWidth="1"/>
  </cols>
  <sheetData>
    <row r="4" spans="1:9" x14ac:dyDescent="0.2">
      <c r="A4" s="232" t="s">
        <v>420</v>
      </c>
    </row>
    <row r="6" spans="1:9" x14ac:dyDescent="0.2">
      <c r="B6" t="s">
        <v>408</v>
      </c>
      <c r="C6" t="s">
        <v>421</v>
      </c>
      <c r="D6" t="s">
        <v>422</v>
      </c>
      <c r="F6" t="s">
        <v>408</v>
      </c>
      <c r="H6" t="s">
        <v>423</v>
      </c>
    </row>
    <row r="7" spans="1:9" x14ac:dyDescent="0.2">
      <c r="A7" t="s">
        <v>424</v>
      </c>
      <c r="B7">
        <v>1.5</v>
      </c>
      <c r="C7" s="5">
        <v>2</v>
      </c>
      <c r="D7">
        <v>1.81</v>
      </c>
      <c r="F7">
        <v>0.38</v>
      </c>
      <c r="H7">
        <v>0.56479367835914585</v>
      </c>
      <c r="I7" t="s">
        <v>425</v>
      </c>
    </row>
    <row r="8" spans="1:9" x14ac:dyDescent="0.2">
      <c r="A8" t="s">
        <v>426</v>
      </c>
      <c r="B8" s="12">
        <v>9.2999999999999999E-2</v>
      </c>
      <c r="C8">
        <v>9.9000000000000005E-2</v>
      </c>
      <c r="D8" s="12">
        <v>0.1</v>
      </c>
      <c r="F8" s="12">
        <v>0.37</v>
      </c>
      <c r="H8">
        <v>0.33391217667112483</v>
      </c>
      <c r="I8" t="s">
        <v>427</v>
      </c>
    </row>
    <row r="9" spans="1:9" x14ac:dyDescent="0.2">
      <c r="A9" t="s">
        <v>428</v>
      </c>
      <c r="B9">
        <v>6.5000000000000002E-2</v>
      </c>
      <c r="C9">
        <v>6.2E-2</v>
      </c>
      <c r="D9">
        <v>0.19</v>
      </c>
      <c r="H9">
        <v>0.30276247653946398</v>
      </c>
      <c r="I9" t="s">
        <v>429</v>
      </c>
    </row>
    <row r="10" spans="1:9" x14ac:dyDescent="0.2">
      <c r="A10" t="s">
        <v>430</v>
      </c>
      <c r="B10" s="12">
        <v>0.113</v>
      </c>
      <c r="C10">
        <v>0.03</v>
      </c>
      <c r="D10">
        <v>0.03</v>
      </c>
      <c r="H10">
        <v>0.6529008813160988</v>
      </c>
      <c r="I10" t="s">
        <v>431</v>
      </c>
    </row>
    <row r="11" spans="1:9" x14ac:dyDescent="0.2">
      <c r="B11" s="209">
        <f>SUM(B7:B10)</f>
        <v>1.7709999999999999</v>
      </c>
      <c r="C11" s="209">
        <f>SUM(C7:C10)</f>
        <v>2.1909999999999998</v>
      </c>
      <c r="D11" s="209">
        <f>SUM(D7:D10)</f>
        <v>2.13</v>
      </c>
      <c r="H11">
        <v>0.89418313601645116</v>
      </c>
      <c r="I11" t="s">
        <v>432</v>
      </c>
    </row>
    <row r="12" spans="1:9" x14ac:dyDescent="0.2">
      <c r="B12" s="209"/>
      <c r="C12" s="209"/>
      <c r="D12" s="209"/>
      <c r="F12">
        <f>'Off-farm feed'!E73</f>
        <v>0.46603913502229222</v>
      </c>
      <c r="H12">
        <v>0.92236976297377882</v>
      </c>
      <c r="I12" t="s">
        <v>433</v>
      </c>
    </row>
    <row r="13" spans="1:9" x14ac:dyDescent="0.2">
      <c r="A13" t="s">
        <v>434</v>
      </c>
      <c r="B13" s="12">
        <v>0.41</v>
      </c>
      <c r="C13" s="12">
        <v>0.6</v>
      </c>
      <c r="D13" s="209"/>
      <c r="F13">
        <f>'Off-farm feed'!E73</f>
        <v>0.46603913502229222</v>
      </c>
      <c r="H13">
        <v>0.46452012764856349</v>
      </c>
      <c r="I13" t="s">
        <v>435</v>
      </c>
    </row>
    <row r="14" spans="1:9" x14ac:dyDescent="0.2">
      <c r="B14" s="12"/>
      <c r="C14" s="12"/>
      <c r="D14" s="12"/>
      <c r="H14">
        <v>0.80797812867215046</v>
      </c>
      <c r="I14" t="s">
        <v>436</v>
      </c>
    </row>
    <row r="15" spans="1:9" x14ac:dyDescent="0.2">
      <c r="F15">
        <f>'Off-farm feed'!E22-'Off-farm feed'!N22</f>
        <v>0.45409652745663093</v>
      </c>
      <c r="H15">
        <v>0.61608605667862248</v>
      </c>
      <c r="I15" t="s">
        <v>437</v>
      </c>
    </row>
    <row r="16" spans="1:9" x14ac:dyDescent="0.2">
      <c r="B16" s="12"/>
      <c r="C16" s="12"/>
      <c r="H16">
        <v>0.29109249843400448</v>
      </c>
      <c r="I16" t="s">
        <v>438</v>
      </c>
    </row>
    <row r="17" spans="1:14" x14ac:dyDescent="0.2">
      <c r="B17" s="12"/>
      <c r="H17">
        <v>0.59883234478360636</v>
      </c>
      <c r="I17" t="s">
        <v>439</v>
      </c>
    </row>
    <row r="18" spans="1:14" x14ac:dyDescent="0.2">
      <c r="B18" s="12"/>
      <c r="H18">
        <v>0.60649726811808224</v>
      </c>
      <c r="I18" t="s">
        <v>440</v>
      </c>
    </row>
    <row r="19" spans="1:14" x14ac:dyDescent="0.2">
      <c r="H19">
        <v>0.13968811454861749</v>
      </c>
      <c r="I19" t="s">
        <v>441</v>
      </c>
    </row>
    <row r="20" spans="1:14" x14ac:dyDescent="0.2">
      <c r="A20" t="s">
        <v>442</v>
      </c>
      <c r="H20">
        <v>0.19114026637044651</v>
      </c>
      <c r="I20" t="s">
        <v>443</v>
      </c>
    </row>
    <row r="21" spans="1:14" x14ac:dyDescent="0.2">
      <c r="A21" t="s">
        <v>444</v>
      </c>
    </row>
    <row r="25" spans="1:14" ht="21" customHeight="1" x14ac:dyDescent="0.25">
      <c r="A25" s="2" t="s">
        <v>445</v>
      </c>
      <c r="B25" s="2"/>
      <c r="D25" t="s">
        <v>446</v>
      </c>
    </row>
    <row r="27" spans="1:14" x14ac:dyDescent="0.2">
      <c r="A27" s="123" t="s">
        <v>447</v>
      </c>
      <c r="B27" s="123"/>
      <c r="C27" s="123"/>
      <c r="D27" s="123"/>
      <c r="E27" s="123"/>
      <c r="F27" s="123"/>
      <c r="G27" s="123"/>
      <c r="H27" s="123"/>
      <c r="I27" s="123"/>
      <c r="J27" s="123"/>
      <c r="K27" s="123"/>
    </row>
    <row r="28" spans="1:14" ht="116" customHeight="1" x14ac:dyDescent="0.2">
      <c r="A28" s="115"/>
      <c r="B28" s="115"/>
      <c r="C28" s="115"/>
      <c r="D28" s="115"/>
      <c r="E28" s="121" t="s">
        <v>448</v>
      </c>
      <c r="F28" s="121" t="s">
        <v>449</v>
      </c>
      <c r="G28" s="121" t="s">
        <v>450</v>
      </c>
      <c r="H28" s="121" t="s">
        <v>451</v>
      </c>
      <c r="I28" s="122"/>
      <c r="J28" s="115" t="s">
        <v>217</v>
      </c>
      <c r="K28" s="115"/>
    </row>
    <row r="29" spans="1:14" x14ac:dyDescent="0.2">
      <c r="A29" t="s">
        <v>452</v>
      </c>
      <c r="C29" t="s">
        <v>453</v>
      </c>
      <c r="D29">
        <v>2022</v>
      </c>
      <c r="E29" s="120">
        <v>4203.5193248785663</v>
      </c>
      <c r="F29" s="120">
        <v>462.03716957868528</v>
      </c>
      <c r="G29" s="120">
        <v>3740.4874259673338</v>
      </c>
      <c r="H29" s="120">
        <v>0.9947293325467399</v>
      </c>
      <c r="J29" t="s">
        <v>454</v>
      </c>
    </row>
    <row r="30" spans="1:14" x14ac:dyDescent="0.2">
      <c r="A30" t="s">
        <v>455</v>
      </c>
      <c r="C30" t="s">
        <v>453</v>
      </c>
      <c r="D30">
        <v>2022</v>
      </c>
      <c r="E30" s="120">
        <v>4272.4788227470117</v>
      </c>
      <c r="F30" s="120">
        <v>575.83377190166277</v>
      </c>
      <c r="G30" s="120">
        <v>3696.6450508453481</v>
      </c>
      <c r="H30" s="120">
        <v>0</v>
      </c>
      <c r="J30" t="s">
        <v>456</v>
      </c>
    </row>
    <row r="31" spans="1:14" x14ac:dyDescent="0.2">
      <c r="A31" t="s">
        <v>457</v>
      </c>
      <c r="C31" t="s">
        <v>453</v>
      </c>
      <c r="D31">
        <v>2022</v>
      </c>
      <c r="E31" s="120">
        <v>500.40797293699222</v>
      </c>
      <c r="F31" s="120">
        <v>385.61457832167878</v>
      </c>
      <c r="G31" s="120">
        <v>50.028453278551773</v>
      </c>
      <c r="H31" s="120">
        <v>64.764941336761694</v>
      </c>
      <c r="J31" s="105"/>
      <c r="K31" s="105"/>
      <c r="L31" s="105"/>
      <c r="M31" s="105"/>
      <c r="N31" s="105"/>
    </row>
    <row r="33" spans="1:30" x14ac:dyDescent="0.2">
      <c r="A33" t="s">
        <v>458</v>
      </c>
    </row>
    <row r="35" spans="1:30" x14ac:dyDescent="0.2">
      <c r="A35" s="128"/>
      <c r="B35" s="128"/>
      <c r="C35" s="128" t="s">
        <v>21</v>
      </c>
      <c r="D35" s="128"/>
      <c r="E35" s="128" t="s">
        <v>9</v>
      </c>
      <c r="F35" s="128" t="s">
        <v>10</v>
      </c>
      <c r="G35" s="127"/>
      <c r="H35" s="128" t="s">
        <v>11</v>
      </c>
      <c r="I35" s="124"/>
      <c r="J35" s="128" t="s">
        <v>12</v>
      </c>
      <c r="K35" s="124"/>
      <c r="L35" s="124"/>
      <c r="M35" s="124"/>
      <c r="N35" s="124"/>
      <c r="O35" s="124"/>
    </row>
    <row r="36" spans="1:30" ht="130.5" customHeight="1" x14ac:dyDescent="0.2">
      <c r="A36" s="130"/>
      <c r="B36" s="134" t="s">
        <v>459</v>
      </c>
      <c r="C36" s="130"/>
      <c r="D36" s="131"/>
      <c r="E36" s="131" t="s">
        <v>460</v>
      </c>
      <c r="F36" s="126" t="s">
        <v>92</v>
      </c>
      <c r="G36" s="126" t="s">
        <v>24</v>
      </c>
      <c r="H36" s="126" t="s">
        <v>295</v>
      </c>
      <c r="I36" s="126" t="s">
        <v>296</v>
      </c>
      <c r="J36" s="126" t="s">
        <v>27</v>
      </c>
      <c r="K36" s="126" t="s">
        <v>28</v>
      </c>
      <c r="L36" s="126" t="s">
        <v>29</v>
      </c>
      <c r="M36" s="126" t="s">
        <v>30</v>
      </c>
      <c r="N36" s="126"/>
      <c r="O36" s="126" t="s">
        <v>461</v>
      </c>
    </row>
    <row r="38" spans="1:30" x14ac:dyDescent="0.2">
      <c r="A38" s="22" t="s">
        <v>304</v>
      </c>
      <c r="B38" s="17" t="s">
        <v>206</v>
      </c>
      <c r="C38" t="s">
        <v>44</v>
      </c>
      <c r="E38" s="116">
        <v>0.35472897058825098</v>
      </c>
      <c r="F38" s="20">
        <v>7.3741076533864705E-2</v>
      </c>
      <c r="G38" s="17">
        <v>2.7E-2</v>
      </c>
      <c r="H38" s="17">
        <v>0.19</v>
      </c>
      <c r="I38" s="17"/>
      <c r="J38" s="20">
        <v>2.9150294054386239E-2</v>
      </c>
      <c r="K38" s="17"/>
      <c r="L38" s="17">
        <v>0</v>
      </c>
      <c r="M38" s="20">
        <v>3.4837600000000003E-2</v>
      </c>
      <c r="O38" s="12" t="e">
        <f>E38/$E$28</f>
        <v>#VALUE!</v>
      </c>
      <c r="P38" s="14"/>
    </row>
    <row r="39" spans="1:30" x14ac:dyDescent="0.2">
      <c r="A39" s="135"/>
      <c r="B39" s="90"/>
      <c r="C39" s="3" t="s">
        <v>44</v>
      </c>
      <c r="D39" s="3"/>
      <c r="E39" s="136" t="s">
        <v>462</v>
      </c>
      <c r="F39" s="137" t="e">
        <f t="shared" ref="F39:M39" si="0">F38/$E$22</f>
        <v>#DIV/0!</v>
      </c>
      <c r="G39" s="137" t="e">
        <f t="shared" si="0"/>
        <v>#DIV/0!</v>
      </c>
      <c r="H39" s="137" t="e">
        <f t="shared" si="0"/>
        <v>#DIV/0!</v>
      </c>
      <c r="I39" s="137" t="e">
        <f t="shared" si="0"/>
        <v>#DIV/0!</v>
      </c>
      <c r="J39" s="137" t="e">
        <f t="shared" si="0"/>
        <v>#DIV/0!</v>
      </c>
      <c r="K39" s="137" t="e">
        <f t="shared" si="0"/>
        <v>#DIV/0!</v>
      </c>
      <c r="L39" s="137" t="e">
        <f t="shared" si="0"/>
        <v>#DIV/0!</v>
      </c>
      <c r="M39" s="137" t="e">
        <f t="shared" si="0"/>
        <v>#DIV/0!</v>
      </c>
      <c r="N39" s="3"/>
      <c r="O39" s="3"/>
      <c r="P39" s="132"/>
      <c r="Q39" s="3"/>
      <c r="R39" s="3"/>
      <c r="S39" s="3"/>
      <c r="T39" s="3"/>
      <c r="U39" s="3"/>
      <c r="V39" s="3"/>
      <c r="W39" s="3"/>
      <c r="X39" s="3"/>
      <c r="Y39" s="3"/>
      <c r="Z39" s="3"/>
      <c r="AA39" s="3"/>
      <c r="AB39" s="3"/>
      <c r="AC39" s="3"/>
      <c r="AD39" s="3"/>
    </row>
    <row r="40" spans="1:30" x14ac:dyDescent="0.2">
      <c r="A40" s="78" t="s">
        <v>304</v>
      </c>
      <c r="B40" s="17" t="s">
        <v>206</v>
      </c>
      <c r="C40" s="17" t="s">
        <v>463</v>
      </c>
      <c r="E40" s="138">
        <v>2.1322851393583631E-4</v>
      </c>
      <c r="F40" s="32">
        <v>9.2769916609057948E-5</v>
      </c>
      <c r="G40" s="139">
        <v>9.5000000000000005E-5</v>
      </c>
      <c r="H40" s="17"/>
      <c r="I40" s="17"/>
      <c r="J40" s="29">
        <v>1.291259732677831E-5</v>
      </c>
      <c r="K40" s="29"/>
      <c r="L40" s="29">
        <v>0</v>
      </c>
      <c r="M40" s="29">
        <v>1.2546E-5</v>
      </c>
      <c r="N40" s="17"/>
      <c r="O40" s="12" t="e">
        <f>E40*CF_GWP_CH4_fossil/$E$28</f>
        <v>#VALUE!</v>
      </c>
      <c r="P40" s="17"/>
    </row>
    <row r="41" spans="1:30" x14ac:dyDescent="0.2">
      <c r="C41" s="90" t="s">
        <v>463</v>
      </c>
      <c r="E41" s="136" t="s">
        <v>462</v>
      </c>
      <c r="F41" s="137" t="e">
        <f t="shared" ref="F41:M41" si="1">F40/$E$24</f>
        <v>#DIV/0!</v>
      </c>
      <c r="G41" s="137" t="e">
        <f t="shared" si="1"/>
        <v>#DIV/0!</v>
      </c>
      <c r="H41" s="137" t="e">
        <f t="shared" si="1"/>
        <v>#DIV/0!</v>
      </c>
      <c r="I41" s="137" t="e">
        <f t="shared" si="1"/>
        <v>#DIV/0!</v>
      </c>
      <c r="J41" s="137" t="e">
        <f t="shared" si="1"/>
        <v>#DIV/0!</v>
      </c>
      <c r="K41" s="137" t="e">
        <f t="shared" si="1"/>
        <v>#DIV/0!</v>
      </c>
      <c r="L41" s="137" t="e">
        <f t="shared" si="1"/>
        <v>#DIV/0!</v>
      </c>
      <c r="M41" s="137" t="e">
        <f t="shared" si="1"/>
        <v>#DIV/0!</v>
      </c>
      <c r="N41" s="17"/>
      <c r="O41" s="29"/>
      <c r="P41" s="17"/>
    </row>
    <row r="42" spans="1:30" x14ac:dyDescent="0.2">
      <c r="A42" s="78" t="s">
        <v>304</v>
      </c>
      <c r="B42" s="17" t="s">
        <v>206</v>
      </c>
      <c r="C42" s="17" t="s">
        <v>47</v>
      </c>
      <c r="E42" s="138">
        <v>9.1657094895803305E-4</v>
      </c>
      <c r="F42" s="32">
        <v>1.550605828351264E-4</v>
      </c>
      <c r="G42" s="139">
        <v>1.1000000000000001E-6</v>
      </c>
      <c r="H42" s="29">
        <v>6.8950683668766316E-4</v>
      </c>
      <c r="I42" s="29">
        <v>6.8950683668766316E-5</v>
      </c>
      <c r="J42" s="29">
        <v>7.832797664771855E-7</v>
      </c>
      <c r="K42" s="29"/>
      <c r="L42" s="29">
        <v>0</v>
      </c>
      <c r="M42" s="29">
        <v>1.1695659999999999E-6</v>
      </c>
      <c r="N42" s="17"/>
      <c r="O42" s="12" t="e">
        <f>E42*CF_GWP_N2O/$E$28</f>
        <v>#VALUE!</v>
      </c>
      <c r="P42" s="17"/>
    </row>
    <row r="43" spans="1:30" x14ac:dyDescent="0.2">
      <c r="A43" s="78"/>
      <c r="B43" s="17"/>
      <c r="C43" s="90" t="s">
        <v>47</v>
      </c>
      <c r="E43" s="136" t="s">
        <v>462</v>
      </c>
      <c r="F43" s="137" t="e">
        <f t="shared" ref="F43:M43" si="2">F42/$E$26</f>
        <v>#DIV/0!</v>
      </c>
      <c r="G43" s="137" t="e">
        <f t="shared" si="2"/>
        <v>#DIV/0!</v>
      </c>
      <c r="H43" s="137" t="e">
        <f t="shared" si="2"/>
        <v>#DIV/0!</v>
      </c>
      <c r="I43" s="137" t="e">
        <f t="shared" si="2"/>
        <v>#DIV/0!</v>
      </c>
      <c r="J43" s="137" t="e">
        <f t="shared" si="2"/>
        <v>#DIV/0!</v>
      </c>
      <c r="K43" s="137" t="e">
        <f t="shared" si="2"/>
        <v>#DIV/0!</v>
      </c>
      <c r="L43" s="137" t="e">
        <f t="shared" si="2"/>
        <v>#DIV/0!</v>
      </c>
      <c r="M43" s="137" t="e">
        <f t="shared" si="2"/>
        <v>#DIV/0!</v>
      </c>
      <c r="N43" s="17"/>
      <c r="O43" s="101"/>
      <c r="P43" s="17"/>
    </row>
    <row r="44" spans="1:30" x14ac:dyDescent="0.2">
      <c r="A44" s="141"/>
      <c r="B44" s="142"/>
      <c r="C44" s="143" t="s">
        <v>48</v>
      </c>
      <c r="D44" s="142"/>
      <c r="E44" s="144">
        <f>E38+E40*CF_GWP_CH4_fossil+E42*CF_GWP_N2O</f>
        <v>0.61130704936908198</v>
      </c>
      <c r="F44" s="145"/>
      <c r="G44" s="145"/>
      <c r="H44" s="145"/>
      <c r="I44" s="145"/>
      <c r="J44" s="145"/>
      <c r="K44" s="145"/>
      <c r="L44" s="145"/>
      <c r="M44" s="145"/>
      <c r="N44" s="145"/>
      <c r="O44" s="145"/>
      <c r="P44" s="17"/>
    </row>
    <row r="45" spans="1:30" x14ac:dyDescent="0.2">
      <c r="A45" s="22" t="s">
        <v>305</v>
      </c>
      <c r="B45" s="17" t="s">
        <v>207</v>
      </c>
      <c r="C45" s="17" t="s">
        <v>44</v>
      </c>
      <c r="E45" s="116">
        <v>0.43885153790044362</v>
      </c>
      <c r="F45" s="20">
        <v>0</v>
      </c>
      <c r="G45" s="17">
        <v>2.7E-2</v>
      </c>
      <c r="H45" s="19">
        <v>0.32</v>
      </c>
      <c r="I45" s="17"/>
      <c r="J45" s="20">
        <v>5.7013937900443568E-2</v>
      </c>
      <c r="K45" s="19"/>
      <c r="L45" s="17">
        <v>0</v>
      </c>
      <c r="M45" s="20">
        <v>3.4837600000000003E-2</v>
      </c>
      <c r="N45" s="17"/>
      <c r="O45" s="12" t="e">
        <f>E45/$E$35</f>
        <v>#VALUE!</v>
      </c>
      <c r="P45" s="17"/>
    </row>
    <row r="46" spans="1:30" x14ac:dyDescent="0.2">
      <c r="A46" s="3"/>
      <c r="B46" s="3"/>
      <c r="C46" s="90" t="s">
        <v>44</v>
      </c>
      <c r="D46" s="3"/>
      <c r="E46" s="136" t="s">
        <v>462</v>
      </c>
      <c r="F46" s="137">
        <f t="shared" ref="F46:M46" si="3">F45/$E$29</f>
        <v>0</v>
      </c>
      <c r="G46" s="137">
        <f t="shared" si="3"/>
        <v>6.423189216759457E-6</v>
      </c>
      <c r="H46" s="137">
        <f t="shared" si="3"/>
        <v>7.6126687013445423E-5</v>
      </c>
      <c r="I46" s="137">
        <f t="shared" si="3"/>
        <v>0</v>
      </c>
      <c r="J46" s="137">
        <f t="shared" si="3"/>
        <v>1.3563381893597128E-5</v>
      </c>
      <c r="K46" s="137">
        <f t="shared" si="3"/>
        <v>0</v>
      </c>
      <c r="L46" s="137">
        <f t="shared" si="3"/>
        <v>0</v>
      </c>
      <c r="M46" s="137">
        <f t="shared" si="3"/>
        <v>8.2877220984362692E-6</v>
      </c>
      <c r="N46" s="90"/>
      <c r="O46" s="3"/>
      <c r="P46" s="90"/>
      <c r="Q46" s="3"/>
      <c r="R46" s="3"/>
      <c r="S46" s="3"/>
      <c r="T46" s="3"/>
      <c r="U46" s="3"/>
      <c r="V46" s="3"/>
      <c r="W46" s="3"/>
      <c r="X46" s="3"/>
      <c r="Y46" s="3"/>
      <c r="Z46" s="3"/>
      <c r="AA46" s="3"/>
      <c r="AB46" s="3"/>
      <c r="AC46" s="3"/>
      <c r="AD46" s="3"/>
    </row>
    <row r="47" spans="1:30" x14ac:dyDescent="0.2">
      <c r="A47" s="78" t="s">
        <v>305</v>
      </c>
      <c r="B47" s="17" t="s">
        <v>207</v>
      </c>
      <c r="C47" s="17" t="s">
        <v>463</v>
      </c>
      <c r="E47" s="138">
        <v>1.3280125199673231E-4</v>
      </c>
      <c r="F47" s="32">
        <v>0</v>
      </c>
      <c r="G47" s="139">
        <v>9.5000000000000005E-5</v>
      </c>
      <c r="H47" s="19"/>
      <c r="I47" s="17"/>
      <c r="J47" s="29">
        <v>2.525525199673232E-5</v>
      </c>
      <c r="K47" s="29"/>
      <c r="L47" s="29">
        <v>0</v>
      </c>
      <c r="M47" s="29">
        <v>1.2546E-5</v>
      </c>
      <c r="N47" s="17"/>
      <c r="O47" s="12" t="e">
        <f>E47*CF_GWP_CH4_fossil/$E$35</f>
        <v>#VALUE!</v>
      </c>
      <c r="P47" s="17"/>
    </row>
    <row r="48" spans="1:30" x14ac:dyDescent="0.2">
      <c r="C48" s="90" t="s">
        <v>463</v>
      </c>
      <c r="E48" s="136" t="s">
        <v>462</v>
      </c>
      <c r="F48" s="137">
        <f t="shared" ref="F48:M48" si="4">F47/$E$31</f>
        <v>0</v>
      </c>
      <c r="G48" s="137">
        <f t="shared" si="4"/>
        <v>1.898450966766705E-7</v>
      </c>
      <c r="H48" s="137">
        <f t="shared" si="4"/>
        <v>0</v>
      </c>
      <c r="I48" s="137">
        <f t="shared" si="4"/>
        <v>0</v>
      </c>
      <c r="J48" s="137">
        <f t="shared" si="4"/>
        <v>5.0469323756982347E-8</v>
      </c>
      <c r="K48" s="137">
        <f t="shared" si="4"/>
        <v>0</v>
      </c>
      <c r="L48" s="137">
        <f t="shared" si="4"/>
        <v>0</v>
      </c>
      <c r="M48" s="137">
        <f t="shared" si="4"/>
        <v>2.5071542977952716E-8</v>
      </c>
      <c r="N48" s="17"/>
      <c r="O48" s="29"/>
      <c r="P48" s="17"/>
    </row>
    <row r="49" spans="1:18" x14ac:dyDescent="0.2">
      <c r="A49" s="78" t="s">
        <v>305</v>
      </c>
      <c r="B49" s="17" t="s">
        <v>207</v>
      </c>
      <c r="C49" s="17" t="s">
        <v>47</v>
      </c>
      <c r="E49" s="138">
        <v>2.068318087402121E-4</v>
      </c>
      <c r="F49" s="32">
        <v>0</v>
      </c>
      <c r="G49" s="139">
        <v>1.1000000000000001E-6</v>
      </c>
      <c r="H49" s="29">
        <v>1.8457295999999999E-4</v>
      </c>
      <c r="I49" s="29">
        <v>1.8457295999999999E-5</v>
      </c>
      <c r="J49" s="29">
        <v>1.53198674021213E-6</v>
      </c>
      <c r="K49" s="29"/>
      <c r="L49" s="29">
        <v>0</v>
      </c>
      <c r="M49" s="29">
        <v>1.1695659999999999E-6</v>
      </c>
      <c r="N49" s="17"/>
      <c r="O49" s="12" t="e">
        <f>E49*CF_GWP_N2O/$E$35</f>
        <v>#VALUE!</v>
      </c>
      <c r="P49" s="17"/>
    </row>
    <row r="50" spans="1:18" x14ac:dyDescent="0.2">
      <c r="C50" s="90" t="s">
        <v>47</v>
      </c>
      <c r="E50" s="136" t="s">
        <v>462</v>
      </c>
      <c r="F50" s="137" t="e">
        <f t="shared" ref="F50:M50" si="5">F49/$E$33</f>
        <v>#DIV/0!</v>
      </c>
      <c r="G50" s="137" t="e">
        <f t="shared" si="5"/>
        <v>#DIV/0!</v>
      </c>
      <c r="H50" s="137" t="e">
        <f t="shared" si="5"/>
        <v>#DIV/0!</v>
      </c>
      <c r="I50" s="137" t="e">
        <f t="shared" si="5"/>
        <v>#DIV/0!</v>
      </c>
      <c r="J50" s="137" t="e">
        <f t="shared" si="5"/>
        <v>#DIV/0!</v>
      </c>
      <c r="K50" s="137" t="e">
        <f t="shared" si="5"/>
        <v>#DIV/0!</v>
      </c>
      <c r="L50" s="137" t="e">
        <f t="shared" si="5"/>
        <v>#DIV/0!</v>
      </c>
      <c r="M50" s="137" t="e">
        <f t="shared" si="5"/>
        <v>#DIV/0!</v>
      </c>
      <c r="N50" s="17"/>
      <c r="O50" s="17"/>
      <c r="P50" s="17"/>
    </row>
    <row r="51" spans="1:18" x14ac:dyDescent="0.2">
      <c r="A51" s="141"/>
      <c r="B51" s="142"/>
      <c r="C51" s="143" t="s">
        <v>48</v>
      </c>
      <c r="D51" s="142"/>
      <c r="E51" s="144">
        <f>E45+E47*CF_GWP_CH4_fossil+E49*CF_GWP_N2O</f>
        <v>0.49927409899602415</v>
      </c>
      <c r="F51" s="145"/>
      <c r="G51" s="145"/>
      <c r="H51" s="145"/>
      <c r="I51" s="145"/>
      <c r="J51" s="145"/>
      <c r="K51" s="145"/>
      <c r="L51" s="145"/>
      <c r="M51" s="145"/>
      <c r="N51" s="145"/>
      <c r="O51" s="145"/>
      <c r="P51" s="17"/>
    </row>
    <row r="52" spans="1:18" x14ac:dyDescent="0.2">
      <c r="C52" s="17"/>
      <c r="E52" s="17"/>
      <c r="F52" s="17"/>
      <c r="G52" s="17"/>
      <c r="H52" s="17"/>
      <c r="I52" s="17"/>
      <c r="J52" s="17"/>
      <c r="K52" s="17"/>
      <c r="L52" s="17"/>
      <c r="M52" s="17"/>
      <c r="N52" s="17"/>
    </row>
    <row r="53" spans="1:18" ht="21" customHeight="1" x14ac:dyDescent="0.25">
      <c r="A53" s="140" t="s">
        <v>464</v>
      </c>
    </row>
    <row r="54" spans="1:18" x14ac:dyDescent="0.2">
      <c r="C54" s="17"/>
      <c r="E54" s="17"/>
      <c r="F54" s="17"/>
      <c r="G54" s="17"/>
      <c r="H54" s="17"/>
      <c r="I54" s="17"/>
      <c r="J54" s="17"/>
      <c r="K54" s="17"/>
      <c r="L54" s="17"/>
      <c r="M54" s="17"/>
      <c r="N54" s="17"/>
    </row>
    <row r="55" spans="1:18" x14ac:dyDescent="0.2">
      <c r="A55" s="128"/>
      <c r="B55" s="128"/>
      <c r="C55" s="128" t="s">
        <v>21</v>
      </c>
      <c r="D55" s="128" t="s">
        <v>9</v>
      </c>
      <c r="E55" s="128" t="s">
        <v>9</v>
      </c>
      <c r="F55" s="128" t="s">
        <v>10</v>
      </c>
      <c r="G55" s="127"/>
      <c r="H55" s="128" t="s">
        <v>11</v>
      </c>
      <c r="I55" s="124"/>
      <c r="J55" s="128" t="s">
        <v>12</v>
      </c>
      <c r="K55" s="124"/>
      <c r="L55" s="124"/>
      <c r="M55" s="124"/>
      <c r="N55" s="125"/>
      <c r="O55" s="129"/>
      <c r="Q55" s="129"/>
      <c r="R55" s="129"/>
    </row>
    <row r="56" spans="1:18" ht="72.5" customHeight="1" x14ac:dyDescent="0.2">
      <c r="A56" s="130"/>
      <c r="B56" s="134"/>
      <c r="C56" s="130"/>
      <c r="D56" s="131" t="s">
        <v>465</v>
      </c>
      <c r="E56" s="130"/>
      <c r="F56" s="126" t="s">
        <v>92</v>
      </c>
      <c r="G56" s="126" t="s">
        <v>24</v>
      </c>
      <c r="H56" s="126" t="s">
        <v>295</v>
      </c>
      <c r="I56" s="126" t="s">
        <v>296</v>
      </c>
      <c r="J56" s="126" t="s">
        <v>27</v>
      </c>
      <c r="K56" s="126" t="s">
        <v>28</v>
      </c>
      <c r="L56" s="126" t="s">
        <v>29</v>
      </c>
      <c r="M56" s="126" t="s">
        <v>30</v>
      </c>
      <c r="N56" s="126" t="s">
        <v>31</v>
      </c>
      <c r="O56" s="131" t="s">
        <v>298</v>
      </c>
      <c r="Q56" s="131" t="s">
        <v>364</v>
      </c>
      <c r="R56" s="131" t="s">
        <v>398</v>
      </c>
    </row>
    <row r="57" spans="1:18" x14ac:dyDescent="0.2">
      <c r="B57" s="18" t="s">
        <v>209</v>
      </c>
      <c r="C57" s="147" t="s">
        <v>44</v>
      </c>
      <c r="D57" s="148" t="e">
        <f>E57+SUM(N57:O57)</f>
        <v>#VALUE!</v>
      </c>
      <c r="E57" s="149" t="e">
        <f>F31/1000*O38</f>
        <v>#VALUE!</v>
      </c>
      <c r="F57" s="150" t="e">
        <f t="shared" ref="F57:M57" si="6">$E$41*F39</f>
        <v>#VALUE!</v>
      </c>
      <c r="G57" s="150" t="e">
        <f t="shared" si="6"/>
        <v>#VALUE!</v>
      </c>
      <c r="H57" s="150" t="e">
        <f t="shared" si="6"/>
        <v>#VALUE!</v>
      </c>
      <c r="I57" s="150" t="e">
        <f t="shared" si="6"/>
        <v>#VALUE!</v>
      </c>
      <c r="J57" s="150" t="e">
        <f t="shared" si="6"/>
        <v>#VALUE!</v>
      </c>
      <c r="K57" s="150" t="e">
        <f t="shared" si="6"/>
        <v>#VALUE!</v>
      </c>
      <c r="L57" s="150" t="e">
        <f t="shared" si="6"/>
        <v>#VALUE!</v>
      </c>
      <c r="M57" s="150" t="e">
        <f t="shared" si="6"/>
        <v>#VALUE!</v>
      </c>
      <c r="N57" s="149"/>
      <c r="O57" s="133">
        <v>6.3200000000000006E-2</v>
      </c>
      <c r="R57" t="s">
        <v>373</v>
      </c>
    </row>
    <row r="58" spans="1:18" x14ac:dyDescent="0.2">
      <c r="A58" s="114"/>
      <c r="B58" t="s">
        <v>466</v>
      </c>
      <c r="C58" t="s">
        <v>467</v>
      </c>
      <c r="E58" s="108" t="e">
        <f>F31/1000*O40</f>
        <v>#VALUE!</v>
      </c>
      <c r="F58" s="146">
        <f t="shared" ref="F58:M58" si="7">$E$42*F40</f>
        <v>8.5030210501121839E-8</v>
      </c>
      <c r="G58" s="146">
        <f t="shared" si="7"/>
        <v>8.707424015101315E-8</v>
      </c>
      <c r="H58" s="146">
        <f t="shared" si="7"/>
        <v>0</v>
      </c>
      <c r="I58" s="146">
        <f t="shared" si="7"/>
        <v>0</v>
      </c>
      <c r="J58" s="146">
        <f t="shared" si="7"/>
        <v>1.1835311585318156E-8</v>
      </c>
      <c r="K58" s="146">
        <f t="shared" si="7"/>
        <v>0</v>
      </c>
      <c r="L58" s="146">
        <f t="shared" si="7"/>
        <v>0</v>
      </c>
      <c r="M58" s="146">
        <f t="shared" si="7"/>
        <v>1.1499299125627482E-8</v>
      </c>
      <c r="N58" s="12"/>
    </row>
    <row r="59" spans="1:18" x14ac:dyDescent="0.2">
      <c r="A59" s="114"/>
      <c r="B59" s="276" t="e">
        <f>D57+D59*29+D61*273</f>
        <v>#VALUE!</v>
      </c>
      <c r="C59" s="133" t="s">
        <v>468</v>
      </c>
      <c r="D59" s="148">
        <f>E59+SUM(N59:O59)</f>
        <v>8.8702210531676909E-5</v>
      </c>
      <c r="E59" s="151">
        <f>SUM(F59:M59)</f>
        <v>6.5583577638617659E-9</v>
      </c>
      <c r="F59" s="152">
        <f t="shared" ref="F59:M59" si="8">F58/CF_GWP_CH4_fossil</f>
        <v>2.8533627684940212E-9</v>
      </c>
      <c r="G59" s="152">
        <f t="shared" si="8"/>
        <v>2.9219543674836629E-9</v>
      </c>
      <c r="H59" s="152">
        <f t="shared" si="8"/>
        <v>0</v>
      </c>
      <c r="I59" s="152">
        <f t="shared" si="8"/>
        <v>0</v>
      </c>
      <c r="J59" s="152">
        <f t="shared" si="8"/>
        <v>3.9715810688987101E-10</v>
      </c>
      <c r="K59" s="152">
        <f t="shared" si="8"/>
        <v>0</v>
      </c>
      <c r="L59" s="152">
        <f t="shared" si="8"/>
        <v>0</v>
      </c>
      <c r="M59" s="152">
        <f t="shared" si="8"/>
        <v>3.8588252099421079E-10</v>
      </c>
      <c r="N59" s="148"/>
      <c r="O59" s="133">
        <f>0.00204/23</f>
        <v>8.8695652173913049E-5</v>
      </c>
      <c r="R59" t="s">
        <v>374</v>
      </c>
    </row>
    <row r="60" spans="1:18" x14ac:dyDescent="0.2">
      <c r="C60" t="s">
        <v>469</v>
      </c>
      <c r="E60" s="12" t="e">
        <f>F31/1000*O42</f>
        <v>#VALUE!</v>
      </c>
      <c r="F60" s="20" t="e">
        <f t="shared" ref="F60:M60" si="9">$E$44*F41</f>
        <v>#DIV/0!</v>
      </c>
      <c r="G60" s="20" t="e">
        <f t="shared" si="9"/>
        <v>#DIV/0!</v>
      </c>
      <c r="H60" s="20" t="e">
        <f t="shared" si="9"/>
        <v>#DIV/0!</v>
      </c>
      <c r="I60" s="20" t="e">
        <f t="shared" si="9"/>
        <v>#DIV/0!</v>
      </c>
      <c r="J60" s="20" t="e">
        <f t="shared" si="9"/>
        <v>#DIV/0!</v>
      </c>
      <c r="K60" s="20" t="e">
        <f t="shared" si="9"/>
        <v>#DIV/0!</v>
      </c>
      <c r="L60" s="20" t="e">
        <f t="shared" si="9"/>
        <v>#DIV/0!</v>
      </c>
      <c r="M60" s="20" t="e">
        <f t="shared" si="9"/>
        <v>#DIV/0!</v>
      </c>
      <c r="N60" s="12"/>
    </row>
    <row r="61" spans="1:18" x14ac:dyDescent="0.2">
      <c r="C61" s="133" t="s">
        <v>47</v>
      </c>
      <c r="D61" s="148" t="e">
        <f>E61+SUM(N61:O61)</f>
        <v>#DIV/0!</v>
      </c>
      <c r="E61" s="153" t="e">
        <f>SUM(F61:M61)</f>
        <v>#DIV/0!</v>
      </c>
      <c r="F61" s="153" t="e">
        <f t="shared" ref="F61:M61" si="10">F60/CF_GWP_N2O</f>
        <v>#DIV/0!</v>
      </c>
      <c r="G61" s="153" t="e">
        <f t="shared" si="10"/>
        <v>#DIV/0!</v>
      </c>
      <c r="H61" s="153" t="e">
        <f t="shared" si="10"/>
        <v>#DIV/0!</v>
      </c>
      <c r="I61" s="153" t="e">
        <f t="shared" si="10"/>
        <v>#DIV/0!</v>
      </c>
      <c r="J61" s="153" t="e">
        <f t="shared" si="10"/>
        <v>#DIV/0!</v>
      </c>
      <c r="K61" s="153" t="e">
        <f t="shared" si="10"/>
        <v>#DIV/0!</v>
      </c>
      <c r="L61" s="153" t="e">
        <f t="shared" si="10"/>
        <v>#DIV/0!</v>
      </c>
      <c r="M61" s="153" t="e">
        <f t="shared" si="10"/>
        <v>#DIV/0!</v>
      </c>
      <c r="N61" s="148"/>
      <c r="O61" s="133">
        <f>0.000541/296</f>
        <v>1.8277027027027027E-6</v>
      </c>
      <c r="R61" t="s">
        <v>374</v>
      </c>
    </row>
    <row r="62" spans="1:18" ht="26" customHeight="1" x14ac:dyDescent="0.2">
      <c r="A62" s="154"/>
      <c r="B62" s="155" t="s">
        <v>309</v>
      </c>
      <c r="C62" s="156" t="s">
        <v>44</v>
      </c>
      <c r="D62" s="157" t="e">
        <f>E62+SUM(N62:O62)</f>
        <v>#VALUE!</v>
      </c>
      <c r="E62" s="158" t="e">
        <f>AVERAGE(F29:F30)*O45/1000</f>
        <v>#VALUE!</v>
      </c>
      <c r="F62" s="159" t="e">
        <f t="shared" ref="F62:M62" si="11">$E$46*F46</f>
        <v>#VALUE!</v>
      </c>
      <c r="G62" s="159" t="e">
        <f t="shared" si="11"/>
        <v>#VALUE!</v>
      </c>
      <c r="H62" s="159" t="e">
        <f t="shared" si="11"/>
        <v>#VALUE!</v>
      </c>
      <c r="I62" s="159" t="e">
        <f t="shared" si="11"/>
        <v>#VALUE!</v>
      </c>
      <c r="J62" s="159" t="e">
        <f t="shared" si="11"/>
        <v>#VALUE!</v>
      </c>
      <c r="K62" s="159" t="e">
        <f t="shared" si="11"/>
        <v>#VALUE!</v>
      </c>
      <c r="L62" s="159" t="e">
        <f t="shared" si="11"/>
        <v>#VALUE!</v>
      </c>
      <c r="M62" s="159" t="e">
        <f t="shared" si="11"/>
        <v>#VALUE!</v>
      </c>
      <c r="N62" s="157">
        <f>0.4*0.65</f>
        <v>0.26</v>
      </c>
      <c r="O62" s="160">
        <v>0.251</v>
      </c>
      <c r="Q62" s="161" t="s">
        <v>470</v>
      </c>
      <c r="R62" t="s">
        <v>373</v>
      </c>
    </row>
    <row r="63" spans="1:18" x14ac:dyDescent="0.2">
      <c r="B63" t="s">
        <v>466</v>
      </c>
      <c r="C63" t="s">
        <v>467</v>
      </c>
      <c r="E63" s="47" t="e">
        <f>AVERAGE(F29:F30)*O47/1000</f>
        <v>#VALUE!</v>
      </c>
      <c r="F63" s="47">
        <f t="shared" ref="F63:M63" si="12">$E$47*F48</f>
        <v>0</v>
      </c>
      <c r="G63" s="47">
        <f t="shared" si="12"/>
        <v>2.5211666524102526E-11</v>
      </c>
      <c r="H63" s="47">
        <f t="shared" si="12"/>
        <v>0</v>
      </c>
      <c r="I63" s="47">
        <f t="shared" si="12"/>
        <v>0</v>
      </c>
      <c r="J63" s="47">
        <f t="shared" si="12"/>
        <v>6.7023893823556815E-12</v>
      </c>
      <c r="K63" s="47">
        <f t="shared" si="12"/>
        <v>0</v>
      </c>
      <c r="L63" s="47">
        <f t="shared" si="12"/>
        <v>0</v>
      </c>
      <c r="M63" s="47">
        <f t="shared" si="12"/>
        <v>3.3295322969620031E-12</v>
      </c>
    </row>
    <row r="64" spans="1:18" x14ac:dyDescent="0.2">
      <c r="B64" s="276" t="e">
        <f>D62+D64*29+D66*273</f>
        <v>#VALUE!</v>
      </c>
      <c r="C64" s="133" t="s">
        <v>468</v>
      </c>
      <c r="D64" s="148">
        <f>E64+SUM(N64:O64)</f>
        <v>2.1000000118267075E-4</v>
      </c>
      <c r="E64" s="151">
        <f>SUM(F64:M64)</f>
        <v>1.1826707450812152E-12</v>
      </c>
      <c r="F64" s="151">
        <f t="shared" ref="F64:M64" si="13">F63/CF_GWP_CH4_fossil</f>
        <v>0</v>
      </c>
      <c r="G64" s="151">
        <f t="shared" si="13"/>
        <v>8.4602907799001765E-13</v>
      </c>
      <c r="H64" s="151">
        <f t="shared" si="13"/>
        <v>0</v>
      </c>
      <c r="I64" s="151">
        <f t="shared" si="13"/>
        <v>0</v>
      </c>
      <c r="J64" s="151">
        <f t="shared" si="13"/>
        <v>2.2491239538106314E-13</v>
      </c>
      <c r="K64" s="151">
        <f t="shared" si="13"/>
        <v>0</v>
      </c>
      <c r="L64" s="151">
        <f t="shared" si="13"/>
        <v>0</v>
      </c>
      <c r="M64" s="151">
        <f t="shared" si="13"/>
        <v>1.1172927171013433E-13</v>
      </c>
      <c r="N64" s="133"/>
      <c r="O64" s="133">
        <f>4.83/1000/23</f>
        <v>2.1000000000000001E-4</v>
      </c>
      <c r="R64" t="s">
        <v>374</v>
      </c>
    </row>
    <row r="65" spans="3:18" x14ac:dyDescent="0.2">
      <c r="C65" t="s">
        <v>469</v>
      </c>
      <c r="E65" s="33" t="e">
        <f>AVERAGE(F29:F30)*O49/1000</f>
        <v>#VALUE!</v>
      </c>
      <c r="F65" s="33" t="e">
        <f t="shared" ref="F65:M65" si="14">$E$49*F50</f>
        <v>#DIV/0!</v>
      </c>
      <c r="G65" s="33" t="e">
        <f t="shared" si="14"/>
        <v>#DIV/0!</v>
      </c>
      <c r="H65" s="33" t="e">
        <f t="shared" si="14"/>
        <v>#DIV/0!</v>
      </c>
      <c r="I65" s="33" t="e">
        <f t="shared" si="14"/>
        <v>#DIV/0!</v>
      </c>
      <c r="J65" s="33" t="e">
        <f t="shared" si="14"/>
        <v>#DIV/0!</v>
      </c>
      <c r="K65" s="33" t="e">
        <f t="shared" si="14"/>
        <v>#DIV/0!</v>
      </c>
      <c r="L65" s="33" t="e">
        <f t="shared" si="14"/>
        <v>#DIV/0!</v>
      </c>
      <c r="M65" s="33" t="e">
        <f t="shared" si="14"/>
        <v>#DIV/0!</v>
      </c>
    </row>
    <row r="66" spans="3:18" x14ac:dyDescent="0.2">
      <c r="C66" s="133" t="s">
        <v>47</v>
      </c>
      <c r="D66" s="148" t="e">
        <f>E66+SUM(N66:O66)</f>
        <v>#DIV/0!</v>
      </c>
      <c r="E66" s="151" t="e">
        <f>SUM(F66:M66)</f>
        <v>#DIV/0!</v>
      </c>
      <c r="F66" s="153" t="e">
        <f t="shared" ref="F66:M66" si="15">F65/CF_GWP_N2O</f>
        <v>#DIV/0!</v>
      </c>
      <c r="G66" s="153" t="e">
        <f t="shared" si="15"/>
        <v>#DIV/0!</v>
      </c>
      <c r="H66" s="153" t="e">
        <f t="shared" si="15"/>
        <v>#DIV/0!</v>
      </c>
      <c r="I66" s="153" t="e">
        <f t="shared" si="15"/>
        <v>#DIV/0!</v>
      </c>
      <c r="J66" s="153" t="e">
        <f t="shared" si="15"/>
        <v>#DIV/0!</v>
      </c>
      <c r="K66" s="153" t="e">
        <f t="shared" si="15"/>
        <v>#DIV/0!</v>
      </c>
      <c r="L66" s="153" t="e">
        <f t="shared" si="15"/>
        <v>#DIV/0!</v>
      </c>
      <c r="M66" s="153" t="e">
        <f t="shared" si="15"/>
        <v>#DIV/0!</v>
      </c>
      <c r="N66" s="133"/>
      <c r="O66" s="153">
        <f>2.69/1000/296</f>
        <v>9.087837837837838E-6</v>
      </c>
      <c r="R66" t="s">
        <v>374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20</vt:i4>
      </vt:variant>
      <vt:variant>
        <vt:lpstr>Named Ranges</vt:lpstr>
      </vt:variant>
      <vt:variant>
        <vt:i4>368</vt:i4>
      </vt:variant>
    </vt:vector>
  </HeadingPairs>
  <TitlesOfParts>
    <vt:vector size="388" baseType="lpstr">
      <vt:lpstr>README</vt:lpstr>
      <vt:lpstr>Figures</vt:lpstr>
      <vt:lpstr>Footprints, per kg meat</vt:lpstr>
      <vt:lpstr>GHG det, per kg meat</vt:lpstr>
      <vt:lpstr>Footprints, per kg offal</vt:lpstr>
      <vt:lpstr>GHG det, per kg offal</vt:lpstr>
      <vt:lpstr>Footprints, per kg fat</vt:lpstr>
      <vt:lpstr>GHG det, per kg fat</vt:lpstr>
      <vt:lpstr>Footprints, absolute</vt:lpstr>
      <vt:lpstr>GHG detailed, absolute</vt:lpstr>
      <vt:lpstr>Production</vt:lpstr>
      <vt:lpstr>Parameters, country spec</vt:lpstr>
      <vt:lpstr>CO2 per kg feed</vt:lpstr>
      <vt:lpstr>CH4 per kg feed</vt:lpstr>
      <vt:lpstr>N2O per kg feed</vt:lpstr>
      <vt:lpstr>EFP per kg feed</vt:lpstr>
      <vt:lpstr>Parameters, general</vt:lpstr>
      <vt:lpstr>Off-farm feed</vt:lpstr>
      <vt:lpstr>References</vt:lpstr>
      <vt:lpstr>Verification</vt:lpstr>
      <vt:lpstr>Ability_to_perceive_handling</vt:lpstr>
      <vt:lpstr>AF_fat</vt:lpstr>
      <vt:lpstr>AF_meat</vt:lpstr>
      <vt:lpstr>AF_offal</vt:lpstr>
      <vt:lpstr>Bonefree_outof_CW_DE</vt:lpstr>
      <vt:lpstr>Bonefree_outof_CW_DK</vt:lpstr>
      <vt:lpstr>Bonefree_outof_CW_ES</vt:lpstr>
      <vt:lpstr>Bonefree_outof_CW_FR</vt:lpstr>
      <vt:lpstr>Bonefree_outof_CW_GB</vt:lpstr>
      <vt:lpstr>Bonefree_outof_CW_GR</vt:lpstr>
      <vt:lpstr>Bonefree_outof_CW_HU</vt:lpstr>
      <vt:lpstr>Bonefree_outof_CW_IE</vt:lpstr>
      <vt:lpstr>Bonefree_outof_CW_IT</vt:lpstr>
      <vt:lpstr>Bonefree_outof_CW_NL</vt:lpstr>
      <vt:lpstr>Bonefree_outof_CW_PL</vt:lpstr>
      <vt:lpstr>Bonefree_outof_CW_SE</vt:lpstr>
      <vt:lpstr>CF_GWP_CH4_fossil</vt:lpstr>
      <vt:lpstr>CF_GWP_N2O</vt:lpstr>
      <vt:lpstr>EF_ammonia_DE</vt:lpstr>
      <vt:lpstr>EF_ammonia_DK</vt:lpstr>
      <vt:lpstr>EF_ammonia_ES</vt:lpstr>
      <vt:lpstr>EF_ammonia_FR</vt:lpstr>
      <vt:lpstr>EF_ammonia_GB</vt:lpstr>
      <vt:lpstr>EF_ammonia_GR</vt:lpstr>
      <vt:lpstr>EF_ammonia_HU</vt:lpstr>
      <vt:lpstr>EF_ammonia_IE</vt:lpstr>
      <vt:lpstr>EF_ammonia_IT</vt:lpstr>
      <vt:lpstr>EF_ammonia_NL</vt:lpstr>
      <vt:lpstr>EF_ammonia_PL</vt:lpstr>
      <vt:lpstr>EF_ammonia_SE</vt:lpstr>
      <vt:lpstr>EF_biofuel_CH4</vt:lpstr>
      <vt:lpstr>EF_biofuel_N2O</vt:lpstr>
      <vt:lpstr>EF_biofuels_CO2</vt:lpstr>
      <vt:lpstr>EF_CH4_manure_DE</vt:lpstr>
      <vt:lpstr>EF_CH4_manure_DK</vt:lpstr>
      <vt:lpstr>EF_CH4_manure_ES</vt:lpstr>
      <vt:lpstr>EF_CH4_manure_FR</vt:lpstr>
      <vt:lpstr>EF_CH4_manure_GB</vt:lpstr>
      <vt:lpstr>EF_CH4_manure_GR</vt:lpstr>
      <vt:lpstr>EF_CH4_manure_HU</vt:lpstr>
      <vt:lpstr>EF_CH4_manure_IE</vt:lpstr>
      <vt:lpstr>EF_CH4_manure_IT</vt:lpstr>
      <vt:lpstr>EF_CH4_manure_NL</vt:lpstr>
      <vt:lpstr>EF_CH4_manure_PL</vt:lpstr>
      <vt:lpstr>EF_CH4_manure_SE</vt:lpstr>
      <vt:lpstr>EF_el_CH4_BR</vt:lpstr>
      <vt:lpstr>EF_el_CH4_DE</vt:lpstr>
      <vt:lpstr>EF_el_CH4_DK</vt:lpstr>
      <vt:lpstr>EF_el_CH4_ES</vt:lpstr>
      <vt:lpstr>EF_el_CH4_FR</vt:lpstr>
      <vt:lpstr>EF_el_CH4_GB</vt:lpstr>
      <vt:lpstr>EF_el_CH4_GR</vt:lpstr>
      <vt:lpstr>EF_el_CH4_HU</vt:lpstr>
      <vt:lpstr>EF_el_CH4_IE</vt:lpstr>
      <vt:lpstr>EF_el_CH4_IT</vt:lpstr>
      <vt:lpstr>EF_el_CH4_NL</vt:lpstr>
      <vt:lpstr>EF_el_CH4_PL</vt:lpstr>
      <vt:lpstr>EF_el_CH4_SE</vt:lpstr>
      <vt:lpstr>EF_el_CO2_BR</vt:lpstr>
      <vt:lpstr>EF_el_CO2_DE</vt:lpstr>
      <vt:lpstr>EF_el_CO2_DK</vt:lpstr>
      <vt:lpstr>EF_el_CO2_ES</vt:lpstr>
      <vt:lpstr>EF_el_CO2_FR</vt:lpstr>
      <vt:lpstr>EF_el_CO2_GB</vt:lpstr>
      <vt:lpstr>EF_el_CO2_GR</vt:lpstr>
      <vt:lpstr>EF_el_CO2_HU</vt:lpstr>
      <vt:lpstr>EF_el_CO2_IE</vt:lpstr>
      <vt:lpstr>EF_el_CO2_IT</vt:lpstr>
      <vt:lpstr>EF_el_CO2_NL</vt:lpstr>
      <vt:lpstr>EF_el_CO2_PL</vt:lpstr>
      <vt:lpstr>EF_el_CO2_SE</vt:lpstr>
      <vt:lpstr>EF_el_N2O_BR</vt:lpstr>
      <vt:lpstr>EF_el_N2O_DE</vt:lpstr>
      <vt:lpstr>EF_el_N2O_DK</vt:lpstr>
      <vt:lpstr>EF_el_N2O_ES</vt:lpstr>
      <vt:lpstr>EF_el_N2O_FR</vt:lpstr>
      <vt:lpstr>EF_el_N2O_GB</vt:lpstr>
      <vt:lpstr>EF_el_N2O_GR</vt:lpstr>
      <vt:lpstr>EF_el_N2O_HU</vt:lpstr>
      <vt:lpstr>EF_el_N2O_IE</vt:lpstr>
      <vt:lpstr>EF_el_N2O_IT</vt:lpstr>
      <vt:lpstr>EF_el_N2O_NL</vt:lpstr>
      <vt:lpstr>EF_el_N2O_PL</vt:lpstr>
      <vt:lpstr>EF_el_N2O_SE</vt:lpstr>
      <vt:lpstr>EF_electricity</vt:lpstr>
      <vt:lpstr>EF_gas_CH4</vt:lpstr>
      <vt:lpstr>EF_gas_CO2</vt:lpstr>
      <vt:lpstr>EF_gas_N2O</vt:lpstr>
      <vt:lpstr>EF_heat_CO2</vt:lpstr>
      <vt:lpstr>EF_indirect_N2O_DE</vt:lpstr>
      <vt:lpstr>EF_indirect_N2O_DK</vt:lpstr>
      <vt:lpstr>EF_indirect_N2O_ES</vt:lpstr>
      <vt:lpstr>EF_indirect_N2O_FR</vt:lpstr>
      <vt:lpstr>EF_indirect_N2O_GB</vt:lpstr>
      <vt:lpstr>EF_indirect_N2O_GR</vt:lpstr>
      <vt:lpstr>EF_indirect_N2O_HU</vt:lpstr>
      <vt:lpstr>EF_indirect_N2O_IE</vt:lpstr>
      <vt:lpstr>EF_indirect_N2O_IT</vt:lpstr>
      <vt:lpstr>EF_indirect_N2O_NL</vt:lpstr>
      <vt:lpstr>EF_indirect_N2O_PL</vt:lpstr>
      <vt:lpstr>EF_indirect_N2O_SE</vt:lpstr>
      <vt:lpstr>EF_min_fert_CH4_DE</vt:lpstr>
      <vt:lpstr>EF_min_fert_CH4_DK</vt:lpstr>
      <vt:lpstr>EF_min_fert_CH4_ES</vt:lpstr>
      <vt:lpstr>EF_min_fert_CH4_FR</vt:lpstr>
      <vt:lpstr>EF_min_fert_CH4_GB</vt:lpstr>
      <vt:lpstr>EF_min_fert_CH4_GR</vt:lpstr>
      <vt:lpstr>EF_min_fert_CH4_HU</vt:lpstr>
      <vt:lpstr>EF_min_fert_CH4_IE</vt:lpstr>
      <vt:lpstr>EF_min_fert_CH4_IT</vt:lpstr>
      <vt:lpstr>EF_min_fert_CH4_NL</vt:lpstr>
      <vt:lpstr>EF_min_fert_CH4_PL</vt:lpstr>
      <vt:lpstr>EF_min_fert_CH4_SE</vt:lpstr>
      <vt:lpstr>EF_min_fert_CO2_DE</vt:lpstr>
      <vt:lpstr>EF_min_fert_CO2_DK</vt:lpstr>
      <vt:lpstr>EF_min_fert_CO2_ES</vt:lpstr>
      <vt:lpstr>EF_min_fert_CO2_FR</vt:lpstr>
      <vt:lpstr>EF_min_fert_CO2_GB</vt:lpstr>
      <vt:lpstr>EF_min_fert_CO2_GR</vt:lpstr>
      <vt:lpstr>EF_min_fert_CO2_HU</vt:lpstr>
      <vt:lpstr>EF_min_fert_CO2_IE</vt:lpstr>
      <vt:lpstr>EF_min_fert_CO2_IT</vt:lpstr>
      <vt:lpstr>EF_min_fert_CO2_NL</vt:lpstr>
      <vt:lpstr>EF_min_fert_CO2_PL</vt:lpstr>
      <vt:lpstr>EF_min_fert_CO2_SE</vt:lpstr>
      <vt:lpstr>EF_min_fert_CO2_UK</vt:lpstr>
      <vt:lpstr>EF_min_fert_N2O_DE</vt:lpstr>
      <vt:lpstr>EF_min_fert_N2O_DK</vt:lpstr>
      <vt:lpstr>EF_min_fert_N2O_ES</vt:lpstr>
      <vt:lpstr>EF_min_fert_N2O_FR</vt:lpstr>
      <vt:lpstr>EF_min_fert_N2O_GB</vt:lpstr>
      <vt:lpstr>EF_min_fert_N2O_GR</vt:lpstr>
      <vt:lpstr>EF_min_fert_N2O_HU</vt:lpstr>
      <vt:lpstr>EF_min_fert_N2O_IE</vt:lpstr>
      <vt:lpstr>EF_min_fert_N2O_IT</vt:lpstr>
      <vt:lpstr>EF_min_fert_N2O_NL</vt:lpstr>
      <vt:lpstr>EF_min_fert_N2O_PL</vt:lpstr>
      <vt:lpstr>EF_min_fert_N2O_SE</vt:lpstr>
      <vt:lpstr>EF_N2O_diff_DE</vt:lpstr>
      <vt:lpstr>EF_N2O_diff_DK</vt:lpstr>
      <vt:lpstr>EF_N2O_diff_ES</vt:lpstr>
      <vt:lpstr>EF_N2O_diff_FR</vt:lpstr>
      <vt:lpstr>EF_N2O_diff_GB</vt:lpstr>
      <vt:lpstr>EF_N2O_diff_GR</vt:lpstr>
      <vt:lpstr>EF_N2O_diff_HU</vt:lpstr>
      <vt:lpstr>EF_N2O_diff_IE</vt:lpstr>
      <vt:lpstr>EF_N2O_diff_IT</vt:lpstr>
      <vt:lpstr>EF_N2O_diff_NL</vt:lpstr>
      <vt:lpstr>EF_N2O_diff_PL</vt:lpstr>
      <vt:lpstr>EF_N2O_diff_SE</vt:lpstr>
      <vt:lpstr>EF_N2O_manure_direct_DE</vt:lpstr>
      <vt:lpstr>EF_N2O_manure_direct_DK</vt:lpstr>
      <vt:lpstr>EF_N2O_manure_direct_ES</vt:lpstr>
      <vt:lpstr>EF_N2O_manure_direct_FR</vt:lpstr>
      <vt:lpstr>EF_N2O_manure_direct_GB</vt:lpstr>
      <vt:lpstr>EF_N2O_manure_direct_GR</vt:lpstr>
      <vt:lpstr>EF_N2O_manure_direct_HU</vt:lpstr>
      <vt:lpstr>EF_N2O_manure_direct_IE</vt:lpstr>
      <vt:lpstr>EF_N2O_manure_direct_IT</vt:lpstr>
      <vt:lpstr>EF_N2O_manure_direct_NL</vt:lpstr>
      <vt:lpstr>EF_N2O_manure_direct_PL</vt:lpstr>
      <vt:lpstr>EF_N2O_manure_direct_SE</vt:lpstr>
      <vt:lpstr>EF_N2O_manure_indirect_DE</vt:lpstr>
      <vt:lpstr>EF_N2O_manure_indirect_DK</vt:lpstr>
      <vt:lpstr>EF_N2O_manure_indirect_ES</vt:lpstr>
      <vt:lpstr>EF_N2O_manure_indirect_FR</vt:lpstr>
      <vt:lpstr>EF_N2O_manure_indirect_GB</vt:lpstr>
      <vt:lpstr>EF_N2O_manure_indirect_GR</vt:lpstr>
      <vt:lpstr>EF_N2O_manure_indirect_HU</vt:lpstr>
      <vt:lpstr>EF_N2O_manure_indirect_IE</vt:lpstr>
      <vt:lpstr>EF_N2O_manure_indirect_IT</vt:lpstr>
      <vt:lpstr>EF_N2O_manure_indirect_NL</vt:lpstr>
      <vt:lpstr>EF_N2O_manure_indirect_PL</vt:lpstr>
      <vt:lpstr>EF_N2O_manure_indirect_SE</vt:lpstr>
      <vt:lpstr>EF_oil_CH4</vt:lpstr>
      <vt:lpstr>EF_oil_CO2</vt:lpstr>
      <vt:lpstr>EF_oil_N2O</vt:lpstr>
      <vt:lpstr>Energy_slaughter_el_DE</vt:lpstr>
      <vt:lpstr>Energy_slaughter_el_DK</vt:lpstr>
      <vt:lpstr>Energy_slaughter_el_ES</vt:lpstr>
      <vt:lpstr>Energy_slaughter_el_FR</vt:lpstr>
      <vt:lpstr>Energy_slaughter_el_GB</vt:lpstr>
      <vt:lpstr>Energy_slaughter_el_GR</vt:lpstr>
      <vt:lpstr>Energy_slaughter_el_HU</vt:lpstr>
      <vt:lpstr>Energy_slaughter_el_IE</vt:lpstr>
      <vt:lpstr>Energy_slaughter_el_IT</vt:lpstr>
      <vt:lpstr>Energy_slaughter_el_NL</vt:lpstr>
      <vt:lpstr>Energy_slaughter_el_PL</vt:lpstr>
      <vt:lpstr>Energy_slaughter_el_SE</vt:lpstr>
      <vt:lpstr>Energy_slaughter_heat_DE</vt:lpstr>
      <vt:lpstr>Energy_slaughter_heat_DK</vt:lpstr>
      <vt:lpstr>Energy_slaughter_heat_ES</vt:lpstr>
      <vt:lpstr>Energy_slaughter_heat_FR</vt:lpstr>
      <vt:lpstr>Energy_slaughter_heat_GB</vt:lpstr>
      <vt:lpstr>Energy_slaughter_heat_GR</vt:lpstr>
      <vt:lpstr>Energy_slaughter_heat_HU</vt:lpstr>
      <vt:lpstr>Energy_slaughter_heat_IE</vt:lpstr>
      <vt:lpstr>Energy_slaughter_heat_IT</vt:lpstr>
      <vt:lpstr>Energy_slaughter_heat_NL</vt:lpstr>
      <vt:lpstr>Energy_slaughter_heat_PL</vt:lpstr>
      <vt:lpstr>Energy_slaughter_heat_SE</vt:lpstr>
      <vt:lpstr>Energy_stables_DE</vt:lpstr>
      <vt:lpstr>Energy_stables_DK</vt:lpstr>
      <vt:lpstr>Energy_stables_ES</vt:lpstr>
      <vt:lpstr>Energy_stables_FR</vt:lpstr>
      <vt:lpstr>Energy_stables_GB</vt:lpstr>
      <vt:lpstr>Energy_stables_GR</vt:lpstr>
      <vt:lpstr>Energy_stables_HU</vt:lpstr>
      <vt:lpstr>Energy_stables_IE</vt:lpstr>
      <vt:lpstr>Energy_stables_IT</vt:lpstr>
      <vt:lpstr>Energy_stables_NL</vt:lpstr>
      <vt:lpstr>Energy_stables_PL</vt:lpstr>
      <vt:lpstr>Energy_stables_SE</vt:lpstr>
      <vt:lpstr>Excreted_N_after_losses_DE</vt:lpstr>
      <vt:lpstr>Excreted_N_after_losses_DK</vt:lpstr>
      <vt:lpstr>Excreted_N_after_losses_ES</vt:lpstr>
      <vt:lpstr>Excreted_N_after_losses_FR</vt:lpstr>
      <vt:lpstr>Excreted_N_after_losses_GB</vt:lpstr>
      <vt:lpstr>Excreted_N_after_losses_GR</vt:lpstr>
      <vt:lpstr>Excreted_N_after_losses_HU</vt:lpstr>
      <vt:lpstr>Excreted_N_after_losses_IE</vt:lpstr>
      <vt:lpstr>Excreted_N_after_losses_IT</vt:lpstr>
      <vt:lpstr>Excreted_N_after_losses_NL</vt:lpstr>
      <vt:lpstr>Excreted_N_after_losses_PL</vt:lpstr>
      <vt:lpstr>Excreted_N_after_losses_SE</vt:lpstr>
      <vt:lpstr>Excreted_N_per_kg_of_bonefree_meat_DE</vt:lpstr>
      <vt:lpstr>Excreted_N_per_kg_of_bonefree_meat_DK</vt:lpstr>
      <vt:lpstr>Excreted_N_per_kg_of_bonefree_meat_ES</vt:lpstr>
      <vt:lpstr>Excreted_N_per_kg_of_bonefree_meat_FR</vt:lpstr>
      <vt:lpstr>Excreted_N_per_kg_of_bonefree_meat_GB</vt:lpstr>
      <vt:lpstr>Excreted_N_per_kg_of_bonefree_meat_GR</vt:lpstr>
      <vt:lpstr>Excreted_N_per_kg_of_bonefree_meat_HU</vt:lpstr>
      <vt:lpstr>Excreted_N_per_kg_of_bonefree_meat_IE</vt:lpstr>
      <vt:lpstr>Excreted_N_per_kg_of_bonefree_meat_IT</vt:lpstr>
      <vt:lpstr>Excreted_N_per_kg_of_bonefree_meat_NL</vt:lpstr>
      <vt:lpstr>Excreted_N_per_kg_of_bonefree_meat_PL</vt:lpstr>
      <vt:lpstr>Excreted_N_per_kg_of_bonefree_meat_SE</vt:lpstr>
      <vt:lpstr>FCR_bonefree_incl_parents_DE</vt:lpstr>
      <vt:lpstr>FCR_bonefree_incl_parents_DK</vt:lpstr>
      <vt:lpstr>FCR_bonefree_incl_parents_ES</vt:lpstr>
      <vt:lpstr>FCR_bonefree_incl_parents_FR</vt:lpstr>
      <vt:lpstr>FCR_bonefree_incl_parents_GB</vt:lpstr>
      <vt:lpstr>FCR_bonefree_incl_parents_GR</vt:lpstr>
      <vt:lpstr>FCR_bonefree_incl_parents_HU</vt:lpstr>
      <vt:lpstr>FCR_bonefree_incl_parents_IE</vt:lpstr>
      <vt:lpstr>FCR_bonefree_incl_parents_IT</vt:lpstr>
      <vt:lpstr>FCR_bonefree_incl_parents_NL</vt:lpstr>
      <vt:lpstr>FCR_bonefree_incl_parents_PL</vt:lpstr>
      <vt:lpstr>FCR_bonefree_incl_parents_SE</vt:lpstr>
      <vt:lpstr>GBughter_el_AT</vt:lpstr>
      <vt:lpstr>GRAT</vt:lpstr>
      <vt:lpstr>L77EF_min_fert_CO2_SE</vt:lpstr>
      <vt:lpstr>Manure_repl_factor_DE</vt:lpstr>
      <vt:lpstr>Manure_repl_factor_DK</vt:lpstr>
      <vt:lpstr>Manure_repl_factor_ES</vt:lpstr>
      <vt:lpstr>Manure_repl_factor_FR</vt:lpstr>
      <vt:lpstr>Manure_repl_factor_GB</vt:lpstr>
      <vt:lpstr>Manure_repl_factor_GR</vt:lpstr>
      <vt:lpstr>Manure_repl_factor_HU</vt:lpstr>
      <vt:lpstr>Manure_repl_factor_IE</vt:lpstr>
      <vt:lpstr>Manure_repl_factor_IT</vt:lpstr>
      <vt:lpstr>Manure_repl_factor_NL</vt:lpstr>
      <vt:lpstr>Manure_repl_factor_PL</vt:lpstr>
      <vt:lpstr>Manure_repl_factor_SE</vt:lpstr>
      <vt:lpstr>Share_biofuels_DE</vt:lpstr>
      <vt:lpstr>Share_biofuels_DK</vt:lpstr>
      <vt:lpstr>Share_biofuels_ES</vt:lpstr>
      <vt:lpstr>Share_biofuels_FR</vt:lpstr>
      <vt:lpstr>Share_biofuels_GB</vt:lpstr>
      <vt:lpstr>Share_biofuels_GR</vt:lpstr>
      <vt:lpstr>Share_biofuels_HU</vt:lpstr>
      <vt:lpstr>Share_biofuels_IE</vt:lpstr>
      <vt:lpstr>Share_biofuels_IT</vt:lpstr>
      <vt:lpstr>Share_biofuels_NL</vt:lpstr>
      <vt:lpstr>Share_biofuels_PL</vt:lpstr>
      <vt:lpstr>Share_biofuels_SE</vt:lpstr>
      <vt:lpstr>Share_heating_DE</vt:lpstr>
      <vt:lpstr>Share_heating_DK</vt:lpstr>
      <vt:lpstr>Share_heating_ES</vt:lpstr>
      <vt:lpstr>Share_heating_FR</vt:lpstr>
      <vt:lpstr>Share_heating_GB</vt:lpstr>
      <vt:lpstr>Share_heating_GR</vt:lpstr>
      <vt:lpstr>Share_heating_HU</vt:lpstr>
      <vt:lpstr>Share_heating_IE</vt:lpstr>
      <vt:lpstr>Share_heating_IT</vt:lpstr>
      <vt:lpstr>Share_heating_NL</vt:lpstr>
      <vt:lpstr>Share_heating_PL</vt:lpstr>
      <vt:lpstr>Share_heating_SE</vt:lpstr>
      <vt:lpstr>Slaughter_age_broiler_DK</vt:lpstr>
      <vt:lpstr>Slaughter_age_DE</vt:lpstr>
      <vt:lpstr>Slaughter_age_DK</vt:lpstr>
      <vt:lpstr>Slaughter_age_ES</vt:lpstr>
      <vt:lpstr>Slaughter_age_FR</vt:lpstr>
      <vt:lpstr>Slaughter_age_GB</vt:lpstr>
      <vt:lpstr>Slaughter_age_GR</vt:lpstr>
      <vt:lpstr>Slaughter_age_HU</vt:lpstr>
      <vt:lpstr>Slaughter_age_IE</vt:lpstr>
      <vt:lpstr>Slaughter_age_IT</vt:lpstr>
      <vt:lpstr>Slaughter_age_NL</vt:lpstr>
      <vt:lpstr>Slaughter_age_parents_DE</vt:lpstr>
      <vt:lpstr>Slaughter_age_parents_DK</vt:lpstr>
      <vt:lpstr>Slaughter_age_parents_ES</vt:lpstr>
      <vt:lpstr>Slaughter_age_parents_FR</vt:lpstr>
      <vt:lpstr>Slaughter_age_parents_GB</vt:lpstr>
      <vt:lpstr>Slaughter_age_parents_GR</vt:lpstr>
      <vt:lpstr>Slaughter_age_parents_HU</vt:lpstr>
      <vt:lpstr>Slaughter_age_parents_IE</vt:lpstr>
      <vt:lpstr>Slaughter_age_parents_IT</vt:lpstr>
      <vt:lpstr>Slaughter_age_parents_NL</vt:lpstr>
      <vt:lpstr>Slaughter_age_parents_PL</vt:lpstr>
      <vt:lpstr>Slaughter_age_parents_SE</vt:lpstr>
      <vt:lpstr>Slaughter_age_PL</vt:lpstr>
      <vt:lpstr>Slaughter_age_SE</vt:lpstr>
      <vt:lpstr>Slaughter_duration_class</vt:lpstr>
      <vt:lpstr>Water_drinking_broiler_DE</vt:lpstr>
      <vt:lpstr>Water_drinking_broiler_DK</vt:lpstr>
      <vt:lpstr>Water_drinking_broiler_ES</vt:lpstr>
      <vt:lpstr>Water_drinking_broiler_FR</vt:lpstr>
      <vt:lpstr>Water_drinking_broiler_GB</vt:lpstr>
      <vt:lpstr>Water_drinking_broiler_GR</vt:lpstr>
      <vt:lpstr>Water_drinking_broiler_HU</vt:lpstr>
      <vt:lpstr>Water_drinking_broiler_IE</vt:lpstr>
      <vt:lpstr>Water_drinking_broiler_IT</vt:lpstr>
      <vt:lpstr>Water_drinking_broiler_NL</vt:lpstr>
      <vt:lpstr>Water_drinking_broiler_PL</vt:lpstr>
      <vt:lpstr>Water_drinking_broiler_SE</vt:lpstr>
      <vt:lpstr>Water_drinking_parent_DE</vt:lpstr>
      <vt:lpstr>Water_drinking_parent_DK</vt:lpstr>
      <vt:lpstr>Water_drinking_parent_ES</vt:lpstr>
      <vt:lpstr>Water_drinking_parent_FR</vt:lpstr>
      <vt:lpstr>Water_drinking_parent_GB</vt:lpstr>
      <vt:lpstr>Water_drinking_parent_GR</vt:lpstr>
      <vt:lpstr>Water_drinking_parent_HU</vt:lpstr>
      <vt:lpstr>Water_drinking_parent_IE</vt:lpstr>
      <vt:lpstr>Water_drinking_parent_IT</vt:lpstr>
      <vt:lpstr>Water_drinking_parent_NL</vt:lpstr>
      <vt:lpstr>Water_drinking_parent_PL</vt:lpstr>
      <vt:lpstr>Water_drinking_parent_SE</vt:lpstr>
      <vt:lpstr>Water_service_broiler_DE</vt:lpstr>
      <vt:lpstr>Water_service_broiler_DK</vt:lpstr>
      <vt:lpstr>Water_service_broiler_ES</vt:lpstr>
      <vt:lpstr>Water_service_broiler_FR</vt:lpstr>
      <vt:lpstr>Water_service_broiler_GB</vt:lpstr>
      <vt:lpstr>Water_service_broiler_GR</vt:lpstr>
      <vt:lpstr>Water_service_broiler_HU</vt:lpstr>
      <vt:lpstr>Water_service_broiler_IE</vt:lpstr>
      <vt:lpstr>Water_service_broiler_IT</vt:lpstr>
      <vt:lpstr>Water_service_broiler_NL</vt:lpstr>
      <vt:lpstr>Water_service_broiler_PL</vt:lpstr>
      <vt:lpstr>Water_service_broiler_SE</vt:lpstr>
      <vt:lpstr>Water_service_parent_DE</vt:lpstr>
      <vt:lpstr>Water_service_parent_DK</vt:lpstr>
      <vt:lpstr>Water_service_parent_ES</vt:lpstr>
      <vt:lpstr>Water_service_parent_FR</vt:lpstr>
      <vt:lpstr>Water_service_parent_GB</vt:lpstr>
      <vt:lpstr>Water_service_parent_GR</vt:lpstr>
      <vt:lpstr>Water_service_parent_HU</vt:lpstr>
      <vt:lpstr>Water_service_parent_IE</vt:lpstr>
      <vt:lpstr>Water_service_parent_IT</vt:lpstr>
      <vt:lpstr>Water_service_parent_NL</vt:lpstr>
      <vt:lpstr>Water_service_parent_PL</vt:lpstr>
      <vt:lpstr>Water_service_parent_SE</vt:lpstr>
      <vt:lpstr>Weight_ability_to_perceive_handling</vt:lpstr>
      <vt:lpstr>Weight_diseases</vt:lpstr>
      <vt:lpstr>Weight_mortality</vt:lpstr>
      <vt:lpstr>Weight_no_of_animal</vt:lpstr>
      <vt:lpstr>Weight_slaughter_duration_class</vt:lpstr>
      <vt:lpstr>Weight_space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Wilhelm Wanecek</cp:lastModifiedBy>
  <dcterms:created xsi:type="dcterms:W3CDTF">2015-06-05T18:19:34Z</dcterms:created>
  <dcterms:modified xsi:type="dcterms:W3CDTF">2026-09-09T07:29:55Z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0x010100A603BB68AE5C0F4C908E70EB4D1DDDC3</vt:lpwstr>
  </property>
</Properties>
</file>